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C8AD46BF-0099-4EAF-A4AB-628A86523709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Analysis'!$D$57:$H$57</definedName>
    <definedName name="FieldList2">'Field Analysis'!$D$58:$H$58</definedName>
    <definedName name="FieldList3">'Field Analysis'!$D$59:$H$59</definedName>
    <definedName name="FieldList4">'Field Analysis'!$D$60:$H$60</definedName>
    <definedName name="FieldList5">'Field Analysis'!$D$61:$H$61</definedName>
    <definedName name="FieldList6">'Field Analysis'!$D$62:$H$62</definedName>
    <definedName name="FieldList7">'Field Analysis'!$D$63:$H$63</definedName>
    <definedName name="FieldList8">'Field Analysis'!$D$64:$H$64</definedName>
    <definedName name="FieldLists">'Field Analysis'!$C$57:$H$64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Analysis'!$D$9:$H$9</definedName>
    <definedName name="Percentiles">'Field Analysis'!$D$45:$D$54</definedName>
    <definedName name="RecordHashes">'Field Analysis'!$J$79:$J$98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<sst xmlns="http://schemas.openxmlformats.org/spreadsheetml/2006/main" count="158" uniqueCount="69">
  <si>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</si>
  <si>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</si>
  <si>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</si>
  <si>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</si>
  <si>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</si>
  <si>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</si>
  <si>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</si>
  <si>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</si>
  <si>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</si>
  <si>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</si>
  <si>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</si>
  <si>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</si>
  <si>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</si>
  <si>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</si>
  <si>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</si>
  <si>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</si>
  <si>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</si>
  <si>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</si>
  <si>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</si>
  <si>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</si>
  <si>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</si>
  <si>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</si>
  <si>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</si>
  <si>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</si>
  <si>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</si>
  <si>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</si>
  <si>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</si>
  <si>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</si>
  <si>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</si>
  <si>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</si>
  <si>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</si>
  <si>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</si>
  <si>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</si>
  <si>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</si>
  <si>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</si>
  <si>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</si>
  <si>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</si>
  <si>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</si>
  <si>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</si>
  <si>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</si>
  <si>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</si>
  <si>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</si>
  <si>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</si>
  <si>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</si>
  <si>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</si>
  <si>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</si>
  <si>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</si>
  <si>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</si>
  <si>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</si>
  <si>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</si>
  <si>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</si>
  <si>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</si>
  <si>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</si>
  <si>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</si>
  <si>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</si>
  <si>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anagrams</t>
  </si>
  <si>
    <t>subidr</t>
  </si>
  <si>
    <t>attnr</t>
  </si>
  <si>
    <t>num1</t>
  </si>
  <si>
    <t>num2</t>
  </si>
  <si>
    <t>num3</t>
  </si>
  <si>
    <t>Record Hash</t>
  </si>
  <si>
    <t>1,072 bytes</t>
  </si>
  <si>
    <t>int64</t>
  </si>
  <si>
    <t>str</t>
  </si>
  <si>
    <t>divided</t>
  </si>
  <si>
    <t>float64</t>
  </si>
  <si>
    <t>focused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</si>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</sst>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6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AA3DA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left" vertical="center" wrapText="1" indent="1"/>
    </xf>
    <xf numFmtId="0" fontId="33" fillId="9" borderId="7" xfId="1" applyFont="1" applyFill="1" applyBorder="1" applyAlignment="1">
      <alignment horizontal="left" vertical="center" wrapText="1" indent="1"/>
    </xf>
    <xf numFmtId="0" fontId="33" fillId="9" borderId="3" xfId="1" applyFont="1" applyFill="1" applyBorder="1" applyAlignment="1">
      <alignment horizontal="center" vertical="center" wrapText="1"/>
    </xf>
    <xf numFmtId="9" fontId="33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4" fillId="9" borderId="0" xfId="1" applyFont="1" applyFill="1" applyBorder="1" applyAlignment="1">
      <alignment horizontal="center" vertical="center" wrapText="1"/>
    </xf>
    <xf numFmtId="0" fontId="34" fillId="9" borderId="9" xfId="1" applyFont="1" applyFill="1" applyBorder="1" applyAlignment="1">
      <alignment horizontal="center" vertical="center"/>
    </xf>
    <xf numFmtId="0" fontId="23" fillId="9" borderId="0" xfId="0" applyFont="1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5" fillId="3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147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EAA3DA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46"/>
      <tableStyleElement type="headerRow" dxfId="145"/>
      <tableStyleElement type="totalRow" dxfId="144"/>
    </tableStyle>
    <tableStyle name="TableStyleDarker" pivot="0" count="2" xr9:uid="{6808BEA3-E65F-4F4F-A6CC-D0226D87DD56}">
      <tableStyleElement type="wholeTable" dxfId="143"/>
      <tableStyleElement type="headerRow" dxfId="142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subidr">
          <a:extLst>
            <a:ext uri="{FF2B5EF4-FFF2-40B4-BE49-F238E27FC236}">
              <a16:creationId xmlns:a16="http://schemas.microsoft.com/office/drawing/2014/main" id="{8DC59036-2D1D-5596-BB12-484454B9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histogram_subidr">
          <a:extLst>
            <a:ext uri="{FF2B5EF4-FFF2-40B4-BE49-F238E27FC236}">
              <a16:creationId xmlns:a16="http://schemas.microsoft.com/office/drawing/2014/main" id="{035B11B4-4C2A-8EED-9673-5BA4349A98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composition_attnr">
          <a:extLst>
            <a:ext uri="{FF2B5EF4-FFF2-40B4-BE49-F238E27FC236}">
              <a16:creationId xmlns:a16="http://schemas.microsoft.com/office/drawing/2014/main" id="{8EB4CF70-B972-7BDB-04E5-8930A503B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num1">
          <a:extLst>
            <a:ext uri="{FF2B5EF4-FFF2-40B4-BE49-F238E27FC236}">
              <a16:creationId xmlns:a16="http://schemas.microsoft.com/office/drawing/2014/main" id="{EF1FBCA2-0910-8F3A-5CDE-BBC9663A2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num1">
          <a:extLst>
            <a:ext uri="{FF2B5EF4-FFF2-40B4-BE49-F238E27FC236}">
              <a16:creationId xmlns:a16="http://schemas.microsoft.com/office/drawing/2014/main" id="{7B2BB421-D274-A5D8-EA32-C5901C2BF2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num2">
          <a:extLst>
            <a:ext uri="{FF2B5EF4-FFF2-40B4-BE49-F238E27FC236}">
              <a16:creationId xmlns:a16="http://schemas.microsoft.com/office/drawing/2014/main" id="{0D85845A-9B0B-009B-01EF-1237222DD6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num2">
          <a:extLst>
            <a:ext uri="{FF2B5EF4-FFF2-40B4-BE49-F238E27FC236}">
              <a16:creationId xmlns:a16="http://schemas.microsoft.com/office/drawing/2014/main" id="{10A10D20-CD4E-99F1-67A0-E809ABC713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num3">
          <a:extLst>
            <a:ext uri="{FF2B5EF4-FFF2-40B4-BE49-F238E27FC236}">
              <a16:creationId xmlns:a16="http://schemas.microsoft.com/office/drawing/2014/main" id="{83567180-6232-7B81-8B1A-B2196A3DD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num3">
          <a:extLst>
            <a:ext uri="{FF2B5EF4-FFF2-40B4-BE49-F238E27FC236}">
              <a16:creationId xmlns:a16="http://schemas.microsoft.com/office/drawing/2014/main" id="{82F09AC4-9BF5-8A94-D634-C71D5E901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0733680557" createdVersion="8" refreshedVersion="8" minRefreshableVersion="3" recordCount="20" xr:uid="{9CA2673A-A870-437E-AB9F-91D8276FD930}">
  <cacheSource type="worksheet">
    <worksheetSource name="tbl_SourceData"/>
  </cacheSource>
  <cacheFields count="8">
    <cacheField name="Record List" numFmtId="0">
      <sharedItems/>
    </cacheField>
    <cacheField name="subidr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attnr" numFmtId="0">
      <sharedItems count="2">
        <s v="divided"/>
        <s v="focused"/>
      </sharedItems>
    </cacheField>
    <cacheField name="num1" numFmtId="0">
      <sharedItems containsSemiMixedTypes="0" containsString="0" containsNumber="1" containsInteger="1" minValue="2" maxValue="8" count="7">
        <n v="2"/>
        <n v="3"/>
        <n v="5"/>
        <n v="4"/>
        <n v="6"/>
        <n v="8"/>
        <n v="7"/>
      </sharedItems>
    </cacheField>
    <cacheField name="num2" numFmtId="0">
      <sharedItems containsSemiMixedTypes="0" containsString="0" containsNumber="1" minValue="3" maxValue="9" count="8">
        <n v="4"/>
        <n v="5"/>
        <n v="7"/>
        <n v="4.5"/>
        <n v="3"/>
        <n v="9"/>
        <n v="8"/>
        <n v="6"/>
      </sharedItems>
    </cacheField>
    <cacheField name="num3" numFmtId="0">
      <sharedItems containsSemiMixedTypes="0" containsString="0" containsNumber="1" containsInteger="1" minValue="5" maxValue="9" count="5">
        <n v="7"/>
        <n v="5"/>
        <n v="6"/>
        <n v="8"/>
        <n v="9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1900103461897201E+18" maxValue="1.743833250335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b v="0"/>
    <x v="0"/>
    <x v="0"/>
    <x v="0"/>
    <x v="0"/>
    <x v="0"/>
    <n v="0"/>
    <n v="7.0668365032051702E+18"/>
  </r>
  <r>
    <b v="0"/>
    <x v="1"/>
    <x v="0"/>
    <x v="1"/>
    <x v="0"/>
    <x v="1"/>
    <n v="0"/>
    <n v="8.3431550819880899E+18"/>
  </r>
  <r>
    <b v="0"/>
    <x v="2"/>
    <x v="0"/>
    <x v="1"/>
    <x v="1"/>
    <x v="2"/>
    <n v="0"/>
    <n v="6.0361005493667604E+18"/>
  </r>
  <r>
    <b v="0"/>
    <x v="3"/>
    <x v="0"/>
    <x v="2"/>
    <x v="2"/>
    <x v="1"/>
    <n v="0"/>
    <n v="4.1947328075928499E+18"/>
  </r>
  <r>
    <b v="0"/>
    <x v="4"/>
    <x v="0"/>
    <x v="3"/>
    <x v="1"/>
    <x v="3"/>
    <n v="0"/>
    <n v="1.0648309017703201E+19"/>
  </r>
  <r>
    <b v="0"/>
    <x v="5"/>
    <x v="0"/>
    <x v="2"/>
    <x v="1"/>
    <x v="2"/>
    <n v="0"/>
    <n v="1.6516452605012001E+19"/>
  </r>
  <r>
    <b v="0"/>
    <x v="6"/>
    <x v="0"/>
    <x v="2"/>
    <x v="3"/>
    <x v="2"/>
    <n v="0"/>
    <n v="1.43426953629976E+19"/>
  </r>
  <r>
    <b v="0"/>
    <x v="7"/>
    <x v="0"/>
    <x v="2"/>
    <x v="2"/>
    <x v="3"/>
    <n v="0"/>
    <n v="1.743833250335E+19"/>
  </r>
  <r>
    <b v="0"/>
    <x v="8"/>
    <x v="0"/>
    <x v="0"/>
    <x v="4"/>
    <x v="0"/>
    <n v="0"/>
    <n v="1.4787002978901899E+19"/>
  </r>
  <r>
    <b v="0"/>
    <x v="9"/>
    <x v="0"/>
    <x v="4"/>
    <x v="1"/>
    <x v="2"/>
    <n v="0"/>
    <n v="7.78412441291891E+18"/>
  </r>
  <r>
    <b v="0"/>
    <x v="10"/>
    <x v="1"/>
    <x v="4"/>
    <x v="1"/>
    <x v="2"/>
    <n v="0"/>
    <n v="1.3220256718666799E+19"/>
  </r>
  <r>
    <b v="0"/>
    <x v="11"/>
    <x v="1"/>
    <x v="5"/>
    <x v="5"/>
    <x v="3"/>
    <n v="0"/>
    <n v="4.2762539740805402E+18"/>
  </r>
  <r>
    <b v="0"/>
    <x v="12"/>
    <x v="1"/>
    <x v="4"/>
    <x v="1"/>
    <x v="4"/>
    <n v="0"/>
    <n v="1.0287338584255001E+19"/>
  </r>
  <r>
    <b v="0"/>
    <x v="13"/>
    <x v="1"/>
    <x v="5"/>
    <x v="6"/>
    <x v="0"/>
    <n v="0"/>
    <n v="7.6330205579475896E+18"/>
  </r>
  <r>
    <b v="0"/>
    <x v="14"/>
    <x v="1"/>
    <x v="5"/>
    <x v="6"/>
    <x v="0"/>
    <n v="0"/>
    <n v="1.1714937427069499E+19"/>
  </r>
  <r>
    <b v="0"/>
    <x v="15"/>
    <x v="1"/>
    <x v="4"/>
    <x v="6"/>
    <x v="0"/>
    <n v="0"/>
    <n v="1.64816868696414E+19"/>
  </r>
  <r>
    <b v="0"/>
    <x v="16"/>
    <x v="1"/>
    <x v="6"/>
    <x v="2"/>
    <x v="2"/>
    <n v="0"/>
    <n v="1.0395884494819201E+19"/>
  </r>
  <r>
    <b v="0"/>
    <x v="17"/>
    <x v="1"/>
    <x v="6"/>
    <x v="6"/>
    <x v="2"/>
    <n v="0"/>
    <n v="2.4067655848861901E+18"/>
  </r>
  <r>
    <b v="0"/>
    <x v="18"/>
    <x v="1"/>
    <x v="2"/>
    <x v="7"/>
    <x v="2"/>
    <n v="0"/>
    <n v="2.8823514237370598E+18"/>
  </r>
  <r>
    <b v="0"/>
    <x v="19"/>
    <x v="1"/>
    <x v="4"/>
    <x v="7"/>
    <x v="1"/>
    <n v="0"/>
    <n v="1.1900103461897201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I29" firstHeaderRow="0" firstDataRow="1" firstDataCol="5"/>
  <pivotFields count="8">
    <pivotField compact="0" outline="0" showAll="0"/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7">
        <item sd="0" x="0"/>
        <item sd="0" x="1"/>
        <item sd="0" x="3"/>
        <item sd="0" x="2"/>
        <item sd="0" x="4"/>
        <item sd="0" x="6"/>
        <item sd="0" x="5"/>
      </items>
    </pivotField>
    <pivotField axis="axisRow" compact="0" outline="0" showAll="0" defaultSubtotal="0">
      <items count="8">
        <item sd="0" x="4"/>
        <item sd="0" x="0"/>
        <item sd="0" x="3"/>
        <item sd="0" x="1"/>
        <item sd="0" x="7"/>
        <item sd="0" x="2"/>
        <item sd="0" x="6"/>
        <item sd="0" x="5"/>
      </items>
    </pivotField>
    <pivotField axis="axisRow" compact="0" outline="0" showAll="0" defaultSubtotal="0">
      <items count="5">
        <item x="1"/>
        <item x="2"/>
        <item x="0"/>
        <item x="3"/>
        <item x="4"/>
      </items>
    </pivotField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6" subtotal="average" baseField="0" baseItem="1" numFmtId="164"/>
    <dataField name="% of Total Blanks" fld="6" showDataAs="percentOfTotal" baseField="0" baseItem="1" numFmtId="164"/>
  </dataFields>
  <formats count="54">
    <format dxfId="105">
      <pivotArea type="all" dataOnly="0" outline="0" fieldPosition="0"/>
    </format>
    <format dxfId="104">
      <pivotArea type="all" dataOnly="0" outline="0" fieldPosition="0"/>
    </format>
    <format dxfId="103">
      <pivotArea dataOnly="0" outline="0" fieldPosition="0">
        <references count="1">
          <reference field="4294967294" count="1">
            <x v="0"/>
          </reference>
        </references>
      </pivotArea>
    </format>
    <format dxfId="102">
      <pivotArea outline="0" fieldPosition="0">
        <references count="1">
          <reference field="4294967294" count="1">
            <x v="0"/>
          </reference>
        </references>
      </pivotArea>
    </format>
    <format dxfId="101">
      <pivotArea outline="0" fieldPosition="0">
        <references count="1">
          <reference field="4294967294" count="1">
            <x v="1"/>
          </reference>
        </references>
      </pivotArea>
    </format>
    <format dxfId="100">
      <pivotArea type="all" dataOnly="0" outline="0" fieldPosition="0"/>
    </format>
    <format dxfId="9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8">
      <pivotArea outline="0" fieldPosition="0">
        <references count="1">
          <reference field="4294967294" count="1" selected="0">
            <x v="1"/>
          </reference>
        </references>
      </pivotArea>
    </format>
    <format dxfId="46">
      <pivotArea field="1" type="button" dataOnly="0" labelOnly="1" outline="0" axis="axisRow" fieldPosition="0"/>
    </format>
    <format dxfId="45">
      <pivotArea field="2" type="button" dataOnly="0" labelOnly="1" outline="0" axis="axisRow" fieldPosition="1"/>
    </format>
    <format dxfId="44">
      <pivotArea field="3" type="button" dataOnly="0" labelOnly="1" outline="0" axis="axisRow" fieldPosition="2"/>
    </format>
    <format dxfId="43">
      <pivotArea field="4" type="button" dataOnly="0" labelOnly="1" outline="0" axis="axisRow" fieldPosition="3"/>
    </format>
    <format dxfId="42">
      <pivotArea field="5" type="button" dataOnly="0" labelOnly="1" outline="0" axis="axisRow" fieldPosition="4"/>
    </format>
    <format dxfId="4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2" type="button" dataOnly="0" labelOnly="1" outline="0" axis="axisRow" fieldPosition="1"/>
    </format>
    <format dxfId="37">
      <pivotArea field="3" type="button" dataOnly="0" labelOnly="1" outline="0" axis="axisRow" fieldPosition="2"/>
    </format>
    <format dxfId="36">
      <pivotArea field="4" type="button" dataOnly="0" labelOnly="1" outline="0" axis="axisRow" fieldPosition="3"/>
    </format>
    <format dxfId="35">
      <pivotArea field="5" type="button" dataOnly="0" labelOnly="1" outline="0" axis="axisRow" fieldPosition="4"/>
    </format>
    <format dxfId="34">
      <pivotArea dataOnly="0" labelOnly="1" outline="0" fieldPosition="0">
        <references count="1">
          <reference field="1" count="0"/>
        </references>
      </pivotArea>
    </format>
    <format dxfId="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2">
      <pivotArea type="all" dataOnly="0" outline="0" fieldPosition="0"/>
    </format>
    <format dxfId="31">
      <pivotArea outline="0" collapsedLevelsAreSubtotals="1" fieldPosition="0"/>
    </format>
    <format dxfId="30">
      <pivotArea field="1" type="button" dataOnly="0" labelOnly="1" outline="0" axis="axisRow" fieldPosition="0"/>
    </format>
    <format dxfId="29">
      <pivotArea field="2" type="button" dataOnly="0" labelOnly="1" outline="0" axis="axisRow" fieldPosition="1"/>
    </format>
    <format dxfId="28">
      <pivotArea field="3" type="button" dataOnly="0" labelOnly="1" outline="0" axis="axisRow" fieldPosition="2"/>
    </format>
    <format dxfId="27">
      <pivotArea field="4" type="button" dataOnly="0" labelOnly="1" outline="0" axis="axisRow" fieldPosition="3"/>
    </format>
    <format dxfId="26">
      <pivotArea field="5" type="button" dataOnly="0" labelOnly="1" outline="0" axis="axisRow" fieldPosition="4"/>
    </format>
    <format dxfId="25">
      <pivotArea dataOnly="0" labelOnly="1" outline="0" fieldPosition="0">
        <references count="1">
          <reference field="1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2">
      <pivotArea field="1" type="button" dataOnly="0" labelOnly="1" outline="0" axis="axisRow" fieldPosition="0"/>
    </format>
    <format dxfId="21">
      <pivotArea dataOnly="0" labelOnly="1" outline="0" fieldPosition="0">
        <references count="1">
          <reference field="1" count="1">
            <x v="0"/>
          </reference>
        </references>
      </pivotArea>
    </format>
    <format dxfId="20">
      <pivotArea dataOnly="0" labelOnly="1" outline="0" fieldPosition="0">
        <references count="1">
          <reference field="1" count="1">
            <x v="1"/>
          </reference>
        </references>
      </pivotArea>
    </format>
    <format dxfId="19">
      <pivotArea dataOnly="0" labelOnly="1" outline="0" fieldPosition="0">
        <references count="1">
          <reference field="1" count="1">
            <x v="2"/>
          </reference>
        </references>
      </pivotArea>
    </format>
    <format dxfId="18">
      <pivotArea dataOnly="0" labelOnly="1" outline="0" fieldPosition="0">
        <references count="1">
          <reference field="1" count="1">
            <x v="3"/>
          </reference>
        </references>
      </pivotArea>
    </format>
    <format dxfId="17">
      <pivotArea dataOnly="0" labelOnly="1" outline="0" fieldPosition="0">
        <references count="1">
          <reference field="1" count="1">
            <x v="4"/>
          </reference>
        </references>
      </pivotArea>
    </format>
    <format dxfId="16">
      <pivotArea dataOnly="0" labelOnly="1" outline="0" fieldPosition="0">
        <references count="1">
          <reference field="1" count="1">
            <x v="5"/>
          </reference>
        </references>
      </pivotArea>
    </format>
    <format dxfId="15">
      <pivotArea dataOnly="0" labelOnly="1" outline="0" fieldPosition="0">
        <references count="1">
          <reference field="1" count="1">
            <x v="6"/>
          </reference>
        </references>
      </pivotArea>
    </format>
    <format dxfId="14">
      <pivotArea dataOnly="0" labelOnly="1" outline="0" fieldPosition="0">
        <references count="1">
          <reference field="1" count="1">
            <x v="7"/>
          </reference>
        </references>
      </pivotArea>
    </format>
    <format dxfId="13">
      <pivotArea dataOnly="0" labelOnly="1" outline="0" fieldPosition="0">
        <references count="1">
          <reference field="1" count="1">
            <x v="8"/>
          </reference>
        </references>
      </pivotArea>
    </format>
    <format dxfId="12">
      <pivotArea dataOnly="0" labelOnly="1" outline="0" fieldPosition="0">
        <references count="1">
          <reference field="1" count="1">
            <x v="9"/>
          </reference>
        </references>
      </pivotArea>
    </format>
    <format dxfId="11">
      <pivotArea dataOnly="0" labelOnly="1" outline="0" fieldPosition="0">
        <references count="1">
          <reference field="1" count="1">
            <x v="10"/>
          </reference>
        </references>
      </pivotArea>
    </format>
    <format dxfId="10">
      <pivotArea dataOnly="0" labelOnly="1" outline="0" fieldPosition="0">
        <references count="1">
          <reference field="1" count="1">
            <x v="11"/>
          </reference>
        </references>
      </pivotArea>
    </format>
    <format dxfId="9">
      <pivotArea dataOnly="0" labelOnly="1" outline="0" fieldPosition="0">
        <references count="1">
          <reference field="1" count="1">
            <x v="12"/>
          </reference>
        </references>
      </pivotArea>
    </format>
    <format dxfId="8">
      <pivotArea dataOnly="0" labelOnly="1" outline="0" fieldPosition="0">
        <references count="1">
          <reference field="1" count="1">
            <x v="13"/>
          </reference>
        </references>
      </pivotArea>
    </format>
    <format dxfId="7">
      <pivotArea dataOnly="0" labelOnly="1" outline="0" fieldPosition="0">
        <references count="1">
          <reference field="1" count="1">
            <x v="14"/>
          </reference>
        </references>
      </pivotArea>
    </format>
    <format dxfId="6">
      <pivotArea dataOnly="0" labelOnly="1" outline="0" fieldPosition="0">
        <references count="1">
          <reference field="1" count="1">
            <x v="15"/>
          </reference>
        </references>
      </pivotArea>
    </format>
    <format dxfId="5">
      <pivotArea dataOnly="0" labelOnly="1" outline="0" fieldPosition="0">
        <references count="1">
          <reference field="1" count="1">
            <x v="16"/>
          </reference>
        </references>
      </pivotArea>
    </format>
    <format dxfId="4">
      <pivotArea dataOnly="0" labelOnly="1" outline="0" fieldPosition="0">
        <references count="1">
          <reference field="1" count="1">
            <x v="17"/>
          </reference>
        </references>
      </pivotArea>
    </format>
    <format dxfId="3">
      <pivotArea dataOnly="0" labelOnly="1" outline="0" fieldPosition="0">
        <references count="1">
          <reference field="1" count="1">
            <x v="18"/>
          </reference>
        </references>
      </pivotArea>
    </format>
    <format dxfId="2">
      <pivotArea dataOnly="0" labelOnly="1" outline="0" fieldPosition="0">
        <references count="1">
          <reference field="1" count="1">
            <x v="19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8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G29" firstHeaderRow="1" firstDataRow="1" firstDataCol="5"/>
  <pivotFields count="8">
    <pivotField compact="0" outline="0" showAll="0"/>
    <pivotField axis="axisRow" compact="0" outline="0" showAll="0" defaultSubtotal="0">
      <items count="2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7">
        <item sd="0" x="0"/>
        <item sd="0" x="1"/>
        <item sd="0" x="3"/>
        <item sd="0" x="2"/>
        <item sd="0" x="4"/>
        <item sd="0" x="6"/>
        <item sd="0" x="5"/>
      </items>
    </pivotField>
    <pivotField axis="axisRow" compact="0" outline="0" showAll="0" defaultSubtotal="0">
      <items count="8">
        <item sd="0" x="4"/>
        <item sd="0" x="0"/>
        <item sd="0" x="3"/>
        <item sd="0" x="1"/>
        <item sd="0" x="7"/>
        <item sd="0" x="2"/>
        <item sd="0" x="6"/>
        <item sd="0" x="5"/>
      </items>
    </pivotField>
    <pivotField axis="axisRow" compact="0" outline="0" showAll="0" defaultSubtotal="0">
      <items count="5">
        <item x="1"/>
        <item x="2"/>
        <item x="0"/>
        <item x="3"/>
        <item x="4"/>
      </items>
    </pivotField>
    <pivotField compact="0" outline="0" showAll="0"/>
    <pivotField compact="0" outline="0" showAll="0"/>
  </pivotFields>
  <rowFields count="5">
    <field x="1"/>
    <field x="2"/>
    <field x="3"/>
    <field x="4"/>
    <field x="5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formats count="36">
    <format dxfId="97">
      <pivotArea type="all" dataOnly="0" outline="0" fieldPosition="0"/>
    </format>
    <format dxfId="96">
      <pivotArea outline="0" collapsedLevelsAreSubtotals="1" fieldPosition="0"/>
    </format>
    <format dxfId="95">
      <pivotArea dataOnly="0" labelOnly="1" grandRow="1" outline="0" fieldPosition="0"/>
    </format>
    <format dxfId="79">
      <pivotArea field="1" type="button" dataOnly="0" labelOnly="1" outline="0" axis="axisRow" fieldPosition="0"/>
    </format>
    <format dxfId="78">
      <pivotArea field="2" type="button" dataOnly="0" labelOnly="1" outline="0" axis="axisRow" fieldPosition="1"/>
    </format>
    <format dxfId="77">
      <pivotArea field="3" type="button" dataOnly="0" labelOnly="1" outline="0" axis="axisRow" fieldPosition="2"/>
    </format>
    <format dxfId="76">
      <pivotArea field="4" type="button" dataOnly="0" labelOnly="1" outline="0" axis="axisRow" fieldPosition="3"/>
    </format>
    <format dxfId="75">
      <pivotArea field="5" type="button" dataOnly="0" labelOnly="1" outline="0" axis="axisRow" fieldPosition="4"/>
    </format>
    <format dxfId="74">
      <pivotArea type="all" dataOnly="0" outline="0" fieldPosition="0"/>
    </format>
    <format dxfId="73">
      <pivotArea field="2" type="button" dataOnly="0" labelOnly="1" outline="0" axis="axisRow" fieldPosition="1"/>
    </format>
    <format dxfId="72">
      <pivotArea field="3" type="button" dataOnly="0" labelOnly="1" outline="0" axis="axisRow" fieldPosition="2"/>
    </format>
    <format dxfId="71">
      <pivotArea field="4" type="button" dataOnly="0" labelOnly="1" outline="0" axis="axisRow" fieldPosition="3"/>
    </format>
    <format dxfId="70">
      <pivotArea field="5" type="button" dataOnly="0" labelOnly="1" outline="0" axis="axisRow" fieldPosition="4"/>
    </format>
    <format dxfId="69">
      <pivotArea dataOnly="0" labelOnly="1" outline="0" fieldPosition="0">
        <references count="1">
          <reference field="1" count="0"/>
        </references>
      </pivotArea>
    </format>
    <format dxfId="68">
      <pivotArea field="1" type="button" dataOnly="0" labelOnly="1" outline="0" axis="axisRow" fieldPosition="0"/>
    </format>
    <format dxfId="67">
      <pivotArea dataOnly="0" labelOnly="1" outline="0" fieldPosition="0">
        <references count="1">
          <reference field="1" count="1">
            <x v="0"/>
          </reference>
        </references>
      </pivotArea>
    </format>
    <format dxfId="66">
      <pivotArea dataOnly="0" labelOnly="1" outline="0" fieldPosition="0">
        <references count="1">
          <reference field="1" count="1">
            <x v="1"/>
          </reference>
        </references>
      </pivotArea>
    </format>
    <format dxfId="65">
      <pivotArea dataOnly="0" labelOnly="1" outline="0" fieldPosition="0">
        <references count="1">
          <reference field="1" count="1">
            <x v="2"/>
          </reference>
        </references>
      </pivotArea>
    </format>
    <format dxfId="64">
      <pivotArea dataOnly="0" labelOnly="1" outline="0" fieldPosition="0">
        <references count="1">
          <reference field="1" count="1">
            <x v="3"/>
          </reference>
        </references>
      </pivotArea>
    </format>
    <format dxfId="63">
      <pivotArea dataOnly="0" labelOnly="1" outline="0" fieldPosition="0">
        <references count="1">
          <reference field="1" count="1">
            <x v="4"/>
          </reference>
        </references>
      </pivotArea>
    </format>
    <format dxfId="62">
      <pivotArea dataOnly="0" labelOnly="1" outline="0" fieldPosition="0">
        <references count="1">
          <reference field="1" count="1">
            <x v="5"/>
          </reference>
        </references>
      </pivotArea>
    </format>
    <format dxfId="61">
      <pivotArea dataOnly="0" labelOnly="1" outline="0" fieldPosition="0">
        <references count="1">
          <reference field="1" count="1">
            <x v="6"/>
          </reference>
        </references>
      </pivotArea>
    </format>
    <format dxfId="60">
      <pivotArea dataOnly="0" labelOnly="1" outline="0" fieldPosition="0">
        <references count="1">
          <reference field="1" count="1">
            <x v="7"/>
          </reference>
        </references>
      </pivotArea>
    </format>
    <format dxfId="59">
      <pivotArea dataOnly="0" labelOnly="1" outline="0" fieldPosition="0">
        <references count="1">
          <reference field="1" count="1">
            <x v="8"/>
          </reference>
        </references>
      </pivotArea>
    </format>
    <format dxfId="58">
      <pivotArea dataOnly="0" labelOnly="1" outline="0" fieldPosition="0">
        <references count="1">
          <reference field="1" count="1">
            <x v="9"/>
          </reference>
        </references>
      </pivotArea>
    </format>
    <format dxfId="57">
      <pivotArea dataOnly="0" labelOnly="1" outline="0" fieldPosition="0">
        <references count="1">
          <reference field="1" count="1">
            <x v="10"/>
          </reference>
        </references>
      </pivotArea>
    </format>
    <format dxfId="56">
      <pivotArea dataOnly="0" labelOnly="1" outline="0" fieldPosition="0">
        <references count="1">
          <reference field="1" count="1">
            <x v="11"/>
          </reference>
        </references>
      </pivotArea>
    </format>
    <format dxfId="55">
      <pivotArea dataOnly="0" labelOnly="1" outline="0" fieldPosition="0">
        <references count="1">
          <reference field="1" count="1">
            <x v="12"/>
          </reference>
        </references>
      </pivotArea>
    </format>
    <format dxfId="54">
      <pivotArea dataOnly="0" labelOnly="1" outline="0" fieldPosition="0">
        <references count="1">
          <reference field="1" count="1">
            <x v="13"/>
          </reference>
        </references>
      </pivotArea>
    </format>
    <format dxfId="53">
      <pivotArea dataOnly="0" labelOnly="1" outline="0" fieldPosition="0">
        <references count="1">
          <reference field="1" count="1">
            <x v="14"/>
          </reference>
        </references>
      </pivotArea>
    </format>
    <format dxfId="52">
      <pivotArea dataOnly="0" labelOnly="1" outline="0" fieldPosition="0">
        <references count="1">
          <reference field="1" count="1">
            <x v="15"/>
          </reference>
        </references>
      </pivotArea>
    </format>
    <format dxfId="51">
      <pivotArea dataOnly="0" labelOnly="1" outline="0" fieldPosition="0">
        <references count="1">
          <reference field="1" count="1">
            <x v="16"/>
          </reference>
        </references>
      </pivotArea>
    </format>
    <format dxfId="50">
      <pivotArea dataOnly="0" labelOnly="1" outline="0" fieldPosition="0">
        <references count="1">
          <reference field="1" count="1">
            <x v="17"/>
          </reference>
        </references>
      </pivotArea>
    </format>
    <format dxfId="49">
      <pivotArea dataOnly="0" labelOnly="1" outline="0" fieldPosition="0">
        <references count="1">
          <reference field="1" count="1">
            <x v="18"/>
          </reference>
        </references>
      </pivotArea>
    </format>
    <format dxfId="48">
      <pivotArea dataOnly="0" labelOnly="1" outline="0" fieldPosition="0">
        <references count="1">
          <reference field="1" count="1">
            <x v="19"/>
          </reference>
        </references>
      </pivotArea>
    </format>
    <format dxfId="47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94" dataDxfId="140" headerRowBorderDxfId="141" headerRowCellStyle="Normal 2">
  <autoFilter ref="B10:AA15" xr:uid="{7EC467B7-DE9E-48DF-95B5-2995F1F6DE8F}"/>
  <tableColumns count="26">
    <tableColumn id="1" xr3:uid="{CDAE6949-9186-42E8-AEBE-1928381A0155}" name="Field" dataDxfId="139" dataCellStyle="Normal 2"/>
    <tableColumn id="2" xr3:uid="{24D139B7-BFC8-4DD9-8DE4-2245810E04F3}" name="Definition" dataDxfId="90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89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38"/>
    <tableColumn id="8" xr3:uid="{30CDB1E0-924C-48B4-82F4-9B3E3228BE95}" name="Distinct %" dataDxfId="137"/>
    <tableColumn id="12" xr3:uid="{03824906-BEA5-4B63-A981-21F959B6439E}" name="Missing %" dataDxfId="136" dataCellStyle="Percent 2"/>
    <tableColumn id="6" xr3:uid="{8DFFE5A0-8676-4576-AB4D-97E8B31EC097}" name="Memory Usage %" dataDxfId="135" dataCellStyle="Percent 2"/>
    <tableColumn id="5" xr3:uid="{DD50C3DA-F4A8-40F0-AFBD-DBF916650F7E}" name="Memory Usage" dataDxfId="134"/>
    <tableColumn id="7" xr3:uid="{A0CD56D0-07EF-46CA-BC46-D54CD5E746C7}" name="Distinct" dataDxfId="133"/>
    <tableColumn id="9" xr3:uid="{1C848176-6AC1-44A6-9B3B-F1C9E8BC32EA}" name="Count" dataDxfId="132"/>
    <tableColumn id="10" xr3:uid="{6C6E6A37-4969-459F-AC39-2193366810E2}" name="Count %" dataDxfId="131"/>
    <tableColumn id="11" xr3:uid="{CD47252D-0307-4513-AF7C-13CC4AA1FCD9}" name="Missing" dataDxfId="130"/>
    <tableColumn id="13" xr3:uid="{2B45F7F8-CE35-48A6-BB27-9684B5D7936D}" name="Mean" dataDxfId="129"/>
    <tableColumn id="14" xr3:uid="{293386E4-1FA6-4340-9DC6-54CC26209C0A}" name="Median" dataDxfId="128"/>
    <tableColumn id="15" xr3:uid="{29252F5E-4163-4D62-89FC-FF85F6C4755C}" name="Mode" dataDxfId="127"/>
    <tableColumn id="16" xr3:uid="{69FFA3C1-FD1E-4395-AF2E-177FDFCDE62A}" name="Standard Deviation" dataDxfId="126"/>
    <tableColumn id="17" xr3:uid="{2AAB37E9-8AE2-4771-B92B-C04BFABA0B4E}" name="Variance" dataDxfId="125"/>
    <tableColumn id="18" xr3:uid="{07151E41-6633-4A65-A7E1-091F027DEF95}" name="Min" dataDxfId="124"/>
    <tableColumn id="19" xr3:uid="{41A1FD5D-4E5C-45B3-A0C7-1820F89F417F}" name="5%" dataDxfId="123"/>
    <tableColumn id="20" xr3:uid="{50D70984-5A2E-4A19-9F2B-5DA0502339BC}" name="25%" dataDxfId="122"/>
    <tableColumn id="21" xr3:uid="{75FF5489-8FC0-4894-83BC-802076BF1066}" name="50%" dataDxfId="121"/>
    <tableColumn id="22" xr3:uid="{B7FA20A8-EE17-470E-93AD-54011230C113}" name="75%" dataDxfId="120"/>
    <tableColumn id="23" xr3:uid="{378BE758-7A3F-4C04-A75B-FE899B1B0BAD}" name="95%" dataDxfId="119"/>
    <tableColumn id="24" xr3:uid="{818594E7-DC84-4229-81F6-97C1E2E93633}" name="Max" dataDxfId="118"/>
    <tableColumn id="25" xr3:uid="{D8116583-A886-47C1-85E2-D28AD96194AD}" name="Range" dataDxfId="117"/>
    <tableColumn id="26" xr3:uid="{D061AC6A-EAB2-461F-8AB8-E743DC68E666}" name="IQR" dataDxfId="116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98" totalsRowShown="0" headerRowDxfId="106" dataDxfId="83">
  <autoFilter ref="C78:J98" xr:uid="{DB263373-2B4F-4302-9CF6-5012CE3F1A47}"/>
  <tableColumns count="8">
    <tableColumn id="1" xr3:uid="{B87F6371-B38F-4AA9-8A9B-F1D62600E38F}" name="Record List" dataDxfId="82" dataCellStyle="Normal 2"/>
    <tableColumn id="2" xr3:uid="{55547D6A-0C4F-44F3-8DA7-D9918F9ECA79}" name="subidr" dataDxfId="88"/>
    <tableColumn id="8" xr3:uid="{5CEA6B82-08F7-4BBF-BE74-DD211F1E2384}" name="attnr" dataDxfId="87"/>
    <tableColumn id="3" xr3:uid="{6C0B3232-D5C0-4185-AF99-A47484E561D2}" name="num1" dataDxfId="86"/>
    <tableColumn id="4" xr3:uid="{AD26D530-08A2-491C-BF68-01A8409A6865}" name="num2" dataDxfId="85"/>
    <tableColumn id="5" xr3:uid="{CDC78356-2486-4CFD-AF9D-6DBF101418C2}" name="num3" dataDxfId="84"/>
    <tableColumn id="6" xr3:uid="{994062F4-9CED-4DBA-8798-198ADB52D5C9}" name="HasBlank" dataDxfId="81"/>
    <tableColumn id="7" xr3:uid="{52C9251C-55FD-46A1-A032-B6FC28F5A336}" name="Record Hash" dataDxfId="80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anagrams</v>
      </c>
      <c r="C2"/>
      <c r="AA2" s="90"/>
    </row>
    <row r="3" spans="2:27" ht="10.050000000000001" customHeight="1">
      <c r="B3"/>
      <c r="C3"/>
      <c r="AA3" s="91"/>
    </row>
    <row r="4" spans="2:27">
      <c r="B4" s="75" t="s">
        <v>25</v>
      </c>
      <c r="C4" s="40">
        <v>20</v>
      </c>
      <c r="AA4" s="92"/>
    </row>
    <row r="5" spans="2:27">
      <c r="B5" s="75" t="s">
        <v>26</v>
      </c>
      <c r="C5" s="41">
        <v>5</v>
      </c>
    </row>
    <row r="6" spans="2:27">
      <c r="B6" s="77" t="s">
        <v>4</v>
      </c>
      <c r="C6" s="41" t="s">
        <v>62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0</v>
      </c>
      <c r="D8" s="36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63</v>
      </c>
      <c r="F11" s="43">
        <v>1</v>
      </c>
      <c r="G11" s="44">
        <v>0</v>
      </c>
      <c r="H11" s="43">
        <v>0.14505893019038901</v>
      </c>
      <c r="I11" s="45">
        <v>160</v>
      </c>
      <c r="J11" s="45">
        <v>20</v>
      </c>
      <c r="K11" s="45">
        <v>20</v>
      </c>
      <c r="L11" s="46">
        <v>1</v>
      </c>
      <c r="M11" s="45">
        <v>0</v>
      </c>
      <c r="N11" s="107">
        <v>10.5</v>
      </c>
      <c r="O11" s="107">
        <v>10.5</v>
      </c>
      <c r="P11" s="107">
        <v>1</v>
      </c>
      <c r="Q11" s="107">
        <v>5.9160797830996099</v>
      </c>
      <c r="R11" s="107">
        <v>35</v>
      </c>
      <c r="S11" s="107">
        <v>1</v>
      </c>
      <c r="T11" s="107">
        <v>1.95</v>
      </c>
      <c r="U11" s="107">
        <v>5.75</v>
      </c>
      <c r="V11" s="107">
        <v>10.5</v>
      </c>
      <c r="W11" s="107">
        <v>15.25</v>
      </c>
      <c r="X11" s="107">
        <v>19.05</v>
      </c>
      <c r="Y11" s="107">
        <v>20</v>
      </c>
      <c r="Z11" s="107">
        <v>19</v>
      </c>
      <c r="AA11" s="107">
        <v>9.5</v>
      </c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2" t="s">
        <v>64</v>
      </c>
      <c r="F12" s="46">
        <v>0.1</v>
      </c>
      <c r="G12" s="126">
        <v>0</v>
      </c>
      <c r="H12" s="127">
        <v>0.27470534904805</v>
      </c>
      <c r="I12" s="45">
        <v>303</v>
      </c>
      <c r="J12" s="45">
        <v>2</v>
      </c>
      <c r="K12" s="45">
        <v>20</v>
      </c>
      <c r="L12" s="46">
        <v>1</v>
      </c>
      <c r="M12" s="45">
        <v>0</v>
      </c>
      <c r="N12" s="107"/>
      <c r="O12" s="107"/>
      <c r="P12" s="107" t="s">
        <v>65</v>
      </c>
      <c r="Q12" s="107"/>
      <c r="R12" s="107"/>
      <c r="S12" s="107"/>
      <c r="T12" s="107"/>
      <c r="U12" s="107"/>
      <c r="V12" s="107"/>
      <c r="W12" s="107"/>
      <c r="X12" s="107"/>
      <c r="Y12" s="107"/>
      <c r="Z12" s="107"/>
      <c r="AA12" s="107"/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2" t="s">
        <v>63</v>
      </c>
      <c r="F13" s="46">
        <v>0.35</v>
      </c>
      <c r="G13" s="126">
        <v>0</v>
      </c>
      <c r="H13" s="127">
        <v>0.14505893019038901</v>
      </c>
      <c r="I13" s="45">
        <v>160</v>
      </c>
      <c r="J13" s="45">
        <v>7</v>
      </c>
      <c r="K13" s="45">
        <v>20</v>
      </c>
      <c r="L13" s="46">
        <v>1</v>
      </c>
      <c r="M13" s="45">
        <v>0</v>
      </c>
      <c r="N13" s="107">
        <v>5.35</v>
      </c>
      <c r="O13" s="107">
        <v>5.5</v>
      </c>
      <c r="P13" s="107">
        <v>5</v>
      </c>
      <c r="Q13" s="107">
        <v>1.84319516629483</v>
      </c>
      <c r="R13" s="107">
        <v>3.3973684210526298</v>
      </c>
      <c r="S13" s="107">
        <v>2</v>
      </c>
      <c r="T13" s="107">
        <v>2</v>
      </c>
      <c r="U13" s="107">
        <v>4.75</v>
      </c>
      <c r="V13" s="107">
        <v>5.5</v>
      </c>
      <c r="W13" s="107">
        <v>6.25</v>
      </c>
      <c r="X13" s="107">
        <v>8</v>
      </c>
      <c r="Y13" s="107">
        <v>8</v>
      </c>
      <c r="Z13" s="107">
        <v>6</v>
      </c>
      <c r="AA13" s="107">
        <v>1.5</v>
      </c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2" t="s">
        <v>66</v>
      </c>
      <c r="F14" s="46">
        <v>0.4</v>
      </c>
      <c r="G14" s="126">
        <v>0</v>
      </c>
      <c r="H14" s="127">
        <v>0.14505893019038901</v>
      </c>
      <c r="I14" s="45">
        <v>160</v>
      </c>
      <c r="J14" s="45">
        <v>8</v>
      </c>
      <c r="K14" s="45">
        <v>20</v>
      </c>
      <c r="L14" s="46">
        <v>1</v>
      </c>
      <c r="M14" s="45">
        <v>0</v>
      </c>
      <c r="N14" s="107">
        <v>5.9749999999999996</v>
      </c>
      <c r="O14" s="107">
        <v>5.5</v>
      </c>
      <c r="P14" s="107">
        <v>5</v>
      </c>
      <c r="Q14" s="107">
        <v>1.6739097001363299</v>
      </c>
      <c r="R14" s="107">
        <v>2.8019736842105201</v>
      </c>
      <c r="S14" s="107">
        <v>3</v>
      </c>
      <c r="T14" s="107">
        <v>3.95</v>
      </c>
      <c r="U14" s="107">
        <v>5</v>
      </c>
      <c r="V14" s="107">
        <v>5.5</v>
      </c>
      <c r="W14" s="107">
        <v>7.25</v>
      </c>
      <c r="X14" s="107">
        <v>8.0500000000000007</v>
      </c>
      <c r="Y14" s="107">
        <v>9</v>
      </c>
      <c r="Z14" s="107">
        <v>6</v>
      </c>
      <c r="AA14" s="107">
        <v>2.25</v>
      </c>
    </row>
    <row r="15" spans="2:27">
      <c r="B15" s="128" t="s">
        <v>60</v>
      </c>
      <c r="C15" s="129" t="str">
        <f>IF(INDEX(Definitions,1,MATCH(tbl_Overview[[#This Row],[Field]],Headers,0))="Definition","",INDEX(Definitions,1,MATCH(tbl_Overview[[#This Row],[Field]],Headers,0)))</f>
        <v/>
      </c>
      <c r="D15" s="130" t="str">
        <f>IF(INDEX(Notes,1,MATCH(tbl_Overview[[#This Row],[Field]],Headers,0))="Notes","",INDEX(Notes,1,MATCH(tbl_Overview[[#This Row],[Field]],Headers,0)))</f>
        <v/>
      </c>
      <c r="E15" s="131" t="s">
        <v>63</v>
      </c>
      <c r="F15" s="132">
        <v>0.25</v>
      </c>
      <c r="G15" s="133">
        <v>0</v>
      </c>
      <c r="H15" s="134">
        <v>0.14505893019038901</v>
      </c>
      <c r="I15" s="135">
        <v>160</v>
      </c>
      <c r="J15" s="135">
        <v>5</v>
      </c>
      <c r="K15" s="135">
        <v>20</v>
      </c>
      <c r="L15" s="132">
        <v>1</v>
      </c>
      <c r="M15" s="135">
        <v>0</v>
      </c>
      <c r="N15" s="136">
        <v>6.55</v>
      </c>
      <c r="O15" s="136">
        <v>6</v>
      </c>
      <c r="P15" s="136">
        <v>6</v>
      </c>
      <c r="Q15" s="136">
        <v>1.0990426455975599</v>
      </c>
      <c r="R15" s="136">
        <v>1.2078947368421</v>
      </c>
      <c r="S15" s="136">
        <v>5</v>
      </c>
      <c r="T15" s="136">
        <v>5</v>
      </c>
      <c r="U15" s="136">
        <v>6</v>
      </c>
      <c r="V15" s="136">
        <v>6</v>
      </c>
      <c r="W15" s="136">
        <v>7</v>
      </c>
      <c r="X15" s="136">
        <v>8.0500000000000007</v>
      </c>
      <c r="Y15" s="136">
        <v>9</v>
      </c>
      <c r="Z15" s="136">
        <v>4</v>
      </c>
      <c r="AA15" s="136">
        <v>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98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5" customWidth="1"/>
    <col min="3" max="3" width="25.77734375" style="6" customWidth="1"/>
    <col min="4" max="8" width="27.77734375" style="1" customWidth="1"/>
    <col min="9" max="10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3"/>
      <c r="C2" s="52"/>
      <c r="D2"/>
      <c r="E2"/>
    </row>
    <row r="3" spans="1:14" ht="36.6" customHeight="1">
      <c r="A3" s="54"/>
      <c r="B3" s="106" t="s">
        <v>0</v>
      </c>
      <c r="C3" s="66" t="s">
        <v>55</v>
      </c>
      <c r="D3"/>
      <c r="E3"/>
      <c r="F3" s="85"/>
      <c r="G3" s="85"/>
      <c r="H3" s="85"/>
    </row>
    <row r="4" spans="1:14" ht="4.95" customHeight="1">
      <c r="A4" s="52"/>
      <c r="B4" s="93"/>
      <c r="C4" s="52"/>
      <c r="D4"/>
      <c r="E4"/>
      <c r="F4" s="84"/>
      <c r="G4" s="84"/>
      <c r="H4" s="84"/>
    </row>
    <row r="5" spans="1:14" ht="19.95" customHeight="1">
      <c r="A5" s="54"/>
      <c r="B5" s="65" t="s">
        <v>0</v>
      </c>
      <c r="C5" s="67" t="s">
        <v>29</v>
      </c>
      <c r="D5"/>
      <c r="E5"/>
      <c r="F5" s="86"/>
      <c r="G5" s="86"/>
      <c r="H5" s="86"/>
    </row>
    <row r="6" spans="1:14" ht="4.95" customHeight="1">
      <c r="A6" s="25"/>
      <c r="B6" s="60"/>
      <c r="C6" s="61"/>
      <c r="D6" s="54"/>
      <c r="E6" s="54"/>
      <c r="F6" s="54"/>
      <c r="G6" s="54"/>
      <c r="H6" s="54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  <c r="G7" s="59" t="s">
        <v>28</v>
      </c>
      <c r="H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  <c r="G8" s="52"/>
      <c r="H8" s="52"/>
    </row>
    <row r="9" spans="1:14" ht="37.799999999999997" hidden="1" customHeight="1" outlineLevel="1">
      <c r="A9" s="25"/>
      <c r="B9" s="94"/>
      <c r="C9" s="62" t="s">
        <v>1</v>
      </c>
      <c r="D9" s="59" t="s">
        <v>1</v>
      </c>
      <c r="E9" s="59" t="s">
        <v>1</v>
      </c>
      <c r="F9" s="59" t="s">
        <v>1</v>
      </c>
      <c r="G9" s="59" t="s">
        <v>1</v>
      </c>
      <c r="H9" s="59" t="s">
        <v>1</v>
      </c>
    </row>
    <row r="10" spans="1:14" ht="4.95" hidden="1" customHeight="1" outlineLevel="1">
      <c r="B10" s="23"/>
      <c r="C10" s="3"/>
      <c r="D10" s="47"/>
      <c r="E10" s="47"/>
      <c r="F10" s="47"/>
      <c r="G10" s="47"/>
      <c r="H10" s="47"/>
    </row>
    <row r="11" spans="1:14" s="81" customFormat="1" ht="30" customHeight="1" collapsed="1">
      <c r="A11" s="5"/>
      <c r="B11" s="117"/>
      <c r="C11" s="118" t="s">
        <v>2</v>
      </c>
      <c r="D11" s="119" t="s">
        <v>56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81" t="s">
        <v>54</v>
      </c>
      <c r="J11" s="81" t="s">
        <v>61</v>
      </c>
    </row>
    <row r="12" spans="1:14" ht="4.95" customHeight="1">
      <c r="A12"/>
      <c r="C12"/>
      <c r="D12"/>
      <c r="E12"/>
      <c r="F12"/>
      <c r="G12"/>
      <c r="H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  <c r="G13" s="53"/>
      <c r="H13" s="53"/>
    </row>
    <row r="14" spans="1:14" ht="4.95" customHeight="1" outlineLevel="1">
      <c r="A14" s="54"/>
      <c r="B14" s="56"/>
      <c r="C14" s="57"/>
      <c r="D14" s="54"/>
      <c r="E14" s="53"/>
      <c r="F14" s="53"/>
      <c r="G14" s="53"/>
      <c r="H14" s="53"/>
    </row>
    <row r="15" spans="1:14" ht="84.6" hidden="1" customHeight="1" outlineLevel="2">
      <c r="A15" s="54"/>
      <c r="B15" s="56"/>
      <c r="C15" s="64"/>
      <c r="D15" s="111" t="s">
        <v>24</v>
      </c>
      <c r="E15" s="112"/>
      <c r="F15" s="53"/>
      <c r="G15" s="53"/>
      <c r="H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  <c r="G16" s="54"/>
      <c r="H16" s="54"/>
    </row>
    <row r="17" spans="1:9" hidden="1" outlineLevel="2">
      <c r="A17" s="54"/>
      <c r="B17" s="56"/>
      <c r="C17" s="78" t="s">
        <v>25</v>
      </c>
      <c r="D17" s="80">
        <v>20</v>
      </c>
      <c r="E17" s="38"/>
      <c r="F17" s="38"/>
      <c r="G17" s="38"/>
      <c r="H17" s="38"/>
    </row>
    <row r="18" spans="1:9" hidden="1" outlineLevel="2">
      <c r="A18" s="54"/>
      <c r="B18" s="56"/>
      <c r="C18" s="78" t="s">
        <v>45</v>
      </c>
      <c r="D18" s="80">
        <v>5</v>
      </c>
      <c r="E18" s="38"/>
      <c r="F18" s="38"/>
      <c r="G18" s="38"/>
      <c r="H18" s="38"/>
    </row>
    <row r="19" spans="1:9" ht="4.95" hidden="1" customHeight="1" outlineLevel="2">
      <c r="A19" s="54"/>
      <c r="B19" s="56"/>
      <c r="C19" s="58"/>
      <c r="D19" s="55"/>
      <c r="E19"/>
      <c r="F19"/>
      <c r="G19"/>
      <c r="H19"/>
    </row>
    <row r="20" spans="1:9" ht="19.95" customHeight="1" outlineLevel="1" collapsed="1">
      <c r="B20" s="65" t="s">
        <v>0</v>
      </c>
      <c r="C20" s="67" t="s">
        <v>50</v>
      </c>
      <c r="D20" s="79"/>
      <c r="E20"/>
      <c r="F20"/>
      <c r="G20"/>
      <c r="H20"/>
      <c r="I20" s="144"/>
    </row>
    <row r="21" spans="1:9" ht="4.95" customHeight="1" outlineLevel="1">
      <c r="B21" s="9"/>
      <c r="C21" s="28"/>
      <c r="D21" s="28"/>
      <c r="E21" s="28"/>
      <c r="F21" s="28"/>
      <c r="G21" s="28"/>
      <c r="H21" s="28"/>
    </row>
    <row r="22" spans="1:9" ht="14.4" hidden="1" customHeight="1" outlineLevel="2">
      <c r="A22" s="29"/>
      <c r="B22" s="30"/>
      <c r="C22" s="75" t="s">
        <v>3</v>
      </c>
      <c r="D22" s="105" t="s">
        <v>63</v>
      </c>
      <c r="E22" s="105" t="s">
        <v>64</v>
      </c>
      <c r="F22" s="105" t="s">
        <v>63</v>
      </c>
      <c r="G22" s="105" t="s">
        <v>66</v>
      </c>
      <c r="H22" s="105" t="s">
        <v>63</v>
      </c>
    </row>
    <row r="23" spans="1:9" ht="14.4" hidden="1" customHeight="1" outlineLevel="2">
      <c r="A23" s="29"/>
      <c r="B23" s="31"/>
      <c r="C23" s="73" t="s">
        <v>7</v>
      </c>
      <c r="D23" s="110">
        <v>1</v>
      </c>
      <c r="E23" s="110">
        <v>0.1</v>
      </c>
      <c r="F23" s="110">
        <v>0.35</v>
      </c>
      <c r="G23" s="110">
        <v>0.4</v>
      </c>
      <c r="H23" s="110">
        <v>0.25</v>
      </c>
    </row>
    <row r="24" spans="1:9" ht="14.4" hidden="1" customHeight="1" outlineLevel="2">
      <c r="A24" s="29"/>
      <c r="B24" s="31"/>
      <c r="C24" s="73" t="s">
        <v>10</v>
      </c>
      <c r="D24" s="110">
        <v>0</v>
      </c>
      <c r="E24" s="110">
        <v>0</v>
      </c>
      <c r="F24" s="110">
        <v>0</v>
      </c>
      <c r="G24" s="110">
        <v>0</v>
      </c>
      <c r="H24" s="110">
        <v>0</v>
      </c>
    </row>
    <row r="25" spans="1:9" ht="14.4" hidden="1" customHeight="1" outlineLevel="2">
      <c r="B25" s="11"/>
      <c r="C25" s="77" t="s">
        <v>5</v>
      </c>
      <c r="D25" s="110">
        <v>0.14505893019038901</v>
      </c>
      <c r="E25" s="110">
        <v>0.27470534904805</v>
      </c>
      <c r="F25" s="110">
        <v>0.14505893019038901</v>
      </c>
      <c r="G25" s="110">
        <v>0.14505893019038901</v>
      </c>
      <c r="H25" s="110">
        <v>0.14505893019038901</v>
      </c>
    </row>
    <row r="26" spans="1:9" ht="14.4" hidden="1" customHeight="1" outlineLevel="2">
      <c r="B26" s="11"/>
      <c r="C26" s="73" t="s">
        <v>4</v>
      </c>
      <c r="D26" s="108">
        <v>160</v>
      </c>
      <c r="E26" s="108">
        <v>303</v>
      </c>
      <c r="F26" s="108">
        <v>160</v>
      </c>
      <c r="G26" s="108">
        <v>160</v>
      </c>
      <c r="H26" s="108">
        <v>160</v>
      </c>
    </row>
    <row r="27" spans="1:9" ht="14.4" hidden="1" customHeight="1" outlineLevel="2">
      <c r="B27" s="11"/>
      <c r="C27" s="73" t="s">
        <v>6</v>
      </c>
      <c r="D27" s="108">
        <v>20</v>
      </c>
      <c r="E27" s="108">
        <v>2</v>
      </c>
      <c r="F27" s="108">
        <v>7</v>
      </c>
      <c r="G27" s="108">
        <v>8</v>
      </c>
      <c r="H27" s="108">
        <v>5</v>
      </c>
    </row>
    <row r="28" spans="1:9" ht="14.4" hidden="1" customHeight="1" outlineLevel="2">
      <c r="B28" s="11"/>
      <c r="C28" s="73" t="s">
        <v>8</v>
      </c>
      <c r="D28" s="108">
        <v>20</v>
      </c>
      <c r="E28" s="108">
        <v>20</v>
      </c>
      <c r="F28" s="108">
        <v>20</v>
      </c>
      <c r="G28" s="108">
        <v>20</v>
      </c>
      <c r="H28" s="108">
        <v>20</v>
      </c>
    </row>
    <row r="29" spans="1:9" ht="14.4" hidden="1" customHeight="1" outlineLevel="2">
      <c r="B29" s="11"/>
      <c r="C29" s="77" t="s">
        <v>9</v>
      </c>
      <c r="D29" s="109">
        <v>0</v>
      </c>
      <c r="E29" s="109">
        <v>0</v>
      </c>
      <c r="F29" s="109">
        <v>0</v>
      </c>
      <c r="G29" s="109">
        <v>0</v>
      </c>
      <c r="H29" s="109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</row>
    <row r="31" spans="1:9" ht="150" hidden="1" customHeight="1" outlineLevel="2">
      <c r="B31" s="17"/>
      <c r="C31" s="13"/>
      <c r="D31" s="14"/>
      <c r="E31" s="14"/>
      <c r="F31" s="14"/>
      <c r="G31" s="14"/>
      <c r="H31" s="14"/>
    </row>
    <row r="32" spans="1:9" ht="4.95" hidden="1" customHeight="1" outlineLevel="2">
      <c r="B32" s="9"/>
      <c r="D32" s="6"/>
      <c r="E32" s="6"/>
      <c r="F32" s="6"/>
      <c r="G32" s="6"/>
      <c r="H32" s="6"/>
    </row>
    <row r="33" spans="1:8" ht="19.95" customHeight="1" outlineLevel="1" collapsed="1">
      <c r="B33" s="65" t="s">
        <v>0</v>
      </c>
      <c r="C33" s="67" t="s">
        <v>49</v>
      </c>
      <c r="D33" s="6"/>
      <c r="E33" s="6"/>
      <c r="F33" s="6"/>
      <c r="G33" s="6"/>
      <c r="H33" s="6"/>
    </row>
    <row r="34" spans="1:8" ht="4.95" customHeight="1" outlineLevel="1">
      <c r="A34" s="16"/>
      <c r="B34" s="17"/>
      <c r="C34" s="18"/>
      <c r="D34" s="6"/>
      <c r="E34" s="6"/>
      <c r="F34" s="6"/>
      <c r="G34" s="6"/>
      <c r="H34" s="6"/>
    </row>
    <row r="35" spans="1:8" ht="14.4" hidden="1" customHeight="1" outlineLevel="2">
      <c r="B35" s="10"/>
      <c r="C35" s="75" t="s">
        <v>11</v>
      </c>
      <c r="D35" s="104">
        <v>10.5</v>
      </c>
      <c r="E35" s="104"/>
      <c r="F35" s="104">
        <v>5.35</v>
      </c>
      <c r="G35" s="104">
        <v>5.9749999999999996</v>
      </c>
      <c r="H35" s="104">
        <v>6.55</v>
      </c>
    </row>
    <row r="36" spans="1:8" ht="14.4" hidden="1" customHeight="1" outlineLevel="2">
      <c r="B36" s="11"/>
      <c r="C36" s="76" t="s">
        <v>12</v>
      </c>
      <c r="D36" s="103">
        <v>10.5</v>
      </c>
      <c r="E36" s="103"/>
      <c r="F36" s="103">
        <v>5.5</v>
      </c>
      <c r="G36" s="103">
        <v>5.5</v>
      </c>
      <c r="H36" s="103">
        <v>6</v>
      </c>
    </row>
    <row r="37" spans="1:8" ht="14.4" hidden="1" customHeight="1" outlineLevel="2">
      <c r="B37" s="11"/>
      <c r="C37" s="73" t="s">
        <v>13</v>
      </c>
      <c r="D37" s="104">
        <v>1</v>
      </c>
      <c r="E37" s="104" t="s">
        <v>65</v>
      </c>
      <c r="F37" s="104">
        <v>5</v>
      </c>
      <c r="G37" s="104">
        <v>5</v>
      </c>
      <c r="H37" s="104">
        <v>6</v>
      </c>
    </row>
    <row r="38" spans="1:8" ht="14.4" hidden="1" customHeight="1" outlineLevel="2">
      <c r="B38" s="11"/>
      <c r="C38" s="76" t="s">
        <v>14</v>
      </c>
      <c r="D38" s="103">
        <v>5.9160797830996099</v>
      </c>
      <c r="E38" s="103"/>
      <c r="F38" s="103">
        <v>1.84319516629483</v>
      </c>
      <c r="G38" s="103">
        <v>1.6739097001363299</v>
      </c>
      <c r="H38" s="103">
        <v>1.0990426455975599</v>
      </c>
    </row>
    <row r="39" spans="1:8" ht="14.4" hidden="1" customHeight="1" outlineLevel="2">
      <c r="B39" s="11"/>
      <c r="C39" s="77" t="s">
        <v>15</v>
      </c>
      <c r="D39" s="104">
        <v>35</v>
      </c>
      <c r="E39" s="104"/>
      <c r="F39" s="104">
        <v>3.3973684210526298</v>
      </c>
      <c r="G39" s="104">
        <v>2.8019736842105201</v>
      </c>
      <c r="H39" s="104">
        <v>1.2078947368421</v>
      </c>
    </row>
    <row r="40" spans="1:8" ht="4.95" hidden="1" customHeight="1" outlineLevel="2">
      <c r="B40" s="9"/>
      <c r="D40" s="6"/>
      <c r="E40" s="6"/>
      <c r="F40" s="6"/>
      <c r="G40" s="6"/>
      <c r="H40" s="6"/>
    </row>
    <row r="41" spans="1:8" ht="150" hidden="1" customHeight="1" outlineLevel="2">
      <c r="A41" s="16"/>
      <c r="B41" s="17"/>
      <c r="C41" s="13"/>
      <c r="D41" s="14"/>
      <c r="E41" s="14"/>
      <c r="F41" s="14"/>
      <c r="G41" s="14"/>
      <c r="H41" s="14"/>
    </row>
    <row r="42" spans="1:8" ht="4.95" hidden="1" customHeight="1" outlineLevel="2">
      <c r="A42" s="16"/>
      <c r="B42" s="17"/>
      <c r="C42" s="19"/>
      <c r="D42" s="6"/>
      <c r="E42" s="6"/>
      <c r="F42" s="6"/>
      <c r="G42" s="6"/>
      <c r="H42" s="6"/>
    </row>
    <row r="43" spans="1:8" ht="19.95" customHeight="1" outlineLevel="1" collapsed="1">
      <c r="B43" s="65" t="s">
        <v>0</v>
      </c>
      <c r="C43" s="67" t="s">
        <v>48</v>
      </c>
      <c r="D43" s="6"/>
      <c r="E43" s="6"/>
      <c r="F43" s="6"/>
      <c r="G43" s="6"/>
      <c r="H43" s="6"/>
    </row>
    <row r="44" spans="1:8" ht="4.95" customHeight="1" outlineLevel="1">
      <c r="A44" s="16"/>
      <c r="B44" s="17"/>
      <c r="C44" s="18"/>
      <c r="D44" s="6"/>
      <c r="E44" s="6"/>
      <c r="F44" s="6"/>
      <c r="G44" s="6"/>
      <c r="H44" s="6"/>
    </row>
    <row r="45" spans="1:8" ht="14.4" hidden="1" customHeight="1" outlineLevel="2">
      <c r="B45" s="10"/>
      <c r="C45" s="70" t="s">
        <v>16</v>
      </c>
      <c r="D45" s="103">
        <v>1</v>
      </c>
      <c r="E45" s="103"/>
      <c r="F45" s="103">
        <v>2</v>
      </c>
      <c r="G45" s="103">
        <v>3</v>
      </c>
      <c r="H45" s="103">
        <v>5</v>
      </c>
    </row>
    <row r="46" spans="1:8" ht="14.4" hidden="1" customHeight="1" outlineLevel="2">
      <c r="B46" s="9"/>
      <c r="C46" s="71">
        <v>0.05</v>
      </c>
      <c r="D46" s="104">
        <v>1.95</v>
      </c>
      <c r="E46" s="104"/>
      <c r="F46" s="104">
        <v>2</v>
      </c>
      <c r="G46" s="104">
        <v>3.95</v>
      </c>
      <c r="H46" s="104">
        <v>5</v>
      </c>
    </row>
    <row r="47" spans="1:8" ht="14.4" hidden="1" customHeight="1" outlineLevel="2">
      <c r="B47" s="9"/>
      <c r="C47" s="72">
        <v>0.25</v>
      </c>
      <c r="D47" s="103">
        <v>5.75</v>
      </c>
      <c r="E47" s="103"/>
      <c r="F47" s="103">
        <v>4.75</v>
      </c>
      <c r="G47" s="103">
        <v>5</v>
      </c>
      <c r="H47" s="103">
        <v>6</v>
      </c>
    </row>
    <row r="48" spans="1:8" ht="14.4" hidden="1" customHeight="1" outlineLevel="2">
      <c r="B48" s="9"/>
      <c r="C48" s="71">
        <v>0.5</v>
      </c>
      <c r="D48" s="104">
        <v>10.5</v>
      </c>
      <c r="E48" s="104"/>
      <c r="F48" s="104">
        <v>5.5</v>
      </c>
      <c r="G48" s="104">
        <v>5.5</v>
      </c>
      <c r="H48" s="104">
        <v>6</v>
      </c>
    </row>
    <row r="49" spans="1:8" ht="14.4" hidden="1" customHeight="1" outlineLevel="2">
      <c r="B49" s="9"/>
      <c r="C49" s="72">
        <v>0.75</v>
      </c>
      <c r="D49" s="103">
        <v>15.25</v>
      </c>
      <c r="E49" s="103"/>
      <c r="F49" s="103">
        <v>6.25</v>
      </c>
      <c r="G49" s="103">
        <v>7.25</v>
      </c>
      <c r="H49" s="103">
        <v>7</v>
      </c>
    </row>
    <row r="50" spans="1:8" ht="14.4" hidden="1" customHeight="1" outlineLevel="2">
      <c r="B50" s="9"/>
      <c r="C50" s="71">
        <v>0.95</v>
      </c>
      <c r="D50" s="104">
        <v>19.05</v>
      </c>
      <c r="E50" s="104"/>
      <c r="F50" s="104">
        <v>8</v>
      </c>
      <c r="G50" s="104">
        <v>8.0500000000000007</v>
      </c>
      <c r="H50" s="104">
        <v>8.0500000000000007</v>
      </c>
    </row>
    <row r="51" spans="1:8" ht="14.4" hidden="1" customHeight="1" outlineLevel="2">
      <c r="B51" s="9"/>
      <c r="C51" s="72" t="s">
        <v>17</v>
      </c>
      <c r="D51" s="103">
        <v>20</v>
      </c>
      <c r="E51" s="103"/>
      <c r="F51" s="103">
        <v>8</v>
      </c>
      <c r="G51" s="103">
        <v>9</v>
      </c>
      <c r="H51" s="103">
        <v>9</v>
      </c>
    </row>
    <row r="52" spans="1:8" ht="14.4" hidden="1" customHeight="1" outlineLevel="2">
      <c r="B52" s="9"/>
      <c r="C52" s="73" t="s">
        <v>18</v>
      </c>
      <c r="D52" s="104">
        <v>19</v>
      </c>
      <c r="E52" s="104"/>
      <c r="F52" s="104">
        <v>6</v>
      </c>
      <c r="G52" s="104">
        <v>6</v>
      </c>
      <c r="H52" s="104">
        <v>4</v>
      </c>
    </row>
    <row r="53" spans="1:8" ht="14.4" hidden="1" customHeight="1" outlineLevel="2">
      <c r="B53" s="9"/>
      <c r="C53" s="74" t="s">
        <v>19</v>
      </c>
      <c r="D53" s="103">
        <v>9.5</v>
      </c>
      <c r="E53" s="103"/>
      <c r="F53" s="103">
        <v>1.5</v>
      </c>
      <c r="G53" s="103">
        <v>2.25</v>
      </c>
      <c r="H53" s="103">
        <v>1</v>
      </c>
    </row>
    <row r="54" spans="1:8" ht="4.95" hidden="1" customHeight="1" outlineLevel="2">
      <c r="B54" s="9"/>
      <c r="D54" s="6"/>
      <c r="E54" s="6"/>
      <c r="F54" s="6"/>
      <c r="G54" s="6"/>
      <c r="H54" s="6"/>
    </row>
    <row r="55" spans="1:8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  <c r="G55" s="6"/>
      <c r="H55" s="6"/>
    </row>
    <row r="56" spans="1:8" ht="4.95" customHeight="1" outlineLevel="1">
      <c r="A56" s="23"/>
      <c r="B56" s="17"/>
      <c r="D56" s="6"/>
      <c r="E56" s="6"/>
      <c r="F56" s="6"/>
      <c r="G56" s="6"/>
      <c r="H56" s="6"/>
    </row>
    <row r="57" spans="1:8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  <c r="G57" s="49" t="b">
        <v>0</v>
      </c>
      <c r="H57" s="49" t="b">
        <v>0</v>
      </c>
    </row>
    <row r="58" spans="1:8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  <c r="G58" s="49" t="b">
        <v>0</v>
      </c>
      <c r="H58" s="49" t="b">
        <v>0</v>
      </c>
    </row>
    <row r="59" spans="1:8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  <c r="G59" s="49" t="b">
        <v>0</v>
      </c>
      <c r="H59" s="49" t="b">
        <v>0</v>
      </c>
    </row>
    <row r="60" spans="1:8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  <c r="G60" s="49" t="b">
        <v>0</v>
      </c>
      <c r="H60" s="49" t="b">
        <v>0</v>
      </c>
    </row>
    <row r="61" spans="1:8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  <c r="G61" s="49" t="b">
        <v>0</v>
      </c>
      <c r="H61" s="49" t="b">
        <v>0</v>
      </c>
    </row>
    <row r="62" spans="1:8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  <c r="G62" s="49" t="b">
        <v>0</v>
      </c>
      <c r="H62" s="49" t="b">
        <v>0</v>
      </c>
    </row>
    <row r="63" spans="1:8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  <c r="G63" s="49" t="b">
        <v>0</v>
      </c>
      <c r="H63" s="49" t="b">
        <v>0</v>
      </c>
    </row>
    <row r="64" spans="1:8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  <c r="G64" s="49" t="b">
        <v>0</v>
      </c>
      <c r="H64" s="49" t="b">
        <v>0</v>
      </c>
    </row>
    <row r="65" spans="1:10" ht="4.95" hidden="1" customHeight="1" outlineLevel="2">
      <c r="B65" s="17"/>
      <c r="D65" s="6"/>
      <c r="E65" s="6"/>
      <c r="F65" s="6"/>
      <c r="G65" s="6"/>
      <c r="H65" s="6"/>
    </row>
    <row r="66" spans="1:10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  <c r="G66" s="6"/>
      <c r="H66" s="6"/>
    </row>
    <row r="67" spans="1:10" ht="4.95" customHeight="1">
      <c r="A67" s="23"/>
      <c r="B67" s="7"/>
      <c r="C67" s="8"/>
      <c r="D67" s="6"/>
      <c r="E67" s="6"/>
      <c r="F67" s="6"/>
      <c r="G67" s="6"/>
      <c r="H67" s="6"/>
    </row>
    <row r="68" spans="1:10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96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7"/>
      <c r="C77" s="20"/>
      <c r="D77" s="21"/>
      <c r="E77" s="21"/>
      <c r="F77" s="21"/>
      <c r="G77" s="21"/>
      <c r="H77" s="21"/>
    </row>
    <row r="78" spans="1:10" ht="30" customHeight="1" collapsed="1">
      <c r="C78" s="120" t="s">
        <v>20</v>
      </c>
      <c r="D78" s="22" t="s">
        <v>56</v>
      </c>
      <c r="E78" s="22" t="s">
        <v>57</v>
      </c>
      <c r="F78" s="22" t="s">
        <v>58</v>
      </c>
      <c r="G78" s="22" t="s">
        <v>59</v>
      </c>
      <c r="H78" s="22" t="s">
        <v>60</v>
      </c>
      <c r="I78" s="120" t="s">
        <v>54</v>
      </c>
      <c r="J78" s="120" t="s">
        <v>61</v>
      </c>
    </row>
    <row r="79" spans="1:10">
      <c r="C79" s="24" t="b">
        <v>0</v>
      </c>
      <c r="D79" s="137">
        <v>1</v>
      </c>
      <c r="E79" s="137" t="s">
        <v>65</v>
      </c>
      <c r="F79" s="137">
        <v>2</v>
      </c>
      <c r="G79" s="137">
        <v>4</v>
      </c>
      <c r="H79" s="137">
        <v>7</v>
      </c>
      <c r="I79" s="139">
        <v>0</v>
      </c>
      <c r="J79" s="139">
        <v>7.0668365032051702E+18</v>
      </c>
    </row>
    <row r="80" spans="1:10">
      <c r="C80" s="24" t="b">
        <v>0</v>
      </c>
      <c r="D80" s="137">
        <v>2</v>
      </c>
      <c r="E80" s="137" t="s">
        <v>65</v>
      </c>
      <c r="F80" s="137">
        <v>3</v>
      </c>
      <c r="G80" s="137">
        <v>4</v>
      </c>
      <c r="H80" s="137">
        <v>5</v>
      </c>
      <c r="I80" s="139">
        <v>0</v>
      </c>
      <c r="J80" s="139">
        <v>8.3431550819880899E+18</v>
      </c>
    </row>
    <row r="81" spans="3:10">
      <c r="C81" s="24" t="b">
        <v>0</v>
      </c>
      <c r="D81" s="137">
        <v>3</v>
      </c>
      <c r="E81" s="138" t="s">
        <v>65</v>
      </c>
      <c r="F81" s="137">
        <v>3</v>
      </c>
      <c r="G81" s="137">
        <v>5</v>
      </c>
      <c r="H81" s="137">
        <v>6</v>
      </c>
      <c r="I81" s="139">
        <v>0</v>
      </c>
      <c r="J81" s="139">
        <v>6.0361005493667604E+18</v>
      </c>
    </row>
    <row r="82" spans="3:10">
      <c r="C82" s="24" t="b">
        <v>0</v>
      </c>
      <c r="D82" s="137">
        <v>4</v>
      </c>
      <c r="E82" s="138" t="s">
        <v>65</v>
      </c>
      <c r="F82" s="137">
        <v>5</v>
      </c>
      <c r="G82" s="137">
        <v>7</v>
      </c>
      <c r="H82" s="137">
        <v>5</v>
      </c>
      <c r="I82" s="139">
        <v>0</v>
      </c>
      <c r="J82" s="139">
        <v>4.1947328075928499E+18</v>
      </c>
    </row>
    <row r="83" spans="3:10">
      <c r="C83" s="24" t="b">
        <v>0</v>
      </c>
      <c r="D83" s="137">
        <v>5</v>
      </c>
      <c r="E83" s="138" t="s">
        <v>65</v>
      </c>
      <c r="F83" s="137">
        <v>4</v>
      </c>
      <c r="G83" s="137">
        <v>5</v>
      </c>
      <c r="H83" s="137">
        <v>8</v>
      </c>
      <c r="I83" s="139">
        <v>0</v>
      </c>
      <c r="J83" s="139">
        <v>1.0648309017703201E+19</v>
      </c>
    </row>
    <row r="84" spans="3:10">
      <c r="C84" s="24" t="b">
        <v>0</v>
      </c>
      <c r="D84" s="137">
        <v>6</v>
      </c>
      <c r="E84" s="138" t="s">
        <v>65</v>
      </c>
      <c r="F84" s="137">
        <v>5</v>
      </c>
      <c r="G84" s="137">
        <v>5</v>
      </c>
      <c r="H84" s="137">
        <v>6</v>
      </c>
      <c r="I84" s="139">
        <v>0</v>
      </c>
      <c r="J84" s="139">
        <v>1.6516452605012001E+19</v>
      </c>
    </row>
    <row r="85" spans="3:10">
      <c r="C85" s="24" t="b">
        <v>0</v>
      </c>
      <c r="D85" s="137">
        <v>7</v>
      </c>
      <c r="E85" s="138" t="s">
        <v>65</v>
      </c>
      <c r="F85" s="137">
        <v>5</v>
      </c>
      <c r="G85" s="137">
        <v>4.5</v>
      </c>
      <c r="H85" s="137">
        <v>6</v>
      </c>
      <c r="I85" s="139">
        <v>0</v>
      </c>
      <c r="J85" s="139">
        <v>1.43426953629976E+19</v>
      </c>
    </row>
    <row r="86" spans="3:10">
      <c r="C86" s="24" t="b">
        <v>0</v>
      </c>
      <c r="D86" s="137">
        <v>8</v>
      </c>
      <c r="E86" s="138" t="s">
        <v>65</v>
      </c>
      <c r="F86" s="137">
        <v>5</v>
      </c>
      <c r="G86" s="137">
        <v>7</v>
      </c>
      <c r="H86" s="137">
        <v>8</v>
      </c>
      <c r="I86" s="139">
        <v>0</v>
      </c>
      <c r="J86" s="139">
        <v>1.743833250335E+19</v>
      </c>
    </row>
    <row r="87" spans="3:10">
      <c r="C87" s="24" t="b">
        <v>0</v>
      </c>
      <c r="D87" s="137">
        <v>9</v>
      </c>
      <c r="E87" s="138" t="s">
        <v>65</v>
      </c>
      <c r="F87" s="137">
        <v>2</v>
      </c>
      <c r="G87" s="137">
        <v>3</v>
      </c>
      <c r="H87" s="137">
        <v>7</v>
      </c>
      <c r="I87" s="139">
        <v>0</v>
      </c>
      <c r="J87" s="139">
        <v>1.4787002978901899E+19</v>
      </c>
    </row>
    <row r="88" spans="3:10">
      <c r="C88" s="24" t="b">
        <v>0</v>
      </c>
      <c r="D88" s="137">
        <v>10</v>
      </c>
      <c r="E88" s="138" t="s">
        <v>65</v>
      </c>
      <c r="F88" s="137">
        <v>6</v>
      </c>
      <c r="G88" s="137">
        <v>5</v>
      </c>
      <c r="H88" s="137">
        <v>6</v>
      </c>
      <c r="I88" s="139">
        <v>0</v>
      </c>
      <c r="J88" s="139">
        <v>7.78412441291891E+18</v>
      </c>
    </row>
    <row r="89" spans="3:10">
      <c r="C89" s="24" t="b">
        <v>0</v>
      </c>
      <c r="D89" s="137">
        <v>11</v>
      </c>
      <c r="E89" s="138" t="s">
        <v>67</v>
      </c>
      <c r="F89" s="137">
        <v>6</v>
      </c>
      <c r="G89" s="137">
        <v>5</v>
      </c>
      <c r="H89" s="137">
        <v>6</v>
      </c>
      <c r="I89" s="139">
        <v>0</v>
      </c>
      <c r="J89" s="139">
        <v>1.3220256718666799E+19</v>
      </c>
    </row>
    <row r="90" spans="3:10">
      <c r="C90" s="24" t="b">
        <v>0</v>
      </c>
      <c r="D90" s="137">
        <v>12</v>
      </c>
      <c r="E90" s="138" t="s">
        <v>67</v>
      </c>
      <c r="F90" s="137">
        <v>8</v>
      </c>
      <c r="G90" s="137">
        <v>9</v>
      </c>
      <c r="H90" s="137">
        <v>8</v>
      </c>
      <c r="I90" s="139">
        <v>0</v>
      </c>
      <c r="J90" s="139">
        <v>4.2762539740805402E+18</v>
      </c>
    </row>
    <row r="91" spans="3:10">
      <c r="C91" s="24" t="b">
        <v>0</v>
      </c>
      <c r="D91" s="137">
        <v>13</v>
      </c>
      <c r="E91" s="138" t="s">
        <v>67</v>
      </c>
      <c r="F91" s="137">
        <v>6</v>
      </c>
      <c r="G91" s="137">
        <v>5</v>
      </c>
      <c r="H91" s="137">
        <v>9</v>
      </c>
      <c r="I91" s="139">
        <v>0</v>
      </c>
      <c r="J91" s="139">
        <v>1.0287338584255001E+19</v>
      </c>
    </row>
    <row r="92" spans="3:10">
      <c r="C92" s="24" t="b">
        <v>0</v>
      </c>
      <c r="D92" s="137">
        <v>14</v>
      </c>
      <c r="E92" s="138" t="s">
        <v>67</v>
      </c>
      <c r="F92" s="137">
        <v>8</v>
      </c>
      <c r="G92" s="137">
        <v>8</v>
      </c>
      <c r="H92" s="137">
        <v>7</v>
      </c>
      <c r="I92" s="139">
        <v>0</v>
      </c>
      <c r="J92" s="139">
        <v>7.6330205579475896E+18</v>
      </c>
    </row>
    <row r="93" spans="3:10">
      <c r="C93" s="24" t="b">
        <v>0</v>
      </c>
      <c r="D93" s="137">
        <v>15</v>
      </c>
      <c r="E93" s="138" t="s">
        <v>67</v>
      </c>
      <c r="F93" s="137">
        <v>8</v>
      </c>
      <c r="G93" s="137">
        <v>8</v>
      </c>
      <c r="H93" s="137">
        <v>7</v>
      </c>
      <c r="I93" s="139">
        <v>0</v>
      </c>
      <c r="J93" s="139">
        <v>1.1714937427069499E+19</v>
      </c>
    </row>
    <row r="94" spans="3:10">
      <c r="C94" s="24" t="b">
        <v>0</v>
      </c>
      <c r="D94" s="137">
        <v>16</v>
      </c>
      <c r="E94" s="138" t="s">
        <v>67</v>
      </c>
      <c r="F94" s="137">
        <v>6</v>
      </c>
      <c r="G94" s="137">
        <v>8</v>
      </c>
      <c r="H94" s="137">
        <v>7</v>
      </c>
      <c r="I94" s="139">
        <v>0</v>
      </c>
      <c r="J94" s="139">
        <v>1.64816868696414E+19</v>
      </c>
    </row>
    <row r="95" spans="3:10">
      <c r="C95" s="24" t="b">
        <v>0</v>
      </c>
      <c r="D95" s="137">
        <v>17</v>
      </c>
      <c r="E95" s="138" t="s">
        <v>67</v>
      </c>
      <c r="F95" s="137">
        <v>7</v>
      </c>
      <c r="G95" s="137">
        <v>7</v>
      </c>
      <c r="H95" s="137">
        <v>6</v>
      </c>
      <c r="I95" s="139">
        <v>0</v>
      </c>
      <c r="J95" s="139">
        <v>1.0395884494819201E+19</v>
      </c>
    </row>
    <row r="96" spans="3:10">
      <c r="C96" s="24" t="b">
        <v>0</v>
      </c>
      <c r="D96" s="137">
        <v>18</v>
      </c>
      <c r="E96" s="138" t="s">
        <v>67</v>
      </c>
      <c r="F96" s="137">
        <v>7</v>
      </c>
      <c r="G96" s="137">
        <v>8</v>
      </c>
      <c r="H96" s="137">
        <v>6</v>
      </c>
      <c r="I96" s="139">
        <v>0</v>
      </c>
      <c r="J96" s="139">
        <v>2.4067655848861901E+18</v>
      </c>
    </row>
    <row r="97" spans="3:10">
      <c r="C97" s="24" t="b">
        <v>0</v>
      </c>
      <c r="D97" s="137">
        <v>19</v>
      </c>
      <c r="E97" s="138" t="s">
        <v>67</v>
      </c>
      <c r="F97" s="137">
        <v>5</v>
      </c>
      <c r="G97" s="137">
        <v>6</v>
      </c>
      <c r="H97" s="137">
        <v>6</v>
      </c>
      <c r="I97" s="139">
        <v>0</v>
      </c>
      <c r="J97" s="139">
        <v>2.8823514237370598E+18</v>
      </c>
    </row>
    <row r="98" spans="3:10">
      <c r="C98" s="24" t="b">
        <v>0</v>
      </c>
      <c r="D98" s="137">
        <v>20</v>
      </c>
      <c r="E98" s="138" t="s">
        <v>67</v>
      </c>
      <c r="F98" s="137">
        <v>6</v>
      </c>
      <c r="G98" s="137">
        <v>6</v>
      </c>
      <c r="H98" s="137">
        <v>5</v>
      </c>
      <c r="I98" s="139">
        <v>0</v>
      </c>
      <c r="J98" s="139">
        <v>1.1900103461897201E+18</v>
      </c>
    </row>
  </sheetData>
  <mergeCells count="1">
    <mergeCell ref="D15:E15"/>
  </mergeCells>
  <phoneticPr fontId="15" type="noConversion"/>
  <conditionalFormatting sqref="D22:F29 D35:F39 D45:F53">
    <cfRule type="cellIs" dxfId="115" priority="58" operator="equal">
      <formula>0</formula>
    </cfRule>
  </conditionalFormatting>
  <conditionalFormatting sqref="C79:C98">
    <cfRule type="cellIs" dxfId="114" priority="54" operator="equal">
      <formula>FALSE</formula>
    </cfRule>
    <cfRule type="cellIs" dxfId="113" priority="55" operator="notEqual">
      <formula>FALSE</formula>
    </cfRule>
  </conditionalFormatting>
  <conditionalFormatting sqref="D9:H9">
    <cfRule type="cellIs" dxfId="112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11" priority="29"/>
  </conditionalFormatting>
  <conditionalFormatting sqref="D7:H7">
    <cfRule type="cellIs" dxfId="110" priority="22" operator="notEqual">
      <formula>"Definition"</formula>
    </cfRule>
  </conditionalFormatting>
  <conditionalFormatting sqref="D15">
    <cfRule type="cellIs" dxfId="109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08" priority="52" operator="equal">
      <formula>FALSE</formula>
    </cfRule>
    <cfRule type="cellIs" dxfId="107" priority="53" operator="notEqual">
      <formula>FALSE</formula>
    </cfRule>
  </conditionalFormatting>
  <conditionalFormatting sqref="G22:H29 G35:H39 G45:H53">
    <cfRule type="cellIs" dxfId="93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92" priority="3" operator="equal">
      <formula>FALSE</formula>
    </cfRule>
    <cfRule type="cellIs" dxfId="91" priority="4" operator="notEqual">
      <formula>FALSE</formula>
    </cfRule>
  </conditionalFormatting>
  <conditionalFormatting sqref="I78: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29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9.5546875" bestFit="1" customWidth="1"/>
    <col min="5" max="7" width="10.33203125" bestFit="1" customWidth="1"/>
    <col min="8" max="9" width="15.77734375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anagrams</v>
      </c>
      <c r="E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  <c r="H8" s="98" t="s">
        <v>52</v>
      </c>
      <c r="I8" s="98" t="s">
        <v>53</v>
      </c>
    </row>
    <row r="9" spans="2:17" ht="15" customHeight="1">
      <c r="C9" s="140">
        <v>1</v>
      </c>
      <c r="D9" s="91"/>
      <c r="E9" s="91"/>
      <c r="F9" s="91"/>
      <c r="G9" s="91"/>
      <c r="H9" s="99">
        <v>0</v>
      </c>
      <c r="I9" s="143"/>
    </row>
    <row r="10" spans="2:17" ht="15" customHeight="1">
      <c r="C10" s="140">
        <v>2</v>
      </c>
      <c r="D10" s="91"/>
      <c r="E10" s="91"/>
      <c r="F10" s="91"/>
      <c r="G10" s="91"/>
      <c r="H10" s="99">
        <v>0</v>
      </c>
      <c r="I10" s="143"/>
    </row>
    <row r="11" spans="2:17" ht="15" customHeight="1">
      <c r="C11" s="140">
        <v>3</v>
      </c>
      <c r="D11" s="91"/>
      <c r="E11" s="91"/>
      <c r="F11" s="91"/>
      <c r="G11" s="91"/>
      <c r="H11" s="99">
        <v>0</v>
      </c>
      <c r="I11" s="143"/>
    </row>
    <row r="12" spans="2:17" ht="15" customHeight="1">
      <c r="C12" s="140">
        <v>4</v>
      </c>
      <c r="D12" s="91"/>
      <c r="E12" s="91"/>
      <c r="F12" s="91"/>
      <c r="G12" s="91"/>
      <c r="H12" s="99">
        <v>0</v>
      </c>
      <c r="I12" s="143"/>
    </row>
    <row r="13" spans="2:17" ht="15" customHeight="1">
      <c r="C13" s="140">
        <v>5</v>
      </c>
      <c r="D13" s="91"/>
      <c r="E13" s="91"/>
      <c r="F13" s="91"/>
      <c r="G13" s="91"/>
      <c r="H13" s="99">
        <v>0</v>
      </c>
      <c r="I13" s="143"/>
    </row>
    <row r="14" spans="2:17">
      <c r="C14" s="140">
        <v>6</v>
      </c>
      <c r="D14" s="91"/>
      <c r="E14" s="91"/>
      <c r="F14" s="91"/>
      <c r="G14" s="91"/>
      <c r="H14" s="99">
        <v>0</v>
      </c>
      <c r="I14" s="143"/>
    </row>
    <row r="15" spans="2:17">
      <c r="C15" s="140">
        <v>7</v>
      </c>
      <c r="D15" s="91"/>
      <c r="E15" s="91"/>
      <c r="F15" s="91"/>
      <c r="G15" s="91"/>
      <c r="H15" s="99">
        <v>0</v>
      </c>
      <c r="I15" s="143"/>
    </row>
    <row r="16" spans="2:17">
      <c r="C16" s="140">
        <v>8</v>
      </c>
      <c r="D16" s="91"/>
      <c r="E16" s="91"/>
      <c r="F16" s="91"/>
      <c r="G16" s="91"/>
      <c r="H16" s="99">
        <v>0</v>
      </c>
      <c r="I16" s="143"/>
    </row>
    <row r="17" spans="3:9">
      <c r="C17" s="140">
        <v>9</v>
      </c>
      <c r="D17" s="91"/>
      <c r="E17" s="91"/>
      <c r="F17" s="91"/>
      <c r="G17" s="91"/>
      <c r="H17" s="99">
        <v>0</v>
      </c>
      <c r="I17" s="143"/>
    </row>
    <row r="18" spans="3:9">
      <c r="C18" s="140">
        <v>10</v>
      </c>
      <c r="D18" s="91"/>
      <c r="E18" s="91"/>
      <c r="F18" s="91"/>
      <c r="G18" s="91"/>
      <c r="H18" s="99">
        <v>0</v>
      </c>
      <c r="I18" s="143"/>
    </row>
    <row r="19" spans="3:9">
      <c r="C19" s="140">
        <v>11</v>
      </c>
      <c r="D19" s="91"/>
      <c r="E19" s="91"/>
      <c r="F19" s="91"/>
      <c r="G19" s="91"/>
      <c r="H19" s="99">
        <v>0</v>
      </c>
      <c r="I19" s="143"/>
    </row>
    <row r="20" spans="3:9">
      <c r="C20" s="140">
        <v>12</v>
      </c>
      <c r="D20" s="91"/>
      <c r="E20" s="91"/>
      <c r="F20" s="91"/>
      <c r="G20" s="91"/>
      <c r="H20" s="99">
        <v>0</v>
      </c>
      <c r="I20" s="143"/>
    </row>
    <row r="21" spans="3:9">
      <c r="C21" s="140">
        <v>13</v>
      </c>
      <c r="D21" s="91"/>
      <c r="E21" s="91"/>
      <c r="F21" s="91"/>
      <c r="G21" s="91"/>
      <c r="H21" s="99">
        <v>0</v>
      </c>
      <c r="I21" s="143"/>
    </row>
    <row r="22" spans="3:9">
      <c r="C22" s="140">
        <v>14</v>
      </c>
      <c r="D22" s="91"/>
      <c r="E22" s="91"/>
      <c r="F22" s="91"/>
      <c r="G22" s="91"/>
      <c r="H22" s="99">
        <v>0</v>
      </c>
      <c r="I22" s="143"/>
    </row>
    <row r="23" spans="3:9">
      <c r="C23" s="140">
        <v>15</v>
      </c>
      <c r="D23" s="91"/>
      <c r="E23" s="91"/>
      <c r="F23" s="91"/>
      <c r="G23" s="91"/>
      <c r="H23" s="99">
        <v>0</v>
      </c>
      <c r="I23" s="143"/>
    </row>
    <row r="24" spans="3:9">
      <c r="C24" s="140">
        <v>16</v>
      </c>
      <c r="D24" s="91"/>
      <c r="E24" s="91"/>
      <c r="F24" s="91"/>
      <c r="G24" s="91"/>
      <c r="H24" s="99">
        <v>0</v>
      </c>
      <c r="I24" s="143"/>
    </row>
    <row r="25" spans="3:9">
      <c r="C25" s="140">
        <v>17</v>
      </c>
      <c r="D25" s="91"/>
      <c r="E25" s="91"/>
      <c r="F25" s="91"/>
      <c r="G25" s="91"/>
      <c r="H25" s="99">
        <v>0</v>
      </c>
      <c r="I25" s="143"/>
    </row>
    <row r="26" spans="3:9">
      <c r="C26" s="140">
        <v>18</v>
      </c>
      <c r="D26" s="91"/>
      <c r="E26" s="91"/>
      <c r="F26" s="91"/>
      <c r="G26" s="91"/>
      <c r="H26" s="99">
        <v>0</v>
      </c>
      <c r="I26" s="143"/>
    </row>
    <row r="27" spans="3:9">
      <c r="C27" s="140">
        <v>19</v>
      </c>
      <c r="D27" s="91"/>
      <c r="E27" s="91"/>
      <c r="F27" s="91"/>
      <c r="G27" s="91"/>
      <c r="H27" s="99">
        <v>0</v>
      </c>
      <c r="I27" s="143"/>
    </row>
    <row r="28" spans="3:9">
      <c r="C28" s="140">
        <v>20</v>
      </c>
      <c r="D28" s="91"/>
      <c r="E28" s="91"/>
      <c r="F28" s="91"/>
      <c r="G28" s="91"/>
      <c r="H28" s="99">
        <v>0</v>
      </c>
      <c r="I28" s="143"/>
    </row>
    <row r="29" spans="3:9">
      <c r="C29" s="140" t="s">
        <v>68</v>
      </c>
      <c r="D29" s="91"/>
      <c r="E29" s="91"/>
      <c r="F29" s="91"/>
      <c r="G29" s="91"/>
      <c r="H29" s="99">
        <v>0</v>
      </c>
      <c r="I29" s="143"/>
    </row>
  </sheetData>
  <conditionalFormatting pivot="1" sqref="H9:H29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I9:I29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29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0.77734375" bestFit="1" customWidth="1"/>
    <col min="4" max="4" width="9.5546875" bestFit="1" customWidth="1"/>
    <col min="5" max="7" width="10.332031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0" t="str">
        <f>Name</f>
        <v>anagrams</v>
      </c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2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97"/>
    </row>
    <row r="8" spans="2:17" ht="36.6" customHeight="1">
      <c r="C8" s="142" t="s">
        <v>56</v>
      </c>
      <c r="D8" s="141" t="s">
        <v>57</v>
      </c>
      <c r="E8" s="141" t="s">
        <v>58</v>
      </c>
      <c r="F8" s="141" t="s">
        <v>59</v>
      </c>
      <c r="G8" s="141" t="s">
        <v>60</v>
      </c>
    </row>
    <row r="9" spans="2:17" ht="15" customHeight="1">
      <c r="C9" s="140">
        <v>1</v>
      </c>
      <c r="D9" s="91"/>
      <c r="E9" s="91"/>
      <c r="F9" s="91"/>
      <c r="G9" s="91"/>
    </row>
    <row r="10" spans="2:17" ht="15" customHeight="1">
      <c r="C10" s="140">
        <v>2</v>
      </c>
      <c r="D10" s="91"/>
      <c r="E10" s="91"/>
      <c r="F10" s="91"/>
      <c r="G10" s="91"/>
    </row>
    <row r="11" spans="2:17" ht="15" customHeight="1">
      <c r="C11" s="140">
        <v>3</v>
      </c>
      <c r="D11" s="91"/>
      <c r="E11" s="91"/>
      <c r="F11" s="91"/>
      <c r="G11" s="91"/>
    </row>
    <row r="12" spans="2:17" ht="15" customHeight="1">
      <c r="C12" s="140">
        <v>4</v>
      </c>
      <c r="D12" s="91"/>
      <c r="E12" s="91"/>
      <c r="F12" s="91"/>
      <c r="G12" s="91"/>
    </row>
    <row r="13" spans="2:17" ht="15" customHeight="1">
      <c r="C13" s="140">
        <v>5</v>
      </c>
      <c r="D13" s="91"/>
      <c r="E13" s="91"/>
      <c r="F13" s="91"/>
      <c r="G13" s="91"/>
    </row>
    <row r="14" spans="2:17">
      <c r="C14" s="140">
        <v>6</v>
      </c>
      <c r="D14" s="91"/>
      <c r="E14" s="91"/>
      <c r="F14" s="91"/>
      <c r="G14" s="91"/>
    </row>
    <row r="15" spans="2:17">
      <c r="C15" s="140">
        <v>7</v>
      </c>
      <c r="D15" s="91"/>
      <c r="E15" s="91"/>
      <c r="F15" s="91"/>
      <c r="G15" s="91"/>
    </row>
    <row r="16" spans="2:17">
      <c r="C16" s="140">
        <v>8</v>
      </c>
      <c r="D16" s="91"/>
      <c r="E16" s="91"/>
      <c r="F16" s="91"/>
      <c r="G16" s="91"/>
    </row>
    <row r="17" spans="3:7">
      <c r="C17" s="140">
        <v>9</v>
      </c>
      <c r="D17" s="91"/>
      <c r="E17" s="91"/>
      <c r="F17" s="91"/>
      <c r="G17" s="91"/>
    </row>
    <row r="18" spans="3:7">
      <c r="C18" s="140">
        <v>10</v>
      </c>
      <c r="D18" s="91"/>
      <c r="E18" s="91"/>
      <c r="F18" s="91"/>
      <c r="G18" s="91"/>
    </row>
    <row r="19" spans="3:7">
      <c r="C19" s="140">
        <v>11</v>
      </c>
      <c r="D19" s="91"/>
      <c r="E19" s="91"/>
      <c r="F19" s="91"/>
      <c r="G19" s="91"/>
    </row>
    <row r="20" spans="3:7">
      <c r="C20" s="140">
        <v>12</v>
      </c>
      <c r="D20" s="91"/>
      <c r="E20" s="91"/>
      <c r="F20" s="91"/>
      <c r="G20" s="91"/>
    </row>
    <row r="21" spans="3:7">
      <c r="C21" s="140">
        <v>13</v>
      </c>
      <c r="D21" s="91"/>
      <c r="E21" s="91"/>
      <c r="F21" s="91"/>
      <c r="G21" s="91"/>
    </row>
    <row r="22" spans="3:7">
      <c r="C22" s="140">
        <v>14</v>
      </c>
      <c r="D22" s="91"/>
      <c r="E22" s="91"/>
      <c r="F22" s="91"/>
      <c r="G22" s="91"/>
    </row>
    <row r="23" spans="3:7">
      <c r="C23" s="140">
        <v>15</v>
      </c>
      <c r="D23" s="91"/>
      <c r="E23" s="91"/>
      <c r="F23" s="91"/>
      <c r="G23" s="91"/>
    </row>
    <row r="24" spans="3:7">
      <c r="C24" s="140">
        <v>16</v>
      </c>
      <c r="D24" s="91"/>
      <c r="E24" s="91"/>
      <c r="F24" s="91"/>
      <c r="G24" s="91"/>
    </row>
    <row r="25" spans="3:7">
      <c r="C25" s="140">
        <v>17</v>
      </c>
      <c r="D25" s="91"/>
      <c r="E25" s="91"/>
      <c r="F25" s="91"/>
      <c r="G25" s="91"/>
    </row>
    <row r="26" spans="3:7">
      <c r="C26" s="140">
        <v>18</v>
      </c>
      <c r="D26" s="91"/>
      <c r="E26" s="91"/>
      <c r="F26" s="91"/>
      <c r="G26" s="91"/>
    </row>
    <row r="27" spans="3:7">
      <c r="C27" s="140">
        <v>19</v>
      </c>
      <c r="D27" s="91"/>
      <c r="E27" s="91"/>
      <c r="F27" s="91"/>
      <c r="G27" s="91"/>
    </row>
    <row r="28" spans="3:7">
      <c r="C28" s="140">
        <v>20</v>
      </c>
      <c r="D28" s="91"/>
      <c r="E28" s="91"/>
      <c r="F28" s="91"/>
      <c r="G28" s="91"/>
    </row>
    <row r="29" spans="3:7">
      <c r="C29" s="140" t="s">
        <v>68</v>
      </c>
      <c r="D29" s="91"/>
      <c r="E29" s="91"/>
      <c r="F29" s="91"/>
      <c r="G29" s="91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5"/>
    </row>
    <row r="3" spans="1:16" ht="4.95" customHeight="1">
      <c r="B3" s="1"/>
      <c r="C3" s="4"/>
      <c r="P3" s="84"/>
    </row>
    <row r="4" spans="1:16" ht="19.95" customHeight="1">
      <c r="B4" s="1"/>
      <c r="C4" s="4"/>
      <c r="P4" s="86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89"/>
      <c r="P2" s="85"/>
    </row>
    <row r="3" spans="2:16" ht="4.95" customHeight="1">
      <c r="B3" s="34"/>
      <c r="C3" s="87"/>
      <c r="D3" s="88"/>
      <c r="P3" s="84"/>
    </row>
    <row r="4" spans="2:16" ht="19.95" customHeight="1">
      <c r="B4" s="34"/>
      <c r="C4" s="87"/>
      <c r="D4" s="88"/>
      <c r="P4" s="86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2026-05-26T00:03:28Z</dcterms:modified>
</cp:coreProperties>
</file>