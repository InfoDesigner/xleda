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335AC7E7-CA7D-478A-91BE-3DA623BD4A0B}" xr6:coauthVersionLast="47" xr6:coauthVersionMax="47" xr10:uidLastSave="{00000000-0000-0000-0000-000000000000}"/>
  <bookViews>
    <workbookView xWindow="2724" yWindow="240" windowWidth="17280" windowHeight="8880" activeTab="1" xr2:uid="{040F3586-419E-4585-8ACE-6588AD7C95BD}"/>
  </bookViews>
  <sheets>
    <sheet name="Overview" sheetId="27" r:id="rId1"/>
    <sheet name="Field Analysis" sheetId="25" r:id="rId2"/>
    <sheet name="Pivot" sheetId="28" r:id="rId3"/>
    <sheet name="SinglePlot" sheetId="30" state="hidden" r:id="rId4"/>
    <sheet name="MultiplePlots" sheetId="31" state="hidden" r:id="rId5"/>
  </sheets>
  <functionGroups builtInGroupCount="19">
    <functionGroup name="Python Helper Functions"/>
  </functionGroups>
  <definedNames>
    <definedName name="Compiled_Lists">'Field Analysis'!$D$71:$D$80</definedName>
    <definedName name="Composition">'Field Analysis'!$D$25:$D$35</definedName>
    <definedName name="CompositionTable">'Field Analysis'!$E$34</definedName>
    <definedName name="DarkHeader">'Field Analysis'!$E$81</definedName>
    <definedName name="Data_Description">'Field Analysis'!$D$15:$D$22</definedName>
    <definedName name="DefaultWarn" localSheetId="2">Pivot!$C$7</definedName>
    <definedName name="Definitions">'Field Analysis'!$E$7:$I$7</definedName>
    <definedName name="Description">'Field Analysis'!$E$15</definedName>
    <definedName name="Dimensions">'Field Analysis'!$E$17</definedName>
    <definedName name="Field_Analysis">'Field Analysis'!$E$12:$E$80</definedName>
    <definedName name="Field_Lists">'Field Analysis'!$D$60:$D$68</definedName>
    <definedName name="Field_Notes">'Field Analysis'!$D$7:$D$10</definedName>
    <definedName name="FieldList1" localSheetId="4">#REF!</definedName>
    <definedName name="FieldList1" localSheetId="3">#REF!</definedName>
    <definedName name="FieldList1">'Field Analysis'!$E$60:$I$60</definedName>
    <definedName name="FieldList2" localSheetId="4">#REF!</definedName>
    <definedName name="FieldList2" localSheetId="3">#REF!</definedName>
    <definedName name="FieldList2">'Field Analysis'!$E$61:$I$61</definedName>
    <definedName name="FieldList3" localSheetId="4">#REF!</definedName>
    <definedName name="FieldList3" localSheetId="3">#REF!</definedName>
    <definedName name="FieldList3">'Field Analysis'!$E$62:$I$62</definedName>
    <definedName name="FieldList4" localSheetId="4">#REF!</definedName>
    <definedName name="FieldList4" localSheetId="3">#REF!</definedName>
    <definedName name="FieldList4">'Field Analysis'!$E$63:$I$63</definedName>
    <definedName name="FieldList5" localSheetId="4">#REF!</definedName>
    <definedName name="FieldList5" localSheetId="3">#REF!</definedName>
    <definedName name="FieldList5">'Field Analysis'!$E$64:$I$64</definedName>
    <definedName name="FieldList6" localSheetId="4">#REF!</definedName>
    <definedName name="FieldList6" localSheetId="3">#REF!</definedName>
    <definedName name="FieldList6">'Field Analysis'!$E$65:$I$65</definedName>
    <definedName name="FieldList7" localSheetId="4">#REF!</definedName>
    <definedName name="FieldList7" localSheetId="3">#REF!</definedName>
    <definedName name="FieldList7">'Field Analysis'!$E$66:$I$66</definedName>
    <definedName name="FieldList8" localSheetId="4">#REF!</definedName>
    <definedName name="FieldList8" localSheetId="3">#REF!</definedName>
    <definedName name="FieldList8">'Field Analysis'!$E$67:$I$67</definedName>
    <definedName name="FieldLists">'Field Analysis'!$D$60:$J$67</definedName>
    <definedName name="FieldRange" localSheetId="4">#REF!</definedName>
    <definedName name="FieldRange" localSheetId="3">#REF!</definedName>
    <definedName name="FieldRange">'Field Analysis'!$E$81:$I$81</definedName>
    <definedName name="FormatRange">'Field Analysis'!$G:$G</definedName>
    <definedName name="Headers">'Field Analysis'!$E$11:$I$11</definedName>
    <definedName name="Headers_Start">'Field Analysis'!$E$11</definedName>
    <definedName name="Histogram">'Field Analysis'!$E$44</definedName>
    <definedName name="LightHeader" localSheetId="4">#REF!</definedName>
    <definedName name="LightHeader" localSheetId="3">#REF!</definedName>
    <definedName name="LightHeader">'Field Analysis'!$D$81</definedName>
    <definedName name="Metadata">Overview!$C$4:$C$8</definedName>
    <definedName name="MultiplePlots" localSheetId="4">MultiplePlots!$D$9</definedName>
    <definedName name="MultiplePlotsTitle" localSheetId="4">MultiplePlots!$C$2</definedName>
    <definedName name="Name" localSheetId="4">#REF!</definedName>
    <definedName name="Name" localSheetId="3">#REF!</definedName>
    <definedName name="Name">'Field Analysis'!$C$3</definedName>
    <definedName name="Notes">'Field Analysis'!$E$9:$I$9</definedName>
    <definedName name="Percentiles">'Field Analysis'!$D$48:$D$57</definedName>
    <definedName name="RecordHashes">'Field Analysis'!$L$82:$L$101</definedName>
    <definedName name="SerializedLists">'Field Analysis'!$E$71:$E$80</definedName>
    <definedName name="SinglePlot" localSheetId="3">SinglePlot!$C$8</definedName>
    <definedName name="SinglePlotTitle" localSheetId="3">SinglePlot!$C$2</definedName>
    <definedName name="Summary_Stats">'Field Analysis'!$D$38:$D$45</definedName>
    <definedName name="Theme" localSheetId="1">'Field Analysis'!$C$11:$H$11</definedName>
    <definedName name="Theme" localSheetId="4">MultiplePlots!$B$6:$P$6</definedName>
    <definedName name="Theme" localSheetId="0">Overview!$B$10:$AA$10</definedName>
    <definedName name="Theme" localSheetId="2">Pivot!$B$4:$Q$4</definedName>
    <definedName name="Theme" localSheetId="3">SinglePlot!$B$6:$P$6</definedName>
    <definedName name="Toggles" localSheetId="4">#REF!,#REF!,#REF!,#REF!,#REF!,#REF!,#REF!</definedName>
    <definedName name="Toggles" localSheetId="3">#REF!,#REF!,#REF!,#REF!,#REF!,#REF!,#REF!</definedName>
    <definedName name="Toggles">'Field Analysis'!$C$5,'Field Analysis'!$C$13,'Field Analysis'!$C$23,'Field Analysis'!$C$36,'Field Analysis'!$C$46,'Field Analysis'!$C$58,'Field Analysis'!$C$69</definedName>
    <definedName name="TopToggle">'Field Analysis'!$B$3</definedName>
    <definedName name="Warning">'Field Analysis'!$D$1</definedName>
  </definedNames>
  <calcPr calcId="191029" iterateDelta="1E-4"/>
  <pivotCaches>
    <pivotCache cacheId="8" r:id="rId6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1" i="27" l="1"/>
  <c r="D12" i="27"/>
  <c r="D13" i="27"/>
  <c r="D14" i="27"/>
  <c r="D15" i="27"/>
  <c r="C11" i="27"/>
  <c r="C12" i="27"/>
  <c r="C13" i="27"/>
  <c r="C14" i="27"/>
  <c r="C15" i="27"/>
  <c r="E79" i="25" a="1"/>
  <c r="E79" i="25" s="1"/>
  <c r="D79" i="25"/>
  <c r="C2" i="28" l="1"/>
  <c r="B2" i="27"/>
  <c r="E78" i="25" a="1"/>
  <c r="E78" i="25" s="1"/>
  <c r="D78" i="25"/>
  <c r="E77" i="25" a="1"/>
  <c r="E77" i="25" s="1"/>
  <c r="D77" i="25"/>
  <c r="E76" i="25"/>
  <c r="D76" i="25"/>
  <c r="E75" i="25"/>
  <c r="D75" i="25"/>
  <c r="E74" i="25"/>
  <c r="D74" i="25"/>
  <c r="E73" i="25"/>
  <c r="D73" i="25"/>
  <c r="E72" i="25"/>
  <c r="D72" i="25"/>
  <c r="E71" i="25"/>
  <c r="D71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<sst xmlns="http://schemas.openxmlformats.org/spreadsheetml/2006/main" count="159" uniqueCount="73">
  <si>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</si>
  <si>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</si>
  <si>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</si>
  <si>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</si>
  <si>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</si>
  <si>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</si>
  <si>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</si>
  <si>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</si>
  <si>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</si>
  <si>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</si>
  <si>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</si>
  <si>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</si>
  <si>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</si>
  <si>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</si>
  <si>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</si>
  <si>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</si>
  <si>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</si>
  <si>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</si>
  <si>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</si>
  <si>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</si>
  <si>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</si>
  <si>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</si>
  <si>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</si>
  <si>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</si>
  <si>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</si>
  <si>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</si>
  <si>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</si>
  <si>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</si>
  <si>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</si>
  <si>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</si>
  <si>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</si>
  <si>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</si>
  <si>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</si>
  <si>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</si>
  <si>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</si>
  <si>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</si>
  <si>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</si>
  <si>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</si>
  <si>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</si>
  <si>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</si>
  <si>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</si>
  <si>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</si>
  <si>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</si>
  <si>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</si>
  <si>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</si>
  <si>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</si>
  <si>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</si>
  <si>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</si>
  <si>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</si>
  <si>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</si>
  <si>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</si>
  <si>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</si>
  <si>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</si>
  <si>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</si>
  <si>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</si>
  <si>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</si>
  <si>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</si>
  <si>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</si>
  <si>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Anagrams</t>
  </si>
  <si>
    <t>1,072 bytes</t>
  </si>
  <si>
    <t>subidr</t>
  </si>
  <si>
    <t>attnr</t>
  </si>
  <si>
    <t>num1</t>
  </si>
  <si>
    <t>num2</t>
  </si>
  <si>
    <t>num3</t>
  </si>
  <si>
    <t>index</t>
  </si>
  <si>
    <t>Record Hash</t>
  </si>
  <si>
    <t>int64</t>
  </si>
  <si>
    <t>str</t>
  </si>
  <si>
    <t>float64</t>
  </si>
  <si>
    <t>divided</t>
  </si>
  <si>
    <t>focused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</si>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</sst>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2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C72017"/>
        <bgColor indexed="64"/>
      </patternFill>
    </fill>
    <fill>
      <patternFill patternType="solid">
        <fgColor rgb="FF262626"/>
        <bgColor theme="1" tint="0.249977111117893"/>
      </patternFill>
    </fill>
  </fills>
  <borders count="20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</borders>
  <cellStyleXfs count="8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</cellStyleXfs>
  <cellXfs count="10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3" fillId="2" borderId="0" xfId="5" applyFill="1" applyBorder="1">
      <alignment horizontal="center" vertical="center"/>
    </xf>
    <xf numFmtId="0" fontId="3" fillId="2" borderId="10" xfId="5" applyFill="1" applyBorder="1">
      <alignment horizontal="center" vertical="center"/>
    </xf>
    <xf numFmtId="0" fontId="11" fillId="2" borderId="9" xfId="5" applyFont="1" applyBorder="1">
      <alignment horizontal="center" vertical="center"/>
    </xf>
    <xf numFmtId="0" fontId="11" fillId="2" borderId="0" xfId="5" applyFont="1" applyBorder="1">
      <alignment horizontal="center" vertical="center"/>
    </xf>
    <xf numFmtId="0" fontId="11" fillId="2" borderId="10" xfId="5" applyFont="1" applyBorder="1">
      <alignment horizontal="center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7" borderId="0" xfId="0" applyFont="1" applyFill="1" applyAlignment="1">
      <alignment wrapText="1"/>
    </xf>
    <xf numFmtId="0" fontId="14" fillId="7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7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0" fontId="3" fillId="2" borderId="1" xfId="5">
      <alignment horizontal="center" vertical="center"/>
    </xf>
    <xf numFmtId="0" fontId="0" fillId="8" borderId="0" xfId="0" applyFill="1"/>
    <xf numFmtId="0" fontId="4" fillId="8" borderId="0" xfId="0" applyFont="1" applyFill="1" applyAlignment="1">
      <alignment horizontal="center" vertical="center"/>
    </xf>
    <xf numFmtId="0" fontId="0" fillId="8" borderId="16" xfId="0" applyFill="1" applyBorder="1" applyAlignment="1">
      <alignment horizontal="left" vertical="center" indent="1"/>
    </xf>
    <xf numFmtId="0" fontId="0" fillId="8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17" xfId="0" applyFill="1" applyBorder="1" applyAlignment="1">
      <alignment horizontal="left" indent="1"/>
    </xf>
    <xf numFmtId="0" fontId="19" fillId="7" borderId="17" xfId="0" applyFont="1" applyFill="1" applyBorder="1" applyAlignment="1">
      <alignment horizontal="left" indent="1"/>
    </xf>
    <xf numFmtId="0" fontId="0" fillId="2" borderId="17" xfId="0" applyFill="1" applyBorder="1" applyAlignment="1">
      <alignment horizontal="center" vertical="center" wrapText="1"/>
    </xf>
    <xf numFmtId="164" fontId="8" fillId="3" borderId="17" xfId="0" applyNumberFormat="1" applyFont="1" applyFill="1" applyBorder="1" applyAlignment="1">
      <alignment horizontal="center" vertical="top" wrapText="1"/>
    </xf>
    <xf numFmtId="3" fontId="0" fillId="2" borderId="17" xfId="0" applyNumberFormat="1" applyFill="1" applyBorder="1" applyAlignment="1">
      <alignment horizontal="center" vertical="center" wrapText="1"/>
    </xf>
    <xf numFmtId="164" fontId="0" fillId="2" borderId="17" xfId="0" applyNumberFormat="1" applyFill="1" applyBorder="1" applyAlignment="1">
      <alignment horizontal="center" vertical="center" wrapText="1"/>
    </xf>
    <xf numFmtId="4" fontId="0" fillId="2" borderId="17" xfId="0" applyNumberFormat="1" applyFill="1" applyBorder="1" applyAlignment="1">
      <alignment horizontal="center" vertical="center" wrapText="1"/>
    </xf>
    <xf numFmtId="9" fontId="0" fillId="8" borderId="16" xfId="0" applyNumberFormat="1" applyFill="1" applyBorder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22" fillId="7" borderId="0" xfId="7" applyFont="1" applyFill="1" applyAlignment="1">
      <alignment horizontal="center" vertical="center" wrapText="1"/>
    </xf>
    <xf numFmtId="0" fontId="23" fillId="7" borderId="15" xfId="0" applyFont="1" applyFill="1" applyBorder="1" applyAlignment="1">
      <alignment horizontal="center"/>
    </xf>
    <xf numFmtId="0" fontId="23" fillId="7" borderId="2" xfId="0" applyFont="1" applyFill="1" applyBorder="1" applyAlignment="1">
      <alignment horizontal="center"/>
    </xf>
    <xf numFmtId="0" fontId="23" fillId="7" borderId="16" xfId="0" applyFont="1" applyFill="1" applyBorder="1" applyAlignment="1">
      <alignment horizontal="center"/>
    </xf>
    <xf numFmtId="0" fontId="24" fillId="7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24" fillId="7" borderId="0" xfId="0" applyFont="1" applyFill="1" applyAlignment="1">
      <alignment horizontal="center" vertical="center" wrapText="1"/>
    </xf>
    <xf numFmtId="164" fontId="24" fillId="7" borderId="0" xfId="0" applyNumberFormat="1" applyFont="1" applyFill="1" applyAlignment="1">
      <alignment horizontal="center" vertical="center"/>
    </xf>
    <xf numFmtId="164" fontId="25" fillId="9" borderId="0" xfId="0" applyNumberFormat="1" applyFont="1" applyFill="1" applyAlignment="1">
      <alignment horizontal="center" vertical="center" wrapText="1"/>
    </xf>
    <xf numFmtId="10" fontId="24" fillId="7" borderId="0" xfId="0" applyNumberFormat="1" applyFont="1" applyFill="1" applyAlignment="1">
      <alignment horizontal="center" vertical="center"/>
    </xf>
  </cellXfs>
  <cellStyles count="8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SubItem" xfId="4" xr:uid="{D21B07FD-5F6D-4154-8AB7-63D035214F3C}"/>
    <cellStyle name="SubSectionTItle" xfId="3" xr:uid="{8B04109E-AD21-4C71-8EF5-077A68DD2476}"/>
  </cellStyles>
  <dxfs count="103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C72017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02"/>
      <tableStyleElement type="headerRow" dxfId="101"/>
      <tableStyleElement type="totalRow" dxfId="100"/>
    </tableStyle>
    <tableStyle name="DarkTable" pivot="0" count="2" xr9:uid="{97C242D2-6F6D-4549-9428-17456D609B35}">
      <tableStyleElement type="wholeTable" dxfId="99"/>
      <tableStyleElement type="headerRow" dxfId="98"/>
    </tableStyle>
  </tableStyles>
  <colors>
    <mruColors>
      <color rgb="FF262626"/>
      <color rgb="FF1EAC1D"/>
      <color rgb="FF000000"/>
      <color rgb="FF060606"/>
      <color rgb="FF565656"/>
      <color rgb="FFCCCC00"/>
      <color rgb="FFFFFFCC"/>
      <color rgb="FFFFFF99"/>
      <color rgb="FFE6E63E"/>
      <color rgb="FFE61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22</xdr:row>
      <xdr:rowOff>11430</xdr:rowOff>
    </xdr:from>
    <xdr:to>
      <xdr:col>3</xdr:col>
      <xdr:colOff>1679448</xdr:colOff>
      <xdr:row>22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35</xdr:row>
      <xdr:rowOff>11430</xdr:rowOff>
    </xdr:from>
    <xdr:to>
      <xdr:col>3</xdr:col>
      <xdr:colOff>1679448</xdr:colOff>
      <xdr:row>35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45</xdr:row>
      <xdr:rowOff>11430</xdr:rowOff>
    </xdr:from>
    <xdr:to>
      <xdr:col>3</xdr:col>
      <xdr:colOff>1679448</xdr:colOff>
      <xdr:row>45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57</xdr:row>
      <xdr:rowOff>11430</xdr:rowOff>
    </xdr:from>
    <xdr:to>
      <xdr:col>3</xdr:col>
      <xdr:colOff>1679448</xdr:colOff>
      <xdr:row>57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68</xdr:row>
      <xdr:rowOff>11430</xdr:rowOff>
    </xdr:from>
    <xdr:to>
      <xdr:col>3</xdr:col>
      <xdr:colOff>1679448</xdr:colOff>
      <xdr:row>68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209FA15D-AE98-440E-9A73-7E38DC139601}"/>
            </a:ext>
          </a:extLst>
        </xdr:cNvPr>
        <xdr:cNvSpPr>
          <a:spLocks/>
        </xdr:cNvSpPr>
      </xdr:nvSpPr>
      <xdr:spPr>
        <a:xfrm>
          <a:off x="484632" y="7200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12</xdr:row>
      <xdr:rowOff>11430</xdr:rowOff>
    </xdr:from>
    <xdr:to>
      <xdr:col>3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1A2B53F1-B9E0-4590-9F49-D00E6827E2D0}"/>
            </a:ext>
          </a:extLst>
        </xdr:cNvPr>
        <xdr:cNvSpPr>
          <a:spLocks/>
        </xdr:cNvSpPr>
      </xdr:nvSpPr>
      <xdr:spPr>
        <a:xfrm>
          <a:off x="484632" y="26784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95250</xdr:colOff>
      <xdr:row>33</xdr:row>
      <xdr:rowOff>95250</xdr:rowOff>
    </xdr:from>
    <xdr:to>
      <xdr:col>4</xdr:col>
      <xdr:colOff>1809750</xdr:colOff>
      <xdr:row>33</xdr:row>
      <xdr:rowOff>1809750</xdr:rowOff>
    </xdr:to>
    <xdr:pic>
      <xdr:nvPicPr>
        <xdr:cNvPr id="11" name="composition_subidr">
          <a:extLst>
            <a:ext uri="{FF2B5EF4-FFF2-40B4-BE49-F238E27FC236}">
              <a16:creationId xmlns:a16="http://schemas.microsoft.com/office/drawing/2014/main" id="{E53A4AD7-9706-D987-492B-7908E010F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43</xdr:row>
      <xdr:rowOff>95250</xdr:rowOff>
    </xdr:from>
    <xdr:to>
      <xdr:col>4</xdr:col>
      <xdr:colOff>1809750</xdr:colOff>
      <xdr:row>43</xdr:row>
      <xdr:rowOff>1809750</xdr:rowOff>
    </xdr:to>
    <xdr:pic>
      <xdr:nvPicPr>
        <xdr:cNvPr id="13" name="histogram_subidr">
          <a:extLst>
            <a:ext uri="{FF2B5EF4-FFF2-40B4-BE49-F238E27FC236}">
              <a16:creationId xmlns:a16="http://schemas.microsoft.com/office/drawing/2014/main" id="{800BE3A2-0421-3C90-60D9-5BF675C9A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33</xdr:row>
      <xdr:rowOff>95250</xdr:rowOff>
    </xdr:from>
    <xdr:to>
      <xdr:col>5</xdr:col>
      <xdr:colOff>1809750</xdr:colOff>
      <xdr:row>33</xdr:row>
      <xdr:rowOff>1809750</xdr:rowOff>
    </xdr:to>
    <xdr:pic>
      <xdr:nvPicPr>
        <xdr:cNvPr id="15" name="composition_attnr">
          <a:extLst>
            <a:ext uri="{FF2B5EF4-FFF2-40B4-BE49-F238E27FC236}">
              <a16:creationId xmlns:a16="http://schemas.microsoft.com/office/drawing/2014/main" id="{45A0C582-3529-7A09-207E-A4C905EF50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33</xdr:row>
      <xdr:rowOff>95250</xdr:rowOff>
    </xdr:from>
    <xdr:to>
      <xdr:col>6</xdr:col>
      <xdr:colOff>1809750</xdr:colOff>
      <xdr:row>33</xdr:row>
      <xdr:rowOff>1809750</xdr:rowOff>
    </xdr:to>
    <xdr:pic>
      <xdr:nvPicPr>
        <xdr:cNvPr id="17" name="composition_num1">
          <a:extLst>
            <a:ext uri="{FF2B5EF4-FFF2-40B4-BE49-F238E27FC236}">
              <a16:creationId xmlns:a16="http://schemas.microsoft.com/office/drawing/2014/main" id="{08CFD1A9-6D89-BDE5-10DA-721B9070D6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43</xdr:row>
      <xdr:rowOff>95250</xdr:rowOff>
    </xdr:from>
    <xdr:to>
      <xdr:col>6</xdr:col>
      <xdr:colOff>1809750</xdr:colOff>
      <xdr:row>43</xdr:row>
      <xdr:rowOff>1809750</xdr:rowOff>
    </xdr:to>
    <xdr:pic>
      <xdr:nvPicPr>
        <xdr:cNvPr id="19" name="histogram_num1">
          <a:extLst>
            <a:ext uri="{FF2B5EF4-FFF2-40B4-BE49-F238E27FC236}">
              <a16:creationId xmlns:a16="http://schemas.microsoft.com/office/drawing/2014/main" id="{AA175DA0-BCDE-4F60-C13F-698295F56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0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33</xdr:row>
      <xdr:rowOff>95250</xdr:rowOff>
    </xdr:from>
    <xdr:to>
      <xdr:col>7</xdr:col>
      <xdr:colOff>1809750</xdr:colOff>
      <xdr:row>33</xdr:row>
      <xdr:rowOff>1809750</xdr:rowOff>
    </xdr:to>
    <xdr:pic>
      <xdr:nvPicPr>
        <xdr:cNvPr id="21" name="composition_num2">
          <a:extLst>
            <a:ext uri="{FF2B5EF4-FFF2-40B4-BE49-F238E27FC236}">
              <a16:creationId xmlns:a16="http://schemas.microsoft.com/office/drawing/2014/main" id="{6291C1A4-0AD0-738B-3E19-CCB728C510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43</xdr:row>
      <xdr:rowOff>95250</xdr:rowOff>
    </xdr:from>
    <xdr:to>
      <xdr:col>7</xdr:col>
      <xdr:colOff>1809750</xdr:colOff>
      <xdr:row>43</xdr:row>
      <xdr:rowOff>1809750</xdr:rowOff>
    </xdr:to>
    <xdr:pic>
      <xdr:nvPicPr>
        <xdr:cNvPr id="23" name="histogram_num2">
          <a:extLst>
            <a:ext uri="{FF2B5EF4-FFF2-40B4-BE49-F238E27FC236}">
              <a16:creationId xmlns:a16="http://schemas.microsoft.com/office/drawing/2014/main" id="{62A5728A-553E-E590-7C4E-C9150477DE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5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33</xdr:row>
      <xdr:rowOff>95250</xdr:rowOff>
    </xdr:from>
    <xdr:to>
      <xdr:col>8</xdr:col>
      <xdr:colOff>1809750</xdr:colOff>
      <xdr:row>33</xdr:row>
      <xdr:rowOff>1809750</xdr:rowOff>
    </xdr:to>
    <xdr:pic>
      <xdr:nvPicPr>
        <xdr:cNvPr id="25" name="composition_num3">
          <a:extLst>
            <a:ext uri="{FF2B5EF4-FFF2-40B4-BE49-F238E27FC236}">
              <a16:creationId xmlns:a16="http://schemas.microsoft.com/office/drawing/2014/main" id="{BA329476-B0F8-1C02-6A39-046576AC1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43</xdr:row>
      <xdr:rowOff>95250</xdr:rowOff>
    </xdr:from>
    <xdr:to>
      <xdr:col>8</xdr:col>
      <xdr:colOff>1809750</xdr:colOff>
      <xdr:row>43</xdr:row>
      <xdr:rowOff>1809750</xdr:rowOff>
    </xdr:to>
    <xdr:pic>
      <xdr:nvPicPr>
        <xdr:cNvPr id="27" name="histogram_num3">
          <a:extLst>
            <a:ext uri="{FF2B5EF4-FFF2-40B4-BE49-F238E27FC236}">
              <a16:creationId xmlns:a16="http://schemas.microsoft.com/office/drawing/2014/main" id="{A1B613C0-4B2A-D20E-3CA0-777E4C8F6A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290" y="443103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1.893710185184" createdVersion="8" refreshedVersion="8" minRefreshableVersion="3" recordCount="20" xr:uid="{00DEDBB6-1F4A-4C10-B2D2-FF41FE7983D3}">
  <cacheSource type="worksheet">
    <worksheetSource name="tbl_SourceData"/>
  </cacheSource>
  <cacheFields count="9">
    <cacheField name="Record List" numFmtId="0">
      <sharedItems/>
    </cacheField>
    <cacheField name="subidr" numFmtId="0">
      <sharedItems containsSemiMixedTypes="0" containsString="0" containsNumber="1" containsInteger="1" minValue="1" maxValue="20" count="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</sharedItems>
    </cacheField>
    <cacheField name="attnr" numFmtId="0">
      <sharedItems count="2">
        <s v="divided"/>
        <s v="focused"/>
      </sharedItems>
    </cacheField>
    <cacheField name="num1" numFmtId="0">
      <sharedItems containsSemiMixedTypes="0" containsString="0" containsNumber="1" containsInteger="1" minValue="2" maxValue="8" count="7">
        <n v="2"/>
        <n v="3"/>
        <n v="5"/>
        <n v="4"/>
        <n v="6"/>
        <n v="8"/>
        <n v="7"/>
      </sharedItems>
    </cacheField>
    <cacheField name="num2" numFmtId="0">
      <sharedItems containsSemiMixedTypes="0" containsString="0" containsNumber="1" minValue="3" maxValue="9" count="8">
        <n v="4"/>
        <n v="5"/>
        <n v="7"/>
        <n v="4.5"/>
        <n v="3"/>
        <n v="9"/>
        <n v="8"/>
        <n v="6"/>
      </sharedItems>
    </cacheField>
    <cacheField name="num3" numFmtId="0">
      <sharedItems containsSemiMixedTypes="0" containsString="0" containsNumber="1" containsInteger="1" minValue="5" maxValue="9" count="5">
        <n v="7"/>
        <n v="5"/>
        <n v="6"/>
        <n v="8"/>
        <n v="9"/>
      </sharedItems>
    </cacheField>
    <cacheField name="index" numFmtId="0">
      <sharedItems containsSemiMixedTypes="0" containsString="0" containsNumber="1" containsInteger="1" minValue="0" maxValue="19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5.529764294251399E+17" maxValue="1.775017833101467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b v="0"/>
    <x v="0"/>
    <x v="0"/>
    <x v="0"/>
    <x v="0"/>
    <x v="0"/>
    <n v="0"/>
    <n v="0"/>
    <n v="5.7670709413799444E+18"/>
  </r>
  <r>
    <b v="0"/>
    <x v="1"/>
    <x v="0"/>
    <x v="1"/>
    <x v="0"/>
    <x v="1"/>
    <n v="1"/>
    <n v="0"/>
    <n v="9.8110749963619082E+18"/>
  </r>
  <r>
    <b v="0"/>
    <x v="2"/>
    <x v="0"/>
    <x v="1"/>
    <x v="1"/>
    <x v="2"/>
    <n v="2"/>
    <n v="0"/>
    <n v="1.5185267908064334E+19"/>
  </r>
  <r>
    <b v="0"/>
    <x v="3"/>
    <x v="0"/>
    <x v="2"/>
    <x v="2"/>
    <x v="1"/>
    <n v="3"/>
    <n v="0"/>
    <n v="1.4818889003648379E+19"/>
  </r>
  <r>
    <b v="0"/>
    <x v="4"/>
    <x v="0"/>
    <x v="3"/>
    <x v="1"/>
    <x v="3"/>
    <n v="4"/>
    <n v="0"/>
    <n v="1.1706727587698635E+19"/>
  </r>
  <r>
    <b v="0"/>
    <x v="5"/>
    <x v="0"/>
    <x v="2"/>
    <x v="1"/>
    <x v="2"/>
    <n v="5"/>
    <n v="0"/>
    <n v="1.5516404588838717E+19"/>
  </r>
  <r>
    <b v="0"/>
    <x v="6"/>
    <x v="0"/>
    <x v="2"/>
    <x v="3"/>
    <x v="2"/>
    <n v="6"/>
    <n v="0"/>
    <n v="3.8976898385748623E+18"/>
  </r>
  <r>
    <b v="0"/>
    <x v="7"/>
    <x v="0"/>
    <x v="2"/>
    <x v="2"/>
    <x v="3"/>
    <n v="7"/>
    <n v="0"/>
    <n v="1.775017833101467E+19"/>
  </r>
  <r>
    <b v="0"/>
    <x v="8"/>
    <x v="0"/>
    <x v="0"/>
    <x v="4"/>
    <x v="0"/>
    <n v="8"/>
    <n v="0"/>
    <n v="1.2533281262872971E+19"/>
  </r>
  <r>
    <b v="0"/>
    <x v="9"/>
    <x v="0"/>
    <x v="4"/>
    <x v="1"/>
    <x v="2"/>
    <n v="9"/>
    <n v="0"/>
    <n v="4.2456818337275049E+18"/>
  </r>
  <r>
    <b v="0"/>
    <x v="10"/>
    <x v="1"/>
    <x v="4"/>
    <x v="1"/>
    <x v="2"/>
    <n v="10"/>
    <n v="0"/>
    <n v="8.9488153046142781E+18"/>
  </r>
  <r>
    <b v="0"/>
    <x v="11"/>
    <x v="1"/>
    <x v="5"/>
    <x v="5"/>
    <x v="3"/>
    <n v="11"/>
    <n v="0"/>
    <n v="8.6347300695383593E+18"/>
  </r>
  <r>
    <b v="0"/>
    <x v="12"/>
    <x v="1"/>
    <x v="4"/>
    <x v="1"/>
    <x v="4"/>
    <n v="12"/>
    <n v="0"/>
    <n v="5.529764294251399E+17"/>
  </r>
  <r>
    <b v="0"/>
    <x v="13"/>
    <x v="1"/>
    <x v="5"/>
    <x v="6"/>
    <x v="0"/>
    <n v="13"/>
    <n v="0"/>
    <n v="6.0535899029625651E+18"/>
  </r>
  <r>
    <b v="0"/>
    <x v="14"/>
    <x v="1"/>
    <x v="5"/>
    <x v="6"/>
    <x v="0"/>
    <n v="14"/>
    <n v="0"/>
    <n v="4.6373634661613629E+18"/>
  </r>
  <r>
    <b v="0"/>
    <x v="15"/>
    <x v="1"/>
    <x v="4"/>
    <x v="6"/>
    <x v="0"/>
    <n v="15"/>
    <n v="0"/>
    <n v="2.1823148008439782E+18"/>
  </r>
  <r>
    <b v="0"/>
    <x v="16"/>
    <x v="1"/>
    <x v="6"/>
    <x v="2"/>
    <x v="2"/>
    <n v="16"/>
    <n v="0"/>
    <n v="1.4803097006378422E+19"/>
  </r>
  <r>
    <b v="0"/>
    <x v="17"/>
    <x v="1"/>
    <x v="6"/>
    <x v="6"/>
    <x v="2"/>
    <n v="17"/>
    <n v="0"/>
    <n v="1.0995783053251607E+19"/>
  </r>
  <r>
    <b v="0"/>
    <x v="18"/>
    <x v="1"/>
    <x v="2"/>
    <x v="7"/>
    <x v="2"/>
    <n v="18"/>
    <n v="0"/>
    <n v="2.7634300901850066E+18"/>
  </r>
  <r>
    <b v="0"/>
    <x v="19"/>
    <x v="1"/>
    <x v="4"/>
    <x v="7"/>
    <x v="1"/>
    <n v="19"/>
    <n v="0"/>
    <n v="4.1117176064395331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J29" firstHeaderRow="0" firstDataRow="1" firstDataCol="5"/>
  <pivotFields count="9">
    <pivotField compact="0" outline="0" showAll="0"/>
    <pivotField axis="axisRow" compact="0" outline="0" showAll="0" defaultSubtotal="0">
      <items count="2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7">
        <item sd="0" x="0"/>
        <item sd="0" x="1"/>
        <item sd="0" x="3"/>
        <item sd="0" x="2"/>
        <item sd="0" x="4"/>
        <item sd="0" x="6"/>
        <item sd="0" x="5"/>
      </items>
    </pivotField>
    <pivotField axis="axisRow" compact="0" outline="0" showAll="0" defaultSubtotal="0">
      <items count="8">
        <item sd="0" x="4"/>
        <item sd="0" x="0"/>
        <item sd="0" x="3"/>
        <item sd="0" x="1"/>
        <item sd="0" x="7"/>
        <item sd="0" x="2"/>
        <item sd="0" x="6"/>
        <item sd="0" x="5"/>
      </items>
    </pivotField>
    <pivotField axis="axisRow" compact="0" outline="0" showAll="0" defaultSubtotal="0">
      <items count="5">
        <item x="1"/>
        <item x="2"/>
        <item x="0"/>
        <item x="3"/>
        <item x="4"/>
      </items>
    </pivotField>
    <pivotField compact="0" outline="0" showAll="0"/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49">
    <format dxfId="64">
      <pivotArea type="all" dataOnly="0" outline="0" fieldPosition="0"/>
    </format>
    <format dxfId="63">
      <pivotArea outline="0" collapsedLevelsAreSubtotals="1" fieldPosition="0"/>
    </format>
    <format dxfId="62">
      <pivotArea dataOnly="0" labelOnly="1" grandRow="1" outline="0" fieldPosition="0"/>
    </format>
    <format dxfId="6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0">
      <pivotArea type="all" dataOnly="0" outline="0" fieldPosition="0"/>
    </format>
    <format dxfId="59">
      <pivotArea dataOnly="0" outline="0" fieldPosition="0">
        <references count="1">
          <reference field="4294967294" count="1">
            <x v="0"/>
          </reference>
        </references>
      </pivotArea>
    </format>
    <format dxfId="58">
      <pivotArea outline="0" fieldPosition="0">
        <references count="1">
          <reference field="4294967294" count="1">
            <x v="0"/>
          </reference>
        </references>
      </pivotArea>
    </format>
    <format dxfId="57">
      <pivotArea outline="0" fieldPosition="0">
        <references count="1">
          <reference field="4294967294" count="1">
            <x v="1"/>
          </reference>
        </references>
      </pivotArea>
    </format>
    <format dxfId="56">
      <pivotArea type="all" dataOnly="0" outline="0" fieldPosition="0"/>
    </format>
    <format dxfId="55">
      <pivotArea outline="0" collapsedLevelsAreSubtotals="1" fieldPosition="0"/>
    </format>
    <format dxfId="54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53">
      <pivotArea outline="0" fieldPosition="0">
        <references count="1">
          <reference field="4294967294" count="1" selected="0">
            <x v="1"/>
          </reference>
        </references>
      </pivotArea>
    </format>
    <format dxfId="52">
      <pivotArea dataOnly="0" outline="0" fieldPosition="0">
        <references count="1">
          <reference field="4294967294" count="1">
            <x v="1"/>
          </reference>
        </references>
      </pivotArea>
    </format>
    <format dxfId="51">
      <pivotArea type="all" dataOnly="0" outline="0" fieldPosition="0"/>
    </format>
    <format dxfId="50">
      <pivotArea type="all" dataOnly="0" outline="0" fieldPosition="0"/>
    </format>
    <format dxfId="49">
      <pivotArea outline="0" fieldPosition="0">
        <references count="1">
          <reference field="4294967294" count="1">
            <x v="2"/>
          </reference>
        </references>
      </pivotArea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field="1" type="button" dataOnly="0" labelOnly="1" outline="0" axis="axisRow" fieldPosition="0"/>
    </format>
    <format dxfId="30">
      <pivotArea field="2" type="button" dataOnly="0" labelOnly="1" outline="0" axis="axisRow" fieldPosition="1"/>
    </format>
    <format dxfId="29">
      <pivotArea field="3" type="button" dataOnly="0" labelOnly="1" outline="0" axis="axisRow" fieldPosition="2"/>
    </format>
    <format dxfId="28">
      <pivotArea field="4" type="button" dataOnly="0" labelOnly="1" outline="0" axis="axisRow" fieldPosition="3"/>
    </format>
    <format dxfId="27">
      <pivotArea field="5" type="button" dataOnly="0" labelOnly="1" outline="0" axis="axisRow" fieldPosition="4"/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field="1" type="button" dataOnly="0" labelOnly="1" outline="0" axis="axisRow" fieldPosition="0"/>
    </format>
    <format dxfId="24">
      <pivotArea dataOnly="0" labelOnly="1" outline="0" fieldPosition="0">
        <references count="1">
          <reference field="1" count="1">
            <x v="0"/>
          </reference>
        </references>
      </pivotArea>
    </format>
    <format dxfId="23">
      <pivotArea dataOnly="0" labelOnly="1" outline="0" fieldPosition="0">
        <references count="1">
          <reference field="1" count="1">
            <x v="1"/>
          </reference>
        </references>
      </pivotArea>
    </format>
    <format dxfId="22">
      <pivotArea dataOnly="0" labelOnly="1" outline="0" fieldPosition="0">
        <references count="1">
          <reference field="1" count="1">
            <x v="2"/>
          </reference>
        </references>
      </pivotArea>
    </format>
    <format dxfId="21">
      <pivotArea dataOnly="0" labelOnly="1" outline="0" fieldPosition="0">
        <references count="1">
          <reference field="1" count="1">
            <x v="3"/>
          </reference>
        </references>
      </pivotArea>
    </format>
    <format dxfId="20">
      <pivotArea dataOnly="0" labelOnly="1" outline="0" fieldPosition="0">
        <references count="1">
          <reference field="1" count="1">
            <x v="4"/>
          </reference>
        </references>
      </pivotArea>
    </format>
    <format dxfId="19">
      <pivotArea dataOnly="0" labelOnly="1" outline="0" fieldPosition="0">
        <references count="1">
          <reference field="1" count="1">
            <x v="5"/>
          </reference>
        </references>
      </pivotArea>
    </format>
    <format dxfId="18">
      <pivotArea dataOnly="0" labelOnly="1" outline="0" fieldPosition="0">
        <references count="1">
          <reference field="1" count="1">
            <x v="6"/>
          </reference>
        </references>
      </pivotArea>
    </format>
    <format dxfId="17">
      <pivotArea dataOnly="0" labelOnly="1" outline="0" fieldPosition="0">
        <references count="1">
          <reference field="1" count="1">
            <x v="7"/>
          </reference>
        </references>
      </pivotArea>
    </format>
    <format dxfId="16">
      <pivotArea dataOnly="0" labelOnly="1" outline="0" fieldPosition="0">
        <references count="1">
          <reference field="1" count="1">
            <x v="8"/>
          </reference>
        </references>
      </pivotArea>
    </format>
    <format dxfId="15">
      <pivotArea dataOnly="0" labelOnly="1" outline="0" fieldPosition="0">
        <references count="1">
          <reference field="1" count="1">
            <x v="9"/>
          </reference>
        </references>
      </pivotArea>
    </format>
    <format dxfId="14">
      <pivotArea dataOnly="0" labelOnly="1" outline="0" fieldPosition="0">
        <references count="1">
          <reference field="1" count="1">
            <x v="10"/>
          </reference>
        </references>
      </pivotArea>
    </format>
    <format dxfId="13">
      <pivotArea dataOnly="0" labelOnly="1" outline="0" fieldPosition="0">
        <references count="1">
          <reference field="1" count="1">
            <x v="11"/>
          </reference>
        </references>
      </pivotArea>
    </format>
    <format dxfId="12">
      <pivotArea dataOnly="0" labelOnly="1" outline="0" fieldPosition="0">
        <references count="1">
          <reference field="1" count="1">
            <x v="12"/>
          </reference>
        </references>
      </pivotArea>
    </format>
    <format dxfId="11">
      <pivotArea dataOnly="0" labelOnly="1" outline="0" fieldPosition="0">
        <references count="1">
          <reference field="1" count="1">
            <x v="13"/>
          </reference>
        </references>
      </pivotArea>
    </format>
    <format dxfId="10">
      <pivotArea dataOnly="0" labelOnly="1" outline="0" fieldPosition="0">
        <references count="1">
          <reference field="1" count="1">
            <x v="14"/>
          </reference>
        </references>
      </pivotArea>
    </format>
    <format dxfId="9">
      <pivotArea dataOnly="0" labelOnly="1" outline="0" fieldPosition="0">
        <references count="1">
          <reference field="1" count="1">
            <x v="15"/>
          </reference>
        </references>
      </pivotArea>
    </format>
    <format dxfId="8">
      <pivotArea dataOnly="0" labelOnly="1" outline="0" fieldPosition="0">
        <references count="1">
          <reference field="1" count="1">
            <x v="16"/>
          </reference>
        </references>
      </pivotArea>
    </format>
    <format dxfId="7">
      <pivotArea dataOnly="0" labelOnly="1" outline="0" fieldPosition="0">
        <references count="1">
          <reference field="1" count="1">
            <x v="17"/>
          </reference>
        </references>
      </pivotArea>
    </format>
    <format dxfId="6">
      <pivotArea dataOnly="0" labelOnly="1" outline="0" fieldPosition="0">
        <references count="1">
          <reference field="1" count="1">
            <x v="18"/>
          </reference>
        </references>
      </pivotArea>
    </format>
    <format dxfId="5">
      <pivotArea dataOnly="0" labelOnly="1" outline="0" fieldPosition="0">
        <references count="1">
          <reference field="1" count="1">
            <x v="19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0:AA15" totalsRowShown="0" headerRowDxfId="45" dataDxfId="96" headerRowBorderDxfId="97">
  <autoFilter ref="B10:AA15" xr:uid="{034D1C74-BE18-490E-B396-097D407DA97D}"/>
  <tableColumns count="26">
    <tableColumn id="1" xr3:uid="{010A8E62-502A-4B19-B37A-BF59E03A068A}" name="Field" dataDxfId="95"/>
    <tableColumn id="2" xr3:uid="{AD236665-EC7C-404F-8915-AD7CD5510D0F}" name="Definition" dataDxfId="44">
      <calculatedColumnFormula>IF(INDEX(Definitions,1,MATCH(tbl_Overview[[#This Row],[Field]],Headers,0))="Definition","",INDEX(Definitions,1,MATCH(tbl_Overview[[#This Row],[Field]],Headers,0)))</calculatedColumnFormula>
    </tableColumn>
    <tableColumn id="3" xr3:uid="{B78AB378-5727-433E-AB9C-BB970FC42B31}" name="Field Notes" dataDxfId="43">
      <calculatedColumnFormula>IF(INDEX(Notes,1,MATCH(tbl_Overview[[#This Row],[Field]],Headers,0))="Note","",INDEX(Notes,1,MATCH(tbl_Overview[[#This Row],[Field]],Headers,0)))</calculatedColumnFormula>
    </tableColumn>
    <tableColumn id="4" xr3:uid="{EF15AE67-FE31-471E-840E-8104B878A3E8}" name="Data type" dataDxfId="94"/>
    <tableColumn id="5" xr3:uid="{5006D683-9D12-4B97-9EF2-6D41AF6E0B35}" name="Distinct %" dataDxfId="93"/>
    <tableColumn id="6" xr3:uid="{3AFB42F8-9976-44FF-9239-74914D5BE035}" name="Missing %" dataDxfId="92"/>
    <tableColumn id="7" xr3:uid="{4BA41102-DB06-4180-9754-C88722FE82BD}" name="Memory Usage %" dataDxfId="91"/>
    <tableColumn id="8" xr3:uid="{D22319BD-3A80-40F3-84FC-A6D1627B2F29}" name="Memory Usage" dataDxfId="90"/>
    <tableColumn id="9" xr3:uid="{77FAEE19-B6C7-4056-8EF3-5EB877C820C4}" name="Distinct" dataDxfId="89"/>
    <tableColumn id="10" xr3:uid="{54FF47BF-594E-417B-9028-64A4DFE4D389}" name="Count" dataDxfId="88"/>
    <tableColumn id="11" xr3:uid="{54E587FE-36DC-4522-91DC-8B81B386217B}" name="Count %" dataDxfId="87"/>
    <tableColumn id="12" xr3:uid="{0DE21D83-93B1-480C-BE9C-379DA0E532C7}" name="Missing" dataDxfId="86"/>
    <tableColumn id="13" xr3:uid="{C4B407B9-B7FB-4DFC-A6B3-885C816BAF99}" name="Mean" dataDxfId="85"/>
    <tableColumn id="14" xr3:uid="{9796FD8E-D568-43E1-AC6E-BFAE7C7B7017}" name="Median" dataDxfId="84"/>
    <tableColumn id="15" xr3:uid="{A6A7BCED-DD2F-4B41-A84C-2F2674A38A53}" name="Mode" dataDxfId="83"/>
    <tableColumn id="16" xr3:uid="{46607FA5-244C-49C2-997C-B64EB2E94FDE}" name="Standard Deviation" dataDxfId="82"/>
    <tableColumn id="17" xr3:uid="{80BA1782-4C46-45CE-B3FB-40B70BA09AF9}" name="Variance" dataDxfId="81"/>
    <tableColumn id="18" xr3:uid="{EC3C5A76-EF95-419C-87A8-D8885B542521}" name="Min" dataDxfId="80"/>
    <tableColumn id="19" xr3:uid="{BFE545F8-810C-4F0A-A0B2-FF0AB9764A07}" name="5%" dataDxfId="79"/>
    <tableColumn id="20" xr3:uid="{77D31A9B-57B1-4422-8EF9-6320F00E0DB9}" name="25%" dataDxfId="78"/>
    <tableColumn id="21" xr3:uid="{7A350787-F0EA-4E65-B596-5D7253E75CD6}" name="50%" dataDxfId="77"/>
    <tableColumn id="22" xr3:uid="{FB4C260E-A19F-4908-9DBF-DB4AC630982A}" name="75%" dataDxfId="76"/>
    <tableColumn id="23" xr3:uid="{FBECC9F1-5BC8-4774-9475-EB2D6D28F1E2}" name="95%" dataDxfId="75"/>
    <tableColumn id="24" xr3:uid="{839CD532-ED80-4544-A8C8-E9E036764A84}" name="Max" dataDxfId="74"/>
    <tableColumn id="25" xr3:uid="{9DDA1FD6-82B1-4FBE-8BBD-B40C331930D2}" name="Range" dataDxfId="73"/>
    <tableColumn id="26" xr3:uid="{902A027A-FD65-44D4-B3D0-5B3883ACFA39}" name="IQR" dataDxfId="72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81:L101" totalsRowShown="0" headerRowDxfId="39" dataDxfId="38" headerRowCellStyle="DarkHeader" dataCellStyle="Normal">
  <autoFilter ref="D81:L101" xr:uid="{DB1D1E60-5E37-456A-AD85-0649D531840E}"/>
  <tableColumns count="9">
    <tableColumn id="1" xr3:uid="{57EDF41E-F06D-4819-BADE-3D62DE46F06C}" name="Record List" dataDxfId="36" dataCellStyle="Normal"/>
    <tableColumn id="2" xr3:uid="{CF70C9CE-83FE-40FA-8089-C68B39CF665A}" name="subidr" dataDxfId="37" dataCellStyle="Normal"/>
    <tableColumn id="3" xr3:uid="{B8654690-502A-4FAF-9205-0118DABCB954}" name="attnr" dataDxfId="42" dataCellStyle="Normal"/>
    <tableColumn id="4" xr3:uid="{5A5BA001-2F93-4E62-880C-C4E8BDB17EEB}" name="num1" dataDxfId="41" dataCellStyle="Normal"/>
    <tableColumn id="5" xr3:uid="{5ACB3451-E04C-49FA-B9C9-5F01269FEC92}" name="num2" dataDxfId="40" dataCellStyle="Normal"/>
    <tableColumn id="6" xr3:uid="{96DD8A42-9070-4F39-8B33-0E8DF6B86EB3}" name="num3" dataDxfId="35" dataCellStyle="Normal"/>
    <tableColumn id="7" xr3:uid="{6830077D-122E-40A9-B8E3-C411A4D8D44B}" name="index" dataDxfId="34" dataCellStyle="Normal"/>
    <tableColumn id="8" xr3:uid="{83423B67-FB74-4D43-B2C3-3E144AFCA8E3}" name="HasBlank" dataDxfId="33" dataCellStyle="Normal"/>
    <tableColumn id="9" xr3:uid="{75D8B6E2-C99B-4447-84B6-ADD3EEA9117C}" name="Record Hash" dataDxfId="3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/>
  <dimension ref="B1:AA15"/>
  <sheetViews>
    <sheetView zoomScale="85" zoomScaleNormal="85" workbookViewId="0">
      <selection activeCell="B10" sqref="B10"/>
    </sheetView>
  </sheetViews>
  <sheetFormatPr defaultRowHeight="15" customHeight="1"/>
  <cols>
    <col min="1" max="1" width="2.7773437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2:27" ht="14.4">
      <c r="AA1" s="4"/>
    </row>
    <row r="2" spans="2:27" ht="36.6" customHeight="1">
      <c r="B2" s="10" t="str">
        <f>Name</f>
        <v>Anagrams</v>
      </c>
      <c r="AA2" s="7"/>
    </row>
    <row r="3" spans="2:27" ht="10.050000000000001" customHeight="1">
      <c r="B3" s="40"/>
      <c r="AA3" s="8"/>
    </row>
    <row r="4" spans="2:27" ht="15" customHeight="1">
      <c r="B4" s="39" t="s">
        <v>8</v>
      </c>
      <c r="C4" s="36">
        <v>20</v>
      </c>
      <c r="AA4" s="9"/>
    </row>
    <row r="5" spans="2:27" ht="15" customHeight="1">
      <c r="B5" s="38" t="s">
        <v>55</v>
      </c>
      <c r="C5" s="37">
        <v>5</v>
      </c>
      <c r="AA5" s="4"/>
    </row>
    <row r="6" spans="2:27" ht="15" customHeight="1">
      <c r="B6" s="38" t="s">
        <v>14</v>
      </c>
      <c r="C6" s="37" t="s">
        <v>59</v>
      </c>
      <c r="AA6" s="4"/>
    </row>
    <row r="7" spans="2:27" ht="15" customHeight="1">
      <c r="B7" s="38" t="s">
        <v>56</v>
      </c>
      <c r="C7" s="70">
        <v>1</v>
      </c>
      <c r="D7" s="4"/>
    </row>
    <row r="8" spans="2:27" ht="15" customHeight="1">
      <c r="B8" s="41" t="s">
        <v>57</v>
      </c>
      <c r="C8" s="71">
        <v>0</v>
      </c>
      <c r="D8" s="6"/>
    </row>
    <row r="9" spans="2:27" ht="24" customHeight="1"/>
    <row r="10" spans="2:27" ht="40.049999999999997" customHeight="1">
      <c r="B10" s="79" t="s">
        <v>41</v>
      </c>
      <c r="C10" s="79" t="s">
        <v>42</v>
      </c>
      <c r="D10" s="79" t="s">
        <v>2</v>
      </c>
      <c r="E10" s="80" t="s">
        <v>10</v>
      </c>
      <c r="F10" s="80" t="s">
        <v>11</v>
      </c>
      <c r="G10" s="80" t="s">
        <v>12</v>
      </c>
      <c r="H10" s="80" t="s">
        <v>13</v>
      </c>
      <c r="I10" s="80" t="s">
        <v>14</v>
      </c>
      <c r="J10" s="80" t="s">
        <v>15</v>
      </c>
      <c r="K10" s="80" t="s">
        <v>16</v>
      </c>
      <c r="L10" s="80" t="s">
        <v>43</v>
      </c>
      <c r="M10" s="80" t="s">
        <v>17</v>
      </c>
      <c r="N10" s="80" t="s">
        <v>19</v>
      </c>
      <c r="O10" s="80" t="s">
        <v>20</v>
      </c>
      <c r="P10" s="80" t="s">
        <v>21</v>
      </c>
      <c r="Q10" s="80" t="s">
        <v>22</v>
      </c>
      <c r="R10" s="80" t="s">
        <v>23</v>
      </c>
      <c r="S10" s="80" t="s">
        <v>25</v>
      </c>
      <c r="T10" s="89" t="s">
        <v>44</v>
      </c>
      <c r="U10" s="89" t="s">
        <v>45</v>
      </c>
      <c r="V10" s="89" t="s">
        <v>46</v>
      </c>
      <c r="W10" s="89" t="s">
        <v>47</v>
      </c>
      <c r="X10" s="89" t="s">
        <v>48</v>
      </c>
      <c r="Y10" s="80" t="s">
        <v>26</v>
      </c>
      <c r="Z10" s="80" t="s">
        <v>27</v>
      </c>
      <c r="AA10" s="80" t="s">
        <v>28</v>
      </c>
    </row>
    <row r="11" spans="2:27" ht="15" customHeight="1">
      <c r="B11" s="64" t="s">
        <v>60</v>
      </c>
      <c r="C11" s="73" t="str">
        <f>IF(INDEX(Definitions,1,MATCH(tbl_Overview[[#This Row],[Field]],Headers,0))="Definition","",INDEX(Definitions,1,MATCH(tbl_Overview[[#This Row],[Field]],Headers,0)))</f>
        <v/>
      </c>
      <c r="D11" s="73" t="str">
        <f>IF(INDEX(Notes,1,MATCH(tbl_Overview[[#This Row],[Field]],Headers,0))="Note","",INDEX(Notes,1,MATCH(tbl_Overview[[#This Row],[Field]],Headers,0)))</f>
        <v/>
      </c>
      <c r="E11" s="65" t="s">
        <v>67</v>
      </c>
      <c r="F11" s="69">
        <v>1</v>
      </c>
      <c r="G11" s="69">
        <v>0</v>
      </c>
      <c r="H11" s="69">
        <v>0.14505893019038901</v>
      </c>
      <c r="I11" s="66">
        <v>160</v>
      </c>
      <c r="J11" s="66">
        <v>20</v>
      </c>
      <c r="K11" s="66">
        <v>20</v>
      </c>
      <c r="L11" s="67">
        <v>1</v>
      </c>
      <c r="M11" s="66">
        <v>0</v>
      </c>
      <c r="N11" s="68">
        <v>10.5</v>
      </c>
      <c r="O11" s="68">
        <v>10.5</v>
      </c>
      <c r="P11" s="68">
        <v>1</v>
      </c>
      <c r="Q11" s="68">
        <v>5.9160797830996099</v>
      </c>
      <c r="R11" s="68">
        <v>35</v>
      </c>
      <c r="S11" s="68">
        <v>1</v>
      </c>
      <c r="T11" s="68">
        <v>1.95</v>
      </c>
      <c r="U11" s="68">
        <v>5.75</v>
      </c>
      <c r="V11" s="68">
        <v>10.5</v>
      </c>
      <c r="W11" s="68">
        <v>15.25</v>
      </c>
      <c r="X11" s="68">
        <v>19.05</v>
      </c>
      <c r="Y11" s="68">
        <v>20</v>
      </c>
      <c r="Z11" s="68">
        <v>19</v>
      </c>
      <c r="AA11" s="68">
        <v>9.5</v>
      </c>
    </row>
    <row r="12" spans="2:27" ht="15" customHeight="1">
      <c r="B12" s="64" t="s">
        <v>61</v>
      </c>
      <c r="C12" s="73" t="str">
        <f>IF(INDEX(Definitions,1,MATCH(tbl_Overview[[#This Row],[Field]],Headers,0))="Definition","",INDEX(Definitions,1,MATCH(tbl_Overview[[#This Row],[Field]],Headers,0)))</f>
        <v/>
      </c>
      <c r="D12" s="73" t="str">
        <f>IF(INDEX(Notes,1,MATCH(tbl_Overview[[#This Row],[Field]],Headers,0))="Note","",INDEX(Notes,1,MATCH(tbl_Overview[[#This Row],[Field]],Headers,0)))</f>
        <v/>
      </c>
      <c r="E12" s="65" t="s">
        <v>68</v>
      </c>
      <c r="F12" s="81">
        <v>0.1</v>
      </c>
      <c r="G12" s="81">
        <v>0</v>
      </c>
      <c r="H12" s="81">
        <v>0.27470534904805</v>
      </c>
      <c r="I12" s="66">
        <v>303</v>
      </c>
      <c r="J12" s="66">
        <v>2</v>
      </c>
      <c r="K12" s="66">
        <v>20</v>
      </c>
      <c r="L12" s="67">
        <v>1</v>
      </c>
      <c r="M12" s="66">
        <v>0</v>
      </c>
      <c r="N12" s="68"/>
      <c r="O12" s="68"/>
      <c r="P12" s="68" t="s">
        <v>70</v>
      </c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</row>
    <row r="13" spans="2:27" ht="15" customHeight="1">
      <c r="B13" s="64" t="s">
        <v>62</v>
      </c>
      <c r="C13" s="73" t="str">
        <f>IF(INDEX(Definitions,1,MATCH(tbl_Overview[[#This Row],[Field]],Headers,0))="Definition","",INDEX(Definitions,1,MATCH(tbl_Overview[[#This Row],[Field]],Headers,0)))</f>
        <v/>
      </c>
      <c r="D13" s="73" t="str">
        <f>IF(INDEX(Notes,1,MATCH(tbl_Overview[[#This Row],[Field]],Headers,0))="Note","",INDEX(Notes,1,MATCH(tbl_Overview[[#This Row],[Field]],Headers,0)))</f>
        <v/>
      </c>
      <c r="E13" s="65" t="s">
        <v>67</v>
      </c>
      <c r="F13" s="81">
        <v>0.35</v>
      </c>
      <c r="G13" s="81">
        <v>0</v>
      </c>
      <c r="H13" s="81">
        <v>0.14505893019038901</v>
      </c>
      <c r="I13" s="66">
        <v>160</v>
      </c>
      <c r="J13" s="66">
        <v>7</v>
      </c>
      <c r="K13" s="66">
        <v>20</v>
      </c>
      <c r="L13" s="67">
        <v>1</v>
      </c>
      <c r="M13" s="66">
        <v>0</v>
      </c>
      <c r="N13" s="68">
        <v>5.35</v>
      </c>
      <c r="O13" s="68">
        <v>5.5</v>
      </c>
      <c r="P13" s="68">
        <v>5</v>
      </c>
      <c r="Q13" s="68">
        <v>1.84319516629483</v>
      </c>
      <c r="R13" s="68">
        <v>3.3973684210526298</v>
      </c>
      <c r="S13" s="68">
        <v>2</v>
      </c>
      <c r="T13" s="68">
        <v>2</v>
      </c>
      <c r="U13" s="68">
        <v>4.75</v>
      </c>
      <c r="V13" s="68">
        <v>5.5</v>
      </c>
      <c r="W13" s="68">
        <v>6.25</v>
      </c>
      <c r="X13" s="68">
        <v>8</v>
      </c>
      <c r="Y13" s="68">
        <v>8</v>
      </c>
      <c r="Z13" s="68">
        <v>6</v>
      </c>
      <c r="AA13" s="68">
        <v>1.5</v>
      </c>
    </row>
    <row r="14" spans="2:27" ht="15" customHeight="1">
      <c r="B14" s="64" t="s">
        <v>63</v>
      </c>
      <c r="C14" s="73" t="str">
        <f>IF(INDEX(Definitions,1,MATCH(tbl_Overview[[#This Row],[Field]],Headers,0))="Definition","",INDEX(Definitions,1,MATCH(tbl_Overview[[#This Row],[Field]],Headers,0)))</f>
        <v/>
      </c>
      <c r="D14" s="73" t="str">
        <f>IF(INDEX(Notes,1,MATCH(tbl_Overview[[#This Row],[Field]],Headers,0))="Note","",INDEX(Notes,1,MATCH(tbl_Overview[[#This Row],[Field]],Headers,0)))</f>
        <v/>
      </c>
      <c r="E14" s="65" t="s">
        <v>69</v>
      </c>
      <c r="F14" s="81">
        <v>0.4</v>
      </c>
      <c r="G14" s="81">
        <v>0</v>
      </c>
      <c r="H14" s="81">
        <v>0.14505893019038901</v>
      </c>
      <c r="I14" s="66">
        <v>160</v>
      </c>
      <c r="J14" s="66">
        <v>8</v>
      </c>
      <c r="K14" s="66">
        <v>20</v>
      </c>
      <c r="L14" s="67">
        <v>1</v>
      </c>
      <c r="M14" s="66">
        <v>0</v>
      </c>
      <c r="N14" s="68">
        <v>5.9749999999999996</v>
      </c>
      <c r="O14" s="68">
        <v>5.5</v>
      </c>
      <c r="P14" s="68">
        <v>5</v>
      </c>
      <c r="Q14" s="68">
        <v>1.6739097001363299</v>
      </c>
      <c r="R14" s="68">
        <v>2.8019736842105201</v>
      </c>
      <c r="S14" s="68">
        <v>3</v>
      </c>
      <c r="T14" s="68">
        <v>3.95</v>
      </c>
      <c r="U14" s="68">
        <v>5</v>
      </c>
      <c r="V14" s="68">
        <v>5.5</v>
      </c>
      <c r="W14" s="68">
        <v>7.25</v>
      </c>
      <c r="X14" s="68">
        <v>8.0500000000000007</v>
      </c>
      <c r="Y14" s="68">
        <v>9</v>
      </c>
      <c r="Z14" s="68">
        <v>6</v>
      </c>
      <c r="AA14" s="68">
        <v>2.25</v>
      </c>
    </row>
    <row r="15" spans="2:27" ht="15" customHeight="1">
      <c r="B15" s="82" t="s">
        <v>64</v>
      </c>
      <c r="C15" s="83" t="str">
        <f>IF(INDEX(Definitions,1,MATCH(tbl_Overview[[#This Row],[Field]],Headers,0))="Definition","",INDEX(Definitions,1,MATCH(tbl_Overview[[#This Row],[Field]],Headers,0)))</f>
        <v/>
      </c>
      <c r="D15" s="83" t="str">
        <f>IF(INDEX(Notes,1,MATCH(tbl_Overview[[#This Row],[Field]],Headers,0))="Note","",INDEX(Notes,1,MATCH(tbl_Overview[[#This Row],[Field]],Headers,0)))</f>
        <v/>
      </c>
      <c r="E15" s="84" t="s">
        <v>67</v>
      </c>
      <c r="F15" s="85">
        <v>0.25</v>
      </c>
      <c r="G15" s="85">
        <v>0</v>
      </c>
      <c r="H15" s="85">
        <v>0.14505893019038901</v>
      </c>
      <c r="I15" s="86">
        <v>160</v>
      </c>
      <c r="J15" s="86">
        <v>5</v>
      </c>
      <c r="K15" s="86">
        <v>20</v>
      </c>
      <c r="L15" s="87">
        <v>1</v>
      </c>
      <c r="M15" s="86">
        <v>0</v>
      </c>
      <c r="N15" s="88">
        <v>6.55</v>
      </c>
      <c r="O15" s="88">
        <v>6</v>
      </c>
      <c r="P15" s="88">
        <v>6</v>
      </c>
      <c r="Q15" s="88">
        <v>1.0990426455975599</v>
      </c>
      <c r="R15" s="88">
        <v>1.2078947368421</v>
      </c>
      <c r="S15" s="88">
        <v>5</v>
      </c>
      <c r="T15" s="88">
        <v>5</v>
      </c>
      <c r="U15" s="88">
        <v>6</v>
      </c>
      <c r="V15" s="88">
        <v>6</v>
      </c>
      <c r="W15" s="88">
        <v>7</v>
      </c>
      <c r="X15" s="88">
        <v>8.0500000000000007</v>
      </c>
      <c r="Y15" s="88">
        <v>9</v>
      </c>
      <c r="Z15" s="88">
        <v>4</v>
      </c>
      <c r="AA15" s="88">
        <v>1</v>
      </c>
    </row>
  </sheetData>
  <conditionalFormatting sqref="C7:C8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1:H15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/>
  <dimension ref="A1:L101"/>
  <sheetViews>
    <sheetView tabSelected="1" zoomScale="85" zoomScaleNormal="85" workbookViewId="0">
      <pane xSplit="4" ySplit="11" topLeftCell="E12" activePane="bottomRight" state="frozen"/>
      <selection activeCell="A2" sqref="A2"/>
      <selection pane="topRight" activeCell="D2" sqref="D2"/>
      <selection pane="bottomLeft" activeCell="A12" sqref="A12"/>
      <selection pane="bottomRight" activeCell="E11" sqref="E11"/>
    </sheetView>
  </sheetViews>
  <sheetFormatPr defaultColWidth="15.77734375" defaultRowHeight="15" customHeight="1" outlineLevelRow="2"/>
  <cols>
    <col min="1" max="1" width="0.88671875" customWidth="1"/>
    <col min="2" max="2" width="3" style="48" customWidth="1"/>
    <col min="3" max="3" width="2.77734375" customWidth="1"/>
    <col min="4" max="4" width="25.77734375" customWidth="1"/>
    <col min="5" max="7" width="27.77734375" customWidth="1"/>
    <col min="8" max="9" width="27.77734375" style="48" customWidth="1"/>
  </cols>
  <sheetData>
    <row r="1" spans="1:12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</row>
    <row r="2" spans="1:12" ht="10.050000000000001" customHeight="1"/>
    <row r="3" spans="1:12" ht="36.6">
      <c r="B3" s="1" t="s">
        <v>1</v>
      </c>
      <c r="C3" s="31" t="s">
        <v>58</v>
      </c>
      <c r="D3" s="31"/>
    </row>
    <row r="4" spans="1:12" ht="10.050000000000001" customHeight="1"/>
    <row r="5" spans="1:12" ht="14.4">
      <c r="B5" s="32"/>
      <c r="C5" s="75" t="s">
        <v>1</v>
      </c>
      <c r="D5" s="2" t="s">
        <v>2</v>
      </c>
    </row>
    <row r="6" spans="1:12" ht="10.050000000000001" customHeight="1">
      <c r="B6" s="32"/>
      <c r="C6" s="32"/>
    </row>
    <row r="7" spans="1:12" ht="34.950000000000003" hidden="1" customHeight="1" outlineLevel="1">
      <c r="B7" s="32"/>
      <c r="C7" s="32"/>
      <c r="D7" s="30" t="s">
        <v>3</v>
      </c>
      <c r="E7" s="42" t="s">
        <v>42</v>
      </c>
      <c r="F7" s="43" t="s">
        <v>42</v>
      </c>
      <c r="G7" s="43" t="s">
        <v>42</v>
      </c>
      <c r="H7" s="43" t="s">
        <v>42</v>
      </c>
      <c r="I7" s="43" t="s">
        <v>42</v>
      </c>
    </row>
    <row r="8" spans="1:12" ht="10.050000000000001" hidden="1" customHeight="1" outlineLevel="1">
      <c r="B8" s="32"/>
      <c r="C8" s="32"/>
    </row>
    <row r="9" spans="1:12" ht="34.950000000000003" hidden="1" customHeight="1" outlineLevel="1">
      <c r="D9" s="30" t="s">
        <v>4</v>
      </c>
      <c r="E9" s="44" t="s">
        <v>51</v>
      </c>
      <c r="F9" s="45" t="s">
        <v>51</v>
      </c>
      <c r="G9" s="46" t="s">
        <v>51</v>
      </c>
      <c r="H9" s="46" t="s">
        <v>51</v>
      </c>
      <c r="I9" s="46" t="s">
        <v>51</v>
      </c>
    </row>
    <row r="10" spans="1:12" ht="10.050000000000001" hidden="1" customHeight="1" outlineLevel="1"/>
    <row r="11" spans="1:12" s="35" customFormat="1" ht="30" customHeight="1" collapsed="1">
      <c r="A11"/>
      <c r="B11" s="48"/>
      <c r="C11" s="77"/>
      <c r="D11" s="77" t="s">
        <v>5</v>
      </c>
      <c r="E11" s="78" t="s">
        <v>60</v>
      </c>
      <c r="F11" s="78" t="s">
        <v>61</v>
      </c>
      <c r="G11" s="78" t="s">
        <v>62</v>
      </c>
      <c r="H11" s="78" t="s">
        <v>63</v>
      </c>
      <c r="I11" s="78" t="s">
        <v>64</v>
      </c>
      <c r="J11" s="35" t="s">
        <v>65</v>
      </c>
      <c r="K11" s="35" t="s">
        <v>40</v>
      </c>
      <c r="L11" s="35" t="s">
        <v>66</v>
      </c>
    </row>
    <row r="12" spans="1:12" ht="10.050000000000001" customHeight="1"/>
    <row r="13" spans="1:12" ht="14.4" outlineLevel="1">
      <c r="B13" s="32"/>
      <c r="C13" s="75" t="s">
        <v>1</v>
      </c>
      <c r="D13" s="33" t="s">
        <v>6</v>
      </c>
    </row>
    <row r="14" spans="1:12" ht="10.050000000000001" customHeight="1" outlineLevel="1">
      <c r="B14" s="32"/>
      <c r="C14" s="32"/>
      <c r="D14" s="32"/>
    </row>
    <row r="15" spans="1:12" ht="34.950000000000003" hidden="1" customHeight="1" outlineLevel="2">
      <c r="B15" s="32"/>
      <c r="C15" s="32"/>
      <c r="D15" s="72"/>
      <c r="E15" s="76" t="s">
        <v>7</v>
      </c>
      <c r="F15" s="76"/>
      <c r="G15" s="40"/>
      <c r="H15" s="40"/>
      <c r="I15" s="40"/>
    </row>
    <row r="16" spans="1:12" ht="14.4" hidden="1" outlineLevel="2">
      <c r="B16" s="32"/>
      <c r="C16" s="32"/>
      <c r="D16" s="32"/>
    </row>
    <row r="17" spans="2:9" ht="15" hidden="1" customHeight="1" outlineLevel="2">
      <c r="B17" s="32"/>
      <c r="C17" s="32"/>
      <c r="D17" s="34" t="s">
        <v>8</v>
      </c>
      <c r="E17" s="36">
        <v>20</v>
      </c>
    </row>
    <row r="18" spans="2:9" ht="15" hidden="1" customHeight="1" outlineLevel="2">
      <c r="B18" s="32"/>
      <c r="C18" s="32"/>
      <c r="D18" s="74" t="s">
        <v>55</v>
      </c>
      <c r="E18" s="37">
        <v>5</v>
      </c>
    </row>
    <row r="19" spans="2:9" s="48" customFormat="1" ht="15" hidden="1" customHeight="1" outlineLevel="2">
      <c r="B19" s="32"/>
      <c r="C19" s="32"/>
      <c r="D19" s="74" t="s">
        <v>14</v>
      </c>
      <c r="E19" s="37" t="s">
        <v>59</v>
      </c>
    </row>
    <row r="20" spans="2:9" s="48" customFormat="1" ht="15" hidden="1" customHeight="1" outlineLevel="2">
      <c r="B20" s="32"/>
      <c r="C20" s="32"/>
      <c r="D20" s="74" t="s">
        <v>56</v>
      </c>
      <c r="E20" s="70">
        <v>1</v>
      </c>
    </row>
    <row r="21" spans="2:9" s="48" customFormat="1" ht="15" hidden="1" customHeight="1" outlineLevel="2">
      <c r="D21" s="3" t="s">
        <v>57</v>
      </c>
      <c r="E21" s="71">
        <v>0</v>
      </c>
    </row>
    <row r="22" spans="2:9" ht="10.050000000000001" hidden="1" customHeight="1" outlineLevel="2"/>
    <row r="23" spans="2:9" ht="14.4" outlineLevel="1" collapsed="1">
      <c r="B23" s="32"/>
      <c r="C23" s="75" t="s">
        <v>1</v>
      </c>
      <c r="D23" s="2" t="s">
        <v>9</v>
      </c>
    </row>
    <row r="24" spans="2:9" ht="10.050000000000001" customHeight="1" outlineLevel="1">
      <c r="B24" s="32"/>
      <c r="C24" s="32"/>
    </row>
    <row r="25" spans="2:9" ht="15" hidden="1" customHeight="1" outlineLevel="2">
      <c r="B25" s="32"/>
      <c r="C25" s="32"/>
      <c r="D25" s="28" t="s">
        <v>10</v>
      </c>
      <c r="E25" s="18" t="s">
        <v>67</v>
      </c>
      <c r="F25" s="18" t="s">
        <v>68</v>
      </c>
      <c r="G25" s="18" t="s">
        <v>67</v>
      </c>
      <c r="H25" s="18" t="s">
        <v>69</v>
      </c>
      <c r="I25" s="18" t="s">
        <v>67</v>
      </c>
    </row>
    <row r="26" spans="2:9" ht="15" hidden="1" customHeight="1" outlineLevel="2">
      <c r="B26" s="32"/>
      <c r="C26" s="32"/>
      <c r="D26" s="3" t="s">
        <v>11</v>
      </c>
      <c r="E26" s="19">
        <v>1</v>
      </c>
      <c r="F26" s="19">
        <v>0.1</v>
      </c>
      <c r="G26" s="19">
        <v>0.35</v>
      </c>
      <c r="H26" s="19">
        <v>0.4</v>
      </c>
      <c r="I26" s="19">
        <v>0.25</v>
      </c>
    </row>
    <row r="27" spans="2:9" ht="15" hidden="1" customHeight="1" outlineLevel="2">
      <c r="B27" s="32"/>
      <c r="C27" s="32"/>
      <c r="D27" s="27" t="s">
        <v>12</v>
      </c>
      <c r="E27" s="19">
        <v>0</v>
      </c>
      <c r="F27" s="19">
        <v>0</v>
      </c>
      <c r="G27" s="19">
        <v>0</v>
      </c>
      <c r="H27" s="19">
        <v>0</v>
      </c>
      <c r="I27" s="19">
        <v>0</v>
      </c>
    </row>
    <row r="28" spans="2:9" ht="15" hidden="1" customHeight="1" outlineLevel="2">
      <c r="B28" s="32"/>
      <c r="C28" s="32"/>
      <c r="D28" s="27" t="s">
        <v>13</v>
      </c>
      <c r="E28" s="19">
        <v>0.14505893019038901</v>
      </c>
      <c r="F28" s="19">
        <v>0.27470534904805</v>
      </c>
      <c r="G28" s="19">
        <v>0.14505893019038901</v>
      </c>
      <c r="H28" s="19">
        <v>0.14505893019038901</v>
      </c>
      <c r="I28" s="19">
        <v>0.14505893019038901</v>
      </c>
    </row>
    <row r="29" spans="2:9" ht="15" hidden="1" customHeight="1" outlineLevel="2">
      <c r="B29" s="32"/>
      <c r="C29" s="32"/>
      <c r="D29" s="27" t="s">
        <v>14</v>
      </c>
      <c r="E29" s="20">
        <v>160</v>
      </c>
      <c r="F29" s="20">
        <v>303</v>
      </c>
      <c r="G29" s="20">
        <v>160</v>
      </c>
      <c r="H29" s="20">
        <v>160</v>
      </c>
      <c r="I29" s="20">
        <v>160</v>
      </c>
    </row>
    <row r="30" spans="2:9" ht="15" hidden="1" customHeight="1" outlineLevel="2">
      <c r="B30" s="32"/>
      <c r="C30" s="32"/>
      <c r="D30" s="27" t="s">
        <v>15</v>
      </c>
      <c r="E30" s="20">
        <v>20</v>
      </c>
      <c r="F30" s="20">
        <v>2</v>
      </c>
      <c r="G30" s="20">
        <v>7</v>
      </c>
      <c r="H30" s="20">
        <v>8</v>
      </c>
      <c r="I30" s="20">
        <v>5</v>
      </c>
    </row>
    <row r="31" spans="2:9" ht="15" hidden="1" customHeight="1" outlineLevel="2">
      <c r="B31" s="32"/>
      <c r="C31" s="32"/>
      <c r="D31" s="28" t="s">
        <v>16</v>
      </c>
      <c r="E31" s="20">
        <v>20</v>
      </c>
      <c r="F31" s="20">
        <v>20</v>
      </c>
      <c r="G31" s="20">
        <v>20</v>
      </c>
      <c r="H31" s="20">
        <v>20</v>
      </c>
      <c r="I31" s="20">
        <v>20</v>
      </c>
    </row>
    <row r="32" spans="2:9" ht="15" hidden="1" customHeight="1" outlineLevel="2">
      <c r="B32" s="32"/>
      <c r="C32" s="32"/>
      <c r="D32" s="3" t="s">
        <v>17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</row>
    <row r="33" spans="2:9" ht="10.050000000000001" hidden="1" customHeight="1" outlineLevel="2">
      <c r="B33" s="32"/>
      <c r="C33" s="32"/>
    </row>
    <row r="34" spans="2:9" ht="150" hidden="1" customHeight="1" outlineLevel="2"/>
    <row r="35" spans="2:9" ht="10.050000000000001" hidden="1" customHeight="1" outlineLevel="2"/>
    <row r="36" spans="2:9" ht="14.4" outlineLevel="1" collapsed="1">
      <c r="B36" s="32"/>
      <c r="C36" s="75" t="s">
        <v>1</v>
      </c>
      <c r="D36" s="2" t="s">
        <v>18</v>
      </c>
    </row>
    <row r="37" spans="2:9" ht="10.050000000000001" customHeight="1" outlineLevel="1">
      <c r="B37" s="32"/>
      <c r="C37" s="32"/>
    </row>
    <row r="38" spans="2:9" ht="15" hidden="1" customHeight="1" outlineLevel="2">
      <c r="B38" s="32"/>
      <c r="C38" s="32"/>
      <c r="D38" s="3" t="s">
        <v>19</v>
      </c>
      <c r="E38" s="21">
        <v>10.5</v>
      </c>
      <c r="F38" s="21"/>
      <c r="G38" s="21">
        <v>5.35</v>
      </c>
      <c r="H38" s="21">
        <v>5.9749999999999996</v>
      </c>
      <c r="I38" s="21">
        <v>6.55</v>
      </c>
    </row>
    <row r="39" spans="2:9" ht="15" hidden="1" customHeight="1" outlineLevel="2">
      <c r="B39" s="32"/>
      <c r="C39" s="32"/>
      <c r="D39" s="27" t="s">
        <v>20</v>
      </c>
      <c r="E39" s="21">
        <v>10.5</v>
      </c>
      <c r="F39" s="21"/>
      <c r="G39" s="21">
        <v>5.5</v>
      </c>
      <c r="H39" s="21">
        <v>5.5</v>
      </c>
      <c r="I39" s="21">
        <v>6</v>
      </c>
    </row>
    <row r="40" spans="2:9" ht="15" hidden="1" customHeight="1" outlineLevel="2">
      <c r="B40" s="32"/>
      <c r="C40" s="32"/>
      <c r="D40" s="27" t="s">
        <v>21</v>
      </c>
      <c r="E40" s="21">
        <v>1</v>
      </c>
      <c r="F40" s="21" t="s">
        <v>70</v>
      </c>
      <c r="G40" s="21">
        <v>5</v>
      </c>
      <c r="H40" s="21">
        <v>5</v>
      </c>
      <c r="I40" s="21">
        <v>6</v>
      </c>
    </row>
    <row r="41" spans="2:9" ht="15" hidden="1" customHeight="1" outlineLevel="2">
      <c r="B41" s="32"/>
      <c r="C41" s="32"/>
      <c r="D41" s="3" t="s">
        <v>22</v>
      </c>
      <c r="E41" s="21">
        <v>5.9160797830996099</v>
      </c>
      <c r="F41" s="21"/>
      <c r="G41" s="21">
        <v>1.84319516629483</v>
      </c>
      <c r="H41" s="21">
        <v>1.6739097001363299</v>
      </c>
      <c r="I41" s="21">
        <v>1.0990426455975599</v>
      </c>
    </row>
    <row r="42" spans="2:9" ht="15" hidden="1" customHeight="1" outlineLevel="2">
      <c r="B42" s="32"/>
      <c r="C42" s="32"/>
      <c r="D42" s="29" t="s">
        <v>23</v>
      </c>
      <c r="E42" s="21">
        <v>35</v>
      </c>
      <c r="F42" s="21"/>
      <c r="G42" s="21">
        <v>3.3973684210526298</v>
      </c>
      <c r="H42" s="21">
        <v>2.8019736842105201</v>
      </c>
      <c r="I42" s="21">
        <v>1.2078947368421</v>
      </c>
    </row>
    <row r="43" spans="2:9" ht="10.050000000000001" hidden="1" customHeight="1" outlineLevel="2">
      <c r="B43" s="32"/>
      <c r="C43" s="32"/>
    </row>
    <row r="44" spans="2:9" ht="150" hidden="1" customHeight="1" outlineLevel="2"/>
    <row r="45" spans="2:9" ht="10.050000000000001" hidden="1" customHeight="1" outlineLevel="2"/>
    <row r="46" spans="2:9" ht="14.4" outlineLevel="1" collapsed="1">
      <c r="B46" s="32"/>
      <c r="C46" s="75" t="s">
        <v>1</v>
      </c>
      <c r="D46" s="2" t="s">
        <v>24</v>
      </c>
    </row>
    <row r="47" spans="2:9" ht="10.050000000000001" customHeight="1" outlineLevel="1">
      <c r="B47" s="32"/>
      <c r="C47" s="32"/>
    </row>
    <row r="48" spans="2:9" ht="15" hidden="1" customHeight="1" outlineLevel="2">
      <c r="B48" s="32"/>
      <c r="C48" s="32"/>
      <c r="D48" s="3" t="s">
        <v>25</v>
      </c>
      <c r="E48" s="21">
        <v>1</v>
      </c>
      <c r="F48" s="21"/>
      <c r="G48" s="21">
        <v>2</v>
      </c>
      <c r="H48" s="21">
        <v>3</v>
      </c>
      <c r="I48" s="21">
        <v>5</v>
      </c>
    </row>
    <row r="49" spans="1:9" ht="15" hidden="1" customHeight="1" outlineLevel="2">
      <c r="B49" s="32"/>
      <c r="C49" s="32"/>
      <c r="D49" s="27">
        <v>0.05</v>
      </c>
      <c r="E49" s="21">
        <v>1.95</v>
      </c>
      <c r="F49" s="21"/>
      <c r="G49" s="21">
        <v>2</v>
      </c>
      <c r="H49" s="21">
        <v>3.95</v>
      </c>
      <c r="I49" s="21">
        <v>5</v>
      </c>
    </row>
    <row r="50" spans="1:9" ht="15" hidden="1" customHeight="1" outlineLevel="2">
      <c r="B50" s="32"/>
      <c r="C50" s="32"/>
      <c r="D50" s="28">
        <v>0.25</v>
      </c>
      <c r="E50" s="21">
        <v>5.75</v>
      </c>
      <c r="F50" s="21"/>
      <c r="G50" s="21">
        <v>4.75</v>
      </c>
      <c r="H50" s="21">
        <v>5</v>
      </c>
      <c r="I50" s="21">
        <v>6</v>
      </c>
    </row>
    <row r="51" spans="1:9" ht="15" hidden="1" customHeight="1" outlineLevel="2">
      <c r="B51" s="32"/>
      <c r="C51" s="32"/>
      <c r="D51" s="3">
        <v>0.5</v>
      </c>
      <c r="E51" s="21">
        <v>10.5</v>
      </c>
      <c r="F51" s="21"/>
      <c r="G51" s="21">
        <v>5.5</v>
      </c>
      <c r="H51" s="21">
        <v>5.5</v>
      </c>
      <c r="I51" s="21">
        <v>6</v>
      </c>
    </row>
    <row r="52" spans="1:9" ht="15" hidden="1" customHeight="1" outlineLevel="2">
      <c r="B52" s="32"/>
      <c r="C52" s="32"/>
      <c r="D52" s="27">
        <v>0.75</v>
      </c>
      <c r="E52" s="21">
        <v>15.25</v>
      </c>
      <c r="F52" s="21"/>
      <c r="G52" s="21">
        <v>6.25</v>
      </c>
      <c r="H52" s="21">
        <v>7.25</v>
      </c>
      <c r="I52" s="21">
        <v>7</v>
      </c>
    </row>
    <row r="53" spans="1:9" ht="15" hidden="1" customHeight="1" outlineLevel="2">
      <c r="B53" s="32"/>
      <c r="C53" s="32"/>
      <c r="D53" s="27">
        <v>0.95</v>
      </c>
      <c r="E53" s="21">
        <v>19.05</v>
      </c>
      <c r="F53" s="21"/>
      <c r="G53" s="21">
        <v>8</v>
      </c>
      <c r="H53" s="21">
        <v>8.0500000000000007</v>
      </c>
      <c r="I53" s="21">
        <v>8.0500000000000007</v>
      </c>
    </row>
    <row r="54" spans="1:9" ht="15" hidden="1" customHeight="1" outlineLevel="2">
      <c r="B54" s="32"/>
      <c r="C54" s="32"/>
      <c r="D54" s="3" t="s">
        <v>26</v>
      </c>
      <c r="E54" s="21">
        <v>20</v>
      </c>
      <c r="F54" s="21"/>
      <c r="G54" s="21">
        <v>8</v>
      </c>
      <c r="H54" s="21">
        <v>9</v>
      </c>
      <c r="I54" s="21">
        <v>9</v>
      </c>
    </row>
    <row r="55" spans="1:9" ht="15" hidden="1" customHeight="1" outlineLevel="2">
      <c r="B55" s="32"/>
      <c r="C55" s="32"/>
      <c r="D55" s="27" t="s">
        <v>27</v>
      </c>
      <c r="E55" s="21">
        <v>19</v>
      </c>
      <c r="F55" s="21"/>
      <c r="G55" s="21">
        <v>6</v>
      </c>
      <c r="H55" s="21">
        <v>6</v>
      </c>
      <c r="I55" s="21">
        <v>4</v>
      </c>
    </row>
    <row r="56" spans="1:9" ht="15" hidden="1" customHeight="1" outlineLevel="2">
      <c r="D56" s="3" t="s">
        <v>28</v>
      </c>
      <c r="E56" s="21">
        <v>9.5</v>
      </c>
      <c r="F56" s="21"/>
      <c r="G56" s="21">
        <v>1.5</v>
      </c>
      <c r="H56" s="21">
        <v>2.25</v>
      </c>
      <c r="I56" s="21">
        <v>1</v>
      </c>
    </row>
    <row r="57" spans="1:9" ht="10.050000000000001" hidden="1" customHeight="1" outlineLevel="2"/>
    <row r="58" spans="1:9" ht="14.4" outlineLevel="1" collapsed="1">
      <c r="A58" s="32"/>
      <c r="B58" s="32"/>
      <c r="C58" s="75" t="s">
        <v>1</v>
      </c>
      <c r="D58" s="2" t="s">
        <v>29</v>
      </c>
    </row>
    <row r="59" spans="1:9" ht="10.050000000000001" customHeight="1" outlineLevel="1">
      <c r="A59" s="32"/>
      <c r="B59" s="32"/>
      <c r="C59" s="32"/>
    </row>
    <row r="60" spans="1:9" ht="15" hidden="1" customHeight="1" outlineLevel="2">
      <c r="A60" s="32"/>
      <c r="B60" s="32"/>
      <c r="C60" s="32"/>
      <c r="D60" s="3" t="s">
        <v>30</v>
      </c>
      <c r="E60" s="63" t="b">
        <v>0</v>
      </c>
      <c r="F60" s="63" t="b">
        <v>0</v>
      </c>
      <c r="G60" s="63" t="b">
        <v>0</v>
      </c>
      <c r="H60" s="63" t="b">
        <v>0</v>
      </c>
      <c r="I60" s="63" t="b">
        <v>0</v>
      </c>
    </row>
    <row r="61" spans="1:9" ht="15" hidden="1" customHeight="1" outlineLevel="2">
      <c r="A61" s="32"/>
      <c r="B61" s="32"/>
      <c r="C61" s="32"/>
      <c r="D61" s="27" t="s">
        <v>31</v>
      </c>
      <c r="E61" s="63" t="b">
        <v>0</v>
      </c>
      <c r="F61" s="63" t="b">
        <v>0</v>
      </c>
      <c r="G61" s="63" t="b">
        <v>0</v>
      </c>
      <c r="H61" s="63" t="b">
        <v>0</v>
      </c>
      <c r="I61" s="63" t="b">
        <v>0</v>
      </c>
    </row>
    <row r="62" spans="1:9" ht="15" hidden="1" customHeight="1" outlineLevel="2">
      <c r="A62" s="32"/>
      <c r="B62" s="32"/>
      <c r="C62" s="32"/>
      <c r="D62" s="27" t="s">
        <v>32</v>
      </c>
      <c r="E62" s="63" t="b">
        <v>0</v>
      </c>
      <c r="F62" s="63" t="b">
        <v>0</v>
      </c>
      <c r="G62" s="63" t="b">
        <v>0</v>
      </c>
      <c r="H62" s="63" t="b">
        <v>0</v>
      </c>
      <c r="I62" s="63" t="b">
        <v>0</v>
      </c>
    </row>
    <row r="63" spans="1:9" ht="15" hidden="1" customHeight="1" outlineLevel="2">
      <c r="A63" s="32"/>
      <c r="B63" s="32"/>
      <c r="C63" s="32"/>
      <c r="D63" s="27" t="s">
        <v>33</v>
      </c>
      <c r="E63" s="63" t="b">
        <v>0</v>
      </c>
      <c r="F63" s="63" t="b">
        <v>0</v>
      </c>
      <c r="G63" s="63" t="b">
        <v>0</v>
      </c>
      <c r="H63" s="63" t="b">
        <v>0</v>
      </c>
      <c r="I63" s="63" t="b">
        <v>0</v>
      </c>
    </row>
    <row r="64" spans="1:9" ht="15" hidden="1" customHeight="1" outlineLevel="2">
      <c r="A64" s="32"/>
      <c r="B64" s="32"/>
      <c r="C64" s="32"/>
      <c r="D64" s="3" t="s">
        <v>34</v>
      </c>
      <c r="E64" s="63" t="b">
        <v>0</v>
      </c>
      <c r="F64" s="63" t="b">
        <v>0</v>
      </c>
      <c r="G64" s="63" t="b">
        <v>0</v>
      </c>
      <c r="H64" s="63" t="b">
        <v>0</v>
      </c>
      <c r="I64" s="63" t="b">
        <v>0</v>
      </c>
    </row>
    <row r="65" spans="1:9" ht="15" hidden="1" customHeight="1" outlineLevel="2">
      <c r="A65" s="32"/>
      <c r="B65" s="32"/>
      <c r="C65" s="32"/>
      <c r="D65" s="27" t="s">
        <v>35</v>
      </c>
      <c r="E65" s="63" t="b">
        <v>0</v>
      </c>
      <c r="F65" s="63" t="b">
        <v>0</v>
      </c>
      <c r="G65" s="63" t="b">
        <v>0</v>
      </c>
      <c r="H65" s="63" t="b">
        <v>0</v>
      </c>
      <c r="I65" s="63" t="b">
        <v>0</v>
      </c>
    </row>
    <row r="66" spans="1:9" ht="15" hidden="1" customHeight="1" outlineLevel="2">
      <c r="A66" s="32"/>
      <c r="B66" s="32"/>
      <c r="C66" s="32"/>
      <c r="D66" s="27" t="s">
        <v>36</v>
      </c>
      <c r="E66" s="63" t="b">
        <v>0</v>
      </c>
      <c r="F66" s="63" t="b">
        <v>0</v>
      </c>
      <c r="G66" s="63" t="b">
        <v>0</v>
      </c>
      <c r="H66" s="63" t="b">
        <v>0</v>
      </c>
      <c r="I66" s="63" t="b">
        <v>0</v>
      </c>
    </row>
    <row r="67" spans="1:9" ht="15" hidden="1" customHeight="1" outlineLevel="2">
      <c r="D67" s="3" t="s">
        <v>37</v>
      </c>
      <c r="E67" s="63" t="b">
        <v>0</v>
      </c>
      <c r="F67" s="63" t="b">
        <v>0</v>
      </c>
      <c r="G67" s="63" t="b">
        <v>0</v>
      </c>
      <c r="H67" s="63" t="b">
        <v>0</v>
      </c>
      <c r="I67" s="63" t="b">
        <v>0</v>
      </c>
    </row>
    <row r="68" spans="1:9" ht="10.050000000000001" hidden="1" customHeight="1" outlineLevel="2"/>
    <row r="69" spans="1:9" ht="14.4" outlineLevel="1" collapsed="1">
      <c r="A69" s="32"/>
      <c r="B69" s="32"/>
      <c r="C69" s="75" t="s">
        <v>1</v>
      </c>
      <c r="D69" s="2" t="s">
        <v>38</v>
      </c>
    </row>
    <row r="70" spans="1:9" ht="15" customHeight="1" outlineLevel="1">
      <c r="A70" s="32"/>
      <c r="B70" s="32"/>
    </row>
    <row r="71" spans="1:9" ht="15" hidden="1" customHeight="1" outlineLevel="1">
      <c r="A71" s="32"/>
      <c r="B71" s="32"/>
      <c r="D71" s="3" t="str">
        <f>IF(COUNTIF(FieldList1, "&lt;&gt;FALSE") = 0,"",SUBSTITUTE(LOWER(D60)," ","_") &amp;" = ")</f>
        <v/>
      </c>
      <c r="E71" t="str">
        <f>IF(COUNTIF(FieldList1, "&lt;&gt;FALSE") = 0,"","['"&amp;_xlfn.TEXTJOIN("', '", TRUE, _xlfn._xlws.FILTER(FieldRange,FieldList1&lt;&gt; FALSE, ""))&amp;"']")</f>
        <v/>
      </c>
    </row>
    <row r="72" spans="1:9" ht="15" hidden="1" customHeight="1" outlineLevel="2">
      <c r="A72" s="32"/>
      <c r="B72" s="32"/>
      <c r="D72" s="26" t="str">
        <f>IF(COUNTIF(FieldList2, "&lt;&gt;FALSE") = 0,"",SUBSTITUTE(LOWER(D61)," ","_")&amp;" = ")</f>
        <v/>
      </c>
      <c r="E72" t="str">
        <f>IF(COUNTIF(FieldList2, "&lt;&gt;FALSE") = 0,"","['"&amp;_xlfn.TEXTJOIN("', '", TRUE, _xlfn._xlws.FILTER(FieldRange,FieldList2&lt;&gt; FALSE, ""))&amp;"']")</f>
        <v/>
      </c>
    </row>
    <row r="73" spans="1:9" ht="15" hidden="1" customHeight="1" outlineLevel="2">
      <c r="A73" s="32"/>
      <c r="B73" s="32"/>
      <c r="D73" s="26" t="str">
        <f>IF(COUNTIF(FieldList3, "&lt;&gt;FALSE") = 0,"",SUBSTITUTE(LOWER(D62)," ","_")&amp;" = ")</f>
        <v/>
      </c>
      <c r="E73" t="str">
        <f>IF(COUNTIF(FieldList3, "&lt;&gt;FALSE") = 0,"","['"&amp;_xlfn.TEXTJOIN("', '", TRUE, _xlfn._xlws.FILTER(FieldRange,FieldList3&lt;&gt; FALSE, ""))&amp;"']")</f>
        <v/>
      </c>
    </row>
    <row r="74" spans="1:9" ht="15" hidden="1" customHeight="1" outlineLevel="2">
      <c r="A74" s="32"/>
      <c r="B74" s="32"/>
      <c r="D74" s="26" t="str">
        <f>IF(COUNTIF(FieldList4, "&lt;&gt;FALSE") = 0,"",SUBSTITUTE(LOWER(D63)," ","_")&amp;" = ")</f>
        <v/>
      </c>
      <c r="E74" t="str">
        <f>IF(COUNTIF(FieldList4, "&lt;&gt;FALSE") = 0,"","['"&amp;_xlfn.TEXTJOIN("', '", TRUE, _xlfn._xlws.FILTER(FieldRange,FieldList4&lt;&gt; FALSE, ""))&amp;"']")</f>
        <v/>
      </c>
    </row>
    <row r="75" spans="1:9" ht="15" hidden="1" customHeight="1" outlineLevel="2">
      <c r="A75" s="32"/>
      <c r="B75" s="32"/>
      <c r="D75" s="26" t="str">
        <f>IF(COUNTIF(FieldList5, "&lt;&gt;FALSE") = 0,"",SUBSTITUTE(LOWER(D64)," ","_")&amp;" = ")</f>
        <v/>
      </c>
      <c r="E75" t="str">
        <f>IF(COUNTIF(FieldList5, "&lt;&gt;FALSE") = 0,"","['"&amp;_xlfn.TEXTJOIN("', '", TRUE, _xlfn._xlws.FILTER(FieldRange,FieldList5&lt;&gt; FALSE, ""))&amp;"']")</f>
        <v/>
      </c>
    </row>
    <row r="76" spans="1:9" ht="15" hidden="1" customHeight="1" outlineLevel="2">
      <c r="A76" s="32"/>
      <c r="B76" s="32"/>
      <c r="D76" s="26" t="str">
        <f>IF(COUNTIF(FieldList6, "&lt;&gt;FALSE") = 0,"",SUBSTITUTE(LOWER(D65)," ","_")&amp;" = ")</f>
        <v/>
      </c>
      <c r="E76" t="str">
        <f>IF(COUNTIF(FieldList6, "&lt;&gt;FALSE") = 0,"","['"&amp;_xlfn.TEXTJOIN("', '", TRUE, _xlfn._xlws.FILTER(FieldRange,FieldList6&lt;&gt; FALSE, ""))&amp;"']")</f>
        <v/>
      </c>
    </row>
    <row r="77" spans="1:9" ht="15" hidden="1" customHeight="1" outlineLevel="2">
      <c r="A77" s="32"/>
      <c r="B77" s="32"/>
      <c r="D77" s="25" t="str">
        <f>IF(COUNTIF(FieldList7, "&lt;&gt;FALSE") = 0,"",SUBSTITUTE(LOWER(D66)," ","_")&amp;" = ")</f>
        <v/>
      </c>
      <c r="E77" t="str" cm="1">
        <f t="array" ref="E77">IF(COUNTIF(FieldList7, "&lt;&gt;FALSE") = 0,"","['"&amp;_xlfn.TEXTJOIN("', '", TRUE, _xlfn._xlws.FILTER(FieldRange,FieldList7&lt;&gt; FALSE, ""))&amp;"']")</f>
        <v/>
      </c>
    </row>
    <row r="78" spans="1:9" ht="15" hidden="1" customHeight="1" outlineLevel="2">
      <c r="A78" s="32"/>
      <c r="B78" s="32"/>
      <c r="D78" s="3" t="str">
        <f>IF(COUNTIF(FieldList8, "&lt;&gt;FALSE") = 0,"",SUBSTITUTE(LOWER(D67)," ","_")&amp;" = ")</f>
        <v/>
      </c>
      <c r="E78" t="str" cm="1">
        <f t="array" ref="E78">IF(COUNTIF(FieldList8, "&lt;&gt;FALSE") = 0,"","['"&amp;_xlfn.TEXTJOIN("', '", TRUE, _xlfn._xlws.FILTER(FieldRange,FieldList8&lt;&gt; FALSE, ""))&amp;"']")</f>
        <v/>
      </c>
    </row>
    <row r="79" spans="1:9" ht="15" hidden="1" customHeight="1" outlineLevel="2">
      <c r="D79" s="24" t="str">
        <f>IF(COUNTIF(tbl_SourceData[Record List], "&lt;&gt;FALSE") = 0,"",SUBSTITUTE(LOWER(LightHeader)," ", "_") &amp;" = ")</f>
        <v/>
      </c>
      <c r="E79" t="str" cm="1">
        <f t="array" ref="E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9" ht="10.050000000000001" hidden="1" customHeight="1" outlineLevel="1" collapsed="1"/>
    <row r="81" spans="4:12" ht="30" customHeight="1">
      <c r="D81" s="97" t="s">
        <v>39</v>
      </c>
      <c r="E81" s="90" t="s">
        <v>60</v>
      </c>
      <c r="F81" s="90" t="s">
        <v>61</v>
      </c>
      <c r="G81" s="90" t="s">
        <v>62</v>
      </c>
      <c r="H81" s="91" t="s">
        <v>63</v>
      </c>
      <c r="I81" s="91" t="s">
        <v>64</v>
      </c>
      <c r="J81" s="97" t="s">
        <v>65</v>
      </c>
      <c r="K81" s="97" t="s">
        <v>40</v>
      </c>
      <c r="L81" s="97" t="s">
        <v>66</v>
      </c>
    </row>
    <row r="82" spans="4:12" ht="15" customHeight="1">
      <c r="D82" s="98" t="b">
        <v>0</v>
      </c>
      <c r="E82" s="92">
        <v>1</v>
      </c>
      <c r="F82" s="92" t="s">
        <v>70</v>
      </c>
      <c r="G82" s="92">
        <v>2</v>
      </c>
      <c r="H82" s="93">
        <v>4</v>
      </c>
      <c r="I82" s="93">
        <v>7</v>
      </c>
      <c r="J82" s="101">
        <v>0</v>
      </c>
      <c r="K82" s="101">
        <v>0</v>
      </c>
      <c r="L82" s="101">
        <v>5.7670709413799444E+18</v>
      </c>
    </row>
    <row r="83" spans="4:12" ht="15" customHeight="1">
      <c r="D83" s="98" t="b">
        <v>0</v>
      </c>
      <c r="E83" s="92">
        <v>2</v>
      </c>
      <c r="F83" s="92" t="s">
        <v>70</v>
      </c>
      <c r="G83" s="92">
        <v>3</v>
      </c>
      <c r="H83" s="93">
        <v>4</v>
      </c>
      <c r="I83" s="93">
        <v>5</v>
      </c>
      <c r="J83" s="101">
        <v>1</v>
      </c>
      <c r="K83" s="101">
        <v>0</v>
      </c>
      <c r="L83" s="101">
        <v>9.8110749963619082E+18</v>
      </c>
    </row>
    <row r="84" spans="4:12" ht="15" customHeight="1">
      <c r="D84" s="99" t="b">
        <v>0</v>
      </c>
      <c r="E84" s="94">
        <v>3</v>
      </c>
      <c r="F84" s="92" t="s">
        <v>70</v>
      </c>
      <c r="G84" s="92">
        <v>3</v>
      </c>
      <c r="H84" s="93">
        <v>5</v>
      </c>
      <c r="I84" s="93">
        <v>6</v>
      </c>
      <c r="J84" s="101">
        <v>2</v>
      </c>
      <c r="K84" s="101">
        <v>0</v>
      </c>
      <c r="L84" s="101">
        <v>1.5185267908064334E+19</v>
      </c>
    </row>
    <row r="85" spans="4:12" ht="15" customHeight="1">
      <c r="D85" s="99" t="b">
        <v>0</v>
      </c>
      <c r="E85" s="94">
        <v>4</v>
      </c>
      <c r="F85" s="92" t="s">
        <v>70</v>
      </c>
      <c r="G85" s="92">
        <v>5</v>
      </c>
      <c r="H85" s="93">
        <v>7</v>
      </c>
      <c r="I85" s="93">
        <v>5</v>
      </c>
      <c r="J85" s="101">
        <v>3</v>
      </c>
      <c r="K85" s="101">
        <v>0</v>
      </c>
      <c r="L85" s="101">
        <v>1.4818889003648379E+19</v>
      </c>
    </row>
    <row r="86" spans="4:12" ht="15" customHeight="1">
      <c r="D86" s="99" t="b">
        <v>0</v>
      </c>
      <c r="E86" s="94">
        <v>5</v>
      </c>
      <c r="F86" s="92" t="s">
        <v>70</v>
      </c>
      <c r="G86" s="92">
        <v>4</v>
      </c>
      <c r="H86" s="93">
        <v>5</v>
      </c>
      <c r="I86" s="93">
        <v>8</v>
      </c>
      <c r="J86" s="101">
        <v>4</v>
      </c>
      <c r="K86" s="101">
        <v>0</v>
      </c>
      <c r="L86" s="101">
        <v>1.1706727587698635E+19</v>
      </c>
    </row>
    <row r="87" spans="4:12" ht="15" customHeight="1">
      <c r="D87" s="99" t="b">
        <v>0</v>
      </c>
      <c r="E87" s="94">
        <v>6</v>
      </c>
      <c r="F87" s="92" t="s">
        <v>70</v>
      </c>
      <c r="G87" s="92">
        <v>5</v>
      </c>
      <c r="H87" s="93">
        <v>5</v>
      </c>
      <c r="I87" s="93">
        <v>6</v>
      </c>
      <c r="J87" s="101">
        <v>5</v>
      </c>
      <c r="K87" s="101">
        <v>0</v>
      </c>
      <c r="L87" s="101">
        <v>1.5516404588838717E+19</v>
      </c>
    </row>
    <row r="88" spans="4:12" ht="15" customHeight="1">
      <c r="D88" s="99" t="b">
        <v>0</v>
      </c>
      <c r="E88" s="94">
        <v>7</v>
      </c>
      <c r="F88" s="92" t="s">
        <v>70</v>
      </c>
      <c r="G88" s="92">
        <v>5</v>
      </c>
      <c r="H88" s="93">
        <v>4.5</v>
      </c>
      <c r="I88" s="93">
        <v>6</v>
      </c>
      <c r="J88" s="101">
        <v>6</v>
      </c>
      <c r="K88" s="101">
        <v>0</v>
      </c>
      <c r="L88" s="101">
        <v>3.8976898385748623E+18</v>
      </c>
    </row>
    <row r="89" spans="4:12" ht="15" customHeight="1">
      <c r="D89" s="99" t="b">
        <v>0</v>
      </c>
      <c r="E89" s="94">
        <v>8</v>
      </c>
      <c r="F89" s="92" t="s">
        <v>70</v>
      </c>
      <c r="G89" s="92">
        <v>5</v>
      </c>
      <c r="H89" s="93">
        <v>7</v>
      </c>
      <c r="I89" s="93">
        <v>8</v>
      </c>
      <c r="J89" s="101">
        <v>7</v>
      </c>
      <c r="K89" s="101">
        <v>0</v>
      </c>
      <c r="L89" s="101">
        <v>1.775017833101467E+19</v>
      </c>
    </row>
    <row r="90" spans="4:12" ht="15" customHeight="1">
      <c r="D90" s="99" t="b">
        <v>0</v>
      </c>
      <c r="E90" s="94">
        <v>9</v>
      </c>
      <c r="F90" s="92" t="s">
        <v>70</v>
      </c>
      <c r="G90" s="92">
        <v>2</v>
      </c>
      <c r="H90" s="93">
        <v>3</v>
      </c>
      <c r="I90" s="93">
        <v>7</v>
      </c>
      <c r="J90" s="101">
        <v>8</v>
      </c>
      <c r="K90" s="101">
        <v>0</v>
      </c>
      <c r="L90" s="101">
        <v>1.2533281262872971E+19</v>
      </c>
    </row>
    <row r="91" spans="4:12" ht="15" customHeight="1">
      <c r="D91" s="99" t="b">
        <v>0</v>
      </c>
      <c r="E91" s="94">
        <v>10</v>
      </c>
      <c r="F91" s="92" t="s">
        <v>70</v>
      </c>
      <c r="G91" s="92">
        <v>6</v>
      </c>
      <c r="H91" s="93">
        <v>5</v>
      </c>
      <c r="I91" s="93">
        <v>6</v>
      </c>
      <c r="J91" s="101">
        <v>9</v>
      </c>
      <c r="K91" s="101">
        <v>0</v>
      </c>
      <c r="L91" s="101">
        <v>4.2456818337275049E+18</v>
      </c>
    </row>
    <row r="92" spans="4:12" ht="15" customHeight="1">
      <c r="D92" s="99" t="b">
        <v>0</v>
      </c>
      <c r="E92" s="94">
        <v>11</v>
      </c>
      <c r="F92" s="92" t="s">
        <v>71</v>
      </c>
      <c r="G92" s="92">
        <v>6</v>
      </c>
      <c r="H92" s="93">
        <v>5</v>
      </c>
      <c r="I92" s="93">
        <v>6</v>
      </c>
      <c r="J92" s="101">
        <v>10</v>
      </c>
      <c r="K92" s="101">
        <v>0</v>
      </c>
      <c r="L92" s="101">
        <v>8.9488153046142781E+18</v>
      </c>
    </row>
    <row r="93" spans="4:12" ht="15" customHeight="1">
      <c r="D93" s="99" t="b">
        <v>0</v>
      </c>
      <c r="E93" s="94">
        <v>12</v>
      </c>
      <c r="F93" s="92" t="s">
        <v>71</v>
      </c>
      <c r="G93" s="92">
        <v>8</v>
      </c>
      <c r="H93" s="93">
        <v>9</v>
      </c>
      <c r="I93" s="93">
        <v>8</v>
      </c>
      <c r="J93" s="101">
        <v>11</v>
      </c>
      <c r="K93" s="101">
        <v>0</v>
      </c>
      <c r="L93" s="101">
        <v>8.6347300695383593E+18</v>
      </c>
    </row>
    <row r="94" spans="4:12" ht="15" customHeight="1">
      <c r="D94" s="99" t="b">
        <v>0</v>
      </c>
      <c r="E94" s="94">
        <v>13</v>
      </c>
      <c r="F94" s="92" t="s">
        <v>71</v>
      </c>
      <c r="G94" s="92">
        <v>6</v>
      </c>
      <c r="H94" s="93">
        <v>5</v>
      </c>
      <c r="I94" s="93">
        <v>9</v>
      </c>
      <c r="J94" s="101">
        <v>12</v>
      </c>
      <c r="K94" s="101">
        <v>0</v>
      </c>
      <c r="L94" s="101">
        <v>5.529764294251399E+17</v>
      </c>
    </row>
    <row r="95" spans="4:12" ht="15" customHeight="1">
      <c r="D95" s="99" t="b">
        <v>0</v>
      </c>
      <c r="E95" s="94">
        <v>14</v>
      </c>
      <c r="F95" s="92" t="s">
        <v>71</v>
      </c>
      <c r="G95" s="92">
        <v>8</v>
      </c>
      <c r="H95" s="93">
        <v>8</v>
      </c>
      <c r="I95" s="93">
        <v>7</v>
      </c>
      <c r="J95" s="101">
        <v>13</v>
      </c>
      <c r="K95" s="101">
        <v>0</v>
      </c>
      <c r="L95" s="101">
        <v>6.0535899029625651E+18</v>
      </c>
    </row>
    <row r="96" spans="4:12" ht="15" customHeight="1">
      <c r="D96" s="99" t="b">
        <v>0</v>
      </c>
      <c r="E96" s="94">
        <v>15</v>
      </c>
      <c r="F96" s="92" t="s">
        <v>71</v>
      </c>
      <c r="G96" s="92">
        <v>8</v>
      </c>
      <c r="H96" s="93">
        <v>8</v>
      </c>
      <c r="I96" s="93">
        <v>7</v>
      </c>
      <c r="J96" s="101">
        <v>14</v>
      </c>
      <c r="K96" s="101">
        <v>0</v>
      </c>
      <c r="L96" s="101">
        <v>4.6373634661613629E+18</v>
      </c>
    </row>
    <row r="97" spans="4:12" ht="15" customHeight="1">
      <c r="D97" s="99" t="b">
        <v>0</v>
      </c>
      <c r="E97" s="94">
        <v>16</v>
      </c>
      <c r="F97" s="92" t="s">
        <v>71</v>
      </c>
      <c r="G97" s="92">
        <v>6</v>
      </c>
      <c r="H97" s="93">
        <v>8</v>
      </c>
      <c r="I97" s="93">
        <v>7</v>
      </c>
      <c r="J97" s="101">
        <v>15</v>
      </c>
      <c r="K97" s="101">
        <v>0</v>
      </c>
      <c r="L97" s="101">
        <v>2.1823148008439782E+18</v>
      </c>
    </row>
    <row r="98" spans="4:12" ht="15" customHeight="1">
      <c r="D98" s="99" t="b">
        <v>0</v>
      </c>
      <c r="E98" s="94">
        <v>17</v>
      </c>
      <c r="F98" s="92" t="s">
        <v>71</v>
      </c>
      <c r="G98" s="92">
        <v>7</v>
      </c>
      <c r="H98" s="93">
        <v>7</v>
      </c>
      <c r="I98" s="93">
        <v>6</v>
      </c>
      <c r="J98" s="101">
        <v>16</v>
      </c>
      <c r="K98" s="101">
        <v>0</v>
      </c>
      <c r="L98" s="101">
        <v>1.4803097006378422E+19</v>
      </c>
    </row>
    <row r="99" spans="4:12" ht="15" customHeight="1">
      <c r="D99" s="99" t="b">
        <v>0</v>
      </c>
      <c r="E99" s="94">
        <v>18</v>
      </c>
      <c r="F99" s="92" t="s">
        <v>71</v>
      </c>
      <c r="G99" s="92">
        <v>7</v>
      </c>
      <c r="H99" s="93">
        <v>8</v>
      </c>
      <c r="I99" s="93">
        <v>6</v>
      </c>
      <c r="J99" s="101">
        <v>17</v>
      </c>
      <c r="K99" s="101">
        <v>0</v>
      </c>
      <c r="L99" s="101">
        <v>1.0995783053251607E+19</v>
      </c>
    </row>
    <row r="100" spans="4:12" ht="15" customHeight="1">
      <c r="D100" s="99" t="b">
        <v>0</v>
      </c>
      <c r="E100" s="94">
        <v>19</v>
      </c>
      <c r="F100" s="92" t="s">
        <v>71</v>
      </c>
      <c r="G100" s="92">
        <v>5</v>
      </c>
      <c r="H100" s="93">
        <v>6</v>
      </c>
      <c r="I100" s="93">
        <v>6</v>
      </c>
      <c r="J100" s="101">
        <v>18</v>
      </c>
      <c r="K100" s="101">
        <v>0</v>
      </c>
      <c r="L100" s="101">
        <v>2.7634300901850066E+18</v>
      </c>
    </row>
    <row r="101" spans="4:12" ht="15" customHeight="1">
      <c r="D101" s="100" t="b">
        <v>0</v>
      </c>
      <c r="E101" s="95">
        <v>20</v>
      </c>
      <c r="F101" s="96" t="s">
        <v>71</v>
      </c>
      <c r="G101" s="96">
        <v>6</v>
      </c>
      <c r="H101" s="93">
        <v>6</v>
      </c>
      <c r="I101" s="93">
        <v>5</v>
      </c>
      <c r="J101" s="101">
        <v>19</v>
      </c>
      <c r="K101" s="101">
        <v>0</v>
      </c>
      <c r="L101" s="101">
        <v>4.1117176064395331E+18</v>
      </c>
    </row>
  </sheetData>
  <mergeCells count="1">
    <mergeCell ref="E15:F15"/>
  </mergeCells>
  <phoneticPr fontId="21" type="noConversion"/>
  <conditionalFormatting sqref="E25:G32 E38:G42 E48:G56">
    <cfRule type="cellIs" dxfId="71" priority="22" operator="equal">
      <formula>0</formula>
    </cfRule>
  </conditionalFormatting>
  <conditionalFormatting sqref="D82:D101">
    <cfRule type="cellIs" dxfId="70" priority="21" operator="notEqual">
      <formula>FALSE</formula>
    </cfRule>
  </conditionalFormatting>
  <conditionalFormatting sqref="E9:I9">
    <cfRule type="cellIs" dxfId="69" priority="15" operator="notEqual">
      <formula>"Note"</formula>
    </cfRule>
  </conditionalFormatting>
  <conditionalFormatting sqref="E26:G28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81 D60:D67">
    <cfRule type="duplicateValues" dxfId="68" priority="16"/>
  </conditionalFormatting>
  <conditionalFormatting sqref="E7:I7">
    <cfRule type="cellIs" dxfId="67" priority="14" operator="notEqual">
      <formula>"Definition"</formula>
    </cfRule>
  </conditionalFormatting>
  <conditionalFormatting sqref="E15">
    <cfRule type="cellIs" dxfId="66" priority="13" operator="notEqual">
      <formula>"Description"</formula>
    </cfRule>
  </conditionalFormatting>
  <conditionalFormatting sqref="E60:G67">
    <cfRule type="cellIs" dxfId="65" priority="19" operator="notEqual">
      <formula>FALSE</formula>
    </cfRule>
  </conditionalFormatting>
  <conditionalFormatting sqref="E20:E21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5:I32 H38:I42 H48:I56">
    <cfRule type="cellIs" dxfId="47" priority="3" operator="equal">
      <formula>0</formula>
    </cfRule>
  </conditionalFormatting>
  <conditionalFormatting sqref="H26:I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60:I67">
    <cfRule type="cellIs" dxfId="46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/>
  <dimension ref="B1:Q29"/>
  <sheetViews>
    <sheetView zoomScale="85" zoomScaleNormal="85" workbookViewId="0">
      <selection activeCell="D9" sqref="D9"/>
    </sheetView>
  </sheetViews>
  <sheetFormatPr defaultRowHeight="15" customHeight="1"/>
  <cols>
    <col min="1" max="2" width="2.77734375" style="12" customWidth="1"/>
    <col min="3" max="3" width="10.77734375" style="12" bestFit="1" customWidth="1"/>
    <col min="4" max="4" width="10.6640625" style="12" bestFit="1" customWidth="1"/>
    <col min="5" max="7" width="11.21875" style="12" bestFit="1" customWidth="1"/>
    <col min="8" max="10" width="13.77734375" style="12" customWidth="1"/>
    <col min="11" max="16" width="15.44140625" style="12" customWidth="1"/>
    <col min="17" max="16384" width="8.88671875" style="12"/>
  </cols>
  <sheetData>
    <row r="1" spans="2:17" ht="14.4">
      <c r="C1" s="13"/>
      <c r="D1" s="14"/>
    </row>
    <row r="2" spans="2:17" ht="36.6">
      <c r="C2" s="15" t="str">
        <f>Name</f>
        <v>Anagrams</v>
      </c>
      <c r="P2" s="11"/>
    </row>
    <row r="3" spans="2:17" ht="10.050000000000001" customHeight="1">
      <c r="D3" s="16"/>
    </row>
    <row r="4" spans="2:17" ht="30" customHeight="1"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</row>
    <row r="7" spans="2:17" ht="15" customHeight="1">
      <c r="C7" s="17"/>
    </row>
    <row r="8" spans="2:17" ht="36.6" customHeight="1">
      <c r="C8" s="104" t="s">
        <v>60</v>
      </c>
      <c r="D8" s="103" t="s">
        <v>61</v>
      </c>
      <c r="E8" s="103" t="s">
        <v>62</v>
      </c>
      <c r="F8" s="103" t="s">
        <v>63</v>
      </c>
      <c r="G8" s="103" t="s">
        <v>64</v>
      </c>
      <c r="H8" s="105" t="s">
        <v>49</v>
      </c>
      <c r="I8" s="105" t="s">
        <v>50</v>
      </c>
      <c r="J8" s="105" t="s">
        <v>54</v>
      </c>
    </row>
    <row r="9" spans="2:17" ht="15" customHeight="1">
      <c r="C9" s="102">
        <v>1</v>
      </c>
      <c r="D9" s="55"/>
      <c r="E9" s="55"/>
      <c r="F9" s="55"/>
      <c r="G9" s="55"/>
      <c r="H9" s="106">
        <v>0</v>
      </c>
      <c r="I9" s="107"/>
      <c r="J9" s="108">
        <v>0.05</v>
      </c>
    </row>
    <row r="10" spans="2:17" ht="15" customHeight="1">
      <c r="C10" s="102">
        <v>2</v>
      </c>
      <c r="D10" s="55"/>
      <c r="E10" s="55"/>
      <c r="F10" s="55"/>
      <c r="G10" s="55"/>
      <c r="H10" s="106">
        <v>0</v>
      </c>
      <c r="I10" s="107"/>
      <c r="J10" s="108">
        <v>0.05</v>
      </c>
    </row>
    <row r="11" spans="2:17" ht="15" customHeight="1">
      <c r="C11" s="102">
        <v>3</v>
      </c>
      <c r="D11" s="55"/>
      <c r="E11" s="55"/>
      <c r="F11" s="55"/>
      <c r="G11" s="55"/>
      <c r="H11" s="106">
        <v>0</v>
      </c>
      <c r="I11" s="107"/>
      <c r="J11" s="108">
        <v>0.05</v>
      </c>
    </row>
    <row r="12" spans="2:17" ht="15" customHeight="1">
      <c r="C12" s="102">
        <v>4</v>
      </c>
      <c r="D12" s="55"/>
      <c r="E12" s="55"/>
      <c r="F12" s="55"/>
      <c r="G12" s="55"/>
      <c r="H12" s="106">
        <v>0</v>
      </c>
      <c r="I12" s="107"/>
      <c r="J12" s="108">
        <v>0.05</v>
      </c>
    </row>
    <row r="13" spans="2:17" ht="15" customHeight="1">
      <c r="C13" s="102">
        <v>5</v>
      </c>
      <c r="D13" s="55"/>
      <c r="E13" s="55"/>
      <c r="F13" s="55"/>
      <c r="G13" s="55"/>
      <c r="H13" s="106">
        <v>0</v>
      </c>
      <c r="I13" s="107"/>
      <c r="J13" s="108">
        <v>0.05</v>
      </c>
    </row>
    <row r="14" spans="2:17" ht="15" customHeight="1">
      <c r="C14" s="102">
        <v>6</v>
      </c>
      <c r="D14" s="55"/>
      <c r="E14" s="55"/>
      <c r="F14" s="55"/>
      <c r="G14" s="55"/>
      <c r="H14" s="106">
        <v>0</v>
      </c>
      <c r="I14" s="107"/>
      <c r="J14" s="108">
        <v>0.05</v>
      </c>
    </row>
    <row r="15" spans="2:17" ht="15" customHeight="1">
      <c r="C15" s="102">
        <v>7</v>
      </c>
      <c r="D15" s="55"/>
      <c r="E15" s="55"/>
      <c r="F15" s="55"/>
      <c r="G15" s="55"/>
      <c r="H15" s="106">
        <v>0</v>
      </c>
      <c r="I15" s="107"/>
      <c r="J15" s="108">
        <v>0.05</v>
      </c>
    </row>
    <row r="16" spans="2:17" ht="15" customHeight="1">
      <c r="C16" s="102">
        <v>8</v>
      </c>
      <c r="D16" s="55"/>
      <c r="E16" s="55"/>
      <c r="F16" s="55"/>
      <c r="G16" s="55"/>
      <c r="H16" s="106">
        <v>0</v>
      </c>
      <c r="I16" s="107"/>
      <c r="J16" s="108">
        <v>0.05</v>
      </c>
    </row>
    <row r="17" spans="3:10" ht="15" customHeight="1">
      <c r="C17" s="102">
        <v>9</v>
      </c>
      <c r="D17" s="55"/>
      <c r="E17" s="55"/>
      <c r="F17" s="55"/>
      <c r="G17" s="55"/>
      <c r="H17" s="106">
        <v>0</v>
      </c>
      <c r="I17" s="107"/>
      <c r="J17" s="108">
        <v>0.05</v>
      </c>
    </row>
    <row r="18" spans="3:10" ht="15" customHeight="1">
      <c r="C18" s="102">
        <v>10</v>
      </c>
      <c r="D18" s="55"/>
      <c r="E18" s="55"/>
      <c r="F18" s="55"/>
      <c r="G18" s="55"/>
      <c r="H18" s="106">
        <v>0</v>
      </c>
      <c r="I18" s="107"/>
      <c r="J18" s="108">
        <v>0.05</v>
      </c>
    </row>
    <row r="19" spans="3:10" ht="15" customHeight="1">
      <c r="C19" s="102">
        <v>11</v>
      </c>
      <c r="D19" s="55"/>
      <c r="E19" s="55"/>
      <c r="F19" s="55"/>
      <c r="G19" s="55"/>
      <c r="H19" s="106">
        <v>0</v>
      </c>
      <c r="I19" s="107"/>
      <c r="J19" s="108">
        <v>0.05</v>
      </c>
    </row>
    <row r="20" spans="3:10" ht="15" customHeight="1">
      <c r="C20" s="102">
        <v>12</v>
      </c>
      <c r="D20" s="55"/>
      <c r="E20" s="55"/>
      <c r="F20" s="55"/>
      <c r="G20" s="55"/>
      <c r="H20" s="106">
        <v>0</v>
      </c>
      <c r="I20" s="107"/>
      <c r="J20" s="108">
        <v>0.05</v>
      </c>
    </row>
    <row r="21" spans="3:10" ht="15" customHeight="1">
      <c r="C21" s="102">
        <v>13</v>
      </c>
      <c r="D21" s="55"/>
      <c r="E21" s="55"/>
      <c r="F21" s="55"/>
      <c r="G21" s="55"/>
      <c r="H21" s="106">
        <v>0</v>
      </c>
      <c r="I21" s="107"/>
      <c r="J21" s="108">
        <v>0.05</v>
      </c>
    </row>
    <row r="22" spans="3:10" ht="15" customHeight="1">
      <c r="C22" s="102">
        <v>14</v>
      </c>
      <c r="D22" s="55"/>
      <c r="E22" s="55"/>
      <c r="F22" s="55"/>
      <c r="G22" s="55"/>
      <c r="H22" s="106">
        <v>0</v>
      </c>
      <c r="I22" s="107"/>
      <c r="J22" s="108">
        <v>0.05</v>
      </c>
    </row>
    <row r="23" spans="3:10" ht="15" customHeight="1">
      <c r="C23" s="102">
        <v>15</v>
      </c>
      <c r="D23" s="55"/>
      <c r="E23" s="55"/>
      <c r="F23" s="55"/>
      <c r="G23" s="55"/>
      <c r="H23" s="106">
        <v>0</v>
      </c>
      <c r="I23" s="107"/>
      <c r="J23" s="108">
        <v>0.05</v>
      </c>
    </row>
    <row r="24" spans="3:10" ht="15" customHeight="1">
      <c r="C24" s="102">
        <v>16</v>
      </c>
      <c r="D24" s="55"/>
      <c r="E24" s="55"/>
      <c r="F24" s="55"/>
      <c r="G24" s="55"/>
      <c r="H24" s="106">
        <v>0</v>
      </c>
      <c r="I24" s="107"/>
      <c r="J24" s="108">
        <v>0.05</v>
      </c>
    </row>
    <row r="25" spans="3:10" ht="15" customHeight="1">
      <c r="C25" s="102">
        <v>17</v>
      </c>
      <c r="D25" s="55"/>
      <c r="E25" s="55"/>
      <c r="F25" s="55"/>
      <c r="G25" s="55"/>
      <c r="H25" s="106">
        <v>0</v>
      </c>
      <c r="I25" s="107"/>
      <c r="J25" s="108">
        <v>0.05</v>
      </c>
    </row>
    <row r="26" spans="3:10" ht="15" customHeight="1">
      <c r="C26" s="102">
        <v>18</v>
      </c>
      <c r="D26" s="55"/>
      <c r="E26" s="55"/>
      <c r="F26" s="55"/>
      <c r="G26" s="55"/>
      <c r="H26" s="106">
        <v>0</v>
      </c>
      <c r="I26" s="107"/>
      <c r="J26" s="108">
        <v>0.05</v>
      </c>
    </row>
    <row r="27" spans="3:10" ht="15" customHeight="1">
      <c r="C27" s="102">
        <v>19</v>
      </c>
      <c r="D27" s="55"/>
      <c r="E27" s="55"/>
      <c r="F27" s="55"/>
      <c r="G27" s="55"/>
      <c r="H27" s="106">
        <v>0</v>
      </c>
      <c r="I27" s="107"/>
      <c r="J27" s="108">
        <v>0.05</v>
      </c>
    </row>
    <row r="28" spans="3:10" ht="15" customHeight="1">
      <c r="C28" s="102">
        <v>20</v>
      </c>
      <c r="D28" s="55"/>
      <c r="E28" s="55"/>
      <c r="F28" s="55"/>
      <c r="G28" s="55"/>
      <c r="H28" s="106">
        <v>0</v>
      </c>
      <c r="I28" s="107"/>
      <c r="J28" s="108">
        <v>0.05</v>
      </c>
    </row>
    <row r="29" spans="3:10" ht="15" customHeight="1">
      <c r="C29" s="102" t="s">
        <v>72</v>
      </c>
      <c r="D29" s="55"/>
      <c r="E29" s="55"/>
      <c r="F29" s="55"/>
      <c r="G29" s="55"/>
      <c r="H29" s="106">
        <v>0</v>
      </c>
      <c r="I29" s="107"/>
      <c r="J29" s="108">
        <v>1</v>
      </c>
    </row>
  </sheetData>
  <conditionalFormatting pivot="1" sqref="H9:H29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9:I29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RowHeight="14.4"/>
  <cols>
    <col min="1" max="1" width="2.77734375" style="48" customWidth="1"/>
    <col min="2" max="2" width="2.77734375" style="49" customWidth="1"/>
    <col min="3" max="3" width="78.6640625" style="54" customWidth="1"/>
    <col min="4" max="4" width="31.88671875" style="48" customWidth="1"/>
    <col min="5" max="16384" width="8.88671875" style="48"/>
  </cols>
  <sheetData>
    <row r="2" spans="2:16" ht="43.2" customHeight="1">
      <c r="C2" s="47" t="s">
        <v>52</v>
      </c>
      <c r="P2"/>
    </row>
    <row r="3" spans="2:16" ht="4.95" customHeight="1">
      <c r="B3" s="48"/>
      <c r="C3" s="50"/>
      <c r="P3" s="51"/>
    </row>
    <row r="4" spans="2:16" ht="19.95" customHeight="1">
      <c r="B4" s="48"/>
      <c r="C4" s="50"/>
      <c r="P4" s="52"/>
    </row>
    <row r="5" spans="2:16" ht="4.95" customHeight="1">
      <c r="B5" s="48"/>
      <c r="C5" s="50"/>
    </row>
    <row r="6" spans="2:16" ht="34.950000000000003" customHeight="1"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2:16" ht="15" customHeight="1">
      <c r="B7" s="48"/>
      <c r="C7" s="48"/>
    </row>
    <row r="8" spans="2:16" ht="15" customHeight="1">
      <c r="C8" s="53"/>
    </row>
    <row r="9" spans="2:16" ht="19.2" customHeight="1">
      <c r="B9" s="48"/>
      <c r="C9" s="50"/>
    </row>
    <row r="16" spans="2:16">
      <c r="C16" s="48"/>
    </row>
    <row r="17" spans="2:2" s="48" customFormat="1">
      <c r="B17" s="4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8" customWidth="1"/>
    <col min="2" max="2" width="2.77734375" style="49" customWidth="1"/>
    <col min="3" max="3" width="53.33203125" style="54" customWidth="1"/>
    <col min="4" max="4" width="27.77734375" style="48" customWidth="1"/>
    <col min="5" max="16" width="8.88671875" style="48"/>
  </cols>
  <sheetData>
    <row r="2" spans="1:16" ht="51.6" customHeight="1">
      <c r="B2" s="55"/>
      <c r="C2" s="47" t="s">
        <v>53</v>
      </c>
      <c r="D2"/>
      <c r="P2"/>
    </row>
    <row r="3" spans="1:16" ht="4.95" customHeight="1">
      <c r="B3" s="55"/>
      <c r="C3" s="56"/>
      <c r="D3" s="57"/>
      <c r="P3" s="51"/>
    </row>
    <row r="4" spans="1:16" ht="19.95" customHeight="1">
      <c r="B4" s="55"/>
      <c r="C4" s="56"/>
      <c r="D4" s="57"/>
      <c r="P4" s="52"/>
    </row>
    <row r="5" spans="1:16" ht="4.95" customHeight="1">
      <c r="B5" s="48"/>
      <c r="C5" s="50"/>
    </row>
    <row r="6" spans="1:16" ht="30" customHeight="1">
      <c r="A6"/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1:16" ht="10.050000000000001" customHeight="1">
      <c r="B7" s="48"/>
      <c r="C7" s="50"/>
    </row>
    <row r="8" spans="1:16" ht="10.050000000000001" customHeight="1">
      <c r="B8" s="51"/>
      <c r="D8" s="54"/>
    </row>
    <row r="9" spans="1:16" ht="150" customHeight="1">
      <c r="B9" s="58"/>
      <c r="C9" s="59"/>
    </row>
    <row r="10" spans="1:16" ht="10.050000000000001" customHeight="1">
      <c r="B10" s="60"/>
    </row>
    <row r="11" spans="1:16" collapsed="1"/>
    <row r="13" spans="1:16">
      <c r="C13" s="48"/>
    </row>
    <row r="14" spans="1:16">
      <c r="C14" s="48"/>
    </row>
    <row r="15" spans="1:16">
      <c r="C15" s="48"/>
    </row>
    <row r="16" spans="1:16">
      <c r="C16" s="48"/>
    </row>
    <row r="19" spans="3:3">
      <c r="C19" s="48"/>
    </row>
    <row r="20" spans="3:3">
      <c r="C20" s="48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46</vt:i4>
      </vt:variant>
    </vt:vector>
  </HeadingPairs>
  <TitlesOfParts>
    <vt:vector size="51" baseType="lpstr">
      <vt:lpstr>Overview</vt:lpstr>
      <vt:lpstr>Field Analysis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MultiplePlots!MultiplePlots</vt:lpstr>
      <vt:lpstr>MultiplePlots!MultiplePlotsTitle</vt:lpstr>
      <vt:lpstr>Name</vt:lpstr>
      <vt:lpstr>Notes</vt:lpstr>
      <vt:lpstr>Percentiles</vt:lpstr>
      <vt:lpstr>RecordHashes</vt:lpstr>
      <vt:lpstr>SerializedLists</vt:lpstr>
      <vt:lpstr>SinglePlot!SinglePlot</vt:lpstr>
      <vt:lpstr>SinglePlot!SinglePlotTitle</vt:lpstr>
      <vt:lpstr>Summary_Stats</vt:lpstr>
      <vt:lpstr>'Field Analysis'!Theme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2026-05-30T04:26:58Z</dcterms:modified>
</cp:coreProperties>
</file>