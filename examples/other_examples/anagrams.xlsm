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E789553-2A6D-466A-80C2-53D71D3DC433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<sst xmlns="http://schemas.openxmlformats.org/spreadsheetml/2006/main" count="294" uniqueCount="143">
  <si>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</si>
  <si>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</si>
  <si>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</si>
  <si>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</si>
  <si>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</si>
  <si>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</si>
  <si>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</si>
  <si>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</si>
  <si>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</si>
  <si>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</si>
  <si>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</si>
  <si>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</si>
  <si>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</si>
  <si>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</si>
  <si>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</si>
  <si>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</si>
  <si>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</si>
  <si>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</si>
  <si>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</si>
  <si>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</si>
  <si>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</si>
  <si>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</si>
  <si>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</si>
  <si>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</si>
  <si>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</si>
  <si>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</si>
  <si>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</si>
  <si>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</si>
  <si>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</si>
  <si>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</si>
  <si>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</si>
  <si>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</si>
  <si>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</si>
  <si>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</si>
  <si>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</si>
  <si>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</si>
  <si>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</si>
  <si>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</si>
  <si>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</si>
  <si>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</si>
  <si>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</si>
  <si>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</si>
  <si>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</si>
  <si>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</si>
  <si>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</si>
  <si>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</si>
  <si>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</si>
  <si>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</si>
  <si>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</si>
  <si>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</si>
  <si>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</si>
  <si>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</si>
  <si>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</si>
  <si>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</si>
  <si>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</si>
  <si>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</si>
  <si>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</si>
  <si>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</si>
  <si>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</si>
  <si>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</si>
  <si>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</si>
  <si>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</si>
  <si>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</si>
  <si>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</si>
  <si>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</si>
  <si>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</si>
  <si>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</si>
  <si>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</si>
  <si>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</si>
  <si>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</si>
  <si>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</si>
  <si>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</si>
  <si>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</si>
  <si>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</si>
  <si>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</si>
  <si>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</si>
  <si>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</si>
  <si>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</si>
  <si>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</si>
  <si>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</si>
  <si>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</si>
  <si>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</si>
  <si>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</si>
  <si>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Anagrams</t>
  </si>
  <si>
    <t>subidr</t>
  </si>
  <si>
    <t>attnr</t>
  </si>
  <si>
    <t>num1</t>
  </si>
  <si>
    <t>num2</t>
  </si>
  <si>
    <t>num3</t>
  </si>
  <si>
    <t>index</t>
  </si>
  <si>
    <t>Record Hash</t>
  </si>
  <si>
    <t>1,072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</si>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</sst>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97A0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97A0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6"/>
      <tableStyleElement type="headerRow" dxfId="155"/>
      <tableStyleElement type="totalRow" dxfId="154"/>
    </tableStyle>
    <tableStyle name="DarkTable" pivot="0" count="2" xr9:uid="{97C242D2-6F6D-4549-9428-17456D609B35}">
      <tableStyleElement type="wholeTable" dxfId="153"/>
      <tableStyleElement type="headerRow" dxfId="15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idr">
          <a:extLst>
            <a:ext uri="{FF2B5EF4-FFF2-40B4-BE49-F238E27FC236}">
              <a16:creationId xmlns:a16="http://schemas.microsoft.com/office/drawing/2014/main" id="{FB70B71D-D89D-9D9F-A919-F6F6580E9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bidr">
          <a:extLst>
            <a:ext uri="{FF2B5EF4-FFF2-40B4-BE49-F238E27FC236}">
              <a16:creationId xmlns:a16="http://schemas.microsoft.com/office/drawing/2014/main" id="{31EF6AC1-2DE7-5E8D-1A7D-D36AEC0B4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nr">
          <a:extLst>
            <a:ext uri="{FF2B5EF4-FFF2-40B4-BE49-F238E27FC236}">
              <a16:creationId xmlns:a16="http://schemas.microsoft.com/office/drawing/2014/main" id="{F85710AE-C665-040C-C6D9-D8F41115E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num1">
          <a:extLst>
            <a:ext uri="{FF2B5EF4-FFF2-40B4-BE49-F238E27FC236}">
              <a16:creationId xmlns:a16="http://schemas.microsoft.com/office/drawing/2014/main" id="{2EFCE1BA-20ED-7655-ACCE-E243E5851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num1">
          <a:extLst>
            <a:ext uri="{FF2B5EF4-FFF2-40B4-BE49-F238E27FC236}">
              <a16:creationId xmlns:a16="http://schemas.microsoft.com/office/drawing/2014/main" id="{CC84A6B9-AD62-E078-8458-7A3926E52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num2">
          <a:extLst>
            <a:ext uri="{FF2B5EF4-FFF2-40B4-BE49-F238E27FC236}">
              <a16:creationId xmlns:a16="http://schemas.microsoft.com/office/drawing/2014/main" id="{74E76436-82A0-A7CC-61D9-4A78E17F9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num2">
          <a:extLst>
            <a:ext uri="{FF2B5EF4-FFF2-40B4-BE49-F238E27FC236}">
              <a16:creationId xmlns:a16="http://schemas.microsoft.com/office/drawing/2014/main" id="{BADAB5F6-FF2B-C7BB-A8C8-F6F210BAB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num3">
          <a:extLst>
            <a:ext uri="{FF2B5EF4-FFF2-40B4-BE49-F238E27FC236}">
              <a16:creationId xmlns:a16="http://schemas.microsoft.com/office/drawing/2014/main" id="{F98DB9B8-DAFE-6F8D-1393-41D36E9D7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num3">
          <a:extLst>
            <a:ext uri="{FF2B5EF4-FFF2-40B4-BE49-F238E27FC236}">
              <a16:creationId xmlns:a16="http://schemas.microsoft.com/office/drawing/2014/main" id="{DD1FE160-2999-5542-26DD-B9A0A5599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5925925923" createdVersion="8" refreshedVersion="8" minRefreshableVersion="3" recordCount="2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index" numFmtId="0">
      <sharedItems containsSemiMixedTypes="0" containsString="0" containsNumber="1" containsInteger="1" minValue="0" maxValue="1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529764294251399E+17" maxValue="1.77501783310146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b v="0"/>
    <x v="0"/>
    <x v="0"/>
    <x v="0"/>
    <x v="0"/>
    <x v="0"/>
    <n v="0"/>
    <n v="0"/>
    <n v="5.7670709413799444E+18"/>
  </r>
  <r>
    <b v="0"/>
    <x v="1"/>
    <x v="0"/>
    <x v="1"/>
    <x v="0"/>
    <x v="1"/>
    <n v="1"/>
    <n v="0"/>
    <n v="9.8110749963619082E+18"/>
  </r>
  <r>
    <b v="0"/>
    <x v="2"/>
    <x v="0"/>
    <x v="1"/>
    <x v="1"/>
    <x v="2"/>
    <n v="2"/>
    <n v="0"/>
    <n v="1.5185267908064334E+19"/>
  </r>
  <r>
    <b v="0"/>
    <x v="3"/>
    <x v="0"/>
    <x v="2"/>
    <x v="2"/>
    <x v="1"/>
    <n v="3"/>
    <n v="0"/>
    <n v="1.4818889003648379E+19"/>
  </r>
  <r>
    <b v="0"/>
    <x v="4"/>
    <x v="0"/>
    <x v="3"/>
    <x v="1"/>
    <x v="3"/>
    <n v="4"/>
    <n v="0"/>
    <n v="1.1706727587698635E+19"/>
  </r>
  <r>
    <b v="0"/>
    <x v="5"/>
    <x v="0"/>
    <x v="2"/>
    <x v="1"/>
    <x v="2"/>
    <n v="5"/>
    <n v="0"/>
    <n v="1.5516404588838717E+19"/>
  </r>
  <r>
    <b v="0"/>
    <x v="6"/>
    <x v="0"/>
    <x v="2"/>
    <x v="3"/>
    <x v="2"/>
    <n v="6"/>
    <n v="0"/>
    <n v="3.8976898385748623E+18"/>
  </r>
  <r>
    <b v="0"/>
    <x v="7"/>
    <x v="0"/>
    <x v="2"/>
    <x v="2"/>
    <x v="3"/>
    <n v="7"/>
    <n v="0"/>
    <n v="1.775017833101467E+19"/>
  </r>
  <r>
    <b v="0"/>
    <x v="8"/>
    <x v="0"/>
    <x v="0"/>
    <x v="4"/>
    <x v="0"/>
    <n v="8"/>
    <n v="0"/>
    <n v="1.2533281262872971E+19"/>
  </r>
  <r>
    <b v="0"/>
    <x v="9"/>
    <x v="0"/>
    <x v="4"/>
    <x v="1"/>
    <x v="2"/>
    <n v="9"/>
    <n v="0"/>
    <n v="4.2456818337275049E+18"/>
  </r>
  <r>
    <b v="0"/>
    <x v="10"/>
    <x v="1"/>
    <x v="4"/>
    <x v="1"/>
    <x v="2"/>
    <n v="10"/>
    <n v="0"/>
    <n v="8.9488153046142781E+18"/>
  </r>
  <r>
    <b v="0"/>
    <x v="11"/>
    <x v="1"/>
    <x v="5"/>
    <x v="5"/>
    <x v="3"/>
    <n v="11"/>
    <n v="0"/>
    <n v="8.6347300695383593E+18"/>
  </r>
  <r>
    <b v="0"/>
    <x v="12"/>
    <x v="1"/>
    <x v="4"/>
    <x v="1"/>
    <x v="4"/>
    <n v="12"/>
    <n v="0"/>
    <n v="5.529764294251399E+17"/>
  </r>
  <r>
    <b v="0"/>
    <x v="13"/>
    <x v="1"/>
    <x v="5"/>
    <x v="6"/>
    <x v="0"/>
    <n v="13"/>
    <n v="0"/>
    <n v="6.0535899029625651E+18"/>
  </r>
  <r>
    <b v="0"/>
    <x v="14"/>
    <x v="1"/>
    <x v="5"/>
    <x v="6"/>
    <x v="0"/>
    <n v="14"/>
    <n v="0"/>
    <n v="4.6373634661613629E+18"/>
  </r>
  <r>
    <b v="0"/>
    <x v="15"/>
    <x v="1"/>
    <x v="4"/>
    <x v="6"/>
    <x v="0"/>
    <n v="15"/>
    <n v="0"/>
    <n v="2.1823148008439782E+18"/>
  </r>
  <r>
    <b v="0"/>
    <x v="16"/>
    <x v="1"/>
    <x v="6"/>
    <x v="2"/>
    <x v="2"/>
    <n v="16"/>
    <n v="0"/>
    <n v="1.4803097006378422E+19"/>
  </r>
  <r>
    <b v="0"/>
    <x v="17"/>
    <x v="1"/>
    <x v="6"/>
    <x v="6"/>
    <x v="2"/>
    <n v="17"/>
    <n v="0"/>
    <n v="1.0995783053251607E+19"/>
  </r>
  <r>
    <b v="0"/>
    <x v="18"/>
    <x v="1"/>
    <x v="2"/>
    <x v="7"/>
    <x v="2"/>
    <n v="18"/>
    <n v="0"/>
    <n v="2.7634300901850066E+18"/>
  </r>
  <r>
    <b v="0"/>
    <x v="19"/>
    <x v="1"/>
    <x v="4"/>
    <x v="7"/>
    <x v="1"/>
    <n v="19"/>
    <n v="0"/>
    <n v="4.111717606439533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30" firstHeaderRow="0" firstDataRow="1" firstDataCol="5"/>
  <pivotFields count="9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6"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type="all" dataOnly="0" outline="0" fieldPosition="0"/>
    </format>
    <format dxfId="76">
      <pivotArea dataOnly="0"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outline="0" fieldPosition="0">
        <references count="1">
          <reference field="4294967294" count="1" selected="0">
            <x v="1"/>
          </reference>
        </references>
      </pivotArea>
    </format>
    <format dxfId="69">
      <pivotArea dataOnly="0" outline="0" fieldPosition="0">
        <references count="1">
          <reference field="4294967294" count="1">
            <x v="1"/>
          </reference>
        </references>
      </pivotArea>
    </format>
    <format dxfId="68">
      <pivotArea type="all" dataOnly="0" outline="0" fieldPosition="0"/>
    </format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1" count="0"/>
        </references>
      </pivotArea>
    </format>
    <format dxfId="46">
      <pivotArea outline="0" collapsedLevelsAreSubtotals="1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1" type="button" dataOnly="0" labelOnly="1" outline="0" axis="axisRow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field="4" type="button" dataOnly="0" labelOnly="1" outline="0" axis="axisRow" fieldPosition="3"/>
    </format>
    <format dxfId="30">
      <pivotArea field="5" type="button" dataOnly="0" labelOnly="1" outline="0" axis="axisRow" fieldPosition="4"/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field="2" type="button" dataOnly="0" labelOnly="1" outline="0" axis="axisRow" fieldPosition="1"/>
    </format>
    <format dxfId="27">
      <pivotArea field="3" type="button" dataOnly="0" labelOnly="1" outline="0" axis="axisRow" fieldPosition="2"/>
    </format>
    <format dxfId="26">
      <pivotArea field="4" type="button" dataOnly="0" labelOnly="1" outline="0" axis="axisRow" fieldPosition="3"/>
    </format>
    <format dxfId="25">
      <pivotArea field="5" type="button" dataOnly="0" labelOnly="1" outline="0" axis="axisRow" fieldPosition="4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outline="0" fieldPosition="0">
        <references count="1">
          <reference field="1" count="1">
            <x v="0"/>
          </reference>
        </references>
      </pivotArea>
    </format>
    <format dxfId="21">
      <pivotArea dataOnly="0" labelOnly="1" outline="0" fieldPosition="0">
        <references count="1">
          <reference field="1" count="1">
            <x v="1"/>
          </reference>
        </references>
      </pivotArea>
    </format>
    <format dxfId="20">
      <pivotArea dataOnly="0" labelOnly="1" outline="0" fieldPosition="0">
        <references count="1">
          <reference field="1" count="1">
            <x v="2"/>
          </reference>
        </references>
      </pivotArea>
    </format>
    <format dxfId="19">
      <pivotArea dataOnly="0" labelOnly="1" outline="0" fieldPosition="0">
        <references count="1">
          <reference field="1" count="1">
            <x v="3"/>
          </reference>
        </references>
      </pivotArea>
    </format>
    <format dxfId="18">
      <pivotArea dataOnly="0" labelOnly="1" outline="0" fieldPosition="0">
        <references count="1">
          <reference field="1" count="1">
            <x v="4"/>
          </reference>
        </references>
      </pivotArea>
    </format>
    <format dxfId="17">
      <pivotArea dataOnly="0" labelOnly="1" outline="0" fieldPosition="0">
        <references count="1">
          <reference field="1" count="1">
            <x v="5"/>
          </reference>
        </references>
      </pivotArea>
    </format>
    <format dxfId="16">
      <pivotArea dataOnly="0" labelOnly="1" outline="0" fieldPosition="0">
        <references count="1">
          <reference field="1" count="1">
            <x v="6"/>
          </reference>
        </references>
      </pivotArea>
    </format>
    <format dxfId="15">
      <pivotArea dataOnly="0" labelOnly="1" outline="0" fieldPosition="0">
        <references count="1">
          <reference field="1" count="1">
            <x v="7"/>
          </reference>
        </references>
      </pivotArea>
    </format>
    <format dxfId="14">
      <pivotArea dataOnly="0" labelOnly="1" outline="0" fieldPosition="0">
        <references count="1">
          <reference field="1" count="1">
            <x v="8"/>
          </reference>
        </references>
      </pivotArea>
    </format>
    <format dxfId="13">
      <pivotArea dataOnly="0" labelOnly="1" outline="0" fieldPosition="0">
        <references count="1">
          <reference field="1" count="1">
            <x v="9"/>
          </reference>
        </references>
      </pivotArea>
    </format>
    <format dxfId="12">
      <pivotArea dataOnly="0" labelOnly="1" outline="0" fieldPosition="0">
        <references count="1">
          <reference field="1" count="1">
            <x v="10"/>
          </reference>
        </references>
      </pivotArea>
    </format>
    <format dxfId="11">
      <pivotArea dataOnly="0" labelOnly="1" outline="0" fieldPosition="0">
        <references count="1">
          <reference field="1" count="1">
            <x v="11"/>
          </reference>
        </references>
      </pivotArea>
    </format>
    <format dxfId="10">
      <pivotArea dataOnly="0" labelOnly="1" outline="0" fieldPosition="0">
        <references count="1">
          <reference field="1" count="1">
            <x v="12"/>
          </reference>
        </references>
      </pivotArea>
    </format>
    <format dxfId="9">
      <pivotArea dataOnly="0" labelOnly="1" outline="0" fieldPosition="0">
        <references count="1">
          <reference field="1" count="1">
            <x v="13"/>
          </reference>
        </references>
      </pivotArea>
    </format>
    <format dxfId="8">
      <pivotArea dataOnly="0" labelOnly="1" outline="0" fieldPosition="0">
        <references count="1">
          <reference field="1" count="1">
            <x v="14"/>
          </reference>
        </references>
      </pivotArea>
    </format>
    <format dxfId="7">
      <pivotArea dataOnly="0" labelOnly="1" outline="0" fieldPosition="0">
        <references count="1">
          <reference field="1" count="1">
            <x v="15"/>
          </reference>
        </references>
      </pivotArea>
    </format>
    <format dxfId="6">
      <pivotArea dataOnly="0" labelOnly="1" outline="0" fieldPosition="0">
        <references count="1">
          <reference field="1" count="1">
            <x v="16"/>
          </reference>
        </references>
      </pivotArea>
    </format>
    <format dxfId="5">
      <pivotArea dataOnly="0" labelOnly="1" outline="0" fieldPosition="0">
        <references count="1">
          <reference field="1" count="1">
            <x v="17"/>
          </reference>
        </references>
      </pivotArea>
    </format>
    <format dxfId="4">
      <pivotArea dataOnly="0" labelOnly="1" outline="0" fieldPosition="0">
        <references count="1">
          <reference field="1" count="1">
            <x v="18"/>
          </reference>
        </references>
      </pivotArea>
    </format>
    <format dxfId="3">
      <pivotArea dataOnly="0" labelOnly="1" outline="0" fieldPosition="0">
        <references count="1">
          <reference field="1" count="1">
            <x v="1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9" totalsRowShown="0" headerRowDxfId="56" dataDxfId="55" headerRowCellStyle="DarkHeader" dataCellStyle="Normal">
  <autoFilter ref="D79:L99" xr:uid="{DB1D1E60-5E37-456A-AD85-0649D531840E}"/>
  <tableColumns count="9">
    <tableColumn id="1" xr3:uid="{57EDF41E-F06D-4819-BADE-3D62DE46F06C}" name="Record List" dataDxfId="53" dataCellStyle="Normal"/>
    <tableColumn id="2" xr3:uid="{CF70C9CE-83FE-40FA-8089-C68B39CF665A}" name="subidr" dataDxfId="54" dataCellStyle="Normal"/>
    <tableColumn id="3" xr3:uid="{B8654690-502A-4FAF-9205-0118DABCB954}" name="attnr" dataDxfId="59" dataCellStyle="Normal"/>
    <tableColumn id="4" xr3:uid="{5A5BA001-2F93-4E62-880C-C4E8BDB17EEB}" name="num1" dataDxfId="58" dataCellStyle="Normal"/>
    <tableColumn id="5" xr3:uid="{803F44A4-16D5-4412-BCF3-27D8621200F9}" name="num2" dataDxfId="57" dataCellStyle="Normal"/>
    <tableColumn id="6" xr3:uid="{E9215AA8-D4FA-4078-93E3-108A4160531E}" name="num3" dataDxfId="52" dataCellStyle="Normal"/>
    <tableColumn id="7" xr3:uid="{5C10A1DA-213B-43CA-96D7-BE6B6DF64686}" name="index" dataDxfId="51" dataCellStyle="Normal"/>
    <tableColumn id="8" xr3:uid="{CAD8299D-508B-4F43-8416-7B2310DFDDDE}" name="HasBlank" dataDxfId="50" dataCellStyle="Normal"/>
    <tableColumn id="9" xr3:uid="{E52FE63E-8ED5-49A4-848A-22123FE07FA9}" name="Record Hash" dataDxfId="4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62" dataDxfId="106" headerRowBorderDxfId="107">
  <autoFilter ref="B11:AA16" xr:uid="{034D1C74-BE18-490E-B396-097D407DA97D}"/>
  <tableColumns count="26">
    <tableColumn id="1" xr3:uid="{010A8E62-502A-4B19-B37A-BF59E03A068A}" name="Field" dataDxfId="105"/>
    <tableColumn id="2" xr3:uid="{AD236665-EC7C-404F-8915-AD7CD5510D0F}" name="Definition" dataDxfId="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4"/>
    <tableColumn id="5" xr3:uid="{5006D683-9D12-4B97-9EF2-6D41AF6E0B35}" name="Distinct %" dataDxfId="103"/>
    <tableColumn id="6" xr3:uid="{3AFB42F8-9976-44FF-9239-74914D5BE035}" name="Missing %" dataDxfId="102"/>
    <tableColumn id="7" xr3:uid="{4BA41102-DB06-4180-9754-C88722FE82BD}" name="Memory Usage %" dataDxfId="101"/>
    <tableColumn id="8" xr3:uid="{D22319BD-3A80-40F3-84FC-A6D1627B2F29}" name="Memory Usage" dataDxfId="100"/>
    <tableColumn id="9" xr3:uid="{77FAEE19-B6C7-4056-8EF3-5EB877C820C4}" name="Distinct" dataDxfId="99"/>
    <tableColumn id="10" xr3:uid="{54FF47BF-594E-417B-9028-64A4DFE4D389}" name="Count" dataDxfId="98"/>
    <tableColumn id="11" xr3:uid="{54E587FE-36DC-4522-91DC-8B81B386217B}" name="Count %" dataDxfId="97"/>
    <tableColumn id="12" xr3:uid="{0DE21D83-93B1-480C-BE9C-379DA0E532C7}" name="Missing" dataDxfId="96"/>
    <tableColumn id="13" xr3:uid="{C4B407B9-B7FB-4DFC-A6B3-885C816BAF99}" name="Mean" dataDxfId="95"/>
    <tableColumn id="14" xr3:uid="{9796FD8E-D568-43E1-AC6E-BFAE7C7B7017}" name="Median" dataDxfId="94"/>
    <tableColumn id="15" xr3:uid="{A6A7BCED-DD2F-4B41-A84C-2F2674A38A53}" name="Mode" dataDxfId="93"/>
    <tableColumn id="16" xr3:uid="{46607FA5-244C-49C2-997C-B64EB2E94FDE}" name="Standard Deviation" dataDxfId="92"/>
    <tableColumn id="17" xr3:uid="{80BA1782-4C46-45CE-B3FB-40B70BA09AF9}" name="Variance" dataDxfId="91"/>
    <tableColumn id="18" xr3:uid="{EC3C5A76-EF95-419C-87A8-D8885B542521}" name="Min" dataDxfId="90"/>
    <tableColumn id="19" xr3:uid="{BFE545F8-810C-4F0A-A0B2-FF0AB9764A07}" name="5%" dataDxfId="89"/>
    <tableColumn id="20" xr3:uid="{77D31A9B-57B1-4422-8EF9-6320F00E0DB9}" name="25%" dataDxfId="88"/>
    <tableColumn id="21" xr3:uid="{7A350787-F0EA-4E65-B596-5D7253E75CD6}" name="50%" dataDxfId="87"/>
    <tableColumn id="22" xr3:uid="{FB4C260E-A19F-4908-9DBF-DB4AC630982A}" name="75%" dataDxfId="86"/>
    <tableColumn id="23" xr3:uid="{FBECC9F1-5BC8-4774-9475-EB2D6D28F1E2}" name="95%" dataDxfId="85"/>
    <tableColumn id="24" xr3:uid="{839CD532-ED80-4544-A8C8-E9E036764A84}" name="Max" dataDxfId="84"/>
    <tableColumn id="25" xr3:uid="{9DDA1FD6-82B1-4FBE-8BBD-B40C331930D2}" name="Range" dataDxfId="83"/>
    <tableColumn id="26" xr3:uid="{902A027A-FD65-44D4-B3D0-5B3883ACFA39}" name="IQR" dataDxfId="8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51" dataDxfId="149" headerRowBorderDxfId="150" tableBorderDxfId="148" totalsRowBorderDxfId="147" headerRowCellStyle="DarkHeader">
  <autoFilter ref="C45:J59" xr:uid="{DD504193-DD3B-4BC5-B491-CD13C900E1D0}"/>
  <tableColumns count="8">
    <tableColumn id="1" xr3:uid="{428A065A-E650-48CD-82D8-DCD52C6ADF49}" name="Dataset" dataDxfId="146"/>
    <tableColumn id="2" xr3:uid="{59A978F6-B8DD-476D-83D1-DF4156BF2B65}" name="Field" dataDxfId="145"/>
    <tableColumn id="4" xr3:uid="{F13FAD31-2DAD-46F1-87AA-89BB89F55C7D}" name="Activity" dataDxfId="144"/>
    <tableColumn id="3" xr3:uid="{EEC05A6B-8FC2-4E70-83F0-CD177B8B3640}" name="Rows" dataDxfId="143"/>
    <tableColumn id="5" xr3:uid="{393C3242-A398-4640-8F14-23E67E5E58DD}" name="Columns" dataDxfId="142" dataCellStyle="Comma"/>
    <tableColumn id="6" xr3:uid="{FD0E5439-87A1-4303-9EA2-539C332536D5}" name="Datatype" dataDxfId="141"/>
    <tableColumn id="7" xr3:uid="{8B1A0719-0FD5-40F2-A5A8-CFCFA32E014A}" name="Production Time in Seconds" dataDxfId="140"/>
    <tableColumn id="8" xr3:uid="{B5BE7F10-5FBA-44EF-8324-B95D2ABA2298}" name="% of Production Time" dataDxfId="13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8" dataDxfId="136" headerRowBorderDxfId="137" tableBorderDxfId="135" totalsRowBorderDxfId="134">
  <tableColumns count="3">
    <tableColumn id="1" xr3:uid="{FFACC0FF-000E-4785-9C1A-22F01E7C2644}" name="Production Section" dataDxfId="133" dataCellStyle="DarkHeader"/>
    <tableColumn id="2" xr3:uid="{6A06C42D-D4AD-45CE-A81D-0918B410EAA9}" name="Production Time in Seconds" dataDxfId="132"/>
    <tableColumn id="3" xr3:uid="{2643AF23-A2E5-4438-810D-7531CB2D2E4E}" name="% of Production Time" dataDxfId="131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0" dataDxfId="128" headerRowBorderDxfId="129" tableBorderDxfId="127">
  <tableColumns count="2">
    <tableColumn id="1" xr3:uid="{9623C5AE-E7C2-4493-9B72-08667C9B2C60}" name="Environment Variable" dataDxfId="126" dataCellStyle="DarkHeader"/>
    <tableColumn id="2" xr3:uid="{E5E357AA-48FB-47EA-928A-80845B0CD7C9}" name="Value" dataDxfId="12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4" tableBorderDxfId="123" totalsRowBorderDxfId="122">
  <autoFilter ref="F9:G20" xr:uid="{A6117933-3C15-4FC8-ADF4-0EC66304DEE1}"/>
  <tableColumns count="2">
    <tableColumn id="1" xr3:uid="{EC70458D-5C3D-497C-AA06-AFCBD688FBDA}" name="Input Argument" dataDxfId="121" dataCellStyle="DarkHeader"/>
    <tableColumn id="2" xr3:uid="{FCA8AE27-3D46-4152-9A03-0F3EFBA2366A}" name="Value" dataDxfId="120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9" tableBorderDxfId="118" totalsRowBorderDxfId="117">
  <autoFilter ref="I9:J10" xr:uid="{6AF89CD0-DF40-4046-87D4-2BF660DDE636}"/>
  <tableColumns count="2">
    <tableColumn id="1" xr3:uid="{27FA7240-202E-4FAB-AD4A-DC169AFD6F56}" name="Error Type" dataDxfId="116" dataCellStyle="DarkHeader"/>
    <tableColumn id="2" xr3:uid="{C21354E4-3682-4AA0-B73A-2E689C89258C}" name="Value" dataDxfId="11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94</v>
      </c>
      <c r="I23" s="18" t="s">
        <v>92</v>
      </c>
    </row>
    <row r="24" spans="1:12" ht="15" hidden="1" customHeight="1" outlineLevel="2">
      <c r="B24" s="32"/>
      <c r="C24" s="32"/>
      <c r="D24" s="3" t="s">
        <v>10</v>
      </c>
      <c r="E24" s="19">
        <v>1</v>
      </c>
      <c r="F24" s="19">
        <v>0.1</v>
      </c>
      <c r="G24" s="19">
        <v>0.35</v>
      </c>
      <c r="H24" s="19">
        <v>0.4</v>
      </c>
      <c r="I24" s="19">
        <v>0.25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0.14505893019038901</v>
      </c>
      <c r="F26" s="19">
        <v>0.27470534904805</v>
      </c>
      <c r="G26" s="19">
        <v>0.14505893019038901</v>
      </c>
      <c r="H26" s="19">
        <v>0.14505893019038901</v>
      </c>
      <c r="I26" s="19">
        <v>0.14505893019038901</v>
      </c>
    </row>
    <row r="27" spans="1:12" ht="15" hidden="1" customHeight="1" outlineLevel="2">
      <c r="B27" s="32"/>
      <c r="C27" s="32"/>
      <c r="D27" s="27" t="s">
        <v>13</v>
      </c>
      <c r="E27" s="20">
        <v>160</v>
      </c>
      <c r="F27" s="20">
        <v>303</v>
      </c>
      <c r="G27" s="20">
        <v>160</v>
      </c>
      <c r="H27" s="20">
        <v>160</v>
      </c>
      <c r="I27" s="20">
        <v>160</v>
      </c>
    </row>
    <row r="28" spans="1:12" ht="15" hidden="1" customHeight="1" outlineLevel="2">
      <c r="B28" s="32"/>
      <c r="C28" s="32"/>
      <c r="D28" s="27" t="s">
        <v>14</v>
      </c>
      <c r="E28" s="20">
        <v>20</v>
      </c>
      <c r="F28" s="20">
        <v>2</v>
      </c>
      <c r="G28" s="20">
        <v>7</v>
      </c>
      <c r="H28" s="20">
        <v>8</v>
      </c>
      <c r="I28" s="20">
        <v>5</v>
      </c>
    </row>
    <row r="29" spans="1:12" ht="15" hidden="1" customHeight="1" outlineLevel="2">
      <c r="B29" s="32"/>
      <c r="C29" s="32"/>
      <c r="D29" s="28" t="s">
        <v>15</v>
      </c>
      <c r="E29" s="20">
        <v>20</v>
      </c>
      <c r="F29" s="20">
        <v>20</v>
      </c>
      <c r="G29" s="20">
        <v>20</v>
      </c>
      <c r="H29" s="20">
        <v>20</v>
      </c>
      <c r="I29" s="20">
        <v>20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10.5</v>
      </c>
      <c r="F36" s="21"/>
      <c r="G36" s="21">
        <v>5.35</v>
      </c>
      <c r="H36" s="21">
        <v>5.9749999999999996</v>
      </c>
      <c r="I36" s="21">
        <v>6.55</v>
      </c>
    </row>
    <row r="37" spans="2:9" ht="15" hidden="1" customHeight="1" outlineLevel="2">
      <c r="B37" s="32"/>
      <c r="C37" s="32"/>
      <c r="D37" s="27" t="s">
        <v>19</v>
      </c>
      <c r="E37" s="21">
        <v>10.5</v>
      </c>
      <c r="F37" s="21"/>
      <c r="G37" s="21">
        <v>5.5</v>
      </c>
      <c r="H37" s="21">
        <v>5.5</v>
      </c>
      <c r="I37" s="21">
        <v>6</v>
      </c>
    </row>
    <row r="38" spans="2:9" ht="15" hidden="1" customHeight="1" outlineLevel="2">
      <c r="B38" s="32"/>
      <c r="C38" s="32"/>
      <c r="D38" s="27" t="s">
        <v>20</v>
      </c>
      <c r="E38" s="21">
        <v>1</v>
      </c>
      <c r="F38" s="21" t="s">
        <v>95</v>
      </c>
      <c r="G38" s="21">
        <v>5</v>
      </c>
      <c r="H38" s="21">
        <v>5</v>
      </c>
      <c r="I38" s="21">
        <v>6</v>
      </c>
    </row>
    <row r="39" spans="2:9" ht="15" hidden="1" customHeight="1" outlineLevel="2">
      <c r="B39" s="32"/>
      <c r="C39" s="32"/>
      <c r="D39" s="3" t="s">
        <v>21</v>
      </c>
      <c r="E39" s="21">
        <v>5.9160797830996099</v>
      </c>
      <c r="F39" s="21"/>
      <c r="G39" s="21">
        <v>1.84319516629483</v>
      </c>
      <c r="H39" s="21">
        <v>1.6739097001363299</v>
      </c>
      <c r="I39" s="21">
        <v>1.0990426455975599</v>
      </c>
    </row>
    <row r="40" spans="2:9" ht="15" hidden="1" customHeight="1" outlineLevel="2">
      <c r="B40" s="32"/>
      <c r="C40" s="32"/>
      <c r="D40" s="29" t="s">
        <v>22</v>
      </c>
      <c r="E40" s="21">
        <v>35</v>
      </c>
      <c r="F40" s="21"/>
      <c r="G40" s="21">
        <v>3.3973684210526298</v>
      </c>
      <c r="H40" s="21">
        <v>2.8019736842105201</v>
      </c>
      <c r="I40" s="21">
        <v>1.2078947368421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1</v>
      </c>
      <c r="F46" s="21"/>
      <c r="G46" s="21">
        <v>2</v>
      </c>
      <c r="H46" s="21">
        <v>3</v>
      </c>
      <c r="I46" s="21">
        <v>5</v>
      </c>
    </row>
    <row r="47" spans="2:9" ht="15" hidden="1" customHeight="1" outlineLevel="2">
      <c r="B47" s="32"/>
      <c r="C47" s="32"/>
      <c r="D47" s="27">
        <v>0.05</v>
      </c>
      <c r="E47" s="21">
        <v>1.95</v>
      </c>
      <c r="F47" s="21"/>
      <c r="G47" s="21">
        <v>2</v>
      </c>
      <c r="H47" s="21">
        <v>3.95</v>
      </c>
      <c r="I47" s="21">
        <v>5</v>
      </c>
    </row>
    <row r="48" spans="2:9" ht="15" hidden="1" customHeight="1" outlineLevel="2">
      <c r="B48" s="32"/>
      <c r="C48" s="32"/>
      <c r="D48" s="28">
        <v>0.25</v>
      </c>
      <c r="E48" s="21">
        <v>5.75</v>
      </c>
      <c r="F48" s="21"/>
      <c r="G48" s="21">
        <v>4.75</v>
      </c>
      <c r="H48" s="21">
        <v>5</v>
      </c>
      <c r="I48" s="21">
        <v>6</v>
      </c>
    </row>
    <row r="49" spans="1:9" ht="15" hidden="1" customHeight="1" outlineLevel="2">
      <c r="B49" s="32"/>
      <c r="C49" s="32"/>
      <c r="D49" s="3">
        <v>0.5</v>
      </c>
      <c r="E49" s="21">
        <v>10.5</v>
      </c>
      <c r="F49" s="21"/>
      <c r="G49" s="21">
        <v>5.5</v>
      </c>
      <c r="H49" s="21">
        <v>5.5</v>
      </c>
      <c r="I49" s="21">
        <v>6</v>
      </c>
    </row>
    <row r="50" spans="1:9" ht="15" hidden="1" customHeight="1" outlineLevel="2">
      <c r="B50" s="32"/>
      <c r="C50" s="32"/>
      <c r="D50" s="27">
        <v>0.75</v>
      </c>
      <c r="E50" s="21">
        <v>15.25</v>
      </c>
      <c r="F50" s="21"/>
      <c r="G50" s="21">
        <v>6.25</v>
      </c>
      <c r="H50" s="21">
        <v>7.25</v>
      </c>
      <c r="I50" s="21">
        <v>7</v>
      </c>
    </row>
    <row r="51" spans="1:9" ht="15" hidden="1" customHeight="1" outlineLevel="2">
      <c r="B51" s="32"/>
      <c r="C51" s="32"/>
      <c r="D51" s="27">
        <v>0.95</v>
      </c>
      <c r="E51" s="21">
        <v>19.05</v>
      </c>
      <c r="F51" s="21"/>
      <c r="G51" s="21">
        <v>8</v>
      </c>
      <c r="H51" s="21">
        <v>8.0500000000000007</v>
      </c>
      <c r="I51" s="21">
        <v>8.0500000000000007</v>
      </c>
    </row>
    <row r="52" spans="1:9" ht="15" hidden="1" customHeight="1" outlineLevel="2">
      <c r="B52" s="32"/>
      <c r="C52" s="32"/>
      <c r="D52" s="3" t="s">
        <v>25</v>
      </c>
      <c r="E52" s="21">
        <v>20</v>
      </c>
      <c r="F52" s="21"/>
      <c r="G52" s="21">
        <v>8</v>
      </c>
      <c r="H52" s="21">
        <v>9</v>
      </c>
      <c r="I52" s="21">
        <v>9</v>
      </c>
    </row>
    <row r="53" spans="1:9" ht="15" hidden="1" customHeight="1" outlineLevel="2">
      <c r="B53" s="32"/>
      <c r="C53" s="32"/>
      <c r="D53" s="27" t="s">
        <v>26</v>
      </c>
      <c r="E53" s="21">
        <v>19</v>
      </c>
      <c r="F53" s="21"/>
      <c r="G53" s="21">
        <v>6</v>
      </c>
      <c r="H53" s="21">
        <v>6</v>
      </c>
      <c r="I53" s="21">
        <v>4</v>
      </c>
    </row>
    <row r="54" spans="1:9" ht="15" hidden="1" customHeight="1" outlineLevel="2">
      <c r="D54" s="3" t="s">
        <v>27</v>
      </c>
      <c r="E54" s="21">
        <v>9.5</v>
      </c>
      <c r="F54" s="21"/>
      <c r="G54" s="21">
        <v>1.5</v>
      </c>
      <c r="H54" s="21">
        <v>2.25</v>
      </c>
      <c r="I54" s="21">
        <v>1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1</v>
      </c>
      <c r="F80" s="151" t="s">
        <v>95</v>
      </c>
      <c r="G80" s="151">
        <v>2</v>
      </c>
      <c r="H80" s="152">
        <v>4</v>
      </c>
      <c r="I80" s="152">
        <v>7</v>
      </c>
      <c r="J80" s="160">
        <v>0</v>
      </c>
      <c r="K80" s="160">
        <v>0</v>
      </c>
      <c r="L80" s="160">
        <v>5.7670709413799444E+18</v>
      </c>
    </row>
    <row r="81" spans="4:12" ht="15" customHeight="1">
      <c r="D81" s="157" t="b">
        <v>0</v>
      </c>
      <c r="E81" s="151">
        <v>2</v>
      </c>
      <c r="F81" s="151" t="s">
        <v>95</v>
      </c>
      <c r="G81" s="151">
        <v>3</v>
      </c>
      <c r="H81" s="152">
        <v>4</v>
      </c>
      <c r="I81" s="152">
        <v>5</v>
      </c>
      <c r="J81" s="160">
        <v>1</v>
      </c>
      <c r="K81" s="160">
        <v>0</v>
      </c>
      <c r="L81" s="160">
        <v>9.8110749963619082E+18</v>
      </c>
    </row>
    <row r="82" spans="4:12" ht="15" customHeight="1">
      <c r="D82" s="158" t="b">
        <v>0</v>
      </c>
      <c r="E82" s="153">
        <v>3</v>
      </c>
      <c r="F82" s="151" t="s">
        <v>95</v>
      </c>
      <c r="G82" s="151">
        <v>3</v>
      </c>
      <c r="H82" s="152">
        <v>5</v>
      </c>
      <c r="I82" s="152">
        <v>6</v>
      </c>
      <c r="J82" s="160">
        <v>2</v>
      </c>
      <c r="K82" s="160">
        <v>0</v>
      </c>
      <c r="L82" s="160">
        <v>1.5185267908064334E+19</v>
      </c>
    </row>
    <row r="83" spans="4:12" ht="15" customHeight="1">
      <c r="D83" s="158" t="b">
        <v>0</v>
      </c>
      <c r="E83" s="153">
        <v>4</v>
      </c>
      <c r="F83" s="151" t="s">
        <v>95</v>
      </c>
      <c r="G83" s="151">
        <v>5</v>
      </c>
      <c r="H83" s="152">
        <v>7</v>
      </c>
      <c r="I83" s="152">
        <v>5</v>
      </c>
      <c r="J83" s="160">
        <v>3</v>
      </c>
      <c r="K83" s="160">
        <v>0</v>
      </c>
      <c r="L83" s="160">
        <v>1.4818889003648379E+19</v>
      </c>
    </row>
    <row r="84" spans="4:12" ht="15" customHeight="1">
      <c r="D84" s="158" t="b">
        <v>0</v>
      </c>
      <c r="E84" s="153">
        <v>5</v>
      </c>
      <c r="F84" s="151" t="s">
        <v>95</v>
      </c>
      <c r="G84" s="151">
        <v>4</v>
      </c>
      <c r="H84" s="152">
        <v>5</v>
      </c>
      <c r="I84" s="152">
        <v>8</v>
      </c>
      <c r="J84" s="160">
        <v>4</v>
      </c>
      <c r="K84" s="160">
        <v>0</v>
      </c>
      <c r="L84" s="160">
        <v>1.1706727587698635E+19</v>
      </c>
    </row>
    <row r="85" spans="4:12" ht="15" customHeight="1">
      <c r="D85" s="158" t="b">
        <v>0</v>
      </c>
      <c r="E85" s="153">
        <v>6</v>
      </c>
      <c r="F85" s="151" t="s">
        <v>95</v>
      </c>
      <c r="G85" s="151">
        <v>5</v>
      </c>
      <c r="H85" s="152">
        <v>5</v>
      </c>
      <c r="I85" s="152">
        <v>6</v>
      </c>
      <c r="J85" s="160">
        <v>5</v>
      </c>
      <c r="K85" s="160">
        <v>0</v>
      </c>
      <c r="L85" s="160">
        <v>1.5516404588838717E+19</v>
      </c>
    </row>
    <row r="86" spans="4:12" ht="15" customHeight="1">
      <c r="D86" s="158" t="b">
        <v>0</v>
      </c>
      <c r="E86" s="153">
        <v>7</v>
      </c>
      <c r="F86" s="151" t="s">
        <v>95</v>
      </c>
      <c r="G86" s="151">
        <v>5</v>
      </c>
      <c r="H86" s="152">
        <v>4.5</v>
      </c>
      <c r="I86" s="152">
        <v>6</v>
      </c>
      <c r="J86" s="160">
        <v>6</v>
      </c>
      <c r="K86" s="160">
        <v>0</v>
      </c>
      <c r="L86" s="160">
        <v>3.8976898385748623E+18</v>
      </c>
    </row>
    <row r="87" spans="4:12" ht="15" customHeight="1">
      <c r="D87" s="158" t="b">
        <v>0</v>
      </c>
      <c r="E87" s="153">
        <v>8</v>
      </c>
      <c r="F87" s="151" t="s">
        <v>95</v>
      </c>
      <c r="G87" s="151">
        <v>5</v>
      </c>
      <c r="H87" s="152">
        <v>7</v>
      </c>
      <c r="I87" s="152">
        <v>8</v>
      </c>
      <c r="J87" s="160">
        <v>7</v>
      </c>
      <c r="K87" s="160">
        <v>0</v>
      </c>
      <c r="L87" s="160">
        <v>1.775017833101467E+19</v>
      </c>
    </row>
    <row r="88" spans="4:12" ht="15" customHeight="1">
      <c r="D88" s="158" t="b">
        <v>0</v>
      </c>
      <c r="E88" s="153">
        <v>9</v>
      </c>
      <c r="F88" s="151" t="s">
        <v>95</v>
      </c>
      <c r="G88" s="151">
        <v>2</v>
      </c>
      <c r="H88" s="152">
        <v>3</v>
      </c>
      <c r="I88" s="152">
        <v>7</v>
      </c>
      <c r="J88" s="160">
        <v>8</v>
      </c>
      <c r="K88" s="160">
        <v>0</v>
      </c>
      <c r="L88" s="160">
        <v>1.2533281262872971E+19</v>
      </c>
    </row>
    <row r="89" spans="4:12" ht="15" customHeight="1">
      <c r="D89" s="158" t="b">
        <v>0</v>
      </c>
      <c r="E89" s="153">
        <v>10</v>
      </c>
      <c r="F89" s="151" t="s">
        <v>95</v>
      </c>
      <c r="G89" s="151">
        <v>6</v>
      </c>
      <c r="H89" s="152">
        <v>5</v>
      </c>
      <c r="I89" s="152">
        <v>6</v>
      </c>
      <c r="J89" s="160">
        <v>9</v>
      </c>
      <c r="K89" s="160">
        <v>0</v>
      </c>
      <c r="L89" s="160">
        <v>4.2456818337275049E+18</v>
      </c>
    </row>
    <row r="90" spans="4:12" ht="15" customHeight="1">
      <c r="D90" s="158" t="b">
        <v>0</v>
      </c>
      <c r="E90" s="153">
        <v>11</v>
      </c>
      <c r="F90" s="151" t="s">
        <v>96</v>
      </c>
      <c r="G90" s="151">
        <v>6</v>
      </c>
      <c r="H90" s="152">
        <v>5</v>
      </c>
      <c r="I90" s="152">
        <v>6</v>
      </c>
      <c r="J90" s="160">
        <v>10</v>
      </c>
      <c r="K90" s="160">
        <v>0</v>
      </c>
      <c r="L90" s="160">
        <v>8.9488153046142781E+18</v>
      </c>
    </row>
    <row r="91" spans="4:12" ht="15" customHeight="1">
      <c r="D91" s="158" t="b">
        <v>0</v>
      </c>
      <c r="E91" s="153">
        <v>12</v>
      </c>
      <c r="F91" s="151" t="s">
        <v>96</v>
      </c>
      <c r="G91" s="151">
        <v>8</v>
      </c>
      <c r="H91" s="152">
        <v>9</v>
      </c>
      <c r="I91" s="152">
        <v>8</v>
      </c>
      <c r="J91" s="160">
        <v>11</v>
      </c>
      <c r="K91" s="160">
        <v>0</v>
      </c>
      <c r="L91" s="160">
        <v>8.6347300695383593E+18</v>
      </c>
    </row>
    <row r="92" spans="4:12" ht="15" customHeight="1">
      <c r="D92" s="158" t="b">
        <v>0</v>
      </c>
      <c r="E92" s="153">
        <v>13</v>
      </c>
      <c r="F92" s="151" t="s">
        <v>96</v>
      </c>
      <c r="G92" s="151">
        <v>6</v>
      </c>
      <c r="H92" s="152">
        <v>5</v>
      </c>
      <c r="I92" s="152">
        <v>9</v>
      </c>
      <c r="J92" s="160">
        <v>12</v>
      </c>
      <c r="K92" s="160">
        <v>0</v>
      </c>
      <c r="L92" s="160">
        <v>5.529764294251399E+17</v>
      </c>
    </row>
    <row r="93" spans="4:12" ht="15" customHeight="1">
      <c r="D93" s="158" t="b">
        <v>0</v>
      </c>
      <c r="E93" s="153">
        <v>14</v>
      </c>
      <c r="F93" s="151" t="s">
        <v>96</v>
      </c>
      <c r="G93" s="151">
        <v>8</v>
      </c>
      <c r="H93" s="152">
        <v>8</v>
      </c>
      <c r="I93" s="152">
        <v>7</v>
      </c>
      <c r="J93" s="160">
        <v>13</v>
      </c>
      <c r="K93" s="160">
        <v>0</v>
      </c>
      <c r="L93" s="160">
        <v>6.0535899029625651E+18</v>
      </c>
    </row>
    <row r="94" spans="4:12" ht="15" customHeight="1">
      <c r="D94" s="158" t="b">
        <v>0</v>
      </c>
      <c r="E94" s="153">
        <v>15</v>
      </c>
      <c r="F94" s="151" t="s">
        <v>96</v>
      </c>
      <c r="G94" s="151">
        <v>8</v>
      </c>
      <c r="H94" s="152">
        <v>8</v>
      </c>
      <c r="I94" s="152">
        <v>7</v>
      </c>
      <c r="J94" s="160">
        <v>14</v>
      </c>
      <c r="K94" s="160">
        <v>0</v>
      </c>
      <c r="L94" s="160">
        <v>4.6373634661613629E+18</v>
      </c>
    </row>
    <row r="95" spans="4:12" ht="15" customHeight="1">
      <c r="D95" s="158" t="b">
        <v>0</v>
      </c>
      <c r="E95" s="153">
        <v>16</v>
      </c>
      <c r="F95" s="151" t="s">
        <v>96</v>
      </c>
      <c r="G95" s="151">
        <v>6</v>
      </c>
      <c r="H95" s="152">
        <v>8</v>
      </c>
      <c r="I95" s="152">
        <v>7</v>
      </c>
      <c r="J95" s="160">
        <v>15</v>
      </c>
      <c r="K95" s="160">
        <v>0</v>
      </c>
      <c r="L95" s="160">
        <v>2.1823148008439782E+18</v>
      </c>
    </row>
    <row r="96" spans="4:12" ht="15" customHeight="1">
      <c r="D96" s="158" t="b">
        <v>0</v>
      </c>
      <c r="E96" s="153">
        <v>17</v>
      </c>
      <c r="F96" s="151" t="s">
        <v>96</v>
      </c>
      <c r="G96" s="151">
        <v>7</v>
      </c>
      <c r="H96" s="152">
        <v>7</v>
      </c>
      <c r="I96" s="152">
        <v>6</v>
      </c>
      <c r="J96" s="160">
        <v>16</v>
      </c>
      <c r="K96" s="160">
        <v>0</v>
      </c>
      <c r="L96" s="160">
        <v>1.4803097006378422E+19</v>
      </c>
    </row>
    <row r="97" spans="4:12" ht="15" customHeight="1">
      <c r="D97" s="158" t="b">
        <v>0</v>
      </c>
      <c r="E97" s="153">
        <v>18</v>
      </c>
      <c r="F97" s="151" t="s">
        <v>96</v>
      </c>
      <c r="G97" s="151">
        <v>7</v>
      </c>
      <c r="H97" s="152">
        <v>8</v>
      </c>
      <c r="I97" s="152">
        <v>6</v>
      </c>
      <c r="J97" s="160">
        <v>17</v>
      </c>
      <c r="K97" s="160">
        <v>0</v>
      </c>
      <c r="L97" s="160">
        <v>1.0995783053251607E+19</v>
      </c>
    </row>
    <row r="98" spans="4:12" ht="15" customHeight="1">
      <c r="D98" s="158" t="b">
        <v>0</v>
      </c>
      <c r="E98" s="153">
        <v>19</v>
      </c>
      <c r="F98" s="151" t="s">
        <v>96</v>
      </c>
      <c r="G98" s="151">
        <v>5</v>
      </c>
      <c r="H98" s="152">
        <v>6</v>
      </c>
      <c r="I98" s="152">
        <v>6</v>
      </c>
      <c r="J98" s="160">
        <v>18</v>
      </c>
      <c r="K98" s="160">
        <v>0</v>
      </c>
      <c r="L98" s="160">
        <v>2.7634300901850066E+18</v>
      </c>
    </row>
    <row r="99" spans="4:12" ht="15" customHeight="1">
      <c r="D99" s="159" t="b">
        <v>0</v>
      </c>
      <c r="E99" s="154">
        <v>20</v>
      </c>
      <c r="F99" s="155" t="s">
        <v>96</v>
      </c>
      <c r="G99" s="155">
        <v>6</v>
      </c>
      <c r="H99" s="152">
        <v>6</v>
      </c>
      <c r="I99" s="152">
        <v>5</v>
      </c>
      <c r="J99" s="160">
        <v>19</v>
      </c>
      <c r="K99" s="160">
        <v>0</v>
      </c>
      <c r="L99" s="160">
        <v>4.1117176064395331E+18</v>
      </c>
    </row>
  </sheetData>
  <mergeCells count="1">
    <mergeCell ref="E7:F7"/>
  </mergeCells>
  <phoneticPr fontId="32" type="noConversion"/>
  <conditionalFormatting sqref="E23:G30 E36:G40 E46:G54">
    <cfRule type="cellIs" dxfId="114" priority="22" operator="equal">
      <formula>0</formula>
    </cfRule>
  </conditionalFormatting>
  <conditionalFormatting sqref="D80:D99">
    <cfRule type="cellIs" dxfId="113" priority="21" operator="notEqual">
      <formula>FALSE</formula>
    </cfRule>
  </conditionalFormatting>
  <conditionalFormatting sqref="E17:I17">
    <cfRule type="cellIs" dxfId="1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" priority="16"/>
  </conditionalFormatting>
  <conditionalFormatting sqref="E15:I15">
    <cfRule type="cellIs" dxfId="110" priority="14" operator="notEqual">
      <formula>"Definition"</formula>
    </cfRule>
  </conditionalFormatting>
  <conditionalFormatting sqref="E7">
    <cfRule type="cellIs" dxfId="109" priority="13" operator="notEqual">
      <formula>"Dataset Description"</formula>
    </cfRule>
  </conditionalFormatting>
  <conditionalFormatting sqref="E58:G65">
    <cfRule type="cellIs" dxfId="1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64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1</v>
      </c>
      <c r="G12" s="64">
        <v>0</v>
      </c>
      <c r="H12" s="64">
        <v>0.14505893019038901</v>
      </c>
      <c r="I12" s="61">
        <v>160</v>
      </c>
      <c r="J12" s="61">
        <v>20</v>
      </c>
      <c r="K12" s="61">
        <v>20</v>
      </c>
      <c r="L12" s="62">
        <v>1</v>
      </c>
      <c r="M12" s="61">
        <v>0</v>
      </c>
      <c r="N12" s="63">
        <v>10.5</v>
      </c>
      <c r="O12" s="63">
        <v>10.5</v>
      </c>
      <c r="P12" s="63">
        <v>1</v>
      </c>
      <c r="Q12" s="63">
        <v>5.9160797830996099</v>
      </c>
      <c r="R12" s="63">
        <v>35</v>
      </c>
      <c r="S12" s="63">
        <v>1</v>
      </c>
      <c r="T12" s="63">
        <v>1.95</v>
      </c>
      <c r="U12" s="63">
        <v>5.75</v>
      </c>
      <c r="V12" s="63">
        <v>10.5</v>
      </c>
      <c r="W12" s="63">
        <v>15.25</v>
      </c>
      <c r="X12" s="63">
        <v>19.05</v>
      </c>
      <c r="Y12" s="63">
        <v>20</v>
      </c>
      <c r="Z12" s="63">
        <v>19</v>
      </c>
      <c r="AA12" s="63">
        <v>9.5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0.1</v>
      </c>
      <c r="G13" s="140">
        <v>0</v>
      </c>
      <c r="H13" s="140">
        <v>0.27470534904805</v>
      </c>
      <c r="I13" s="61">
        <v>303</v>
      </c>
      <c r="J13" s="61">
        <v>2</v>
      </c>
      <c r="K13" s="61">
        <v>20</v>
      </c>
      <c r="L13" s="62">
        <v>1</v>
      </c>
      <c r="M13" s="61">
        <v>0</v>
      </c>
      <c r="N13" s="63"/>
      <c r="O13" s="63"/>
      <c r="P13" s="63" t="s">
        <v>95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0.35</v>
      </c>
      <c r="G14" s="140">
        <v>0</v>
      </c>
      <c r="H14" s="140">
        <v>0.14505893019038901</v>
      </c>
      <c r="I14" s="61">
        <v>160</v>
      </c>
      <c r="J14" s="61">
        <v>7</v>
      </c>
      <c r="K14" s="61">
        <v>20</v>
      </c>
      <c r="L14" s="62">
        <v>1</v>
      </c>
      <c r="M14" s="61">
        <v>0</v>
      </c>
      <c r="N14" s="63">
        <v>5.35</v>
      </c>
      <c r="O14" s="63">
        <v>5.5</v>
      </c>
      <c r="P14" s="63">
        <v>5</v>
      </c>
      <c r="Q14" s="63">
        <v>1.84319516629483</v>
      </c>
      <c r="R14" s="63">
        <v>3.3973684210526298</v>
      </c>
      <c r="S14" s="63">
        <v>2</v>
      </c>
      <c r="T14" s="63">
        <v>2</v>
      </c>
      <c r="U14" s="63">
        <v>4.75</v>
      </c>
      <c r="V14" s="63">
        <v>5.5</v>
      </c>
      <c r="W14" s="63">
        <v>6.25</v>
      </c>
      <c r="X14" s="63">
        <v>8</v>
      </c>
      <c r="Y14" s="63">
        <v>8</v>
      </c>
      <c r="Z14" s="63">
        <v>6</v>
      </c>
      <c r="AA14" s="63">
        <v>1.5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94</v>
      </c>
      <c r="F15" s="140">
        <v>0.4</v>
      </c>
      <c r="G15" s="140">
        <v>0</v>
      </c>
      <c r="H15" s="140">
        <v>0.14505893019038901</v>
      </c>
      <c r="I15" s="61">
        <v>160</v>
      </c>
      <c r="J15" s="61">
        <v>8</v>
      </c>
      <c r="K15" s="61">
        <v>20</v>
      </c>
      <c r="L15" s="62">
        <v>1</v>
      </c>
      <c r="M15" s="61">
        <v>0</v>
      </c>
      <c r="N15" s="63">
        <v>5.9749999999999996</v>
      </c>
      <c r="O15" s="63">
        <v>5.5</v>
      </c>
      <c r="P15" s="63">
        <v>5</v>
      </c>
      <c r="Q15" s="63">
        <v>1.6739097001363299</v>
      </c>
      <c r="R15" s="63">
        <v>2.8019736842105201</v>
      </c>
      <c r="S15" s="63">
        <v>3</v>
      </c>
      <c r="T15" s="63">
        <v>3.95</v>
      </c>
      <c r="U15" s="63">
        <v>5</v>
      </c>
      <c r="V15" s="63">
        <v>5.5</v>
      </c>
      <c r="W15" s="63">
        <v>7.25</v>
      </c>
      <c r="X15" s="63">
        <v>8.0500000000000007</v>
      </c>
      <c r="Y15" s="63">
        <v>9</v>
      </c>
      <c r="Z15" s="63">
        <v>6</v>
      </c>
      <c r="AA15" s="63">
        <v>2.25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92</v>
      </c>
      <c r="F16" s="144">
        <v>0.25</v>
      </c>
      <c r="G16" s="144">
        <v>0</v>
      </c>
      <c r="H16" s="144">
        <v>0.14505893019038901</v>
      </c>
      <c r="I16" s="145">
        <v>160</v>
      </c>
      <c r="J16" s="145">
        <v>5</v>
      </c>
      <c r="K16" s="145">
        <v>20</v>
      </c>
      <c r="L16" s="146">
        <v>1</v>
      </c>
      <c r="M16" s="145">
        <v>0</v>
      </c>
      <c r="N16" s="147">
        <v>6.55</v>
      </c>
      <c r="O16" s="147">
        <v>6</v>
      </c>
      <c r="P16" s="147">
        <v>6</v>
      </c>
      <c r="Q16" s="147">
        <v>1.0990426455975599</v>
      </c>
      <c r="R16" s="147">
        <v>1.2078947368421</v>
      </c>
      <c r="S16" s="147">
        <v>5</v>
      </c>
      <c r="T16" s="147">
        <v>5</v>
      </c>
      <c r="U16" s="147">
        <v>6</v>
      </c>
      <c r="V16" s="147">
        <v>6</v>
      </c>
      <c r="W16" s="147">
        <v>7</v>
      </c>
      <c r="X16" s="147">
        <v>8.0500000000000007</v>
      </c>
      <c r="Y16" s="147">
        <v>9</v>
      </c>
      <c r="Z16" s="147">
        <v>4</v>
      </c>
      <c r="AA16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0.6640625" style="12" bestFit="1" customWidth="1"/>
    <col min="5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Anagrams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1</v>
      </c>
      <c r="D10" s="50"/>
      <c r="E10" s="50"/>
      <c r="F10" s="50"/>
      <c r="G10" s="50"/>
      <c r="H10" s="165">
        <v>0</v>
      </c>
      <c r="I10" s="166"/>
      <c r="J10" s="167">
        <v>0.05</v>
      </c>
    </row>
    <row r="11" spans="1:17" ht="15" customHeight="1">
      <c r="C11" s="161">
        <v>2</v>
      </c>
      <c r="D11" s="50"/>
      <c r="E11" s="50"/>
      <c r="F11" s="50"/>
      <c r="G11" s="50"/>
      <c r="H11" s="165">
        <v>0</v>
      </c>
      <c r="I11" s="166"/>
      <c r="J11" s="167">
        <v>0.05</v>
      </c>
    </row>
    <row r="12" spans="1:17" ht="15" customHeight="1">
      <c r="C12" s="161">
        <v>3</v>
      </c>
      <c r="D12" s="50"/>
      <c r="E12" s="50"/>
      <c r="F12" s="50"/>
      <c r="G12" s="50"/>
      <c r="H12" s="165">
        <v>0</v>
      </c>
      <c r="I12" s="166"/>
      <c r="J12" s="167">
        <v>0.05</v>
      </c>
    </row>
    <row r="13" spans="1:17" ht="15" customHeight="1">
      <c r="C13" s="161">
        <v>4</v>
      </c>
      <c r="D13" s="50"/>
      <c r="E13" s="50"/>
      <c r="F13" s="50"/>
      <c r="G13" s="50"/>
      <c r="H13" s="165">
        <v>0</v>
      </c>
      <c r="I13" s="166"/>
      <c r="J13" s="167">
        <v>0.05</v>
      </c>
    </row>
    <row r="14" spans="1:17" ht="15" customHeight="1">
      <c r="C14" s="161">
        <v>5</v>
      </c>
      <c r="D14" s="50"/>
      <c r="E14" s="50"/>
      <c r="F14" s="50"/>
      <c r="G14" s="50"/>
      <c r="H14" s="165">
        <v>0</v>
      </c>
      <c r="I14" s="166"/>
      <c r="J14" s="167">
        <v>0.05</v>
      </c>
    </row>
    <row r="15" spans="1:17" ht="15" customHeight="1">
      <c r="C15" s="161">
        <v>6</v>
      </c>
      <c r="D15" s="50"/>
      <c r="E15" s="50"/>
      <c r="F15" s="50"/>
      <c r="G15" s="50"/>
      <c r="H15" s="165">
        <v>0</v>
      </c>
      <c r="I15" s="166"/>
      <c r="J15" s="167">
        <v>0.05</v>
      </c>
    </row>
    <row r="16" spans="1:17" ht="15" customHeight="1">
      <c r="C16" s="161">
        <v>7</v>
      </c>
      <c r="D16" s="50"/>
      <c r="E16" s="50"/>
      <c r="F16" s="50"/>
      <c r="G16" s="50"/>
      <c r="H16" s="165">
        <v>0</v>
      </c>
      <c r="I16" s="166"/>
      <c r="J16" s="167">
        <v>0.05</v>
      </c>
    </row>
    <row r="17" spans="3:10" ht="15" customHeight="1">
      <c r="C17" s="161">
        <v>8</v>
      </c>
      <c r="D17" s="50"/>
      <c r="E17" s="50"/>
      <c r="F17" s="50"/>
      <c r="G17" s="50"/>
      <c r="H17" s="165">
        <v>0</v>
      </c>
      <c r="I17" s="166"/>
      <c r="J17" s="167">
        <v>0.05</v>
      </c>
    </row>
    <row r="18" spans="3:10" ht="15" customHeight="1">
      <c r="C18" s="161">
        <v>9</v>
      </c>
      <c r="D18" s="50"/>
      <c r="E18" s="50"/>
      <c r="F18" s="50"/>
      <c r="G18" s="50"/>
      <c r="H18" s="165">
        <v>0</v>
      </c>
      <c r="I18" s="166"/>
      <c r="J18" s="167">
        <v>0.05</v>
      </c>
    </row>
    <row r="19" spans="3:10" ht="15" customHeight="1">
      <c r="C19" s="161">
        <v>10</v>
      </c>
      <c r="D19" s="50"/>
      <c r="E19" s="50"/>
      <c r="F19" s="50"/>
      <c r="G19" s="50"/>
      <c r="H19" s="165">
        <v>0</v>
      </c>
      <c r="I19" s="166"/>
      <c r="J19" s="167">
        <v>0.05</v>
      </c>
    </row>
    <row r="20" spans="3:10" ht="15" customHeight="1">
      <c r="C20" s="161">
        <v>11</v>
      </c>
      <c r="D20" s="50"/>
      <c r="E20" s="50"/>
      <c r="F20" s="50"/>
      <c r="G20" s="50"/>
      <c r="H20" s="165">
        <v>0</v>
      </c>
      <c r="I20" s="166"/>
      <c r="J20" s="167">
        <v>0.05</v>
      </c>
    </row>
    <row r="21" spans="3:10" ht="15" customHeight="1">
      <c r="C21" s="161">
        <v>12</v>
      </c>
      <c r="D21" s="50"/>
      <c r="E21" s="50"/>
      <c r="F21" s="50"/>
      <c r="G21" s="50"/>
      <c r="H21" s="165">
        <v>0</v>
      </c>
      <c r="I21" s="166"/>
      <c r="J21" s="167">
        <v>0.05</v>
      </c>
    </row>
    <row r="22" spans="3:10" ht="15" customHeight="1">
      <c r="C22" s="161">
        <v>13</v>
      </c>
      <c r="D22" s="50"/>
      <c r="E22" s="50"/>
      <c r="F22" s="50"/>
      <c r="G22" s="50"/>
      <c r="H22" s="165">
        <v>0</v>
      </c>
      <c r="I22" s="166"/>
      <c r="J22" s="167">
        <v>0.05</v>
      </c>
    </row>
    <row r="23" spans="3:10" ht="15" customHeight="1">
      <c r="C23" s="161">
        <v>14</v>
      </c>
      <c r="D23" s="50"/>
      <c r="E23" s="50"/>
      <c r="F23" s="50"/>
      <c r="G23" s="50"/>
      <c r="H23" s="165">
        <v>0</v>
      </c>
      <c r="I23" s="166"/>
      <c r="J23" s="167">
        <v>0.05</v>
      </c>
    </row>
    <row r="24" spans="3:10" ht="15" customHeight="1">
      <c r="C24" s="161">
        <v>15</v>
      </c>
      <c r="D24" s="50"/>
      <c r="E24" s="50"/>
      <c r="F24" s="50"/>
      <c r="G24" s="50"/>
      <c r="H24" s="165">
        <v>0</v>
      </c>
      <c r="I24" s="166"/>
      <c r="J24" s="167">
        <v>0.05</v>
      </c>
    </row>
    <row r="25" spans="3:10" ht="15" customHeight="1">
      <c r="C25" s="161">
        <v>16</v>
      </c>
      <c r="D25" s="50"/>
      <c r="E25" s="50"/>
      <c r="F25" s="50"/>
      <c r="G25" s="50"/>
      <c r="H25" s="165">
        <v>0</v>
      </c>
      <c r="I25" s="166"/>
      <c r="J25" s="167">
        <v>0.05</v>
      </c>
    </row>
    <row r="26" spans="3:10" ht="15" customHeight="1">
      <c r="C26" s="161">
        <v>17</v>
      </c>
      <c r="D26" s="50"/>
      <c r="E26" s="50"/>
      <c r="F26" s="50"/>
      <c r="G26" s="50"/>
      <c r="H26" s="165">
        <v>0</v>
      </c>
      <c r="I26" s="166"/>
      <c r="J26" s="167">
        <v>0.05</v>
      </c>
    </row>
    <row r="27" spans="3:10" ht="15" customHeight="1">
      <c r="C27" s="161">
        <v>18</v>
      </c>
      <c r="D27" s="50"/>
      <c r="E27" s="50"/>
      <c r="F27" s="50"/>
      <c r="G27" s="50"/>
      <c r="H27" s="165">
        <v>0</v>
      </c>
      <c r="I27" s="166"/>
      <c r="J27" s="167">
        <v>0.05</v>
      </c>
    </row>
    <row r="28" spans="3:10" ht="15" customHeight="1">
      <c r="C28" s="161">
        <v>19</v>
      </c>
      <c r="D28" s="50"/>
      <c r="E28" s="50"/>
      <c r="F28" s="50"/>
      <c r="G28" s="50"/>
      <c r="H28" s="165">
        <v>0</v>
      </c>
      <c r="I28" s="166"/>
      <c r="J28" s="167">
        <v>0.05</v>
      </c>
    </row>
    <row r="29" spans="3:10" ht="15" customHeight="1">
      <c r="C29" s="161">
        <v>20</v>
      </c>
      <c r="D29" s="50"/>
      <c r="E29" s="50"/>
      <c r="F29" s="50"/>
      <c r="G29" s="50"/>
      <c r="H29" s="165">
        <v>0</v>
      </c>
      <c r="I29" s="166"/>
      <c r="J29" s="167">
        <v>0.05</v>
      </c>
    </row>
    <row r="30" spans="3:10" ht="15" customHeight="1">
      <c r="C30" s="161" t="s">
        <v>97</v>
      </c>
      <c r="D30" s="161"/>
      <c r="E30" s="161"/>
      <c r="F30" s="161"/>
      <c r="G30" s="161"/>
      <c r="H30" s="165">
        <v>0</v>
      </c>
      <c r="I30" s="166"/>
      <c r="J30" s="167">
        <v>1</v>
      </c>
    </row>
  </sheetData>
  <conditionalFormatting pivot="1" sqref="H10:H3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3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46178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20</v>
      </c>
      <c r="E31" s="97"/>
      <c r="K31" s="100"/>
      <c r="X31" s="83"/>
    </row>
    <row r="32" spans="2:25" ht="15" customHeight="1">
      <c r="C32" s="99" t="s">
        <v>70</v>
      </c>
      <c r="D32" s="86">
        <v>10.396757841110229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5.8416812419891357</v>
      </c>
      <c r="E35" s="127">
        <v>0.56187441853105546</v>
      </c>
    </row>
    <row r="36" spans="2:24" ht="15" customHeight="1">
      <c r="C36" s="104" t="s">
        <v>136</v>
      </c>
      <c r="D36" s="129">
        <v>6.5227408409118652</v>
      </c>
      <c r="E36" s="127">
        <v>0.62738123930366596</v>
      </c>
      <c r="K36" s="100"/>
    </row>
    <row r="37" spans="2:24" ht="15" customHeight="1">
      <c r="C37" s="104" t="s">
        <v>137</v>
      </c>
      <c r="D37" s="129">
        <v>0.27645492553710938</v>
      </c>
      <c r="E37" s="127">
        <v>2.6590453005155338E-2</v>
      </c>
      <c r="K37" s="100"/>
    </row>
    <row r="38" spans="2:24" ht="15" customHeight="1">
      <c r="C38" s="104" t="s">
        <v>138</v>
      </c>
      <c r="D38" s="129">
        <v>0.27448296546936035</v>
      </c>
      <c r="E38" s="127">
        <v>2.6400782622514662E-2</v>
      </c>
      <c r="K38" s="100"/>
    </row>
    <row r="39" spans="2:24" ht="15" customHeight="1">
      <c r="C39" s="104" t="s">
        <v>75</v>
      </c>
      <c r="D39" s="129">
        <v>0.41793274879455566</v>
      </c>
      <c r="E39" s="127">
        <v>4.0198311151614076E-2</v>
      </c>
      <c r="N39" s="79"/>
    </row>
    <row r="40" spans="2:24" ht="15" customHeight="1">
      <c r="C40" s="104" t="s">
        <v>76</v>
      </c>
      <c r="D40" s="129">
        <v>2.3296661376953125</v>
      </c>
      <c r="E40" s="127">
        <v>0.22407586998761445</v>
      </c>
    </row>
    <row r="41" spans="2:24" ht="15" customHeight="1">
      <c r="C41" s="105" t="s">
        <v>139</v>
      </c>
      <c r="D41" s="130">
        <v>0.52156257629394531</v>
      </c>
      <c r="E41" s="128">
        <v>5.0165809660462267E-2</v>
      </c>
    </row>
    <row r="42" spans="2:24" ht="15" customHeight="1">
      <c r="C42" s="169" t="s">
        <v>77</v>
      </c>
      <c r="D42" s="130">
        <v>5.3908824920654297E-2</v>
      </c>
      <c r="E42" s="128">
        <v>5.1851493433543016E-3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20</v>
      </c>
      <c r="G46" s="109">
        <v>5</v>
      </c>
      <c r="H46" s="108" t="s">
        <v>92</v>
      </c>
      <c r="I46" s="131">
        <v>7.1063041687011719E-2</v>
      </c>
      <c r="J46" s="127">
        <v>6.8351050961044761E-3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20</v>
      </c>
      <c r="G47" s="109">
        <v>5</v>
      </c>
      <c r="H47" s="108" t="s">
        <v>93</v>
      </c>
      <c r="I47" s="131">
        <v>9.2669010162353516E-2</v>
      </c>
      <c r="J47" s="127">
        <v>8.913246725370999E-3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20</v>
      </c>
      <c r="G48" s="109">
        <v>5</v>
      </c>
      <c r="H48" s="108" t="s">
        <v>92</v>
      </c>
      <c r="I48" s="131">
        <v>9.7370386123657227E-2</v>
      </c>
      <c r="J48" s="127">
        <v>9.3654423819169441E-3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20</v>
      </c>
      <c r="G49" s="109">
        <v>5</v>
      </c>
      <c r="H49" s="113" t="s">
        <v>94</v>
      </c>
      <c r="I49" s="131">
        <v>9.1381311416625977E-2</v>
      </c>
      <c r="J49" s="172">
        <v>8.7893911170234852E-3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20</v>
      </c>
      <c r="G50" s="109">
        <v>5</v>
      </c>
      <c r="H50" s="113" t="s">
        <v>92</v>
      </c>
      <c r="I50" s="131">
        <v>9.4694614410400391E-2</v>
      </c>
      <c r="J50" s="172">
        <v>9.1080768028604427E-3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20</v>
      </c>
      <c r="G51" s="109">
        <v>5</v>
      </c>
      <c r="H51" s="113" t="s">
        <v>92</v>
      </c>
      <c r="I51" s="131">
        <v>0.21181416511535645</v>
      </c>
      <c r="J51" s="172">
        <v>2.0373066576345251E-2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20</v>
      </c>
      <c r="G52" s="109">
        <v>5</v>
      </c>
      <c r="H52" s="113" t="s">
        <v>92</v>
      </c>
      <c r="I52" s="131">
        <v>0.22781229019165039</v>
      </c>
      <c r="J52" s="172">
        <v>2.1911825172110221E-2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20</v>
      </c>
      <c r="G53" s="109">
        <v>5</v>
      </c>
      <c r="H53" s="113" t="s">
        <v>93</v>
      </c>
      <c r="I53" s="131">
        <v>0.3029625415802002</v>
      </c>
      <c r="J53" s="172">
        <v>2.9140053151736536E-2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141</v>
      </c>
      <c r="F54" s="171">
        <v>20</v>
      </c>
      <c r="G54" s="109">
        <v>5</v>
      </c>
      <c r="H54" s="113" t="s">
        <v>92</v>
      </c>
      <c r="I54" s="131">
        <v>0.39647173881530762</v>
      </c>
      <c r="J54" s="172">
        <v>3.8134112164427782E-2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142</v>
      </c>
      <c r="F55" s="171">
        <v>20</v>
      </c>
      <c r="G55" s="109">
        <v>5</v>
      </c>
      <c r="H55" s="113" t="s">
        <v>92</v>
      </c>
      <c r="I55" s="131">
        <v>0.22126221656799316</v>
      </c>
      <c r="J55" s="172">
        <v>2.1281814965087211E-2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141</v>
      </c>
      <c r="F56" s="171">
        <v>20</v>
      </c>
      <c r="G56" s="109">
        <v>5</v>
      </c>
      <c r="H56" s="113" t="s">
        <v>94</v>
      </c>
      <c r="I56" s="131">
        <v>0.26289963722229004</v>
      </c>
      <c r="J56" s="172">
        <v>2.5286655446814667E-2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142</v>
      </c>
      <c r="F57" s="171">
        <v>20</v>
      </c>
      <c r="G57" s="109">
        <v>5</v>
      </c>
      <c r="H57" s="113" t="s">
        <v>94</v>
      </c>
      <c r="I57" s="131">
        <v>0.20484709739685059</v>
      </c>
      <c r="J57" s="172">
        <v>1.9702948341364494E-2</v>
      </c>
      <c r="K57"/>
    </row>
    <row r="58" spans="1:11">
      <c r="A58"/>
      <c r="B58"/>
      <c r="C58" s="170" t="s">
        <v>83</v>
      </c>
      <c r="D58" s="170" t="s">
        <v>88</v>
      </c>
      <c r="E58" s="117" t="s">
        <v>141</v>
      </c>
      <c r="F58" s="171">
        <v>20</v>
      </c>
      <c r="G58" s="109">
        <v>5</v>
      </c>
      <c r="H58" s="113" t="s">
        <v>92</v>
      </c>
      <c r="I58" s="131">
        <v>0.24850344657897949</v>
      </c>
      <c r="J58" s="172">
        <v>2.3901976805222436E-2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142</v>
      </c>
      <c r="F59" s="175">
        <v>20</v>
      </c>
      <c r="G59" s="176">
        <v>5</v>
      </c>
      <c r="H59" s="177" t="s">
        <v>92</v>
      </c>
      <c r="I59" s="178">
        <v>0.18941283226013184</v>
      </c>
      <c r="J59" s="179">
        <v>1.8218423871454344E-2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2026-06-06T00:25:21Z</dcterms:modified>
</cp:coreProperties>
</file>