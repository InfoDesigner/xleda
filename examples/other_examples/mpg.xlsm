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632E023-4D21-45A6-863D-6E7D09215EE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Analysis'!$D$57:$L$57</definedName>
    <definedName name="FieldList2">'Field Analysis'!$D$58:$L$58</definedName>
    <definedName name="FieldList3">'Field Analysis'!$D$59:$L$59</definedName>
    <definedName name="FieldList4">'Field Analysis'!$D$60:$L$60</definedName>
    <definedName name="FieldList5">'Field Analysis'!$D$61:$L$61</definedName>
    <definedName name="FieldList6">'Field Analysis'!$D$62:$L$62</definedName>
    <definedName name="FieldList7">'Field Analysis'!$D$63:$L$63</definedName>
    <definedName name="FieldList8">'Field Analysis'!$D$64:$L$64</definedName>
    <definedName name="FieldLists">'Field Analysis'!$C$57:$L$64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Analysis'!$D$9:$L$9</definedName>
    <definedName name="Percentiles">'Field Analysis'!$D$45:$D$54</definedName>
    <definedName name="RecordHashes">'Field Analysis'!$N$79:$N$476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<sst xmlns="http://schemas.openxmlformats.org/spreadsheetml/2006/main" count="972" uniqueCount="378">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</sst>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5681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39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5681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394"/>
      <tableStyleElement type="headerRow" dxfId="393"/>
      <tableStyleElement type="totalRow" dxfId="392"/>
    </tableStyle>
    <tableStyle name="TableStyleDarker" pivot="0" count="2" xr9:uid="{6808BEA3-E65F-4F4F-A6CC-D0226D87DD56}">
      <tableStyleElement type="wholeTable" dxfId="391"/>
      <tableStyleElement type="headerRow" dxfId="39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pg">
          <a:extLst>
            <a:ext uri="{FF2B5EF4-FFF2-40B4-BE49-F238E27FC236}">
              <a16:creationId xmlns:a16="http://schemas.microsoft.com/office/drawing/2014/main" id="{40472B5A-850A-7A62-0DF8-6C25F186D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mpg">
          <a:extLst>
            <a:ext uri="{FF2B5EF4-FFF2-40B4-BE49-F238E27FC236}">
              <a16:creationId xmlns:a16="http://schemas.microsoft.com/office/drawing/2014/main" id="{C2EF038B-CE54-198D-65C9-0E8236AF5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ylinders">
          <a:extLst>
            <a:ext uri="{FF2B5EF4-FFF2-40B4-BE49-F238E27FC236}">
              <a16:creationId xmlns:a16="http://schemas.microsoft.com/office/drawing/2014/main" id="{569791C0-C77F-4A94-6587-B4325FDF5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cylinders">
          <a:extLst>
            <a:ext uri="{FF2B5EF4-FFF2-40B4-BE49-F238E27FC236}">
              <a16:creationId xmlns:a16="http://schemas.microsoft.com/office/drawing/2014/main" id="{781E73F3-0686-19A2-2908-B7A385610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splacement">
          <a:extLst>
            <a:ext uri="{FF2B5EF4-FFF2-40B4-BE49-F238E27FC236}">
              <a16:creationId xmlns:a16="http://schemas.microsoft.com/office/drawing/2014/main" id="{9E659EC7-A251-66D4-1BFA-E8749C6DD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displacement">
          <a:extLst>
            <a:ext uri="{FF2B5EF4-FFF2-40B4-BE49-F238E27FC236}">
              <a16:creationId xmlns:a16="http://schemas.microsoft.com/office/drawing/2014/main" id="{4BB82BEB-4E86-BE13-F9DF-FADC36A84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horsepower">
          <a:extLst>
            <a:ext uri="{FF2B5EF4-FFF2-40B4-BE49-F238E27FC236}">
              <a16:creationId xmlns:a16="http://schemas.microsoft.com/office/drawing/2014/main" id="{29FF985D-AAEC-5DD5-D6C4-404EF0725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horsepower">
          <a:extLst>
            <a:ext uri="{FF2B5EF4-FFF2-40B4-BE49-F238E27FC236}">
              <a16:creationId xmlns:a16="http://schemas.microsoft.com/office/drawing/2014/main" id="{D7D16622-E2F7-2958-0D01-26EECEB19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weight">
          <a:extLst>
            <a:ext uri="{FF2B5EF4-FFF2-40B4-BE49-F238E27FC236}">
              <a16:creationId xmlns:a16="http://schemas.microsoft.com/office/drawing/2014/main" id="{79E8A067-C7FA-DF32-FBF9-965D1C3A3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weight">
          <a:extLst>
            <a:ext uri="{FF2B5EF4-FFF2-40B4-BE49-F238E27FC236}">
              <a16:creationId xmlns:a16="http://schemas.microsoft.com/office/drawing/2014/main" id="{38BCE5EB-9896-4E7B-D145-30080600F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acceleration">
          <a:extLst>
            <a:ext uri="{FF2B5EF4-FFF2-40B4-BE49-F238E27FC236}">
              <a16:creationId xmlns:a16="http://schemas.microsoft.com/office/drawing/2014/main" id="{842F2005-D381-D127-75D3-52D4867E7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acceleration">
          <a:extLst>
            <a:ext uri="{FF2B5EF4-FFF2-40B4-BE49-F238E27FC236}">
              <a16:creationId xmlns:a16="http://schemas.microsoft.com/office/drawing/2014/main" id="{B1000749-94D8-C15B-D733-6B95B8E72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model_year">
          <a:extLst>
            <a:ext uri="{FF2B5EF4-FFF2-40B4-BE49-F238E27FC236}">
              <a16:creationId xmlns:a16="http://schemas.microsoft.com/office/drawing/2014/main" id="{BAF85331-7B47-D89B-0C4C-3E0A6AEBD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model_year">
          <a:extLst>
            <a:ext uri="{FF2B5EF4-FFF2-40B4-BE49-F238E27FC236}">
              <a16:creationId xmlns:a16="http://schemas.microsoft.com/office/drawing/2014/main" id="{24698DD3-02B7-88EF-834B-60A314E26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origin">
          <a:extLst>
            <a:ext uri="{FF2B5EF4-FFF2-40B4-BE49-F238E27FC236}">
              <a16:creationId xmlns:a16="http://schemas.microsoft.com/office/drawing/2014/main" id="{C0876ECD-807D-65D4-5472-CD68AC876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name">
          <a:extLst>
            <a:ext uri="{FF2B5EF4-FFF2-40B4-BE49-F238E27FC236}">
              <a16:creationId xmlns:a16="http://schemas.microsoft.com/office/drawing/2014/main" id="{5B0EC5B1-F07D-8A90-57EC-74E47C0E6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3112268517" createdVersion="8" refreshedVersion="8" minRefreshableVersion="3" recordCount="398" xr:uid="{9CA2673A-A870-437E-AB9F-91D8276FD930}">
  <cacheSource type="worksheet">
    <worksheetSource name="tbl_SourceData"/>
  </cacheSource>
  <cacheFields count="12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.43124186450377E+16" maxValue="1.8439017463386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8.4248097103370998E+18"/>
  </r>
  <r>
    <b v="0"/>
    <x v="1"/>
    <x v="0"/>
    <x v="1"/>
    <x v="1"/>
    <x v="1"/>
    <x v="1"/>
    <x v="0"/>
    <x v="0"/>
    <x v="1"/>
    <n v="0"/>
    <n v="2.10198990942814E+18"/>
  </r>
  <r>
    <b v="0"/>
    <x v="0"/>
    <x v="0"/>
    <x v="2"/>
    <x v="2"/>
    <x v="2"/>
    <x v="2"/>
    <x v="0"/>
    <x v="0"/>
    <x v="2"/>
    <n v="0"/>
    <n v="6.2755333812898396E+18"/>
  </r>
  <r>
    <b v="0"/>
    <x v="2"/>
    <x v="0"/>
    <x v="3"/>
    <x v="2"/>
    <x v="3"/>
    <x v="0"/>
    <x v="0"/>
    <x v="0"/>
    <x v="3"/>
    <n v="0"/>
    <n v="1.35221845387619E+19"/>
  </r>
  <r>
    <b v="0"/>
    <x v="3"/>
    <x v="0"/>
    <x v="4"/>
    <x v="3"/>
    <x v="4"/>
    <x v="3"/>
    <x v="0"/>
    <x v="0"/>
    <x v="4"/>
    <n v="0"/>
    <n v="1.1188445182320501E+19"/>
  </r>
  <r>
    <b v="0"/>
    <x v="1"/>
    <x v="0"/>
    <x v="5"/>
    <x v="4"/>
    <x v="5"/>
    <x v="4"/>
    <x v="0"/>
    <x v="0"/>
    <x v="5"/>
    <n v="0"/>
    <n v="6.0824012230181601E+18"/>
  </r>
  <r>
    <b v="0"/>
    <x v="4"/>
    <x v="0"/>
    <x v="6"/>
    <x v="5"/>
    <x v="6"/>
    <x v="5"/>
    <x v="0"/>
    <x v="0"/>
    <x v="6"/>
    <n v="0"/>
    <n v="4.4712479514802601E+18"/>
  </r>
  <r>
    <b v="0"/>
    <x v="4"/>
    <x v="0"/>
    <x v="7"/>
    <x v="6"/>
    <x v="7"/>
    <x v="6"/>
    <x v="0"/>
    <x v="0"/>
    <x v="7"/>
    <n v="0"/>
    <n v="7.3649658198283397E+18"/>
  </r>
  <r>
    <b v="0"/>
    <x v="4"/>
    <x v="0"/>
    <x v="8"/>
    <x v="7"/>
    <x v="8"/>
    <x v="4"/>
    <x v="0"/>
    <x v="0"/>
    <x v="8"/>
    <n v="0"/>
    <n v="1.40704921538798E+19"/>
  </r>
  <r>
    <b v="0"/>
    <x v="1"/>
    <x v="0"/>
    <x v="9"/>
    <x v="8"/>
    <x v="9"/>
    <x v="6"/>
    <x v="0"/>
    <x v="0"/>
    <x v="9"/>
    <n v="0"/>
    <n v="1.45952863663329E+18"/>
  </r>
  <r>
    <b v="0"/>
    <x v="1"/>
    <x v="0"/>
    <x v="10"/>
    <x v="9"/>
    <x v="10"/>
    <x v="4"/>
    <x v="0"/>
    <x v="0"/>
    <x v="10"/>
    <n v="0"/>
    <n v="5.8643600446436403E+18"/>
  </r>
  <r>
    <b v="0"/>
    <x v="4"/>
    <x v="0"/>
    <x v="11"/>
    <x v="10"/>
    <x v="11"/>
    <x v="7"/>
    <x v="0"/>
    <x v="0"/>
    <x v="11"/>
    <n v="0"/>
    <n v="1.43934949984228E+19"/>
  </r>
  <r>
    <b v="0"/>
    <x v="1"/>
    <x v="0"/>
    <x v="12"/>
    <x v="2"/>
    <x v="12"/>
    <x v="8"/>
    <x v="0"/>
    <x v="0"/>
    <x v="12"/>
    <n v="0"/>
    <n v="1.49030430669213E+19"/>
  </r>
  <r>
    <b v="0"/>
    <x v="4"/>
    <x v="0"/>
    <x v="8"/>
    <x v="7"/>
    <x v="13"/>
    <x v="4"/>
    <x v="0"/>
    <x v="0"/>
    <x v="13"/>
    <n v="0"/>
    <n v="6.6556173055442002E+18"/>
  </r>
  <r>
    <b v="0"/>
    <x v="5"/>
    <x v="1"/>
    <x v="13"/>
    <x v="11"/>
    <x v="14"/>
    <x v="9"/>
    <x v="0"/>
    <x v="1"/>
    <x v="14"/>
    <n v="0"/>
    <n v="1.0392147893042E+19"/>
  </r>
  <r>
    <b v="0"/>
    <x v="6"/>
    <x v="2"/>
    <x v="14"/>
    <x v="11"/>
    <x v="15"/>
    <x v="10"/>
    <x v="0"/>
    <x v="0"/>
    <x v="15"/>
    <n v="0"/>
    <n v="2.78255329549363E+18"/>
  </r>
  <r>
    <b v="0"/>
    <x v="0"/>
    <x v="2"/>
    <x v="15"/>
    <x v="12"/>
    <x v="16"/>
    <x v="10"/>
    <x v="0"/>
    <x v="0"/>
    <x v="16"/>
    <n v="0"/>
    <n v="3.9147425929085798E+18"/>
  </r>
  <r>
    <b v="0"/>
    <x v="7"/>
    <x v="2"/>
    <x v="16"/>
    <x v="13"/>
    <x v="17"/>
    <x v="11"/>
    <x v="0"/>
    <x v="0"/>
    <x v="17"/>
    <n v="0"/>
    <n v="6.4323197693275003E+18"/>
  </r>
  <r>
    <b v="0"/>
    <x v="8"/>
    <x v="1"/>
    <x v="17"/>
    <x v="14"/>
    <x v="18"/>
    <x v="12"/>
    <x v="0"/>
    <x v="1"/>
    <x v="18"/>
    <n v="0"/>
    <n v="1.00140037705559E+19"/>
  </r>
  <r>
    <b v="0"/>
    <x v="9"/>
    <x v="1"/>
    <x v="17"/>
    <x v="15"/>
    <x v="19"/>
    <x v="13"/>
    <x v="0"/>
    <x v="2"/>
    <x v="19"/>
    <n v="0"/>
    <n v="5.0027793061062001E+18"/>
  </r>
  <r>
    <b v="0"/>
    <x v="10"/>
    <x v="1"/>
    <x v="18"/>
    <x v="16"/>
    <x v="20"/>
    <x v="14"/>
    <x v="0"/>
    <x v="2"/>
    <x v="20"/>
    <n v="0"/>
    <n v="3.98129040686799E+18"/>
  </r>
  <r>
    <b v="0"/>
    <x v="5"/>
    <x v="1"/>
    <x v="19"/>
    <x v="17"/>
    <x v="21"/>
    <x v="12"/>
    <x v="0"/>
    <x v="2"/>
    <x v="21"/>
    <n v="0"/>
    <n v="5.0729505785585603E+18"/>
  </r>
  <r>
    <b v="0"/>
    <x v="10"/>
    <x v="1"/>
    <x v="20"/>
    <x v="11"/>
    <x v="22"/>
    <x v="14"/>
    <x v="0"/>
    <x v="2"/>
    <x v="22"/>
    <n v="0"/>
    <n v="1.10845430870465E+19"/>
  </r>
  <r>
    <b v="0"/>
    <x v="9"/>
    <x v="1"/>
    <x v="21"/>
    <x v="18"/>
    <x v="23"/>
    <x v="15"/>
    <x v="0"/>
    <x v="2"/>
    <x v="23"/>
    <n v="0"/>
    <n v="8.9707203426695895E+18"/>
  </r>
  <r>
    <b v="0"/>
    <x v="7"/>
    <x v="2"/>
    <x v="15"/>
    <x v="17"/>
    <x v="24"/>
    <x v="9"/>
    <x v="0"/>
    <x v="0"/>
    <x v="24"/>
    <n v="0"/>
    <n v="1.5542192949840501E+19"/>
  </r>
  <r>
    <b v="0"/>
    <x v="11"/>
    <x v="0"/>
    <x v="22"/>
    <x v="6"/>
    <x v="25"/>
    <x v="16"/>
    <x v="0"/>
    <x v="0"/>
    <x v="25"/>
    <n v="0"/>
    <n v="5.3585220090209597E+18"/>
  </r>
  <r>
    <b v="0"/>
    <x v="11"/>
    <x v="0"/>
    <x v="0"/>
    <x v="19"/>
    <x v="26"/>
    <x v="9"/>
    <x v="0"/>
    <x v="0"/>
    <x v="26"/>
    <n v="0"/>
    <n v="1.6435007433648599E+19"/>
  </r>
  <r>
    <b v="0"/>
    <x v="12"/>
    <x v="0"/>
    <x v="2"/>
    <x v="20"/>
    <x v="27"/>
    <x v="17"/>
    <x v="0"/>
    <x v="0"/>
    <x v="27"/>
    <n v="0"/>
    <n v="6.62923824539938E+18"/>
  </r>
  <r>
    <b v="0"/>
    <x v="13"/>
    <x v="0"/>
    <x v="3"/>
    <x v="21"/>
    <x v="28"/>
    <x v="18"/>
    <x v="0"/>
    <x v="0"/>
    <x v="28"/>
    <n v="0"/>
    <n v="1.67697851534975E+19"/>
  </r>
  <r>
    <b v="0"/>
    <x v="8"/>
    <x v="1"/>
    <x v="17"/>
    <x v="14"/>
    <x v="18"/>
    <x v="12"/>
    <x v="1"/>
    <x v="1"/>
    <x v="18"/>
    <n v="0"/>
    <n v="9.4004885661463491E+18"/>
  </r>
  <r>
    <b v="0"/>
    <x v="14"/>
    <x v="1"/>
    <x v="23"/>
    <x v="17"/>
    <x v="29"/>
    <x v="10"/>
    <x v="1"/>
    <x v="0"/>
    <x v="29"/>
    <n v="0"/>
    <n v="6.8953151131406397E+18"/>
  </r>
  <r>
    <b v="0"/>
    <x v="10"/>
    <x v="1"/>
    <x v="13"/>
    <x v="11"/>
    <x v="30"/>
    <x v="16"/>
    <x v="1"/>
    <x v="1"/>
    <x v="30"/>
    <n v="0"/>
    <n v="2.4501189413904599E+18"/>
  </r>
  <r>
    <b v="0"/>
    <x v="10"/>
    <x v="1"/>
    <x v="24"/>
    <x v="22"/>
    <x v="31"/>
    <x v="19"/>
    <x v="1"/>
    <x v="0"/>
    <x v="31"/>
    <n v="1"/>
    <n v="7.6135125973815798E+18"/>
  </r>
  <r>
    <b v="0"/>
    <x v="15"/>
    <x v="2"/>
    <x v="25"/>
    <x v="23"/>
    <x v="32"/>
    <x v="20"/>
    <x v="1"/>
    <x v="0"/>
    <x v="24"/>
    <n v="0"/>
    <n v="8.6827947192414597E+18"/>
  </r>
  <r>
    <b v="0"/>
    <x v="2"/>
    <x v="2"/>
    <x v="26"/>
    <x v="24"/>
    <x v="33"/>
    <x v="10"/>
    <x v="1"/>
    <x v="0"/>
    <x v="32"/>
    <n v="0"/>
    <n v="2.26021584479308E+17"/>
  </r>
  <r>
    <b v="0"/>
    <x v="3"/>
    <x v="2"/>
    <x v="27"/>
    <x v="23"/>
    <x v="34"/>
    <x v="10"/>
    <x v="1"/>
    <x v="0"/>
    <x v="0"/>
    <n v="0"/>
    <n v="5.2820909956741499E+18"/>
  </r>
  <r>
    <b v="0"/>
    <x v="15"/>
    <x v="2"/>
    <x v="27"/>
    <x v="14"/>
    <x v="35"/>
    <x v="10"/>
    <x v="1"/>
    <x v="0"/>
    <x v="33"/>
    <n v="0"/>
    <n v="1.3953491196494299E+19"/>
  </r>
  <r>
    <b v="0"/>
    <x v="0"/>
    <x v="2"/>
    <x v="25"/>
    <x v="23"/>
    <x v="36"/>
    <x v="10"/>
    <x v="1"/>
    <x v="0"/>
    <x v="34"/>
    <n v="0"/>
    <n v="8.8864532462505697E+18"/>
  </r>
  <r>
    <b v="0"/>
    <x v="4"/>
    <x v="0"/>
    <x v="1"/>
    <x v="1"/>
    <x v="37"/>
    <x v="0"/>
    <x v="1"/>
    <x v="0"/>
    <x v="6"/>
    <n v="0"/>
    <n v="1.59927556204138E+19"/>
  </r>
  <r>
    <b v="0"/>
    <x v="4"/>
    <x v="0"/>
    <x v="12"/>
    <x v="25"/>
    <x v="38"/>
    <x v="1"/>
    <x v="1"/>
    <x v="0"/>
    <x v="35"/>
    <n v="0"/>
    <n v="1.0254934384960999E+19"/>
  </r>
  <r>
    <b v="0"/>
    <x v="4"/>
    <x v="0"/>
    <x v="28"/>
    <x v="26"/>
    <x v="39"/>
    <x v="17"/>
    <x v="1"/>
    <x v="0"/>
    <x v="5"/>
    <n v="0"/>
    <n v="9.3242362378613696E+17"/>
  </r>
  <r>
    <b v="0"/>
    <x v="4"/>
    <x v="0"/>
    <x v="2"/>
    <x v="2"/>
    <x v="40"/>
    <x v="20"/>
    <x v="1"/>
    <x v="0"/>
    <x v="7"/>
    <n v="0"/>
    <n v="6.7288459705767803E+18"/>
  </r>
  <r>
    <b v="0"/>
    <x v="16"/>
    <x v="0"/>
    <x v="10"/>
    <x v="27"/>
    <x v="41"/>
    <x v="1"/>
    <x v="1"/>
    <x v="0"/>
    <x v="36"/>
    <n v="0"/>
    <n v="4.4505558858131901E+18"/>
  </r>
  <r>
    <b v="0"/>
    <x v="17"/>
    <x v="0"/>
    <x v="12"/>
    <x v="9"/>
    <x v="42"/>
    <x v="0"/>
    <x v="1"/>
    <x v="0"/>
    <x v="37"/>
    <n v="0"/>
    <n v="7.2538490449918198E+18"/>
  </r>
  <r>
    <b v="0"/>
    <x v="17"/>
    <x v="0"/>
    <x v="12"/>
    <x v="25"/>
    <x v="43"/>
    <x v="0"/>
    <x v="1"/>
    <x v="0"/>
    <x v="38"/>
    <n v="0"/>
    <n v="1.79625460335482E+19"/>
  </r>
  <r>
    <b v="0"/>
    <x v="0"/>
    <x v="2"/>
    <x v="29"/>
    <x v="28"/>
    <x v="44"/>
    <x v="17"/>
    <x v="1"/>
    <x v="0"/>
    <x v="39"/>
    <n v="0"/>
    <n v="1.2913314102278101E+19"/>
  </r>
  <r>
    <b v="0"/>
    <x v="6"/>
    <x v="1"/>
    <x v="23"/>
    <x v="29"/>
    <x v="45"/>
    <x v="19"/>
    <x v="1"/>
    <x v="0"/>
    <x v="40"/>
    <n v="0"/>
    <n v="7.56600483329583E+18"/>
  </r>
  <r>
    <b v="0"/>
    <x v="15"/>
    <x v="2"/>
    <x v="27"/>
    <x v="23"/>
    <x v="46"/>
    <x v="9"/>
    <x v="1"/>
    <x v="0"/>
    <x v="41"/>
    <n v="0"/>
    <n v="1.07066755441839E+19"/>
  </r>
  <r>
    <b v="0"/>
    <x v="0"/>
    <x v="2"/>
    <x v="27"/>
    <x v="14"/>
    <x v="47"/>
    <x v="12"/>
    <x v="1"/>
    <x v="0"/>
    <x v="42"/>
    <n v="0"/>
    <n v="5.1924818878860001E+18"/>
  </r>
  <r>
    <b v="0"/>
    <x v="18"/>
    <x v="1"/>
    <x v="30"/>
    <x v="30"/>
    <x v="48"/>
    <x v="16"/>
    <x v="1"/>
    <x v="0"/>
    <x v="43"/>
    <n v="0"/>
    <n v="1.3277572776951699E+19"/>
  </r>
  <r>
    <b v="0"/>
    <x v="14"/>
    <x v="1"/>
    <x v="31"/>
    <x v="17"/>
    <x v="49"/>
    <x v="16"/>
    <x v="1"/>
    <x v="2"/>
    <x v="44"/>
    <n v="0"/>
    <n v="1.1074388715599901E+19"/>
  </r>
  <r>
    <b v="0"/>
    <x v="19"/>
    <x v="1"/>
    <x v="32"/>
    <x v="31"/>
    <x v="50"/>
    <x v="21"/>
    <x v="1"/>
    <x v="2"/>
    <x v="45"/>
    <n v="0"/>
    <n v="1.01816488423353E+19"/>
  </r>
  <r>
    <b v="0"/>
    <x v="19"/>
    <x v="1"/>
    <x v="33"/>
    <x v="32"/>
    <x v="51"/>
    <x v="12"/>
    <x v="1"/>
    <x v="2"/>
    <x v="46"/>
    <n v="0"/>
    <n v="3.2811550558686602E+18"/>
  </r>
  <r>
    <b v="0"/>
    <x v="20"/>
    <x v="1"/>
    <x v="34"/>
    <x v="33"/>
    <x v="52"/>
    <x v="19"/>
    <x v="1"/>
    <x v="1"/>
    <x v="47"/>
    <n v="0"/>
    <n v="1.7336385104217801E+19"/>
  </r>
  <r>
    <b v="0"/>
    <x v="21"/>
    <x v="1"/>
    <x v="35"/>
    <x v="34"/>
    <x v="53"/>
    <x v="22"/>
    <x v="1"/>
    <x v="1"/>
    <x v="48"/>
    <n v="0"/>
    <n v="1.22502142626369E+19"/>
  </r>
  <r>
    <b v="0"/>
    <x v="8"/>
    <x v="1"/>
    <x v="17"/>
    <x v="35"/>
    <x v="54"/>
    <x v="19"/>
    <x v="1"/>
    <x v="2"/>
    <x v="49"/>
    <n v="0"/>
    <n v="1.5959225348860899E+19"/>
  </r>
  <r>
    <b v="0"/>
    <x v="9"/>
    <x v="1"/>
    <x v="36"/>
    <x v="31"/>
    <x v="55"/>
    <x v="13"/>
    <x v="1"/>
    <x v="0"/>
    <x v="50"/>
    <n v="0"/>
    <n v="1.7411559050286701E+19"/>
  </r>
  <r>
    <b v="0"/>
    <x v="5"/>
    <x v="1"/>
    <x v="13"/>
    <x v="11"/>
    <x v="56"/>
    <x v="10"/>
    <x v="2"/>
    <x v="1"/>
    <x v="51"/>
    <n v="0"/>
    <n v="1.8132871325521601E+19"/>
  </r>
  <r>
    <b v="0"/>
    <x v="10"/>
    <x v="1"/>
    <x v="37"/>
    <x v="36"/>
    <x v="57"/>
    <x v="23"/>
    <x v="2"/>
    <x v="0"/>
    <x v="52"/>
    <n v="0"/>
    <n v="1.07140893326087E+19"/>
  </r>
  <r>
    <b v="0"/>
    <x v="18"/>
    <x v="1"/>
    <x v="17"/>
    <x v="37"/>
    <x v="58"/>
    <x v="24"/>
    <x v="2"/>
    <x v="2"/>
    <x v="53"/>
    <n v="0"/>
    <n v="6.4301981156796698E+17"/>
  </r>
  <r>
    <b v="0"/>
    <x v="22"/>
    <x v="1"/>
    <x v="23"/>
    <x v="17"/>
    <x v="45"/>
    <x v="21"/>
    <x v="2"/>
    <x v="0"/>
    <x v="54"/>
    <n v="0"/>
    <n v="1.6011066358721901E+19"/>
  </r>
  <r>
    <b v="0"/>
    <x v="7"/>
    <x v="1"/>
    <x v="30"/>
    <x v="30"/>
    <x v="59"/>
    <x v="25"/>
    <x v="2"/>
    <x v="0"/>
    <x v="55"/>
    <n v="0"/>
    <n v="1.6832203426790799E+19"/>
  </r>
  <r>
    <b v="0"/>
    <x v="17"/>
    <x v="0"/>
    <x v="1"/>
    <x v="1"/>
    <x v="60"/>
    <x v="0"/>
    <x v="2"/>
    <x v="0"/>
    <x v="6"/>
    <n v="0"/>
    <n v="4.53961981979725E+18"/>
  </r>
  <r>
    <b v="0"/>
    <x v="4"/>
    <x v="0"/>
    <x v="12"/>
    <x v="25"/>
    <x v="61"/>
    <x v="0"/>
    <x v="2"/>
    <x v="0"/>
    <x v="8"/>
    <n v="0"/>
    <n v="1.6211288435666201E+19"/>
  </r>
  <r>
    <b v="0"/>
    <x v="1"/>
    <x v="0"/>
    <x v="2"/>
    <x v="2"/>
    <x v="62"/>
    <x v="17"/>
    <x v="2"/>
    <x v="0"/>
    <x v="7"/>
    <n v="0"/>
    <n v="1.48839876647634E+18"/>
  </r>
  <r>
    <b v="0"/>
    <x v="4"/>
    <x v="0"/>
    <x v="28"/>
    <x v="26"/>
    <x v="63"/>
    <x v="20"/>
    <x v="2"/>
    <x v="0"/>
    <x v="5"/>
    <n v="0"/>
    <n v="1.60358360583226E+19"/>
  </r>
  <r>
    <b v="0"/>
    <x v="3"/>
    <x v="0"/>
    <x v="3"/>
    <x v="2"/>
    <x v="64"/>
    <x v="1"/>
    <x v="2"/>
    <x v="0"/>
    <x v="56"/>
    <n v="0"/>
    <n v="5.7426695592469504E+18"/>
  </r>
  <r>
    <b v="0"/>
    <x v="12"/>
    <x v="0"/>
    <x v="5"/>
    <x v="38"/>
    <x v="65"/>
    <x v="2"/>
    <x v="2"/>
    <x v="0"/>
    <x v="57"/>
    <n v="0"/>
    <n v="5.1159948315334298E+18"/>
  </r>
  <r>
    <b v="0"/>
    <x v="17"/>
    <x v="0"/>
    <x v="1"/>
    <x v="39"/>
    <x v="66"/>
    <x v="17"/>
    <x v="2"/>
    <x v="0"/>
    <x v="58"/>
    <n v="0"/>
    <n v="1.9909612268306801E+18"/>
  </r>
  <r>
    <b v="0"/>
    <x v="16"/>
    <x v="0"/>
    <x v="1"/>
    <x v="10"/>
    <x v="67"/>
    <x v="17"/>
    <x v="2"/>
    <x v="0"/>
    <x v="59"/>
    <n v="0"/>
    <n v="1.06005019243624E+19"/>
  </r>
  <r>
    <b v="0"/>
    <x v="17"/>
    <x v="0"/>
    <x v="12"/>
    <x v="8"/>
    <x v="68"/>
    <x v="15"/>
    <x v="2"/>
    <x v="0"/>
    <x v="60"/>
    <n v="0"/>
    <n v="5.3651853022959302E+17"/>
  </r>
  <r>
    <b v="0"/>
    <x v="15"/>
    <x v="3"/>
    <x v="38"/>
    <x v="12"/>
    <x v="69"/>
    <x v="17"/>
    <x v="2"/>
    <x v="1"/>
    <x v="61"/>
    <n v="0"/>
    <n v="7.5031258433233203E+18"/>
  </r>
  <r>
    <b v="0"/>
    <x v="1"/>
    <x v="0"/>
    <x v="3"/>
    <x v="2"/>
    <x v="70"/>
    <x v="15"/>
    <x v="2"/>
    <x v="0"/>
    <x v="62"/>
    <n v="0"/>
    <n v="1.54974621642561E+19"/>
  </r>
  <r>
    <b v="0"/>
    <x v="17"/>
    <x v="0"/>
    <x v="0"/>
    <x v="0"/>
    <x v="71"/>
    <x v="16"/>
    <x v="2"/>
    <x v="0"/>
    <x v="63"/>
    <n v="0"/>
    <n v="1.0370877805157599E+19"/>
  </r>
  <r>
    <b v="0"/>
    <x v="17"/>
    <x v="0"/>
    <x v="4"/>
    <x v="3"/>
    <x v="72"/>
    <x v="11"/>
    <x v="2"/>
    <x v="0"/>
    <x v="64"/>
    <n v="0"/>
    <n v="4.7487442529724396E+18"/>
  </r>
  <r>
    <b v="0"/>
    <x v="4"/>
    <x v="0"/>
    <x v="2"/>
    <x v="2"/>
    <x v="73"/>
    <x v="16"/>
    <x v="2"/>
    <x v="0"/>
    <x v="65"/>
    <n v="0"/>
    <n v="1.3404466700053299E+19"/>
  </r>
  <r>
    <b v="0"/>
    <x v="0"/>
    <x v="1"/>
    <x v="21"/>
    <x v="40"/>
    <x v="74"/>
    <x v="12"/>
    <x v="2"/>
    <x v="2"/>
    <x v="66"/>
    <n v="0"/>
    <n v="1.1420513159091499E+19"/>
  </r>
  <r>
    <b v="0"/>
    <x v="6"/>
    <x v="1"/>
    <x v="21"/>
    <x v="32"/>
    <x v="75"/>
    <x v="22"/>
    <x v="2"/>
    <x v="2"/>
    <x v="67"/>
    <n v="0"/>
    <n v="1.58306176340241E+19"/>
  </r>
  <r>
    <b v="0"/>
    <x v="7"/>
    <x v="1"/>
    <x v="39"/>
    <x v="16"/>
    <x v="76"/>
    <x v="21"/>
    <x v="2"/>
    <x v="2"/>
    <x v="68"/>
    <n v="0"/>
    <n v="1.1020321892835299E+19"/>
  </r>
  <r>
    <b v="0"/>
    <x v="9"/>
    <x v="1"/>
    <x v="40"/>
    <x v="34"/>
    <x v="77"/>
    <x v="22"/>
    <x v="2"/>
    <x v="2"/>
    <x v="69"/>
    <n v="0"/>
    <n v="1.17840032358703E+19"/>
  </r>
  <r>
    <b v="0"/>
    <x v="6"/>
    <x v="1"/>
    <x v="30"/>
    <x v="30"/>
    <x v="78"/>
    <x v="11"/>
    <x v="2"/>
    <x v="0"/>
    <x v="70"/>
    <n v="0"/>
    <n v="2.1731594565414799E+18"/>
  </r>
  <r>
    <b v="0"/>
    <x v="14"/>
    <x v="1"/>
    <x v="17"/>
    <x v="41"/>
    <x v="79"/>
    <x v="23"/>
    <x v="2"/>
    <x v="1"/>
    <x v="71"/>
    <n v="0"/>
    <n v="8.41554085524527E+18"/>
  </r>
  <r>
    <b v="0"/>
    <x v="18"/>
    <x v="1"/>
    <x v="39"/>
    <x v="12"/>
    <x v="80"/>
    <x v="12"/>
    <x v="2"/>
    <x v="1"/>
    <x v="72"/>
    <n v="0"/>
    <n v="8.5874921297418496E+18"/>
  </r>
  <r>
    <b v="0"/>
    <x v="14"/>
    <x v="1"/>
    <x v="24"/>
    <x v="36"/>
    <x v="81"/>
    <x v="9"/>
    <x v="2"/>
    <x v="0"/>
    <x v="73"/>
    <n v="0"/>
    <n v="3.0696274765966198E+18"/>
  </r>
  <r>
    <b v="0"/>
    <x v="8"/>
    <x v="1"/>
    <x v="17"/>
    <x v="14"/>
    <x v="82"/>
    <x v="25"/>
    <x v="2"/>
    <x v="1"/>
    <x v="74"/>
    <n v="0"/>
    <n v="1.29648011531288E+19"/>
  </r>
  <r>
    <b v="0"/>
    <x v="17"/>
    <x v="0"/>
    <x v="1"/>
    <x v="25"/>
    <x v="83"/>
    <x v="20"/>
    <x v="3"/>
    <x v="0"/>
    <x v="75"/>
    <n v="0"/>
    <n v="2.9870757776238899E+18"/>
  </r>
  <r>
    <b v="0"/>
    <x v="4"/>
    <x v="0"/>
    <x v="3"/>
    <x v="2"/>
    <x v="64"/>
    <x v="1"/>
    <x v="3"/>
    <x v="0"/>
    <x v="34"/>
    <n v="0"/>
    <n v="2.5438844465708701E+17"/>
  </r>
  <r>
    <b v="0"/>
    <x v="17"/>
    <x v="0"/>
    <x v="1"/>
    <x v="42"/>
    <x v="84"/>
    <x v="20"/>
    <x v="3"/>
    <x v="0"/>
    <x v="76"/>
    <n v="0"/>
    <n v="5.8890254953798605E+18"/>
  </r>
  <r>
    <b v="0"/>
    <x v="4"/>
    <x v="0"/>
    <x v="4"/>
    <x v="43"/>
    <x v="85"/>
    <x v="12"/>
    <x v="3"/>
    <x v="0"/>
    <x v="77"/>
    <n v="0"/>
    <n v="1.5517262347102501E+19"/>
  </r>
  <r>
    <b v="0"/>
    <x v="1"/>
    <x v="0"/>
    <x v="2"/>
    <x v="2"/>
    <x v="86"/>
    <x v="15"/>
    <x v="3"/>
    <x v="0"/>
    <x v="78"/>
    <n v="0"/>
    <n v="1.6161578972950901E+19"/>
  </r>
  <r>
    <b v="0"/>
    <x v="16"/>
    <x v="0"/>
    <x v="5"/>
    <x v="4"/>
    <x v="87"/>
    <x v="1"/>
    <x v="3"/>
    <x v="0"/>
    <x v="79"/>
    <n v="0"/>
    <n v="1.3302429845471001E+19"/>
  </r>
  <r>
    <b v="0"/>
    <x v="17"/>
    <x v="0"/>
    <x v="12"/>
    <x v="2"/>
    <x v="38"/>
    <x v="0"/>
    <x v="3"/>
    <x v="0"/>
    <x v="80"/>
    <n v="0"/>
    <n v="1.7715802020918499E+19"/>
  </r>
  <r>
    <b v="0"/>
    <x v="17"/>
    <x v="0"/>
    <x v="28"/>
    <x v="44"/>
    <x v="88"/>
    <x v="20"/>
    <x v="3"/>
    <x v="0"/>
    <x v="81"/>
    <n v="0"/>
    <n v="1.6954825793588001E+19"/>
  </r>
  <r>
    <b v="0"/>
    <x v="4"/>
    <x v="0"/>
    <x v="2"/>
    <x v="2"/>
    <x v="89"/>
    <x v="12"/>
    <x v="3"/>
    <x v="0"/>
    <x v="82"/>
    <n v="0"/>
    <n v="1.54951721440053E+19"/>
  </r>
  <r>
    <b v="0"/>
    <x v="17"/>
    <x v="0"/>
    <x v="7"/>
    <x v="6"/>
    <x v="90"/>
    <x v="2"/>
    <x v="3"/>
    <x v="0"/>
    <x v="83"/>
    <n v="0"/>
    <n v="1.2976567862418201E+19"/>
  </r>
  <r>
    <b v="0"/>
    <x v="16"/>
    <x v="0"/>
    <x v="8"/>
    <x v="7"/>
    <x v="91"/>
    <x v="2"/>
    <x v="3"/>
    <x v="0"/>
    <x v="84"/>
    <n v="0"/>
    <n v="7.8403173206140897E+18"/>
  </r>
  <r>
    <b v="0"/>
    <x v="17"/>
    <x v="0"/>
    <x v="22"/>
    <x v="25"/>
    <x v="92"/>
    <x v="2"/>
    <x v="3"/>
    <x v="0"/>
    <x v="85"/>
    <n v="0"/>
    <n v="9.4458907007900099E+18"/>
  </r>
  <r>
    <b v="0"/>
    <x v="0"/>
    <x v="2"/>
    <x v="26"/>
    <x v="24"/>
    <x v="93"/>
    <x v="25"/>
    <x v="3"/>
    <x v="0"/>
    <x v="86"/>
    <n v="0"/>
    <n v="1.7085847795289201E+19"/>
  </r>
  <r>
    <b v="0"/>
    <x v="2"/>
    <x v="2"/>
    <x v="27"/>
    <x v="23"/>
    <x v="94"/>
    <x v="22"/>
    <x v="3"/>
    <x v="0"/>
    <x v="87"/>
    <n v="0"/>
    <n v="3.20528994157999E+18"/>
  </r>
  <r>
    <b v="0"/>
    <x v="0"/>
    <x v="2"/>
    <x v="25"/>
    <x v="23"/>
    <x v="95"/>
    <x v="11"/>
    <x v="3"/>
    <x v="0"/>
    <x v="16"/>
    <n v="0"/>
    <n v="1.5709431706168901E+18"/>
  </r>
  <r>
    <b v="0"/>
    <x v="0"/>
    <x v="2"/>
    <x v="27"/>
    <x v="14"/>
    <x v="96"/>
    <x v="25"/>
    <x v="3"/>
    <x v="0"/>
    <x v="17"/>
    <n v="0"/>
    <n v="9.8498208360280105E+18"/>
  </r>
  <r>
    <b v="0"/>
    <x v="18"/>
    <x v="2"/>
    <x v="14"/>
    <x v="11"/>
    <x v="97"/>
    <x v="11"/>
    <x v="3"/>
    <x v="0"/>
    <x v="15"/>
    <n v="0"/>
    <n v="1.19909995823517E+19"/>
  </r>
  <r>
    <b v="0"/>
    <x v="9"/>
    <x v="1"/>
    <x v="17"/>
    <x v="15"/>
    <x v="98"/>
    <x v="26"/>
    <x v="3"/>
    <x v="2"/>
    <x v="88"/>
    <n v="0"/>
    <n v="3.6718929752849101E+18"/>
  </r>
  <r>
    <b v="0"/>
    <x v="12"/>
    <x v="0"/>
    <x v="12"/>
    <x v="2"/>
    <x v="99"/>
    <x v="16"/>
    <x v="3"/>
    <x v="0"/>
    <x v="6"/>
    <n v="0"/>
    <n v="3.2320032362904801E+18"/>
  </r>
  <r>
    <b v="0"/>
    <x v="16"/>
    <x v="0"/>
    <x v="12"/>
    <x v="45"/>
    <x v="100"/>
    <x v="15"/>
    <x v="3"/>
    <x v="0"/>
    <x v="89"/>
    <n v="0"/>
    <n v="1.6383166978475801E+19"/>
  </r>
  <r>
    <b v="0"/>
    <x v="17"/>
    <x v="0"/>
    <x v="22"/>
    <x v="9"/>
    <x v="101"/>
    <x v="20"/>
    <x v="3"/>
    <x v="0"/>
    <x v="90"/>
    <n v="0"/>
    <n v="1.4330344922773801E+19"/>
  </r>
  <r>
    <b v="0"/>
    <x v="16"/>
    <x v="0"/>
    <x v="1"/>
    <x v="27"/>
    <x v="102"/>
    <x v="15"/>
    <x v="3"/>
    <x v="0"/>
    <x v="91"/>
    <n v="0"/>
    <n v="4.16178385769246E+18"/>
  </r>
  <r>
    <b v="0"/>
    <x v="0"/>
    <x v="2"/>
    <x v="25"/>
    <x v="23"/>
    <x v="103"/>
    <x v="9"/>
    <x v="3"/>
    <x v="0"/>
    <x v="24"/>
    <n v="0"/>
    <n v="4.1275063456364902E+18"/>
  </r>
  <r>
    <b v="0"/>
    <x v="22"/>
    <x v="1"/>
    <x v="17"/>
    <x v="14"/>
    <x v="104"/>
    <x v="19"/>
    <x v="3"/>
    <x v="1"/>
    <x v="92"/>
    <n v="0"/>
    <n v="2.3485818873010002E+18"/>
  </r>
  <r>
    <b v="0"/>
    <x v="7"/>
    <x v="1"/>
    <x v="23"/>
    <x v="29"/>
    <x v="105"/>
    <x v="21"/>
    <x v="3"/>
    <x v="0"/>
    <x v="54"/>
    <n v="0"/>
    <n v="1.34998298542388E+19"/>
  </r>
  <r>
    <b v="0"/>
    <x v="6"/>
    <x v="1"/>
    <x v="41"/>
    <x v="46"/>
    <x v="106"/>
    <x v="25"/>
    <x v="3"/>
    <x v="1"/>
    <x v="93"/>
    <n v="0"/>
    <n v="3.7287420475365499E+18"/>
  </r>
  <r>
    <b v="0"/>
    <x v="0"/>
    <x v="3"/>
    <x v="38"/>
    <x v="17"/>
    <x v="107"/>
    <x v="17"/>
    <x v="3"/>
    <x v="1"/>
    <x v="94"/>
    <n v="0"/>
    <n v="1.2573292852600799E+19"/>
  </r>
  <r>
    <b v="0"/>
    <x v="15"/>
    <x v="1"/>
    <x v="30"/>
    <x v="13"/>
    <x v="108"/>
    <x v="18"/>
    <x v="3"/>
    <x v="0"/>
    <x v="31"/>
    <n v="0"/>
    <n v="1.4164419532522899E+19"/>
  </r>
  <r>
    <b v="0"/>
    <x v="7"/>
    <x v="2"/>
    <x v="42"/>
    <x v="47"/>
    <x v="109"/>
    <x v="16"/>
    <x v="3"/>
    <x v="0"/>
    <x v="95"/>
    <n v="0"/>
    <n v="1.53985545340283E+19"/>
  </r>
  <r>
    <b v="0"/>
    <x v="9"/>
    <x v="1"/>
    <x v="24"/>
    <x v="17"/>
    <x v="110"/>
    <x v="10"/>
    <x v="3"/>
    <x v="2"/>
    <x v="96"/>
    <n v="0"/>
    <n v="2.13664875977251E+18"/>
  </r>
  <r>
    <b v="0"/>
    <x v="1"/>
    <x v="0"/>
    <x v="1"/>
    <x v="42"/>
    <x v="111"/>
    <x v="20"/>
    <x v="3"/>
    <x v="0"/>
    <x v="97"/>
    <n v="0"/>
    <n v="1.8361797348491801E+19"/>
  </r>
  <r>
    <b v="0"/>
    <x v="2"/>
    <x v="0"/>
    <x v="12"/>
    <x v="48"/>
    <x v="112"/>
    <x v="8"/>
    <x v="3"/>
    <x v="0"/>
    <x v="98"/>
    <n v="0"/>
    <n v="1.43780127084353E+19"/>
  </r>
  <r>
    <b v="0"/>
    <x v="23"/>
    <x v="1"/>
    <x v="43"/>
    <x v="49"/>
    <x v="113"/>
    <x v="21"/>
    <x v="3"/>
    <x v="2"/>
    <x v="99"/>
    <n v="0"/>
    <n v="1.9396897642304602E+17"/>
  </r>
  <r>
    <b v="0"/>
    <x v="5"/>
    <x v="1"/>
    <x v="31"/>
    <x v="50"/>
    <x v="114"/>
    <x v="10"/>
    <x v="3"/>
    <x v="2"/>
    <x v="100"/>
    <n v="0"/>
    <n v="1.66396283169577E+19"/>
  </r>
  <r>
    <b v="0"/>
    <x v="22"/>
    <x v="1"/>
    <x v="44"/>
    <x v="51"/>
    <x v="115"/>
    <x v="16"/>
    <x v="3"/>
    <x v="2"/>
    <x v="101"/>
    <n v="0"/>
    <n v="1.63223497526814E+19"/>
  </r>
  <r>
    <b v="0"/>
    <x v="15"/>
    <x v="1"/>
    <x v="21"/>
    <x v="40"/>
    <x v="116"/>
    <x v="10"/>
    <x v="3"/>
    <x v="2"/>
    <x v="102"/>
    <n v="0"/>
    <n v="1.5716730794949401E+19"/>
  </r>
  <r>
    <b v="0"/>
    <x v="1"/>
    <x v="0"/>
    <x v="2"/>
    <x v="2"/>
    <x v="117"/>
    <x v="2"/>
    <x v="3"/>
    <x v="0"/>
    <x v="103"/>
    <n v="0"/>
    <n v="5.9044381154495201E+18"/>
  </r>
  <r>
    <b v="0"/>
    <x v="5"/>
    <x v="1"/>
    <x v="21"/>
    <x v="28"/>
    <x v="118"/>
    <x v="16"/>
    <x v="3"/>
    <x v="2"/>
    <x v="104"/>
    <n v="0"/>
    <n v="1.6597733131855999E+19"/>
  </r>
  <r>
    <b v="0"/>
    <x v="22"/>
    <x v="2"/>
    <x v="45"/>
    <x v="52"/>
    <x v="119"/>
    <x v="17"/>
    <x v="3"/>
    <x v="1"/>
    <x v="105"/>
    <n v="0"/>
    <n v="1.28331440330455E+19"/>
  </r>
  <r>
    <b v="0"/>
    <x v="12"/>
    <x v="0"/>
    <x v="1"/>
    <x v="27"/>
    <x v="120"/>
    <x v="2"/>
    <x v="3"/>
    <x v="0"/>
    <x v="106"/>
    <n v="0"/>
    <n v="1.60827277978746E+19"/>
  </r>
  <r>
    <b v="0"/>
    <x v="22"/>
    <x v="2"/>
    <x v="14"/>
    <x v="11"/>
    <x v="121"/>
    <x v="25"/>
    <x v="4"/>
    <x v="0"/>
    <x v="15"/>
    <n v="0"/>
    <n v="1.13592344021469E+19"/>
  </r>
  <r>
    <b v="0"/>
    <x v="7"/>
    <x v="2"/>
    <x v="16"/>
    <x v="22"/>
    <x v="122"/>
    <x v="23"/>
    <x v="4"/>
    <x v="0"/>
    <x v="17"/>
    <n v="1"/>
    <n v="9.6135857228376105E+18"/>
  </r>
  <r>
    <b v="0"/>
    <x v="15"/>
    <x v="2"/>
    <x v="25"/>
    <x v="23"/>
    <x v="123"/>
    <x v="11"/>
    <x v="4"/>
    <x v="0"/>
    <x v="16"/>
    <n v="0"/>
    <n v="1.1808438735795599E+19"/>
  </r>
  <r>
    <b v="0"/>
    <x v="1"/>
    <x v="2"/>
    <x v="27"/>
    <x v="23"/>
    <x v="124"/>
    <x v="23"/>
    <x v="4"/>
    <x v="0"/>
    <x v="107"/>
    <n v="0"/>
    <n v="1.4950200384393501E+19"/>
  </r>
  <r>
    <b v="0"/>
    <x v="20"/>
    <x v="1"/>
    <x v="32"/>
    <x v="53"/>
    <x v="98"/>
    <x v="19"/>
    <x v="4"/>
    <x v="1"/>
    <x v="108"/>
    <n v="0"/>
    <n v="8.4919704117953802E+18"/>
  </r>
  <r>
    <b v="0"/>
    <x v="9"/>
    <x v="1"/>
    <x v="30"/>
    <x v="36"/>
    <x v="125"/>
    <x v="25"/>
    <x v="4"/>
    <x v="0"/>
    <x v="31"/>
    <n v="0"/>
    <n v="6.0549010424676598E+18"/>
  </r>
  <r>
    <b v="0"/>
    <x v="24"/>
    <x v="1"/>
    <x v="34"/>
    <x v="33"/>
    <x v="126"/>
    <x v="26"/>
    <x v="4"/>
    <x v="1"/>
    <x v="47"/>
    <n v="0"/>
    <n v="1.00939560227397E+18"/>
  </r>
  <r>
    <b v="0"/>
    <x v="10"/>
    <x v="1"/>
    <x v="23"/>
    <x v="50"/>
    <x v="127"/>
    <x v="23"/>
    <x v="4"/>
    <x v="0"/>
    <x v="54"/>
    <n v="0"/>
    <n v="1.37342917771578E+19"/>
  </r>
  <r>
    <b v="0"/>
    <x v="2"/>
    <x v="2"/>
    <x v="27"/>
    <x v="23"/>
    <x v="128"/>
    <x v="23"/>
    <x v="4"/>
    <x v="0"/>
    <x v="109"/>
    <n v="0"/>
    <n v="2.3963815842105001E+18"/>
  </r>
  <r>
    <b v="0"/>
    <x v="2"/>
    <x v="2"/>
    <x v="29"/>
    <x v="28"/>
    <x v="129"/>
    <x v="22"/>
    <x v="4"/>
    <x v="0"/>
    <x v="34"/>
    <n v="0"/>
    <n v="1.1304139118078501E+19"/>
  </r>
  <r>
    <b v="0"/>
    <x v="0"/>
    <x v="2"/>
    <x v="26"/>
    <x v="24"/>
    <x v="130"/>
    <x v="25"/>
    <x v="4"/>
    <x v="0"/>
    <x v="110"/>
    <n v="0"/>
    <n v="1.1125344720726001E+18"/>
  </r>
  <r>
    <b v="0"/>
    <x v="2"/>
    <x v="0"/>
    <x v="4"/>
    <x v="3"/>
    <x v="131"/>
    <x v="16"/>
    <x v="4"/>
    <x v="0"/>
    <x v="77"/>
    <n v="0"/>
    <n v="8.4771743701713705E+18"/>
  </r>
  <r>
    <b v="0"/>
    <x v="17"/>
    <x v="0"/>
    <x v="1"/>
    <x v="2"/>
    <x v="132"/>
    <x v="12"/>
    <x v="4"/>
    <x v="0"/>
    <x v="111"/>
    <n v="0"/>
    <n v="1.6200254319284699E+19"/>
  </r>
  <r>
    <b v="0"/>
    <x v="4"/>
    <x v="0"/>
    <x v="2"/>
    <x v="2"/>
    <x v="133"/>
    <x v="17"/>
    <x v="4"/>
    <x v="0"/>
    <x v="112"/>
    <n v="0"/>
    <n v="1.2456995809277399E+19"/>
  </r>
  <r>
    <b v="0"/>
    <x v="4"/>
    <x v="0"/>
    <x v="4"/>
    <x v="3"/>
    <x v="134"/>
    <x v="11"/>
    <x v="4"/>
    <x v="0"/>
    <x v="64"/>
    <n v="0"/>
    <n v="1.16269889462807E+19"/>
  </r>
  <r>
    <b v="0"/>
    <x v="4"/>
    <x v="0"/>
    <x v="3"/>
    <x v="2"/>
    <x v="135"/>
    <x v="10"/>
    <x v="4"/>
    <x v="0"/>
    <x v="62"/>
    <n v="0"/>
    <n v="8.59381655202654E+18"/>
  </r>
  <r>
    <b v="0"/>
    <x v="23"/>
    <x v="1"/>
    <x v="24"/>
    <x v="54"/>
    <x v="136"/>
    <x v="25"/>
    <x v="4"/>
    <x v="2"/>
    <x v="113"/>
    <n v="0"/>
    <n v="1.7400017005098899E+19"/>
  </r>
  <r>
    <b v="0"/>
    <x v="9"/>
    <x v="1"/>
    <x v="32"/>
    <x v="53"/>
    <x v="137"/>
    <x v="10"/>
    <x v="4"/>
    <x v="2"/>
    <x v="114"/>
    <n v="0"/>
    <n v="1.4884703059587701E+19"/>
  </r>
  <r>
    <b v="0"/>
    <x v="9"/>
    <x v="1"/>
    <x v="17"/>
    <x v="55"/>
    <x v="138"/>
    <x v="12"/>
    <x v="4"/>
    <x v="2"/>
    <x v="100"/>
    <n v="0"/>
    <n v="1.7330818774252501E+19"/>
  </r>
  <r>
    <b v="0"/>
    <x v="20"/>
    <x v="1"/>
    <x v="46"/>
    <x v="56"/>
    <x v="139"/>
    <x v="25"/>
    <x v="4"/>
    <x v="1"/>
    <x v="30"/>
    <n v="0"/>
    <n v="1.38640896895186E+19"/>
  </r>
  <r>
    <b v="0"/>
    <x v="24"/>
    <x v="1"/>
    <x v="47"/>
    <x v="57"/>
    <x v="140"/>
    <x v="19"/>
    <x v="4"/>
    <x v="1"/>
    <x v="115"/>
    <n v="0"/>
    <n v="1.09358870417339E+19"/>
  </r>
  <r>
    <b v="0"/>
    <x v="14"/>
    <x v="1"/>
    <x v="48"/>
    <x v="50"/>
    <x v="141"/>
    <x v="12"/>
    <x v="4"/>
    <x v="0"/>
    <x v="116"/>
    <n v="0"/>
    <n v="7.6860677475656499E+18"/>
  </r>
  <r>
    <b v="0"/>
    <x v="5"/>
    <x v="1"/>
    <x v="48"/>
    <x v="50"/>
    <x v="142"/>
    <x v="10"/>
    <x v="4"/>
    <x v="2"/>
    <x v="99"/>
    <n v="0"/>
    <n v="1.82348104796922E+19"/>
  </r>
  <r>
    <b v="0"/>
    <x v="9"/>
    <x v="1"/>
    <x v="31"/>
    <x v="50"/>
    <x v="143"/>
    <x v="16"/>
    <x v="4"/>
    <x v="2"/>
    <x v="117"/>
    <n v="0"/>
    <n v="1.32066137643649E+19"/>
  </r>
  <r>
    <b v="0"/>
    <x v="5"/>
    <x v="1"/>
    <x v="39"/>
    <x v="12"/>
    <x v="144"/>
    <x v="9"/>
    <x v="4"/>
    <x v="1"/>
    <x v="118"/>
    <n v="0"/>
    <n v="5.1735069272152105E+18"/>
  </r>
  <r>
    <b v="0"/>
    <x v="9"/>
    <x v="1"/>
    <x v="41"/>
    <x v="58"/>
    <x v="145"/>
    <x v="10"/>
    <x v="4"/>
    <x v="1"/>
    <x v="119"/>
    <n v="0"/>
    <n v="1.2557308677809299E+19"/>
  </r>
  <r>
    <b v="0"/>
    <x v="20"/>
    <x v="1"/>
    <x v="32"/>
    <x v="53"/>
    <x v="146"/>
    <x v="11"/>
    <x v="4"/>
    <x v="2"/>
    <x v="120"/>
    <n v="0"/>
    <n v="1.80336050192482E+19"/>
  </r>
  <r>
    <b v="0"/>
    <x v="15"/>
    <x v="2"/>
    <x v="26"/>
    <x v="11"/>
    <x v="147"/>
    <x v="11"/>
    <x v="5"/>
    <x v="0"/>
    <x v="121"/>
    <n v="0"/>
    <n v="1.4069459813669501E+19"/>
  </r>
  <r>
    <b v="0"/>
    <x v="0"/>
    <x v="2"/>
    <x v="27"/>
    <x v="24"/>
    <x v="148"/>
    <x v="11"/>
    <x v="5"/>
    <x v="0"/>
    <x v="107"/>
    <n v="0"/>
    <n v="8.23093094386462E+18"/>
  </r>
  <r>
    <b v="0"/>
    <x v="1"/>
    <x v="2"/>
    <x v="27"/>
    <x v="29"/>
    <x v="149"/>
    <x v="26"/>
    <x v="5"/>
    <x v="0"/>
    <x v="122"/>
    <n v="0"/>
    <n v="6.8353309937583401E+18"/>
  </r>
  <r>
    <b v="0"/>
    <x v="1"/>
    <x v="2"/>
    <x v="27"/>
    <x v="29"/>
    <x v="150"/>
    <x v="21"/>
    <x v="5"/>
    <x v="0"/>
    <x v="17"/>
    <n v="0"/>
    <n v="8.7675300294666004E+18"/>
  </r>
  <r>
    <b v="0"/>
    <x v="2"/>
    <x v="0"/>
    <x v="12"/>
    <x v="9"/>
    <x v="151"/>
    <x v="1"/>
    <x v="5"/>
    <x v="0"/>
    <x v="8"/>
    <n v="0"/>
    <n v="1.25655878212113E+19"/>
  </r>
  <r>
    <b v="0"/>
    <x v="1"/>
    <x v="0"/>
    <x v="1"/>
    <x v="42"/>
    <x v="152"/>
    <x v="16"/>
    <x v="5"/>
    <x v="0"/>
    <x v="123"/>
    <n v="0"/>
    <n v="1.0384810664878201E+19"/>
  </r>
  <r>
    <b v="0"/>
    <x v="2"/>
    <x v="0"/>
    <x v="2"/>
    <x v="2"/>
    <x v="153"/>
    <x v="12"/>
    <x v="5"/>
    <x v="0"/>
    <x v="124"/>
    <n v="0"/>
    <n v="1.42794830696214E+19"/>
  </r>
  <r>
    <b v="0"/>
    <x v="4"/>
    <x v="0"/>
    <x v="28"/>
    <x v="59"/>
    <x v="154"/>
    <x v="17"/>
    <x v="5"/>
    <x v="0"/>
    <x v="81"/>
    <n v="0"/>
    <n v="1.57171532883217E+19"/>
  </r>
  <r>
    <b v="0"/>
    <x v="3"/>
    <x v="2"/>
    <x v="49"/>
    <x v="28"/>
    <x v="155"/>
    <x v="26"/>
    <x v="5"/>
    <x v="0"/>
    <x v="125"/>
    <n v="0"/>
    <n v="3.2112361092765998E+18"/>
  </r>
  <r>
    <b v="0"/>
    <x v="2"/>
    <x v="2"/>
    <x v="27"/>
    <x v="24"/>
    <x v="156"/>
    <x v="18"/>
    <x v="5"/>
    <x v="0"/>
    <x v="126"/>
    <n v="0"/>
    <n v="5.8674340042642504E+18"/>
  </r>
  <r>
    <b v="0"/>
    <x v="1"/>
    <x v="2"/>
    <x v="29"/>
    <x v="28"/>
    <x v="157"/>
    <x v="19"/>
    <x v="5"/>
    <x v="0"/>
    <x v="34"/>
    <n v="0"/>
    <n v="3.83985425564147E+18"/>
  </r>
  <r>
    <b v="0"/>
    <x v="0"/>
    <x v="2"/>
    <x v="26"/>
    <x v="11"/>
    <x v="158"/>
    <x v="19"/>
    <x v="5"/>
    <x v="0"/>
    <x v="127"/>
    <n v="0"/>
    <n v="1.1648722964718899E+19"/>
  </r>
  <r>
    <b v="0"/>
    <x v="7"/>
    <x v="2"/>
    <x v="49"/>
    <x v="28"/>
    <x v="159"/>
    <x v="9"/>
    <x v="5"/>
    <x v="0"/>
    <x v="128"/>
    <n v="0"/>
    <n v="1.3885106306057099E+19"/>
  </r>
  <r>
    <b v="0"/>
    <x v="22"/>
    <x v="0"/>
    <x v="50"/>
    <x v="28"/>
    <x v="160"/>
    <x v="17"/>
    <x v="5"/>
    <x v="0"/>
    <x v="129"/>
    <n v="0"/>
    <n v="5.0049144230048102E+18"/>
  </r>
  <r>
    <b v="0"/>
    <x v="17"/>
    <x v="0"/>
    <x v="4"/>
    <x v="60"/>
    <x v="161"/>
    <x v="0"/>
    <x v="5"/>
    <x v="0"/>
    <x v="130"/>
    <n v="0"/>
    <n v="1.1264238684129901E+19"/>
  </r>
  <r>
    <b v="0"/>
    <x v="23"/>
    <x v="1"/>
    <x v="17"/>
    <x v="50"/>
    <x v="162"/>
    <x v="11"/>
    <x v="5"/>
    <x v="1"/>
    <x v="131"/>
    <n v="0"/>
    <n v="1.3160278423509201E+19"/>
  </r>
  <r>
    <b v="0"/>
    <x v="18"/>
    <x v="1"/>
    <x v="23"/>
    <x v="54"/>
    <x v="163"/>
    <x v="23"/>
    <x v="5"/>
    <x v="0"/>
    <x v="31"/>
    <n v="0"/>
    <n v="1.38511205964457E+19"/>
  </r>
  <r>
    <b v="0"/>
    <x v="22"/>
    <x v="2"/>
    <x v="25"/>
    <x v="23"/>
    <x v="164"/>
    <x v="11"/>
    <x v="5"/>
    <x v="0"/>
    <x v="24"/>
    <n v="0"/>
    <n v="2.6004826323719199E+18"/>
  </r>
  <r>
    <b v="0"/>
    <x v="18"/>
    <x v="1"/>
    <x v="23"/>
    <x v="55"/>
    <x v="165"/>
    <x v="18"/>
    <x v="5"/>
    <x v="0"/>
    <x v="132"/>
    <n v="0"/>
    <n v="2.4004244595209298E+18"/>
  </r>
  <r>
    <b v="0"/>
    <x v="5"/>
    <x v="1"/>
    <x v="51"/>
    <x v="61"/>
    <x v="166"/>
    <x v="17"/>
    <x v="5"/>
    <x v="1"/>
    <x v="30"/>
    <n v="0"/>
    <n v="7.2982139240622397E+18"/>
  </r>
  <r>
    <b v="0"/>
    <x v="10"/>
    <x v="1"/>
    <x v="48"/>
    <x v="62"/>
    <x v="167"/>
    <x v="25"/>
    <x v="5"/>
    <x v="2"/>
    <x v="114"/>
    <n v="0"/>
    <n v="2.4610149957920799E+18"/>
  </r>
  <r>
    <b v="0"/>
    <x v="5"/>
    <x v="1"/>
    <x v="52"/>
    <x v="12"/>
    <x v="168"/>
    <x v="23"/>
    <x v="5"/>
    <x v="1"/>
    <x v="115"/>
    <n v="0"/>
    <n v="9.8159743552227697E+18"/>
  </r>
  <r>
    <b v="0"/>
    <x v="0"/>
    <x v="2"/>
    <x v="53"/>
    <x v="12"/>
    <x v="169"/>
    <x v="12"/>
    <x v="5"/>
    <x v="0"/>
    <x v="31"/>
    <n v="0"/>
    <n v="1.5848850295358599E+19"/>
  </r>
  <r>
    <b v="0"/>
    <x v="23"/>
    <x v="1"/>
    <x v="48"/>
    <x v="31"/>
    <x v="170"/>
    <x v="16"/>
    <x v="5"/>
    <x v="2"/>
    <x v="133"/>
    <n v="0"/>
    <n v="2.84292787702788E+17"/>
  </r>
  <r>
    <b v="0"/>
    <x v="15"/>
    <x v="2"/>
    <x v="25"/>
    <x v="17"/>
    <x v="171"/>
    <x v="23"/>
    <x v="5"/>
    <x v="0"/>
    <x v="134"/>
    <n v="0"/>
    <n v="7.5108638024813005E+18"/>
  </r>
  <r>
    <b v="0"/>
    <x v="18"/>
    <x v="1"/>
    <x v="54"/>
    <x v="11"/>
    <x v="172"/>
    <x v="9"/>
    <x v="5"/>
    <x v="2"/>
    <x v="101"/>
    <n v="0"/>
    <n v="1.8364329212164101E+18"/>
  </r>
  <r>
    <b v="0"/>
    <x v="18"/>
    <x v="1"/>
    <x v="39"/>
    <x v="14"/>
    <x v="173"/>
    <x v="23"/>
    <x v="5"/>
    <x v="2"/>
    <x v="20"/>
    <n v="0"/>
    <n v="1.02553381976733E+19"/>
  </r>
  <r>
    <b v="0"/>
    <x v="6"/>
    <x v="1"/>
    <x v="21"/>
    <x v="63"/>
    <x v="95"/>
    <x v="12"/>
    <x v="5"/>
    <x v="2"/>
    <x v="135"/>
    <n v="0"/>
    <n v="3.1872155586540201E+18"/>
  </r>
  <r>
    <b v="0"/>
    <x v="10"/>
    <x v="1"/>
    <x v="21"/>
    <x v="64"/>
    <x v="174"/>
    <x v="17"/>
    <x v="5"/>
    <x v="2"/>
    <x v="104"/>
    <n v="0"/>
    <n v="1.6560033579295601E+19"/>
  </r>
  <r>
    <b v="0"/>
    <x v="25"/>
    <x v="1"/>
    <x v="36"/>
    <x v="65"/>
    <x v="175"/>
    <x v="14"/>
    <x v="5"/>
    <x v="1"/>
    <x v="136"/>
    <n v="0"/>
    <n v="5.8575156215197297E+18"/>
  </r>
  <r>
    <b v="0"/>
    <x v="14"/>
    <x v="1"/>
    <x v="19"/>
    <x v="30"/>
    <x v="176"/>
    <x v="10"/>
    <x v="6"/>
    <x v="2"/>
    <x v="137"/>
    <n v="0"/>
    <n v="1.7010257194969999E+19"/>
  </r>
  <r>
    <b v="0"/>
    <x v="10"/>
    <x v="1"/>
    <x v="31"/>
    <x v="66"/>
    <x v="48"/>
    <x v="27"/>
    <x v="6"/>
    <x v="2"/>
    <x v="44"/>
    <n v="0"/>
    <n v="1.51077902759244E+17"/>
  </r>
  <r>
    <b v="0"/>
    <x v="10"/>
    <x v="1"/>
    <x v="23"/>
    <x v="41"/>
    <x v="177"/>
    <x v="28"/>
    <x v="6"/>
    <x v="0"/>
    <x v="138"/>
    <n v="0"/>
    <n v="1.3751834902133101E+19"/>
  </r>
  <r>
    <b v="0"/>
    <x v="9"/>
    <x v="1"/>
    <x v="24"/>
    <x v="67"/>
    <x v="178"/>
    <x v="29"/>
    <x v="6"/>
    <x v="0"/>
    <x v="116"/>
    <n v="0"/>
    <n v="1.5368025735844399E+19"/>
  </r>
  <r>
    <b v="0"/>
    <x v="8"/>
    <x v="1"/>
    <x v="55"/>
    <x v="54"/>
    <x v="179"/>
    <x v="30"/>
    <x v="6"/>
    <x v="2"/>
    <x v="139"/>
    <n v="0"/>
    <n v="1.08894113608285E+19"/>
  </r>
  <r>
    <b v="0"/>
    <x v="26"/>
    <x v="0"/>
    <x v="56"/>
    <x v="3"/>
    <x v="180"/>
    <x v="20"/>
    <x v="6"/>
    <x v="0"/>
    <x v="109"/>
    <n v="0"/>
    <n v="9.2391596972233196E+18"/>
  </r>
  <r>
    <b v="0"/>
    <x v="2"/>
    <x v="0"/>
    <x v="2"/>
    <x v="2"/>
    <x v="181"/>
    <x v="20"/>
    <x v="6"/>
    <x v="0"/>
    <x v="140"/>
    <n v="0"/>
    <n v="6.7469831145041395E+17"/>
  </r>
  <r>
    <b v="0"/>
    <x v="27"/>
    <x v="0"/>
    <x v="3"/>
    <x v="68"/>
    <x v="182"/>
    <x v="31"/>
    <x v="6"/>
    <x v="0"/>
    <x v="34"/>
    <n v="0"/>
    <n v="1.0936224139032001E+19"/>
  </r>
  <r>
    <b v="0"/>
    <x v="28"/>
    <x v="0"/>
    <x v="28"/>
    <x v="69"/>
    <x v="180"/>
    <x v="32"/>
    <x v="6"/>
    <x v="0"/>
    <x v="77"/>
    <n v="0"/>
    <n v="7.7532774845005896E+18"/>
  </r>
  <r>
    <b v="0"/>
    <x v="6"/>
    <x v="2"/>
    <x v="26"/>
    <x v="23"/>
    <x v="183"/>
    <x v="33"/>
    <x v="6"/>
    <x v="0"/>
    <x v="86"/>
    <n v="0"/>
    <n v="1.55891401487051E+19"/>
  </r>
  <r>
    <b v="0"/>
    <x v="6"/>
    <x v="2"/>
    <x v="27"/>
    <x v="24"/>
    <x v="184"/>
    <x v="12"/>
    <x v="6"/>
    <x v="0"/>
    <x v="107"/>
    <n v="0"/>
    <n v="1.56263540187201E+19"/>
  </r>
  <r>
    <b v="0"/>
    <x v="5"/>
    <x v="2"/>
    <x v="16"/>
    <x v="66"/>
    <x v="185"/>
    <x v="34"/>
    <x v="6"/>
    <x v="0"/>
    <x v="17"/>
    <n v="0"/>
    <n v="1.6192589922734201E+19"/>
  </r>
  <r>
    <b v="0"/>
    <x v="29"/>
    <x v="2"/>
    <x v="25"/>
    <x v="17"/>
    <x v="186"/>
    <x v="34"/>
    <x v="6"/>
    <x v="0"/>
    <x v="16"/>
    <n v="0"/>
    <n v="8.8645841621117696E+17"/>
  </r>
  <r>
    <b v="0"/>
    <x v="23"/>
    <x v="1"/>
    <x v="57"/>
    <x v="56"/>
    <x v="187"/>
    <x v="35"/>
    <x v="6"/>
    <x v="0"/>
    <x v="141"/>
    <n v="0"/>
    <n v="3.67002761141933E+18"/>
  </r>
  <r>
    <b v="0"/>
    <x v="30"/>
    <x v="1"/>
    <x v="24"/>
    <x v="35"/>
    <x v="81"/>
    <x v="36"/>
    <x v="6"/>
    <x v="0"/>
    <x v="142"/>
    <n v="0"/>
    <n v="4.6080901993573202E+18"/>
  </r>
  <r>
    <b v="0"/>
    <x v="23"/>
    <x v="1"/>
    <x v="48"/>
    <x v="31"/>
    <x v="170"/>
    <x v="37"/>
    <x v="6"/>
    <x v="2"/>
    <x v="143"/>
    <n v="0"/>
    <n v="1.60764245091676E+19"/>
  </r>
  <r>
    <b v="0"/>
    <x v="25"/>
    <x v="1"/>
    <x v="36"/>
    <x v="65"/>
    <x v="175"/>
    <x v="38"/>
    <x v="6"/>
    <x v="1"/>
    <x v="118"/>
    <n v="0"/>
    <n v="1.76075714286308E+19"/>
  </r>
  <r>
    <b v="0"/>
    <x v="22"/>
    <x v="2"/>
    <x v="26"/>
    <x v="23"/>
    <x v="188"/>
    <x v="29"/>
    <x v="6"/>
    <x v="0"/>
    <x v="144"/>
    <n v="0"/>
    <n v="1.1741022547093801E+19"/>
  </r>
  <r>
    <b v="0"/>
    <x v="0"/>
    <x v="2"/>
    <x v="27"/>
    <x v="55"/>
    <x v="189"/>
    <x v="26"/>
    <x v="6"/>
    <x v="0"/>
    <x v="145"/>
    <n v="0"/>
    <n v="1.1463230004949899E+19"/>
  </r>
  <r>
    <b v="0"/>
    <x v="31"/>
    <x v="2"/>
    <x v="27"/>
    <x v="28"/>
    <x v="190"/>
    <x v="39"/>
    <x v="6"/>
    <x v="0"/>
    <x v="146"/>
    <n v="0"/>
    <n v="8.5761458839778601E+18"/>
  </r>
  <r>
    <b v="0"/>
    <x v="26"/>
    <x v="2"/>
    <x v="29"/>
    <x v="11"/>
    <x v="191"/>
    <x v="40"/>
    <x v="6"/>
    <x v="0"/>
    <x v="147"/>
    <n v="0"/>
    <n v="1.67297535753075E+19"/>
  </r>
  <r>
    <b v="0"/>
    <x v="32"/>
    <x v="1"/>
    <x v="17"/>
    <x v="62"/>
    <x v="192"/>
    <x v="41"/>
    <x v="6"/>
    <x v="2"/>
    <x v="133"/>
    <n v="0"/>
    <n v="5.0893339215528796E+18"/>
  </r>
  <r>
    <b v="0"/>
    <x v="24"/>
    <x v="1"/>
    <x v="57"/>
    <x v="31"/>
    <x v="193"/>
    <x v="23"/>
    <x v="6"/>
    <x v="1"/>
    <x v="148"/>
    <n v="0"/>
    <n v="1.66391704768669E+18"/>
  </r>
  <r>
    <b v="0"/>
    <x v="14"/>
    <x v="1"/>
    <x v="17"/>
    <x v="50"/>
    <x v="194"/>
    <x v="42"/>
    <x v="6"/>
    <x v="1"/>
    <x v="131"/>
    <n v="0"/>
    <n v="1.2493369444752501E+19"/>
  </r>
  <r>
    <b v="0"/>
    <x v="33"/>
    <x v="1"/>
    <x v="23"/>
    <x v="29"/>
    <x v="195"/>
    <x v="43"/>
    <x v="6"/>
    <x v="0"/>
    <x v="31"/>
    <n v="0"/>
    <n v="1.53442641941398E+19"/>
  </r>
  <r>
    <b v="0"/>
    <x v="22"/>
    <x v="1"/>
    <x v="58"/>
    <x v="70"/>
    <x v="196"/>
    <x v="44"/>
    <x v="6"/>
    <x v="2"/>
    <x v="149"/>
    <n v="0"/>
    <n v="1.0541339891004401E+18"/>
  </r>
  <r>
    <b v="0"/>
    <x v="17"/>
    <x v="0"/>
    <x v="2"/>
    <x v="2"/>
    <x v="197"/>
    <x v="45"/>
    <x v="6"/>
    <x v="0"/>
    <x v="150"/>
    <n v="0"/>
    <n v="1.60456218352076E+19"/>
  </r>
  <r>
    <b v="0"/>
    <x v="15"/>
    <x v="1"/>
    <x v="39"/>
    <x v="14"/>
    <x v="198"/>
    <x v="46"/>
    <x v="6"/>
    <x v="2"/>
    <x v="20"/>
    <n v="0"/>
    <n v="1.63506150676531E+19"/>
  </r>
  <r>
    <b v="0"/>
    <x v="15"/>
    <x v="2"/>
    <x v="45"/>
    <x v="71"/>
    <x v="199"/>
    <x v="10"/>
    <x v="6"/>
    <x v="1"/>
    <x v="105"/>
    <n v="0"/>
    <n v="2.1291702825232799E+18"/>
  </r>
  <r>
    <b v="0"/>
    <x v="34"/>
    <x v="2"/>
    <x v="59"/>
    <x v="68"/>
    <x v="200"/>
    <x v="47"/>
    <x v="6"/>
    <x v="2"/>
    <x v="151"/>
    <n v="0"/>
    <n v="2.2238820033666199E+18"/>
  </r>
  <r>
    <b v="0"/>
    <x v="34"/>
    <x v="0"/>
    <x v="1"/>
    <x v="27"/>
    <x v="201"/>
    <x v="48"/>
    <x v="6"/>
    <x v="0"/>
    <x v="152"/>
    <n v="0"/>
    <n v="4.11363334415123E+18"/>
  </r>
  <r>
    <b v="0"/>
    <x v="17"/>
    <x v="0"/>
    <x v="1"/>
    <x v="42"/>
    <x v="202"/>
    <x v="0"/>
    <x v="6"/>
    <x v="0"/>
    <x v="153"/>
    <n v="0"/>
    <n v="7.1657111007069299E+17"/>
  </r>
  <r>
    <b v="0"/>
    <x v="17"/>
    <x v="0"/>
    <x v="4"/>
    <x v="0"/>
    <x v="203"/>
    <x v="9"/>
    <x v="6"/>
    <x v="0"/>
    <x v="154"/>
    <n v="0"/>
    <n v="1.1168916908656501E+19"/>
  </r>
  <r>
    <b v="0"/>
    <x v="17"/>
    <x v="0"/>
    <x v="2"/>
    <x v="2"/>
    <x v="204"/>
    <x v="16"/>
    <x v="6"/>
    <x v="0"/>
    <x v="155"/>
    <n v="0"/>
    <n v="1.8253702253139401E+19"/>
  </r>
  <r>
    <b v="0"/>
    <x v="35"/>
    <x v="1"/>
    <x v="24"/>
    <x v="72"/>
    <x v="205"/>
    <x v="18"/>
    <x v="7"/>
    <x v="1"/>
    <x v="156"/>
    <n v="0"/>
    <n v="1.0233777705035399E+19"/>
  </r>
  <r>
    <b v="0"/>
    <x v="19"/>
    <x v="1"/>
    <x v="60"/>
    <x v="36"/>
    <x v="194"/>
    <x v="49"/>
    <x v="7"/>
    <x v="0"/>
    <x v="157"/>
    <n v="0"/>
    <n v="1.4994464270329301E+19"/>
  </r>
  <r>
    <b v="0"/>
    <x v="36"/>
    <x v="1"/>
    <x v="32"/>
    <x v="73"/>
    <x v="192"/>
    <x v="50"/>
    <x v="7"/>
    <x v="2"/>
    <x v="158"/>
    <n v="0"/>
    <n v="4.8512595640450304E+18"/>
  </r>
  <r>
    <b v="0"/>
    <x v="37"/>
    <x v="1"/>
    <x v="30"/>
    <x v="61"/>
    <x v="138"/>
    <x v="10"/>
    <x v="7"/>
    <x v="0"/>
    <x v="159"/>
    <n v="0"/>
    <n v="1.7923226456748301E+18"/>
  </r>
  <r>
    <b v="0"/>
    <x v="38"/>
    <x v="1"/>
    <x v="57"/>
    <x v="31"/>
    <x v="206"/>
    <x v="51"/>
    <x v="7"/>
    <x v="1"/>
    <x v="160"/>
    <n v="0"/>
    <n v="3.43124186450377E+16"/>
  </r>
  <r>
    <b v="0"/>
    <x v="26"/>
    <x v="0"/>
    <x v="56"/>
    <x v="42"/>
    <x v="207"/>
    <x v="15"/>
    <x v="7"/>
    <x v="0"/>
    <x v="80"/>
    <n v="0"/>
    <n v="3.7878470156016399E+18"/>
  </r>
  <r>
    <b v="0"/>
    <x v="3"/>
    <x v="0"/>
    <x v="61"/>
    <x v="28"/>
    <x v="208"/>
    <x v="19"/>
    <x v="7"/>
    <x v="0"/>
    <x v="161"/>
    <n v="0"/>
    <n v="1.08449138667188E+19"/>
  </r>
  <r>
    <b v="0"/>
    <x v="27"/>
    <x v="0"/>
    <x v="2"/>
    <x v="42"/>
    <x v="209"/>
    <x v="52"/>
    <x v="7"/>
    <x v="0"/>
    <x v="162"/>
    <n v="0"/>
    <n v="1.4534140463875701E+19"/>
  </r>
  <r>
    <b v="0"/>
    <x v="1"/>
    <x v="0"/>
    <x v="4"/>
    <x v="0"/>
    <x v="210"/>
    <x v="28"/>
    <x v="7"/>
    <x v="0"/>
    <x v="163"/>
    <n v="0"/>
    <n v="1.3941258401493899E+19"/>
  </r>
  <r>
    <b v="0"/>
    <x v="26"/>
    <x v="2"/>
    <x v="27"/>
    <x v="28"/>
    <x v="211"/>
    <x v="42"/>
    <x v="7"/>
    <x v="0"/>
    <x v="164"/>
    <n v="0"/>
    <n v="1.3907321937455499E+19"/>
  </r>
  <r>
    <b v="0"/>
    <x v="39"/>
    <x v="2"/>
    <x v="49"/>
    <x v="24"/>
    <x v="212"/>
    <x v="27"/>
    <x v="7"/>
    <x v="0"/>
    <x v="165"/>
    <n v="0"/>
    <n v="1.2633461504095101E+19"/>
  </r>
  <r>
    <b v="0"/>
    <x v="15"/>
    <x v="2"/>
    <x v="26"/>
    <x v="23"/>
    <x v="213"/>
    <x v="29"/>
    <x v="7"/>
    <x v="0"/>
    <x v="166"/>
    <n v="0"/>
    <n v="1.6580545208239499E+19"/>
  </r>
  <r>
    <b v="0"/>
    <x v="31"/>
    <x v="2"/>
    <x v="27"/>
    <x v="63"/>
    <x v="214"/>
    <x v="19"/>
    <x v="7"/>
    <x v="0"/>
    <x v="167"/>
    <n v="0"/>
    <n v="1.08478257122188E+19"/>
  </r>
  <r>
    <b v="0"/>
    <x v="2"/>
    <x v="0"/>
    <x v="12"/>
    <x v="27"/>
    <x v="215"/>
    <x v="53"/>
    <x v="7"/>
    <x v="0"/>
    <x v="168"/>
    <n v="0"/>
    <n v="1.26487986712937E+19"/>
  </r>
  <r>
    <b v="0"/>
    <x v="27"/>
    <x v="0"/>
    <x v="1"/>
    <x v="9"/>
    <x v="216"/>
    <x v="54"/>
    <x v="7"/>
    <x v="0"/>
    <x v="169"/>
    <n v="0"/>
    <n v="1.7689895834414399E+19"/>
  </r>
  <r>
    <b v="0"/>
    <x v="27"/>
    <x v="0"/>
    <x v="12"/>
    <x v="8"/>
    <x v="217"/>
    <x v="41"/>
    <x v="7"/>
    <x v="0"/>
    <x v="170"/>
    <n v="0"/>
    <n v="9.8555692238003405E+18"/>
  </r>
  <r>
    <b v="0"/>
    <x v="2"/>
    <x v="0"/>
    <x v="28"/>
    <x v="74"/>
    <x v="218"/>
    <x v="12"/>
    <x v="7"/>
    <x v="0"/>
    <x v="171"/>
    <n v="0"/>
    <n v="1.40128332303289E+19"/>
  </r>
  <r>
    <b v="0"/>
    <x v="23"/>
    <x v="1"/>
    <x v="17"/>
    <x v="55"/>
    <x v="219"/>
    <x v="12"/>
    <x v="7"/>
    <x v="2"/>
    <x v="172"/>
    <n v="0"/>
    <n v="3.2097419660101699E+18"/>
  </r>
  <r>
    <b v="0"/>
    <x v="30"/>
    <x v="1"/>
    <x v="62"/>
    <x v="14"/>
    <x v="220"/>
    <x v="11"/>
    <x v="7"/>
    <x v="0"/>
    <x v="173"/>
    <n v="0"/>
    <n v="1.4851122783748901E+19"/>
  </r>
  <r>
    <b v="0"/>
    <x v="9"/>
    <x v="1"/>
    <x v="17"/>
    <x v="50"/>
    <x v="110"/>
    <x v="55"/>
    <x v="7"/>
    <x v="1"/>
    <x v="174"/>
    <n v="0"/>
    <n v="1.38403179522584E+19"/>
  </r>
  <r>
    <b v="0"/>
    <x v="37"/>
    <x v="1"/>
    <x v="23"/>
    <x v="75"/>
    <x v="221"/>
    <x v="56"/>
    <x v="7"/>
    <x v="0"/>
    <x v="175"/>
    <n v="0"/>
    <n v="1.2168963755970601E+19"/>
  </r>
  <r>
    <b v="0"/>
    <x v="40"/>
    <x v="1"/>
    <x v="24"/>
    <x v="76"/>
    <x v="222"/>
    <x v="23"/>
    <x v="7"/>
    <x v="0"/>
    <x v="141"/>
    <n v="0"/>
    <n v="8.2598934142173399E+18"/>
  </r>
  <r>
    <b v="0"/>
    <x v="38"/>
    <x v="1"/>
    <x v="24"/>
    <x v="54"/>
    <x v="223"/>
    <x v="57"/>
    <x v="7"/>
    <x v="0"/>
    <x v="176"/>
    <n v="0"/>
    <n v="1.4516566520199999E+19"/>
  </r>
  <r>
    <b v="0"/>
    <x v="19"/>
    <x v="1"/>
    <x v="17"/>
    <x v="53"/>
    <x v="224"/>
    <x v="42"/>
    <x v="7"/>
    <x v="1"/>
    <x v="177"/>
    <n v="0"/>
    <n v="9.6380172293094892E+18"/>
  </r>
  <r>
    <b v="0"/>
    <x v="40"/>
    <x v="1"/>
    <x v="17"/>
    <x v="55"/>
    <x v="225"/>
    <x v="58"/>
    <x v="7"/>
    <x v="2"/>
    <x v="114"/>
    <n v="0"/>
    <n v="3.71797251434242E+18"/>
  </r>
  <r>
    <b v="0"/>
    <x v="6"/>
    <x v="2"/>
    <x v="63"/>
    <x v="12"/>
    <x v="226"/>
    <x v="12"/>
    <x v="7"/>
    <x v="1"/>
    <x v="178"/>
    <n v="0"/>
    <n v="6.1441885261571799E+18"/>
  </r>
  <r>
    <b v="0"/>
    <x v="41"/>
    <x v="1"/>
    <x v="21"/>
    <x v="28"/>
    <x v="227"/>
    <x v="32"/>
    <x v="7"/>
    <x v="2"/>
    <x v="179"/>
    <n v="0"/>
    <n v="1.31590515935378E+19"/>
  </r>
  <r>
    <b v="0"/>
    <x v="41"/>
    <x v="3"/>
    <x v="64"/>
    <x v="28"/>
    <x v="228"/>
    <x v="17"/>
    <x v="7"/>
    <x v="1"/>
    <x v="180"/>
    <n v="0"/>
    <n v="9.1367153684465398E+18"/>
  </r>
  <r>
    <b v="0"/>
    <x v="42"/>
    <x v="1"/>
    <x v="48"/>
    <x v="77"/>
    <x v="224"/>
    <x v="59"/>
    <x v="8"/>
    <x v="2"/>
    <x v="181"/>
    <n v="0"/>
    <n v="8.5319655493192397E+18"/>
  </r>
  <r>
    <b v="0"/>
    <x v="43"/>
    <x v="1"/>
    <x v="24"/>
    <x v="78"/>
    <x v="229"/>
    <x v="60"/>
    <x v="8"/>
    <x v="0"/>
    <x v="182"/>
    <n v="0"/>
    <n v="2.76543487429822E+18"/>
  </r>
  <r>
    <b v="0"/>
    <x v="44"/>
    <x v="1"/>
    <x v="65"/>
    <x v="56"/>
    <x v="224"/>
    <x v="61"/>
    <x v="8"/>
    <x v="1"/>
    <x v="183"/>
    <n v="0"/>
    <n v="1.6735706942218899E+19"/>
  </r>
  <r>
    <b v="0"/>
    <x v="45"/>
    <x v="1"/>
    <x v="57"/>
    <x v="31"/>
    <x v="230"/>
    <x v="50"/>
    <x v="8"/>
    <x v="1"/>
    <x v="184"/>
    <n v="0"/>
    <n v="1.5514200753371501E+19"/>
  </r>
  <r>
    <b v="0"/>
    <x v="43"/>
    <x v="1"/>
    <x v="36"/>
    <x v="35"/>
    <x v="229"/>
    <x v="42"/>
    <x v="8"/>
    <x v="1"/>
    <x v="136"/>
    <n v="0"/>
    <n v="5.70542931686912E+18"/>
  </r>
  <r>
    <b v="0"/>
    <x v="46"/>
    <x v="0"/>
    <x v="61"/>
    <x v="28"/>
    <x v="231"/>
    <x v="10"/>
    <x v="8"/>
    <x v="0"/>
    <x v="185"/>
    <n v="0"/>
    <n v="7.76416892308945E+18"/>
  </r>
  <r>
    <b v="0"/>
    <x v="47"/>
    <x v="0"/>
    <x v="2"/>
    <x v="3"/>
    <x v="232"/>
    <x v="45"/>
    <x v="8"/>
    <x v="0"/>
    <x v="186"/>
    <n v="0"/>
    <n v="7.5259577851472804E+18"/>
  </r>
  <r>
    <b v="0"/>
    <x v="48"/>
    <x v="0"/>
    <x v="4"/>
    <x v="79"/>
    <x v="233"/>
    <x v="32"/>
    <x v="8"/>
    <x v="0"/>
    <x v="187"/>
    <n v="0"/>
    <n v="1.5346487119701801E+19"/>
  </r>
  <r>
    <b v="0"/>
    <x v="49"/>
    <x v="2"/>
    <x v="49"/>
    <x v="24"/>
    <x v="234"/>
    <x v="62"/>
    <x v="8"/>
    <x v="0"/>
    <x v="188"/>
    <n v="0"/>
    <n v="4.0321587493350999E+18"/>
  </r>
  <r>
    <b v="0"/>
    <x v="39"/>
    <x v="2"/>
    <x v="16"/>
    <x v="11"/>
    <x v="235"/>
    <x v="55"/>
    <x v="8"/>
    <x v="0"/>
    <x v="76"/>
    <n v="0"/>
    <n v="1.4151431447383501E+19"/>
  </r>
  <r>
    <b v="0"/>
    <x v="48"/>
    <x v="2"/>
    <x v="16"/>
    <x v="13"/>
    <x v="236"/>
    <x v="56"/>
    <x v="8"/>
    <x v="0"/>
    <x v="189"/>
    <n v="0"/>
    <n v="7.6169985378401597E+18"/>
  </r>
  <r>
    <b v="0"/>
    <x v="50"/>
    <x v="1"/>
    <x v="23"/>
    <x v="14"/>
    <x v="228"/>
    <x v="33"/>
    <x v="8"/>
    <x v="0"/>
    <x v="190"/>
    <n v="0"/>
    <n v="3.5130397519129902E+18"/>
  </r>
  <r>
    <b v="0"/>
    <x v="39"/>
    <x v="2"/>
    <x v="26"/>
    <x v="23"/>
    <x v="237"/>
    <x v="63"/>
    <x v="8"/>
    <x v="0"/>
    <x v="191"/>
    <n v="0"/>
    <n v="1.8275039705332699E+19"/>
  </r>
  <r>
    <b v="0"/>
    <x v="47"/>
    <x v="2"/>
    <x v="25"/>
    <x v="17"/>
    <x v="238"/>
    <x v="63"/>
    <x v="8"/>
    <x v="0"/>
    <x v="192"/>
    <n v="0"/>
    <n v="8.00892472673728E+18"/>
  </r>
  <r>
    <b v="0"/>
    <x v="51"/>
    <x v="2"/>
    <x v="49"/>
    <x v="24"/>
    <x v="239"/>
    <x v="56"/>
    <x v="8"/>
    <x v="0"/>
    <x v="193"/>
    <n v="0"/>
    <n v="1.0434667968723599E+19"/>
  </r>
  <r>
    <b v="0"/>
    <x v="52"/>
    <x v="2"/>
    <x v="16"/>
    <x v="13"/>
    <x v="240"/>
    <x v="47"/>
    <x v="8"/>
    <x v="0"/>
    <x v="194"/>
    <n v="0"/>
    <n v="5.8317388775901102E+18"/>
  </r>
  <r>
    <b v="0"/>
    <x v="53"/>
    <x v="2"/>
    <x v="26"/>
    <x v="28"/>
    <x v="241"/>
    <x v="64"/>
    <x v="8"/>
    <x v="0"/>
    <x v="195"/>
    <n v="0"/>
    <n v="6.8033271939694203E+18"/>
  </r>
  <r>
    <b v="0"/>
    <x v="54"/>
    <x v="2"/>
    <x v="29"/>
    <x v="68"/>
    <x v="242"/>
    <x v="65"/>
    <x v="8"/>
    <x v="0"/>
    <x v="196"/>
    <n v="0"/>
    <n v="4.2391885397864499E+18"/>
  </r>
  <r>
    <b v="0"/>
    <x v="49"/>
    <x v="0"/>
    <x v="56"/>
    <x v="42"/>
    <x v="212"/>
    <x v="45"/>
    <x v="8"/>
    <x v="0"/>
    <x v="169"/>
    <n v="0"/>
    <n v="9.5290382237180498E+18"/>
  </r>
  <r>
    <b v="0"/>
    <x v="55"/>
    <x v="2"/>
    <x v="49"/>
    <x v="1"/>
    <x v="243"/>
    <x v="66"/>
    <x v="8"/>
    <x v="0"/>
    <x v="197"/>
    <n v="0"/>
    <n v="7.4959400205243802E+18"/>
  </r>
  <r>
    <b v="0"/>
    <x v="54"/>
    <x v="0"/>
    <x v="4"/>
    <x v="79"/>
    <x v="244"/>
    <x v="67"/>
    <x v="8"/>
    <x v="0"/>
    <x v="198"/>
    <n v="0"/>
    <n v="1.4579958670213401E+19"/>
  </r>
  <r>
    <b v="0"/>
    <x v="26"/>
    <x v="0"/>
    <x v="2"/>
    <x v="3"/>
    <x v="245"/>
    <x v="52"/>
    <x v="8"/>
    <x v="0"/>
    <x v="199"/>
    <n v="0"/>
    <n v="2.87036469277024E+18"/>
  </r>
  <r>
    <b v="0"/>
    <x v="19"/>
    <x v="1"/>
    <x v="24"/>
    <x v="72"/>
    <x v="194"/>
    <x v="25"/>
    <x v="8"/>
    <x v="0"/>
    <x v="141"/>
    <n v="0"/>
    <n v="1.84390174633868E+19"/>
  </r>
  <r>
    <b v="0"/>
    <x v="56"/>
    <x v="1"/>
    <x v="51"/>
    <x v="11"/>
    <x v="246"/>
    <x v="37"/>
    <x v="8"/>
    <x v="1"/>
    <x v="30"/>
    <n v="0"/>
    <n v="1.1352164475044E+19"/>
  </r>
  <r>
    <b v="0"/>
    <x v="57"/>
    <x v="1"/>
    <x v="52"/>
    <x v="12"/>
    <x v="138"/>
    <x v="68"/>
    <x v="8"/>
    <x v="1"/>
    <x v="200"/>
    <n v="0"/>
    <n v="1.1111921457179001E+19"/>
  </r>
  <r>
    <b v="0"/>
    <x v="58"/>
    <x v="1"/>
    <x v="66"/>
    <x v="50"/>
    <x v="247"/>
    <x v="12"/>
    <x v="8"/>
    <x v="0"/>
    <x v="201"/>
    <n v="0"/>
    <n v="6.31821648168845E+18"/>
  </r>
  <r>
    <b v="0"/>
    <x v="59"/>
    <x v="1"/>
    <x v="51"/>
    <x v="11"/>
    <x v="248"/>
    <x v="49"/>
    <x v="8"/>
    <x v="1"/>
    <x v="202"/>
    <n v="0"/>
    <n v="5.7190630881737997E+17"/>
  </r>
  <r>
    <b v="0"/>
    <x v="60"/>
    <x v="1"/>
    <x v="45"/>
    <x v="24"/>
    <x v="249"/>
    <x v="47"/>
    <x v="8"/>
    <x v="0"/>
    <x v="203"/>
    <n v="0"/>
    <n v="3.9597653477426601E+18"/>
  </r>
  <r>
    <b v="0"/>
    <x v="61"/>
    <x v="1"/>
    <x v="62"/>
    <x v="13"/>
    <x v="250"/>
    <x v="34"/>
    <x v="8"/>
    <x v="0"/>
    <x v="204"/>
    <n v="0"/>
    <n v="9.6428387122446602E+18"/>
  </r>
  <r>
    <b v="0"/>
    <x v="62"/>
    <x v="1"/>
    <x v="52"/>
    <x v="12"/>
    <x v="251"/>
    <x v="28"/>
    <x v="8"/>
    <x v="1"/>
    <x v="205"/>
    <n v="0"/>
    <n v="8.8308586369410898E+18"/>
  </r>
  <r>
    <b v="0"/>
    <x v="63"/>
    <x v="4"/>
    <x v="67"/>
    <x v="80"/>
    <x v="252"/>
    <x v="57"/>
    <x v="8"/>
    <x v="2"/>
    <x v="206"/>
    <n v="0"/>
    <n v="3.7618352598826701E+17"/>
  </r>
  <r>
    <b v="0"/>
    <x v="3"/>
    <x v="2"/>
    <x v="68"/>
    <x v="81"/>
    <x v="253"/>
    <x v="43"/>
    <x v="8"/>
    <x v="2"/>
    <x v="207"/>
    <n v="0"/>
    <n v="1.78181745482438E+19"/>
  </r>
  <r>
    <b v="0"/>
    <x v="64"/>
    <x v="1"/>
    <x v="21"/>
    <x v="64"/>
    <x v="254"/>
    <x v="44"/>
    <x v="8"/>
    <x v="2"/>
    <x v="208"/>
    <n v="0"/>
    <n v="5.8069295402143396E+18"/>
  </r>
  <r>
    <b v="0"/>
    <x v="65"/>
    <x v="2"/>
    <x v="68"/>
    <x v="82"/>
    <x v="242"/>
    <x v="56"/>
    <x v="8"/>
    <x v="2"/>
    <x v="209"/>
    <n v="0"/>
    <n v="1.67275143796939E+19"/>
  </r>
  <r>
    <b v="0"/>
    <x v="35"/>
    <x v="1"/>
    <x v="69"/>
    <x v="62"/>
    <x v="193"/>
    <x v="28"/>
    <x v="8"/>
    <x v="2"/>
    <x v="210"/>
    <n v="0"/>
    <n v="2.3718087258588902E+18"/>
  </r>
  <r>
    <b v="0"/>
    <x v="32"/>
    <x v="1"/>
    <x v="24"/>
    <x v="72"/>
    <x v="255"/>
    <x v="69"/>
    <x v="8"/>
    <x v="1"/>
    <x v="211"/>
    <n v="0"/>
    <n v="7.9649491895812698E+17"/>
  </r>
  <r>
    <b v="0"/>
    <x v="41"/>
    <x v="2"/>
    <x v="49"/>
    <x v="64"/>
    <x v="256"/>
    <x v="33"/>
    <x v="9"/>
    <x v="0"/>
    <x v="212"/>
    <n v="0"/>
    <n v="4.8941968577276703E+18"/>
  </r>
  <r>
    <b v="0"/>
    <x v="66"/>
    <x v="2"/>
    <x v="16"/>
    <x v="13"/>
    <x v="257"/>
    <x v="55"/>
    <x v="9"/>
    <x v="0"/>
    <x v="213"/>
    <n v="0"/>
    <n v="1.7529196653753899E+19"/>
  </r>
  <r>
    <b v="0"/>
    <x v="67"/>
    <x v="1"/>
    <x v="23"/>
    <x v="14"/>
    <x v="258"/>
    <x v="70"/>
    <x v="9"/>
    <x v="0"/>
    <x v="214"/>
    <n v="0"/>
    <n v="1.79947137884254E+19"/>
  </r>
  <r>
    <b v="0"/>
    <x v="48"/>
    <x v="2"/>
    <x v="25"/>
    <x v="17"/>
    <x v="259"/>
    <x v="55"/>
    <x v="9"/>
    <x v="0"/>
    <x v="215"/>
    <n v="0"/>
    <n v="2.3809037480214702E+18"/>
  </r>
  <r>
    <b v="0"/>
    <x v="51"/>
    <x v="2"/>
    <x v="26"/>
    <x v="28"/>
    <x v="260"/>
    <x v="69"/>
    <x v="9"/>
    <x v="0"/>
    <x v="216"/>
    <n v="0"/>
    <n v="1.6827912517361799E+19"/>
  </r>
  <r>
    <b v="0"/>
    <x v="3"/>
    <x v="0"/>
    <x v="56"/>
    <x v="0"/>
    <x v="261"/>
    <x v="33"/>
    <x v="9"/>
    <x v="0"/>
    <x v="80"/>
    <n v="0"/>
    <n v="3.5762074453509299E+18"/>
  </r>
  <r>
    <b v="0"/>
    <x v="68"/>
    <x v="0"/>
    <x v="4"/>
    <x v="60"/>
    <x v="262"/>
    <x v="66"/>
    <x v="9"/>
    <x v="0"/>
    <x v="217"/>
    <n v="0"/>
    <n v="6.1555499885930895E+18"/>
  </r>
  <r>
    <b v="0"/>
    <x v="34"/>
    <x v="0"/>
    <x v="28"/>
    <x v="83"/>
    <x v="263"/>
    <x v="45"/>
    <x v="9"/>
    <x v="0"/>
    <x v="218"/>
    <n v="0"/>
    <n v="1.81350849543326E+19"/>
  </r>
  <r>
    <b v="0"/>
    <x v="69"/>
    <x v="0"/>
    <x v="2"/>
    <x v="84"/>
    <x v="264"/>
    <x v="71"/>
    <x v="9"/>
    <x v="0"/>
    <x v="219"/>
    <n v="0"/>
    <n v="6.2587641534415002E+18"/>
  </r>
  <r>
    <b v="0"/>
    <x v="70"/>
    <x v="0"/>
    <x v="1"/>
    <x v="39"/>
    <x v="265"/>
    <x v="28"/>
    <x v="9"/>
    <x v="0"/>
    <x v="13"/>
    <n v="0"/>
    <n v="2.8471683532888899E+18"/>
  </r>
  <r>
    <b v="0"/>
    <x v="27"/>
    <x v="0"/>
    <x v="28"/>
    <x v="85"/>
    <x v="266"/>
    <x v="72"/>
    <x v="9"/>
    <x v="0"/>
    <x v="37"/>
    <n v="0"/>
    <n v="8.0116805595410698E+18"/>
  </r>
  <r>
    <b v="0"/>
    <x v="49"/>
    <x v="0"/>
    <x v="70"/>
    <x v="81"/>
    <x v="267"/>
    <x v="9"/>
    <x v="9"/>
    <x v="0"/>
    <x v="220"/>
    <n v="0"/>
    <n v="4.8141841416036598E+18"/>
  </r>
  <r>
    <b v="0"/>
    <x v="31"/>
    <x v="0"/>
    <x v="22"/>
    <x v="2"/>
    <x v="197"/>
    <x v="20"/>
    <x v="9"/>
    <x v="0"/>
    <x v="221"/>
    <n v="0"/>
    <n v="8.9344161482018601E+18"/>
  </r>
  <r>
    <b v="0"/>
    <x v="71"/>
    <x v="1"/>
    <x v="69"/>
    <x v="62"/>
    <x v="268"/>
    <x v="16"/>
    <x v="9"/>
    <x v="2"/>
    <x v="222"/>
    <n v="0"/>
    <n v="3.2978107971052201E+18"/>
  </r>
  <r>
    <b v="0"/>
    <x v="72"/>
    <x v="1"/>
    <x v="71"/>
    <x v="33"/>
    <x v="269"/>
    <x v="71"/>
    <x v="9"/>
    <x v="1"/>
    <x v="223"/>
    <n v="0"/>
    <n v="2.0857210516577101E+18"/>
  </r>
  <r>
    <b v="0"/>
    <x v="73"/>
    <x v="1"/>
    <x v="24"/>
    <x v="36"/>
    <x v="270"/>
    <x v="60"/>
    <x v="9"/>
    <x v="0"/>
    <x v="224"/>
    <n v="0"/>
    <n v="7.9379654373644401E+18"/>
  </r>
  <r>
    <b v="0"/>
    <x v="74"/>
    <x v="1"/>
    <x v="21"/>
    <x v="36"/>
    <x v="271"/>
    <x v="9"/>
    <x v="9"/>
    <x v="0"/>
    <x v="225"/>
    <n v="0"/>
    <n v="9.62998422927966E+18"/>
  </r>
  <r>
    <b v="0"/>
    <x v="75"/>
    <x v="4"/>
    <x v="72"/>
    <x v="86"/>
    <x v="272"/>
    <x v="73"/>
    <x v="9"/>
    <x v="2"/>
    <x v="226"/>
    <n v="0"/>
    <n v="3.1697902612344602E+18"/>
  </r>
  <r>
    <b v="0"/>
    <x v="18"/>
    <x v="0"/>
    <x v="1"/>
    <x v="81"/>
    <x v="273"/>
    <x v="38"/>
    <x v="9"/>
    <x v="0"/>
    <x v="227"/>
    <n v="0"/>
    <n v="1.1803404474356799E+19"/>
  </r>
  <r>
    <b v="0"/>
    <x v="57"/>
    <x v="1"/>
    <x v="73"/>
    <x v="62"/>
    <x v="274"/>
    <x v="74"/>
    <x v="9"/>
    <x v="2"/>
    <x v="20"/>
    <n v="0"/>
    <n v="7.0794237089292902E+18"/>
  </r>
  <r>
    <b v="0"/>
    <x v="62"/>
    <x v="0"/>
    <x v="61"/>
    <x v="17"/>
    <x v="275"/>
    <x v="35"/>
    <x v="9"/>
    <x v="0"/>
    <x v="185"/>
    <n v="0"/>
    <n v="1.4812839938624E+19"/>
  </r>
  <r>
    <b v="0"/>
    <x v="76"/>
    <x v="1"/>
    <x v="66"/>
    <x v="31"/>
    <x v="276"/>
    <x v="45"/>
    <x v="9"/>
    <x v="0"/>
    <x v="228"/>
    <n v="0"/>
    <n v="1.0799871295208499E+19"/>
  </r>
  <r>
    <b v="0"/>
    <x v="77"/>
    <x v="1"/>
    <x v="66"/>
    <x v="31"/>
    <x v="277"/>
    <x v="28"/>
    <x v="9"/>
    <x v="0"/>
    <x v="229"/>
    <n v="0"/>
    <n v="8.5770413891223603E+18"/>
  </r>
  <r>
    <b v="0"/>
    <x v="78"/>
    <x v="1"/>
    <x v="57"/>
    <x v="33"/>
    <x v="278"/>
    <x v="62"/>
    <x v="9"/>
    <x v="1"/>
    <x v="230"/>
    <n v="0"/>
    <n v="1.4142674013183701E+19"/>
  </r>
  <r>
    <b v="0"/>
    <x v="79"/>
    <x v="1"/>
    <x v="36"/>
    <x v="34"/>
    <x v="18"/>
    <x v="68"/>
    <x v="9"/>
    <x v="2"/>
    <x v="231"/>
    <n v="0"/>
    <n v="6.7297375728967795E+17"/>
  </r>
  <r>
    <b v="0"/>
    <x v="80"/>
    <x v="1"/>
    <x v="62"/>
    <x v="17"/>
    <x v="271"/>
    <x v="11"/>
    <x v="9"/>
    <x v="0"/>
    <x v="232"/>
    <n v="0"/>
    <n v="1.1322292215027499E+19"/>
  </r>
  <r>
    <b v="0"/>
    <x v="81"/>
    <x v="2"/>
    <x v="74"/>
    <x v="64"/>
    <x v="279"/>
    <x v="75"/>
    <x v="9"/>
    <x v="0"/>
    <x v="233"/>
    <n v="0"/>
    <n v="1.70902702866945E+19"/>
  </r>
  <r>
    <b v="0"/>
    <x v="82"/>
    <x v="2"/>
    <x v="74"/>
    <x v="64"/>
    <x v="280"/>
    <x v="76"/>
    <x v="9"/>
    <x v="0"/>
    <x v="234"/>
    <n v="0"/>
    <n v="5.3676119755329495E+18"/>
  </r>
  <r>
    <b v="0"/>
    <x v="38"/>
    <x v="1"/>
    <x v="62"/>
    <x v="17"/>
    <x v="281"/>
    <x v="45"/>
    <x v="9"/>
    <x v="0"/>
    <x v="235"/>
    <n v="0"/>
    <n v="8.35564415156369E+18"/>
  </r>
  <r>
    <b v="0"/>
    <x v="83"/>
    <x v="1"/>
    <x v="24"/>
    <x v="32"/>
    <x v="282"/>
    <x v="68"/>
    <x v="10"/>
    <x v="2"/>
    <x v="143"/>
    <n v="0"/>
    <n v="6.16762870264768E+18"/>
  </r>
  <r>
    <b v="0"/>
    <x v="84"/>
    <x v="1"/>
    <x v="69"/>
    <x v="35"/>
    <x v="283"/>
    <x v="77"/>
    <x v="10"/>
    <x v="1"/>
    <x v="236"/>
    <n v="0"/>
    <n v="1.6609169922935199E+18"/>
  </r>
  <r>
    <b v="0"/>
    <x v="85"/>
    <x v="1"/>
    <x v="24"/>
    <x v="31"/>
    <x v="284"/>
    <x v="10"/>
    <x v="10"/>
    <x v="0"/>
    <x v="141"/>
    <n v="0"/>
    <n v="1.1497351540324999E+19"/>
  </r>
  <r>
    <b v="0"/>
    <x v="86"/>
    <x v="1"/>
    <x v="71"/>
    <x v="33"/>
    <x v="285"/>
    <x v="42"/>
    <x v="10"/>
    <x v="1"/>
    <x v="237"/>
    <n v="0"/>
    <n v="9.3386586410556498E+18"/>
  </r>
  <r>
    <b v="0"/>
    <x v="14"/>
    <x v="1"/>
    <x v="62"/>
    <x v="17"/>
    <x v="286"/>
    <x v="25"/>
    <x v="10"/>
    <x v="0"/>
    <x v="233"/>
    <n v="0"/>
    <n v="8.9507029560006902E+18"/>
  </r>
  <r>
    <b v="0"/>
    <x v="87"/>
    <x v="1"/>
    <x v="23"/>
    <x v="14"/>
    <x v="287"/>
    <x v="78"/>
    <x v="10"/>
    <x v="0"/>
    <x v="238"/>
    <n v="0"/>
    <n v="1.80163384803363E+19"/>
  </r>
  <r>
    <b v="0"/>
    <x v="88"/>
    <x v="1"/>
    <x v="62"/>
    <x v="17"/>
    <x v="288"/>
    <x v="73"/>
    <x v="10"/>
    <x v="0"/>
    <x v="192"/>
    <n v="0"/>
    <n v="8.8435233426259599E+18"/>
  </r>
  <r>
    <b v="0"/>
    <x v="89"/>
    <x v="2"/>
    <x v="26"/>
    <x v="17"/>
    <x v="289"/>
    <x v="64"/>
    <x v="10"/>
    <x v="0"/>
    <x v="195"/>
    <n v="0"/>
    <n v="1.1701282727554601E+19"/>
  </r>
  <r>
    <b v="0"/>
    <x v="90"/>
    <x v="1"/>
    <x v="17"/>
    <x v="55"/>
    <x v="290"/>
    <x v="56"/>
    <x v="10"/>
    <x v="2"/>
    <x v="239"/>
    <n v="0"/>
    <n v="8.87819740565999E+18"/>
  </r>
  <r>
    <b v="0"/>
    <x v="91"/>
    <x v="1"/>
    <x v="51"/>
    <x v="17"/>
    <x v="291"/>
    <x v="10"/>
    <x v="10"/>
    <x v="1"/>
    <x v="240"/>
    <n v="0"/>
    <n v="1.1949761346477601E+19"/>
  </r>
  <r>
    <b v="0"/>
    <x v="92"/>
    <x v="1"/>
    <x v="39"/>
    <x v="50"/>
    <x v="127"/>
    <x v="14"/>
    <x v="10"/>
    <x v="1"/>
    <x v="241"/>
    <n v="0"/>
    <n v="1.6516262661246501E+19"/>
  </r>
  <r>
    <b v="0"/>
    <x v="93"/>
    <x v="1"/>
    <x v="52"/>
    <x v="41"/>
    <x v="292"/>
    <x v="9"/>
    <x v="10"/>
    <x v="1"/>
    <x v="242"/>
    <n v="0"/>
    <n v="1.45176700294899E+19"/>
  </r>
  <r>
    <b v="0"/>
    <x v="94"/>
    <x v="1"/>
    <x v="41"/>
    <x v="50"/>
    <x v="110"/>
    <x v="71"/>
    <x v="10"/>
    <x v="1"/>
    <x v="131"/>
    <n v="0"/>
    <n v="1.07437887715666E+19"/>
  </r>
  <r>
    <b v="0"/>
    <x v="95"/>
    <x v="1"/>
    <x v="71"/>
    <x v="33"/>
    <x v="293"/>
    <x v="79"/>
    <x v="10"/>
    <x v="1"/>
    <x v="243"/>
    <n v="0"/>
    <n v="1.6203479134072801E+18"/>
  </r>
  <r>
    <b v="0"/>
    <x v="96"/>
    <x v="1"/>
    <x v="45"/>
    <x v="24"/>
    <x v="294"/>
    <x v="60"/>
    <x v="10"/>
    <x v="0"/>
    <x v="116"/>
    <n v="0"/>
    <n v="1.20677112229923E+19"/>
  </r>
  <r>
    <b v="0"/>
    <x v="97"/>
    <x v="1"/>
    <x v="57"/>
    <x v="33"/>
    <x v="293"/>
    <x v="62"/>
    <x v="10"/>
    <x v="1"/>
    <x v="230"/>
    <n v="0"/>
    <n v="2.2827025583298501E+18"/>
  </r>
  <r>
    <b v="0"/>
    <x v="98"/>
    <x v="1"/>
    <x v="48"/>
    <x v="77"/>
    <x v="295"/>
    <x v="80"/>
    <x v="10"/>
    <x v="2"/>
    <x v="244"/>
    <n v="0"/>
    <n v="6.4441502279856497E+18"/>
  </r>
  <r>
    <b v="0"/>
    <x v="99"/>
    <x v="1"/>
    <x v="48"/>
    <x v="77"/>
    <x v="296"/>
    <x v="81"/>
    <x v="10"/>
    <x v="2"/>
    <x v="245"/>
    <n v="0"/>
    <n v="4.6107720064933898E+18"/>
  </r>
  <r>
    <b v="0"/>
    <x v="100"/>
    <x v="4"/>
    <x v="21"/>
    <x v="53"/>
    <x v="297"/>
    <x v="82"/>
    <x v="10"/>
    <x v="2"/>
    <x v="246"/>
    <n v="0"/>
    <n v="2.6762971706971402E+18"/>
  </r>
  <r>
    <b v="0"/>
    <x v="19"/>
    <x v="1"/>
    <x v="63"/>
    <x v="53"/>
    <x v="298"/>
    <x v="83"/>
    <x v="10"/>
    <x v="2"/>
    <x v="247"/>
    <n v="0"/>
    <n v="1.5452565343677E+19"/>
  </r>
  <r>
    <b v="0"/>
    <x v="101"/>
    <x v="1"/>
    <x v="36"/>
    <x v="53"/>
    <x v="299"/>
    <x v="84"/>
    <x v="10"/>
    <x v="1"/>
    <x v="248"/>
    <n v="0"/>
    <n v="8.0904825979858698E+18"/>
  </r>
  <r>
    <b v="0"/>
    <x v="102"/>
    <x v="1"/>
    <x v="57"/>
    <x v="22"/>
    <x v="19"/>
    <x v="70"/>
    <x v="10"/>
    <x v="2"/>
    <x v="249"/>
    <n v="1"/>
    <n v="3.6597527020867302E+18"/>
  </r>
  <r>
    <b v="0"/>
    <x v="103"/>
    <x v="1"/>
    <x v="17"/>
    <x v="53"/>
    <x v="300"/>
    <x v="22"/>
    <x v="10"/>
    <x v="1"/>
    <x v="177"/>
    <n v="0"/>
    <n v="8.3174794785923502E+18"/>
  </r>
  <r>
    <b v="0"/>
    <x v="91"/>
    <x v="1"/>
    <x v="69"/>
    <x v="87"/>
    <x v="301"/>
    <x v="30"/>
    <x v="10"/>
    <x v="2"/>
    <x v="250"/>
    <n v="0"/>
    <n v="3.0115033758018202E+18"/>
  </r>
  <r>
    <b v="0"/>
    <x v="104"/>
    <x v="2"/>
    <x v="59"/>
    <x v="88"/>
    <x v="302"/>
    <x v="54"/>
    <x v="10"/>
    <x v="1"/>
    <x v="251"/>
    <n v="0"/>
    <n v="3.2237311284739799E+18"/>
  </r>
  <r>
    <b v="0"/>
    <x v="105"/>
    <x v="3"/>
    <x v="38"/>
    <x v="23"/>
    <x v="303"/>
    <x v="15"/>
    <x v="10"/>
    <x v="1"/>
    <x v="252"/>
    <n v="0"/>
    <n v="1.8378479064615501E+18"/>
  </r>
  <r>
    <b v="0"/>
    <x v="21"/>
    <x v="1"/>
    <x v="30"/>
    <x v="14"/>
    <x v="304"/>
    <x v="65"/>
    <x v="10"/>
    <x v="2"/>
    <x v="253"/>
    <n v="0"/>
    <n v="1.2223288561744699E+19"/>
  </r>
  <r>
    <b v="0"/>
    <x v="106"/>
    <x v="1"/>
    <x v="23"/>
    <x v="22"/>
    <x v="305"/>
    <x v="72"/>
    <x v="10"/>
    <x v="0"/>
    <x v="254"/>
    <n v="1"/>
    <n v="1.1360748183183901E+19"/>
  </r>
  <r>
    <b v="0"/>
    <x v="107"/>
    <x v="1"/>
    <x v="19"/>
    <x v="29"/>
    <x v="306"/>
    <x v="23"/>
    <x v="10"/>
    <x v="1"/>
    <x v="255"/>
    <n v="0"/>
    <n v="6.5613119949126605E+18"/>
  </r>
  <r>
    <b v="0"/>
    <x v="57"/>
    <x v="1"/>
    <x v="75"/>
    <x v="89"/>
    <x v="307"/>
    <x v="44"/>
    <x v="11"/>
    <x v="0"/>
    <x v="256"/>
    <n v="0"/>
    <n v="1.03161373945339E+18"/>
  </r>
  <r>
    <b v="0"/>
    <x v="108"/>
    <x v="1"/>
    <x v="62"/>
    <x v="89"/>
    <x v="308"/>
    <x v="42"/>
    <x v="11"/>
    <x v="0"/>
    <x v="165"/>
    <n v="0"/>
    <n v="1.02071319038359E+19"/>
  </r>
  <r>
    <b v="0"/>
    <x v="109"/>
    <x v="1"/>
    <x v="45"/>
    <x v="41"/>
    <x v="309"/>
    <x v="60"/>
    <x v="11"/>
    <x v="0"/>
    <x v="257"/>
    <n v="0"/>
    <n v="1.0829269554705101E+19"/>
  </r>
  <r>
    <b v="0"/>
    <x v="110"/>
    <x v="2"/>
    <x v="74"/>
    <x v="28"/>
    <x v="310"/>
    <x v="85"/>
    <x v="11"/>
    <x v="0"/>
    <x v="233"/>
    <n v="0"/>
    <n v="3.9500142947084498E+18"/>
  </r>
  <r>
    <b v="0"/>
    <x v="19"/>
    <x v="1"/>
    <x v="75"/>
    <x v="89"/>
    <x v="311"/>
    <x v="76"/>
    <x v="11"/>
    <x v="0"/>
    <x v="256"/>
    <n v="0"/>
    <n v="1.47316332011484E+19"/>
  </r>
  <r>
    <b v="0"/>
    <x v="111"/>
    <x v="1"/>
    <x v="32"/>
    <x v="73"/>
    <x v="312"/>
    <x v="27"/>
    <x v="11"/>
    <x v="1"/>
    <x v="258"/>
    <n v="0"/>
    <n v="1.8148640045662599E+19"/>
  </r>
  <r>
    <b v="0"/>
    <x v="112"/>
    <x v="1"/>
    <x v="71"/>
    <x v="90"/>
    <x v="313"/>
    <x v="42"/>
    <x v="11"/>
    <x v="0"/>
    <x v="259"/>
    <n v="0"/>
    <n v="1.6832946407587799E+18"/>
  </r>
  <r>
    <b v="0"/>
    <x v="113"/>
    <x v="1"/>
    <x v="76"/>
    <x v="35"/>
    <x v="314"/>
    <x v="86"/>
    <x v="11"/>
    <x v="1"/>
    <x v="260"/>
    <n v="0"/>
    <n v="1.7195611593687699E+19"/>
  </r>
  <r>
    <b v="0"/>
    <x v="114"/>
    <x v="1"/>
    <x v="17"/>
    <x v="53"/>
    <x v="51"/>
    <x v="40"/>
    <x v="11"/>
    <x v="1"/>
    <x v="119"/>
    <n v="0"/>
    <n v="2.8145423952215101E+18"/>
  </r>
  <r>
    <b v="0"/>
    <x v="93"/>
    <x v="1"/>
    <x v="57"/>
    <x v="33"/>
    <x v="269"/>
    <x v="61"/>
    <x v="11"/>
    <x v="1"/>
    <x v="261"/>
    <n v="0"/>
    <n v="1.84622191998096E+18"/>
  </r>
  <r>
    <b v="0"/>
    <x v="115"/>
    <x v="1"/>
    <x v="69"/>
    <x v="87"/>
    <x v="315"/>
    <x v="70"/>
    <x v="11"/>
    <x v="1"/>
    <x v="262"/>
    <n v="0"/>
    <n v="3.1461358615096998E+17"/>
  </r>
  <r>
    <b v="0"/>
    <x v="72"/>
    <x v="1"/>
    <x v="36"/>
    <x v="72"/>
    <x v="224"/>
    <x v="11"/>
    <x v="11"/>
    <x v="1"/>
    <x v="263"/>
    <n v="0"/>
    <n v="1.35720485914508E+19"/>
  </r>
  <r>
    <b v="0"/>
    <x v="116"/>
    <x v="1"/>
    <x v="66"/>
    <x v="76"/>
    <x v="316"/>
    <x v="28"/>
    <x v="11"/>
    <x v="0"/>
    <x v="264"/>
    <n v="0"/>
    <n v="4.8646253742050598E+17"/>
  </r>
  <r>
    <b v="0"/>
    <x v="117"/>
    <x v="1"/>
    <x v="24"/>
    <x v="33"/>
    <x v="205"/>
    <x v="39"/>
    <x v="11"/>
    <x v="0"/>
    <x v="265"/>
    <n v="0"/>
    <n v="6.6260757644951695E+18"/>
  </r>
  <r>
    <b v="0"/>
    <x v="118"/>
    <x v="1"/>
    <x v="24"/>
    <x v="33"/>
    <x v="317"/>
    <x v="87"/>
    <x v="11"/>
    <x v="0"/>
    <x v="266"/>
    <n v="0"/>
    <n v="1.0472064571288101E+19"/>
  </r>
  <r>
    <b v="0"/>
    <x v="25"/>
    <x v="1"/>
    <x v="66"/>
    <x v="91"/>
    <x v="225"/>
    <x v="37"/>
    <x v="11"/>
    <x v="2"/>
    <x v="267"/>
    <n v="0"/>
    <n v="5.3595149799196703E+18"/>
  </r>
  <r>
    <b v="0"/>
    <x v="77"/>
    <x v="1"/>
    <x v="77"/>
    <x v="22"/>
    <x v="318"/>
    <x v="56"/>
    <x v="11"/>
    <x v="2"/>
    <x v="268"/>
    <n v="1"/>
    <n v="9.3686051012473303E+18"/>
  </r>
  <r>
    <b v="0"/>
    <x v="119"/>
    <x v="1"/>
    <x v="19"/>
    <x v="50"/>
    <x v="319"/>
    <x v="60"/>
    <x v="11"/>
    <x v="1"/>
    <x v="269"/>
    <n v="0"/>
    <n v="9.3121393370414694E+18"/>
  </r>
  <r>
    <b v="0"/>
    <x v="107"/>
    <x v="1"/>
    <x v="41"/>
    <x v="50"/>
    <x v="320"/>
    <x v="51"/>
    <x v="11"/>
    <x v="1"/>
    <x v="131"/>
    <n v="0"/>
    <n v="7.8949607417194995E+17"/>
  </r>
  <r>
    <b v="0"/>
    <x v="120"/>
    <x v="1"/>
    <x v="52"/>
    <x v="23"/>
    <x v="321"/>
    <x v="49"/>
    <x v="11"/>
    <x v="1"/>
    <x v="270"/>
    <n v="0"/>
    <n v="1.66642838594321E+19"/>
  </r>
  <r>
    <b v="0"/>
    <x v="121"/>
    <x v="1"/>
    <x v="39"/>
    <x v="91"/>
    <x v="308"/>
    <x v="88"/>
    <x v="11"/>
    <x v="1"/>
    <x v="241"/>
    <n v="0"/>
    <n v="7.39002377664674E+18"/>
  </r>
  <r>
    <b v="0"/>
    <x v="122"/>
    <x v="1"/>
    <x v="73"/>
    <x v="36"/>
    <x v="322"/>
    <x v="89"/>
    <x v="11"/>
    <x v="2"/>
    <x v="271"/>
    <n v="0"/>
    <n v="1.72476023721832E+19"/>
  </r>
  <r>
    <b v="0"/>
    <x v="123"/>
    <x v="2"/>
    <x v="78"/>
    <x v="32"/>
    <x v="323"/>
    <x v="90"/>
    <x v="11"/>
    <x v="2"/>
    <x v="272"/>
    <n v="0"/>
    <n v="7.4280629970100398E+18"/>
  </r>
  <r>
    <b v="0"/>
    <x v="75"/>
    <x v="2"/>
    <x v="59"/>
    <x v="92"/>
    <x v="324"/>
    <x v="85"/>
    <x v="11"/>
    <x v="1"/>
    <x v="273"/>
    <n v="0"/>
    <n v="1.2859146214207199E+19"/>
  </r>
  <r>
    <b v="0"/>
    <x v="124"/>
    <x v="2"/>
    <x v="63"/>
    <x v="68"/>
    <x v="199"/>
    <x v="84"/>
    <x v="11"/>
    <x v="1"/>
    <x v="274"/>
    <n v="0"/>
    <n v="4.7254945060088105E+18"/>
  </r>
  <r>
    <b v="0"/>
    <x v="125"/>
    <x v="2"/>
    <x v="49"/>
    <x v="28"/>
    <x v="325"/>
    <x v="56"/>
    <x v="11"/>
    <x v="0"/>
    <x v="125"/>
    <n v="0"/>
    <n v="1.06007457899072E+19"/>
  </r>
  <r>
    <b v="0"/>
    <x v="108"/>
    <x v="0"/>
    <x v="1"/>
    <x v="24"/>
    <x v="262"/>
    <x v="19"/>
    <x v="11"/>
    <x v="0"/>
    <x v="275"/>
    <n v="0"/>
    <n v="1.71634819052672E+19"/>
  </r>
  <r>
    <b v="0"/>
    <x v="48"/>
    <x v="2"/>
    <x v="16"/>
    <x v="14"/>
    <x v="326"/>
    <x v="91"/>
    <x v="11"/>
    <x v="0"/>
    <x v="276"/>
    <n v="0"/>
    <n v="4.2460087783812902E+17"/>
  </r>
  <r>
    <b v="0"/>
    <x v="68"/>
    <x v="2"/>
    <x v="26"/>
    <x v="13"/>
    <x v="327"/>
    <x v="69"/>
    <x v="11"/>
    <x v="0"/>
    <x v="277"/>
    <n v="0"/>
    <n v="1.16981784274123E+19"/>
  </r>
  <r>
    <b v="0"/>
    <x v="14"/>
    <x v="1"/>
    <x v="79"/>
    <x v="14"/>
    <x v="328"/>
    <x v="90"/>
    <x v="12"/>
    <x v="0"/>
    <x v="278"/>
    <n v="0"/>
    <n v="3.3951735166553201E+18"/>
  </r>
  <r>
    <b v="0"/>
    <x v="8"/>
    <x v="1"/>
    <x v="79"/>
    <x v="14"/>
    <x v="329"/>
    <x v="50"/>
    <x v="12"/>
    <x v="0"/>
    <x v="279"/>
    <n v="0"/>
    <n v="1.0499839896992899E+19"/>
  </r>
  <r>
    <b v="0"/>
    <x v="126"/>
    <x v="1"/>
    <x v="79"/>
    <x v="14"/>
    <x v="78"/>
    <x v="22"/>
    <x v="12"/>
    <x v="0"/>
    <x v="280"/>
    <n v="0"/>
    <n v="9.8055667866008699E+18"/>
  </r>
  <r>
    <b v="0"/>
    <x v="20"/>
    <x v="1"/>
    <x v="79"/>
    <x v="13"/>
    <x v="330"/>
    <x v="39"/>
    <x v="12"/>
    <x v="0"/>
    <x v="281"/>
    <n v="0"/>
    <n v="2.61301798590131E+18"/>
  </r>
  <r>
    <b v="0"/>
    <x v="23"/>
    <x v="1"/>
    <x v="75"/>
    <x v="89"/>
    <x v="331"/>
    <x v="11"/>
    <x v="12"/>
    <x v="0"/>
    <x v="282"/>
    <n v="0"/>
    <n v="1.7443528271883399E+19"/>
  </r>
  <r>
    <b v="0"/>
    <x v="8"/>
    <x v="1"/>
    <x v="62"/>
    <x v="17"/>
    <x v="332"/>
    <x v="22"/>
    <x v="12"/>
    <x v="0"/>
    <x v="235"/>
    <n v="0"/>
    <n v="1.17136840029364E+19"/>
  </r>
  <r>
    <b v="0"/>
    <x v="5"/>
    <x v="1"/>
    <x v="23"/>
    <x v="41"/>
    <x v="333"/>
    <x v="42"/>
    <x v="12"/>
    <x v="0"/>
    <x v="283"/>
    <n v="0"/>
    <n v="9.9869097376126403E+18"/>
  </r>
  <r>
    <b v="0"/>
    <x v="18"/>
    <x v="1"/>
    <x v="62"/>
    <x v="22"/>
    <x v="334"/>
    <x v="13"/>
    <x v="12"/>
    <x v="0"/>
    <x v="284"/>
    <n v="1"/>
    <n v="8.4034914585431101E+18"/>
  </r>
  <r>
    <b v="0"/>
    <x v="36"/>
    <x v="1"/>
    <x v="66"/>
    <x v="91"/>
    <x v="335"/>
    <x v="30"/>
    <x v="12"/>
    <x v="2"/>
    <x v="285"/>
    <n v="0"/>
    <n v="1.7838402447727401E+19"/>
  </r>
  <r>
    <b v="0"/>
    <x v="93"/>
    <x v="1"/>
    <x v="36"/>
    <x v="72"/>
    <x v="336"/>
    <x v="55"/>
    <x v="12"/>
    <x v="1"/>
    <x v="286"/>
    <n v="0"/>
    <n v="2.9216900356763899E+18"/>
  </r>
  <r>
    <b v="0"/>
    <x v="20"/>
    <x v="1"/>
    <x v="36"/>
    <x v="72"/>
    <x v="337"/>
    <x v="34"/>
    <x v="12"/>
    <x v="1"/>
    <x v="287"/>
    <n v="0"/>
    <n v="1.12270107638918E+18"/>
  </r>
  <r>
    <b v="0"/>
    <x v="127"/>
    <x v="1"/>
    <x v="66"/>
    <x v="76"/>
    <x v="141"/>
    <x v="68"/>
    <x v="12"/>
    <x v="0"/>
    <x v="288"/>
    <n v="0"/>
    <n v="1.15360585974936E+19"/>
  </r>
  <r>
    <b v="0"/>
    <x v="36"/>
    <x v="1"/>
    <x v="24"/>
    <x v="31"/>
    <x v="141"/>
    <x v="70"/>
    <x v="12"/>
    <x v="0"/>
    <x v="289"/>
    <n v="0"/>
    <n v="9.0006089297547494E+17"/>
  </r>
  <r>
    <b v="0"/>
    <x v="36"/>
    <x v="1"/>
    <x v="39"/>
    <x v="14"/>
    <x v="338"/>
    <x v="12"/>
    <x v="12"/>
    <x v="1"/>
    <x v="290"/>
    <n v="0"/>
    <n v="1.82477461548871E+19"/>
  </r>
  <r>
    <b v="0"/>
    <x v="36"/>
    <x v="1"/>
    <x v="19"/>
    <x v="50"/>
    <x v="339"/>
    <x v="12"/>
    <x v="12"/>
    <x v="1"/>
    <x v="255"/>
    <n v="0"/>
    <n v="1.54161646539265E+19"/>
  </r>
  <r>
    <b v="0"/>
    <x v="126"/>
    <x v="1"/>
    <x v="41"/>
    <x v="31"/>
    <x v="340"/>
    <x v="27"/>
    <x v="12"/>
    <x v="1"/>
    <x v="131"/>
    <n v="0"/>
    <n v="1.28425594355509E+19"/>
  </r>
  <r>
    <b v="0"/>
    <x v="127"/>
    <x v="1"/>
    <x v="36"/>
    <x v="53"/>
    <x v="341"/>
    <x v="9"/>
    <x v="12"/>
    <x v="1"/>
    <x v="118"/>
    <n v="0"/>
    <n v="3.4179910471866301E+18"/>
  </r>
  <r>
    <b v="0"/>
    <x v="24"/>
    <x v="1"/>
    <x v="36"/>
    <x v="53"/>
    <x v="341"/>
    <x v="44"/>
    <x v="12"/>
    <x v="1"/>
    <x v="291"/>
    <n v="0"/>
    <n v="6.9504532816640604E+18"/>
  </r>
  <r>
    <b v="0"/>
    <x v="127"/>
    <x v="1"/>
    <x v="36"/>
    <x v="53"/>
    <x v="342"/>
    <x v="39"/>
    <x v="12"/>
    <x v="1"/>
    <x v="292"/>
    <n v="0"/>
    <n v="1.5758193962296601E+19"/>
  </r>
  <r>
    <b v="0"/>
    <x v="10"/>
    <x v="2"/>
    <x v="80"/>
    <x v="28"/>
    <x v="95"/>
    <x v="42"/>
    <x v="12"/>
    <x v="0"/>
    <x v="293"/>
    <n v="0"/>
    <n v="1.6968200371476799E+19"/>
  </r>
  <r>
    <b v="0"/>
    <x v="127"/>
    <x v="2"/>
    <x v="50"/>
    <x v="13"/>
    <x v="343"/>
    <x v="23"/>
    <x v="12"/>
    <x v="0"/>
    <x v="294"/>
    <n v="0"/>
    <n v="2.3045451132901701E+18"/>
  </r>
  <r>
    <b v="0"/>
    <x v="9"/>
    <x v="1"/>
    <x v="45"/>
    <x v="41"/>
    <x v="344"/>
    <x v="12"/>
    <x v="12"/>
    <x v="0"/>
    <x v="295"/>
    <n v="0"/>
    <n v="7.4587011908518001E+18"/>
  </r>
  <r>
    <b v="0"/>
    <x v="6"/>
    <x v="2"/>
    <x v="25"/>
    <x v="40"/>
    <x v="345"/>
    <x v="68"/>
    <x v="12"/>
    <x v="0"/>
    <x v="296"/>
    <n v="0"/>
    <n v="1.4890838456336099E+19"/>
  </r>
  <r>
    <b v="0"/>
    <x v="24"/>
    <x v="1"/>
    <x v="81"/>
    <x v="61"/>
    <x v="346"/>
    <x v="31"/>
    <x v="12"/>
    <x v="1"/>
    <x v="297"/>
    <n v="0"/>
    <n v="1.4968121354348301E+18"/>
  </r>
  <r>
    <b v="0"/>
    <x v="36"/>
    <x v="1"/>
    <x v="75"/>
    <x v="89"/>
    <x v="347"/>
    <x v="20"/>
    <x v="12"/>
    <x v="0"/>
    <x v="298"/>
    <n v="0"/>
    <n v="1.4094218914840101E+19"/>
  </r>
  <r>
    <b v="0"/>
    <x v="8"/>
    <x v="1"/>
    <x v="62"/>
    <x v="17"/>
    <x v="297"/>
    <x v="70"/>
    <x v="12"/>
    <x v="0"/>
    <x v="299"/>
    <n v="0"/>
    <n v="6.3369566955222702E+18"/>
  </r>
  <r>
    <b v="0"/>
    <x v="8"/>
    <x v="1"/>
    <x v="23"/>
    <x v="30"/>
    <x v="348"/>
    <x v="92"/>
    <x v="12"/>
    <x v="0"/>
    <x v="300"/>
    <n v="0"/>
    <n v="3.3743880024474301E+18"/>
  </r>
  <r>
    <b v="0"/>
    <x v="128"/>
    <x v="1"/>
    <x v="17"/>
    <x v="56"/>
    <x v="18"/>
    <x v="93"/>
    <x v="12"/>
    <x v="2"/>
    <x v="301"/>
    <n v="0"/>
    <n v="1.7058276946353701E+19"/>
  </r>
  <r>
    <b v="0"/>
    <x v="24"/>
    <x v="1"/>
    <x v="75"/>
    <x v="89"/>
    <x v="349"/>
    <x v="94"/>
    <x v="12"/>
    <x v="0"/>
    <x v="302"/>
    <n v="0"/>
    <n v="1.4529105427803E+18"/>
  </r>
  <r>
    <b v="0"/>
    <x v="14"/>
    <x v="1"/>
    <x v="39"/>
    <x v="67"/>
    <x v="350"/>
    <x v="50"/>
    <x v="12"/>
    <x v="0"/>
    <x v="303"/>
    <n v="0"/>
    <n v="1.3981937972519899E+19"/>
  </r>
  <r>
    <b v="0"/>
    <x v="20"/>
    <x v="1"/>
    <x v="52"/>
    <x v="93"/>
    <x v="228"/>
    <x v="61"/>
    <x v="12"/>
    <x v="0"/>
    <x v="304"/>
    <n v="0"/>
    <n v="1.03721004503356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M138" firstHeaderRow="0" firstDataRow="1" firstDataCol="9"/>
  <pivotFields count="12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0" subtotal="average" baseField="0" baseItem="1" numFmtId="164"/>
    <dataField name="% of Total Blanks" fld="10" showDataAs="percentOfTotal" baseField="0" baseItem="1" numFmtId="164"/>
  </dataFields>
  <formats count="179">
    <format dxfId="353">
      <pivotArea type="all" dataOnly="0" outline="0" fieldPosition="0"/>
    </format>
    <format dxfId="352">
      <pivotArea type="all" dataOnly="0" outline="0" fieldPosition="0"/>
    </format>
    <format dxfId="351">
      <pivotArea dataOnly="0" outline="0" fieldPosition="0">
        <references count="1">
          <reference field="4294967294" count="1">
            <x v="0"/>
          </reference>
        </references>
      </pivotArea>
    </format>
    <format dxfId="350">
      <pivotArea outline="0" fieldPosition="0">
        <references count="1">
          <reference field="4294967294" count="1">
            <x v="0"/>
          </reference>
        </references>
      </pivotArea>
    </format>
    <format dxfId="349">
      <pivotArea outline="0" fieldPosition="0">
        <references count="1">
          <reference field="4294967294" count="1">
            <x v="1"/>
          </reference>
        </references>
      </pivotArea>
    </format>
    <format dxfId="348">
      <pivotArea type="all" dataOnly="0" outline="0" fieldPosition="0"/>
    </format>
    <format dxfId="34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46">
      <pivotArea outline="0" fieldPosition="0">
        <references count="1">
          <reference field="4294967294" count="1" selected="0">
            <x v="1"/>
          </reference>
        </references>
      </pivotArea>
    </format>
    <format dxfId="171">
      <pivotArea field="1" type="button" dataOnly="0" labelOnly="1" outline="0" axis="axisRow" fieldPosition="0"/>
    </format>
    <format dxfId="170">
      <pivotArea field="2" type="button" dataOnly="0" labelOnly="1" outline="0" axis="axisRow" fieldPosition="1"/>
    </format>
    <format dxfId="169">
      <pivotArea field="3" type="button" dataOnly="0" labelOnly="1" outline="0" axis="axisRow" fieldPosition="2"/>
    </format>
    <format dxfId="168">
      <pivotArea field="4" type="button" dataOnly="0" labelOnly="1" outline="0" axis="axisRow" fieldPosition="3"/>
    </format>
    <format dxfId="167">
      <pivotArea field="5" type="button" dataOnly="0" labelOnly="1" outline="0" axis="axisRow" fieldPosition="4"/>
    </format>
    <format dxfId="166">
      <pivotArea field="6" type="button" dataOnly="0" labelOnly="1" outline="0" axis="axisRow" fieldPosition="5"/>
    </format>
    <format dxfId="165">
      <pivotArea field="7" type="button" dataOnly="0" labelOnly="1" outline="0" axis="axisRow" fieldPosition="6"/>
    </format>
    <format dxfId="164">
      <pivotArea field="8" type="button" dataOnly="0" labelOnly="1" outline="0" axis="axisRow" fieldPosition="7"/>
    </format>
    <format dxfId="163">
      <pivotArea field="9" type="button" dataOnly="0" labelOnly="1" outline="0" axis="axisRow" fieldPosition="8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4" type="button" dataOnly="0" labelOnly="1" outline="0" axis="axisRow" fieldPosition="3"/>
    </format>
    <format dxfId="156">
      <pivotArea field="5" type="button" dataOnly="0" labelOnly="1" outline="0" axis="axisRow" fieldPosition="4"/>
    </format>
    <format dxfId="155">
      <pivotArea field="6" type="button" dataOnly="0" labelOnly="1" outline="0" axis="axisRow" fieldPosition="5"/>
    </format>
    <format dxfId="154">
      <pivotArea field="7" type="button" dataOnly="0" labelOnly="1" outline="0" axis="axisRow" fieldPosition="6"/>
    </format>
    <format dxfId="153">
      <pivotArea field="8" type="button" dataOnly="0" labelOnly="1" outline="0" axis="axisRow" fieldPosition="7"/>
    </format>
    <format dxfId="152">
      <pivotArea field="9" type="button" dataOnly="0" labelOnly="1" outline="0" axis="axisRow" fieldPosition="8"/>
    </format>
    <format dxfId="15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9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1" type="button" dataOnly="0" labelOnly="1" outline="0" axis="axisRow" fieldPosition="0"/>
    </format>
    <format dxfId="144">
      <pivotArea field="2" type="button" dataOnly="0" labelOnly="1" outline="0" axis="axisRow" fieldPosition="1"/>
    </format>
    <format dxfId="143">
      <pivotArea field="3" type="button" dataOnly="0" labelOnly="1" outline="0" axis="axisRow" fieldPosition="2"/>
    </format>
    <format dxfId="142">
      <pivotArea field="4" type="button" dataOnly="0" labelOnly="1" outline="0" axis="axisRow" fieldPosition="3"/>
    </format>
    <format dxfId="141">
      <pivotArea field="5" type="button" dataOnly="0" labelOnly="1" outline="0" axis="axisRow" fieldPosition="4"/>
    </format>
    <format dxfId="140">
      <pivotArea field="6" type="button" dataOnly="0" labelOnly="1" outline="0" axis="axisRow" fieldPosition="5"/>
    </format>
    <format dxfId="139">
      <pivotArea field="7" type="button" dataOnly="0" labelOnly="1" outline="0" axis="axisRow" fieldPosition="6"/>
    </format>
    <format dxfId="138">
      <pivotArea field="8" type="button" dataOnly="0" labelOnly="1" outline="0" axis="axisRow" fieldPosition="7"/>
    </format>
    <format dxfId="137">
      <pivotArea field="9" type="button" dataOnly="0" labelOnly="1" outline="0" axis="axisRow" fieldPosition="8"/>
    </format>
    <format dxfId="13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outline="0" fieldPosition="0">
        <references count="1">
          <reference field="1" count="1">
            <x v="126"/>
          </reference>
        </references>
      </pivotArea>
    </format>
    <format dxfId="3">
      <pivotArea dataOnly="0" labelOnly="1" outline="0" fieldPosition="0">
        <references count="1">
          <reference field="1" count="1">
            <x v="127"/>
          </reference>
        </references>
      </pivotArea>
    </format>
    <format dxfId="2">
      <pivotArea dataOnly="0" labelOnly="1" outline="0" fieldPosition="0">
        <references count="1">
          <reference field="1" count="1">
            <x v="12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2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K138" firstHeaderRow="1" firstDataRow="1" firstDataCol="9"/>
  <pivotFields count="12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Items count="1">
    <i/>
  </colItems>
  <formats count="155">
    <format dxfId="345">
      <pivotArea type="all" dataOnly="0" outline="0" fieldPosition="0"/>
    </format>
    <format dxfId="344">
      <pivotArea outline="0" collapsedLevelsAreSubtotals="1" fieldPosition="0"/>
    </format>
    <format dxfId="343">
      <pivotArea dataOnly="0" labelOnly="1" grandRow="1" outline="0" fieldPosition="0"/>
    </format>
    <format dxfId="323">
      <pivotArea field="1" type="button" dataOnly="0" labelOnly="1" outline="0" axis="axisRow" fieldPosition="0"/>
    </format>
    <format dxfId="322">
      <pivotArea field="2" type="button" dataOnly="0" labelOnly="1" outline="0" axis="axisRow" fieldPosition="1"/>
    </format>
    <format dxfId="321">
      <pivotArea field="3" type="button" dataOnly="0" labelOnly="1" outline="0" axis="axisRow" fieldPosition="2"/>
    </format>
    <format dxfId="320">
      <pivotArea field="4" type="button" dataOnly="0" labelOnly="1" outline="0" axis="axisRow" fieldPosition="3"/>
    </format>
    <format dxfId="319">
      <pivotArea field="5" type="button" dataOnly="0" labelOnly="1" outline="0" axis="axisRow" fieldPosition="4"/>
    </format>
    <format dxfId="318">
      <pivotArea field="6" type="button" dataOnly="0" labelOnly="1" outline="0" axis="axisRow" fieldPosition="5"/>
    </format>
    <format dxfId="317">
      <pivotArea field="7" type="button" dataOnly="0" labelOnly="1" outline="0" axis="axisRow" fieldPosition="6"/>
    </format>
    <format dxfId="316">
      <pivotArea field="8" type="button" dataOnly="0" labelOnly="1" outline="0" axis="axisRow" fieldPosition="7"/>
    </format>
    <format dxfId="315">
      <pivotArea field="9" type="button" dataOnly="0" labelOnly="1" outline="0" axis="axisRow" fieldPosition="8"/>
    </format>
    <format dxfId="314">
      <pivotArea type="all" dataOnly="0" outline="0" fieldPosition="0"/>
    </format>
    <format dxfId="313">
      <pivotArea field="2" type="button" dataOnly="0" labelOnly="1" outline="0" axis="axisRow" fieldPosition="1"/>
    </format>
    <format dxfId="312">
      <pivotArea field="3" type="button" dataOnly="0" labelOnly="1" outline="0" axis="axisRow" fieldPosition="2"/>
    </format>
    <format dxfId="311">
      <pivotArea field="4" type="button" dataOnly="0" labelOnly="1" outline="0" axis="axisRow" fieldPosition="3"/>
    </format>
    <format dxfId="310">
      <pivotArea field="5" type="button" dataOnly="0" labelOnly="1" outline="0" axis="axisRow" fieldPosition="4"/>
    </format>
    <format dxfId="309">
      <pivotArea field="6" type="button" dataOnly="0" labelOnly="1" outline="0" axis="axisRow" fieldPosition="5"/>
    </format>
    <format dxfId="308">
      <pivotArea field="7" type="button" dataOnly="0" labelOnly="1" outline="0" axis="axisRow" fieldPosition="6"/>
    </format>
    <format dxfId="307">
      <pivotArea field="8" type="button" dataOnly="0" labelOnly="1" outline="0" axis="axisRow" fieldPosition="7"/>
    </format>
    <format dxfId="306">
      <pivotArea field="9" type="button" dataOnly="0" labelOnly="1" outline="0" axis="axisRow" fieldPosition="8"/>
    </format>
    <format dxfId="30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0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03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302">
      <pivotArea field="1" type="button" dataOnly="0" labelOnly="1" outline="0" axis="axisRow" fieldPosition="0"/>
    </format>
    <format dxfId="301">
      <pivotArea dataOnly="0" labelOnly="1" outline="0" fieldPosition="0">
        <references count="1">
          <reference field="1" count="1">
            <x v="0"/>
          </reference>
        </references>
      </pivotArea>
    </format>
    <format dxfId="300">
      <pivotArea dataOnly="0" labelOnly="1" outline="0" fieldPosition="0">
        <references count="1">
          <reference field="1" count="1">
            <x v="1"/>
          </reference>
        </references>
      </pivotArea>
    </format>
    <format dxfId="299">
      <pivotArea dataOnly="0" labelOnly="1" outline="0" fieldPosition="0">
        <references count="1">
          <reference field="1" count="1">
            <x v="2"/>
          </reference>
        </references>
      </pivotArea>
    </format>
    <format dxfId="298">
      <pivotArea dataOnly="0" labelOnly="1" outline="0" fieldPosition="0">
        <references count="1">
          <reference field="1" count="1">
            <x v="3"/>
          </reference>
        </references>
      </pivotArea>
    </format>
    <format dxfId="297">
      <pivotArea dataOnly="0" labelOnly="1" outline="0" fieldPosition="0">
        <references count="1">
          <reference field="1" count="1">
            <x v="4"/>
          </reference>
        </references>
      </pivotArea>
    </format>
    <format dxfId="296">
      <pivotArea dataOnly="0" labelOnly="1" outline="0" fieldPosition="0">
        <references count="1">
          <reference field="1" count="1">
            <x v="5"/>
          </reference>
        </references>
      </pivotArea>
    </format>
    <format dxfId="295">
      <pivotArea dataOnly="0" labelOnly="1" outline="0" fieldPosition="0">
        <references count="1">
          <reference field="1" count="1">
            <x v="6"/>
          </reference>
        </references>
      </pivotArea>
    </format>
    <format dxfId="294">
      <pivotArea dataOnly="0" labelOnly="1" outline="0" fieldPosition="0">
        <references count="1">
          <reference field="1" count="1">
            <x v="7"/>
          </reference>
        </references>
      </pivotArea>
    </format>
    <format dxfId="293">
      <pivotArea dataOnly="0" labelOnly="1" outline="0" fieldPosition="0">
        <references count="1">
          <reference field="1" count="1">
            <x v="8"/>
          </reference>
        </references>
      </pivotArea>
    </format>
    <format dxfId="292">
      <pivotArea dataOnly="0" labelOnly="1" outline="0" fieldPosition="0">
        <references count="1">
          <reference field="1" count="1">
            <x v="9"/>
          </reference>
        </references>
      </pivotArea>
    </format>
    <format dxfId="291">
      <pivotArea dataOnly="0" labelOnly="1" outline="0" fieldPosition="0">
        <references count="1">
          <reference field="1" count="1">
            <x v="10"/>
          </reference>
        </references>
      </pivotArea>
    </format>
    <format dxfId="290">
      <pivotArea dataOnly="0" labelOnly="1" outline="0" fieldPosition="0">
        <references count="1">
          <reference field="1" count="1">
            <x v="11"/>
          </reference>
        </references>
      </pivotArea>
    </format>
    <format dxfId="289">
      <pivotArea dataOnly="0" labelOnly="1" outline="0" fieldPosition="0">
        <references count="1">
          <reference field="1" count="1">
            <x v="12"/>
          </reference>
        </references>
      </pivotArea>
    </format>
    <format dxfId="288">
      <pivotArea dataOnly="0" labelOnly="1" outline="0" fieldPosition="0">
        <references count="1">
          <reference field="1" count="1">
            <x v="13"/>
          </reference>
        </references>
      </pivotArea>
    </format>
    <format dxfId="287">
      <pivotArea dataOnly="0" labelOnly="1" outline="0" fieldPosition="0">
        <references count="1">
          <reference field="1" count="1">
            <x v="14"/>
          </reference>
        </references>
      </pivotArea>
    </format>
    <format dxfId="286">
      <pivotArea dataOnly="0" labelOnly="1" outline="0" fieldPosition="0">
        <references count="1">
          <reference field="1" count="1">
            <x v="15"/>
          </reference>
        </references>
      </pivotArea>
    </format>
    <format dxfId="285">
      <pivotArea dataOnly="0" labelOnly="1" outline="0" fieldPosition="0">
        <references count="1">
          <reference field="1" count="1">
            <x v="16"/>
          </reference>
        </references>
      </pivotArea>
    </format>
    <format dxfId="284">
      <pivotArea dataOnly="0" labelOnly="1" outline="0" fieldPosition="0">
        <references count="1">
          <reference field="1" count="1">
            <x v="17"/>
          </reference>
        </references>
      </pivotArea>
    </format>
    <format dxfId="283">
      <pivotArea dataOnly="0" labelOnly="1" outline="0" fieldPosition="0">
        <references count="1">
          <reference field="1" count="1">
            <x v="18"/>
          </reference>
        </references>
      </pivotArea>
    </format>
    <format dxfId="282">
      <pivotArea dataOnly="0" labelOnly="1" outline="0" fieldPosition="0">
        <references count="1">
          <reference field="1" count="1">
            <x v="19"/>
          </reference>
        </references>
      </pivotArea>
    </format>
    <format dxfId="281">
      <pivotArea dataOnly="0" labelOnly="1" outline="0" fieldPosition="0">
        <references count="1">
          <reference field="1" count="1">
            <x v="20"/>
          </reference>
        </references>
      </pivotArea>
    </format>
    <format dxfId="280">
      <pivotArea dataOnly="0" labelOnly="1" outline="0" fieldPosition="0">
        <references count="1">
          <reference field="1" count="1">
            <x v="21"/>
          </reference>
        </references>
      </pivotArea>
    </format>
    <format dxfId="279">
      <pivotArea dataOnly="0" labelOnly="1" outline="0" fieldPosition="0">
        <references count="1">
          <reference field="1" count="1">
            <x v="22"/>
          </reference>
        </references>
      </pivotArea>
    </format>
    <format dxfId="278">
      <pivotArea dataOnly="0" labelOnly="1" outline="0" fieldPosition="0">
        <references count="1">
          <reference field="1" count="1">
            <x v="23"/>
          </reference>
        </references>
      </pivotArea>
    </format>
    <format dxfId="277">
      <pivotArea dataOnly="0" labelOnly="1" outline="0" fieldPosition="0">
        <references count="1">
          <reference field="1" count="1">
            <x v="24"/>
          </reference>
        </references>
      </pivotArea>
    </format>
    <format dxfId="276">
      <pivotArea dataOnly="0" labelOnly="1" outline="0" fieldPosition="0">
        <references count="1">
          <reference field="1" count="1">
            <x v="25"/>
          </reference>
        </references>
      </pivotArea>
    </format>
    <format dxfId="275">
      <pivotArea dataOnly="0" labelOnly="1" outline="0" fieldPosition="0">
        <references count="1">
          <reference field="1" count="1">
            <x v="26"/>
          </reference>
        </references>
      </pivotArea>
    </format>
    <format dxfId="274">
      <pivotArea dataOnly="0" labelOnly="1" outline="0" fieldPosition="0">
        <references count="1">
          <reference field="1" count="1">
            <x v="27"/>
          </reference>
        </references>
      </pivotArea>
    </format>
    <format dxfId="273">
      <pivotArea dataOnly="0" labelOnly="1" outline="0" fieldPosition="0">
        <references count="1">
          <reference field="1" count="1">
            <x v="28"/>
          </reference>
        </references>
      </pivotArea>
    </format>
    <format dxfId="272">
      <pivotArea dataOnly="0" labelOnly="1" outline="0" fieldPosition="0">
        <references count="1">
          <reference field="1" count="1">
            <x v="29"/>
          </reference>
        </references>
      </pivotArea>
    </format>
    <format dxfId="271">
      <pivotArea dataOnly="0" labelOnly="1" outline="0" fieldPosition="0">
        <references count="1">
          <reference field="1" count="1">
            <x v="30"/>
          </reference>
        </references>
      </pivotArea>
    </format>
    <format dxfId="270">
      <pivotArea dataOnly="0" labelOnly="1" outline="0" fieldPosition="0">
        <references count="1">
          <reference field="1" count="1">
            <x v="31"/>
          </reference>
        </references>
      </pivotArea>
    </format>
    <format dxfId="269">
      <pivotArea dataOnly="0" labelOnly="1" outline="0" fieldPosition="0">
        <references count="1">
          <reference field="1" count="1">
            <x v="32"/>
          </reference>
        </references>
      </pivotArea>
    </format>
    <format dxfId="268">
      <pivotArea dataOnly="0" labelOnly="1" outline="0" fieldPosition="0">
        <references count="1">
          <reference field="1" count="1">
            <x v="33"/>
          </reference>
        </references>
      </pivotArea>
    </format>
    <format dxfId="267">
      <pivotArea dataOnly="0" labelOnly="1" outline="0" fieldPosition="0">
        <references count="1">
          <reference field="1" count="1">
            <x v="34"/>
          </reference>
        </references>
      </pivotArea>
    </format>
    <format dxfId="266">
      <pivotArea dataOnly="0" labelOnly="1" outline="0" fieldPosition="0">
        <references count="1">
          <reference field="1" count="1">
            <x v="35"/>
          </reference>
        </references>
      </pivotArea>
    </format>
    <format dxfId="265">
      <pivotArea dataOnly="0" labelOnly="1" outline="0" fieldPosition="0">
        <references count="1">
          <reference field="1" count="1">
            <x v="36"/>
          </reference>
        </references>
      </pivotArea>
    </format>
    <format dxfId="264">
      <pivotArea dataOnly="0" labelOnly="1" outline="0" fieldPosition="0">
        <references count="1">
          <reference field="1" count="1">
            <x v="37"/>
          </reference>
        </references>
      </pivotArea>
    </format>
    <format dxfId="263">
      <pivotArea dataOnly="0" labelOnly="1" outline="0" fieldPosition="0">
        <references count="1">
          <reference field="1" count="1">
            <x v="38"/>
          </reference>
        </references>
      </pivotArea>
    </format>
    <format dxfId="262">
      <pivotArea dataOnly="0" labelOnly="1" outline="0" fieldPosition="0">
        <references count="1">
          <reference field="1" count="1">
            <x v="39"/>
          </reference>
        </references>
      </pivotArea>
    </format>
    <format dxfId="261">
      <pivotArea dataOnly="0" labelOnly="1" outline="0" fieldPosition="0">
        <references count="1">
          <reference field="1" count="1">
            <x v="40"/>
          </reference>
        </references>
      </pivotArea>
    </format>
    <format dxfId="260">
      <pivotArea dataOnly="0" labelOnly="1" outline="0" fieldPosition="0">
        <references count="1">
          <reference field="1" count="1">
            <x v="41"/>
          </reference>
        </references>
      </pivotArea>
    </format>
    <format dxfId="259">
      <pivotArea dataOnly="0" labelOnly="1" outline="0" fieldPosition="0">
        <references count="1">
          <reference field="1" count="1">
            <x v="42"/>
          </reference>
        </references>
      </pivotArea>
    </format>
    <format dxfId="258">
      <pivotArea dataOnly="0" labelOnly="1" outline="0" fieldPosition="0">
        <references count="1">
          <reference field="1" count="1">
            <x v="43"/>
          </reference>
        </references>
      </pivotArea>
    </format>
    <format dxfId="257">
      <pivotArea dataOnly="0" labelOnly="1" outline="0" fieldPosition="0">
        <references count="1">
          <reference field="1" count="1">
            <x v="44"/>
          </reference>
        </references>
      </pivotArea>
    </format>
    <format dxfId="256">
      <pivotArea dataOnly="0" labelOnly="1" outline="0" fieldPosition="0">
        <references count="1">
          <reference field="1" count="1">
            <x v="45"/>
          </reference>
        </references>
      </pivotArea>
    </format>
    <format dxfId="255">
      <pivotArea dataOnly="0" labelOnly="1" outline="0" fieldPosition="0">
        <references count="1">
          <reference field="1" count="1">
            <x v="46"/>
          </reference>
        </references>
      </pivotArea>
    </format>
    <format dxfId="254">
      <pivotArea dataOnly="0" labelOnly="1" outline="0" fieldPosition="0">
        <references count="1">
          <reference field="1" count="1">
            <x v="47"/>
          </reference>
        </references>
      </pivotArea>
    </format>
    <format dxfId="253">
      <pivotArea dataOnly="0" labelOnly="1" outline="0" fieldPosition="0">
        <references count="1">
          <reference field="1" count="1">
            <x v="48"/>
          </reference>
        </references>
      </pivotArea>
    </format>
    <format dxfId="252">
      <pivotArea dataOnly="0" labelOnly="1" outline="0" fieldPosition="0">
        <references count="1">
          <reference field="1" count="1">
            <x v="49"/>
          </reference>
        </references>
      </pivotArea>
    </format>
    <format dxfId="251">
      <pivotArea dataOnly="0" labelOnly="1" outline="0" fieldPosition="0">
        <references count="1">
          <reference field="1" count="1">
            <x v="50"/>
          </reference>
        </references>
      </pivotArea>
    </format>
    <format dxfId="250">
      <pivotArea dataOnly="0" labelOnly="1" outline="0" fieldPosition="0">
        <references count="1">
          <reference field="1" count="1">
            <x v="51"/>
          </reference>
        </references>
      </pivotArea>
    </format>
    <format dxfId="249">
      <pivotArea dataOnly="0" labelOnly="1" outline="0" fieldPosition="0">
        <references count="1">
          <reference field="1" count="1">
            <x v="52"/>
          </reference>
        </references>
      </pivotArea>
    </format>
    <format dxfId="248">
      <pivotArea dataOnly="0" labelOnly="1" outline="0" fieldPosition="0">
        <references count="1">
          <reference field="1" count="1">
            <x v="53"/>
          </reference>
        </references>
      </pivotArea>
    </format>
    <format dxfId="247">
      <pivotArea dataOnly="0" labelOnly="1" outline="0" fieldPosition="0">
        <references count="1">
          <reference field="1" count="1">
            <x v="54"/>
          </reference>
        </references>
      </pivotArea>
    </format>
    <format dxfId="246">
      <pivotArea dataOnly="0" labelOnly="1" outline="0" fieldPosition="0">
        <references count="1">
          <reference field="1" count="1">
            <x v="55"/>
          </reference>
        </references>
      </pivotArea>
    </format>
    <format dxfId="245">
      <pivotArea dataOnly="0" labelOnly="1" outline="0" fieldPosition="0">
        <references count="1">
          <reference field="1" count="1">
            <x v="56"/>
          </reference>
        </references>
      </pivotArea>
    </format>
    <format dxfId="244">
      <pivotArea dataOnly="0" labelOnly="1" outline="0" fieldPosition="0">
        <references count="1">
          <reference field="1" count="1">
            <x v="57"/>
          </reference>
        </references>
      </pivotArea>
    </format>
    <format dxfId="243">
      <pivotArea dataOnly="0" labelOnly="1" outline="0" fieldPosition="0">
        <references count="1">
          <reference field="1" count="1">
            <x v="58"/>
          </reference>
        </references>
      </pivotArea>
    </format>
    <format dxfId="242">
      <pivotArea dataOnly="0" labelOnly="1" outline="0" fieldPosition="0">
        <references count="1">
          <reference field="1" count="1">
            <x v="59"/>
          </reference>
        </references>
      </pivotArea>
    </format>
    <format dxfId="241">
      <pivotArea dataOnly="0" labelOnly="1" outline="0" fieldPosition="0">
        <references count="1">
          <reference field="1" count="1">
            <x v="60"/>
          </reference>
        </references>
      </pivotArea>
    </format>
    <format dxfId="240">
      <pivotArea dataOnly="0" labelOnly="1" outline="0" fieldPosition="0">
        <references count="1">
          <reference field="1" count="1">
            <x v="61"/>
          </reference>
        </references>
      </pivotArea>
    </format>
    <format dxfId="239">
      <pivotArea dataOnly="0" labelOnly="1" outline="0" fieldPosition="0">
        <references count="1">
          <reference field="1" count="1">
            <x v="62"/>
          </reference>
        </references>
      </pivotArea>
    </format>
    <format dxfId="238">
      <pivotArea dataOnly="0" labelOnly="1" outline="0" fieldPosition="0">
        <references count="1">
          <reference field="1" count="1">
            <x v="63"/>
          </reference>
        </references>
      </pivotArea>
    </format>
    <format dxfId="237">
      <pivotArea dataOnly="0" labelOnly="1" outline="0" fieldPosition="0">
        <references count="1">
          <reference field="1" count="1">
            <x v="64"/>
          </reference>
        </references>
      </pivotArea>
    </format>
    <format dxfId="236">
      <pivotArea dataOnly="0" labelOnly="1" outline="0" fieldPosition="0">
        <references count="1">
          <reference field="1" count="1">
            <x v="65"/>
          </reference>
        </references>
      </pivotArea>
    </format>
    <format dxfId="235">
      <pivotArea dataOnly="0" labelOnly="1" outline="0" fieldPosition="0">
        <references count="1">
          <reference field="1" count="1">
            <x v="66"/>
          </reference>
        </references>
      </pivotArea>
    </format>
    <format dxfId="234">
      <pivotArea dataOnly="0" labelOnly="1" outline="0" fieldPosition="0">
        <references count="1">
          <reference field="1" count="1">
            <x v="67"/>
          </reference>
        </references>
      </pivotArea>
    </format>
    <format dxfId="233">
      <pivotArea dataOnly="0" labelOnly="1" outline="0" fieldPosition="0">
        <references count="1">
          <reference field="1" count="1">
            <x v="68"/>
          </reference>
        </references>
      </pivotArea>
    </format>
    <format dxfId="232">
      <pivotArea dataOnly="0" labelOnly="1" outline="0" fieldPosition="0">
        <references count="1">
          <reference field="1" count="1">
            <x v="69"/>
          </reference>
        </references>
      </pivotArea>
    </format>
    <format dxfId="231">
      <pivotArea dataOnly="0" labelOnly="1" outline="0" fieldPosition="0">
        <references count="1">
          <reference field="1" count="1">
            <x v="70"/>
          </reference>
        </references>
      </pivotArea>
    </format>
    <format dxfId="230">
      <pivotArea dataOnly="0" labelOnly="1" outline="0" fieldPosition="0">
        <references count="1">
          <reference field="1" count="1">
            <x v="71"/>
          </reference>
        </references>
      </pivotArea>
    </format>
    <format dxfId="229">
      <pivotArea dataOnly="0" labelOnly="1" outline="0" fieldPosition="0">
        <references count="1">
          <reference field="1" count="1">
            <x v="72"/>
          </reference>
        </references>
      </pivotArea>
    </format>
    <format dxfId="228">
      <pivotArea dataOnly="0" labelOnly="1" outline="0" fieldPosition="0">
        <references count="1">
          <reference field="1" count="1">
            <x v="73"/>
          </reference>
        </references>
      </pivotArea>
    </format>
    <format dxfId="227">
      <pivotArea dataOnly="0" labelOnly="1" outline="0" fieldPosition="0">
        <references count="1">
          <reference field="1" count="1">
            <x v="74"/>
          </reference>
        </references>
      </pivotArea>
    </format>
    <format dxfId="226">
      <pivotArea dataOnly="0" labelOnly="1" outline="0" fieldPosition="0">
        <references count="1">
          <reference field="1" count="1">
            <x v="75"/>
          </reference>
        </references>
      </pivotArea>
    </format>
    <format dxfId="225">
      <pivotArea dataOnly="0" labelOnly="1" outline="0" fieldPosition="0">
        <references count="1">
          <reference field="1" count="1">
            <x v="76"/>
          </reference>
        </references>
      </pivotArea>
    </format>
    <format dxfId="224">
      <pivotArea dataOnly="0" labelOnly="1" outline="0" fieldPosition="0">
        <references count="1">
          <reference field="1" count="1">
            <x v="77"/>
          </reference>
        </references>
      </pivotArea>
    </format>
    <format dxfId="223">
      <pivotArea dataOnly="0" labelOnly="1" outline="0" fieldPosition="0">
        <references count="1">
          <reference field="1" count="1">
            <x v="78"/>
          </reference>
        </references>
      </pivotArea>
    </format>
    <format dxfId="222">
      <pivotArea dataOnly="0" labelOnly="1" outline="0" fieldPosition="0">
        <references count="1">
          <reference field="1" count="1">
            <x v="79"/>
          </reference>
        </references>
      </pivotArea>
    </format>
    <format dxfId="221">
      <pivotArea dataOnly="0" labelOnly="1" outline="0" fieldPosition="0">
        <references count="1">
          <reference field="1" count="1">
            <x v="80"/>
          </reference>
        </references>
      </pivotArea>
    </format>
    <format dxfId="220">
      <pivotArea dataOnly="0" labelOnly="1" outline="0" fieldPosition="0">
        <references count="1">
          <reference field="1" count="1">
            <x v="81"/>
          </reference>
        </references>
      </pivotArea>
    </format>
    <format dxfId="219">
      <pivotArea dataOnly="0" labelOnly="1" outline="0" fieldPosition="0">
        <references count="1">
          <reference field="1" count="1">
            <x v="82"/>
          </reference>
        </references>
      </pivotArea>
    </format>
    <format dxfId="218">
      <pivotArea dataOnly="0" labelOnly="1" outline="0" fieldPosition="0">
        <references count="1">
          <reference field="1" count="1">
            <x v="83"/>
          </reference>
        </references>
      </pivotArea>
    </format>
    <format dxfId="217">
      <pivotArea dataOnly="0" labelOnly="1" outline="0" fieldPosition="0">
        <references count="1">
          <reference field="1" count="1">
            <x v="84"/>
          </reference>
        </references>
      </pivotArea>
    </format>
    <format dxfId="216">
      <pivotArea dataOnly="0" labelOnly="1" outline="0" fieldPosition="0">
        <references count="1">
          <reference field="1" count="1">
            <x v="85"/>
          </reference>
        </references>
      </pivotArea>
    </format>
    <format dxfId="215">
      <pivotArea dataOnly="0" labelOnly="1" outline="0" fieldPosition="0">
        <references count="1">
          <reference field="1" count="1">
            <x v="86"/>
          </reference>
        </references>
      </pivotArea>
    </format>
    <format dxfId="214">
      <pivotArea dataOnly="0" labelOnly="1" outline="0" fieldPosition="0">
        <references count="1">
          <reference field="1" count="1">
            <x v="87"/>
          </reference>
        </references>
      </pivotArea>
    </format>
    <format dxfId="213">
      <pivotArea dataOnly="0" labelOnly="1" outline="0" fieldPosition="0">
        <references count="1">
          <reference field="1" count="1">
            <x v="88"/>
          </reference>
        </references>
      </pivotArea>
    </format>
    <format dxfId="212">
      <pivotArea dataOnly="0" labelOnly="1" outline="0" fieldPosition="0">
        <references count="1">
          <reference field="1" count="1">
            <x v="89"/>
          </reference>
        </references>
      </pivotArea>
    </format>
    <format dxfId="211">
      <pivotArea dataOnly="0" labelOnly="1" outline="0" fieldPosition="0">
        <references count="1">
          <reference field="1" count="1">
            <x v="90"/>
          </reference>
        </references>
      </pivotArea>
    </format>
    <format dxfId="210">
      <pivotArea dataOnly="0" labelOnly="1" outline="0" fieldPosition="0">
        <references count="1">
          <reference field="1" count="1">
            <x v="91"/>
          </reference>
        </references>
      </pivotArea>
    </format>
    <format dxfId="209">
      <pivotArea dataOnly="0" labelOnly="1" outline="0" fieldPosition="0">
        <references count="1">
          <reference field="1" count="1">
            <x v="92"/>
          </reference>
        </references>
      </pivotArea>
    </format>
    <format dxfId="208">
      <pivotArea dataOnly="0" labelOnly="1" outline="0" fieldPosition="0">
        <references count="1">
          <reference field="1" count="1">
            <x v="93"/>
          </reference>
        </references>
      </pivotArea>
    </format>
    <format dxfId="207">
      <pivotArea dataOnly="0" labelOnly="1" outline="0" fieldPosition="0">
        <references count="1">
          <reference field="1" count="1">
            <x v="94"/>
          </reference>
        </references>
      </pivotArea>
    </format>
    <format dxfId="206">
      <pivotArea dataOnly="0" labelOnly="1" outline="0" fieldPosition="0">
        <references count="1">
          <reference field="1" count="1">
            <x v="95"/>
          </reference>
        </references>
      </pivotArea>
    </format>
    <format dxfId="205">
      <pivotArea dataOnly="0" labelOnly="1" outline="0" fieldPosition="0">
        <references count="1">
          <reference field="1" count="1">
            <x v="96"/>
          </reference>
        </references>
      </pivotArea>
    </format>
    <format dxfId="204">
      <pivotArea dataOnly="0" labelOnly="1" outline="0" fieldPosition="0">
        <references count="1">
          <reference field="1" count="1">
            <x v="97"/>
          </reference>
        </references>
      </pivotArea>
    </format>
    <format dxfId="203">
      <pivotArea dataOnly="0" labelOnly="1" outline="0" fieldPosition="0">
        <references count="1">
          <reference field="1" count="1">
            <x v="98"/>
          </reference>
        </references>
      </pivotArea>
    </format>
    <format dxfId="202">
      <pivotArea dataOnly="0" labelOnly="1" outline="0" fieldPosition="0">
        <references count="1">
          <reference field="1" count="1">
            <x v="99"/>
          </reference>
        </references>
      </pivotArea>
    </format>
    <format dxfId="201">
      <pivotArea dataOnly="0" labelOnly="1" outline="0" fieldPosition="0">
        <references count="1">
          <reference field="1" count="1">
            <x v="100"/>
          </reference>
        </references>
      </pivotArea>
    </format>
    <format dxfId="200">
      <pivotArea dataOnly="0" labelOnly="1" outline="0" fieldPosition="0">
        <references count="1">
          <reference field="1" count="1">
            <x v="101"/>
          </reference>
        </references>
      </pivotArea>
    </format>
    <format dxfId="199">
      <pivotArea dataOnly="0" labelOnly="1" outline="0" fieldPosition="0">
        <references count="1">
          <reference field="1" count="1">
            <x v="102"/>
          </reference>
        </references>
      </pivotArea>
    </format>
    <format dxfId="198">
      <pivotArea dataOnly="0" labelOnly="1" outline="0" fieldPosition="0">
        <references count="1">
          <reference field="1" count="1">
            <x v="103"/>
          </reference>
        </references>
      </pivotArea>
    </format>
    <format dxfId="197">
      <pivotArea dataOnly="0" labelOnly="1" outline="0" fieldPosition="0">
        <references count="1">
          <reference field="1" count="1">
            <x v="104"/>
          </reference>
        </references>
      </pivotArea>
    </format>
    <format dxfId="196">
      <pivotArea dataOnly="0" labelOnly="1" outline="0" fieldPosition="0">
        <references count="1">
          <reference field="1" count="1">
            <x v="105"/>
          </reference>
        </references>
      </pivotArea>
    </format>
    <format dxfId="195">
      <pivotArea dataOnly="0" labelOnly="1" outline="0" fieldPosition="0">
        <references count="1">
          <reference field="1" count="1">
            <x v="106"/>
          </reference>
        </references>
      </pivotArea>
    </format>
    <format dxfId="194">
      <pivotArea dataOnly="0" labelOnly="1" outline="0" fieldPosition="0">
        <references count="1">
          <reference field="1" count="1">
            <x v="107"/>
          </reference>
        </references>
      </pivotArea>
    </format>
    <format dxfId="193">
      <pivotArea dataOnly="0" labelOnly="1" outline="0" fieldPosition="0">
        <references count="1">
          <reference field="1" count="1">
            <x v="108"/>
          </reference>
        </references>
      </pivotArea>
    </format>
    <format dxfId="192">
      <pivotArea dataOnly="0" labelOnly="1" outline="0" fieldPosition="0">
        <references count="1">
          <reference field="1" count="1">
            <x v="109"/>
          </reference>
        </references>
      </pivotArea>
    </format>
    <format dxfId="191">
      <pivotArea dataOnly="0" labelOnly="1" outline="0" fieldPosition="0">
        <references count="1">
          <reference field="1" count="1">
            <x v="110"/>
          </reference>
        </references>
      </pivotArea>
    </format>
    <format dxfId="190">
      <pivotArea dataOnly="0" labelOnly="1" outline="0" fieldPosition="0">
        <references count="1">
          <reference field="1" count="1">
            <x v="111"/>
          </reference>
        </references>
      </pivotArea>
    </format>
    <format dxfId="189">
      <pivotArea dataOnly="0" labelOnly="1" outline="0" fieldPosition="0">
        <references count="1">
          <reference field="1" count="1">
            <x v="112"/>
          </reference>
        </references>
      </pivotArea>
    </format>
    <format dxfId="188">
      <pivotArea dataOnly="0" labelOnly="1" outline="0" fieldPosition="0">
        <references count="1">
          <reference field="1" count="1">
            <x v="113"/>
          </reference>
        </references>
      </pivotArea>
    </format>
    <format dxfId="187">
      <pivotArea dataOnly="0" labelOnly="1" outline="0" fieldPosition="0">
        <references count="1">
          <reference field="1" count="1">
            <x v="114"/>
          </reference>
        </references>
      </pivotArea>
    </format>
    <format dxfId="186">
      <pivotArea dataOnly="0" labelOnly="1" outline="0" fieldPosition="0">
        <references count="1">
          <reference field="1" count="1">
            <x v="115"/>
          </reference>
        </references>
      </pivotArea>
    </format>
    <format dxfId="185">
      <pivotArea dataOnly="0" labelOnly="1" outline="0" fieldPosition="0">
        <references count="1">
          <reference field="1" count="1">
            <x v="116"/>
          </reference>
        </references>
      </pivotArea>
    </format>
    <format dxfId="184">
      <pivotArea dataOnly="0" labelOnly="1" outline="0" fieldPosition="0">
        <references count="1">
          <reference field="1" count="1">
            <x v="117"/>
          </reference>
        </references>
      </pivotArea>
    </format>
    <format dxfId="183">
      <pivotArea dataOnly="0" labelOnly="1" outline="0" fieldPosition="0">
        <references count="1">
          <reference field="1" count="1">
            <x v="118"/>
          </reference>
        </references>
      </pivotArea>
    </format>
    <format dxfId="182">
      <pivotArea dataOnly="0" labelOnly="1" outline="0" fieldPosition="0">
        <references count="1">
          <reference field="1" count="1">
            <x v="119"/>
          </reference>
        </references>
      </pivotArea>
    </format>
    <format dxfId="181">
      <pivotArea dataOnly="0" labelOnly="1" outline="0" fieldPosition="0">
        <references count="1">
          <reference field="1" count="1">
            <x v="120"/>
          </reference>
        </references>
      </pivotArea>
    </format>
    <format dxfId="180">
      <pivotArea dataOnly="0" labelOnly="1" outline="0" fieldPosition="0">
        <references count="1">
          <reference field="1" count="1">
            <x v="121"/>
          </reference>
        </references>
      </pivotArea>
    </format>
    <format dxfId="179">
      <pivotArea dataOnly="0" labelOnly="1" outline="0" fieldPosition="0">
        <references count="1">
          <reference field="1" count="1">
            <x v="122"/>
          </reference>
        </references>
      </pivotArea>
    </format>
    <format dxfId="178">
      <pivotArea dataOnly="0" labelOnly="1" outline="0" fieldPosition="0">
        <references count="1">
          <reference field="1" count="1">
            <x v="123"/>
          </reference>
        </references>
      </pivotArea>
    </format>
    <format dxfId="177">
      <pivotArea dataOnly="0" labelOnly="1" outline="0" fieldPosition="0">
        <references count="1">
          <reference field="1" count="1">
            <x v="124"/>
          </reference>
        </references>
      </pivotArea>
    </format>
    <format dxfId="176">
      <pivotArea dataOnly="0" labelOnly="1" outline="0" fieldPosition="0">
        <references count="1">
          <reference field="1" count="1">
            <x v="125"/>
          </reference>
        </references>
      </pivotArea>
    </format>
    <format dxfId="175">
      <pivotArea dataOnly="0" labelOnly="1" outline="0" fieldPosition="0">
        <references count="1">
          <reference field="1" count="1">
            <x v="126"/>
          </reference>
        </references>
      </pivotArea>
    </format>
    <format dxfId="174">
      <pivotArea dataOnly="0" labelOnly="1" outline="0" fieldPosition="0">
        <references count="1">
          <reference field="1" count="1">
            <x v="127"/>
          </reference>
        </references>
      </pivotArea>
    </format>
    <format dxfId="173">
      <pivotArea dataOnly="0" labelOnly="1" outline="0" fieldPosition="0">
        <references count="1">
          <reference field="1" count="1">
            <x v="128"/>
          </reference>
        </references>
      </pivotArea>
    </format>
    <format dxfId="17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342" dataDxfId="388" headerRowBorderDxfId="389" headerRowCellStyle="Normal 2">
  <autoFilter ref="B10:AA19" xr:uid="{7EC467B7-DE9E-48DF-95B5-2995F1F6DE8F}"/>
  <tableColumns count="26">
    <tableColumn id="1" xr3:uid="{CDAE6949-9186-42E8-AEBE-1928381A0155}" name="Field" dataDxfId="387" dataCellStyle="Normal 2"/>
    <tableColumn id="2" xr3:uid="{24D139B7-BFC8-4DD9-8DE4-2245810E04F3}" name="Definition" dataDxfId="33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3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386"/>
    <tableColumn id="8" xr3:uid="{30CDB1E0-924C-48B4-82F4-9B3E3228BE95}" name="Distinct %" dataDxfId="385"/>
    <tableColumn id="12" xr3:uid="{03824906-BEA5-4B63-A981-21F959B6439E}" name="Missing %" dataDxfId="384" dataCellStyle="Percent 2"/>
    <tableColumn id="6" xr3:uid="{8DFFE5A0-8676-4576-AB4D-97E8B31EC097}" name="Memory Usage %" dataDxfId="383" dataCellStyle="Percent 2"/>
    <tableColumn id="5" xr3:uid="{DD50C3DA-F4A8-40F0-AFBD-DBF916650F7E}" name="Memory Usage" dataDxfId="382"/>
    <tableColumn id="7" xr3:uid="{A0CD56D0-07EF-46CA-BC46-D54CD5E746C7}" name="Distinct" dataDxfId="381"/>
    <tableColumn id="9" xr3:uid="{1C848176-6AC1-44A6-9B3B-F1C9E8BC32EA}" name="Count" dataDxfId="380"/>
    <tableColumn id="10" xr3:uid="{6C6E6A37-4969-459F-AC39-2193366810E2}" name="Count %" dataDxfId="379"/>
    <tableColumn id="11" xr3:uid="{CD47252D-0307-4513-AF7C-13CC4AA1FCD9}" name="Missing" dataDxfId="378"/>
    <tableColumn id="13" xr3:uid="{2B45F7F8-CE35-48A6-BB27-9684B5D7936D}" name="Mean" dataDxfId="377"/>
    <tableColumn id="14" xr3:uid="{293386E4-1FA6-4340-9DC6-54CC26209C0A}" name="Median" dataDxfId="376"/>
    <tableColumn id="15" xr3:uid="{29252F5E-4163-4D62-89FC-FF85F6C4755C}" name="Mode" dataDxfId="375"/>
    <tableColumn id="16" xr3:uid="{69FFA3C1-FD1E-4395-AF2E-177FDFCDE62A}" name="Standard Deviation" dataDxfId="374"/>
    <tableColumn id="17" xr3:uid="{2AAB37E9-8AE2-4771-B92B-C04BFABA0B4E}" name="Variance" dataDxfId="373"/>
    <tableColumn id="18" xr3:uid="{07151E41-6633-4A65-A7E1-091F027DEF95}" name="Min" dataDxfId="372"/>
    <tableColumn id="19" xr3:uid="{41A1FD5D-4E5C-45B3-A0C7-1820F89F417F}" name="5%" dataDxfId="371"/>
    <tableColumn id="20" xr3:uid="{50D70984-5A2E-4A19-9F2B-5DA0502339BC}" name="25%" dataDxfId="370"/>
    <tableColumn id="21" xr3:uid="{75FF5489-8FC0-4894-83BC-802076BF1066}" name="50%" dataDxfId="369"/>
    <tableColumn id="22" xr3:uid="{B7FA20A8-EE17-470E-93AD-54011230C113}" name="75%" dataDxfId="368"/>
    <tableColumn id="23" xr3:uid="{378BE758-7A3F-4C04-A75B-FE899B1B0BAD}" name="95%" dataDxfId="367"/>
    <tableColumn id="24" xr3:uid="{818594E7-DC84-4229-81F6-97C1E2E93633}" name="Max" dataDxfId="366"/>
    <tableColumn id="25" xr3:uid="{D8116583-A886-47C1-85E2-D28AD96194AD}" name="Range" dataDxfId="365"/>
    <tableColumn id="26" xr3:uid="{D061AC6A-EAB2-461F-8AB8-E743DC68E666}" name="IQR" dataDxfId="36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N476" totalsRowShown="0" headerRowDxfId="354" dataDxfId="327">
  <autoFilter ref="C78:N476" xr:uid="{DB263373-2B4F-4302-9CF6-5012CE3F1A47}"/>
  <tableColumns count="12">
    <tableColumn id="1" xr3:uid="{B87F6371-B38F-4AA9-8A9B-F1D62600E38F}" name="Record List" dataDxfId="326" dataCellStyle="Normal 2"/>
    <tableColumn id="2" xr3:uid="{55547D6A-0C4F-44F3-8DA7-D9918F9ECA79}" name="mpg" dataDxfId="336"/>
    <tableColumn id="8" xr3:uid="{5CEA6B82-08F7-4BBF-BE74-DD211F1E2384}" name="cylinders" dataDxfId="335"/>
    <tableColumn id="3" xr3:uid="{6C0B3232-D5C0-4185-AF99-A47484E561D2}" name="displacement" dataDxfId="334"/>
    <tableColumn id="4" xr3:uid="{49D0AF31-FEC5-4928-9416-29C160FBD1A2}" name="horsepower" dataDxfId="333"/>
    <tableColumn id="5" xr3:uid="{54136F01-6F13-4D08-A643-7127E672D61A}" name="weight" dataDxfId="332"/>
    <tableColumn id="6" xr3:uid="{33443A78-1E1D-48BF-9739-9350C429949D}" name="acceleration" dataDxfId="331"/>
    <tableColumn id="7" xr3:uid="{A7DA420A-295F-4BBE-9533-DB54F0185F80}" name="model_year" dataDxfId="330"/>
    <tableColumn id="9" xr3:uid="{12B085A4-BD3A-4F32-8224-F0F38623F045}" name="origin" dataDxfId="329"/>
    <tableColumn id="10" xr3:uid="{037CBD6A-660A-459E-8C0E-9B64D4D145FC}" name="name" dataDxfId="328"/>
    <tableColumn id="11" xr3:uid="{C9923679-E017-4279-8836-FCC5EE68E92D}" name="HasBlank" dataDxfId="325"/>
    <tableColumn id="12" xr3:uid="{A589E561-89D2-46A0-B343-F6F88AF4174F}" name="Record Hash" dataDxfId="32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mpg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398</v>
      </c>
      <c r="AA4" s="92"/>
    </row>
    <row r="5" spans="2:27">
      <c r="B5" s="75" t="s">
        <v>26</v>
      </c>
      <c r="C5" s="41">
        <v>9</v>
      </c>
    </row>
    <row r="6" spans="2:27">
      <c r="B6" s="77" t="s">
        <v>4</v>
      </c>
      <c r="C6" s="41" t="s">
        <v>65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1.6750418760469012E-3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55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66</v>
      </c>
      <c r="F11" s="43">
        <v>0.324120603015075</v>
      </c>
      <c r="G11" s="44">
        <v>0</v>
      </c>
      <c r="H11" s="43">
        <v>7.9783502054725799E-2</v>
      </c>
      <c r="I11" s="45">
        <v>3184</v>
      </c>
      <c r="J11" s="45">
        <v>129</v>
      </c>
      <c r="K11" s="45">
        <v>398</v>
      </c>
      <c r="L11" s="46">
        <v>1</v>
      </c>
      <c r="M11" s="45">
        <v>0</v>
      </c>
      <c r="N11" s="107">
        <v>23.5145728643216</v>
      </c>
      <c r="O11" s="107">
        <v>23</v>
      </c>
      <c r="P11" s="107">
        <v>13</v>
      </c>
      <c r="Q11" s="107">
        <v>7.8159843125657797</v>
      </c>
      <c r="R11" s="107">
        <v>61.089610774274398</v>
      </c>
      <c r="S11" s="107">
        <v>9</v>
      </c>
      <c r="T11" s="107">
        <v>13</v>
      </c>
      <c r="U11" s="107">
        <v>17.5</v>
      </c>
      <c r="V11" s="107">
        <v>23</v>
      </c>
      <c r="W11" s="107">
        <v>29</v>
      </c>
      <c r="X11" s="107">
        <v>37.029999999999902</v>
      </c>
      <c r="Y11" s="107">
        <v>46.6</v>
      </c>
      <c r="Z11" s="107">
        <v>37.6</v>
      </c>
      <c r="AA11" s="107">
        <v>11.5</v>
      </c>
    </row>
    <row r="12" spans="2:27">
      <c r="B12" s="123" t="s">
        <v>56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67</v>
      </c>
      <c r="F12" s="46">
        <v>1.25628140703517E-2</v>
      </c>
      <c r="G12" s="126">
        <v>0</v>
      </c>
      <c r="H12" s="127">
        <v>7.9783502054725799E-2</v>
      </c>
      <c r="I12" s="45">
        <v>3184</v>
      </c>
      <c r="J12" s="45">
        <v>5</v>
      </c>
      <c r="K12" s="45">
        <v>398</v>
      </c>
      <c r="L12" s="46">
        <v>1</v>
      </c>
      <c r="M12" s="45">
        <v>0</v>
      </c>
      <c r="N12" s="107">
        <v>5.45477386934673</v>
      </c>
      <c r="O12" s="107">
        <v>4</v>
      </c>
      <c r="P12" s="107">
        <v>4</v>
      </c>
      <c r="Q12" s="107">
        <v>1.7010042445332101</v>
      </c>
      <c r="R12" s="107">
        <v>2.8934154399200001</v>
      </c>
      <c r="S12" s="107">
        <v>3</v>
      </c>
      <c r="T12" s="107">
        <v>4</v>
      </c>
      <c r="U12" s="107">
        <v>4</v>
      </c>
      <c r="V12" s="107">
        <v>4</v>
      </c>
      <c r="W12" s="107">
        <v>8</v>
      </c>
      <c r="X12" s="107">
        <v>8</v>
      </c>
      <c r="Y12" s="107">
        <v>8</v>
      </c>
      <c r="Z12" s="107">
        <v>5</v>
      </c>
      <c r="AA12" s="107">
        <v>4</v>
      </c>
    </row>
    <row r="13" spans="2:27">
      <c r="B13" s="123" t="s">
        <v>57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66</v>
      </c>
      <c r="F13" s="46">
        <v>0.20603015075376799</v>
      </c>
      <c r="G13" s="126">
        <v>0</v>
      </c>
      <c r="H13" s="127">
        <v>7.9783502054725799E-2</v>
      </c>
      <c r="I13" s="45">
        <v>3184</v>
      </c>
      <c r="J13" s="45">
        <v>82</v>
      </c>
      <c r="K13" s="45">
        <v>398</v>
      </c>
      <c r="L13" s="46">
        <v>1</v>
      </c>
      <c r="M13" s="45">
        <v>0</v>
      </c>
      <c r="N13" s="107">
        <v>193.42587939698399</v>
      </c>
      <c r="O13" s="107">
        <v>148.5</v>
      </c>
      <c r="P13" s="107">
        <v>97</v>
      </c>
      <c r="Q13" s="107">
        <v>104.269838171195</v>
      </c>
      <c r="R13" s="107">
        <v>10872.1991522473</v>
      </c>
      <c r="S13" s="107">
        <v>68</v>
      </c>
      <c r="T13" s="107">
        <v>85</v>
      </c>
      <c r="U13" s="107">
        <v>104.25</v>
      </c>
      <c r="V13" s="107">
        <v>148.5</v>
      </c>
      <c r="W13" s="107">
        <v>262</v>
      </c>
      <c r="X13" s="107">
        <v>400</v>
      </c>
      <c r="Y13" s="107">
        <v>455</v>
      </c>
      <c r="Z13" s="107">
        <v>387</v>
      </c>
      <c r="AA13" s="107">
        <v>157.75</v>
      </c>
    </row>
    <row r="14" spans="2:27">
      <c r="B14" s="123" t="s">
        <v>58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66</v>
      </c>
      <c r="F14" s="46">
        <v>0.233668341708542</v>
      </c>
      <c r="G14" s="126">
        <v>1.5075376884422099E-2</v>
      </c>
      <c r="H14" s="127">
        <v>7.9783502054725799E-2</v>
      </c>
      <c r="I14" s="45">
        <v>3184</v>
      </c>
      <c r="J14" s="45">
        <v>93</v>
      </c>
      <c r="K14" s="45">
        <v>392</v>
      </c>
      <c r="L14" s="46">
        <v>0.98492462311557705</v>
      </c>
      <c r="M14" s="45">
        <v>6</v>
      </c>
      <c r="N14" s="107">
        <v>104.46938775510201</v>
      </c>
      <c r="O14" s="107">
        <v>93.5</v>
      </c>
      <c r="P14" s="107">
        <v>150</v>
      </c>
      <c r="Q14" s="107">
        <v>38.491159932828403</v>
      </c>
      <c r="R14" s="107">
        <v>1481.5693929745801</v>
      </c>
      <c r="S14" s="107">
        <v>46</v>
      </c>
      <c r="T14" s="107">
        <v>60.55</v>
      </c>
      <c r="U14" s="107">
        <v>75</v>
      </c>
      <c r="V14" s="107">
        <v>93.5</v>
      </c>
      <c r="W14" s="107">
        <v>126</v>
      </c>
      <c r="X14" s="107">
        <v>180</v>
      </c>
      <c r="Y14" s="107">
        <v>230</v>
      </c>
      <c r="Z14" s="107">
        <v>184</v>
      </c>
      <c r="AA14" s="107">
        <v>51</v>
      </c>
    </row>
    <row r="15" spans="2:27">
      <c r="B15" s="123" t="s">
        <v>59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67</v>
      </c>
      <c r="F15" s="46">
        <v>0.88190954773869301</v>
      </c>
      <c r="G15" s="126">
        <v>0</v>
      </c>
      <c r="H15" s="127">
        <v>7.9783502054725799E-2</v>
      </c>
      <c r="I15" s="45">
        <v>3184</v>
      </c>
      <c r="J15" s="45">
        <v>351</v>
      </c>
      <c r="K15" s="45">
        <v>398</v>
      </c>
      <c r="L15" s="46">
        <v>1</v>
      </c>
      <c r="M15" s="45">
        <v>0</v>
      </c>
      <c r="N15" s="107">
        <v>2970.4246231155698</v>
      </c>
      <c r="O15" s="107">
        <v>2803.5</v>
      </c>
      <c r="P15" s="107">
        <v>1985</v>
      </c>
      <c r="Q15" s="107">
        <v>846.841774197326</v>
      </c>
      <c r="R15" s="107">
        <v>717140.99052567605</v>
      </c>
      <c r="S15" s="107">
        <v>1613</v>
      </c>
      <c r="T15" s="107">
        <v>1923.5</v>
      </c>
      <c r="U15" s="107">
        <v>2223.75</v>
      </c>
      <c r="V15" s="107">
        <v>2803.5</v>
      </c>
      <c r="W15" s="107">
        <v>3608</v>
      </c>
      <c r="X15" s="107">
        <v>4464</v>
      </c>
      <c r="Y15" s="107">
        <v>5140</v>
      </c>
      <c r="Z15" s="107">
        <v>3527</v>
      </c>
      <c r="AA15" s="107">
        <v>1384.25</v>
      </c>
    </row>
    <row r="16" spans="2:27">
      <c r="B16" s="123" t="s">
        <v>60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66</v>
      </c>
      <c r="F16" s="46">
        <v>0.23869346733668301</v>
      </c>
      <c r="G16" s="126">
        <v>0</v>
      </c>
      <c r="H16" s="127">
        <v>7.9783502054725799E-2</v>
      </c>
      <c r="I16" s="45">
        <v>3184</v>
      </c>
      <c r="J16" s="45">
        <v>95</v>
      </c>
      <c r="K16" s="45">
        <v>398</v>
      </c>
      <c r="L16" s="46">
        <v>1</v>
      </c>
      <c r="M16" s="45">
        <v>0</v>
      </c>
      <c r="N16" s="107">
        <v>15.5680904522613</v>
      </c>
      <c r="O16" s="107">
        <v>15.5</v>
      </c>
      <c r="P16" s="107">
        <v>14.5</v>
      </c>
      <c r="Q16" s="107">
        <v>2.7576889298126699</v>
      </c>
      <c r="R16" s="107">
        <v>7.6048482336113796</v>
      </c>
      <c r="S16" s="107">
        <v>8</v>
      </c>
      <c r="T16" s="107">
        <v>11.285</v>
      </c>
      <c r="U16" s="107">
        <v>13.824999999999999</v>
      </c>
      <c r="V16" s="107">
        <v>15.5</v>
      </c>
      <c r="W16" s="107">
        <v>17.175000000000001</v>
      </c>
      <c r="X16" s="107">
        <v>20.4149999999999</v>
      </c>
      <c r="Y16" s="107">
        <v>24.8</v>
      </c>
      <c r="Z16" s="107">
        <v>16.8</v>
      </c>
      <c r="AA16" s="107">
        <v>3.3499999999999899</v>
      </c>
    </row>
    <row r="17" spans="2:27">
      <c r="B17" s="123" t="s">
        <v>61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2" t="s">
        <v>67</v>
      </c>
      <c r="F17" s="46">
        <v>3.2663316582914499E-2</v>
      </c>
      <c r="G17" s="126">
        <v>0</v>
      </c>
      <c r="H17" s="127">
        <v>7.9783502054725799E-2</v>
      </c>
      <c r="I17" s="45">
        <v>3184</v>
      </c>
      <c r="J17" s="45">
        <v>13</v>
      </c>
      <c r="K17" s="45">
        <v>398</v>
      </c>
      <c r="L17" s="46">
        <v>1</v>
      </c>
      <c r="M17" s="45">
        <v>0</v>
      </c>
      <c r="N17" s="107">
        <v>76.010050251256203</v>
      </c>
      <c r="O17" s="107">
        <v>76</v>
      </c>
      <c r="P17" s="107">
        <v>73</v>
      </c>
      <c r="Q17" s="107">
        <v>3.69762664673262</v>
      </c>
      <c r="R17" s="107">
        <v>13.672442818627101</v>
      </c>
      <c r="S17" s="107">
        <v>70</v>
      </c>
      <c r="T17" s="107">
        <v>70</v>
      </c>
      <c r="U17" s="107">
        <v>73</v>
      </c>
      <c r="V17" s="107">
        <v>76</v>
      </c>
      <c r="W17" s="107">
        <v>79</v>
      </c>
      <c r="X17" s="107">
        <v>82</v>
      </c>
      <c r="Y17" s="107">
        <v>82</v>
      </c>
      <c r="Z17" s="107">
        <v>12</v>
      </c>
      <c r="AA17" s="107">
        <v>6</v>
      </c>
    </row>
    <row r="18" spans="2:27">
      <c r="B18" s="123" t="s">
        <v>62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2" t="s">
        <v>68</v>
      </c>
      <c r="F18" s="46">
        <v>7.5376884422110497E-3</v>
      </c>
      <c r="G18" s="126">
        <v>0</v>
      </c>
      <c r="H18" s="127">
        <v>0.120176405733186</v>
      </c>
      <c r="I18" s="45">
        <v>4796</v>
      </c>
      <c r="J18" s="45">
        <v>3</v>
      </c>
      <c r="K18" s="45">
        <v>398</v>
      </c>
      <c r="L18" s="46">
        <v>1</v>
      </c>
      <c r="M18" s="45">
        <v>0</v>
      </c>
      <c r="N18" s="107"/>
      <c r="O18" s="107"/>
      <c r="P18" s="107" t="s">
        <v>69</v>
      </c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</row>
    <row r="19" spans="2:27">
      <c r="B19" s="128" t="s">
        <v>63</v>
      </c>
      <c r="C19" s="129" t="str">
        <f>IF(INDEX(Definitions,1,MATCH(tbl_Overview[[#This Row],[Field]],Headers,0))="Definition","",INDEX(Definitions,1,MATCH(tbl_Overview[[#This Row],[Field]],Headers,0)))</f>
        <v/>
      </c>
      <c r="D19" s="130" t="str">
        <f>IF(INDEX(Notes,1,MATCH(tbl_Overview[[#This Row],[Field]],Headers,0))="Notes","",INDEX(Notes,1,MATCH(tbl_Overview[[#This Row],[Field]],Headers,0)))</f>
        <v/>
      </c>
      <c r="E19" s="131" t="s">
        <v>68</v>
      </c>
      <c r="F19" s="132">
        <v>0.766331658291457</v>
      </c>
      <c r="G19" s="133">
        <v>0</v>
      </c>
      <c r="H19" s="134">
        <v>0.241555577829006</v>
      </c>
      <c r="I19" s="135">
        <v>9640</v>
      </c>
      <c r="J19" s="135">
        <v>305</v>
      </c>
      <c r="K19" s="135">
        <v>398</v>
      </c>
      <c r="L19" s="132">
        <v>1</v>
      </c>
      <c r="M19" s="135">
        <v>0</v>
      </c>
      <c r="N19" s="136"/>
      <c r="O19" s="136"/>
      <c r="P19" s="136" t="s">
        <v>70</v>
      </c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2" width="27.77734375" style="1" customWidth="1"/>
    <col min="13" max="14" width="15.7773437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  <c r="K3" s="85"/>
      <c r="L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  <c r="J4" s="84"/>
      <c r="K4" s="84"/>
      <c r="L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  <c r="K5" s="86"/>
      <c r="L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  <c r="K6" s="54"/>
      <c r="L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  <c r="K7" s="59" t="s">
        <v>28</v>
      </c>
      <c r="L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  <c r="K8" s="52"/>
      <c r="L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  <c r="K9" s="59" t="s">
        <v>1</v>
      </c>
      <c r="L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  <c r="K10" s="47"/>
      <c r="L10" s="47"/>
    </row>
    <row r="11" spans="1:14" s="81" customFormat="1" ht="30" customHeight="1" collapsed="1">
      <c r="A11" s="5"/>
      <c r="B11" s="117"/>
      <c r="C11" s="118" t="s">
        <v>2</v>
      </c>
      <c r="D11" s="119" t="s">
        <v>55</v>
      </c>
      <c r="E11" s="119" t="s">
        <v>56</v>
      </c>
      <c r="F11" s="119" t="s">
        <v>57</v>
      </c>
      <c r="G11" s="119" t="s">
        <v>58</v>
      </c>
      <c r="H11" s="119" t="s">
        <v>59</v>
      </c>
      <c r="I11" s="119" t="s">
        <v>60</v>
      </c>
      <c r="J11" s="119" t="s">
        <v>61</v>
      </c>
      <c r="K11" s="119" t="s">
        <v>62</v>
      </c>
      <c r="L11" s="119" t="s">
        <v>63</v>
      </c>
      <c r="M11" s="81" t="s">
        <v>54</v>
      </c>
      <c r="N11" s="81" t="s">
        <v>64</v>
      </c>
    </row>
    <row r="12" spans="1:14" ht="4.95" customHeight="1">
      <c r="A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  <c r="K13" s="53"/>
      <c r="L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  <c r="K14" s="53"/>
      <c r="L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  <c r="K15" s="53"/>
      <c r="L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  <c r="K16" s="54"/>
      <c r="L16" s="54"/>
    </row>
    <row r="17" spans="1:12" hidden="1" outlineLevel="2">
      <c r="A17" s="54"/>
      <c r="B17" s="56"/>
      <c r="C17" s="78" t="s">
        <v>25</v>
      </c>
      <c r="D17" s="80">
        <v>398</v>
      </c>
      <c r="E17" s="38"/>
      <c r="F17" s="38"/>
      <c r="G17" s="38"/>
      <c r="H17" s="38"/>
      <c r="I17" s="38"/>
      <c r="J17" s="38"/>
      <c r="K17" s="38"/>
      <c r="L17" s="38"/>
    </row>
    <row r="18" spans="1:12" hidden="1" outlineLevel="2">
      <c r="A18" s="54"/>
      <c r="B18" s="56"/>
      <c r="C18" s="78" t="s">
        <v>45</v>
      </c>
      <c r="D18" s="80">
        <v>9</v>
      </c>
      <c r="E18" s="38"/>
      <c r="F18" s="38"/>
      <c r="G18" s="38"/>
      <c r="H18" s="38"/>
      <c r="I18" s="38"/>
      <c r="J18" s="38"/>
      <c r="K18" s="38"/>
      <c r="L18" s="38"/>
    </row>
    <row r="19" spans="1:12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  <c r="K19"/>
      <c r="L19"/>
    </row>
    <row r="20" spans="1:12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  <c r="K20"/>
      <c r="L20"/>
    </row>
    <row r="21" spans="1:12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  <c r="K21" s="28"/>
      <c r="L21" s="28"/>
    </row>
    <row r="22" spans="1:12" ht="14.4" hidden="1" customHeight="1" outlineLevel="2">
      <c r="A22" s="29"/>
      <c r="B22" s="30"/>
      <c r="C22" s="75" t="s">
        <v>3</v>
      </c>
      <c r="D22" s="105" t="s">
        <v>66</v>
      </c>
      <c r="E22" s="105" t="s">
        <v>67</v>
      </c>
      <c r="F22" s="105" t="s">
        <v>66</v>
      </c>
      <c r="G22" s="105" t="s">
        <v>66</v>
      </c>
      <c r="H22" s="105" t="s">
        <v>67</v>
      </c>
      <c r="I22" s="105" t="s">
        <v>66</v>
      </c>
      <c r="J22" s="105" t="s">
        <v>67</v>
      </c>
      <c r="K22" s="105" t="s">
        <v>68</v>
      </c>
      <c r="L22" s="105" t="s">
        <v>68</v>
      </c>
    </row>
    <row r="23" spans="1:12" ht="14.4" hidden="1" customHeight="1" outlineLevel="2">
      <c r="A23" s="29"/>
      <c r="B23" s="31"/>
      <c r="C23" s="73" t="s">
        <v>7</v>
      </c>
      <c r="D23" s="110">
        <v>0.324120603015075</v>
      </c>
      <c r="E23" s="110">
        <v>1.25628140703517E-2</v>
      </c>
      <c r="F23" s="110">
        <v>0.20603015075376799</v>
      </c>
      <c r="G23" s="110">
        <v>0.233668341708542</v>
      </c>
      <c r="H23" s="110">
        <v>0.88190954773869301</v>
      </c>
      <c r="I23" s="110">
        <v>0.23869346733668301</v>
      </c>
      <c r="J23" s="110">
        <v>3.2663316582914499E-2</v>
      </c>
      <c r="K23" s="110">
        <v>7.5376884422110497E-3</v>
      </c>
      <c r="L23" s="110">
        <v>0.766331658291457</v>
      </c>
    </row>
    <row r="24" spans="1:12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1.5075376884422099E-2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</row>
    <row r="25" spans="1:12" ht="14.4" hidden="1" customHeight="1" outlineLevel="2">
      <c r="B25" s="11"/>
      <c r="C25" s="77" t="s">
        <v>5</v>
      </c>
      <c r="D25" s="110">
        <v>7.9783502054725799E-2</v>
      </c>
      <c r="E25" s="110">
        <v>7.9783502054725799E-2</v>
      </c>
      <c r="F25" s="110">
        <v>7.9783502054725799E-2</v>
      </c>
      <c r="G25" s="110">
        <v>7.9783502054725799E-2</v>
      </c>
      <c r="H25" s="110">
        <v>7.9783502054725799E-2</v>
      </c>
      <c r="I25" s="110">
        <v>7.9783502054725799E-2</v>
      </c>
      <c r="J25" s="110">
        <v>7.9783502054725799E-2</v>
      </c>
      <c r="K25" s="110">
        <v>0.120176405733186</v>
      </c>
      <c r="L25" s="110">
        <v>0.241555577829006</v>
      </c>
    </row>
    <row r="26" spans="1:12" ht="14.4" hidden="1" customHeight="1" outlineLevel="2">
      <c r="B26" s="11"/>
      <c r="C26" s="73" t="s">
        <v>4</v>
      </c>
      <c r="D26" s="108">
        <v>3184</v>
      </c>
      <c r="E26" s="108">
        <v>3184</v>
      </c>
      <c r="F26" s="108">
        <v>3184</v>
      </c>
      <c r="G26" s="108">
        <v>3184</v>
      </c>
      <c r="H26" s="108">
        <v>3184</v>
      </c>
      <c r="I26" s="108">
        <v>3184</v>
      </c>
      <c r="J26" s="108">
        <v>3184</v>
      </c>
      <c r="K26" s="108">
        <v>4796</v>
      </c>
      <c r="L26" s="108">
        <v>9640</v>
      </c>
    </row>
    <row r="27" spans="1:12" ht="14.4" hidden="1" customHeight="1" outlineLevel="2">
      <c r="B27" s="11"/>
      <c r="C27" s="73" t="s">
        <v>6</v>
      </c>
      <c r="D27" s="108">
        <v>129</v>
      </c>
      <c r="E27" s="108">
        <v>5</v>
      </c>
      <c r="F27" s="108">
        <v>82</v>
      </c>
      <c r="G27" s="108">
        <v>93</v>
      </c>
      <c r="H27" s="108">
        <v>351</v>
      </c>
      <c r="I27" s="108">
        <v>95</v>
      </c>
      <c r="J27" s="108">
        <v>13</v>
      </c>
      <c r="K27" s="108">
        <v>3</v>
      </c>
      <c r="L27" s="108">
        <v>305</v>
      </c>
    </row>
    <row r="28" spans="1:12" ht="14.4" hidden="1" customHeight="1" outlineLevel="2">
      <c r="B28" s="11"/>
      <c r="C28" s="73" t="s">
        <v>8</v>
      </c>
      <c r="D28" s="108">
        <v>398</v>
      </c>
      <c r="E28" s="108">
        <v>398</v>
      </c>
      <c r="F28" s="108">
        <v>398</v>
      </c>
      <c r="G28" s="108">
        <v>392</v>
      </c>
      <c r="H28" s="108">
        <v>398</v>
      </c>
      <c r="I28" s="108">
        <v>398</v>
      </c>
      <c r="J28" s="108">
        <v>398</v>
      </c>
      <c r="K28" s="108">
        <v>398</v>
      </c>
      <c r="L28" s="108">
        <v>398</v>
      </c>
    </row>
    <row r="29" spans="1:12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6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</row>
    <row r="30" spans="1:12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</row>
    <row r="31" spans="1:12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  <c r="K31" s="14"/>
      <c r="L31" s="14"/>
    </row>
    <row r="32" spans="1:12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</row>
    <row r="33" spans="1:12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  <c r="K33" s="6"/>
      <c r="L33" s="6"/>
    </row>
    <row r="34" spans="1:12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  <c r="K34" s="6"/>
      <c r="L34" s="6"/>
    </row>
    <row r="35" spans="1:12" ht="14.4" hidden="1" customHeight="1" outlineLevel="2">
      <c r="B35" s="10"/>
      <c r="C35" s="75" t="s">
        <v>11</v>
      </c>
      <c r="D35" s="104">
        <v>23.5145728643216</v>
      </c>
      <c r="E35" s="104">
        <v>5.45477386934673</v>
      </c>
      <c r="F35" s="104">
        <v>193.42587939698399</v>
      </c>
      <c r="G35" s="104">
        <v>104.46938775510201</v>
      </c>
      <c r="H35" s="104">
        <v>2970.4246231155698</v>
      </c>
      <c r="I35" s="104">
        <v>15.5680904522613</v>
      </c>
      <c r="J35" s="104">
        <v>76.010050251256203</v>
      </c>
      <c r="K35" s="104"/>
      <c r="L35" s="104"/>
    </row>
    <row r="36" spans="1:12" ht="14.4" hidden="1" customHeight="1" outlineLevel="2">
      <c r="B36" s="11"/>
      <c r="C36" s="76" t="s">
        <v>12</v>
      </c>
      <c r="D36" s="103">
        <v>23</v>
      </c>
      <c r="E36" s="103">
        <v>4</v>
      </c>
      <c r="F36" s="103">
        <v>148.5</v>
      </c>
      <c r="G36" s="103">
        <v>93.5</v>
      </c>
      <c r="H36" s="103">
        <v>2803.5</v>
      </c>
      <c r="I36" s="103">
        <v>15.5</v>
      </c>
      <c r="J36" s="103">
        <v>76</v>
      </c>
      <c r="K36" s="103"/>
      <c r="L36" s="103"/>
    </row>
    <row r="37" spans="1:12" ht="14.4" hidden="1" customHeight="1" outlineLevel="2">
      <c r="B37" s="11"/>
      <c r="C37" s="73" t="s">
        <v>13</v>
      </c>
      <c r="D37" s="104">
        <v>13</v>
      </c>
      <c r="E37" s="104">
        <v>4</v>
      </c>
      <c r="F37" s="104">
        <v>97</v>
      </c>
      <c r="G37" s="104">
        <v>150</v>
      </c>
      <c r="H37" s="104">
        <v>1985</v>
      </c>
      <c r="I37" s="104">
        <v>14.5</v>
      </c>
      <c r="J37" s="104">
        <v>73</v>
      </c>
      <c r="K37" s="104" t="s">
        <v>69</v>
      </c>
      <c r="L37" s="104" t="s">
        <v>70</v>
      </c>
    </row>
    <row r="38" spans="1:12" ht="14.4" hidden="1" customHeight="1" outlineLevel="2">
      <c r="B38" s="11"/>
      <c r="C38" s="76" t="s">
        <v>14</v>
      </c>
      <c r="D38" s="103">
        <v>7.8159843125657797</v>
      </c>
      <c r="E38" s="103">
        <v>1.7010042445332101</v>
      </c>
      <c r="F38" s="103">
        <v>104.269838171195</v>
      </c>
      <c r="G38" s="103">
        <v>38.491159932828403</v>
      </c>
      <c r="H38" s="103">
        <v>846.841774197326</v>
      </c>
      <c r="I38" s="103">
        <v>2.7576889298126699</v>
      </c>
      <c r="J38" s="103">
        <v>3.69762664673262</v>
      </c>
      <c r="K38" s="103"/>
      <c r="L38" s="103"/>
    </row>
    <row r="39" spans="1:12" ht="14.4" hidden="1" customHeight="1" outlineLevel="2">
      <c r="B39" s="11"/>
      <c r="C39" s="77" t="s">
        <v>15</v>
      </c>
      <c r="D39" s="104">
        <v>61.089610774274398</v>
      </c>
      <c r="E39" s="104">
        <v>2.8934154399200001</v>
      </c>
      <c r="F39" s="104">
        <v>10872.1991522473</v>
      </c>
      <c r="G39" s="104">
        <v>1481.5693929745801</v>
      </c>
      <c r="H39" s="104">
        <v>717140.99052567605</v>
      </c>
      <c r="I39" s="104">
        <v>7.6048482336113796</v>
      </c>
      <c r="J39" s="104">
        <v>13.672442818627101</v>
      </c>
      <c r="K39" s="104"/>
      <c r="L39" s="104"/>
    </row>
    <row r="40" spans="1:12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</row>
    <row r="41" spans="1:12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  <c r="K41" s="14"/>
      <c r="L41" s="14"/>
    </row>
    <row r="42" spans="1:12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  <c r="K42" s="6"/>
      <c r="L42" s="6"/>
    </row>
    <row r="43" spans="1:12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  <c r="K43" s="6"/>
      <c r="L43" s="6"/>
    </row>
    <row r="44" spans="1:12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  <c r="K44" s="6"/>
      <c r="L44" s="6"/>
    </row>
    <row r="45" spans="1:12" ht="14.4" hidden="1" customHeight="1" outlineLevel="2">
      <c r="B45" s="10"/>
      <c r="C45" s="70" t="s">
        <v>16</v>
      </c>
      <c r="D45" s="103">
        <v>9</v>
      </c>
      <c r="E45" s="103">
        <v>3</v>
      </c>
      <c r="F45" s="103">
        <v>68</v>
      </c>
      <c r="G45" s="103">
        <v>46</v>
      </c>
      <c r="H45" s="103">
        <v>1613</v>
      </c>
      <c r="I45" s="103">
        <v>8</v>
      </c>
      <c r="J45" s="103">
        <v>70</v>
      </c>
      <c r="K45" s="103"/>
      <c r="L45" s="103"/>
    </row>
    <row r="46" spans="1:12" ht="14.4" hidden="1" customHeight="1" outlineLevel="2">
      <c r="B46" s="9"/>
      <c r="C46" s="71">
        <v>0.05</v>
      </c>
      <c r="D46" s="104">
        <v>13</v>
      </c>
      <c r="E46" s="104">
        <v>4</v>
      </c>
      <c r="F46" s="104">
        <v>85</v>
      </c>
      <c r="G46" s="104">
        <v>60.55</v>
      </c>
      <c r="H46" s="104">
        <v>1923.5</v>
      </c>
      <c r="I46" s="104">
        <v>11.285</v>
      </c>
      <c r="J46" s="104">
        <v>70</v>
      </c>
      <c r="K46" s="104"/>
      <c r="L46" s="104"/>
    </row>
    <row r="47" spans="1:12" ht="14.4" hidden="1" customHeight="1" outlineLevel="2">
      <c r="B47" s="9"/>
      <c r="C47" s="72">
        <v>0.25</v>
      </c>
      <c r="D47" s="103">
        <v>17.5</v>
      </c>
      <c r="E47" s="103">
        <v>4</v>
      </c>
      <c r="F47" s="103">
        <v>104.25</v>
      </c>
      <c r="G47" s="103">
        <v>75</v>
      </c>
      <c r="H47" s="103">
        <v>2223.75</v>
      </c>
      <c r="I47" s="103">
        <v>13.824999999999999</v>
      </c>
      <c r="J47" s="103">
        <v>73</v>
      </c>
      <c r="K47" s="103"/>
      <c r="L47" s="103"/>
    </row>
    <row r="48" spans="1:12" ht="14.4" hidden="1" customHeight="1" outlineLevel="2">
      <c r="B48" s="9"/>
      <c r="C48" s="71">
        <v>0.5</v>
      </c>
      <c r="D48" s="104">
        <v>23</v>
      </c>
      <c r="E48" s="104">
        <v>4</v>
      </c>
      <c r="F48" s="104">
        <v>148.5</v>
      </c>
      <c r="G48" s="104">
        <v>93.5</v>
      </c>
      <c r="H48" s="104">
        <v>2803.5</v>
      </c>
      <c r="I48" s="104">
        <v>15.5</v>
      </c>
      <c r="J48" s="104">
        <v>76</v>
      </c>
      <c r="K48" s="104"/>
      <c r="L48" s="104"/>
    </row>
    <row r="49" spans="1:12" ht="14.4" hidden="1" customHeight="1" outlineLevel="2">
      <c r="B49" s="9"/>
      <c r="C49" s="72">
        <v>0.75</v>
      </c>
      <c r="D49" s="103">
        <v>29</v>
      </c>
      <c r="E49" s="103">
        <v>8</v>
      </c>
      <c r="F49" s="103">
        <v>262</v>
      </c>
      <c r="G49" s="103">
        <v>126</v>
      </c>
      <c r="H49" s="103">
        <v>3608</v>
      </c>
      <c r="I49" s="103">
        <v>17.175000000000001</v>
      </c>
      <c r="J49" s="103">
        <v>79</v>
      </c>
      <c r="K49" s="103"/>
      <c r="L49" s="103"/>
    </row>
    <row r="50" spans="1:12" ht="14.4" hidden="1" customHeight="1" outlineLevel="2">
      <c r="B50" s="9"/>
      <c r="C50" s="71">
        <v>0.95</v>
      </c>
      <c r="D50" s="104">
        <v>37.029999999999902</v>
      </c>
      <c r="E50" s="104">
        <v>8</v>
      </c>
      <c r="F50" s="104">
        <v>400</v>
      </c>
      <c r="G50" s="104">
        <v>180</v>
      </c>
      <c r="H50" s="104">
        <v>4464</v>
      </c>
      <c r="I50" s="104">
        <v>20.4149999999999</v>
      </c>
      <c r="J50" s="104">
        <v>82</v>
      </c>
      <c r="K50" s="104"/>
      <c r="L50" s="104"/>
    </row>
    <row r="51" spans="1:12" ht="14.4" hidden="1" customHeight="1" outlineLevel="2">
      <c r="B51" s="9"/>
      <c r="C51" s="72" t="s">
        <v>17</v>
      </c>
      <c r="D51" s="103">
        <v>46.6</v>
      </c>
      <c r="E51" s="103">
        <v>8</v>
      </c>
      <c r="F51" s="103">
        <v>455</v>
      </c>
      <c r="G51" s="103">
        <v>230</v>
      </c>
      <c r="H51" s="103">
        <v>5140</v>
      </c>
      <c r="I51" s="103">
        <v>24.8</v>
      </c>
      <c r="J51" s="103">
        <v>82</v>
      </c>
      <c r="K51" s="103"/>
      <c r="L51" s="103"/>
    </row>
    <row r="52" spans="1:12" ht="14.4" hidden="1" customHeight="1" outlineLevel="2">
      <c r="B52" s="9"/>
      <c r="C52" s="73" t="s">
        <v>18</v>
      </c>
      <c r="D52" s="104">
        <v>37.6</v>
      </c>
      <c r="E52" s="104">
        <v>5</v>
      </c>
      <c r="F52" s="104">
        <v>387</v>
      </c>
      <c r="G52" s="104">
        <v>184</v>
      </c>
      <c r="H52" s="104">
        <v>3527</v>
      </c>
      <c r="I52" s="104">
        <v>16.8</v>
      </c>
      <c r="J52" s="104">
        <v>12</v>
      </c>
      <c r="K52" s="104"/>
      <c r="L52" s="104"/>
    </row>
    <row r="53" spans="1:12" ht="14.4" hidden="1" customHeight="1" outlineLevel="2">
      <c r="B53" s="9"/>
      <c r="C53" s="74" t="s">
        <v>19</v>
      </c>
      <c r="D53" s="103">
        <v>11.5</v>
      </c>
      <c r="E53" s="103">
        <v>4</v>
      </c>
      <c r="F53" s="103">
        <v>157.75</v>
      </c>
      <c r="G53" s="103">
        <v>51</v>
      </c>
      <c r="H53" s="103">
        <v>1384.25</v>
      </c>
      <c r="I53" s="103">
        <v>3.3499999999999899</v>
      </c>
      <c r="J53" s="103">
        <v>6</v>
      </c>
      <c r="K53" s="103"/>
      <c r="L53" s="103"/>
    </row>
    <row r="54" spans="1:12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</row>
    <row r="55" spans="1:12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  <c r="K55" s="6"/>
      <c r="L55" s="6"/>
    </row>
    <row r="56" spans="1:12" ht="4.95" customHeight="1" outlineLevel="1">
      <c r="A56" s="23"/>
      <c r="B56" s="17"/>
      <c r="D56" s="6"/>
      <c r="E56" s="6"/>
      <c r="F56" s="6"/>
      <c r="G56" s="6"/>
      <c r="H56" s="6"/>
      <c r="I56" s="6"/>
      <c r="J56" s="6"/>
      <c r="K56" s="6"/>
      <c r="L56" s="6"/>
    </row>
    <row r="57" spans="1:12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</row>
    <row r="58" spans="1:12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</row>
    <row r="59" spans="1:12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</row>
    <row r="60" spans="1:12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</row>
    <row r="61" spans="1:12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</row>
    <row r="62" spans="1:12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</row>
    <row r="63" spans="1:12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</row>
    <row r="64" spans="1:12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</row>
    <row r="65" spans="1:14" ht="4.95" hidden="1" customHeight="1" outlineLevel="2">
      <c r="B65" s="17"/>
      <c r="D65" s="6"/>
      <c r="E65" s="6"/>
      <c r="F65" s="6"/>
      <c r="G65" s="6"/>
      <c r="H65" s="6"/>
      <c r="I65" s="6"/>
      <c r="J65" s="6"/>
      <c r="K65" s="6"/>
      <c r="L65" s="6"/>
    </row>
    <row r="66" spans="1:14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  <c r="K66" s="6"/>
      <c r="L66" s="6"/>
    </row>
    <row r="67" spans="1:14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</row>
    <row r="68" spans="1:14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4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4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4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4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4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4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4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4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4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  <c r="K77" s="21"/>
      <c r="L77" s="21"/>
    </row>
    <row r="78" spans="1:14" ht="30" customHeight="1" collapsed="1">
      <c r="C78" s="120" t="s">
        <v>20</v>
      </c>
      <c r="D78" s="22" t="s">
        <v>55</v>
      </c>
      <c r="E78" s="22" t="s">
        <v>56</v>
      </c>
      <c r="F78" s="22" t="s">
        <v>57</v>
      </c>
      <c r="G78" s="22" t="s">
        <v>58</v>
      </c>
      <c r="H78" s="22" t="s">
        <v>59</v>
      </c>
      <c r="I78" s="22" t="s">
        <v>60</v>
      </c>
      <c r="J78" s="22" t="s">
        <v>61</v>
      </c>
      <c r="K78" s="22" t="s">
        <v>62</v>
      </c>
      <c r="L78" s="22" t="s">
        <v>63</v>
      </c>
      <c r="M78" s="120" t="s">
        <v>54</v>
      </c>
      <c r="N78" s="120" t="s">
        <v>64</v>
      </c>
    </row>
    <row r="79" spans="1:14">
      <c r="C79" s="24" t="b">
        <v>0</v>
      </c>
      <c r="D79" s="137">
        <v>18</v>
      </c>
      <c r="E79" s="137">
        <v>8</v>
      </c>
      <c r="F79" s="137">
        <v>307</v>
      </c>
      <c r="G79" s="137">
        <v>130</v>
      </c>
      <c r="H79" s="137">
        <v>3504</v>
      </c>
      <c r="I79" s="137">
        <v>12</v>
      </c>
      <c r="J79" s="137">
        <v>70</v>
      </c>
      <c r="K79" s="137" t="s">
        <v>69</v>
      </c>
      <c r="L79" s="137" t="s">
        <v>71</v>
      </c>
      <c r="M79" s="139">
        <v>0</v>
      </c>
      <c r="N79" s="139">
        <v>8.4248097103370998E+18</v>
      </c>
    </row>
    <row r="80" spans="1:14">
      <c r="C80" s="24" t="b">
        <v>0</v>
      </c>
      <c r="D80" s="137">
        <v>15</v>
      </c>
      <c r="E80" s="137">
        <v>8</v>
      </c>
      <c r="F80" s="137">
        <v>350</v>
      </c>
      <c r="G80" s="137">
        <v>165</v>
      </c>
      <c r="H80" s="137">
        <v>3693</v>
      </c>
      <c r="I80" s="137">
        <v>11.5</v>
      </c>
      <c r="J80" s="137">
        <v>70</v>
      </c>
      <c r="K80" s="137" t="s">
        <v>69</v>
      </c>
      <c r="L80" s="137" t="s">
        <v>72</v>
      </c>
      <c r="M80" s="139">
        <v>0</v>
      </c>
      <c r="N80" s="139">
        <v>2.10198990942814E+18</v>
      </c>
    </row>
    <row r="81" spans="3:14">
      <c r="C81" s="24" t="b">
        <v>0</v>
      </c>
      <c r="D81" s="137">
        <v>18</v>
      </c>
      <c r="E81" s="138">
        <v>8</v>
      </c>
      <c r="F81" s="137">
        <v>318</v>
      </c>
      <c r="G81" s="137">
        <v>150</v>
      </c>
      <c r="H81" s="137">
        <v>3436</v>
      </c>
      <c r="I81" s="137">
        <v>11</v>
      </c>
      <c r="J81" s="137">
        <v>70</v>
      </c>
      <c r="K81" s="137" t="s">
        <v>69</v>
      </c>
      <c r="L81" s="137" t="s">
        <v>73</v>
      </c>
      <c r="M81" s="139">
        <v>0</v>
      </c>
      <c r="N81" s="139">
        <v>6.2755333812898396E+18</v>
      </c>
    </row>
    <row r="82" spans="3:14">
      <c r="C82" s="24" t="b">
        <v>0</v>
      </c>
      <c r="D82" s="137">
        <v>16</v>
      </c>
      <c r="E82" s="138">
        <v>8</v>
      </c>
      <c r="F82" s="137">
        <v>304</v>
      </c>
      <c r="G82" s="137">
        <v>150</v>
      </c>
      <c r="H82" s="137">
        <v>3433</v>
      </c>
      <c r="I82" s="137">
        <v>12</v>
      </c>
      <c r="J82" s="137">
        <v>70</v>
      </c>
      <c r="K82" s="137" t="s">
        <v>69</v>
      </c>
      <c r="L82" s="137" t="s">
        <v>74</v>
      </c>
      <c r="M82" s="139">
        <v>0</v>
      </c>
      <c r="N82" s="139">
        <v>1.35221845387619E+19</v>
      </c>
    </row>
    <row r="83" spans="3:14">
      <c r="C83" s="24" t="b">
        <v>0</v>
      </c>
      <c r="D83" s="137">
        <v>17</v>
      </c>
      <c r="E83" s="138">
        <v>8</v>
      </c>
      <c r="F83" s="137">
        <v>302</v>
      </c>
      <c r="G83" s="137">
        <v>140</v>
      </c>
      <c r="H83" s="137">
        <v>3449</v>
      </c>
      <c r="I83" s="137">
        <v>10.5</v>
      </c>
      <c r="J83" s="137">
        <v>70</v>
      </c>
      <c r="K83" s="137" t="s">
        <v>69</v>
      </c>
      <c r="L83" s="137" t="s">
        <v>75</v>
      </c>
      <c r="M83" s="139">
        <v>0</v>
      </c>
      <c r="N83" s="139">
        <v>1.1188445182320501E+19</v>
      </c>
    </row>
    <row r="84" spans="3:14">
      <c r="C84" s="24" t="b">
        <v>0</v>
      </c>
      <c r="D84" s="137">
        <v>15</v>
      </c>
      <c r="E84" s="138">
        <v>8</v>
      </c>
      <c r="F84" s="137">
        <v>429</v>
      </c>
      <c r="G84" s="137">
        <v>198</v>
      </c>
      <c r="H84" s="137">
        <v>4341</v>
      </c>
      <c r="I84" s="137">
        <v>10</v>
      </c>
      <c r="J84" s="137">
        <v>70</v>
      </c>
      <c r="K84" s="137" t="s">
        <v>69</v>
      </c>
      <c r="L84" s="137" t="s">
        <v>76</v>
      </c>
      <c r="M84" s="139">
        <v>0</v>
      </c>
      <c r="N84" s="139">
        <v>6.0824012230181601E+18</v>
      </c>
    </row>
    <row r="85" spans="3:14">
      <c r="C85" s="24" t="b">
        <v>0</v>
      </c>
      <c r="D85" s="137">
        <v>14</v>
      </c>
      <c r="E85" s="138">
        <v>8</v>
      </c>
      <c r="F85" s="137">
        <v>454</v>
      </c>
      <c r="G85" s="137">
        <v>220</v>
      </c>
      <c r="H85" s="137">
        <v>4354</v>
      </c>
      <c r="I85" s="137">
        <v>9</v>
      </c>
      <c r="J85" s="137">
        <v>70</v>
      </c>
      <c r="K85" s="137" t="s">
        <v>69</v>
      </c>
      <c r="L85" s="137" t="s">
        <v>77</v>
      </c>
      <c r="M85" s="139">
        <v>0</v>
      </c>
      <c r="N85" s="139">
        <v>4.4712479514802601E+18</v>
      </c>
    </row>
    <row r="86" spans="3:14">
      <c r="C86" s="24" t="b">
        <v>0</v>
      </c>
      <c r="D86" s="137">
        <v>14</v>
      </c>
      <c r="E86" s="138">
        <v>8</v>
      </c>
      <c r="F86" s="137">
        <v>440</v>
      </c>
      <c r="G86" s="137">
        <v>215</v>
      </c>
      <c r="H86" s="137">
        <v>4312</v>
      </c>
      <c r="I86" s="137">
        <v>8.5</v>
      </c>
      <c r="J86" s="137">
        <v>70</v>
      </c>
      <c r="K86" s="137" t="s">
        <v>69</v>
      </c>
      <c r="L86" s="137" t="s">
        <v>78</v>
      </c>
      <c r="M86" s="139">
        <v>0</v>
      </c>
      <c r="N86" s="139">
        <v>7.3649658198283397E+18</v>
      </c>
    </row>
    <row r="87" spans="3:14">
      <c r="C87" s="24" t="b">
        <v>0</v>
      </c>
      <c r="D87" s="137">
        <v>14</v>
      </c>
      <c r="E87" s="138">
        <v>8</v>
      </c>
      <c r="F87" s="137">
        <v>455</v>
      </c>
      <c r="G87" s="137">
        <v>225</v>
      </c>
      <c r="H87" s="137">
        <v>4425</v>
      </c>
      <c r="I87" s="137">
        <v>10</v>
      </c>
      <c r="J87" s="137">
        <v>70</v>
      </c>
      <c r="K87" s="137" t="s">
        <v>69</v>
      </c>
      <c r="L87" s="137" t="s">
        <v>79</v>
      </c>
      <c r="M87" s="139">
        <v>0</v>
      </c>
      <c r="N87" s="139">
        <v>1.40704921538798E+19</v>
      </c>
    </row>
    <row r="88" spans="3:14">
      <c r="C88" s="24" t="b">
        <v>0</v>
      </c>
      <c r="D88" s="137">
        <v>15</v>
      </c>
      <c r="E88" s="138">
        <v>8</v>
      </c>
      <c r="F88" s="137">
        <v>390</v>
      </c>
      <c r="G88" s="137">
        <v>190</v>
      </c>
      <c r="H88" s="137">
        <v>3850</v>
      </c>
      <c r="I88" s="137">
        <v>8.5</v>
      </c>
      <c r="J88" s="137">
        <v>70</v>
      </c>
      <c r="K88" s="137" t="s">
        <v>69</v>
      </c>
      <c r="L88" s="137" t="s">
        <v>80</v>
      </c>
      <c r="M88" s="139">
        <v>0</v>
      </c>
      <c r="N88" s="139">
        <v>1.45952863663329E+18</v>
      </c>
    </row>
    <row r="89" spans="3:14">
      <c r="C89" s="24" t="b">
        <v>0</v>
      </c>
      <c r="D89" s="137">
        <v>15</v>
      </c>
      <c r="E89" s="138">
        <v>8</v>
      </c>
      <c r="F89" s="137">
        <v>383</v>
      </c>
      <c r="G89" s="137">
        <v>170</v>
      </c>
      <c r="H89" s="137">
        <v>3563</v>
      </c>
      <c r="I89" s="137">
        <v>10</v>
      </c>
      <c r="J89" s="137">
        <v>70</v>
      </c>
      <c r="K89" s="137" t="s">
        <v>69</v>
      </c>
      <c r="L89" s="137" t="s">
        <v>81</v>
      </c>
      <c r="M89" s="139">
        <v>0</v>
      </c>
      <c r="N89" s="139">
        <v>5.8643600446436403E+18</v>
      </c>
    </row>
    <row r="90" spans="3:14">
      <c r="C90" s="24" t="b">
        <v>0</v>
      </c>
      <c r="D90" s="137">
        <v>14</v>
      </c>
      <c r="E90" s="138">
        <v>8</v>
      </c>
      <c r="F90" s="137">
        <v>340</v>
      </c>
      <c r="G90" s="137">
        <v>160</v>
      </c>
      <c r="H90" s="137">
        <v>3609</v>
      </c>
      <c r="I90" s="137">
        <v>8</v>
      </c>
      <c r="J90" s="137">
        <v>70</v>
      </c>
      <c r="K90" s="137" t="s">
        <v>69</v>
      </c>
      <c r="L90" s="137" t="s">
        <v>82</v>
      </c>
      <c r="M90" s="139">
        <v>0</v>
      </c>
      <c r="N90" s="139">
        <v>1.43934949984228E+19</v>
      </c>
    </row>
    <row r="91" spans="3:14">
      <c r="C91" s="24" t="b">
        <v>0</v>
      </c>
      <c r="D91" s="137">
        <v>15</v>
      </c>
      <c r="E91" s="138">
        <v>8</v>
      </c>
      <c r="F91" s="137">
        <v>400</v>
      </c>
      <c r="G91" s="137">
        <v>150</v>
      </c>
      <c r="H91" s="137">
        <v>3761</v>
      </c>
      <c r="I91" s="137">
        <v>9.5</v>
      </c>
      <c r="J91" s="137">
        <v>70</v>
      </c>
      <c r="K91" s="137" t="s">
        <v>69</v>
      </c>
      <c r="L91" s="137" t="s">
        <v>83</v>
      </c>
      <c r="M91" s="139">
        <v>0</v>
      </c>
      <c r="N91" s="139">
        <v>1.49030430669213E+19</v>
      </c>
    </row>
    <row r="92" spans="3:14">
      <c r="C92" s="24" t="b">
        <v>0</v>
      </c>
      <c r="D92" s="137">
        <v>14</v>
      </c>
      <c r="E92" s="138">
        <v>8</v>
      </c>
      <c r="F92" s="137">
        <v>455</v>
      </c>
      <c r="G92" s="137">
        <v>225</v>
      </c>
      <c r="H92" s="137">
        <v>3086</v>
      </c>
      <c r="I92" s="137">
        <v>10</v>
      </c>
      <c r="J92" s="137">
        <v>70</v>
      </c>
      <c r="K92" s="137" t="s">
        <v>69</v>
      </c>
      <c r="L92" s="137" t="s">
        <v>84</v>
      </c>
      <c r="M92" s="139">
        <v>0</v>
      </c>
      <c r="N92" s="139">
        <v>6.6556173055442002E+18</v>
      </c>
    </row>
    <row r="93" spans="3:14">
      <c r="C93" s="24" t="b">
        <v>0</v>
      </c>
      <c r="D93" s="137">
        <v>24</v>
      </c>
      <c r="E93" s="138">
        <v>4</v>
      </c>
      <c r="F93" s="137">
        <v>113</v>
      </c>
      <c r="G93" s="137">
        <v>95</v>
      </c>
      <c r="H93" s="137">
        <v>2372</v>
      </c>
      <c r="I93" s="137">
        <v>15</v>
      </c>
      <c r="J93" s="137">
        <v>70</v>
      </c>
      <c r="K93" s="137" t="s">
        <v>85</v>
      </c>
      <c r="L93" s="137" t="s">
        <v>86</v>
      </c>
      <c r="M93" s="139">
        <v>0</v>
      </c>
      <c r="N93" s="139">
        <v>1.0392147893042E+19</v>
      </c>
    </row>
    <row r="94" spans="3:14">
      <c r="C94" s="24" t="b">
        <v>0</v>
      </c>
      <c r="D94" s="137">
        <v>22</v>
      </c>
      <c r="E94" s="138">
        <v>6</v>
      </c>
      <c r="F94" s="137">
        <v>198</v>
      </c>
      <c r="G94" s="137">
        <v>95</v>
      </c>
      <c r="H94" s="137">
        <v>2833</v>
      </c>
      <c r="I94" s="137">
        <v>15.5</v>
      </c>
      <c r="J94" s="137">
        <v>70</v>
      </c>
      <c r="K94" s="137" t="s">
        <v>69</v>
      </c>
      <c r="L94" s="137" t="s">
        <v>87</v>
      </c>
      <c r="M94" s="139">
        <v>0</v>
      </c>
      <c r="N94" s="139">
        <v>2.78255329549363E+18</v>
      </c>
    </row>
    <row r="95" spans="3:14">
      <c r="C95" s="24" t="b">
        <v>0</v>
      </c>
      <c r="D95" s="137">
        <v>18</v>
      </c>
      <c r="E95" s="138">
        <v>6</v>
      </c>
      <c r="F95" s="137">
        <v>199</v>
      </c>
      <c r="G95" s="137">
        <v>97</v>
      </c>
      <c r="H95" s="137">
        <v>2774</v>
      </c>
      <c r="I95" s="137">
        <v>15.5</v>
      </c>
      <c r="J95" s="137">
        <v>70</v>
      </c>
      <c r="K95" s="137" t="s">
        <v>69</v>
      </c>
      <c r="L95" s="137" t="s">
        <v>88</v>
      </c>
      <c r="M95" s="139">
        <v>0</v>
      </c>
      <c r="N95" s="139">
        <v>3.9147425929085798E+18</v>
      </c>
    </row>
    <row r="96" spans="3:14">
      <c r="C96" s="24" t="b">
        <v>0</v>
      </c>
      <c r="D96" s="137">
        <v>21</v>
      </c>
      <c r="E96" s="138">
        <v>6</v>
      </c>
      <c r="F96" s="137">
        <v>200</v>
      </c>
      <c r="G96" s="137">
        <v>85</v>
      </c>
      <c r="H96" s="137">
        <v>2587</v>
      </c>
      <c r="I96" s="137">
        <v>16</v>
      </c>
      <c r="J96" s="137">
        <v>70</v>
      </c>
      <c r="K96" s="137" t="s">
        <v>69</v>
      </c>
      <c r="L96" s="137" t="s">
        <v>89</v>
      </c>
      <c r="M96" s="139">
        <v>0</v>
      </c>
      <c r="N96" s="139">
        <v>6.4323197693275003E+18</v>
      </c>
    </row>
    <row r="97" spans="3:14">
      <c r="C97" s="24" t="b">
        <v>0</v>
      </c>
      <c r="D97" s="137">
        <v>27</v>
      </c>
      <c r="E97" s="138">
        <v>4</v>
      </c>
      <c r="F97" s="137">
        <v>97</v>
      </c>
      <c r="G97" s="137">
        <v>88</v>
      </c>
      <c r="H97" s="137">
        <v>2130</v>
      </c>
      <c r="I97" s="137">
        <v>14.5</v>
      </c>
      <c r="J97" s="137">
        <v>70</v>
      </c>
      <c r="K97" s="137" t="s">
        <v>85</v>
      </c>
      <c r="L97" s="137" t="s">
        <v>90</v>
      </c>
      <c r="M97" s="139">
        <v>0</v>
      </c>
      <c r="N97" s="139">
        <v>1.00140037705559E+19</v>
      </c>
    </row>
    <row r="98" spans="3:14">
      <c r="C98" s="24" t="b">
        <v>0</v>
      </c>
      <c r="D98" s="137">
        <v>26</v>
      </c>
      <c r="E98" s="138">
        <v>4</v>
      </c>
      <c r="F98" s="137">
        <v>97</v>
      </c>
      <c r="G98" s="137">
        <v>46</v>
      </c>
      <c r="H98" s="137">
        <v>1835</v>
      </c>
      <c r="I98" s="137">
        <v>20.5</v>
      </c>
      <c r="J98" s="137">
        <v>70</v>
      </c>
      <c r="K98" s="137" t="s">
        <v>91</v>
      </c>
      <c r="L98" s="137" t="s">
        <v>92</v>
      </c>
      <c r="M98" s="139">
        <v>0</v>
      </c>
      <c r="N98" s="139">
        <v>5.0027793061062001E+18</v>
      </c>
    </row>
    <row r="99" spans="3:14">
      <c r="C99" s="24" t="b">
        <v>0</v>
      </c>
      <c r="D99" s="137">
        <v>25</v>
      </c>
      <c r="E99" s="138">
        <v>4</v>
      </c>
      <c r="F99" s="137">
        <v>110</v>
      </c>
      <c r="G99" s="137">
        <v>87</v>
      </c>
      <c r="H99" s="137">
        <v>2672</v>
      </c>
      <c r="I99" s="137">
        <v>17.5</v>
      </c>
      <c r="J99" s="137">
        <v>70</v>
      </c>
      <c r="K99" s="137" t="s">
        <v>91</v>
      </c>
      <c r="L99" s="137" t="s">
        <v>93</v>
      </c>
      <c r="M99" s="139">
        <v>0</v>
      </c>
      <c r="N99" s="139">
        <v>3.98129040686799E+18</v>
      </c>
    </row>
    <row r="100" spans="3:14">
      <c r="C100" s="24" t="b">
        <v>0</v>
      </c>
      <c r="D100" s="137">
        <v>24</v>
      </c>
      <c r="E100" s="138">
        <v>4</v>
      </c>
      <c r="F100" s="137">
        <v>107</v>
      </c>
      <c r="G100" s="137">
        <v>90</v>
      </c>
      <c r="H100" s="137">
        <v>2430</v>
      </c>
      <c r="I100" s="137">
        <v>14.5</v>
      </c>
      <c r="J100" s="137">
        <v>70</v>
      </c>
      <c r="K100" s="137" t="s">
        <v>91</v>
      </c>
      <c r="L100" s="137" t="s">
        <v>94</v>
      </c>
      <c r="M100" s="139">
        <v>0</v>
      </c>
      <c r="N100" s="139">
        <v>5.0729505785585603E+18</v>
      </c>
    </row>
    <row r="101" spans="3:14">
      <c r="C101" s="24" t="b">
        <v>0</v>
      </c>
      <c r="D101" s="137">
        <v>25</v>
      </c>
      <c r="E101" s="138">
        <v>4</v>
      </c>
      <c r="F101" s="137">
        <v>104</v>
      </c>
      <c r="G101" s="137">
        <v>95</v>
      </c>
      <c r="H101" s="137">
        <v>2375</v>
      </c>
      <c r="I101" s="137">
        <v>17.5</v>
      </c>
      <c r="J101" s="137">
        <v>70</v>
      </c>
      <c r="K101" s="137" t="s">
        <v>91</v>
      </c>
      <c r="L101" s="137" t="s">
        <v>95</v>
      </c>
      <c r="M101" s="139">
        <v>0</v>
      </c>
      <c r="N101" s="139">
        <v>1.10845430870465E+19</v>
      </c>
    </row>
    <row r="102" spans="3:14">
      <c r="C102" s="24" t="b">
        <v>0</v>
      </c>
      <c r="D102" s="137">
        <v>26</v>
      </c>
      <c r="E102" s="138">
        <v>4</v>
      </c>
      <c r="F102" s="137">
        <v>121</v>
      </c>
      <c r="G102" s="137">
        <v>113</v>
      </c>
      <c r="H102" s="137">
        <v>2234</v>
      </c>
      <c r="I102" s="137">
        <v>12.5</v>
      </c>
      <c r="J102" s="137">
        <v>70</v>
      </c>
      <c r="K102" s="137" t="s">
        <v>91</v>
      </c>
      <c r="L102" s="137" t="s">
        <v>96</v>
      </c>
      <c r="M102" s="139">
        <v>0</v>
      </c>
      <c r="N102" s="139">
        <v>8.9707203426695895E+18</v>
      </c>
    </row>
    <row r="103" spans="3:14">
      <c r="C103" s="24" t="b">
        <v>0</v>
      </c>
      <c r="D103" s="137">
        <v>21</v>
      </c>
      <c r="E103" s="138">
        <v>6</v>
      </c>
      <c r="F103" s="137">
        <v>199</v>
      </c>
      <c r="G103" s="137">
        <v>90</v>
      </c>
      <c r="H103" s="137">
        <v>2648</v>
      </c>
      <c r="I103" s="137">
        <v>15</v>
      </c>
      <c r="J103" s="137">
        <v>70</v>
      </c>
      <c r="K103" s="137" t="s">
        <v>69</v>
      </c>
      <c r="L103" s="137" t="s">
        <v>97</v>
      </c>
      <c r="M103" s="139">
        <v>0</v>
      </c>
      <c r="N103" s="139">
        <v>1.5542192949840501E+19</v>
      </c>
    </row>
    <row r="104" spans="3:14">
      <c r="C104" s="24" t="b">
        <v>0</v>
      </c>
      <c r="D104" s="137">
        <v>10</v>
      </c>
      <c r="E104" s="138">
        <v>8</v>
      </c>
      <c r="F104" s="137">
        <v>360</v>
      </c>
      <c r="G104" s="137">
        <v>215</v>
      </c>
      <c r="H104" s="137">
        <v>4615</v>
      </c>
      <c r="I104" s="137">
        <v>14</v>
      </c>
      <c r="J104" s="137">
        <v>70</v>
      </c>
      <c r="K104" s="137" t="s">
        <v>69</v>
      </c>
      <c r="L104" s="137" t="s">
        <v>98</v>
      </c>
      <c r="M104" s="139">
        <v>0</v>
      </c>
      <c r="N104" s="139">
        <v>5.3585220090209597E+18</v>
      </c>
    </row>
    <row r="105" spans="3:14">
      <c r="C105" s="24" t="b">
        <v>0</v>
      </c>
      <c r="D105" s="137">
        <v>10</v>
      </c>
      <c r="E105" s="138">
        <v>8</v>
      </c>
      <c r="F105" s="137">
        <v>307</v>
      </c>
      <c r="G105" s="137">
        <v>200</v>
      </c>
      <c r="H105" s="137">
        <v>4376</v>
      </c>
      <c r="I105" s="137">
        <v>15</v>
      </c>
      <c r="J105" s="137">
        <v>70</v>
      </c>
      <c r="K105" s="137" t="s">
        <v>69</v>
      </c>
      <c r="L105" s="137" t="s">
        <v>99</v>
      </c>
      <c r="M105" s="139">
        <v>0</v>
      </c>
      <c r="N105" s="139">
        <v>1.6435007433648599E+19</v>
      </c>
    </row>
    <row r="106" spans="3:14">
      <c r="C106" s="24" t="b">
        <v>0</v>
      </c>
      <c r="D106" s="137">
        <v>11</v>
      </c>
      <c r="E106" s="138">
        <v>8</v>
      </c>
      <c r="F106" s="137">
        <v>318</v>
      </c>
      <c r="G106" s="137">
        <v>210</v>
      </c>
      <c r="H106" s="137">
        <v>4382</v>
      </c>
      <c r="I106" s="137">
        <v>13.5</v>
      </c>
      <c r="J106" s="137">
        <v>70</v>
      </c>
      <c r="K106" s="137" t="s">
        <v>69</v>
      </c>
      <c r="L106" s="137" t="s">
        <v>100</v>
      </c>
      <c r="M106" s="139">
        <v>0</v>
      </c>
      <c r="N106" s="139">
        <v>6.62923824539938E+18</v>
      </c>
    </row>
    <row r="107" spans="3:14">
      <c r="C107" s="24" t="b">
        <v>0</v>
      </c>
      <c r="D107" s="137">
        <v>9</v>
      </c>
      <c r="E107" s="138">
        <v>8</v>
      </c>
      <c r="F107" s="137">
        <v>304</v>
      </c>
      <c r="G107" s="137">
        <v>193</v>
      </c>
      <c r="H107" s="137">
        <v>4732</v>
      </c>
      <c r="I107" s="137">
        <v>18.5</v>
      </c>
      <c r="J107" s="137">
        <v>70</v>
      </c>
      <c r="K107" s="137" t="s">
        <v>69</v>
      </c>
      <c r="L107" s="137" t="s">
        <v>101</v>
      </c>
      <c r="M107" s="139">
        <v>0</v>
      </c>
      <c r="N107" s="139">
        <v>1.67697851534975E+19</v>
      </c>
    </row>
    <row r="108" spans="3:14">
      <c r="C108" s="24" t="b">
        <v>0</v>
      </c>
      <c r="D108" s="137">
        <v>27</v>
      </c>
      <c r="E108" s="138">
        <v>4</v>
      </c>
      <c r="F108" s="137">
        <v>97</v>
      </c>
      <c r="G108" s="137">
        <v>88</v>
      </c>
      <c r="H108" s="137">
        <v>2130</v>
      </c>
      <c r="I108" s="137">
        <v>14.5</v>
      </c>
      <c r="J108" s="137">
        <v>71</v>
      </c>
      <c r="K108" s="137" t="s">
        <v>85</v>
      </c>
      <c r="L108" s="137" t="s">
        <v>90</v>
      </c>
      <c r="M108" s="139">
        <v>0</v>
      </c>
      <c r="N108" s="139">
        <v>9.4004885661463491E+18</v>
      </c>
    </row>
    <row r="109" spans="3:14">
      <c r="C109" s="24" t="b">
        <v>0</v>
      </c>
      <c r="D109" s="137">
        <v>28</v>
      </c>
      <c r="E109" s="138">
        <v>4</v>
      </c>
      <c r="F109" s="137">
        <v>140</v>
      </c>
      <c r="G109" s="137">
        <v>90</v>
      </c>
      <c r="H109" s="137">
        <v>2264</v>
      </c>
      <c r="I109" s="137">
        <v>15.5</v>
      </c>
      <c r="J109" s="137">
        <v>71</v>
      </c>
      <c r="K109" s="137" t="s">
        <v>69</v>
      </c>
      <c r="L109" s="137" t="s">
        <v>102</v>
      </c>
      <c r="M109" s="139">
        <v>0</v>
      </c>
      <c r="N109" s="139">
        <v>6.8953151131406397E+18</v>
      </c>
    </row>
    <row r="110" spans="3:14">
      <c r="C110" s="24" t="b">
        <v>0</v>
      </c>
      <c r="D110" s="137">
        <v>25</v>
      </c>
      <c r="E110" s="138">
        <v>4</v>
      </c>
      <c r="F110" s="137">
        <v>113</v>
      </c>
      <c r="G110" s="137">
        <v>95</v>
      </c>
      <c r="H110" s="137">
        <v>2228</v>
      </c>
      <c r="I110" s="137">
        <v>14</v>
      </c>
      <c r="J110" s="137">
        <v>71</v>
      </c>
      <c r="K110" s="137" t="s">
        <v>85</v>
      </c>
      <c r="L110" s="137" t="s">
        <v>103</v>
      </c>
      <c r="M110" s="139">
        <v>0</v>
      </c>
      <c r="N110" s="139">
        <v>2.4501189413904599E+18</v>
      </c>
    </row>
    <row r="111" spans="3:14">
      <c r="C111" s="24" t="b">
        <v>0</v>
      </c>
      <c r="D111" s="137">
        <v>25</v>
      </c>
      <c r="E111" s="138">
        <v>4</v>
      </c>
      <c r="F111" s="137">
        <v>98</v>
      </c>
      <c r="G111" s="137"/>
      <c r="H111" s="137">
        <v>2046</v>
      </c>
      <c r="I111" s="137">
        <v>19</v>
      </c>
      <c r="J111" s="137">
        <v>71</v>
      </c>
      <c r="K111" s="137" t="s">
        <v>69</v>
      </c>
      <c r="L111" s="137" t="s">
        <v>70</v>
      </c>
      <c r="M111" s="139">
        <v>1</v>
      </c>
      <c r="N111" s="139">
        <v>7.6135125973815798E+18</v>
      </c>
    </row>
    <row r="112" spans="3:14">
      <c r="C112" s="24" t="b">
        <v>0</v>
      </c>
      <c r="D112" s="137">
        <v>19</v>
      </c>
      <c r="E112" s="138">
        <v>6</v>
      </c>
      <c r="F112" s="137">
        <v>232</v>
      </c>
      <c r="G112" s="137">
        <v>100</v>
      </c>
      <c r="H112" s="137">
        <v>2634</v>
      </c>
      <c r="I112" s="137">
        <v>13</v>
      </c>
      <c r="J112" s="137">
        <v>71</v>
      </c>
      <c r="K112" s="137" t="s">
        <v>69</v>
      </c>
      <c r="L112" s="137" t="s">
        <v>97</v>
      </c>
      <c r="M112" s="139">
        <v>0</v>
      </c>
      <c r="N112" s="139">
        <v>8.6827947192414597E+18</v>
      </c>
    </row>
    <row r="113" spans="3:14">
      <c r="C113" s="24" t="b">
        <v>0</v>
      </c>
      <c r="D113" s="137">
        <v>16</v>
      </c>
      <c r="E113" s="138">
        <v>6</v>
      </c>
      <c r="F113" s="137">
        <v>225</v>
      </c>
      <c r="G113" s="137">
        <v>105</v>
      </c>
      <c r="H113" s="137">
        <v>3439</v>
      </c>
      <c r="I113" s="137">
        <v>15.5</v>
      </c>
      <c r="J113" s="137">
        <v>71</v>
      </c>
      <c r="K113" s="137" t="s">
        <v>69</v>
      </c>
      <c r="L113" s="137" t="s">
        <v>104</v>
      </c>
      <c r="M113" s="139">
        <v>0</v>
      </c>
      <c r="N113" s="139">
        <v>2.26021584479308E+17</v>
      </c>
    </row>
    <row r="114" spans="3:14">
      <c r="C114" s="24" t="b">
        <v>0</v>
      </c>
      <c r="D114" s="137">
        <v>17</v>
      </c>
      <c r="E114" s="138">
        <v>6</v>
      </c>
      <c r="F114" s="137">
        <v>250</v>
      </c>
      <c r="G114" s="137">
        <v>100</v>
      </c>
      <c r="H114" s="137">
        <v>3329</v>
      </c>
      <c r="I114" s="137">
        <v>15.5</v>
      </c>
      <c r="J114" s="137">
        <v>71</v>
      </c>
      <c r="K114" s="137" t="s">
        <v>69</v>
      </c>
      <c r="L114" s="137" t="s">
        <v>71</v>
      </c>
      <c r="M114" s="139">
        <v>0</v>
      </c>
      <c r="N114" s="139">
        <v>5.2820909956741499E+18</v>
      </c>
    </row>
    <row r="115" spans="3:14">
      <c r="C115" s="24" t="b">
        <v>0</v>
      </c>
      <c r="D115" s="137">
        <v>19</v>
      </c>
      <c r="E115" s="138">
        <v>6</v>
      </c>
      <c r="F115" s="137">
        <v>250</v>
      </c>
      <c r="G115" s="137">
        <v>88</v>
      </c>
      <c r="H115" s="137">
        <v>3302</v>
      </c>
      <c r="I115" s="137">
        <v>15.5</v>
      </c>
      <c r="J115" s="137">
        <v>71</v>
      </c>
      <c r="K115" s="137" t="s">
        <v>69</v>
      </c>
      <c r="L115" s="137" t="s">
        <v>105</v>
      </c>
      <c r="M115" s="139">
        <v>0</v>
      </c>
      <c r="N115" s="139">
        <v>1.3953491196494299E+19</v>
      </c>
    </row>
    <row r="116" spans="3:14">
      <c r="C116" s="24" t="b">
        <v>0</v>
      </c>
      <c r="D116" s="137">
        <v>18</v>
      </c>
      <c r="E116" s="138">
        <v>6</v>
      </c>
      <c r="F116" s="137">
        <v>232</v>
      </c>
      <c r="G116" s="137">
        <v>100</v>
      </c>
      <c r="H116" s="137">
        <v>3288</v>
      </c>
      <c r="I116" s="137">
        <v>15.5</v>
      </c>
      <c r="J116" s="137">
        <v>71</v>
      </c>
      <c r="K116" s="137" t="s">
        <v>69</v>
      </c>
      <c r="L116" s="137" t="s">
        <v>106</v>
      </c>
      <c r="M116" s="139">
        <v>0</v>
      </c>
      <c r="N116" s="139">
        <v>8.8864532462505697E+18</v>
      </c>
    </row>
    <row r="117" spans="3:14">
      <c r="C117" s="24" t="b">
        <v>0</v>
      </c>
      <c r="D117" s="137">
        <v>14</v>
      </c>
      <c r="E117" s="138">
        <v>8</v>
      </c>
      <c r="F117" s="137">
        <v>350</v>
      </c>
      <c r="G117" s="137">
        <v>165</v>
      </c>
      <c r="H117" s="137">
        <v>4209</v>
      </c>
      <c r="I117" s="137">
        <v>12</v>
      </c>
      <c r="J117" s="137">
        <v>71</v>
      </c>
      <c r="K117" s="137" t="s">
        <v>69</v>
      </c>
      <c r="L117" s="137" t="s">
        <v>77</v>
      </c>
      <c r="M117" s="139">
        <v>0</v>
      </c>
      <c r="N117" s="139">
        <v>1.59927556204138E+19</v>
      </c>
    </row>
    <row r="118" spans="3:14">
      <c r="C118" s="24" t="b">
        <v>0</v>
      </c>
      <c r="D118" s="137">
        <v>14</v>
      </c>
      <c r="E118" s="138">
        <v>8</v>
      </c>
      <c r="F118" s="137">
        <v>400</v>
      </c>
      <c r="G118" s="137">
        <v>175</v>
      </c>
      <c r="H118" s="137">
        <v>4464</v>
      </c>
      <c r="I118" s="137">
        <v>11.5</v>
      </c>
      <c r="J118" s="137">
        <v>71</v>
      </c>
      <c r="K118" s="137" t="s">
        <v>69</v>
      </c>
      <c r="L118" s="137" t="s">
        <v>107</v>
      </c>
      <c r="M118" s="139">
        <v>0</v>
      </c>
      <c r="N118" s="139">
        <v>1.0254934384960999E+19</v>
      </c>
    </row>
    <row r="119" spans="3:14">
      <c r="C119" s="24" t="b">
        <v>0</v>
      </c>
      <c r="D119" s="137">
        <v>14</v>
      </c>
      <c r="E119" s="138">
        <v>8</v>
      </c>
      <c r="F119" s="137">
        <v>351</v>
      </c>
      <c r="G119" s="137">
        <v>153</v>
      </c>
      <c r="H119" s="137">
        <v>4154</v>
      </c>
      <c r="I119" s="137">
        <v>13.5</v>
      </c>
      <c r="J119" s="137">
        <v>71</v>
      </c>
      <c r="K119" s="137" t="s">
        <v>69</v>
      </c>
      <c r="L119" s="137" t="s">
        <v>76</v>
      </c>
      <c r="M119" s="139">
        <v>0</v>
      </c>
      <c r="N119" s="139">
        <v>9.3242362378613696E+17</v>
      </c>
    </row>
    <row r="120" spans="3:14">
      <c r="C120" s="24" t="b">
        <v>0</v>
      </c>
      <c r="D120" s="137">
        <v>14</v>
      </c>
      <c r="E120" s="138">
        <v>8</v>
      </c>
      <c r="F120" s="137">
        <v>318</v>
      </c>
      <c r="G120" s="137">
        <v>150</v>
      </c>
      <c r="H120" s="137">
        <v>4096</v>
      </c>
      <c r="I120" s="137">
        <v>13</v>
      </c>
      <c r="J120" s="137">
        <v>71</v>
      </c>
      <c r="K120" s="137" t="s">
        <v>69</v>
      </c>
      <c r="L120" s="137" t="s">
        <v>78</v>
      </c>
      <c r="M120" s="139">
        <v>0</v>
      </c>
      <c r="N120" s="139">
        <v>6.7288459705767803E+18</v>
      </c>
    </row>
    <row r="121" spans="3:14">
      <c r="C121" s="24" t="b">
        <v>0</v>
      </c>
      <c r="D121" s="137">
        <v>12</v>
      </c>
      <c r="E121" s="138">
        <v>8</v>
      </c>
      <c r="F121" s="137">
        <v>383</v>
      </c>
      <c r="G121" s="137">
        <v>180</v>
      </c>
      <c r="H121" s="137">
        <v>4955</v>
      </c>
      <c r="I121" s="137">
        <v>11.5</v>
      </c>
      <c r="J121" s="137">
        <v>71</v>
      </c>
      <c r="K121" s="137" t="s">
        <v>69</v>
      </c>
      <c r="L121" s="137" t="s">
        <v>108</v>
      </c>
      <c r="M121" s="139">
        <v>0</v>
      </c>
      <c r="N121" s="139">
        <v>4.4505558858131901E+18</v>
      </c>
    </row>
    <row r="122" spans="3:14">
      <c r="C122" s="24" t="b">
        <v>0</v>
      </c>
      <c r="D122" s="137">
        <v>13</v>
      </c>
      <c r="E122" s="138">
        <v>8</v>
      </c>
      <c r="F122" s="137">
        <v>400</v>
      </c>
      <c r="G122" s="137">
        <v>170</v>
      </c>
      <c r="H122" s="137">
        <v>4746</v>
      </c>
      <c r="I122" s="137">
        <v>12</v>
      </c>
      <c r="J122" s="137">
        <v>71</v>
      </c>
      <c r="K122" s="137" t="s">
        <v>69</v>
      </c>
      <c r="L122" s="137" t="s">
        <v>109</v>
      </c>
      <c r="M122" s="139">
        <v>0</v>
      </c>
      <c r="N122" s="139">
        <v>7.2538490449918198E+18</v>
      </c>
    </row>
    <row r="123" spans="3:14">
      <c r="C123" s="24" t="b">
        <v>0</v>
      </c>
      <c r="D123" s="137">
        <v>13</v>
      </c>
      <c r="E123" s="138">
        <v>8</v>
      </c>
      <c r="F123" s="137">
        <v>400</v>
      </c>
      <c r="G123" s="137">
        <v>175</v>
      </c>
      <c r="H123" s="137">
        <v>5140</v>
      </c>
      <c r="I123" s="137">
        <v>12</v>
      </c>
      <c r="J123" s="137">
        <v>71</v>
      </c>
      <c r="K123" s="137" t="s">
        <v>69</v>
      </c>
      <c r="L123" s="137" t="s">
        <v>110</v>
      </c>
      <c r="M123" s="139">
        <v>0</v>
      </c>
      <c r="N123" s="139">
        <v>1.79625460335482E+19</v>
      </c>
    </row>
    <row r="124" spans="3:14">
      <c r="C124" s="24" t="b">
        <v>0</v>
      </c>
      <c r="D124" s="137">
        <v>18</v>
      </c>
      <c r="E124" s="138">
        <v>6</v>
      </c>
      <c r="F124" s="137">
        <v>258</v>
      </c>
      <c r="G124" s="137">
        <v>110</v>
      </c>
      <c r="H124" s="137">
        <v>2962</v>
      </c>
      <c r="I124" s="137">
        <v>13.5</v>
      </c>
      <c r="J124" s="137">
        <v>71</v>
      </c>
      <c r="K124" s="137" t="s">
        <v>69</v>
      </c>
      <c r="L124" s="137" t="s">
        <v>111</v>
      </c>
      <c r="M124" s="139">
        <v>0</v>
      </c>
      <c r="N124" s="139">
        <v>1.2913314102278101E+19</v>
      </c>
    </row>
    <row r="125" spans="3:14">
      <c r="C125" s="24" t="b">
        <v>0</v>
      </c>
      <c r="D125" s="137">
        <v>22</v>
      </c>
      <c r="E125" s="138">
        <v>4</v>
      </c>
      <c r="F125" s="137">
        <v>140</v>
      </c>
      <c r="G125" s="137">
        <v>72</v>
      </c>
      <c r="H125" s="137">
        <v>2408</v>
      </c>
      <c r="I125" s="137">
        <v>19</v>
      </c>
      <c r="J125" s="137">
        <v>71</v>
      </c>
      <c r="K125" s="137" t="s">
        <v>69</v>
      </c>
      <c r="L125" s="137" t="s">
        <v>112</v>
      </c>
      <c r="M125" s="139">
        <v>0</v>
      </c>
      <c r="N125" s="139">
        <v>7.56600483329583E+18</v>
      </c>
    </row>
    <row r="126" spans="3:14">
      <c r="C126" s="24" t="b">
        <v>0</v>
      </c>
      <c r="D126" s="137">
        <v>19</v>
      </c>
      <c r="E126" s="138">
        <v>6</v>
      </c>
      <c r="F126" s="137">
        <v>250</v>
      </c>
      <c r="G126" s="137">
        <v>100</v>
      </c>
      <c r="H126" s="137">
        <v>3282</v>
      </c>
      <c r="I126" s="137">
        <v>15</v>
      </c>
      <c r="J126" s="137">
        <v>71</v>
      </c>
      <c r="K126" s="137" t="s">
        <v>69</v>
      </c>
      <c r="L126" s="137" t="s">
        <v>113</v>
      </c>
      <c r="M126" s="139">
        <v>0</v>
      </c>
      <c r="N126" s="139">
        <v>1.07066755441839E+19</v>
      </c>
    </row>
    <row r="127" spans="3:14">
      <c r="C127" s="24" t="b">
        <v>0</v>
      </c>
      <c r="D127" s="137">
        <v>18</v>
      </c>
      <c r="E127" s="138">
        <v>6</v>
      </c>
      <c r="F127" s="137">
        <v>250</v>
      </c>
      <c r="G127" s="137">
        <v>88</v>
      </c>
      <c r="H127" s="137">
        <v>3139</v>
      </c>
      <c r="I127" s="137">
        <v>14.5</v>
      </c>
      <c r="J127" s="137">
        <v>71</v>
      </c>
      <c r="K127" s="137" t="s">
        <v>69</v>
      </c>
      <c r="L127" s="137" t="s">
        <v>114</v>
      </c>
      <c r="M127" s="139">
        <v>0</v>
      </c>
      <c r="N127" s="139">
        <v>5.1924818878860001E+18</v>
      </c>
    </row>
    <row r="128" spans="3:14">
      <c r="C128" s="24" t="b">
        <v>0</v>
      </c>
      <c r="D128" s="137">
        <v>23</v>
      </c>
      <c r="E128" s="138">
        <v>4</v>
      </c>
      <c r="F128" s="137">
        <v>122</v>
      </c>
      <c r="G128" s="137">
        <v>86</v>
      </c>
      <c r="H128" s="137">
        <v>2220</v>
      </c>
      <c r="I128" s="137">
        <v>14</v>
      </c>
      <c r="J128" s="137">
        <v>71</v>
      </c>
      <c r="K128" s="137" t="s">
        <v>69</v>
      </c>
      <c r="L128" s="137" t="s">
        <v>115</v>
      </c>
      <c r="M128" s="139">
        <v>0</v>
      </c>
      <c r="N128" s="139">
        <v>1.3277572776951699E+19</v>
      </c>
    </row>
    <row r="129" spans="3:14">
      <c r="C129" s="24" t="b">
        <v>0</v>
      </c>
      <c r="D129" s="137">
        <v>28</v>
      </c>
      <c r="E129" s="138">
        <v>4</v>
      </c>
      <c r="F129" s="137">
        <v>116</v>
      </c>
      <c r="G129" s="137">
        <v>90</v>
      </c>
      <c r="H129" s="137">
        <v>2123</v>
      </c>
      <c r="I129" s="137">
        <v>14</v>
      </c>
      <c r="J129" s="137">
        <v>71</v>
      </c>
      <c r="K129" s="137" t="s">
        <v>91</v>
      </c>
      <c r="L129" s="137" t="s">
        <v>116</v>
      </c>
      <c r="M129" s="139">
        <v>0</v>
      </c>
      <c r="N129" s="139">
        <v>1.1074388715599901E+19</v>
      </c>
    </row>
    <row r="130" spans="3:14">
      <c r="C130" s="24" t="b">
        <v>0</v>
      </c>
      <c r="D130" s="137">
        <v>30</v>
      </c>
      <c r="E130" s="138">
        <v>4</v>
      </c>
      <c r="F130" s="137">
        <v>79</v>
      </c>
      <c r="G130" s="137">
        <v>70</v>
      </c>
      <c r="H130" s="137">
        <v>2074</v>
      </c>
      <c r="I130" s="137">
        <v>19.5</v>
      </c>
      <c r="J130" s="137">
        <v>71</v>
      </c>
      <c r="K130" s="137" t="s">
        <v>91</v>
      </c>
      <c r="L130" s="137" t="s">
        <v>117</v>
      </c>
      <c r="M130" s="139">
        <v>0</v>
      </c>
      <c r="N130" s="139">
        <v>1.01816488423353E+19</v>
      </c>
    </row>
    <row r="131" spans="3:14">
      <c r="C131" s="24" t="b">
        <v>0</v>
      </c>
      <c r="D131" s="137">
        <v>30</v>
      </c>
      <c r="E131" s="138">
        <v>4</v>
      </c>
      <c r="F131" s="137">
        <v>88</v>
      </c>
      <c r="G131" s="137">
        <v>76</v>
      </c>
      <c r="H131" s="137">
        <v>2065</v>
      </c>
      <c r="I131" s="137">
        <v>14.5</v>
      </c>
      <c r="J131" s="137">
        <v>71</v>
      </c>
      <c r="K131" s="137" t="s">
        <v>91</v>
      </c>
      <c r="L131" s="137" t="s">
        <v>118</v>
      </c>
      <c r="M131" s="139">
        <v>0</v>
      </c>
      <c r="N131" s="139">
        <v>3.2811550558686602E+18</v>
      </c>
    </row>
    <row r="132" spans="3:14">
      <c r="C132" s="24" t="b">
        <v>0</v>
      </c>
      <c r="D132" s="137">
        <v>31</v>
      </c>
      <c r="E132" s="138">
        <v>4</v>
      </c>
      <c r="F132" s="137">
        <v>71</v>
      </c>
      <c r="G132" s="137">
        <v>65</v>
      </c>
      <c r="H132" s="137">
        <v>1773</v>
      </c>
      <c r="I132" s="137">
        <v>19</v>
      </c>
      <c r="J132" s="137">
        <v>71</v>
      </c>
      <c r="K132" s="137" t="s">
        <v>85</v>
      </c>
      <c r="L132" s="137" t="s">
        <v>119</v>
      </c>
      <c r="M132" s="139">
        <v>0</v>
      </c>
      <c r="N132" s="139">
        <v>1.7336385104217801E+19</v>
      </c>
    </row>
    <row r="133" spans="3:14">
      <c r="C133" s="24" t="b">
        <v>0</v>
      </c>
      <c r="D133" s="137">
        <v>35</v>
      </c>
      <c r="E133" s="138">
        <v>4</v>
      </c>
      <c r="F133" s="137">
        <v>72</v>
      </c>
      <c r="G133" s="137">
        <v>69</v>
      </c>
      <c r="H133" s="137">
        <v>1613</v>
      </c>
      <c r="I133" s="137">
        <v>18</v>
      </c>
      <c r="J133" s="137">
        <v>71</v>
      </c>
      <c r="K133" s="137" t="s">
        <v>85</v>
      </c>
      <c r="L133" s="137" t="s">
        <v>120</v>
      </c>
      <c r="M133" s="139">
        <v>0</v>
      </c>
      <c r="N133" s="139">
        <v>1.22502142626369E+19</v>
      </c>
    </row>
    <row r="134" spans="3:14">
      <c r="C134" s="24" t="b">
        <v>0</v>
      </c>
      <c r="D134" s="137">
        <v>27</v>
      </c>
      <c r="E134" s="138">
        <v>4</v>
      </c>
      <c r="F134" s="137">
        <v>97</v>
      </c>
      <c r="G134" s="137">
        <v>60</v>
      </c>
      <c r="H134" s="137">
        <v>1834</v>
      </c>
      <c r="I134" s="137">
        <v>19</v>
      </c>
      <c r="J134" s="137">
        <v>71</v>
      </c>
      <c r="K134" s="137" t="s">
        <v>91</v>
      </c>
      <c r="L134" s="137" t="s">
        <v>121</v>
      </c>
      <c r="M134" s="139">
        <v>0</v>
      </c>
      <c r="N134" s="139">
        <v>1.5959225348860899E+19</v>
      </c>
    </row>
    <row r="135" spans="3:14">
      <c r="C135" s="24" t="b">
        <v>0</v>
      </c>
      <c r="D135" s="137">
        <v>26</v>
      </c>
      <c r="E135" s="138">
        <v>4</v>
      </c>
      <c r="F135" s="137">
        <v>91</v>
      </c>
      <c r="G135" s="137">
        <v>70</v>
      </c>
      <c r="H135" s="137">
        <v>1955</v>
      </c>
      <c r="I135" s="137">
        <v>20.5</v>
      </c>
      <c r="J135" s="137">
        <v>71</v>
      </c>
      <c r="K135" s="137" t="s">
        <v>69</v>
      </c>
      <c r="L135" s="137" t="s">
        <v>122</v>
      </c>
      <c r="M135" s="139">
        <v>0</v>
      </c>
      <c r="N135" s="139">
        <v>1.7411559050286701E+19</v>
      </c>
    </row>
    <row r="136" spans="3:14">
      <c r="C136" s="24" t="b">
        <v>0</v>
      </c>
      <c r="D136" s="137">
        <v>24</v>
      </c>
      <c r="E136" s="138">
        <v>4</v>
      </c>
      <c r="F136" s="137">
        <v>113</v>
      </c>
      <c r="G136" s="137">
        <v>95</v>
      </c>
      <c r="H136" s="137">
        <v>2278</v>
      </c>
      <c r="I136" s="137">
        <v>15.5</v>
      </c>
      <c r="J136" s="137">
        <v>72</v>
      </c>
      <c r="K136" s="137" t="s">
        <v>85</v>
      </c>
      <c r="L136" s="137" t="s">
        <v>123</v>
      </c>
      <c r="M136" s="139">
        <v>0</v>
      </c>
      <c r="N136" s="139">
        <v>1.8132871325521601E+19</v>
      </c>
    </row>
    <row r="137" spans="3:14">
      <c r="C137" s="24" t="b">
        <v>0</v>
      </c>
      <c r="D137" s="137">
        <v>25</v>
      </c>
      <c r="E137" s="138">
        <v>4</v>
      </c>
      <c r="F137" s="137">
        <v>97.5</v>
      </c>
      <c r="G137" s="137">
        <v>80</v>
      </c>
      <c r="H137" s="137">
        <v>2126</v>
      </c>
      <c r="I137" s="137">
        <v>17</v>
      </c>
      <c r="J137" s="137">
        <v>72</v>
      </c>
      <c r="K137" s="137" t="s">
        <v>69</v>
      </c>
      <c r="L137" s="137" t="s">
        <v>124</v>
      </c>
      <c r="M137" s="139">
        <v>0</v>
      </c>
      <c r="N137" s="139">
        <v>1.07140893326087E+19</v>
      </c>
    </row>
    <row r="138" spans="3:14">
      <c r="C138" s="24" t="b">
        <v>0</v>
      </c>
      <c r="D138" s="137">
        <v>23</v>
      </c>
      <c r="E138" s="138">
        <v>4</v>
      </c>
      <c r="F138" s="137">
        <v>97</v>
      </c>
      <c r="G138" s="137">
        <v>54</v>
      </c>
      <c r="H138" s="137">
        <v>2254</v>
      </c>
      <c r="I138" s="137">
        <v>23.5</v>
      </c>
      <c r="J138" s="137">
        <v>72</v>
      </c>
      <c r="K138" s="137" t="s">
        <v>91</v>
      </c>
      <c r="L138" s="137" t="s">
        <v>125</v>
      </c>
      <c r="M138" s="139">
        <v>0</v>
      </c>
      <c r="N138" s="139">
        <v>6.4301981156796698E+17</v>
      </c>
    </row>
    <row r="139" spans="3:14">
      <c r="C139" s="24" t="b">
        <v>0</v>
      </c>
      <c r="D139" s="137">
        <v>20</v>
      </c>
      <c r="E139" s="138">
        <v>4</v>
      </c>
      <c r="F139" s="137">
        <v>140</v>
      </c>
      <c r="G139" s="137">
        <v>90</v>
      </c>
      <c r="H139" s="137">
        <v>2408</v>
      </c>
      <c r="I139" s="137">
        <v>19.5</v>
      </c>
      <c r="J139" s="137">
        <v>72</v>
      </c>
      <c r="K139" s="137" t="s">
        <v>69</v>
      </c>
      <c r="L139" s="137" t="s">
        <v>126</v>
      </c>
      <c r="M139" s="139">
        <v>0</v>
      </c>
      <c r="N139" s="139">
        <v>1.6011066358721901E+19</v>
      </c>
    </row>
    <row r="140" spans="3:14">
      <c r="C140" s="24" t="b">
        <v>0</v>
      </c>
      <c r="D140" s="137">
        <v>21</v>
      </c>
      <c r="E140" s="138">
        <v>4</v>
      </c>
      <c r="F140" s="137">
        <v>122</v>
      </c>
      <c r="G140" s="137">
        <v>86</v>
      </c>
      <c r="H140" s="137">
        <v>2226</v>
      </c>
      <c r="I140" s="137">
        <v>16.5</v>
      </c>
      <c r="J140" s="137">
        <v>72</v>
      </c>
      <c r="K140" s="137" t="s">
        <v>69</v>
      </c>
      <c r="L140" s="137" t="s">
        <v>127</v>
      </c>
      <c r="M140" s="139">
        <v>0</v>
      </c>
      <c r="N140" s="139">
        <v>1.6832203426790799E+19</v>
      </c>
    </row>
    <row r="141" spans="3:14">
      <c r="C141" s="24" t="b">
        <v>0</v>
      </c>
      <c r="D141" s="137">
        <v>13</v>
      </c>
      <c r="E141" s="138">
        <v>8</v>
      </c>
      <c r="F141" s="137">
        <v>350</v>
      </c>
      <c r="G141" s="137">
        <v>165</v>
      </c>
      <c r="H141" s="137">
        <v>4274</v>
      </c>
      <c r="I141" s="137">
        <v>12</v>
      </c>
      <c r="J141" s="137">
        <v>72</v>
      </c>
      <c r="K141" s="137" t="s">
        <v>69</v>
      </c>
      <c r="L141" s="137" t="s">
        <v>77</v>
      </c>
      <c r="M141" s="139">
        <v>0</v>
      </c>
      <c r="N141" s="139">
        <v>4.53961981979725E+18</v>
      </c>
    </row>
    <row r="142" spans="3:14">
      <c r="C142" s="24" t="b">
        <v>0</v>
      </c>
      <c r="D142" s="137">
        <v>14</v>
      </c>
      <c r="E142" s="138">
        <v>8</v>
      </c>
      <c r="F142" s="137">
        <v>400</v>
      </c>
      <c r="G142" s="137">
        <v>175</v>
      </c>
      <c r="H142" s="137">
        <v>4385</v>
      </c>
      <c r="I142" s="137">
        <v>12</v>
      </c>
      <c r="J142" s="137">
        <v>72</v>
      </c>
      <c r="K142" s="137" t="s">
        <v>69</v>
      </c>
      <c r="L142" s="137" t="s">
        <v>79</v>
      </c>
      <c r="M142" s="139">
        <v>0</v>
      </c>
      <c r="N142" s="139">
        <v>1.6211288435666201E+19</v>
      </c>
    </row>
    <row r="143" spans="3:14">
      <c r="C143" s="24" t="b">
        <v>0</v>
      </c>
      <c r="D143" s="137">
        <v>15</v>
      </c>
      <c r="E143" s="138">
        <v>8</v>
      </c>
      <c r="F143" s="137">
        <v>318</v>
      </c>
      <c r="G143" s="137">
        <v>150</v>
      </c>
      <c r="H143" s="137">
        <v>4135</v>
      </c>
      <c r="I143" s="137">
        <v>13.5</v>
      </c>
      <c r="J143" s="137">
        <v>72</v>
      </c>
      <c r="K143" s="137" t="s">
        <v>69</v>
      </c>
      <c r="L143" s="137" t="s">
        <v>78</v>
      </c>
      <c r="M143" s="139">
        <v>0</v>
      </c>
      <c r="N143" s="139">
        <v>1.48839876647634E+18</v>
      </c>
    </row>
    <row r="144" spans="3:14">
      <c r="C144" s="24" t="b">
        <v>0</v>
      </c>
      <c r="D144" s="137">
        <v>14</v>
      </c>
      <c r="E144" s="138">
        <v>8</v>
      </c>
      <c r="F144" s="137">
        <v>351</v>
      </c>
      <c r="G144" s="137">
        <v>153</v>
      </c>
      <c r="H144" s="137">
        <v>4129</v>
      </c>
      <c r="I144" s="137">
        <v>13</v>
      </c>
      <c r="J144" s="137">
        <v>72</v>
      </c>
      <c r="K144" s="137" t="s">
        <v>69</v>
      </c>
      <c r="L144" s="137" t="s">
        <v>76</v>
      </c>
      <c r="M144" s="139">
        <v>0</v>
      </c>
      <c r="N144" s="139">
        <v>1.60358360583226E+19</v>
      </c>
    </row>
    <row r="145" spans="3:14">
      <c r="C145" s="24" t="b">
        <v>0</v>
      </c>
      <c r="D145" s="137">
        <v>17</v>
      </c>
      <c r="E145" s="138">
        <v>8</v>
      </c>
      <c r="F145" s="137">
        <v>304</v>
      </c>
      <c r="G145" s="137">
        <v>150</v>
      </c>
      <c r="H145" s="137">
        <v>3672</v>
      </c>
      <c r="I145" s="137">
        <v>11.5</v>
      </c>
      <c r="J145" s="137">
        <v>72</v>
      </c>
      <c r="K145" s="137" t="s">
        <v>69</v>
      </c>
      <c r="L145" s="137" t="s">
        <v>128</v>
      </c>
      <c r="M145" s="139">
        <v>0</v>
      </c>
      <c r="N145" s="139">
        <v>5.7426695592469504E+18</v>
      </c>
    </row>
    <row r="146" spans="3:14">
      <c r="C146" s="24" t="b">
        <v>0</v>
      </c>
      <c r="D146" s="137">
        <v>11</v>
      </c>
      <c r="E146" s="138">
        <v>8</v>
      </c>
      <c r="F146" s="137">
        <v>429</v>
      </c>
      <c r="G146" s="137">
        <v>208</v>
      </c>
      <c r="H146" s="137">
        <v>4633</v>
      </c>
      <c r="I146" s="137">
        <v>11</v>
      </c>
      <c r="J146" s="137">
        <v>72</v>
      </c>
      <c r="K146" s="137" t="s">
        <v>69</v>
      </c>
      <c r="L146" s="137" t="s">
        <v>129</v>
      </c>
      <c r="M146" s="139">
        <v>0</v>
      </c>
      <c r="N146" s="139">
        <v>5.1159948315334298E+18</v>
      </c>
    </row>
    <row r="147" spans="3:14">
      <c r="C147" s="24" t="b">
        <v>0</v>
      </c>
      <c r="D147" s="137">
        <v>13</v>
      </c>
      <c r="E147" s="138">
        <v>8</v>
      </c>
      <c r="F147" s="137">
        <v>350</v>
      </c>
      <c r="G147" s="137">
        <v>155</v>
      </c>
      <c r="H147" s="137">
        <v>4502</v>
      </c>
      <c r="I147" s="137">
        <v>13.5</v>
      </c>
      <c r="J147" s="137">
        <v>72</v>
      </c>
      <c r="K147" s="137" t="s">
        <v>69</v>
      </c>
      <c r="L147" s="137" t="s">
        <v>130</v>
      </c>
      <c r="M147" s="139">
        <v>0</v>
      </c>
      <c r="N147" s="139">
        <v>1.9909612268306801E+18</v>
      </c>
    </row>
    <row r="148" spans="3:14">
      <c r="C148" s="24" t="b">
        <v>0</v>
      </c>
      <c r="D148" s="137">
        <v>12</v>
      </c>
      <c r="E148" s="138">
        <v>8</v>
      </c>
      <c r="F148" s="137">
        <v>350</v>
      </c>
      <c r="G148" s="137">
        <v>160</v>
      </c>
      <c r="H148" s="137">
        <v>4456</v>
      </c>
      <c r="I148" s="137">
        <v>13.5</v>
      </c>
      <c r="J148" s="137">
        <v>72</v>
      </c>
      <c r="K148" s="137" t="s">
        <v>69</v>
      </c>
      <c r="L148" s="137" t="s">
        <v>131</v>
      </c>
      <c r="M148" s="139">
        <v>0</v>
      </c>
      <c r="N148" s="139">
        <v>1.06005019243624E+19</v>
      </c>
    </row>
    <row r="149" spans="3:14">
      <c r="C149" s="24" t="b">
        <v>0</v>
      </c>
      <c r="D149" s="137">
        <v>13</v>
      </c>
      <c r="E149" s="138">
        <v>8</v>
      </c>
      <c r="F149" s="137">
        <v>400</v>
      </c>
      <c r="G149" s="137">
        <v>190</v>
      </c>
      <c r="H149" s="137">
        <v>4422</v>
      </c>
      <c r="I149" s="137">
        <v>12.5</v>
      </c>
      <c r="J149" s="137">
        <v>72</v>
      </c>
      <c r="K149" s="137" t="s">
        <v>69</v>
      </c>
      <c r="L149" s="137" t="s">
        <v>132</v>
      </c>
      <c r="M149" s="139">
        <v>0</v>
      </c>
      <c r="N149" s="139">
        <v>5.3651853022959302E+17</v>
      </c>
    </row>
    <row r="150" spans="3:14">
      <c r="C150" s="24" t="b">
        <v>0</v>
      </c>
      <c r="D150" s="137">
        <v>19</v>
      </c>
      <c r="E150" s="138">
        <v>3</v>
      </c>
      <c r="F150" s="137">
        <v>70</v>
      </c>
      <c r="G150" s="137">
        <v>97</v>
      </c>
      <c r="H150" s="137">
        <v>2330</v>
      </c>
      <c r="I150" s="137">
        <v>13.5</v>
      </c>
      <c r="J150" s="137">
        <v>72</v>
      </c>
      <c r="K150" s="137" t="s">
        <v>85</v>
      </c>
      <c r="L150" s="137" t="s">
        <v>133</v>
      </c>
      <c r="M150" s="139">
        <v>0</v>
      </c>
      <c r="N150" s="139">
        <v>7.5031258433233203E+18</v>
      </c>
    </row>
    <row r="151" spans="3:14">
      <c r="C151" s="24" t="b">
        <v>0</v>
      </c>
      <c r="D151" s="137">
        <v>15</v>
      </c>
      <c r="E151" s="138">
        <v>8</v>
      </c>
      <c r="F151" s="137">
        <v>304</v>
      </c>
      <c r="G151" s="137">
        <v>150</v>
      </c>
      <c r="H151" s="137">
        <v>3892</v>
      </c>
      <c r="I151" s="137">
        <v>12.5</v>
      </c>
      <c r="J151" s="137">
        <v>72</v>
      </c>
      <c r="K151" s="137" t="s">
        <v>69</v>
      </c>
      <c r="L151" s="137" t="s">
        <v>134</v>
      </c>
      <c r="M151" s="139">
        <v>0</v>
      </c>
      <c r="N151" s="139">
        <v>1.54974621642561E+19</v>
      </c>
    </row>
    <row r="152" spans="3:14">
      <c r="C152" s="24" t="b">
        <v>0</v>
      </c>
      <c r="D152" s="137">
        <v>13</v>
      </c>
      <c r="E152" s="138">
        <v>8</v>
      </c>
      <c r="F152" s="137">
        <v>307</v>
      </c>
      <c r="G152" s="137">
        <v>130</v>
      </c>
      <c r="H152" s="137">
        <v>4098</v>
      </c>
      <c r="I152" s="137">
        <v>14</v>
      </c>
      <c r="J152" s="137">
        <v>72</v>
      </c>
      <c r="K152" s="137" t="s">
        <v>69</v>
      </c>
      <c r="L152" s="137" t="s">
        <v>135</v>
      </c>
      <c r="M152" s="139">
        <v>0</v>
      </c>
      <c r="N152" s="139">
        <v>1.0370877805157599E+19</v>
      </c>
    </row>
    <row r="153" spans="3:14">
      <c r="C153" s="24" t="b">
        <v>0</v>
      </c>
      <c r="D153" s="137">
        <v>13</v>
      </c>
      <c r="E153" s="138">
        <v>8</v>
      </c>
      <c r="F153" s="137">
        <v>302</v>
      </c>
      <c r="G153" s="137">
        <v>140</v>
      </c>
      <c r="H153" s="137">
        <v>4294</v>
      </c>
      <c r="I153" s="137">
        <v>16</v>
      </c>
      <c r="J153" s="137">
        <v>72</v>
      </c>
      <c r="K153" s="137" t="s">
        <v>69</v>
      </c>
      <c r="L153" s="137" t="s">
        <v>136</v>
      </c>
      <c r="M153" s="139">
        <v>0</v>
      </c>
      <c r="N153" s="139">
        <v>4.7487442529724396E+18</v>
      </c>
    </row>
    <row r="154" spans="3:14">
      <c r="C154" s="24" t="b">
        <v>0</v>
      </c>
      <c r="D154" s="137">
        <v>14</v>
      </c>
      <c r="E154" s="138">
        <v>8</v>
      </c>
      <c r="F154" s="137">
        <v>318</v>
      </c>
      <c r="G154" s="137">
        <v>150</v>
      </c>
      <c r="H154" s="137">
        <v>4077</v>
      </c>
      <c r="I154" s="137">
        <v>14</v>
      </c>
      <c r="J154" s="137">
        <v>72</v>
      </c>
      <c r="K154" s="137" t="s">
        <v>69</v>
      </c>
      <c r="L154" s="137" t="s">
        <v>137</v>
      </c>
      <c r="M154" s="139">
        <v>0</v>
      </c>
      <c r="N154" s="139">
        <v>1.3404466700053299E+19</v>
      </c>
    </row>
    <row r="155" spans="3:14">
      <c r="C155" s="24" t="b">
        <v>0</v>
      </c>
      <c r="D155" s="137">
        <v>18</v>
      </c>
      <c r="E155" s="138">
        <v>4</v>
      </c>
      <c r="F155" s="137">
        <v>121</v>
      </c>
      <c r="G155" s="137">
        <v>112</v>
      </c>
      <c r="H155" s="137">
        <v>2933</v>
      </c>
      <c r="I155" s="137">
        <v>14.5</v>
      </c>
      <c r="J155" s="137">
        <v>72</v>
      </c>
      <c r="K155" s="137" t="s">
        <v>91</v>
      </c>
      <c r="L155" s="137" t="s">
        <v>138</v>
      </c>
      <c r="M155" s="139">
        <v>0</v>
      </c>
      <c r="N155" s="139">
        <v>1.1420513159091499E+19</v>
      </c>
    </row>
    <row r="156" spans="3:14">
      <c r="C156" s="24" t="b">
        <v>0</v>
      </c>
      <c r="D156" s="137">
        <v>22</v>
      </c>
      <c r="E156" s="138">
        <v>4</v>
      </c>
      <c r="F156" s="137">
        <v>121</v>
      </c>
      <c r="G156" s="137">
        <v>76</v>
      </c>
      <c r="H156" s="137">
        <v>2511</v>
      </c>
      <c r="I156" s="137">
        <v>18</v>
      </c>
      <c r="J156" s="137">
        <v>72</v>
      </c>
      <c r="K156" s="137" t="s">
        <v>91</v>
      </c>
      <c r="L156" s="137" t="s">
        <v>139</v>
      </c>
      <c r="M156" s="139">
        <v>0</v>
      </c>
      <c r="N156" s="139">
        <v>1.58306176340241E+19</v>
      </c>
    </row>
    <row r="157" spans="3:14">
      <c r="C157" s="24" t="b">
        <v>0</v>
      </c>
      <c r="D157" s="137">
        <v>21</v>
      </c>
      <c r="E157" s="138">
        <v>4</v>
      </c>
      <c r="F157" s="137">
        <v>120</v>
      </c>
      <c r="G157" s="137">
        <v>87</v>
      </c>
      <c r="H157" s="137">
        <v>2979</v>
      </c>
      <c r="I157" s="137">
        <v>19.5</v>
      </c>
      <c r="J157" s="137">
        <v>72</v>
      </c>
      <c r="K157" s="137" t="s">
        <v>91</v>
      </c>
      <c r="L157" s="137" t="s">
        <v>140</v>
      </c>
      <c r="M157" s="139">
        <v>0</v>
      </c>
      <c r="N157" s="139">
        <v>1.1020321892835299E+19</v>
      </c>
    </row>
    <row r="158" spans="3:14">
      <c r="C158" s="24" t="b">
        <v>0</v>
      </c>
      <c r="D158" s="137">
        <v>26</v>
      </c>
      <c r="E158" s="138">
        <v>4</v>
      </c>
      <c r="F158" s="137">
        <v>96</v>
      </c>
      <c r="G158" s="137">
        <v>69</v>
      </c>
      <c r="H158" s="137">
        <v>2189</v>
      </c>
      <c r="I158" s="137">
        <v>18</v>
      </c>
      <c r="J158" s="137">
        <v>72</v>
      </c>
      <c r="K158" s="137" t="s">
        <v>91</v>
      </c>
      <c r="L158" s="137" t="s">
        <v>141</v>
      </c>
      <c r="M158" s="139">
        <v>0</v>
      </c>
      <c r="N158" s="139">
        <v>1.17840032358703E+19</v>
      </c>
    </row>
    <row r="159" spans="3:14">
      <c r="C159" s="24" t="b">
        <v>0</v>
      </c>
      <c r="D159" s="137">
        <v>22</v>
      </c>
      <c r="E159" s="138">
        <v>4</v>
      </c>
      <c r="F159" s="137">
        <v>122</v>
      </c>
      <c r="G159" s="137">
        <v>86</v>
      </c>
      <c r="H159" s="137">
        <v>2395</v>
      </c>
      <c r="I159" s="137">
        <v>16</v>
      </c>
      <c r="J159" s="137">
        <v>72</v>
      </c>
      <c r="K159" s="137" t="s">
        <v>69</v>
      </c>
      <c r="L159" s="137" t="s">
        <v>142</v>
      </c>
      <c r="M159" s="139">
        <v>0</v>
      </c>
      <c r="N159" s="139">
        <v>2.1731594565414799E+18</v>
      </c>
    </row>
    <row r="160" spans="3:14">
      <c r="C160" s="24" t="b">
        <v>0</v>
      </c>
      <c r="D160" s="137">
        <v>28</v>
      </c>
      <c r="E160" s="138">
        <v>4</v>
      </c>
      <c r="F160" s="137">
        <v>97</v>
      </c>
      <c r="G160" s="137">
        <v>92</v>
      </c>
      <c r="H160" s="137">
        <v>2288</v>
      </c>
      <c r="I160" s="137">
        <v>17</v>
      </c>
      <c r="J160" s="137">
        <v>72</v>
      </c>
      <c r="K160" s="137" t="s">
        <v>85</v>
      </c>
      <c r="L160" s="137" t="s">
        <v>143</v>
      </c>
      <c r="M160" s="139">
        <v>0</v>
      </c>
      <c r="N160" s="139">
        <v>8.41554085524527E+18</v>
      </c>
    </row>
    <row r="161" spans="3:14">
      <c r="C161" s="24" t="b">
        <v>0</v>
      </c>
      <c r="D161" s="137">
        <v>23</v>
      </c>
      <c r="E161" s="138">
        <v>4</v>
      </c>
      <c r="F161" s="137">
        <v>120</v>
      </c>
      <c r="G161" s="137">
        <v>97</v>
      </c>
      <c r="H161" s="137">
        <v>2506</v>
      </c>
      <c r="I161" s="137">
        <v>14.5</v>
      </c>
      <c r="J161" s="137">
        <v>72</v>
      </c>
      <c r="K161" s="137" t="s">
        <v>85</v>
      </c>
      <c r="L161" s="137" t="s">
        <v>144</v>
      </c>
      <c r="M161" s="139">
        <v>0</v>
      </c>
      <c r="N161" s="139">
        <v>8.5874921297418496E+18</v>
      </c>
    </row>
    <row r="162" spans="3:14">
      <c r="C162" s="24" t="b">
        <v>0</v>
      </c>
      <c r="D162" s="137">
        <v>28</v>
      </c>
      <c r="E162" s="138">
        <v>4</v>
      </c>
      <c r="F162" s="137">
        <v>98</v>
      </c>
      <c r="G162" s="137">
        <v>80</v>
      </c>
      <c r="H162" s="137">
        <v>2164</v>
      </c>
      <c r="I162" s="137">
        <v>15</v>
      </c>
      <c r="J162" s="137">
        <v>72</v>
      </c>
      <c r="K162" s="137" t="s">
        <v>69</v>
      </c>
      <c r="L162" s="137" t="s">
        <v>145</v>
      </c>
      <c r="M162" s="139">
        <v>0</v>
      </c>
      <c r="N162" s="139">
        <v>3.0696274765966198E+18</v>
      </c>
    </row>
    <row r="163" spans="3:14">
      <c r="C163" s="24" t="b">
        <v>0</v>
      </c>
      <c r="D163" s="137">
        <v>27</v>
      </c>
      <c r="E163" s="138">
        <v>4</v>
      </c>
      <c r="F163" s="137">
        <v>97</v>
      </c>
      <c r="G163" s="137">
        <v>88</v>
      </c>
      <c r="H163" s="137">
        <v>2100</v>
      </c>
      <c r="I163" s="137">
        <v>16.5</v>
      </c>
      <c r="J163" s="137">
        <v>72</v>
      </c>
      <c r="K163" s="137" t="s">
        <v>85</v>
      </c>
      <c r="L163" s="137" t="s">
        <v>146</v>
      </c>
      <c r="M163" s="139">
        <v>0</v>
      </c>
      <c r="N163" s="139">
        <v>1.29648011531288E+19</v>
      </c>
    </row>
    <row r="164" spans="3:14">
      <c r="C164" s="24" t="b">
        <v>0</v>
      </c>
      <c r="D164" s="137">
        <v>13</v>
      </c>
      <c r="E164" s="138">
        <v>8</v>
      </c>
      <c r="F164" s="137">
        <v>350</v>
      </c>
      <c r="G164" s="137">
        <v>175</v>
      </c>
      <c r="H164" s="137">
        <v>4100</v>
      </c>
      <c r="I164" s="137">
        <v>13</v>
      </c>
      <c r="J164" s="137">
        <v>73</v>
      </c>
      <c r="K164" s="137" t="s">
        <v>69</v>
      </c>
      <c r="L164" s="137" t="s">
        <v>147</v>
      </c>
      <c r="M164" s="139">
        <v>0</v>
      </c>
      <c r="N164" s="139">
        <v>2.9870757776238899E+18</v>
      </c>
    </row>
    <row r="165" spans="3:14">
      <c r="C165" s="24" t="b">
        <v>0</v>
      </c>
      <c r="D165" s="137">
        <v>14</v>
      </c>
      <c r="E165" s="138">
        <v>8</v>
      </c>
      <c r="F165" s="137">
        <v>304</v>
      </c>
      <c r="G165" s="137">
        <v>150</v>
      </c>
      <c r="H165" s="137">
        <v>3672</v>
      </c>
      <c r="I165" s="137">
        <v>11.5</v>
      </c>
      <c r="J165" s="137">
        <v>73</v>
      </c>
      <c r="K165" s="137" t="s">
        <v>69</v>
      </c>
      <c r="L165" s="137" t="s">
        <v>106</v>
      </c>
      <c r="M165" s="139">
        <v>0</v>
      </c>
      <c r="N165" s="139">
        <v>2.5438844465708701E+17</v>
      </c>
    </row>
    <row r="166" spans="3:14">
      <c r="C166" s="24" t="b">
        <v>0</v>
      </c>
      <c r="D166" s="137">
        <v>13</v>
      </c>
      <c r="E166" s="138">
        <v>8</v>
      </c>
      <c r="F166" s="137">
        <v>350</v>
      </c>
      <c r="G166" s="137">
        <v>145</v>
      </c>
      <c r="H166" s="137">
        <v>3988</v>
      </c>
      <c r="I166" s="137">
        <v>13</v>
      </c>
      <c r="J166" s="137">
        <v>73</v>
      </c>
      <c r="K166" s="137" t="s">
        <v>69</v>
      </c>
      <c r="L166" s="137" t="s">
        <v>148</v>
      </c>
      <c r="M166" s="139">
        <v>0</v>
      </c>
      <c r="N166" s="139">
        <v>5.8890254953798605E+18</v>
      </c>
    </row>
    <row r="167" spans="3:14">
      <c r="C167" s="24" t="b">
        <v>0</v>
      </c>
      <c r="D167" s="137">
        <v>14</v>
      </c>
      <c r="E167" s="138">
        <v>8</v>
      </c>
      <c r="F167" s="137">
        <v>302</v>
      </c>
      <c r="G167" s="137">
        <v>137</v>
      </c>
      <c r="H167" s="137">
        <v>4042</v>
      </c>
      <c r="I167" s="137">
        <v>14.5</v>
      </c>
      <c r="J167" s="137">
        <v>73</v>
      </c>
      <c r="K167" s="137" t="s">
        <v>69</v>
      </c>
      <c r="L167" s="137" t="s">
        <v>149</v>
      </c>
      <c r="M167" s="139">
        <v>0</v>
      </c>
      <c r="N167" s="139">
        <v>1.5517262347102501E+19</v>
      </c>
    </row>
    <row r="168" spans="3:14">
      <c r="C168" s="24" t="b">
        <v>0</v>
      </c>
      <c r="D168" s="137">
        <v>15</v>
      </c>
      <c r="E168" s="138">
        <v>8</v>
      </c>
      <c r="F168" s="137">
        <v>318</v>
      </c>
      <c r="G168" s="137">
        <v>150</v>
      </c>
      <c r="H168" s="137">
        <v>3777</v>
      </c>
      <c r="I168" s="137">
        <v>12.5</v>
      </c>
      <c r="J168" s="137">
        <v>73</v>
      </c>
      <c r="K168" s="137" t="s">
        <v>69</v>
      </c>
      <c r="L168" s="137" t="s">
        <v>150</v>
      </c>
      <c r="M168" s="139">
        <v>0</v>
      </c>
      <c r="N168" s="139">
        <v>1.6161578972950901E+19</v>
      </c>
    </row>
    <row r="169" spans="3:14">
      <c r="C169" s="24" t="b">
        <v>0</v>
      </c>
      <c r="D169" s="137">
        <v>12</v>
      </c>
      <c r="E169" s="138">
        <v>8</v>
      </c>
      <c r="F169" s="137">
        <v>429</v>
      </c>
      <c r="G169" s="137">
        <v>198</v>
      </c>
      <c r="H169" s="137">
        <v>4952</v>
      </c>
      <c r="I169" s="137">
        <v>11.5</v>
      </c>
      <c r="J169" s="137">
        <v>73</v>
      </c>
      <c r="K169" s="137" t="s">
        <v>69</v>
      </c>
      <c r="L169" s="137" t="s">
        <v>151</v>
      </c>
      <c r="M169" s="139">
        <v>0</v>
      </c>
      <c r="N169" s="139">
        <v>1.3302429845471001E+19</v>
      </c>
    </row>
    <row r="170" spans="3:14">
      <c r="C170" s="24" t="b">
        <v>0</v>
      </c>
      <c r="D170" s="137">
        <v>13</v>
      </c>
      <c r="E170" s="138">
        <v>8</v>
      </c>
      <c r="F170" s="137">
        <v>400</v>
      </c>
      <c r="G170" s="137">
        <v>150</v>
      </c>
      <c r="H170" s="137">
        <v>4464</v>
      </c>
      <c r="I170" s="137">
        <v>12</v>
      </c>
      <c r="J170" s="137">
        <v>73</v>
      </c>
      <c r="K170" s="137" t="s">
        <v>69</v>
      </c>
      <c r="L170" s="137" t="s">
        <v>152</v>
      </c>
      <c r="M170" s="139">
        <v>0</v>
      </c>
      <c r="N170" s="139">
        <v>1.7715802020918499E+19</v>
      </c>
    </row>
    <row r="171" spans="3:14">
      <c r="C171" s="24" t="b">
        <v>0</v>
      </c>
      <c r="D171" s="137">
        <v>13</v>
      </c>
      <c r="E171" s="138">
        <v>8</v>
      </c>
      <c r="F171" s="137">
        <v>351</v>
      </c>
      <c r="G171" s="137">
        <v>158</v>
      </c>
      <c r="H171" s="137">
        <v>4363</v>
      </c>
      <c r="I171" s="137">
        <v>13</v>
      </c>
      <c r="J171" s="137">
        <v>73</v>
      </c>
      <c r="K171" s="137" t="s">
        <v>69</v>
      </c>
      <c r="L171" s="137" t="s">
        <v>153</v>
      </c>
      <c r="M171" s="139">
        <v>0</v>
      </c>
      <c r="N171" s="139">
        <v>1.6954825793588001E+19</v>
      </c>
    </row>
    <row r="172" spans="3:14">
      <c r="C172" s="24" t="b">
        <v>0</v>
      </c>
      <c r="D172" s="137">
        <v>14</v>
      </c>
      <c r="E172" s="138">
        <v>8</v>
      </c>
      <c r="F172" s="137">
        <v>318</v>
      </c>
      <c r="G172" s="137">
        <v>150</v>
      </c>
      <c r="H172" s="137">
        <v>4237</v>
      </c>
      <c r="I172" s="137">
        <v>14.5</v>
      </c>
      <c r="J172" s="137">
        <v>73</v>
      </c>
      <c r="K172" s="137" t="s">
        <v>69</v>
      </c>
      <c r="L172" s="137" t="s">
        <v>154</v>
      </c>
      <c r="M172" s="139">
        <v>0</v>
      </c>
      <c r="N172" s="139">
        <v>1.54951721440053E+19</v>
      </c>
    </row>
    <row r="173" spans="3:14">
      <c r="C173" s="24" t="b">
        <v>0</v>
      </c>
      <c r="D173" s="137">
        <v>13</v>
      </c>
      <c r="E173" s="138">
        <v>8</v>
      </c>
      <c r="F173" s="137">
        <v>440</v>
      </c>
      <c r="G173" s="137">
        <v>215</v>
      </c>
      <c r="H173" s="137">
        <v>4735</v>
      </c>
      <c r="I173" s="137">
        <v>11</v>
      </c>
      <c r="J173" s="137">
        <v>73</v>
      </c>
      <c r="K173" s="137" t="s">
        <v>69</v>
      </c>
      <c r="L173" s="137" t="s">
        <v>155</v>
      </c>
      <c r="M173" s="139">
        <v>0</v>
      </c>
      <c r="N173" s="139">
        <v>1.2976567862418201E+19</v>
      </c>
    </row>
    <row r="174" spans="3:14">
      <c r="C174" s="24" t="b">
        <v>0</v>
      </c>
      <c r="D174" s="137">
        <v>12</v>
      </c>
      <c r="E174" s="138">
        <v>8</v>
      </c>
      <c r="F174" s="137">
        <v>455</v>
      </c>
      <c r="G174" s="137">
        <v>225</v>
      </c>
      <c r="H174" s="137">
        <v>4951</v>
      </c>
      <c r="I174" s="137">
        <v>11</v>
      </c>
      <c r="J174" s="137">
        <v>73</v>
      </c>
      <c r="K174" s="137" t="s">
        <v>69</v>
      </c>
      <c r="L174" s="137" t="s">
        <v>156</v>
      </c>
      <c r="M174" s="139">
        <v>0</v>
      </c>
      <c r="N174" s="139">
        <v>7.8403173206140897E+18</v>
      </c>
    </row>
    <row r="175" spans="3:14">
      <c r="C175" s="24" t="b">
        <v>0</v>
      </c>
      <c r="D175" s="137">
        <v>13</v>
      </c>
      <c r="E175" s="138">
        <v>8</v>
      </c>
      <c r="F175" s="137">
        <v>360</v>
      </c>
      <c r="G175" s="137">
        <v>175</v>
      </c>
      <c r="H175" s="137">
        <v>3821</v>
      </c>
      <c r="I175" s="137">
        <v>11</v>
      </c>
      <c r="J175" s="137">
        <v>73</v>
      </c>
      <c r="K175" s="137" t="s">
        <v>69</v>
      </c>
      <c r="L175" s="137" t="s">
        <v>157</v>
      </c>
      <c r="M175" s="139">
        <v>0</v>
      </c>
      <c r="N175" s="139">
        <v>9.4458907007900099E+18</v>
      </c>
    </row>
    <row r="176" spans="3:14">
      <c r="C176" s="24" t="b">
        <v>0</v>
      </c>
      <c r="D176" s="137">
        <v>18</v>
      </c>
      <c r="E176" s="138">
        <v>6</v>
      </c>
      <c r="F176" s="137">
        <v>225</v>
      </c>
      <c r="G176" s="137">
        <v>105</v>
      </c>
      <c r="H176" s="137">
        <v>3121</v>
      </c>
      <c r="I176" s="137">
        <v>16.5</v>
      </c>
      <c r="J176" s="137">
        <v>73</v>
      </c>
      <c r="K176" s="137" t="s">
        <v>69</v>
      </c>
      <c r="L176" s="137" t="s">
        <v>158</v>
      </c>
      <c r="M176" s="139">
        <v>0</v>
      </c>
      <c r="N176" s="139">
        <v>1.7085847795289201E+19</v>
      </c>
    </row>
    <row r="177" spans="3:14">
      <c r="C177" s="24" t="b">
        <v>0</v>
      </c>
      <c r="D177" s="137">
        <v>16</v>
      </c>
      <c r="E177" s="138">
        <v>6</v>
      </c>
      <c r="F177" s="137">
        <v>250</v>
      </c>
      <c r="G177" s="137">
        <v>100</v>
      </c>
      <c r="H177" s="137">
        <v>3278</v>
      </c>
      <c r="I177" s="137">
        <v>18</v>
      </c>
      <c r="J177" s="137">
        <v>73</v>
      </c>
      <c r="K177" s="137" t="s">
        <v>69</v>
      </c>
      <c r="L177" s="137" t="s">
        <v>159</v>
      </c>
      <c r="M177" s="139">
        <v>0</v>
      </c>
      <c r="N177" s="139">
        <v>3.20528994157999E+18</v>
      </c>
    </row>
    <row r="178" spans="3:14">
      <c r="C178" s="24" t="b">
        <v>0</v>
      </c>
      <c r="D178" s="137">
        <v>18</v>
      </c>
      <c r="E178" s="138">
        <v>6</v>
      </c>
      <c r="F178" s="137">
        <v>232</v>
      </c>
      <c r="G178" s="137">
        <v>100</v>
      </c>
      <c r="H178" s="137">
        <v>2945</v>
      </c>
      <c r="I178" s="137">
        <v>16</v>
      </c>
      <c r="J178" s="137">
        <v>73</v>
      </c>
      <c r="K178" s="137" t="s">
        <v>69</v>
      </c>
      <c r="L178" s="137" t="s">
        <v>88</v>
      </c>
      <c r="M178" s="139">
        <v>0</v>
      </c>
      <c r="N178" s="139">
        <v>1.5709431706168901E+18</v>
      </c>
    </row>
    <row r="179" spans="3:14">
      <c r="C179" s="24" t="b">
        <v>0</v>
      </c>
      <c r="D179" s="137">
        <v>18</v>
      </c>
      <c r="E179" s="138">
        <v>6</v>
      </c>
      <c r="F179" s="137">
        <v>250</v>
      </c>
      <c r="G179" s="137">
        <v>88</v>
      </c>
      <c r="H179" s="137">
        <v>3021</v>
      </c>
      <c r="I179" s="137">
        <v>16.5</v>
      </c>
      <c r="J179" s="137">
        <v>73</v>
      </c>
      <c r="K179" s="137" t="s">
        <v>69</v>
      </c>
      <c r="L179" s="137" t="s">
        <v>89</v>
      </c>
      <c r="M179" s="139">
        <v>0</v>
      </c>
      <c r="N179" s="139">
        <v>9.8498208360280105E+18</v>
      </c>
    </row>
    <row r="180" spans="3:14">
      <c r="C180" s="24" t="b">
        <v>0</v>
      </c>
      <c r="D180" s="137">
        <v>23</v>
      </c>
      <c r="E180" s="138">
        <v>6</v>
      </c>
      <c r="F180" s="137">
        <v>198</v>
      </c>
      <c r="G180" s="137">
        <v>95</v>
      </c>
      <c r="H180" s="137">
        <v>2904</v>
      </c>
      <c r="I180" s="137">
        <v>16</v>
      </c>
      <c r="J180" s="137">
        <v>73</v>
      </c>
      <c r="K180" s="137" t="s">
        <v>69</v>
      </c>
      <c r="L180" s="137" t="s">
        <v>87</v>
      </c>
      <c r="M180" s="139">
        <v>0</v>
      </c>
      <c r="N180" s="139">
        <v>1.19909995823517E+19</v>
      </c>
    </row>
    <row r="181" spans="3:14">
      <c r="C181" s="24" t="b">
        <v>0</v>
      </c>
      <c r="D181" s="137">
        <v>26</v>
      </c>
      <c r="E181" s="138">
        <v>4</v>
      </c>
      <c r="F181" s="137">
        <v>97</v>
      </c>
      <c r="G181" s="137">
        <v>46</v>
      </c>
      <c r="H181" s="137">
        <v>1950</v>
      </c>
      <c r="I181" s="137">
        <v>21</v>
      </c>
      <c r="J181" s="137">
        <v>73</v>
      </c>
      <c r="K181" s="137" t="s">
        <v>91</v>
      </c>
      <c r="L181" s="137" t="s">
        <v>160</v>
      </c>
      <c r="M181" s="139">
        <v>0</v>
      </c>
      <c r="N181" s="139">
        <v>3.6718929752849101E+18</v>
      </c>
    </row>
    <row r="182" spans="3:14">
      <c r="C182" s="24" t="b">
        <v>0</v>
      </c>
      <c r="D182" s="137">
        <v>11</v>
      </c>
      <c r="E182" s="138">
        <v>8</v>
      </c>
      <c r="F182" s="137">
        <v>400</v>
      </c>
      <c r="G182" s="137">
        <v>150</v>
      </c>
      <c r="H182" s="137">
        <v>4997</v>
      </c>
      <c r="I182" s="137">
        <v>14</v>
      </c>
      <c r="J182" s="137">
        <v>73</v>
      </c>
      <c r="K182" s="137" t="s">
        <v>69</v>
      </c>
      <c r="L182" s="137" t="s">
        <v>77</v>
      </c>
      <c r="M182" s="139">
        <v>0</v>
      </c>
      <c r="N182" s="139">
        <v>3.2320032362904801E+18</v>
      </c>
    </row>
    <row r="183" spans="3:14">
      <c r="C183" s="24" t="b">
        <v>0</v>
      </c>
      <c r="D183" s="137">
        <v>12</v>
      </c>
      <c r="E183" s="138">
        <v>8</v>
      </c>
      <c r="F183" s="137">
        <v>400</v>
      </c>
      <c r="G183" s="137">
        <v>167</v>
      </c>
      <c r="H183" s="137">
        <v>4906</v>
      </c>
      <c r="I183" s="137">
        <v>12.5</v>
      </c>
      <c r="J183" s="137">
        <v>73</v>
      </c>
      <c r="K183" s="137" t="s">
        <v>69</v>
      </c>
      <c r="L183" s="137" t="s">
        <v>161</v>
      </c>
      <c r="M183" s="139">
        <v>0</v>
      </c>
      <c r="N183" s="139">
        <v>1.6383166978475801E+19</v>
      </c>
    </row>
    <row r="184" spans="3:14">
      <c r="C184" s="24" t="b">
        <v>0</v>
      </c>
      <c r="D184" s="137">
        <v>13</v>
      </c>
      <c r="E184" s="138">
        <v>8</v>
      </c>
      <c r="F184" s="137">
        <v>360</v>
      </c>
      <c r="G184" s="137">
        <v>170</v>
      </c>
      <c r="H184" s="137">
        <v>4654</v>
      </c>
      <c r="I184" s="137">
        <v>13</v>
      </c>
      <c r="J184" s="137">
        <v>73</v>
      </c>
      <c r="K184" s="137" t="s">
        <v>69</v>
      </c>
      <c r="L184" s="137" t="s">
        <v>162</v>
      </c>
      <c r="M184" s="139">
        <v>0</v>
      </c>
      <c r="N184" s="139">
        <v>1.4330344922773801E+19</v>
      </c>
    </row>
    <row r="185" spans="3:14">
      <c r="C185" s="24" t="b">
        <v>0</v>
      </c>
      <c r="D185" s="137">
        <v>12</v>
      </c>
      <c r="E185" s="138">
        <v>8</v>
      </c>
      <c r="F185" s="137">
        <v>350</v>
      </c>
      <c r="G185" s="137">
        <v>180</v>
      </c>
      <c r="H185" s="137">
        <v>4499</v>
      </c>
      <c r="I185" s="137">
        <v>12.5</v>
      </c>
      <c r="J185" s="137">
        <v>73</v>
      </c>
      <c r="K185" s="137" t="s">
        <v>69</v>
      </c>
      <c r="L185" s="137" t="s">
        <v>163</v>
      </c>
      <c r="M185" s="139">
        <v>0</v>
      </c>
      <c r="N185" s="139">
        <v>4.16178385769246E+18</v>
      </c>
    </row>
    <row r="186" spans="3:14">
      <c r="C186" s="24" t="b">
        <v>0</v>
      </c>
      <c r="D186" s="137">
        <v>18</v>
      </c>
      <c r="E186" s="138">
        <v>6</v>
      </c>
      <c r="F186" s="137">
        <v>232</v>
      </c>
      <c r="G186" s="137">
        <v>100</v>
      </c>
      <c r="H186" s="137">
        <v>2789</v>
      </c>
      <c r="I186" s="137">
        <v>15</v>
      </c>
      <c r="J186" s="137">
        <v>73</v>
      </c>
      <c r="K186" s="137" t="s">
        <v>69</v>
      </c>
      <c r="L186" s="137" t="s">
        <v>97</v>
      </c>
      <c r="M186" s="139">
        <v>0</v>
      </c>
      <c r="N186" s="139">
        <v>4.1275063456364902E+18</v>
      </c>
    </row>
    <row r="187" spans="3:14">
      <c r="C187" s="24" t="b">
        <v>0</v>
      </c>
      <c r="D187" s="137">
        <v>20</v>
      </c>
      <c r="E187" s="138">
        <v>4</v>
      </c>
      <c r="F187" s="137">
        <v>97</v>
      </c>
      <c r="G187" s="137">
        <v>88</v>
      </c>
      <c r="H187" s="137">
        <v>2279</v>
      </c>
      <c r="I187" s="137">
        <v>19</v>
      </c>
      <c r="J187" s="137">
        <v>73</v>
      </c>
      <c r="K187" s="137" t="s">
        <v>85</v>
      </c>
      <c r="L187" s="137" t="s">
        <v>164</v>
      </c>
      <c r="M187" s="139">
        <v>0</v>
      </c>
      <c r="N187" s="139">
        <v>2.3485818873010002E+18</v>
      </c>
    </row>
    <row r="188" spans="3:14">
      <c r="C188" s="24" t="b">
        <v>0</v>
      </c>
      <c r="D188" s="137">
        <v>21</v>
      </c>
      <c r="E188" s="138">
        <v>4</v>
      </c>
      <c r="F188" s="137">
        <v>140</v>
      </c>
      <c r="G188" s="137">
        <v>72</v>
      </c>
      <c r="H188" s="137">
        <v>2401</v>
      </c>
      <c r="I188" s="137">
        <v>19.5</v>
      </c>
      <c r="J188" s="137">
        <v>73</v>
      </c>
      <c r="K188" s="137" t="s">
        <v>69</v>
      </c>
      <c r="L188" s="137" t="s">
        <v>126</v>
      </c>
      <c r="M188" s="139">
        <v>0</v>
      </c>
      <c r="N188" s="139">
        <v>1.34998298542388E+19</v>
      </c>
    </row>
    <row r="189" spans="3:14">
      <c r="C189" s="24" t="b">
        <v>0</v>
      </c>
      <c r="D189" s="137">
        <v>22</v>
      </c>
      <c r="E189" s="138">
        <v>4</v>
      </c>
      <c r="F189" s="137">
        <v>108</v>
      </c>
      <c r="G189" s="137">
        <v>94</v>
      </c>
      <c r="H189" s="137">
        <v>2379</v>
      </c>
      <c r="I189" s="137">
        <v>16.5</v>
      </c>
      <c r="J189" s="137">
        <v>73</v>
      </c>
      <c r="K189" s="137" t="s">
        <v>85</v>
      </c>
      <c r="L189" s="137" t="s">
        <v>165</v>
      </c>
      <c r="M189" s="139">
        <v>0</v>
      </c>
      <c r="N189" s="139">
        <v>3.7287420475365499E+18</v>
      </c>
    </row>
    <row r="190" spans="3:14">
      <c r="C190" s="24" t="b">
        <v>0</v>
      </c>
      <c r="D190" s="137">
        <v>18</v>
      </c>
      <c r="E190" s="138">
        <v>3</v>
      </c>
      <c r="F190" s="137">
        <v>70</v>
      </c>
      <c r="G190" s="137">
        <v>90</v>
      </c>
      <c r="H190" s="137">
        <v>2124</v>
      </c>
      <c r="I190" s="137">
        <v>13.5</v>
      </c>
      <c r="J190" s="137">
        <v>73</v>
      </c>
      <c r="K190" s="137" t="s">
        <v>85</v>
      </c>
      <c r="L190" s="137" t="s">
        <v>166</v>
      </c>
      <c r="M190" s="139">
        <v>0</v>
      </c>
      <c r="N190" s="139">
        <v>1.2573292852600799E+19</v>
      </c>
    </row>
    <row r="191" spans="3:14">
      <c r="C191" s="24" t="b">
        <v>0</v>
      </c>
      <c r="D191" s="137">
        <v>19</v>
      </c>
      <c r="E191" s="138">
        <v>4</v>
      </c>
      <c r="F191" s="137">
        <v>122</v>
      </c>
      <c r="G191" s="137">
        <v>85</v>
      </c>
      <c r="H191" s="137">
        <v>2310</v>
      </c>
      <c r="I191" s="137">
        <v>18.5</v>
      </c>
      <c r="J191" s="137">
        <v>73</v>
      </c>
      <c r="K191" s="137" t="s">
        <v>69</v>
      </c>
      <c r="L191" s="137" t="s">
        <v>70</v>
      </c>
      <c r="M191" s="139">
        <v>0</v>
      </c>
      <c r="N191" s="139">
        <v>1.4164419532522899E+19</v>
      </c>
    </row>
    <row r="192" spans="3:14">
      <c r="C192" s="24" t="b">
        <v>0</v>
      </c>
      <c r="D192" s="137">
        <v>21</v>
      </c>
      <c r="E192" s="138">
        <v>6</v>
      </c>
      <c r="F192" s="137">
        <v>155</v>
      </c>
      <c r="G192" s="137">
        <v>107</v>
      </c>
      <c r="H192" s="137">
        <v>2472</v>
      </c>
      <c r="I192" s="137">
        <v>14</v>
      </c>
      <c r="J192" s="137">
        <v>73</v>
      </c>
      <c r="K192" s="137" t="s">
        <v>69</v>
      </c>
      <c r="L192" s="137" t="s">
        <v>167</v>
      </c>
      <c r="M192" s="139">
        <v>0</v>
      </c>
      <c r="N192" s="139">
        <v>1.53985545340283E+19</v>
      </c>
    </row>
    <row r="193" spans="3:14">
      <c r="C193" s="24" t="b">
        <v>0</v>
      </c>
      <c r="D193" s="137">
        <v>26</v>
      </c>
      <c r="E193" s="138">
        <v>4</v>
      </c>
      <c r="F193" s="137">
        <v>98</v>
      </c>
      <c r="G193" s="137">
        <v>90</v>
      </c>
      <c r="H193" s="137">
        <v>2265</v>
      </c>
      <c r="I193" s="137">
        <v>15.5</v>
      </c>
      <c r="J193" s="137">
        <v>73</v>
      </c>
      <c r="K193" s="137" t="s">
        <v>91</v>
      </c>
      <c r="L193" s="137" t="s">
        <v>168</v>
      </c>
      <c r="M193" s="139">
        <v>0</v>
      </c>
      <c r="N193" s="139">
        <v>2.13664875977251E+18</v>
      </c>
    </row>
    <row r="194" spans="3:14">
      <c r="C194" s="24" t="b">
        <v>0</v>
      </c>
      <c r="D194" s="137">
        <v>15</v>
      </c>
      <c r="E194" s="138">
        <v>8</v>
      </c>
      <c r="F194" s="137">
        <v>350</v>
      </c>
      <c r="G194" s="137">
        <v>145</v>
      </c>
      <c r="H194" s="137">
        <v>4082</v>
      </c>
      <c r="I194" s="137">
        <v>13</v>
      </c>
      <c r="J194" s="137">
        <v>73</v>
      </c>
      <c r="K194" s="137" t="s">
        <v>69</v>
      </c>
      <c r="L194" s="137" t="s">
        <v>169</v>
      </c>
      <c r="M194" s="139">
        <v>0</v>
      </c>
      <c r="N194" s="139">
        <v>1.8361797348491801E+19</v>
      </c>
    </row>
    <row r="195" spans="3:14">
      <c r="C195" s="24" t="b">
        <v>0</v>
      </c>
      <c r="D195" s="137">
        <v>16</v>
      </c>
      <c r="E195" s="138">
        <v>8</v>
      </c>
      <c r="F195" s="137">
        <v>400</v>
      </c>
      <c r="G195" s="137">
        <v>230</v>
      </c>
      <c r="H195" s="137">
        <v>4278</v>
      </c>
      <c r="I195" s="137">
        <v>9.5</v>
      </c>
      <c r="J195" s="137">
        <v>73</v>
      </c>
      <c r="K195" s="137" t="s">
        <v>69</v>
      </c>
      <c r="L195" s="137" t="s">
        <v>170</v>
      </c>
      <c r="M195" s="139">
        <v>0</v>
      </c>
      <c r="N195" s="139">
        <v>1.43780127084353E+19</v>
      </c>
    </row>
    <row r="196" spans="3:14">
      <c r="C196" s="24" t="b">
        <v>0</v>
      </c>
      <c r="D196" s="137">
        <v>29</v>
      </c>
      <c r="E196" s="138">
        <v>4</v>
      </c>
      <c r="F196" s="137">
        <v>68</v>
      </c>
      <c r="G196" s="137">
        <v>49</v>
      </c>
      <c r="H196" s="137">
        <v>1867</v>
      </c>
      <c r="I196" s="137">
        <v>19.5</v>
      </c>
      <c r="J196" s="137">
        <v>73</v>
      </c>
      <c r="K196" s="137" t="s">
        <v>91</v>
      </c>
      <c r="L196" s="137" t="s">
        <v>171</v>
      </c>
      <c r="M196" s="139">
        <v>0</v>
      </c>
      <c r="N196" s="139">
        <v>1.9396897642304602E+17</v>
      </c>
    </row>
    <row r="197" spans="3:14">
      <c r="C197" s="24" t="b">
        <v>0</v>
      </c>
      <c r="D197" s="137">
        <v>24</v>
      </c>
      <c r="E197" s="138">
        <v>4</v>
      </c>
      <c r="F197" s="137">
        <v>116</v>
      </c>
      <c r="G197" s="137">
        <v>75</v>
      </c>
      <c r="H197" s="137">
        <v>2158</v>
      </c>
      <c r="I197" s="137">
        <v>15.5</v>
      </c>
      <c r="J197" s="137">
        <v>73</v>
      </c>
      <c r="K197" s="137" t="s">
        <v>91</v>
      </c>
      <c r="L197" s="137" t="s">
        <v>172</v>
      </c>
      <c r="M197" s="139">
        <v>0</v>
      </c>
      <c r="N197" s="139">
        <v>1.66396283169577E+19</v>
      </c>
    </row>
    <row r="198" spans="3:14">
      <c r="C198" s="24" t="b">
        <v>0</v>
      </c>
      <c r="D198" s="137">
        <v>20</v>
      </c>
      <c r="E198" s="138">
        <v>4</v>
      </c>
      <c r="F198" s="137">
        <v>114</v>
      </c>
      <c r="G198" s="137">
        <v>91</v>
      </c>
      <c r="H198" s="137">
        <v>2582</v>
      </c>
      <c r="I198" s="137">
        <v>14</v>
      </c>
      <c r="J198" s="137">
        <v>73</v>
      </c>
      <c r="K198" s="137" t="s">
        <v>91</v>
      </c>
      <c r="L198" s="137" t="s">
        <v>173</v>
      </c>
      <c r="M198" s="139">
        <v>0</v>
      </c>
      <c r="N198" s="139">
        <v>1.63223497526814E+19</v>
      </c>
    </row>
    <row r="199" spans="3:14">
      <c r="C199" s="24" t="b">
        <v>0</v>
      </c>
      <c r="D199" s="137">
        <v>19</v>
      </c>
      <c r="E199" s="138">
        <v>4</v>
      </c>
      <c r="F199" s="137">
        <v>121</v>
      </c>
      <c r="G199" s="137">
        <v>112</v>
      </c>
      <c r="H199" s="137">
        <v>2868</v>
      </c>
      <c r="I199" s="137">
        <v>15.5</v>
      </c>
      <c r="J199" s="137">
        <v>73</v>
      </c>
      <c r="K199" s="137" t="s">
        <v>91</v>
      </c>
      <c r="L199" s="137" t="s">
        <v>174</v>
      </c>
      <c r="M199" s="139">
        <v>0</v>
      </c>
      <c r="N199" s="139">
        <v>1.5716730794949401E+19</v>
      </c>
    </row>
    <row r="200" spans="3:14">
      <c r="C200" s="24" t="b">
        <v>0</v>
      </c>
      <c r="D200" s="137">
        <v>15</v>
      </c>
      <c r="E200" s="138">
        <v>8</v>
      </c>
      <c r="F200" s="137">
        <v>318</v>
      </c>
      <c r="G200" s="137">
        <v>150</v>
      </c>
      <c r="H200" s="137">
        <v>3399</v>
      </c>
      <c r="I200" s="137">
        <v>11</v>
      </c>
      <c r="J200" s="137">
        <v>73</v>
      </c>
      <c r="K200" s="137" t="s">
        <v>69</v>
      </c>
      <c r="L200" s="137" t="s">
        <v>175</v>
      </c>
      <c r="M200" s="139">
        <v>0</v>
      </c>
      <c r="N200" s="139">
        <v>5.9044381154495201E+18</v>
      </c>
    </row>
    <row r="201" spans="3:14">
      <c r="C201" s="24" t="b">
        <v>0</v>
      </c>
      <c r="D201" s="137">
        <v>24</v>
      </c>
      <c r="E201" s="138">
        <v>4</v>
      </c>
      <c r="F201" s="137">
        <v>121</v>
      </c>
      <c r="G201" s="137">
        <v>110</v>
      </c>
      <c r="H201" s="137">
        <v>2660</v>
      </c>
      <c r="I201" s="137">
        <v>14</v>
      </c>
      <c r="J201" s="137">
        <v>73</v>
      </c>
      <c r="K201" s="137" t="s">
        <v>91</v>
      </c>
      <c r="L201" s="137" t="s">
        <v>176</v>
      </c>
      <c r="M201" s="139">
        <v>0</v>
      </c>
      <c r="N201" s="139">
        <v>1.6597733131855999E+19</v>
      </c>
    </row>
    <row r="202" spans="3:14">
      <c r="C202" s="24" t="b">
        <v>0</v>
      </c>
      <c r="D202" s="137">
        <v>20</v>
      </c>
      <c r="E202" s="138">
        <v>6</v>
      </c>
      <c r="F202" s="137">
        <v>156</v>
      </c>
      <c r="G202" s="137">
        <v>122</v>
      </c>
      <c r="H202" s="137">
        <v>2807</v>
      </c>
      <c r="I202" s="137">
        <v>13.5</v>
      </c>
      <c r="J202" s="137">
        <v>73</v>
      </c>
      <c r="K202" s="137" t="s">
        <v>85</v>
      </c>
      <c r="L202" s="137" t="s">
        <v>177</v>
      </c>
      <c r="M202" s="139">
        <v>0</v>
      </c>
      <c r="N202" s="139">
        <v>1.28331440330455E+19</v>
      </c>
    </row>
    <row r="203" spans="3:14">
      <c r="C203" s="24" t="b">
        <v>0</v>
      </c>
      <c r="D203" s="137">
        <v>11</v>
      </c>
      <c r="E203" s="138">
        <v>8</v>
      </c>
      <c r="F203" s="137">
        <v>350</v>
      </c>
      <c r="G203" s="137">
        <v>180</v>
      </c>
      <c r="H203" s="137">
        <v>3664</v>
      </c>
      <c r="I203" s="137">
        <v>11</v>
      </c>
      <c r="J203" s="137">
        <v>73</v>
      </c>
      <c r="K203" s="137" t="s">
        <v>69</v>
      </c>
      <c r="L203" s="137" t="s">
        <v>178</v>
      </c>
      <c r="M203" s="139">
        <v>0</v>
      </c>
      <c r="N203" s="139">
        <v>1.60827277978746E+19</v>
      </c>
    </row>
    <row r="204" spans="3:14">
      <c r="C204" s="24" t="b">
        <v>0</v>
      </c>
      <c r="D204" s="137">
        <v>20</v>
      </c>
      <c r="E204" s="138">
        <v>6</v>
      </c>
      <c r="F204" s="137">
        <v>198</v>
      </c>
      <c r="G204" s="137">
        <v>95</v>
      </c>
      <c r="H204" s="137">
        <v>3102</v>
      </c>
      <c r="I204" s="137">
        <v>16.5</v>
      </c>
      <c r="J204" s="137">
        <v>74</v>
      </c>
      <c r="K204" s="137" t="s">
        <v>69</v>
      </c>
      <c r="L204" s="137" t="s">
        <v>87</v>
      </c>
      <c r="M204" s="139">
        <v>0</v>
      </c>
      <c r="N204" s="139">
        <v>1.13592344021469E+19</v>
      </c>
    </row>
    <row r="205" spans="3:14">
      <c r="C205" s="24" t="b">
        <v>0</v>
      </c>
      <c r="D205" s="137">
        <v>21</v>
      </c>
      <c r="E205" s="138">
        <v>6</v>
      </c>
      <c r="F205" s="137">
        <v>200</v>
      </c>
      <c r="G205" s="137"/>
      <c r="H205" s="137">
        <v>2875</v>
      </c>
      <c r="I205" s="137">
        <v>17</v>
      </c>
      <c r="J205" s="137">
        <v>74</v>
      </c>
      <c r="K205" s="137" t="s">
        <v>69</v>
      </c>
      <c r="L205" s="137" t="s">
        <v>89</v>
      </c>
      <c r="M205" s="139">
        <v>1</v>
      </c>
      <c r="N205" s="139">
        <v>9.6135857228376105E+18</v>
      </c>
    </row>
    <row r="206" spans="3:14">
      <c r="C206" s="24" t="b">
        <v>0</v>
      </c>
      <c r="D206" s="137">
        <v>19</v>
      </c>
      <c r="E206" s="138">
        <v>6</v>
      </c>
      <c r="F206" s="137">
        <v>232</v>
      </c>
      <c r="G206" s="137">
        <v>100</v>
      </c>
      <c r="H206" s="137">
        <v>2901</v>
      </c>
      <c r="I206" s="137">
        <v>16</v>
      </c>
      <c r="J206" s="137">
        <v>74</v>
      </c>
      <c r="K206" s="137" t="s">
        <v>69</v>
      </c>
      <c r="L206" s="137" t="s">
        <v>88</v>
      </c>
      <c r="M206" s="139">
        <v>0</v>
      </c>
      <c r="N206" s="139">
        <v>1.1808438735795599E+19</v>
      </c>
    </row>
    <row r="207" spans="3:14">
      <c r="C207" s="24" t="b">
        <v>0</v>
      </c>
      <c r="D207" s="137">
        <v>15</v>
      </c>
      <c r="E207" s="138">
        <v>6</v>
      </c>
      <c r="F207" s="137">
        <v>250</v>
      </c>
      <c r="G207" s="137">
        <v>100</v>
      </c>
      <c r="H207" s="137">
        <v>3336</v>
      </c>
      <c r="I207" s="137">
        <v>17</v>
      </c>
      <c r="J207" s="137">
        <v>74</v>
      </c>
      <c r="K207" s="137" t="s">
        <v>69</v>
      </c>
      <c r="L207" s="137" t="s">
        <v>179</v>
      </c>
      <c r="M207" s="139">
        <v>0</v>
      </c>
      <c r="N207" s="139">
        <v>1.4950200384393501E+19</v>
      </c>
    </row>
    <row r="208" spans="3:14">
      <c r="C208" s="24" t="b">
        <v>0</v>
      </c>
      <c r="D208" s="137">
        <v>31</v>
      </c>
      <c r="E208" s="138">
        <v>4</v>
      </c>
      <c r="F208" s="137">
        <v>79</v>
      </c>
      <c r="G208" s="137">
        <v>67</v>
      </c>
      <c r="H208" s="137">
        <v>1950</v>
      </c>
      <c r="I208" s="137">
        <v>19</v>
      </c>
      <c r="J208" s="137">
        <v>74</v>
      </c>
      <c r="K208" s="137" t="s">
        <v>85</v>
      </c>
      <c r="L208" s="137" t="s">
        <v>180</v>
      </c>
      <c r="M208" s="139">
        <v>0</v>
      </c>
      <c r="N208" s="139">
        <v>8.4919704117953802E+18</v>
      </c>
    </row>
    <row r="209" spans="3:14">
      <c r="C209" s="24" t="b">
        <v>0</v>
      </c>
      <c r="D209" s="137">
        <v>26</v>
      </c>
      <c r="E209" s="138">
        <v>4</v>
      </c>
      <c r="F209" s="137">
        <v>122</v>
      </c>
      <c r="G209" s="137">
        <v>80</v>
      </c>
      <c r="H209" s="137">
        <v>2451</v>
      </c>
      <c r="I209" s="137">
        <v>16.5</v>
      </c>
      <c r="J209" s="137">
        <v>74</v>
      </c>
      <c r="K209" s="137" t="s">
        <v>69</v>
      </c>
      <c r="L209" s="137" t="s">
        <v>70</v>
      </c>
      <c r="M209" s="139">
        <v>0</v>
      </c>
      <c r="N209" s="139">
        <v>6.0549010424676598E+18</v>
      </c>
    </row>
    <row r="210" spans="3:14">
      <c r="C210" s="24" t="b">
        <v>0</v>
      </c>
      <c r="D210" s="137">
        <v>32</v>
      </c>
      <c r="E210" s="138">
        <v>4</v>
      </c>
      <c r="F210" s="137">
        <v>71</v>
      </c>
      <c r="G210" s="137">
        <v>65</v>
      </c>
      <c r="H210" s="137">
        <v>1836</v>
      </c>
      <c r="I210" s="137">
        <v>21</v>
      </c>
      <c r="J210" s="137">
        <v>74</v>
      </c>
      <c r="K210" s="137" t="s">
        <v>85</v>
      </c>
      <c r="L210" s="137" t="s">
        <v>119</v>
      </c>
      <c r="M210" s="139">
        <v>0</v>
      </c>
      <c r="N210" s="139">
        <v>1.00939560227397E+18</v>
      </c>
    </row>
    <row r="211" spans="3:14">
      <c r="C211" s="24" t="b">
        <v>0</v>
      </c>
      <c r="D211" s="137">
        <v>25</v>
      </c>
      <c r="E211" s="138">
        <v>4</v>
      </c>
      <c r="F211" s="137">
        <v>140</v>
      </c>
      <c r="G211" s="137">
        <v>75</v>
      </c>
      <c r="H211" s="137">
        <v>2542</v>
      </c>
      <c r="I211" s="137">
        <v>17</v>
      </c>
      <c r="J211" s="137">
        <v>74</v>
      </c>
      <c r="K211" s="137" t="s">
        <v>69</v>
      </c>
      <c r="L211" s="137" t="s">
        <v>126</v>
      </c>
      <c r="M211" s="139">
        <v>0</v>
      </c>
      <c r="N211" s="139">
        <v>1.37342917771578E+19</v>
      </c>
    </row>
    <row r="212" spans="3:14">
      <c r="C212" s="24" t="b">
        <v>0</v>
      </c>
      <c r="D212" s="137">
        <v>16</v>
      </c>
      <c r="E212" s="138">
        <v>6</v>
      </c>
      <c r="F212" s="137">
        <v>250</v>
      </c>
      <c r="G212" s="137">
        <v>100</v>
      </c>
      <c r="H212" s="137">
        <v>3781</v>
      </c>
      <c r="I212" s="137">
        <v>17</v>
      </c>
      <c r="J212" s="137">
        <v>74</v>
      </c>
      <c r="K212" s="137" t="s">
        <v>69</v>
      </c>
      <c r="L212" s="137" t="s">
        <v>181</v>
      </c>
      <c r="M212" s="139">
        <v>0</v>
      </c>
      <c r="N212" s="139">
        <v>2.3963815842105001E+18</v>
      </c>
    </row>
    <row r="213" spans="3:14">
      <c r="C213" s="24" t="b">
        <v>0</v>
      </c>
      <c r="D213" s="137">
        <v>16</v>
      </c>
      <c r="E213" s="138">
        <v>6</v>
      </c>
      <c r="F213" s="137">
        <v>258</v>
      </c>
      <c r="G213" s="137">
        <v>110</v>
      </c>
      <c r="H213" s="137">
        <v>3632</v>
      </c>
      <c r="I213" s="137">
        <v>18</v>
      </c>
      <c r="J213" s="137">
        <v>74</v>
      </c>
      <c r="K213" s="137" t="s">
        <v>69</v>
      </c>
      <c r="L213" s="137" t="s">
        <v>106</v>
      </c>
      <c r="M213" s="139">
        <v>0</v>
      </c>
      <c r="N213" s="139">
        <v>1.1304139118078501E+19</v>
      </c>
    </row>
    <row r="214" spans="3:14">
      <c r="C214" s="24" t="b">
        <v>0</v>
      </c>
      <c r="D214" s="137">
        <v>18</v>
      </c>
      <c r="E214" s="138">
        <v>6</v>
      </c>
      <c r="F214" s="137">
        <v>225</v>
      </c>
      <c r="G214" s="137">
        <v>105</v>
      </c>
      <c r="H214" s="137">
        <v>3613</v>
      </c>
      <c r="I214" s="137">
        <v>16.5</v>
      </c>
      <c r="J214" s="137">
        <v>74</v>
      </c>
      <c r="K214" s="137" t="s">
        <v>69</v>
      </c>
      <c r="L214" s="137" t="s">
        <v>182</v>
      </c>
      <c r="M214" s="139">
        <v>0</v>
      </c>
      <c r="N214" s="139">
        <v>1.1125344720726001E+18</v>
      </c>
    </row>
    <row r="215" spans="3:14">
      <c r="C215" s="24" t="b">
        <v>0</v>
      </c>
      <c r="D215" s="137">
        <v>16</v>
      </c>
      <c r="E215" s="138">
        <v>8</v>
      </c>
      <c r="F215" s="137">
        <v>302</v>
      </c>
      <c r="G215" s="137">
        <v>140</v>
      </c>
      <c r="H215" s="137">
        <v>4141</v>
      </c>
      <c r="I215" s="137">
        <v>14</v>
      </c>
      <c r="J215" s="137">
        <v>74</v>
      </c>
      <c r="K215" s="137" t="s">
        <v>69</v>
      </c>
      <c r="L215" s="137" t="s">
        <v>149</v>
      </c>
      <c r="M215" s="139">
        <v>0</v>
      </c>
      <c r="N215" s="139">
        <v>8.4771743701713705E+18</v>
      </c>
    </row>
    <row r="216" spans="3:14">
      <c r="C216" s="24" t="b">
        <v>0</v>
      </c>
      <c r="D216" s="137">
        <v>13</v>
      </c>
      <c r="E216" s="138">
        <v>8</v>
      </c>
      <c r="F216" s="137">
        <v>350</v>
      </c>
      <c r="G216" s="137">
        <v>150</v>
      </c>
      <c r="H216" s="137">
        <v>4699</v>
      </c>
      <c r="I216" s="137">
        <v>14.5</v>
      </c>
      <c r="J216" s="137">
        <v>74</v>
      </c>
      <c r="K216" s="137" t="s">
        <v>69</v>
      </c>
      <c r="L216" s="137" t="s">
        <v>183</v>
      </c>
      <c r="M216" s="139">
        <v>0</v>
      </c>
      <c r="N216" s="139">
        <v>1.6200254319284699E+19</v>
      </c>
    </row>
    <row r="217" spans="3:14">
      <c r="C217" s="24" t="b">
        <v>0</v>
      </c>
      <c r="D217" s="137">
        <v>14</v>
      </c>
      <c r="E217" s="138">
        <v>8</v>
      </c>
      <c r="F217" s="137">
        <v>318</v>
      </c>
      <c r="G217" s="137">
        <v>150</v>
      </c>
      <c r="H217" s="137">
        <v>4457</v>
      </c>
      <c r="I217" s="137">
        <v>13.5</v>
      </c>
      <c r="J217" s="137">
        <v>74</v>
      </c>
      <c r="K217" s="137" t="s">
        <v>69</v>
      </c>
      <c r="L217" s="137" t="s">
        <v>184</v>
      </c>
      <c r="M217" s="139">
        <v>0</v>
      </c>
      <c r="N217" s="139">
        <v>1.2456995809277399E+19</v>
      </c>
    </row>
    <row r="218" spans="3:14">
      <c r="C218" s="24" t="b">
        <v>0</v>
      </c>
      <c r="D218" s="137">
        <v>14</v>
      </c>
      <c r="E218" s="138">
        <v>8</v>
      </c>
      <c r="F218" s="137">
        <v>302</v>
      </c>
      <c r="G218" s="137">
        <v>140</v>
      </c>
      <c r="H218" s="137">
        <v>4638</v>
      </c>
      <c r="I218" s="137">
        <v>16</v>
      </c>
      <c r="J218" s="137">
        <v>74</v>
      </c>
      <c r="K218" s="137" t="s">
        <v>69</v>
      </c>
      <c r="L218" s="137" t="s">
        <v>136</v>
      </c>
      <c r="M218" s="139">
        <v>0</v>
      </c>
      <c r="N218" s="139">
        <v>1.16269889462807E+19</v>
      </c>
    </row>
    <row r="219" spans="3:14">
      <c r="C219" s="24" t="b">
        <v>0</v>
      </c>
      <c r="D219" s="137">
        <v>14</v>
      </c>
      <c r="E219" s="138">
        <v>8</v>
      </c>
      <c r="F219" s="137">
        <v>304</v>
      </c>
      <c r="G219" s="137">
        <v>150</v>
      </c>
      <c r="H219" s="137">
        <v>4257</v>
      </c>
      <c r="I219" s="137">
        <v>15.5</v>
      </c>
      <c r="J219" s="137">
        <v>74</v>
      </c>
      <c r="K219" s="137" t="s">
        <v>69</v>
      </c>
      <c r="L219" s="137" t="s">
        <v>134</v>
      </c>
      <c r="M219" s="139">
        <v>0</v>
      </c>
      <c r="N219" s="139">
        <v>8.59381655202654E+18</v>
      </c>
    </row>
    <row r="220" spans="3:14">
      <c r="C220" s="24" t="b">
        <v>0</v>
      </c>
      <c r="D220" s="137">
        <v>29</v>
      </c>
      <c r="E220" s="138">
        <v>4</v>
      </c>
      <c r="F220" s="137">
        <v>98</v>
      </c>
      <c r="G220" s="137">
        <v>83</v>
      </c>
      <c r="H220" s="137">
        <v>2219</v>
      </c>
      <c r="I220" s="137">
        <v>16.5</v>
      </c>
      <c r="J220" s="137">
        <v>74</v>
      </c>
      <c r="K220" s="137" t="s">
        <v>91</v>
      </c>
      <c r="L220" s="137" t="s">
        <v>185</v>
      </c>
      <c r="M220" s="139">
        <v>0</v>
      </c>
      <c r="N220" s="139">
        <v>1.7400017005098899E+19</v>
      </c>
    </row>
    <row r="221" spans="3:14">
      <c r="C221" s="24" t="b">
        <v>0</v>
      </c>
      <c r="D221" s="137">
        <v>26</v>
      </c>
      <c r="E221" s="138">
        <v>4</v>
      </c>
      <c r="F221" s="137">
        <v>79</v>
      </c>
      <c r="G221" s="137">
        <v>67</v>
      </c>
      <c r="H221" s="137">
        <v>1963</v>
      </c>
      <c r="I221" s="137">
        <v>15.5</v>
      </c>
      <c r="J221" s="137">
        <v>74</v>
      </c>
      <c r="K221" s="137" t="s">
        <v>91</v>
      </c>
      <c r="L221" s="137" t="s">
        <v>186</v>
      </c>
      <c r="M221" s="139">
        <v>0</v>
      </c>
      <c r="N221" s="139">
        <v>1.4884703059587701E+19</v>
      </c>
    </row>
    <row r="222" spans="3:14">
      <c r="C222" s="24" t="b">
        <v>0</v>
      </c>
      <c r="D222" s="137">
        <v>26</v>
      </c>
      <c r="E222" s="138">
        <v>4</v>
      </c>
      <c r="F222" s="137">
        <v>97</v>
      </c>
      <c r="G222" s="137">
        <v>78</v>
      </c>
      <c r="H222" s="137">
        <v>2300</v>
      </c>
      <c r="I222" s="137">
        <v>14.5</v>
      </c>
      <c r="J222" s="137">
        <v>74</v>
      </c>
      <c r="K222" s="137" t="s">
        <v>91</v>
      </c>
      <c r="L222" s="137" t="s">
        <v>172</v>
      </c>
      <c r="M222" s="139">
        <v>0</v>
      </c>
      <c r="N222" s="139">
        <v>1.7330818774252501E+19</v>
      </c>
    </row>
    <row r="223" spans="3:14">
      <c r="C223" s="24" t="b">
        <v>0</v>
      </c>
      <c r="D223" s="137">
        <v>31</v>
      </c>
      <c r="E223" s="138">
        <v>4</v>
      </c>
      <c r="F223" s="137">
        <v>76</v>
      </c>
      <c r="G223" s="137">
        <v>52</v>
      </c>
      <c r="H223" s="137">
        <v>1649</v>
      </c>
      <c r="I223" s="137">
        <v>16.5</v>
      </c>
      <c r="J223" s="137">
        <v>74</v>
      </c>
      <c r="K223" s="137" t="s">
        <v>85</v>
      </c>
      <c r="L223" s="137" t="s">
        <v>103</v>
      </c>
      <c r="M223" s="139">
        <v>0</v>
      </c>
      <c r="N223" s="139">
        <v>1.38640896895186E+19</v>
      </c>
    </row>
    <row r="224" spans="3:14">
      <c r="C224" s="24" t="b">
        <v>0</v>
      </c>
      <c r="D224" s="137">
        <v>32</v>
      </c>
      <c r="E224" s="138">
        <v>4</v>
      </c>
      <c r="F224" s="137">
        <v>83</v>
      </c>
      <c r="G224" s="137">
        <v>61</v>
      </c>
      <c r="H224" s="137">
        <v>2003</v>
      </c>
      <c r="I224" s="137">
        <v>19</v>
      </c>
      <c r="J224" s="137">
        <v>74</v>
      </c>
      <c r="K224" s="137" t="s">
        <v>85</v>
      </c>
      <c r="L224" s="137" t="s">
        <v>187</v>
      </c>
      <c r="M224" s="139">
        <v>0</v>
      </c>
      <c r="N224" s="139">
        <v>1.09358870417339E+19</v>
      </c>
    </row>
    <row r="225" spans="3:14">
      <c r="C225" s="24" t="b">
        <v>0</v>
      </c>
      <c r="D225" s="137">
        <v>28</v>
      </c>
      <c r="E225" s="138">
        <v>4</v>
      </c>
      <c r="F225" s="137">
        <v>90</v>
      </c>
      <c r="G225" s="137">
        <v>75</v>
      </c>
      <c r="H225" s="137">
        <v>2125</v>
      </c>
      <c r="I225" s="137">
        <v>14.5</v>
      </c>
      <c r="J225" s="137">
        <v>74</v>
      </c>
      <c r="K225" s="137" t="s">
        <v>69</v>
      </c>
      <c r="L225" s="137" t="s">
        <v>188</v>
      </c>
      <c r="M225" s="139">
        <v>0</v>
      </c>
      <c r="N225" s="139">
        <v>7.6860677475656499E+18</v>
      </c>
    </row>
    <row r="226" spans="3:14">
      <c r="C226" s="24" t="b">
        <v>0</v>
      </c>
      <c r="D226" s="137">
        <v>24</v>
      </c>
      <c r="E226" s="138">
        <v>4</v>
      </c>
      <c r="F226" s="137">
        <v>90</v>
      </c>
      <c r="G226" s="137">
        <v>75</v>
      </c>
      <c r="H226" s="137">
        <v>2108</v>
      </c>
      <c r="I226" s="137">
        <v>15.5</v>
      </c>
      <c r="J226" s="137">
        <v>74</v>
      </c>
      <c r="K226" s="137" t="s">
        <v>91</v>
      </c>
      <c r="L226" s="137" t="s">
        <v>171</v>
      </c>
      <c r="M226" s="139">
        <v>0</v>
      </c>
      <c r="N226" s="139">
        <v>1.82348104796922E+19</v>
      </c>
    </row>
    <row r="227" spans="3:14">
      <c r="C227" s="24" t="b">
        <v>0</v>
      </c>
      <c r="D227" s="137">
        <v>26</v>
      </c>
      <c r="E227" s="138">
        <v>4</v>
      </c>
      <c r="F227" s="137">
        <v>116</v>
      </c>
      <c r="G227" s="137">
        <v>75</v>
      </c>
      <c r="H227" s="137">
        <v>2246</v>
      </c>
      <c r="I227" s="137">
        <v>14</v>
      </c>
      <c r="J227" s="137">
        <v>74</v>
      </c>
      <c r="K227" s="137" t="s">
        <v>91</v>
      </c>
      <c r="L227" s="137" t="s">
        <v>189</v>
      </c>
      <c r="M227" s="139">
        <v>0</v>
      </c>
      <c r="N227" s="139">
        <v>1.32066137643649E+19</v>
      </c>
    </row>
    <row r="228" spans="3:14">
      <c r="C228" s="24" t="b">
        <v>0</v>
      </c>
      <c r="D228" s="137">
        <v>24</v>
      </c>
      <c r="E228" s="138">
        <v>4</v>
      </c>
      <c r="F228" s="137">
        <v>120</v>
      </c>
      <c r="G228" s="137">
        <v>97</v>
      </c>
      <c r="H228" s="137">
        <v>2489</v>
      </c>
      <c r="I228" s="137">
        <v>15</v>
      </c>
      <c r="J228" s="137">
        <v>74</v>
      </c>
      <c r="K228" s="137" t="s">
        <v>85</v>
      </c>
      <c r="L228" s="137" t="s">
        <v>190</v>
      </c>
      <c r="M228" s="139">
        <v>0</v>
      </c>
      <c r="N228" s="139">
        <v>5.1735069272152105E+18</v>
      </c>
    </row>
    <row r="229" spans="3:14">
      <c r="C229" s="24" t="b">
        <v>0</v>
      </c>
      <c r="D229" s="137">
        <v>26</v>
      </c>
      <c r="E229" s="138">
        <v>4</v>
      </c>
      <c r="F229" s="137">
        <v>108</v>
      </c>
      <c r="G229" s="137">
        <v>93</v>
      </c>
      <c r="H229" s="137">
        <v>2391</v>
      </c>
      <c r="I229" s="137">
        <v>15.5</v>
      </c>
      <c r="J229" s="137">
        <v>74</v>
      </c>
      <c r="K229" s="137" t="s">
        <v>85</v>
      </c>
      <c r="L229" s="137" t="s">
        <v>191</v>
      </c>
      <c r="M229" s="139">
        <v>0</v>
      </c>
      <c r="N229" s="139">
        <v>1.2557308677809299E+19</v>
      </c>
    </row>
    <row r="230" spans="3:14">
      <c r="C230" s="24" t="b">
        <v>0</v>
      </c>
      <c r="D230" s="137">
        <v>31</v>
      </c>
      <c r="E230" s="138">
        <v>4</v>
      </c>
      <c r="F230" s="137">
        <v>79</v>
      </c>
      <c r="G230" s="137">
        <v>67</v>
      </c>
      <c r="H230" s="137">
        <v>2000</v>
      </c>
      <c r="I230" s="137">
        <v>16</v>
      </c>
      <c r="J230" s="137">
        <v>74</v>
      </c>
      <c r="K230" s="137" t="s">
        <v>91</v>
      </c>
      <c r="L230" s="137" t="s">
        <v>192</v>
      </c>
      <c r="M230" s="139">
        <v>0</v>
      </c>
      <c r="N230" s="139">
        <v>1.80336050192482E+19</v>
      </c>
    </row>
    <row r="231" spans="3:14">
      <c r="C231" s="24" t="b">
        <v>0</v>
      </c>
      <c r="D231" s="137">
        <v>19</v>
      </c>
      <c r="E231" s="138">
        <v>6</v>
      </c>
      <c r="F231" s="137">
        <v>225</v>
      </c>
      <c r="G231" s="137">
        <v>95</v>
      </c>
      <c r="H231" s="137">
        <v>3264</v>
      </c>
      <c r="I231" s="137">
        <v>16</v>
      </c>
      <c r="J231" s="137">
        <v>75</v>
      </c>
      <c r="K231" s="137" t="s">
        <v>69</v>
      </c>
      <c r="L231" s="137" t="s">
        <v>193</v>
      </c>
      <c r="M231" s="139">
        <v>0</v>
      </c>
      <c r="N231" s="139">
        <v>1.4069459813669501E+19</v>
      </c>
    </row>
    <row r="232" spans="3:14">
      <c r="C232" s="24" t="b">
        <v>0</v>
      </c>
      <c r="D232" s="137">
        <v>18</v>
      </c>
      <c r="E232" s="138">
        <v>6</v>
      </c>
      <c r="F232" s="137">
        <v>250</v>
      </c>
      <c r="G232" s="137">
        <v>105</v>
      </c>
      <c r="H232" s="137">
        <v>3459</v>
      </c>
      <c r="I232" s="137">
        <v>16</v>
      </c>
      <c r="J232" s="137">
        <v>75</v>
      </c>
      <c r="K232" s="137" t="s">
        <v>69</v>
      </c>
      <c r="L232" s="137" t="s">
        <v>179</v>
      </c>
      <c r="M232" s="139">
        <v>0</v>
      </c>
      <c r="N232" s="139">
        <v>8.23093094386462E+18</v>
      </c>
    </row>
    <row r="233" spans="3:14">
      <c r="C233" s="24" t="b">
        <v>0</v>
      </c>
      <c r="D233" s="137">
        <v>15</v>
      </c>
      <c r="E233" s="138">
        <v>6</v>
      </c>
      <c r="F233" s="137">
        <v>250</v>
      </c>
      <c r="G233" s="137">
        <v>72</v>
      </c>
      <c r="H233" s="137">
        <v>3432</v>
      </c>
      <c r="I233" s="137">
        <v>21</v>
      </c>
      <c r="J233" s="137">
        <v>75</v>
      </c>
      <c r="K233" s="137" t="s">
        <v>69</v>
      </c>
      <c r="L233" s="137" t="s">
        <v>194</v>
      </c>
      <c r="M233" s="139">
        <v>0</v>
      </c>
      <c r="N233" s="139">
        <v>6.8353309937583401E+18</v>
      </c>
    </row>
    <row r="234" spans="3:14">
      <c r="C234" s="24" t="b">
        <v>0</v>
      </c>
      <c r="D234" s="137">
        <v>15</v>
      </c>
      <c r="E234" s="138">
        <v>6</v>
      </c>
      <c r="F234" s="137">
        <v>250</v>
      </c>
      <c r="G234" s="137">
        <v>72</v>
      </c>
      <c r="H234" s="137">
        <v>3158</v>
      </c>
      <c r="I234" s="137">
        <v>19.5</v>
      </c>
      <c r="J234" s="137">
        <v>75</v>
      </c>
      <c r="K234" s="137" t="s">
        <v>69</v>
      </c>
      <c r="L234" s="137" t="s">
        <v>89</v>
      </c>
      <c r="M234" s="139">
        <v>0</v>
      </c>
      <c r="N234" s="139">
        <v>8.7675300294666004E+18</v>
      </c>
    </row>
    <row r="235" spans="3:14">
      <c r="C235" s="24" t="b">
        <v>0</v>
      </c>
      <c r="D235" s="137">
        <v>16</v>
      </c>
      <c r="E235" s="138">
        <v>8</v>
      </c>
      <c r="F235" s="137">
        <v>400</v>
      </c>
      <c r="G235" s="137">
        <v>170</v>
      </c>
      <c r="H235" s="137">
        <v>4668</v>
      </c>
      <c r="I235" s="137">
        <v>11.5</v>
      </c>
      <c r="J235" s="137">
        <v>75</v>
      </c>
      <c r="K235" s="137" t="s">
        <v>69</v>
      </c>
      <c r="L235" s="137" t="s">
        <v>79</v>
      </c>
      <c r="M235" s="139">
        <v>0</v>
      </c>
      <c r="N235" s="139">
        <v>1.25655878212113E+19</v>
      </c>
    </row>
    <row r="236" spans="3:14">
      <c r="C236" s="24" t="b">
        <v>0</v>
      </c>
      <c r="D236" s="137">
        <v>15</v>
      </c>
      <c r="E236" s="138">
        <v>8</v>
      </c>
      <c r="F236" s="137">
        <v>350</v>
      </c>
      <c r="G236" s="137">
        <v>145</v>
      </c>
      <c r="H236" s="137">
        <v>4440</v>
      </c>
      <c r="I236" s="137">
        <v>14</v>
      </c>
      <c r="J236" s="137">
        <v>75</v>
      </c>
      <c r="K236" s="137" t="s">
        <v>69</v>
      </c>
      <c r="L236" s="137" t="s">
        <v>195</v>
      </c>
      <c r="M236" s="139">
        <v>0</v>
      </c>
      <c r="N236" s="139">
        <v>1.0384810664878201E+19</v>
      </c>
    </row>
    <row r="237" spans="3:14">
      <c r="C237" s="24" t="b">
        <v>0</v>
      </c>
      <c r="D237" s="137">
        <v>16</v>
      </c>
      <c r="E237" s="138">
        <v>8</v>
      </c>
      <c r="F237" s="137">
        <v>318</v>
      </c>
      <c r="G237" s="137">
        <v>150</v>
      </c>
      <c r="H237" s="137">
        <v>4498</v>
      </c>
      <c r="I237" s="137">
        <v>14.5</v>
      </c>
      <c r="J237" s="137">
        <v>75</v>
      </c>
      <c r="K237" s="137" t="s">
        <v>69</v>
      </c>
      <c r="L237" s="137" t="s">
        <v>196</v>
      </c>
      <c r="M237" s="139">
        <v>0</v>
      </c>
      <c r="N237" s="139">
        <v>1.42794830696214E+19</v>
      </c>
    </row>
    <row r="238" spans="3:14">
      <c r="C238" s="24" t="b">
        <v>0</v>
      </c>
      <c r="D238" s="137">
        <v>14</v>
      </c>
      <c r="E238" s="138">
        <v>8</v>
      </c>
      <c r="F238" s="137">
        <v>351</v>
      </c>
      <c r="G238" s="137">
        <v>148</v>
      </c>
      <c r="H238" s="137">
        <v>4657</v>
      </c>
      <c r="I238" s="137">
        <v>13.5</v>
      </c>
      <c r="J238" s="137">
        <v>75</v>
      </c>
      <c r="K238" s="137" t="s">
        <v>69</v>
      </c>
      <c r="L238" s="137" t="s">
        <v>153</v>
      </c>
      <c r="M238" s="139">
        <v>0</v>
      </c>
      <c r="N238" s="139">
        <v>1.57171532883217E+19</v>
      </c>
    </row>
    <row r="239" spans="3:14">
      <c r="C239" s="24" t="b">
        <v>0</v>
      </c>
      <c r="D239" s="137">
        <v>17</v>
      </c>
      <c r="E239" s="138">
        <v>6</v>
      </c>
      <c r="F239" s="137">
        <v>231</v>
      </c>
      <c r="G239" s="137">
        <v>110</v>
      </c>
      <c r="H239" s="137">
        <v>3907</v>
      </c>
      <c r="I239" s="137">
        <v>21</v>
      </c>
      <c r="J239" s="137">
        <v>75</v>
      </c>
      <c r="K239" s="137" t="s">
        <v>69</v>
      </c>
      <c r="L239" s="137" t="s">
        <v>197</v>
      </c>
      <c r="M239" s="139">
        <v>0</v>
      </c>
      <c r="N239" s="139">
        <v>3.2112361092765998E+18</v>
      </c>
    </row>
    <row r="240" spans="3:14">
      <c r="C240" s="24" t="b">
        <v>0</v>
      </c>
      <c r="D240" s="137">
        <v>16</v>
      </c>
      <c r="E240" s="138">
        <v>6</v>
      </c>
      <c r="F240" s="137">
        <v>250</v>
      </c>
      <c r="G240" s="137">
        <v>105</v>
      </c>
      <c r="H240" s="137">
        <v>3897</v>
      </c>
      <c r="I240" s="137">
        <v>18.5</v>
      </c>
      <c r="J240" s="137">
        <v>75</v>
      </c>
      <c r="K240" s="137" t="s">
        <v>69</v>
      </c>
      <c r="L240" s="137" t="s">
        <v>198</v>
      </c>
      <c r="M240" s="139">
        <v>0</v>
      </c>
      <c r="N240" s="139">
        <v>5.8674340042642504E+18</v>
      </c>
    </row>
    <row r="241" spans="3:14">
      <c r="C241" s="24" t="b">
        <v>0</v>
      </c>
      <c r="D241" s="137">
        <v>15</v>
      </c>
      <c r="E241" s="138">
        <v>6</v>
      </c>
      <c r="F241" s="137">
        <v>258</v>
      </c>
      <c r="G241" s="137">
        <v>110</v>
      </c>
      <c r="H241" s="137">
        <v>3730</v>
      </c>
      <c r="I241" s="137">
        <v>19</v>
      </c>
      <c r="J241" s="137">
        <v>75</v>
      </c>
      <c r="K241" s="137" t="s">
        <v>69</v>
      </c>
      <c r="L241" s="137" t="s">
        <v>106</v>
      </c>
      <c r="M241" s="139">
        <v>0</v>
      </c>
      <c r="N241" s="139">
        <v>3.83985425564147E+18</v>
      </c>
    </row>
    <row r="242" spans="3:14">
      <c r="C242" s="24" t="b">
        <v>0</v>
      </c>
      <c r="D242" s="137">
        <v>18</v>
      </c>
      <c r="E242" s="138">
        <v>6</v>
      </c>
      <c r="F242" s="137">
        <v>225</v>
      </c>
      <c r="G242" s="137">
        <v>95</v>
      </c>
      <c r="H242" s="137">
        <v>3785</v>
      </c>
      <c r="I242" s="137">
        <v>19</v>
      </c>
      <c r="J242" s="137">
        <v>75</v>
      </c>
      <c r="K242" s="137" t="s">
        <v>69</v>
      </c>
      <c r="L242" s="137" t="s">
        <v>199</v>
      </c>
      <c r="M242" s="139">
        <v>0</v>
      </c>
      <c r="N242" s="139">
        <v>1.1648722964718899E+19</v>
      </c>
    </row>
    <row r="243" spans="3:14">
      <c r="C243" s="24" t="b">
        <v>0</v>
      </c>
      <c r="D243" s="137">
        <v>21</v>
      </c>
      <c r="E243" s="138">
        <v>6</v>
      </c>
      <c r="F243" s="137">
        <v>231</v>
      </c>
      <c r="G243" s="137">
        <v>110</v>
      </c>
      <c r="H243" s="137">
        <v>3039</v>
      </c>
      <c r="I243" s="137">
        <v>15</v>
      </c>
      <c r="J243" s="137">
        <v>75</v>
      </c>
      <c r="K243" s="137" t="s">
        <v>69</v>
      </c>
      <c r="L243" s="137" t="s">
        <v>200</v>
      </c>
      <c r="M243" s="139">
        <v>0</v>
      </c>
      <c r="N243" s="139">
        <v>1.3885106306057099E+19</v>
      </c>
    </row>
    <row r="244" spans="3:14">
      <c r="C244" s="24" t="b">
        <v>0</v>
      </c>
      <c r="D244" s="137">
        <v>20</v>
      </c>
      <c r="E244" s="138">
        <v>8</v>
      </c>
      <c r="F244" s="137">
        <v>262</v>
      </c>
      <c r="G244" s="137">
        <v>110</v>
      </c>
      <c r="H244" s="137">
        <v>3221</v>
      </c>
      <c r="I244" s="137">
        <v>13.5</v>
      </c>
      <c r="J244" s="137">
        <v>75</v>
      </c>
      <c r="K244" s="137" t="s">
        <v>69</v>
      </c>
      <c r="L244" s="137" t="s">
        <v>201</v>
      </c>
      <c r="M244" s="139">
        <v>0</v>
      </c>
      <c r="N244" s="139">
        <v>5.0049144230048102E+18</v>
      </c>
    </row>
    <row r="245" spans="3:14">
      <c r="C245" s="24" t="b">
        <v>0</v>
      </c>
      <c r="D245" s="137">
        <v>13</v>
      </c>
      <c r="E245" s="138">
        <v>8</v>
      </c>
      <c r="F245" s="137">
        <v>302</v>
      </c>
      <c r="G245" s="137">
        <v>129</v>
      </c>
      <c r="H245" s="137">
        <v>3169</v>
      </c>
      <c r="I245" s="137">
        <v>12</v>
      </c>
      <c r="J245" s="137">
        <v>75</v>
      </c>
      <c r="K245" s="137" t="s">
        <v>69</v>
      </c>
      <c r="L245" s="137" t="s">
        <v>202</v>
      </c>
      <c r="M245" s="139">
        <v>0</v>
      </c>
      <c r="N245" s="139">
        <v>1.1264238684129901E+19</v>
      </c>
    </row>
    <row r="246" spans="3:14">
      <c r="C246" s="24" t="b">
        <v>0</v>
      </c>
      <c r="D246" s="137">
        <v>29</v>
      </c>
      <c r="E246" s="138">
        <v>4</v>
      </c>
      <c r="F246" s="137">
        <v>97</v>
      </c>
      <c r="G246" s="137">
        <v>75</v>
      </c>
      <c r="H246" s="137">
        <v>2171</v>
      </c>
      <c r="I246" s="137">
        <v>16</v>
      </c>
      <c r="J246" s="137">
        <v>75</v>
      </c>
      <c r="K246" s="137" t="s">
        <v>85</v>
      </c>
      <c r="L246" s="137" t="s">
        <v>203</v>
      </c>
      <c r="M246" s="139">
        <v>0</v>
      </c>
      <c r="N246" s="139">
        <v>1.3160278423509201E+19</v>
      </c>
    </row>
    <row r="247" spans="3:14">
      <c r="C247" s="24" t="b">
        <v>0</v>
      </c>
      <c r="D247" s="137">
        <v>23</v>
      </c>
      <c r="E247" s="138">
        <v>4</v>
      </c>
      <c r="F247" s="137">
        <v>140</v>
      </c>
      <c r="G247" s="137">
        <v>83</v>
      </c>
      <c r="H247" s="137">
        <v>2639</v>
      </c>
      <c r="I247" s="137">
        <v>17</v>
      </c>
      <c r="J247" s="137">
        <v>75</v>
      </c>
      <c r="K247" s="137" t="s">
        <v>69</v>
      </c>
      <c r="L247" s="137" t="s">
        <v>70</v>
      </c>
      <c r="M247" s="139">
        <v>0</v>
      </c>
      <c r="N247" s="139">
        <v>1.38511205964457E+19</v>
      </c>
    </row>
    <row r="248" spans="3:14">
      <c r="C248" s="24" t="b">
        <v>0</v>
      </c>
      <c r="D248" s="137">
        <v>20</v>
      </c>
      <c r="E248" s="138">
        <v>6</v>
      </c>
      <c r="F248" s="137">
        <v>232</v>
      </c>
      <c r="G248" s="137">
        <v>100</v>
      </c>
      <c r="H248" s="137">
        <v>2914</v>
      </c>
      <c r="I248" s="137">
        <v>16</v>
      </c>
      <c r="J248" s="137">
        <v>75</v>
      </c>
      <c r="K248" s="137" t="s">
        <v>69</v>
      </c>
      <c r="L248" s="137" t="s">
        <v>97</v>
      </c>
      <c r="M248" s="139">
        <v>0</v>
      </c>
      <c r="N248" s="139">
        <v>2.6004826323719199E+18</v>
      </c>
    </row>
    <row r="249" spans="3:14">
      <c r="C249" s="24" t="b">
        <v>0</v>
      </c>
      <c r="D249" s="137">
        <v>23</v>
      </c>
      <c r="E249" s="138">
        <v>4</v>
      </c>
      <c r="F249" s="137">
        <v>140</v>
      </c>
      <c r="G249" s="137">
        <v>78</v>
      </c>
      <c r="H249" s="137">
        <v>2592</v>
      </c>
      <c r="I249" s="137">
        <v>18.5</v>
      </c>
      <c r="J249" s="137">
        <v>75</v>
      </c>
      <c r="K249" s="137" t="s">
        <v>69</v>
      </c>
      <c r="L249" s="137" t="s">
        <v>204</v>
      </c>
      <c r="M249" s="139">
        <v>0</v>
      </c>
      <c r="N249" s="139">
        <v>2.4004244595209298E+18</v>
      </c>
    </row>
    <row r="250" spans="3:14">
      <c r="C250" s="24" t="b">
        <v>0</v>
      </c>
      <c r="D250" s="137">
        <v>24</v>
      </c>
      <c r="E250" s="138">
        <v>4</v>
      </c>
      <c r="F250" s="137">
        <v>134</v>
      </c>
      <c r="G250" s="137">
        <v>96</v>
      </c>
      <c r="H250" s="137">
        <v>2702</v>
      </c>
      <c r="I250" s="137">
        <v>13.5</v>
      </c>
      <c r="J250" s="137">
        <v>75</v>
      </c>
      <c r="K250" s="137" t="s">
        <v>85</v>
      </c>
      <c r="L250" s="137" t="s">
        <v>103</v>
      </c>
      <c r="M250" s="139">
        <v>0</v>
      </c>
      <c r="N250" s="139">
        <v>7.2982139240622397E+18</v>
      </c>
    </row>
    <row r="251" spans="3:14">
      <c r="C251" s="24" t="b">
        <v>0</v>
      </c>
      <c r="D251" s="137">
        <v>25</v>
      </c>
      <c r="E251" s="138">
        <v>4</v>
      </c>
      <c r="F251" s="137">
        <v>90</v>
      </c>
      <c r="G251" s="137">
        <v>71</v>
      </c>
      <c r="H251" s="137">
        <v>2223</v>
      </c>
      <c r="I251" s="137">
        <v>16.5</v>
      </c>
      <c r="J251" s="137">
        <v>75</v>
      </c>
      <c r="K251" s="137" t="s">
        <v>91</v>
      </c>
      <c r="L251" s="137" t="s">
        <v>186</v>
      </c>
      <c r="M251" s="139">
        <v>0</v>
      </c>
      <c r="N251" s="139">
        <v>2.4610149957920799E+18</v>
      </c>
    </row>
    <row r="252" spans="3:14">
      <c r="C252" s="24" t="b">
        <v>0</v>
      </c>
      <c r="D252" s="137">
        <v>24</v>
      </c>
      <c r="E252" s="138">
        <v>4</v>
      </c>
      <c r="F252" s="137">
        <v>119</v>
      </c>
      <c r="G252" s="137">
        <v>97</v>
      </c>
      <c r="H252" s="137">
        <v>2545</v>
      </c>
      <c r="I252" s="137">
        <v>17</v>
      </c>
      <c r="J252" s="137">
        <v>75</v>
      </c>
      <c r="K252" s="137" t="s">
        <v>85</v>
      </c>
      <c r="L252" s="137" t="s">
        <v>187</v>
      </c>
      <c r="M252" s="139">
        <v>0</v>
      </c>
      <c r="N252" s="139">
        <v>9.8159743552227697E+18</v>
      </c>
    </row>
    <row r="253" spans="3:14">
      <c r="C253" s="24" t="b">
        <v>0</v>
      </c>
      <c r="D253" s="137">
        <v>18</v>
      </c>
      <c r="E253" s="138">
        <v>6</v>
      </c>
      <c r="F253" s="137">
        <v>171</v>
      </c>
      <c r="G253" s="137">
        <v>97</v>
      </c>
      <c r="H253" s="137">
        <v>2984</v>
      </c>
      <c r="I253" s="137">
        <v>14.5</v>
      </c>
      <c r="J253" s="137">
        <v>75</v>
      </c>
      <c r="K253" s="137" t="s">
        <v>69</v>
      </c>
      <c r="L253" s="137" t="s">
        <v>70</v>
      </c>
      <c r="M253" s="139">
        <v>0</v>
      </c>
      <c r="N253" s="139">
        <v>1.5848850295358599E+19</v>
      </c>
    </row>
    <row r="254" spans="3:14">
      <c r="C254" s="24" t="b">
        <v>0</v>
      </c>
      <c r="D254" s="137">
        <v>29</v>
      </c>
      <c r="E254" s="138">
        <v>4</v>
      </c>
      <c r="F254" s="137">
        <v>90</v>
      </c>
      <c r="G254" s="137">
        <v>70</v>
      </c>
      <c r="H254" s="137">
        <v>1937</v>
      </c>
      <c r="I254" s="137">
        <v>14</v>
      </c>
      <c r="J254" s="137">
        <v>75</v>
      </c>
      <c r="K254" s="137" t="s">
        <v>91</v>
      </c>
      <c r="L254" s="137" t="s">
        <v>205</v>
      </c>
      <c r="M254" s="139">
        <v>0</v>
      </c>
      <c r="N254" s="139">
        <v>2.84292787702788E+17</v>
      </c>
    </row>
    <row r="255" spans="3:14">
      <c r="C255" s="24" t="b">
        <v>0</v>
      </c>
      <c r="D255" s="137">
        <v>19</v>
      </c>
      <c r="E255" s="138">
        <v>6</v>
      </c>
      <c r="F255" s="137">
        <v>232</v>
      </c>
      <c r="G255" s="137">
        <v>90</v>
      </c>
      <c r="H255" s="137">
        <v>3211</v>
      </c>
      <c r="I255" s="137">
        <v>17</v>
      </c>
      <c r="J255" s="137">
        <v>75</v>
      </c>
      <c r="K255" s="137" t="s">
        <v>69</v>
      </c>
      <c r="L255" s="137" t="s">
        <v>206</v>
      </c>
      <c r="M255" s="139">
        <v>0</v>
      </c>
      <c r="N255" s="139">
        <v>7.5108638024813005E+18</v>
      </c>
    </row>
    <row r="256" spans="3:14">
      <c r="C256" s="24" t="b">
        <v>0</v>
      </c>
      <c r="D256" s="137">
        <v>23</v>
      </c>
      <c r="E256" s="138">
        <v>4</v>
      </c>
      <c r="F256" s="137">
        <v>115</v>
      </c>
      <c r="G256" s="137">
        <v>95</v>
      </c>
      <c r="H256" s="137">
        <v>2694</v>
      </c>
      <c r="I256" s="137">
        <v>15</v>
      </c>
      <c r="J256" s="137">
        <v>75</v>
      </c>
      <c r="K256" s="137" t="s">
        <v>91</v>
      </c>
      <c r="L256" s="137" t="s">
        <v>173</v>
      </c>
      <c r="M256" s="139">
        <v>0</v>
      </c>
      <c r="N256" s="139">
        <v>1.8364329212164101E+18</v>
      </c>
    </row>
    <row r="257" spans="3:14">
      <c r="C257" s="24" t="b">
        <v>0</v>
      </c>
      <c r="D257" s="137">
        <v>23</v>
      </c>
      <c r="E257" s="138">
        <v>4</v>
      </c>
      <c r="F257" s="137">
        <v>120</v>
      </c>
      <c r="G257" s="137">
        <v>88</v>
      </c>
      <c r="H257" s="137">
        <v>2957</v>
      </c>
      <c r="I257" s="137">
        <v>17</v>
      </c>
      <c r="J257" s="137">
        <v>75</v>
      </c>
      <c r="K257" s="137" t="s">
        <v>91</v>
      </c>
      <c r="L257" s="137" t="s">
        <v>93</v>
      </c>
      <c r="M257" s="139">
        <v>0</v>
      </c>
      <c r="N257" s="139">
        <v>1.02553381976733E+19</v>
      </c>
    </row>
    <row r="258" spans="3:14">
      <c r="C258" s="24" t="b">
        <v>0</v>
      </c>
      <c r="D258" s="137">
        <v>22</v>
      </c>
      <c r="E258" s="138">
        <v>4</v>
      </c>
      <c r="F258" s="137">
        <v>121</v>
      </c>
      <c r="G258" s="137">
        <v>98</v>
      </c>
      <c r="H258" s="137">
        <v>2945</v>
      </c>
      <c r="I258" s="137">
        <v>14.5</v>
      </c>
      <c r="J258" s="137">
        <v>75</v>
      </c>
      <c r="K258" s="137" t="s">
        <v>91</v>
      </c>
      <c r="L258" s="137" t="s">
        <v>207</v>
      </c>
      <c r="M258" s="139">
        <v>0</v>
      </c>
      <c r="N258" s="139">
        <v>3.1872155586540201E+18</v>
      </c>
    </row>
    <row r="259" spans="3:14">
      <c r="C259" s="24" t="b">
        <v>0</v>
      </c>
      <c r="D259" s="137">
        <v>25</v>
      </c>
      <c r="E259" s="138">
        <v>4</v>
      </c>
      <c r="F259" s="137">
        <v>121</v>
      </c>
      <c r="G259" s="137">
        <v>115</v>
      </c>
      <c r="H259" s="137">
        <v>2671</v>
      </c>
      <c r="I259" s="137">
        <v>13.5</v>
      </c>
      <c r="J259" s="137">
        <v>75</v>
      </c>
      <c r="K259" s="137" t="s">
        <v>91</v>
      </c>
      <c r="L259" s="137" t="s">
        <v>176</v>
      </c>
      <c r="M259" s="139">
        <v>0</v>
      </c>
      <c r="N259" s="139">
        <v>1.6560033579295601E+19</v>
      </c>
    </row>
    <row r="260" spans="3:14">
      <c r="C260" s="24" t="b">
        <v>0</v>
      </c>
      <c r="D260" s="137">
        <v>33</v>
      </c>
      <c r="E260" s="138">
        <v>4</v>
      </c>
      <c r="F260" s="137">
        <v>91</v>
      </c>
      <c r="G260" s="137">
        <v>53</v>
      </c>
      <c r="H260" s="137">
        <v>1795</v>
      </c>
      <c r="I260" s="137">
        <v>17.5</v>
      </c>
      <c r="J260" s="137">
        <v>75</v>
      </c>
      <c r="K260" s="137" t="s">
        <v>85</v>
      </c>
      <c r="L260" s="137" t="s">
        <v>208</v>
      </c>
      <c r="M260" s="139">
        <v>0</v>
      </c>
      <c r="N260" s="139">
        <v>5.8575156215197297E+18</v>
      </c>
    </row>
    <row r="261" spans="3:14">
      <c r="C261" s="24" t="b">
        <v>0</v>
      </c>
      <c r="D261" s="137">
        <v>28</v>
      </c>
      <c r="E261" s="138">
        <v>4</v>
      </c>
      <c r="F261" s="137">
        <v>107</v>
      </c>
      <c r="G261" s="137">
        <v>86</v>
      </c>
      <c r="H261" s="137">
        <v>2464</v>
      </c>
      <c r="I261" s="137">
        <v>15.5</v>
      </c>
      <c r="J261" s="137">
        <v>76</v>
      </c>
      <c r="K261" s="137" t="s">
        <v>91</v>
      </c>
      <c r="L261" s="137" t="s">
        <v>209</v>
      </c>
      <c r="M261" s="139">
        <v>0</v>
      </c>
      <c r="N261" s="139">
        <v>1.7010257194969999E+19</v>
      </c>
    </row>
    <row r="262" spans="3:14">
      <c r="C262" s="24" t="b">
        <v>0</v>
      </c>
      <c r="D262" s="137">
        <v>25</v>
      </c>
      <c r="E262" s="138">
        <v>4</v>
      </c>
      <c r="F262" s="137">
        <v>116</v>
      </c>
      <c r="G262" s="137">
        <v>81</v>
      </c>
      <c r="H262" s="137">
        <v>2220</v>
      </c>
      <c r="I262" s="137">
        <v>16.899999999999999</v>
      </c>
      <c r="J262" s="137">
        <v>76</v>
      </c>
      <c r="K262" s="137" t="s">
        <v>91</v>
      </c>
      <c r="L262" s="137" t="s">
        <v>116</v>
      </c>
      <c r="M262" s="139">
        <v>0</v>
      </c>
      <c r="N262" s="139">
        <v>1.51077902759244E+17</v>
      </c>
    </row>
    <row r="263" spans="3:14">
      <c r="C263" s="24" t="b">
        <v>0</v>
      </c>
      <c r="D263" s="137">
        <v>25</v>
      </c>
      <c r="E263" s="138">
        <v>4</v>
      </c>
      <c r="F263" s="137">
        <v>140</v>
      </c>
      <c r="G263" s="137">
        <v>92</v>
      </c>
      <c r="H263" s="137">
        <v>2572</v>
      </c>
      <c r="I263" s="137">
        <v>14.9</v>
      </c>
      <c r="J263" s="137">
        <v>76</v>
      </c>
      <c r="K263" s="137" t="s">
        <v>69</v>
      </c>
      <c r="L263" s="137" t="s">
        <v>210</v>
      </c>
      <c r="M263" s="139">
        <v>0</v>
      </c>
      <c r="N263" s="139">
        <v>1.3751834902133101E+19</v>
      </c>
    </row>
    <row r="264" spans="3:14">
      <c r="C264" s="24" t="b">
        <v>0</v>
      </c>
      <c r="D264" s="137">
        <v>26</v>
      </c>
      <c r="E264" s="138">
        <v>4</v>
      </c>
      <c r="F264" s="137">
        <v>98</v>
      </c>
      <c r="G264" s="137">
        <v>79</v>
      </c>
      <c r="H264" s="137">
        <v>2255</v>
      </c>
      <c r="I264" s="137">
        <v>17.7</v>
      </c>
      <c r="J264" s="137">
        <v>76</v>
      </c>
      <c r="K264" s="137" t="s">
        <v>69</v>
      </c>
      <c r="L264" s="137" t="s">
        <v>188</v>
      </c>
      <c r="M264" s="139">
        <v>0</v>
      </c>
      <c r="N264" s="139">
        <v>1.5368025735844399E+19</v>
      </c>
    </row>
    <row r="265" spans="3:14">
      <c r="C265" s="24" t="b">
        <v>0</v>
      </c>
      <c r="D265" s="137">
        <v>27</v>
      </c>
      <c r="E265" s="138">
        <v>4</v>
      </c>
      <c r="F265" s="137">
        <v>101</v>
      </c>
      <c r="G265" s="137">
        <v>83</v>
      </c>
      <c r="H265" s="137">
        <v>2202</v>
      </c>
      <c r="I265" s="137">
        <v>15.3</v>
      </c>
      <c r="J265" s="137">
        <v>76</v>
      </c>
      <c r="K265" s="137" t="s">
        <v>91</v>
      </c>
      <c r="L265" s="137" t="s">
        <v>211</v>
      </c>
      <c r="M265" s="139">
        <v>0</v>
      </c>
      <c r="N265" s="139">
        <v>1.08894113608285E+19</v>
      </c>
    </row>
    <row r="266" spans="3:14">
      <c r="C266" s="24" t="b">
        <v>0</v>
      </c>
      <c r="D266" s="137">
        <v>17.5</v>
      </c>
      <c r="E266" s="138">
        <v>8</v>
      </c>
      <c r="F266" s="137">
        <v>305</v>
      </c>
      <c r="G266" s="137">
        <v>140</v>
      </c>
      <c r="H266" s="137">
        <v>4215</v>
      </c>
      <c r="I266" s="137">
        <v>13</v>
      </c>
      <c r="J266" s="137">
        <v>76</v>
      </c>
      <c r="K266" s="137" t="s">
        <v>69</v>
      </c>
      <c r="L266" s="137" t="s">
        <v>181</v>
      </c>
      <c r="M266" s="139">
        <v>0</v>
      </c>
      <c r="N266" s="139">
        <v>9.2391596972233196E+18</v>
      </c>
    </row>
    <row r="267" spans="3:14">
      <c r="C267" s="24" t="b">
        <v>0</v>
      </c>
      <c r="D267" s="137">
        <v>16</v>
      </c>
      <c r="E267" s="138">
        <v>8</v>
      </c>
      <c r="F267" s="137">
        <v>318</v>
      </c>
      <c r="G267" s="137">
        <v>150</v>
      </c>
      <c r="H267" s="137">
        <v>4190</v>
      </c>
      <c r="I267" s="137">
        <v>13</v>
      </c>
      <c r="J267" s="137">
        <v>76</v>
      </c>
      <c r="K267" s="137" t="s">
        <v>69</v>
      </c>
      <c r="L267" s="137" t="s">
        <v>212</v>
      </c>
      <c r="M267" s="139">
        <v>0</v>
      </c>
      <c r="N267" s="139">
        <v>6.7469831145041395E+17</v>
      </c>
    </row>
    <row r="268" spans="3:14">
      <c r="C268" s="24" t="b">
        <v>0</v>
      </c>
      <c r="D268" s="137">
        <v>15.5</v>
      </c>
      <c r="E268" s="138">
        <v>8</v>
      </c>
      <c r="F268" s="137">
        <v>304</v>
      </c>
      <c r="G268" s="137">
        <v>120</v>
      </c>
      <c r="H268" s="137">
        <v>3962</v>
      </c>
      <c r="I268" s="137">
        <v>13.9</v>
      </c>
      <c r="J268" s="137">
        <v>76</v>
      </c>
      <c r="K268" s="137" t="s">
        <v>69</v>
      </c>
      <c r="L268" s="137" t="s">
        <v>106</v>
      </c>
      <c r="M268" s="139">
        <v>0</v>
      </c>
      <c r="N268" s="139">
        <v>1.0936224139032001E+19</v>
      </c>
    </row>
    <row r="269" spans="3:14">
      <c r="C269" s="24" t="b">
        <v>0</v>
      </c>
      <c r="D269" s="137">
        <v>14.5</v>
      </c>
      <c r="E269" s="138">
        <v>8</v>
      </c>
      <c r="F269" s="137">
        <v>351</v>
      </c>
      <c r="G269" s="137">
        <v>152</v>
      </c>
      <c r="H269" s="137">
        <v>4215</v>
      </c>
      <c r="I269" s="137">
        <v>12.8</v>
      </c>
      <c r="J269" s="137">
        <v>76</v>
      </c>
      <c r="K269" s="137" t="s">
        <v>69</v>
      </c>
      <c r="L269" s="137" t="s">
        <v>149</v>
      </c>
      <c r="M269" s="139">
        <v>0</v>
      </c>
      <c r="N269" s="139">
        <v>7.7532774845005896E+18</v>
      </c>
    </row>
    <row r="270" spans="3:14">
      <c r="C270" s="24" t="b">
        <v>0</v>
      </c>
      <c r="D270" s="137">
        <v>22</v>
      </c>
      <c r="E270" s="138">
        <v>6</v>
      </c>
      <c r="F270" s="137">
        <v>225</v>
      </c>
      <c r="G270" s="137">
        <v>100</v>
      </c>
      <c r="H270" s="137">
        <v>3233</v>
      </c>
      <c r="I270" s="137">
        <v>15.4</v>
      </c>
      <c r="J270" s="137">
        <v>76</v>
      </c>
      <c r="K270" s="137" t="s">
        <v>69</v>
      </c>
      <c r="L270" s="137" t="s">
        <v>158</v>
      </c>
      <c r="M270" s="139">
        <v>0</v>
      </c>
      <c r="N270" s="139">
        <v>1.55891401487051E+19</v>
      </c>
    </row>
    <row r="271" spans="3:14">
      <c r="C271" s="24" t="b">
        <v>0</v>
      </c>
      <c r="D271" s="137">
        <v>22</v>
      </c>
      <c r="E271" s="138">
        <v>6</v>
      </c>
      <c r="F271" s="137">
        <v>250</v>
      </c>
      <c r="G271" s="137">
        <v>105</v>
      </c>
      <c r="H271" s="137">
        <v>3353</v>
      </c>
      <c r="I271" s="137">
        <v>14.5</v>
      </c>
      <c r="J271" s="137">
        <v>76</v>
      </c>
      <c r="K271" s="137" t="s">
        <v>69</v>
      </c>
      <c r="L271" s="137" t="s">
        <v>179</v>
      </c>
      <c r="M271" s="139">
        <v>0</v>
      </c>
      <c r="N271" s="139">
        <v>1.56263540187201E+19</v>
      </c>
    </row>
    <row r="272" spans="3:14">
      <c r="C272" s="24" t="b">
        <v>0</v>
      </c>
      <c r="D272" s="137">
        <v>24</v>
      </c>
      <c r="E272" s="138">
        <v>6</v>
      </c>
      <c r="F272" s="137">
        <v>200</v>
      </c>
      <c r="G272" s="137">
        <v>81</v>
      </c>
      <c r="H272" s="137">
        <v>3012</v>
      </c>
      <c r="I272" s="137">
        <v>17.600000000000001</v>
      </c>
      <c r="J272" s="137">
        <v>76</v>
      </c>
      <c r="K272" s="137" t="s">
        <v>69</v>
      </c>
      <c r="L272" s="137" t="s">
        <v>89</v>
      </c>
      <c r="M272" s="139">
        <v>0</v>
      </c>
      <c r="N272" s="139">
        <v>1.6192589922734201E+19</v>
      </c>
    </row>
    <row r="273" spans="3:14">
      <c r="C273" s="24" t="b">
        <v>0</v>
      </c>
      <c r="D273" s="137">
        <v>22.5</v>
      </c>
      <c r="E273" s="138">
        <v>6</v>
      </c>
      <c r="F273" s="137">
        <v>232</v>
      </c>
      <c r="G273" s="137">
        <v>90</v>
      </c>
      <c r="H273" s="137">
        <v>3085</v>
      </c>
      <c r="I273" s="137">
        <v>17.600000000000001</v>
      </c>
      <c r="J273" s="137">
        <v>76</v>
      </c>
      <c r="K273" s="137" t="s">
        <v>69</v>
      </c>
      <c r="L273" s="137" t="s">
        <v>88</v>
      </c>
      <c r="M273" s="139">
        <v>0</v>
      </c>
      <c r="N273" s="139">
        <v>8.8645841621117696E+17</v>
      </c>
    </row>
    <row r="274" spans="3:14">
      <c r="C274" s="24" t="b">
        <v>0</v>
      </c>
      <c r="D274" s="137">
        <v>29</v>
      </c>
      <c r="E274" s="138">
        <v>4</v>
      </c>
      <c r="F274" s="137">
        <v>85</v>
      </c>
      <c r="G274" s="137">
        <v>52</v>
      </c>
      <c r="H274" s="137">
        <v>2035</v>
      </c>
      <c r="I274" s="137">
        <v>22.2</v>
      </c>
      <c r="J274" s="137">
        <v>76</v>
      </c>
      <c r="K274" s="137" t="s">
        <v>69</v>
      </c>
      <c r="L274" s="137" t="s">
        <v>213</v>
      </c>
      <c r="M274" s="139">
        <v>0</v>
      </c>
      <c r="N274" s="139">
        <v>3.67002761141933E+18</v>
      </c>
    </row>
    <row r="275" spans="3:14">
      <c r="C275" s="24" t="b">
        <v>0</v>
      </c>
      <c r="D275" s="137">
        <v>24.5</v>
      </c>
      <c r="E275" s="138">
        <v>4</v>
      </c>
      <c r="F275" s="137">
        <v>98</v>
      </c>
      <c r="G275" s="137">
        <v>60</v>
      </c>
      <c r="H275" s="137">
        <v>2164</v>
      </c>
      <c r="I275" s="137">
        <v>22.1</v>
      </c>
      <c r="J275" s="137">
        <v>76</v>
      </c>
      <c r="K275" s="137" t="s">
        <v>69</v>
      </c>
      <c r="L275" s="137" t="s">
        <v>214</v>
      </c>
      <c r="M275" s="139">
        <v>0</v>
      </c>
      <c r="N275" s="139">
        <v>4.6080901993573202E+18</v>
      </c>
    </row>
    <row r="276" spans="3:14">
      <c r="C276" s="24" t="b">
        <v>0</v>
      </c>
      <c r="D276" s="137">
        <v>29</v>
      </c>
      <c r="E276" s="138">
        <v>4</v>
      </c>
      <c r="F276" s="137">
        <v>90</v>
      </c>
      <c r="G276" s="137">
        <v>70</v>
      </c>
      <c r="H276" s="137">
        <v>1937</v>
      </c>
      <c r="I276" s="137">
        <v>14.2</v>
      </c>
      <c r="J276" s="137">
        <v>76</v>
      </c>
      <c r="K276" s="137" t="s">
        <v>91</v>
      </c>
      <c r="L276" s="137" t="s">
        <v>215</v>
      </c>
      <c r="M276" s="139">
        <v>0</v>
      </c>
      <c r="N276" s="139">
        <v>1.60764245091676E+19</v>
      </c>
    </row>
    <row r="277" spans="3:14">
      <c r="C277" s="24" t="b">
        <v>0</v>
      </c>
      <c r="D277" s="137">
        <v>33</v>
      </c>
      <c r="E277" s="138">
        <v>4</v>
      </c>
      <c r="F277" s="137">
        <v>91</v>
      </c>
      <c r="G277" s="137">
        <v>53</v>
      </c>
      <c r="H277" s="137">
        <v>1795</v>
      </c>
      <c r="I277" s="137">
        <v>17.399999999999999</v>
      </c>
      <c r="J277" s="137">
        <v>76</v>
      </c>
      <c r="K277" s="137" t="s">
        <v>85</v>
      </c>
      <c r="L277" s="137" t="s">
        <v>190</v>
      </c>
      <c r="M277" s="139">
        <v>0</v>
      </c>
      <c r="N277" s="139">
        <v>1.76075714286308E+19</v>
      </c>
    </row>
    <row r="278" spans="3:14">
      <c r="C278" s="24" t="b">
        <v>0</v>
      </c>
      <c r="D278" s="137">
        <v>20</v>
      </c>
      <c r="E278" s="138">
        <v>6</v>
      </c>
      <c r="F278" s="137">
        <v>225</v>
      </c>
      <c r="G278" s="137">
        <v>100</v>
      </c>
      <c r="H278" s="137">
        <v>3651</v>
      </c>
      <c r="I278" s="137">
        <v>17.7</v>
      </c>
      <c r="J278" s="137">
        <v>76</v>
      </c>
      <c r="K278" s="137" t="s">
        <v>69</v>
      </c>
      <c r="L278" s="137" t="s">
        <v>216</v>
      </c>
      <c r="M278" s="139">
        <v>0</v>
      </c>
      <c r="N278" s="139">
        <v>1.1741022547093801E+19</v>
      </c>
    </row>
    <row r="279" spans="3:14">
      <c r="C279" s="24" t="b">
        <v>0</v>
      </c>
      <c r="D279" s="137">
        <v>18</v>
      </c>
      <c r="E279" s="138">
        <v>6</v>
      </c>
      <c r="F279" s="137">
        <v>250</v>
      </c>
      <c r="G279" s="137">
        <v>78</v>
      </c>
      <c r="H279" s="137">
        <v>3574</v>
      </c>
      <c r="I279" s="137">
        <v>21</v>
      </c>
      <c r="J279" s="137">
        <v>76</v>
      </c>
      <c r="K279" s="137" t="s">
        <v>69</v>
      </c>
      <c r="L279" s="137" t="s">
        <v>217</v>
      </c>
      <c r="M279" s="139">
        <v>0</v>
      </c>
      <c r="N279" s="139">
        <v>1.1463230004949899E+19</v>
      </c>
    </row>
    <row r="280" spans="3:14">
      <c r="C280" s="24" t="b">
        <v>0</v>
      </c>
      <c r="D280" s="137">
        <v>18.5</v>
      </c>
      <c r="E280" s="138">
        <v>6</v>
      </c>
      <c r="F280" s="137">
        <v>250</v>
      </c>
      <c r="G280" s="137">
        <v>110</v>
      </c>
      <c r="H280" s="137">
        <v>3645</v>
      </c>
      <c r="I280" s="137">
        <v>16.2</v>
      </c>
      <c r="J280" s="137">
        <v>76</v>
      </c>
      <c r="K280" s="137" t="s">
        <v>69</v>
      </c>
      <c r="L280" s="137" t="s">
        <v>218</v>
      </c>
      <c r="M280" s="139">
        <v>0</v>
      </c>
      <c r="N280" s="139">
        <v>8.5761458839778601E+18</v>
      </c>
    </row>
    <row r="281" spans="3:14">
      <c r="C281" s="24" t="b">
        <v>0</v>
      </c>
      <c r="D281" s="137">
        <v>17.5</v>
      </c>
      <c r="E281" s="138">
        <v>6</v>
      </c>
      <c r="F281" s="137">
        <v>258</v>
      </c>
      <c r="G281" s="137">
        <v>95</v>
      </c>
      <c r="H281" s="137">
        <v>3193</v>
      </c>
      <c r="I281" s="137">
        <v>17.8</v>
      </c>
      <c r="J281" s="137">
        <v>76</v>
      </c>
      <c r="K281" s="137" t="s">
        <v>69</v>
      </c>
      <c r="L281" s="137" t="s">
        <v>219</v>
      </c>
      <c r="M281" s="139">
        <v>0</v>
      </c>
      <c r="N281" s="139">
        <v>1.67297535753075E+19</v>
      </c>
    </row>
    <row r="282" spans="3:14">
      <c r="C282" s="24" t="b">
        <v>0</v>
      </c>
      <c r="D282" s="137">
        <v>29.5</v>
      </c>
      <c r="E282" s="138">
        <v>4</v>
      </c>
      <c r="F282" s="137">
        <v>97</v>
      </c>
      <c r="G282" s="137">
        <v>71</v>
      </c>
      <c r="H282" s="137">
        <v>1825</v>
      </c>
      <c r="I282" s="137">
        <v>12.2</v>
      </c>
      <c r="J282" s="137">
        <v>76</v>
      </c>
      <c r="K282" s="137" t="s">
        <v>91</v>
      </c>
      <c r="L282" s="137" t="s">
        <v>205</v>
      </c>
      <c r="M282" s="139">
        <v>0</v>
      </c>
      <c r="N282" s="139">
        <v>5.0893339215528796E+18</v>
      </c>
    </row>
    <row r="283" spans="3:14">
      <c r="C283" s="24" t="b">
        <v>0</v>
      </c>
      <c r="D283" s="137">
        <v>32</v>
      </c>
      <c r="E283" s="138">
        <v>4</v>
      </c>
      <c r="F283" s="137">
        <v>85</v>
      </c>
      <c r="G283" s="137">
        <v>70</v>
      </c>
      <c r="H283" s="137">
        <v>1990</v>
      </c>
      <c r="I283" s="137">
        <v>17</v>
      </c>
      <c r="J283" s="137">
        <v>76</v>
      </c>
      <c r="K283" s="137" t="s">
        <v>85</v>
      </c>
      <c r="L283" s="137" t="s">
        <v>220</v>
      </c>
      <c r="M283" s="139">
        <v>0</v>
      </c>
      <c r="N283" s="139">
        <v>1.66391704768669E+18</v>
      </c>
    </row>
    <row r="284" spans="3:14">
      <c r="C284" s="24" t="b">
        <v>0</v>
      </c>
      <c r="D284" s="137">
        <v>28</v>
      </c>
      <c r="E284" s="138">
        <v>4</v>
      </c>
      <c r="F284" s="137">
        <v>97</v>
      </c>
      <c r="G284" s="137">
        <v>75</v>
      </c>
      <c r="H284" s="137">
        <v>2155</v>
      </c>
      <c r="I284" s="137">
        <v>16.399999999999999</v>
      </c>
      <c r="J284" s="137">
        <v>76</v>
      </c>
      <c r="K284" s="137" t="s">
        <v>85</v>
      </c>
      <c r="L284" s="137" t="s">
        <v>203</v>
      </c>
      <c r="M284" s="139">
        <v>0</v>
      </c>
      <c r="N284" s="139">
        <v>1.2493369444752501E+19</v>
      </c>
    </row>
    <row r="285" spans="3:14">
      <c r="C285" s="24" t="b">
        <v>0</v>
      </c>
      <c r="D285" s="137">
        <v>26.5</v>
      </c>
      <c r="E285" s="138">
        <v>4</v>
      </c>
      <c r="F285" s="137">
        <v>140</v>
      </c>
      <c r="G285" s="137">
        <v>72</v>
      </c>
      <c r="H285" s="137">
        <v>2565</v>
      </c>
      <c r="I285" s="137">
        <v>13.6</v>
      </c>
      <c r="J285" s="137">
        <v>76</v>
      </c>
      <c r="K285" s="137" t="s">
        <v>69</v>
      </c>
      <c r="L285" s="137" t="s">
        <v>70</v>
      </c>
      <c r="M285" s="139">
        <v>0</v>
      </c>
      <c r="N285" s="139">
        <v>1.53442641941398E+19</v>
      </c>
    </row>
    <row r="286" spans="3:14">
      <c r="C286" s="24" t="b">
        <v>0</v>
      </c>
      <c r="D286" s="137">
        <v>20</v>
      </c>
      <c r="E286" s="138">
        <v>4</v>
      </c>
      <c r="F286" s="137">
        <v>130</v>
      </c>
      <c r="G286" s="137">
        <v>102</v>
      </c>
      <c r="H286" s="137">
        <v>3150</v>
      </c>
      <c r="I286" s="137">
        <v>15.7</v>
      </c>
      <c r="J286" s="137">
        <v>76</v>
      </c>
      <c r="K286" s="137" t="s">
        <v>91</v>
      </c>
      <c r="L286" s="137" t="s">
        <v>221</v>
      </c>
      <c r="M286" s="139">
        <v>0</v>
      </c>
      <c r="N286" s="139">
        <v>1.0541339891004401E+18</v>
      </c>
    </row>
    <row r="287" spans="3:14">
      <c r="C287" s="24" t="b">
        <v>0</v>
      </c>
      <c r="D287" s="137">
        <v>13</v>
      </c>
      <c r="E287" s="138">
        <v>8</v>
      </c>
      <c r="F287" s="137">
        <v>318</v>
      </c>
      <c r="G287" s="137">
        <v>150</v>
      </c>
      <c r="H287" s="137">
        <v>3940</v>
      </c>
      <c r="I287" s="137">
        <v>13.2</v>
      </c>
      <c r="J287" s="137">
        <v>76</v>
      </c>
      <c r="K287" s="137" t="s">
        <v>69</v>
      </c>
      <c r="L287" s="137" t="s">
        <v>222</v>
      </c>
      <c r="M287" s="139">
        <v>0</v>
      </c>
      <c r="N287" s="139">
        <v>1.60456218352076E+19</v>
      </c>
    </row>
    <row r="288" spans="3:14">
      <c r="C288" s="24" t="b">
        <v>0</v>
      </c>
      <c r="D288" s="137">
        <v>19</v>
      </c>
      <c r="E288" s="138">
        <v>4</v>
      </c>
      <c r="F288" s="137">
        <v>120</v>
      </c>
      <c r="G288" s="137">
        <v>88</v>
      </c>
      <c r="H288" s="137">
        <v>3270</v>
      </c>
      <c r="I288" s="137">
        <v>21.9</v>
      </c>
      <c r="J288" s="137">
        <v>76</v>
      </c>
      <c r="K288" s="137" t="s">
        <v>91</v>
      </c>
      <c r="L288" s="137" t="s">
        <v>93</v>
      </c>
      <c r="M288" s="139">
        <v>0</v>
      </c>
      <c r="N288" s="139">
        <v>1.63506150676531E+19</v>
      </c>
    </row>
    <row r="289" spans="3:14">
      <c r="C289" s="24" t="b">
        <v>0</v>
      </c>
      <c r="D289" s="137">
        <v>19</v>
      </c>
      <c r="E289" s="138">
        <v>6</v>
      </c>
      <c r="F289" s="137">
        <v>156</v>
      </c>
      <c r="G289" s="137">
        <v>108</v>
      </c>
      <c r="H289" s="137">
        <v>2930</v>
      </c>
      <c r="I289" s="137">
        <v>15.5</v>
      </c>
      <c r="J289" s="137">
        <v>76</v>
      </c>
      <c r="K289" s="137" t="s">
        <v>85</v>
      </c>
      <c r="L289" s="137" t="s">
        <v>177</v>
      </c>
      <c r="M289" s="139">
        <v>0</v>
      </c>
      <c r="N289" s="139">
        <v>2.1291702825232799E+18</v>
      </c>
    </row>
    <row r="290" spans="3:14">
      <c r="C290" s="24" t="b">
        <v>0</v>
      </c>
      <c r="D290" s="137">
        <v>16.5</v>
      </c>
      <c r="E290" s="138">
        <v>6</v>
      </c>
      <c r="F290" s="137">
        <v>168</v>
      </c>
      <c r="G290" s="137">
        <v>120</v>
      </c>
      <c r="H290" s="137">
        <v>3820</v>
      </c>
      <c r="I290" s="137">
        <v>16.7</v>
      </c>
      <c r="J290" s="137">
        <v>76</v>
      </c>
      <c r="K290" s="137" t="s">
        <v>91</v>
      </c>
      <c r="L290" s="137" t="s">
        <v>223</v>
      </c>
      <c r="M290" s="139">
        <v>0</v>
      </c>
      <c r="N290" s="139">
        <v>2.2238820033666199E+18</v>
      </c>
    </row>
    <row r="291" spans="3:14">
      <c r="C291" s="24" t="b">
        <v>0</v>
      </c>
      <c r="D291" s="137">
        <v>16.5</v>
      </c>
      <c r="E291" s="138">
        <v>8</v>
      </c>
      <c r="F291" s="137">
        <v>350</v>
      </c>
      <c r="G291" s="137">
        <v>180</v>
      </c>
      <c r="H291" s="137">
        <v>4380</v>
      </c>
      <c r="I291" s="137">
        <v>12.1</v>
      </c>
      <c r="J291" s="137">
        <v>76</v>
      </c>
      <c r="K291" s="137" t="s">
        <v>69</v>
      </c>
      <c r="L291" s="137" t="s">
        <v>224</v>
      </c>
      <c r="M291" s="139">
        <v>0</v>
      </c>
      <c r="N291" s="139">
        <v>4.11363334415123E+18</v>
      </c>
    </row>
    <row r="292" spans="3:14">
      <c r="C292" s="24" t="b">
        <v>0</v>
      </c>
      <c r="D292" s="137">
        <v>13</v>
      </c>
      <c r="E292" s="138">
        <v>8</v>
      </c>
      <c r="F292" s="137">
        <v>350</v>
      </c>
      <c r="G292" s="137">
        <v>145</v>
      </c>
      <c r="H292" s="137">
        <v>4055</v>
      </c>
      <c r="I292" s="137">
        <v>12</v>
      </c>
      <c r="J292" s="137">
        <v>76</v>
      </c>
      <c r="K292" s="137" t="s">
        <v>69</v>
      </c>
      <c r="L292" s="137" t="s">
        <v>225</v>
      </c>
      <c r="M292" s="139">
        <v>0</v>
      </c>
      <c r="N292" s="139">
        <v>7.1657111007069299E+17</v>
      </c>
    </row>
    <row r="293" spans="3:14">
      <c r="C293" s="24" t="b">
        <v>0</v>
      </c>
      <c r="D293" s="137">
        <v>13</v>
      </c>
      <c r="E293" s="138">
        <v>8</v>
      </c>
      <c r="F293" s="137">
        <v>302</v>
      </c>
      <c r="G293" s="137">
        <v>130</v>
      </c>
      <c r="H293" s="137">
        <v>3870</v>
      </c>
      <c r="I293" s="137">
        <v>15</v>
      </c>
      <c r="J293" s="137">
        <v>76</v>
      </c>
      <c r="K293" s="137" t="s">
        <v>69</v>
      </c>
      <c r="L293" s="137" t="s">
        <v>226</v>
      </c>
      <c r="M293" s="139">
        <v>0</v>
      </c>
      <c r="N293" s="139">
        <v>1.1168916908656501E+19</v>
      </c>
    </row>
    <row r="294" spans="3:14">
      <c r="C294" s="24" t="b">
        <v>0</v>
      </c>
      <c r="D294" s="137">
        <v>13</v>
      </c>
      <c r="E294" s="138">
        <v>8</v>
      </c>
      <c r="F294" s="137">
        <v>318</v>
      </c>
      <c r="G294" s="137">
        <v>150</v>
      </c>
      <c r="H294" s="137">
        <v>3755</v>
      </c>
      <c r="I294" s="137">
        <v>14</v>
      </c>
      <c r="J294" s="137">
        <v>76</v>
      </c>
      <c r="K294" s="137" t="s">
        <v>69</v>
      </c>
      <c r="L294" s="137" t="s">
        <v>227</v>
      </c>
      <c r="M294" s="139">
        <v>0</v>
      </c>
      <c r="N294" s="139">
        <v>1.8253702253139401E+19</v>
      </c>
    </row>
    <row r="295" spans="3:14">
      <c r="C295" s="24" t="b">
        <v>0</v>
      </c>
      <c r="D295" s="137">
        <v>31.5</v>
      </c>
      <c r="E295" s="138">
        <v>4</v>
      </c>
      <c r="F295" s="137">
        <v>98</v>
      </c>
      <c r="G295" s="137">
        <v>68</v>
      </c>
      <c r="H295" s="137">
        <v>2045</v>
      </c>
      <c r="I295" s="137">
        <v>18.5</v>
      </c>
      <c r="J295" s="137">
        <v>77</v>
      </c>
      <c r="K295" s="137" t="s">
        <v>85</v>
      </c>
      <c r="L295" s="137" t="s">
        <v>228</v>
      </c>
      <c r="M295" s="139">
        <v>0</v>
      </c>
      <c r="N295" s="139">
        <v>1.0233777705035399E+19</v>
      </c>
    </row>
    <row r="296" spans="3:14">
      <c r="C296" s="24" t="b">
        <v>0</v>
      </c>
      <c r="D296" s="137">
        <v>30</v>
      </c>
      <c r="E296" s="138">
        <v>4</v>
      </c>
      <c r="F296" s="137">
        <v>111</v>
      </c>
      <c r="G296" s="137">
        <v>80</v>
      </c>
      <c r="H296" s="137">
        <v>2155</v>
      </c>
      <c r="I296" s="137">
        <v>14.8</v>
      </c>
      <c r="J296" s="137">
        <v>77</v>
      </c>
      <c r="K296" s="137" t="s">
        <v>69</v>
      </c>
      <c r="L296" s="137" t="s">
        <v>229</v>
      </c>
      <c r="M296" s="139">
        <v>0</v>
      </c>
      <c r="N296" s="139">
        <v>1.4994464270329301E+19</v>
      </c>
    </row>
    <row r="297" spans="3:14">
      <c r="C297" s="24" t="b">
        <v>0</v>
      </c>
      <c r="D297" s="137">
        <v>36</v>
      </c>
      <c r="E297" s="138">
        <v>4</v>
      </c>
      <c r="F297" s="137">
        <v>79</v>
      </c>
      <c r="G297" s="137">
        <v>58</v>
      </c>
      <c r="H297" s="137">
        <v>1825</v>
      </c>
      <c r="I297" s="137">
        <v>18.600000000000001</v>
      </c>
      <c r="J297" s="137">
        <v>77</v>
      </c>
      <c r="K297" s="137" t="s">
        <v>91</v>
      </c>
      <c r="L297" s="137" t="s">
        <v>230</v>
      </c>
      <c r="M297" s="139">
        <v>0</v>
      </c>
      <c r="N297" s="139">
        <v>4.8512595640450304E+18</v>
      </c>
    </row>
    <row r="298" spans="3:14">
      <c r="C298" s="24" t="b">
        <v>0</v>
      </c>
      <c r="D298" s="137">
        <v>25.5</v>
      </c>
      <c r="E298" s="138">
        <v>4</v>
      </c>
      <c r="F298" s="137">
        <v>122</v>
      </c>
      <c r="G298" s="137">
        <v>96</v>
      </c>
      <c r="H298" s="137">
        <v>2300</v>
      </c>
      <c r="I298" s="137">
        <v>15.5</v>
      </c>
      <c r="J298" s="137">
        <v>77</v>
      </c>
      <c r="K298" s="137" t="s">
        <v>69</v>
      </c>
      <c r="L298" s="137" t="s">
        <v>231</v>
      </c>
      <c r="M298" s="139">
        <v>0</v>
      </c>
      <c r="N298" s="139">
        <v>1.7923226456748301E+18</v>
      </c>
    </row>
    <row r="299" spans="3:14">
      <c r="C299" s="24" t="b">
        <v>0</v>
      </c>
      <c r="D299" s="137">
        <v>33.5</v>
      </c>
      <c r="E299" s="138">
        <v>4</v>
      </c>
      <c r="F299" s="137">
        <v>85</v>
      </c>
      <c r="G299" s="137">
        <v>70</v>
      </c>
      <c r="H299" s="137">
        <v>1945</v>
      </c>
      <c r="I299" s="137">
        <v>16.8</v>
      </c>
      <c r="J299" s="137">
        <v>77</v>
      </c>
      <c r="K299" s="137" t="s">
        <v>85</v>
      </c>
      <c r="L299" s="137" t="s">
        <v>232</v>
      </c>
      <c r="M299" s="139">
        <v>0</v>
      </c>
      <c r="N299" s="139">
        <v>3.43124186450377E+16</v>
      </c>
    </row>
    <row r="300" spans="3:14">
      <c r="C300" s="24" t="b">
        <v>0</v>
      </c>
      <c r="D300" s="137">
        <v>17.5</v>
      </c>
      <c r="E300" s="138">
        <v>8</v>
      </c>
      <c r="F300" s="137">
        <v>305</v>
      </c>
      <c r="G300" s="137">
        <v>145</v>
      </c>
      <c r="H300" s="137">
        <v>3880</v>
      </c>
      <c r="I300" s="137">
        <v>12.5</v>
      </c>
      <c r="J300" s="137">
        <v>77</v>
      </c>
      <c r="K300" s="137" t="s">
        <v>69</v>
      </c>
      <c r="L300" s="137" t="s">
        <v>152</v>
      </c>
      <c r="M300" s="139">
        <v>0</v>
      </c>
      <c r="N300" s="139">
        <v>3.7878470156016399E+18</v>
      </c>
    </row>
    <row r="301" spans="3:14">
      <c r="C301" s="24" t="b">
        <v>0</v>
      </c>
      <c r="D301" s="137">
        <v>17</v>
      </c>
      <c r="E301" s="138">
        <v>8</v>
      </c>
      <c r="F301" s="137">
        <v>260</v>
      </c>
      <c r="G301" s="137">
        <v>110</v>
      </c>
      <c r="H301" s="137">
        <v>4060</v>
      </c>
      <c r="I301" s="137">
        <v>19</v>
      </c>
      <c r="J301" s="137">
        <v>77</v>
      </c>
      <c r="K301" s="137" t="s">
        <v>69</v>
      </c>
      <c r="L301" s="137" t="s">
        <v>233</v>
      </c>
      <c r="M301" s="139">
        <v>0</v>
      </c>
      <c r="N301" s="139">
        <v>1.08449138667188E+19</v>
      </c>
    </row>
    <row r="302" spans="3:14">
      <c r="C302" s="24" t="b">
        <v>0</v>
      </c>
      <c r="D302" s="137">
        <v>15.5</v>
      </c>
      <c r="E302" s="138">
        <v>8</v>
      </c>
      <c r="F302" s="137">
        <v>318</v>
      </c>
      <c r="G302" s="137">
        <v>145</v>
      </c>
      <c r="H302" s="137">
        <v>4140</v>
      </c>
      <c r="I302" s="137">
        <v>13.7</v>
      </c>
      <c r="J302" s="137">
        <v>77</v>
      </c>
      <c r="K302" s="137" t="s">
        <v>69</v>
      </c>
      <c r="L302" s="137" t="s">
        <v>234</v>
      </c>
      <c r="M302" s="139">
        <v>0</v>
      </c>
      <c r="N302" s="139">
        <v>1.4534140463875701E+19</v>
      </c>
    </row>
    <row r="303" spans="3:14">
      <c r="C303" s="24" t="b">
        <v>0</v>
      </c>
      <c r="D303" s="137">
        <v>15</v>
      </c>
      <c r="E303" s="138">
        <v>8</v>
      </c>
      <c r="F303" s="137">
        <v>302</v>
      </c>
      <c r="G303" s="137">
        <v>130</v>
      </c>
      <c r="H303" s="137">
        <v>4295</v>
      </c>
      <c r="I303" s="137">
        <v>14.9</v>
      </c>
      <c r="J303" s="137">
        <v>77</v>
      </c>
      <c r="K303" s="137" t="s">
        <v>69</v>
      </c>
      <c r="L303" s="137" t="s">
        <v>235</v>
      </c>
      <c r="M303" s="139">
        <v>0</v>
      </c>
      <c r="N303" s="139">
        <v>1.3941258401493899E+19</v>
      </c>
    </row>
    <row r="304" spans="3:14">
      <c r="C304" s="24" t="b">
        <v>0</v>
      </c>
      <c r="D304" s="137">
        <v>17.5</v>
      </c>
      <c r="E304" s="138">
        <v>6</v>
      </c>
      <c r="F304" s="137">
        <v>250</v>
      </c>
      <c r="G304" s="137">
        <v>110</v>
      </c>
      <c r="H304" s="137">
        <v>3520</v>
      </c>
      <c r="I304" s="137">
        <v>16.399999999999999</v>
      </c>
      <c r="J304" s="137">
        <v>77</v>
      </c>
      <c r="K304" s="137" t="s">
        <v>69</v>
      </c>
      <c r="L304" s="137" t="s">
        <v>236</v>
      </c>
      <c r="M304" s="139">
        <v>0</v>
      </c>
      <c r="N304" s="139">
        <v>1.3907321937455499E+19</v>
      </c>
    </row>
    <row r="305" spans="3:14">
      <c r="C305" s="24" t="b">
        <v>0</v>
      </c>
      <c r="D305" s="137">
        <v>20.5</v>
      </c>
      <c r="E305" s="138">
        <v>6</v>
      </c>
      <c r="F305" s="137">
        <v>231</v>
      </c>
      <c r="G305" s="137">
        <v>105</v>
      </c>
      <c r="H305" s="137">
        <v>3425</v>
      </c>
      <c r="I305" s="137">
        <v>16.899999999999999</v>
      </c>
      <c r="J305" s="137">
        <v>77</v>
      </c>
      <c r="K305" s="137" t="s">
        <v>69</v>
      </c>
      <c r="L305" s="137" t="s">
        <v>237</v>
      </c>
      <c r="M305" s="139">
        <v>0</v>
      </c>
      <c r="N305" s="139">
        <v>1.2633461504095101E+19</v>
      </c>
    </row>
    <row r="306" spans="3:14">
      <c r="C306" s="24" t="b">
        <v>0</v>
      </c>
      <c r="D306" s="137">
        <v>19</v>
      </c>
      <c r="E306" s="138">
        <v>6</v>
      </c>
      <c r="F306" s="137">
        <v>225</v>
      </c>
      <c r="G306" s="137">
        <v>100</v>
      </c>
      <c r="H306" s="137">
        <v>3630</v>
      </c>
      <c r="I306" s="137">
        <v>17.7</v>
      </c>
      <c r="J306" s="137">
        <v>77</v>
      </c>
      <c r="K306" s="137" t="s">
        <v>69</v>
      </c>
      <c r="L306" s="137" t="s">
        <v>238</v>
      </c>
      <c r="M306" s="139">
        <v>0</v>
      </c>
      <c r="N306" s="139">
        <v>1.6580545208239499E+19</v>
      </c>
    </row>
    <row r="307" spans="3:14">
      <c r="C307" s="24" t="b">
        <v>0</v>
      </c>
      <c r="D307" s="137">
        <v>18.5</v>
      </c>
      <c r="E307" s="138">
        <v>6</v>
      </c>
      <c r="F307" s="137">
        <v>250</v>
      </c>
      <c r="G307" s="137">
        <v>98</v>
      </c>
      <c r="H307" s="137">
        <v>3525</v>
      </c>
      <c r="I307" s="137">
        <v>19</v>
      </c>
      <c r="J307" s="137">
        <v>77</v>
      </c>
      <c r="K307" s="137" t="s">
        <v>69</v>
      </c>
      <c r="L307" s="137" t="s">
        <v>239</v>
      </c>
      <c r="M307" s="139">
        <v>0</v>
      </c>
      <c r="N307" s="139">
        <v>1.08478257122188E+19</v>
      </c>
    </row>
    <row r="308" spans="3:14">
      <c r="C308" s="24" t="b">
        <v>0</v>
      </c>
      <c r="D308" s="137">
        <v>16</v>
      </c>
      <c r="E308" s="138">
        <v>8</v>
      </c>
      <c r="F308" s="137">
        <v>400</v>
      </c>
      <c r="G308" s="137">
        <v>180</v>
      </c>
      <c r="H308" s="137">
        <v>4220</v>
      </c>
      <c r="I308" s="137">
        <v>11.1</v>
      </c>
      <c r="J308" s="137">
        <v>77</v>
      </c>
      <c r="K308" s="137" t="s">
        <v>69</v>
      </c>
      <c r="L308" s="137" t="s">
        <v>240</v>
      </c>
      <c r="M308" s="139">
        <v>0</v>
      </c>
      <c r="N308" s="139">
        <v>1.26487986712937E+19</v>
      </c>
    </row>
    <row r="309" spans="3:14">
      <c r="C309" s="24" t="b">
        <v>0</v>
      </c>
      <c r="D309" s="137">
        <v>15.5</v>
      </c>
      <c r="E309" s="138">
        <v>8</v>
      </c>
      <c r="F309" s="137">
        <v>350</v>
      </c>
      <c r="G309" s="137">
        <v>170</v>
      </c>
      <c r="H309" s="137">
        <v>4165</v>
      </c>
      <c r="I309" s="137">
        <v>11.4</v>
      </c>
      <c r="J309" s="137">
        <v>77</v>
      </c>
      <c r="K309" s="137" t="s">
        <v>69</v>
      </c>
      <c r="L309" s="137" t="s">
        <v>241</v>
      </c>
      <c r="M309" s="139">
        <v>0</v>
      </c>
      <c r="N309" s="139">
        <v>1.7689895834414399E+19</v>
      </c>
    </row>
    <row r="310" spans="3:14">
      <c r="C310" s="24" t="b">
        <v>0</v>
      </c>
      <c r="D310" s="137">
        <v>15.5</v>
      </c>
      <c r="E310" s="138">
        <v>8</v>
      </c>
      <c r="F310" s="137">
        <v>400</v>
      </c>
      <c r="G310" s="137">
        <v>190</v>
      </c>
      <c r="H310" s="137">
        <v>4325</v>
      </c>
      <c r="I310" s="137">
        <v>12.2</v>
      </c>
      <c r="J310" s="137">
        <v>77</v>
      </c>
      <c r="K310" s="137" t="s">
        <v>69</v>
      </c>
      <c r="L310" s="137" t="s">
        <v>242</v>
      </c>
      <c r="M310" s="139">
        <v>0</v>
      </c>
      <c r="N310" s="139">
        <v>9.8555692238003405E+18</v>
      </c>
    </row>
    <row r="311" spans="3:14">
      <c r="C311" s="24" t="b">
        <v>0</v>
      </c>
      <c r="D311" s="137">
        <v>16</v>
      </c>
      <c r="E311" s="138">
        <v>8</v>
      </c>
      <c r="F311" s="137">
        <v>351</v>
      </c>
      <c r="G311" s="137">
        <v>149</v>
      </c>
      <c r="H311" s="137">
        <v>4335</v>
      </c>
      <c r="I311" s="137">
        <v>14.5</v>
      </c>
      <c r="J311" s="137">
        <v>77</v>
      </c>
      <c r="K311" s="137" t="s">
        <v>69</v>
      </c>
      <c r="L311" s="137" t="s">
        <v>243</v>
      </c>
      <c r="M311" s="139">
        <v>0</v>
      </c>
      <c r="N311" s="139">
        <v>1.40128332303289E+19</v>
      </c>
    </row>
    <row r="312" spans="3:14">
      <c r="C312" s="24" t="b">
        <v>0</v>
      </c>
      <c r="D312" s="137">
        <v>29</v>
      </c>
      <c r="E312" s="138">
        <v>4</v>
      </c>
      <c r="F312" s="137">
        <v>97</v>
      </c>
      <c r="G312" s="137">
        <v>78</v>
      </c>
      <c r="H312" s="137">
        <v>1940</v>
      </c>
      <c r="I312" s="137">
        <v>14.5</v>
      </c>
      <c r="J312" s="137">
        <v>77</v>
      </c>
      <c r="K312" s="137" t="s">
        <v>91</v>
      </c>
      <c r="L312" s="137" t="s">
        <v>244</v>
      </c>
      <c r="M312" s="139">
        <v>0</v>
      </c>
      <c r="N312" s="139">
        <v>3.2097419660101699E+18</v>
      </c>
    </row>
    <row r="313" spans="3:14">
      <c r="C313" s="24" t="b">
        <v>0</v>
      </c>
      <c r="D313" s="137">
        <v>24.5</v>
      </c>
      <c r="E313" s="138">
        <v>4</v>
      </c>
      <c r="F313" s="137">
        <v>151</v>
      </c>
      <c r="G313" s="137">
        <v>88</v>
      </c>
      <c r="H313" s="137">
        <v>2740</v>
      </c>
      <c r="I313" s="137">
        <v>16</v>
      </c>
      <c r="J313" s="137">
        <v>77</v>
      </c>
      <c r="K313" s="137" t="s">
        <v>69</v>
      </c>
      <c r="L313" s="137" t="s">
        <v>245</v>
      </c>
      <c r="M313" s="139">
        <v>0</v>
      </c>
      <c r="N313" s="139">
        <v>1.4851122783748901E+19</v>
      </c>
    </row>
    <row r="314" spans="3:14">
      <c r="C314" s="24" t="b">
        <v>0</v>
      </c>
      <c r="D314" s="137">
        <v>26</v>
      </c>
      <c r="E314" s="138">
        <v>4</v>
      </c>
      <c r="F314" s="137">
        <v>97</v>
      </c>
      <c r="G314" s="137">
        <v>75</v>
      </c>
      <c r="H314" s="137">
        <v>2265</v>
      </c>
      <c r="I314" s="137">
        <v>18.2</v>
      </c>
      <c r="J314" s="137">
        <v>77</v>
      </c>
      <c r="K314" s="137" t="s">
        <v>85</v>
      </c>
      <c r="L314" s="137" t="s">
        <v>246</v>
      </c>
      <c r="M314" s="139">
        <v>0</v>
      </c>
      <c r="N314" s="139">
        <v>1.38403179522584E+19</v>
      </c>
    </row>
    <row r="315" spans="3:14">
      <c r="C315" s="24" t="b">
        <v>0</v>
      </c>
      <c r="D315" s="137">
        <v>25.5</v>
      </c>
      <c r="E315" s="138">
        <v>4</v>
      </c>
      <c r="F315" s="137">
        <v>140</v>
      </c>
      <c r="G315" s="137">
        <v>89</v>
      </c>
      <c r="H315" s="137">
        <v>2755</v>
      </c>
      <c r="I315" s="137">
        <v>15.8</v>
      </c>
      <c r="J315" s="137">
        <v>77</v>
      </c>
      <c r="K315" s="137" t="s">
        <v>69</v>
      </c>
      <c r="L315" s="137" t="s">
        <v>247</v>
      </c>
      <c r="M315" s="139">
        <v>0</v>
      </c>
      <c r="N315" s="139">
        <v>1.2168963755970601E+19</v>
      </c>
    </row>
    <row r="316" spans="3:14">
      <c r="C316" s="24" t="b">
        <v>0</v>
      </c>
      <c r="D316" s="137">
        <v>30.5</v>
      </c>
      <c r="E316" s="138">
        <v>4</v>
      </c>
      <c r="F316" s="137">
        <v>98</v>
      </c>
      <c r="G316" s="137">
        <v>63</v>
      </c>
      <c r="H316" s="137">
        <v>2051</v>
      </c>
      <c r="I316" s="137">
        <v>17</v>
      </c>
      <c r="J316" s="137">
        <v>77</v>
      </c>
      <c r="K316" s="137" t="s">
        <v>69</v>
      </c>
      <c r="L316" s="137" t="s">
        <v>213</v>
      </c>
      <c r="M316" s="139">
        <v>0</v>
      </c>
      <c r="N316" s="139">
        <v>8.2598934142173399E+18</v>
      </c>
    </row>
    <row r="317" spans="3:14">
      <c r="C317" s="24" t="b">
        <v>0</v>
      </c>
      <c r="D317" s="137">
        <v>33.5</v>
      </c>
      <c r="E317" s="138">
        <v>4</v>
      </c>
      <c r="F317" s="137">
        <v>98</v>
      </c>
      <c r="G317" s="137">
        <v>83</v>
      </c>
      <c r="H317" s="137">
        <v>2075</v>
      </c>
      <c r="I317" s="137">
        <v>15.9</v>
      </c>
      <c r="J317" s="137">
        <v>77</v>
      </c>
      <c r="K317" s="137" t="s">
        <v>69</v>
      </c>
      <c r="L317" s="137" t="s">
        <v>248</v>
      </c>
      <c r="M317" s="139">
        <v>0</v>
      </c>
      <c r="N317" s="139">
        <v>1.4516566520199999E+19</v>
      </c>
    </row>
    <row r="318" spans="3:14">
      <c r="C318" s="24" t="b">
        <v>0</v>
      </c>
      <c r="D318" s="137">
        <v>30</v>
      </c>
      <c r="E318" s="138">
        <v>4</v>
      </c>
      <c r="F318" s="137">
        <v>97</v>
      </c>
      <c r="G318" s="137">
        <v>67</v>
      </c>
      <c r="H318" s="137">
        <v>1985</v>
      </c>
      <c r="I318" s="137">
        <v>16.399999999999999</v>
      </c>
      <c r="J318" s="137">
        <v>77</v>
      </c>
      <c r="K318" s="137" t="s">
        <v>85</v>
      </c>
      <c r="L318" s="137" t="s">
        <v>249</v>
      </c>
      <c r="M318" s="139">
        <v>0</v>
      </c>
      <c r="N318" s="139">
        <v>9.6380172293094892E+18</v>
      </c>
    </row>
    <row r="319" spans="3:14">
      <c r="C319" s="24" t="b">
        <v>0</v>
      </c>
      <c r="D319" s="137">
        <v>30.5</v>
      </c>
      <c r="E319" s="138">
        <v>4</v>
      </c>
      <c r="F319" s="137">
        <v>97</v>
      </c>
      <c r="G319" s="137">
        <v>78</v>
      </c>
      <c r="H319" s="137">
        <v>2190</v>
      </c>
      <c r="I319" s="137">
        <v>14.1</v>
      </c>
      <c r="J319" s="137">
        <v>77</v>
      </c>
      <c r="K319" s="137" t="s">
        <v>91</v>
      </c>
      <c r="L319" s="137" t="s">
        <v>186</v>
      </c>
      <c r="M319" s="139">
        <v>0</v>
      </c>
      <c r="N319" s="139">
        <v>3.71797251434242E+18</v>
      </c>
    </row>
    <row r="320" spans="3:14">
      <c r="C320" s="24" t="b">
        <v>0</v>
      </c>
      <c r="D320" s="137">
        <v>22</v>
      </c>
      <c r="E320" s="138">
        <v>6</v>
      </c>
      <c r="F320" s="137">
        <v>146</v>
      </c>
      <c r="G320" s="137">
        <v>97</v>
      </c>
      <c r="H320" s="137">
        <v>2815</v>
      </c>
      <c r="I320" s="137">
        <v>14.5</v>
      </c>
      <c r="J320" s="137">
        <v>77</v>
      </c>
      <c r="K320" s="137" t="s">
        <v>85</v>
      </c>
      <c r="L320" s="137" t="s">
        <v>250</v>
      </c>
      <c r="M320" s="139">
        <v>0</v>
      </c>
      <c r="N320" s="139">
        <v>6.1441885261571799E+18</v>
      </c>
    </row>
    <row r="321" spans="3:14">
      <c r="C321" s="24" t="b">
        <v>0</v>
      </c>
      <c r="D321" s="137">
        <v>21.5</v>
      </c>
      <c r="E321" s="138">
        <v>4</v>
      </c>
      <c r="F321" s="137">
        <v>121</v>
      </c>
      <c r="G321" s="137">
        <v>110</v>
      </c>
      <c r="H321" s="137">
        <v>2600</v>
      </c>
      <c r="I321" s="137">
        <v>12.8</v>
      </c>
      <c r="J321" s="137">
        <v>77</v>
      </c>
      <c r="K321" s="137" t="s">
        <v>91</v>
      </c>
      <c r="L321" s="137" t="s">
        <v>251</v>
      </c>
      <c r="M321" s="139">
        <v>0</v>
      </c>
      <c r="N321" s="139">
        <v>1.31590515935378E+19</v>
      </c>
    </row>
    <row r="322" spans="3:14">
      <c r="C322" s="24" t="b">
        <v>0</v>
      </c>
      <c r="D322" s="137">
        <v>21.5</v>
      </c>
      <c r="E322" s="138">
        <v>3</v>
      </c>
      <c r="F322" s="137">
        <v>80</v>
      </c>
      <c r="G322" s="137">
        <v>110</v>
      </c>
      <c r="H322" s="137">
        <v>2720</v>
      </c>
      <c r="I322" s="137">
        <v>13.5</v>
      </c>
      <c r="J322" s="137">
        <v>77</v>
      </c>
      <c r="K322" s="137" t="s">
        <v>85</v>
      </c>
      <c r="L322" s="137" t="s">
        <v>252</v>
      </c>
      <c r="M322" s="139">
        <v>0</v>
      </c>
      <c r="N322" s="139">
        <v>9.1367153684465398E+18</v>
      </c>
    </row>
    <row r="323" spans="3:14">
      <c r="C323" s="24" t="b">
        <v>0</v>
      </c>
      <c r="D323" s="137">
        <v>43.1</v>
      </c>
      <c r="E323" s="138">
        <v>4</v>
      </c>
      <c r="F323" s="137">
        <v>90</v>
      </c>
      <c r="G323" s="137">
        <v>48</v>
      </c>
      <c r="H323" s="137">
        <v>1985</v>
      </c>
      <c r="I323" s="137">
        <v>21.5</v>
      </c>
      <c r="J323" s="137">
        <v>78</v>
      </c>
      <c r="K323" s="137" t="s">
        <v>91</v>
      </c>
      <c r="L323" s="137" t="s">
        <v>253</v>
      </c>
      <c r="M323" s="139">
        <v>0</v>
      </c>
      <c r="N323" s="139">
        <v>8.5319655493192397E+18</v>
      </c>
    </row>
    <row r="324" spans="3:14">
      <c r="C324" s="24" t="b">
        <v>0</v>
      </c>
      <c r="D324" s="137">
        <v>36.1</v>
      </c>
      <c r="E324" s="138">
        <v>4</v>
      </c>
      <c r="F324" s="137">
        <v>98</v>
      </c>
      <c r="G324" s="137">
        <v>66</v>
      </c>
      <c r="H324" s="137">
        <v>1800</v>
      </c>
      <c r="I324" s="137">
        <v>14.4</v>
      </c>
      <c r="J324" s="137">
        <v>78</v>
      </c>
      <c r="K324" s="137" t="s">
        <v>69</v>
      </c>
      <c r="L324" s="137" t="s">
        <v>254</v>
      </c>
      <c r="M324" s="139">
        <v>0</v>
      </c>
      <c r="N324" s="139">
        <v>2.76543487429822E+18</v>
      </c>
    </row>
    <row r="325" spans="3:14">
      <c r="C325" s="24" t="b">
        <v>0</v>
      </c>
      <c r="D325" s="137">
        <v>32.799999999999997</v>
      </c>
      <c r="E325" s="138">
        <v>4</v>
      </c>
      <c r="F325" s="137">
        <v>78</v>
      </c>
      <c r="G325" s="137">
        <v>52</v>
      </c>
      <c r="H325" s="137">
        <v>1985</v>
      </c>
      <c r="I325" s="137">
        <v>19.399999999999999</v>
      </c>
      <c r="J325" s="137">
        <v>78</v>
      </c>
      <c r="K325" s="137" t="s">
        <v>85</v>
      </c>
      <c r="L325" s="137" t="s">
        <v>255</v>
      </c>
      <c r="M325" s="139">
        <v>0</v>
      </c>
      <c r="N325" s="139">
        <v>1.6735706942218899E+19</v>
      </c>
    </row>
    <row r="326" spans="3:14">
      <c r="C326" s="24" t="b">
        <v>0</v>
      </c>
      <c r="D326" s="137">
        <v>39.4</v>
      </c>
      <c r="E326" s="138">
        <v>4</v>
      </c>
      <c r="F326" s="137">
        <v>85</v>
      </c>
      <c r="G326" s="137">
        <v>70</v>
      </c>
      <c r="H326" s="137">
        <v>2070</v>
      </c>
      <c r="I326" s="137">
        <v>18.600000000000001</v>
      </c>
      <c r="J326" s="137">
        <v>78</v>
      </c>
      <c r="K326" s="137" t="s">
        <v>85</v>
      </c>
      <c r="L326" s="137" t="s">
        <v>256</v>
      </c>
      <c r="M326" s="139">
        <v>0</v>
      </c>
      <c r="N326" s="139">
        <v>1.5514200753371501E+19</v>
      </c>
    </row>
    <row r="327" spans="3:14">
      <c r="C327" s="24" t="b">
        <v>0</v>
      </c>
      <c r="D327" s="137">
        <v>36.1</v>
      </c>
      <c r="E327" s="138">
        <v>4</v>
      </c>
      <c r="F327" s="137">
        <v>91</v>
      </c>
      <c r="G327" s="137">
        <v>60</v>
      </c>
      <c r="H327" s="137">
        <v>1800</v>
      </c>
      <c r="I327" s="137">
        <v>16.399999999999999</v>
      </c>
      <c r="J327" s="137">
        <v>78</v>
      </c>
      <c r="K327" s="137" t="s">
        <v>85</v>
      </c>
      <c r="L327" s="137" t="s">
        <v>208</v>
      </c>
      <c r="M327" s="139">
        <v>0</v>
      </c>
      <c r="N327" s="139">
        <v>5.70542931686912E+18</v>
      </c>
    </row>
    <row r="328" spans="3:14">
      <c r="C328" s="24" t="b">
        <v>0</v>
      </c>
      <c r="D328" s="137">
        <v>19.899999999999999</v>
      </c>
      <c r="E328" s="138">
        <v>8</v>
      </c>
      <c r="F328" s="137">
        <v>260</v>
      </c>
      <c r="G328" s="137">
        <v>110</v>
      </c>
      <c r="H328" s="137">
        <v>3365</v>
      </c>
      <c r="I328" s="137">
        <v>15.5</v>
      </c>
      <c r="J328" s="137">
        <v>78</v>
      </c>
      <c r="K328" s="137" t="s">
        <v>69</v>
      </c>
      <c r="L328" s="137" t="s">
        <v>257</v>
      </c>
      <c r="M328" s="139">
        <v>0</v>
      </c>
      <c r="N328" s="139">
        <v>7.76416892308945E+18</v>
      </c>
    </row>
    <row r="329" spans="3:14">
      <c r="C329" s="24" t="b">
        <v>0</v>
      </c>
      <c r="D329" s="137">
        <v>19.399999999999999</v>
      </c>
      <c r="E329" s="138">
        <v>8</v>
      </c>
      <c r="F329" s="137">
        <v>318</v>
      </c>
      <c r="G329" s="137">
        <v>140</v>
      </c>
      <c r="H329" s="137">
        <v>3735</v>
      </c>
      <c r="I329" s="137">
        <v>13.2</v>
      </c>
      <c r="J329" s="137">
        <v>78</v>
      </c>
      <c r="K329" s="137" t="s">
        <v>69</v>
      </c>
      <c r="L329" s="137" t="s">
        <v>258</v>
      </c>
      <c r="M329" s="139">
        <v>0</v>
      </c>
      <c r="N329" s="139">
        <v>7.5259577851472804E+18</v>
      </c>
    </row>
    <row r="330" spans="3:14">
      <c r="C330" s="24" t="b">
        <v>0</v>
      </c>
      <c r="D330" s="137">
        <v>20.2</v>
      </c>
      <c r="E330" s="138">
        <v>8</v>
      </c>
      <c r="F330" s="137">
        <v>302</v>
      </c>
      <c r="G330" s="137">
        <v>139</v>
      </c>
      <c r="H330" s="137">
        <v>3570</v>
      </c>
      <c r="I330" s="137">
        <v>12.8</v>
      </c>
      <c r="J330" s="137">
        <v>78</v>
      </c>
      <c r="K330" s="137" t="s">
        <v>69</v>
      </c>
      <c r="L330" s="137" t="s">
        <v>259</v>
      </c>
      <c r="M330" s="139">
        <v>0</v>
      </c>
      <c r="N330" s="139">
        <v>1.5346487119701801E+19</v>
      </c>
    </row>
    <row r="331" spans="3:14">
      <c r="C331" s="24" t="b">
        <v>0</v>
      </c>
      <c r="D331" s="137">
        <v>19.2</v>
      </c>
      <c r="E331" s="138">
        <v>6</v>
      </c>
      <c r="F331" s="137">
        <v>231</v>
      </c>
      <c r="G331" s="137">
        <v>105</v>
      </c>
      <c r="H331" s="137">
        <v>3535</v>
      </c>
      <c r="I331" s="137">
        <v>19.2</v>
      </c>
      <c r="J331" s="137">
        <v>78</v>
      </c>
      <c r="K331" s="137" t="s">
        <v>69</v>
      </c>
      <c r="L331" s="137" t="s">
        <v>260</v>
      </c>
      <c r="M331" s="139">
        <v>0</v>
      </c>
      <c r="N331" s="139">
        <v>4.0321587493350999E+18</v>
      </c>
    </row>
    <row r="332" spans="3:14">
      <c r="C332" s="24" t="b">
        <v>0</v>
      </c>
      <c r="D332" s="137">
        <v>20.5</v>
      </c>
      <c r="E332" s="138">
        <v>6</v>
      </c>
      <c r="F332" s="137">
        <v>200</v>
      </c>
      <c r="G332" s="137">
        <v>95</v>
      </c>
      <c r="H332" s="137">
        <v>3155</v>
      </c>
      <c r="I332" s="137">
        <v>18.2</v>
      </c>
      <c r="J332" s="137">
        <v>78</v>
      </c>
      <c r="K332" s="137" t="s">
        <v>69</v>
      </c>
      <c r="L332" s="137" t="s">
        <v>148</v>
      </c>
      <c r="M332" s="139">
        <v>0</v>
      </c>
      <c r="N332" s="139">
        <v>1.4151431447383501E+19</v>
      </c>
    </row>
    <row r="333" spans="3:14">
      <c r="C333" s="24" t="b">
        <v>0</v>
      </c>
      <c r="D333" s="137">
        <v>20.2</v>
      </c>
      <c r="E333" s="138">
        <v>6</v>
      </c>
      <c r="F333" s="137">
        <v>200</v>
      </c>
      <c r="G333" s="137">
        <v>85</v>
      </c>
      <c r="H333" s="137">
        <v>2965</v>
      </c>
      <c r="I333" s="137">
        <v>15.8</v>
      </c>
      <c r="J333" s="137">
        <v>78</v>
      </c>
      <c r="K333" s="137" t="s">
        <v>69</v>
      </c>
      <c r="L333" s="137" t="s">
        <v>261</v>
      </c>
      <c r="M333" s="139">
        <v>0</v>
      </c>
      <c r="N333" s="139">
        <v>7.6169985378401597E+18</v>
      </c>
    </row>
    <row r="334" spans="3:14">
      <c r="C334" s="24" t="b">
        <v>0</v>
      </c>
      <c r="D334" s="137">
        <v>25.1</v>
      </c>
      <c r="E334" s="138">
        <v>4</v>
      </c>
      <c r="F334" s="137">
        <v>140</v>
      </c>
      <c r="G334" s="137">
        <v>88</v>
      </c>
      <c r="H334" s="137">
        <v>2720</v>
      </c>
      <c r="I334" s="137">
        <v>15.4</v>
      </c>
      <c r="J334" s="137">
        <v>78</v>
      </c>
      <c r="K334" s="137" t="s">
        <v>69</v>
      </c>
      <c r="L334" s="137" t="s">
        <v>262</v>
      </c>
      <c r="M334" s="139">
        <v>0</v>
      </c>
      <c r="N334" s="139">
        <v>3.5130397519129902E+18</v>
      </c>
    </row>
    <row r="335" spans="3:14">
      <c r="C335" s="24" t="b">
        <v>0</v>
      </c>
      <c r="D335" s="137">
        <v>20.5</v>
      </c>
      <c r="E335" s="138">
        <v>6</v>
      </c>
      <c r="F335" s="137">
        <v>225</v>
      </c>
      <c r="G335" s="137">
        <v>100</v>
      </c>
      <c r="H335" s="137">
        <v>3430</v>
      </c>
      <c r="I335" s="137">
        <v>17.2</v>
      </c>
      <c r="J335" s="137">
        <v>78</v>
      </c>
      <c r="K335" s="137" t="s">
        <v>69</v>
      </c>
      <c r="L335" s="137" t="s">
        <v>263</v>
      </c>
      <c r="M335" s="139">
        <v>0</v>
      </c>
      <c r="N335" s="139">
        <v>1.8275039705332699E+19</v>
      </c>
    </row>
    <row r="336" spans="3:14">
      <c r="C336" s="24" t="b">
        <v>0</v>
      </c>
      <c r="D336" s="137">
        <v>19.399999999999999</v>
      </c>
      <c r="E336" s="138">
        <v>6</v>
      </c>
      <c r="F336" s="137">
        <v>232</v>
      </c>
      <c r="G336" s="137">
        <v>90</v>
      </c>
      <c r="H336" s="137">
        <v>3210</v>
      </c>
      <c r="I336" s="137">
        <v>17.2</v>
      </c>
      <c r="J336" s="137">
        <v>78</v>
      </c>
      <c r="K336" s="137" t="s">
        <v>69</v>
      </c>
      <c r="L336" s="137" t="s">
        <v>264</v>
      </c>
      <c r="M336" s="139">
        <v>0</v>
      </c>
      <c r="N336" s="139">
        <v>8.00892472673728E+18</v>
      </c>
    </row>
    <row r="337" spans="3:14">
      <c r="C337" s="24" t="b">
        <v>0</v>
      </c>
      <c r="D337" s="137">
        <v>20.6</v>
      </c>
      <c r="E337" s="138">
        <v>6</v>
      </c>
      <c r="F337" s="137">
        <v>231</v>
      </c>
      <c r="G337" s="137">
        <v>105</v>
      </c>
      <c r="H337" s="137">
        <v>3380</v>
      </c>
      <c r="I337" s="137">
        <v>15.8</v>
      </c>
      <c r="J337" s="137">
        <v>78</v>
      </c>
      <c r="K337" s="137" t="s">
        <v>69</v>
      </c>
      <c r="L337" s="137" t="s">
        <v>265</v>
      </c>
      <c r="M337" s="139">
        <v>0</v>
      </c>
      <c r="N337" s="139">
        <v>1.0434667968723599E+19</v>
      </c>
    </row>
    <row r="338" spans="3:14">
      <c r="C338" s="24" t="b">
        <v>0</v>
      </c>
      <c r="D338" s="137">
        <v>20.8</v>
      </c>
      <c r="E338" s="138">
        <v>6</v>
      </c>
      <c r="F338" s="137">
        <v>200</v>
      </c>
      <c r="G338" s="137">
        <v>85</v>
      </c>
      <c r="H338" s="137">
        <v>3070</v>
      </c>
      <c r="I338" s="137">
        <v>16.7</v>
      </c>
      <c r="J338" s="137">
        <v>78</v>
      </c>
      <c r="K338" s="137" t="s">
        <v>69</v>
      </c>
      <c r="L338" s="137" t="s">
        <v>266</v>
      </c>
      <c r="M338" s="139">
        <v>0</v>
      </c>
      <c r="N338" s="139">
        <v>5.8317388775901102E+18</v>
      </c>
    </row>
    <row r="339" spans="3:14">
      <c r="C339" s="24" t="b">
        <v>0</v>
      </c>
      <c r="D339" s="137">
        <v>18.600000000000001</v>
      </c>
      <c r="E339" s="138">
        <v>6</v>
      </c>
      <c r="F339" s="137">
        <v>225</v>
      </c>
      <c r="G339" s="137">
        <v>110</v>
      </c>
      <c r="H339" s="137">
        <v>3620</v>
      </c>
      <c r="I339" s="137">
        <v>18.7</v>
      </c>
      <c r="J339" s="137">
        <v>78</v>
      </c>
      <c r="K339" s="137" t="s">
        <v>69</v>
      </c>
      <c r="L339" s="137" t="s">
        <v>267</v>
      </c>
      <c r="M339" s="139">
        <v>0</v>
      </c>
      <c r="N339" s="139">
        <v>6.8033271939694203E+18</v>
      </c>
    </row>
    <row r="340" spans="3:14">
      <c r="C340" s="24" t="b">
        <v>0</v>
      </c>
      <c r="D340" s="137">
        <v>18.100000000000001</v>
      </c>
      <c r="E340" s="138">
        <v>6</v>
      </c>
      <c r="F340" s="137">
        <v>258</v>
      </c>
      <c r="G340" s="137">
        <v>120</v>
      </c>
      <c r="H340" s="137">
        <v>3410</v>
      </c>
      <c r="I340" s="137">
        <v>15.1</v>
      </c>
      <c r="J340" s="137">
        <v>78</v>
      </c>
      <c r="K340" s="137" t="s">
        <v>69</v>
      </c>
      <c r="L340" s="137" t="s">
        <v>268</v>
      </c>
      <c r="M340" s="139">
        <v>0</v>
      </c>
      <c r="N340" s="139">
        <v>4.2391885397864499E+18</v>
      </c>
    </row>
    <row r="341" spans="3:14">
      <c r="C341" s="24" t="b">
        <v>0</v>
      </c>
      <c r="D341" s="137">
        <v>19.2</v>
      </c>
      <c r="E341" s="138">
        <v>8</v>
      </c>
      <c r="F341" s="137">
        <v>305</v>
      </c>
      <c r="G341" s="137">
        <v>145</v>
      </c>
      <c r="H341" s="137">
        <v>3425</v>
      </c>
      <c r="I341" s="137">
        <v>13.2</v>
      </c>
      <c r="J341" s="137">
        <v>78</v>
      </c>
      <c r="K341" s="137" t="s">
        <v>69</v>
      </c>
      <c r="L341" s="137" t="s">
        <v>241</v>
      </c>
      <c r="M341" s="139">
        <v>0</v>
      </c>
      <c r="N341" s="139">
        <v>9.5290382237180498E+18</v>
      </c>
    </row>
    <row r="342" spans="3:14">
      <c r="C342" s="24" t="b">
        <v>0</v>
      </c>
      <c r="D342" s="137">
        <v>17.7</v>
      </c>
      <c r="E342" s="138">
        <v>6</v>
      </c>
      <c r="F342" s="137">
        <v>231</v>
      </c>
      <c r="G342" s="137">
        <v>165</v>
      </c>
      <c r="H342" s="137">
        <v>3445</v>
      </c>
      <c r="I342" s="137">
        <v>13.4</v>
      </c>
      <c r="J342" s="137">
        <v>78</v>
      </c>
      <c r="K342" s="137" t="s">
        <v>69</v>
      </c>
      <c r="L342" s="137" t="s">
        <v>269</v>
      </c>
      <c r="M342" s="139">
        <v>0</v>
      </c>
      <c r="N342" s="139">
        <v>7.4959400205243802E+18</v>
      </c>
    </row>
    <row r="343" spans="3:14">
      <c r="C343" s="24" t="b">
        <v>0</v>
      </c>
      <c r="D343" s="137">
        <v>18.100000000000001</v>
      </c>
      <c r="E343" s="138">
        <v>8</v>
      </c>
      <c r="F343" s="137">
        <v>302</v>
      </c>
      <c r="G343" s="137">
        <v>139</v>
      </c>
      <c r="H343" s="137">
        <v>3205</v>
      </c>
      <c r="I343" s="137">
        <v>11.2</v>
      </c>
      <c r="J343" s="137">
        <v>78</v>
      </c>
      <c r="K343" s="137" t="s">
        <v>69</v>
      </c>
      <c r="L343" s="137" t="s">
        <v>270</v>
      </c>
      <c r="M343" s="139">
        <v>0</v>
      </c>
      <c r="N343" s="139">
        <v>1.4579958670213401E+19</v>
      </c>
    </row>
    <row r="344" spans="3:14">
      <c r="C344" s="24" t="b">
        <v>0</v>
      </c>
      <c r="D344" s="137">
        <v>17.5</v>
      </c>
      <c r="E344" s="138">
        <v>8</v>
      </c>
      <c r="F344" s="137">
        <v>318</v>
      </c>
      <c r="G344" s="137">
        <v>140</v>
      </c>
      <c r="H344" s="137">
        <v>4080</v>
      </c>
      <c r="I344" s="137">
        <v>13.7</v>
      </c>
      <c r="J344" s="137">
        <v>78</v>
      </c>
      <c r="K344" s="137" t="s">
        <v>69</v>
      </c>
      <c r="L344" s="137" t="s">
        <v>271</v>
      </c>
      <c r="M344" s="139">
        <v>0</v>
      </c>
      <c r="N344" s="139">
        <v>2.87036469277024E+18</v>
      </c>
    </row>
    <row r="345" spans="3:14">
      <c r="C345" s="24" t="b">
        <v>0</v>
      </c>
      <c r="D345" s="137">
        <v>30</v>
      </c>
      <c r="E345" s="138">
        <v>4</v>
      </c>
      <c r="F345" s="137">
        <v>98</v>
      </c>
      <c r="G345" s="137">
        <v>68</v>
      </c>
      <c r="H345" s="137">
        <v>2155</v>
      </c>
      <c r="I345" s="137">
        <v>16.5</v>
      </c>
      <c r="J345" s="137">
        <v>78</v>
      </c>
      <c r="K345" s="137" t="s">
        <v>69</v>
      </c>
      <c r="L345" s="137" t="s">
        <v>213</v>
      </c>
      <c r="M345" s="139">
        <v>0</v>
      </c>
      <c r="N345" s="139">
        <v>1.84390174633868E+19</v>
      </c>
    </row>
    <row r="346" spans="3:14">
      <c r="C346" s="24" t="b">
        <v>0</v>
      </c>
      <c r="D346" s="137">
        <v>27.5</v>
      </c>
      <c r="E346" s="138">
        <v>4</v>
      </c>
      <c r="F346" s="137">
        <v>134</v>
      </c>
      <c r="G346" s="137">
        <v>95</v>
      </c>
      <c r="H346" s="137">
        <v>2560</v>
      </c>
      <c r="I346" s="137">
        <v>14.2</v>
      </c>
      <c r="J346" s="137">
        <v>78</v>
      </c>
      <c r="K346" s="137" t="s">
        <v>85</v>
      </c>
      <c r="L346" s="137" t="s">
        <v>103</v>
      </c>
      <c r="M346" s="139">
        <v>0</v>
      </c>
      <c r="N346" s="139">
        <v>1.1352164475044E+19</v>
      </c>
    </row>
    <row r="347" spans="3:14">
      <c r="C347" s="24" t="b">
        <v>0</v>
      </c>
      <c r="D347" s="137">
        <v>27.2</v>
      </c>
      <c r="E347" s="138">
        <v>4</v>
      </c>
      <c r="F347" s="137">
        <v>119</v>
      </c>
      <c r="G347" s="137">
        <v>97</v>
      </c>
      <c r="H347" s="137">
        <v>2300</v>
      </c>
      <c r="I347" s="137">
        <v>14.7</v>
      </c>
      <c r="J347" s="137">
        <v>78</v>
      </c>
      <c r="K347" s="137" t="s">
        <v>85</v>
      </c>
      <c r="L347" s="137" t="s">
        <v>272</v>
      </c>
      <c r="M347" s="139">
        <v>0</v>
      </c>
      <c r="N347" s="139">
        <v>1.1111921457179001E+19</v>
      </c>
    </row>
    <row r="348" spans="3:14">
      <c r="C348" s="24" t="b">
        <v>0</v>
      </c>
      <c r="D348" s="137">
        <v>30.9</v>
      </c>
      <c r="E348" s="138">
        <v>4</v>
      </c>
      <c r="F348" s="137">
        <v>105</v>
      </c>
      <c r="G348" s="137">
        <v>75</v>
      </c>
      <c r="H348" s="137">
        <v>2230</v>
      </c>
      <c r="I348" s="137">
        <v>14.5</v>
      </c>
      <c r="J348" s="137">
        <v>78</v>
      </c>
      <c r="K348" s="137" t="s">
        <v>69</v>
      </c>
      <c r="L348" s="137" t="s">
        <v>273</v>
      </c>
      <c r="M348" s="139">
        <v>0</v>
      </c>
      <c r="N348" s="139">
        <v>6.31821648168845E+18</v>
      </c>
    </row>
    <row r="349" spans="3:14">
      <c r="C349" s="24" t="b">
        <v>0</v>
      </c>
      <c r="D349" s="137">
        <v>21.1</v>
      </c>
      <c r="E349" s="138">
        <v>4</v>
      </c>
      <c r="F349" s="137">
        <v>134</v>
      </c>
      <c r="G349" s="137">
        <v>95</v>
      </c>
      <c r="H349" s="137">
        <v>2515</v>
      </c>
      <c r="I349" s="137">
        <v>14.8</v>
      </c>
      <c r="J349" s="137">
        <v>78</v>
      </c>
      <c r="K349" s="137" t="s">
        <v>85</v>
      </c>
      <c r="L349" s="137" t="s">
        <v>274</v>
      </c>
      <c r="M349" s="139">
        <v>0</v>
      </c>
      <c r="N349" s="139">
        <v>5.7190630881737997E+17</v>
      </c>
    </row>
    <row r="350" spans="3:14">
      <c r="C350" s="24" t="b">
        <v>0</v>
      </c>
      <c r="D350" s="137">
        <v>23.2</v>
      </c>
      <c r="E350" s="138">
        <v>4</v>
      </c>
      <c r="F350" s="137">
        <v>156</v>
      </c>
      <c r="G350" s="137">
        <v>105</v>
      </c>
      <c r="H350" s="137">
        <v>2745</v>
      </c>
      <c r="I350" s="137">
        <v>16.7</v>
      </c>
      <c r="J350" s="137">
        <v>78</v>
      </c>
      <c r="K350" s="137" t="s">
        <v>69</v>
      </c>
      <c r="L350" s="137" t="s">
        <v>275</v>
      </c>
      <c r="M350" s="139">
        <v>0</v>
      </c>
      <c r="N350" s="139">
        <v>3.9597653477426601E+18</v>
      </c>
    </row>
    <row r="351" spans="3:14">
      <c r="C351" s="24" t="b">
        <v>0</v>
      </c>
      <c r="D351" s="137">
        <v>23.8</v>
      </c>
      <c r="E351" s="138">
        <v>4</v>
      </c>
      <c r="F351" s="137">
        <v>151</v>
      </c>
      <c r="G351" s="137">
        <v>85</v>
      </c>
      <c r="H351" s="137">
        <v>2855</v>
      </c>
      <c r="I351" s="137">
        <v>17.600000000000001</v>
      </c>
      <c r="J351" s="137">
        <v>78</v>
      </c>
      <c r="K351" s="137" t="s">
        <v>69</v>
      </c>
      <c r="L351" s="137" t="s">
        <v>276</v>
      </c>
      <c r="M351" s="139">
        <v>0</v>
      </c>
      <c r="N351" s="139">
        <v>9.6428387122446602E+18</v>
      </c>
    </row>
    <row r="352" spans="3:14">
      <c r="C352" s="24" t="b">
        <v>0</v>
      </c>
      <c r="D352" s="137">
        <v>23.9</v>
      </c>
      <c r="E352" s="138">
        <v>4</v>
      </c>
      <c r="F352" s="137">
        <v>119</v>
      </c>
      <c r="G352" s="137">
        <v>97</v>
      </c>
      <c r="H352" s="137">
        <v>2405</v>
      </c>
      <c r="I352" s="137">
        <v>14.9</v>
      </c>
      <c r="J352" s="137">
        <v>78</v>
      </c>
      <c r="K352" s="137" t="s">
        <v>85</v>
      </c>
      <c r="L352" s="137" t="s">
        <v>277</v>
      </c>
      <c r="M352" s="139">
        <v>0</v>
      </c>
      <c r="N352" s="139">
        <v>8.8308586369410898E+18</v>
      </c>
    </row>
    <row r="353" spans="3:14">
      <c r="C353" s="24" t="b">
        <v>0</v>
      </c>
      <c r="D353" s="137">
        <v>20.3</v>
      </c>
      <c r="E353" s="138">
        <v>5</v>
      </c>
      <c r="F353" s="137">
        <v>131</v>
      </c>
      <c r="G353" s="137">
        <v>103</v>
      </c>
      <c r="H353" s="137">
        <v>2830</v>
      </c>
      <c r="I353" s="137">
        <v>15.9</v>
      </c>
      <c r="J353" s="137">
        <v>78</v>
      </c>
      <c r="K353" s="137" t="s">
        <v>91</v>
      </c>
      <c r="L353" s="137" t="s">
        <v>278</v>
      </c>
      <c r="M353" s="139">
        <v>0</v>
      </c>
      <c r="N353" s="139">
        <v>3.7618352598826701E+17</v>
      </c>
    </row>
    <row r="354" spans="3:14">
      <c r="C354" s="24" t="b">
        <v>0</v>
      </c>
      <c r="D354" s="137">
        <v>17</v>
      </c>
      <c r="E354" s="138">
        <v>6</v>
      </c>
      <c r="F354" s="137">
        <v>163</v>
      </c>
      <c r="G354" s="137">
        <v>125</v>
      </c>
      <c r="H354" s="137">
        <v>3140</v>
      </c>
      <c r="I354" s="137">
        <v>13.6</v>
      </c>
      <c r="J354" s="137">
        <v>78</v>
      </c>
      <c r="K354" s="137" t="s">
        <v>91</v>
      </c>
      <c r="L354" s="137" t="s">
        <v>279</v>
      </c>
      <c r="M354" s="139">
        <v>0</v>
      </c>
      <c r="N354" s="139">
        <v>1.78181745482438E+19</v>
      </c>
    </row>
    <row r="355" spans="3:14">
      <c r="C355" s="24" t="b">
        <v>0</v>
      </c>
      <c r="D355" s="137">
        <v>21.6</v>
      </c>
      <c r="E355" s="138">
        <v>4</v>
      </c>
      <c r="F355" s="137">
        <v>121</v>
      </c>
      <c r="G355" s="137">
        <v>115</v>
      </c>
      <c r="H355" s="137">
        <v>2795</v>
      </c>
      <c r="I355" s="137">
        <v>15.7</v>
      </c>
      <c r="J355" s="137">
        <v>78</v>
      </c>
      <c r="K355" s="137" t="s">
        <v>91</v>
      </c>
      <c r="L355" s="137" t="s">
        <v>280</v>
      </c>
      <c r="M355" s="139">
        <v>0</v>
      </c>
      <c r="N355" s="139">
        <v>5.8069295402143396E+18</v>
      </c>
    </row>
    <row r="356" spans="3:14">
      <c r="C356" s="24" t="b">
        <v>0</v>
      </c>
      <c r="D356" s="137">
        <v>16.2</v>
      </c>
      <c r="E356" s="138">
        <v>6</v>
      </c>
      <c r="F356" s="137">
        <v>163</v>
      </c>
      <c r="G356" s="137">
        <v>133</v>
      </c>
      <c r="H356" s="137">
        <v>3410</v>
      </c>
      <c r="I356" s="137">
        <v>15.8</v>
      </c>
      <c r="J356" s="137">
        <v>78</v>
      </c>
      <c r="K356" s="137" t="s">
        <v>91</v>
      </c>
      <c r="L356" s="137" t="s">
        <v>281</v>
      </c>
      <c r="M356" s="139">
        <v>0</v>
      </c>
      <c r="N356" s="139">
        <v>1.67275143796939E+19</v>
      </c>
    </row>
    <row r="357" spans="3:14">
      <c r="C357" s="24" t="b">
        <v>0</v>
      </c>
      <c r="D357" s="137">
        <v>31.5</v>
      </c>
      <c r="E357" s="138">
        <v>4</v>
      </c>
      <c r="F357" s="137">
        <v>89</v>
      </c>
      <c r="G357" s="137">
        <v>71</v>
      </c>
      <c r="H357" s="137">
        <v>1990</v>
      </c>
      <c r="I357" s="137">
        <v>14.9</v>
      </c>
      <c r="J357" s="137">
        <v>78</v>
      </c>
      <c r="K357" s="137" t="s">
        <v>91</v>
      </c>
      <c r="L357" s="137" t="s">
        <v>282</v>
      </c>
      <c r="M357" s="139">
        <v>0</v>
      </c>
      <c r="N357" s="139">
        <v>2.3718087258588902E+18</v>
      </c>
    </row>
    <row r="358" spans="3:14">
      <c r="C358" s="24" t="b">
        <v>0</v>
      </c>
      <c r="D358" s="137">
        <v>29.5</v>
      </c>
      <c r="E358" s="138">
        <v>4</v>
      </c>
      <c r="F358" s="137">
        <v>98</v>
      </c>
      <c r="G358" s="137">
        <v>68</v>
      </c>
      <c r="H358" s="137">
        <v>2135</v>
      </c>
      <c r="I358" s="137">
        <v>16.600000000000001</v>
      </c>
      <c r="J358" s="137">
        <v>78</v>
      </c>
      <c r="K358" s="137" t="s">
        <v>85</v>
      </c>
      <c r="L358" s="137" t="s">
        <v>283</v>
      </c>
      <c r="M358" s="139">
        <v>0</v>
      </c>
      <c r="N358" s="139">
        <v>7.9649491895812698E+17</v>
      </c>
    </row>
    <row r="359" spans="3:14">
      <c r="C359" s="24" t="b">
        <v>0</v>
      </c>
      <c r="D359" s="137">
        <v>21.5</v>
      </c>
      <c r="E359" s="138">
        <v>6</v>
      </c>
      <c r="F359" s="137">
        <v>231</v>
      </c>
      <c r="G359" s="137">
        <v>115</v>
      </c>
      <c r="H359" s="137">
        <v>3245</v>
      </c>
      <c r="I359" s="137">
        <v>15.4</v>
      </c>
      <c r="J359" s="137">
        <v>79</v>
      </c>
      <c r="K359" s="137" t="s">
        <v>69</v>
      </c>
      <c r="L359" s="137" t="s">
        <v>284</v>
      </c>
      <c r="M359" s="139">
        <v>0</v>
      </c>
      <c r="N359" s="139">
        <v>4.8941968577276703E+18</v>
      </c>
    </row>
    <row r="360" spans="3:14">
      <c r="C360" s="24" t="b">
        <v>0</v>
      </c>
      <c r="D360" s="137">
        <v>19.8</v>
      </c>
      <c r="E360" s="138">
        <v>6</v>
      </c>
      <c r="F360" s="137">
        <v>200</v>
      </c>
      <c r="G360" s="137">
        <v>85</v>
      </c>
      <c r="H360" s="137">
        <v>2990</v>
      </c>
      <c r="I360" s="137">
        <v>18.2</v>
      </c>
      <c r="J360" s="137">
        <v>79</v>
      </c>
      <c r="K360" s="137" t="s">
        <v>69</v>
      </c>
      <c r="L360" s="137" t="s">
        <v>285</v>
      </c>
      <c r="M360" s="139">
        <v>0</v>
      </c>
      <c r="N360" s="139">
        <v>1.7529196653753899E+19</v>
      </c>
    </row>
    <row r="361" spans="3:14">
      <c r="C361" s="24" t="b">
        <v>0</v>
      </c>
      <c r="D361" s="137">
        <v>22.3</v>
      </c>
      <c r="E361" s="138">
        <v>4</v>
      </c>
      <c r="F361" s="137">
        <v>140</v>
      </c>
      <c r="G361" s="137">
        <v>88</v>
      </c>
      <c r="H361" s="137">
        <v>2890</v>
      </c>
      <c r="I361" s="137">
        <v>17.3</v>
      </c>
      <c r="J361" s="137">
        <v>79</v>
      </c>
      <c r="K361" s="137" t="s">
        <v>69</v>
      </c>
      <c r="L361" s="137" t="s">
        <v>286</v>
      </c>
      <c r="M361" s="139">
        <v>0</v>
      </c>
      <c r="N361" s="139">
        <v>1.79947137884254E+19</v>
      </c>
    </row>
    <row r="362" spans="3:14">
      <c r="C362" s="24" t="b">
        <v>0</v>
      </c>
      <c r="D362" s="137">
        <v>20.2</v>
      </c>
      <c r="E362" s="138">
        <v>6</v>
      </c>
      <c r="F362" s="137">
        <v>232</v>
      </c>
      <c r="G362" s="137">
        <v>90</v>
      </c>
      <c r="H362" s="137">
        <v>3265</v>
      </c>
      <c r="I362" s="137">
        <v>18.2</v>
      </c>
      <c r="J362" s="137">
        <v>79</v>
      </c>
      <c r="K362" s="137" t="s">
        <v>69</v>
      </c>
      <c r="L362" s="137" t="s">
        <v>287</v>
      </c>
      <c r="M362" s="139">
        <v>0</v>
      </c>
      <c r="N362" s="139">
        <v>2.3809037480214702E+18</v>
      </c>
    </row>
    <row r="363" spans="3:14">
      <c r="C363" s="24" t="b">
        <v>0</v>
      </c>
      <c r="D363" s="137">
        <v>20.6</v>
      </c>
      <c r="E363" s="138">
        <v>6</v>
      </c>
      <c r="F363" s="137">
        <v>225</v>
      </c>
      <c r="G363" s="137">
        <v>110</v>
      </c>
      <c r="H363" s="137">
        <v>3360</v>
      </c>
      <c r="I363" s="137">
        <v>16.600000000000001</v>
      </c>
      <c r="J363" s="137">
        <v>79</v>
      </c>
      <c r="K363" s="137" t="s">
        <v>69</v>
      </c>
      <c r="L363" s="137" t="s">
        <v>288</v>
      </c>
      <c r="M363" s="139">
        <v>0</v>
      </c>
      <c r="N363" s="139">
        <v>1.6827912517361799E+19</v>
      </c>
    </row>
    <row r="364" spans="3:14">
      <c r="C364" s="24" t="b">
        <v>0</v>
      </c>
      <c r="D364" s="137">
        <v>17</v>
      </c>
      <c r="E364" s="138">
        <v>8</v>
      </c>
      <c r="F364" s="137">
        <v>305</v>
      </c>
      <c r="G364" s="137">
        <v>130</v>
      </c>
      <c r="H364" s="137">
        <v>3840</v>
      </c>
      <c r="I364" s="137">
        <v>15.4</v>
      </c>
      <c r="J364" s="137">
        <v>79</v>
      </c>
      <c r="K364" s="137" t="s">
        <v>69</v>
      </c>
      <c r="L364" s="137" t="s">
        <v>152</v>
      </c>
      <c r="M364" s="139">
        <v>0</v>
      </c>
      <c r="N364" s="139">
        <v>3.5762074453509299E+18</v>
      </c>
    </row>
    <row r="365" spans="3:14">
      <c r="C365" s="24" t="b">
        <v>0</v>
      </c>
      <c r="D365" s="137">
        <v>17.600000000000001</v>
      </c>
      <c r="E365" s="138">
        <v>8</v>
      </c>
      <c r="F365" s="137">
        <v>302</v>
      </c>
      <c r="G365" s="137">
        <v>129</v>
      </c>
      <c r="H365" s="137">
        <v>3725</v>
      </c>
      <c r="I365" s="137">
        <v>13.4</v>
      </c>
      <c r="J365" s="137">
        <v>79</v>
      </c>
      <c r="K365" s="137" t="s">
        <v>69</v>
      </c>
      <c r="L365" s="137" t="s">
        <v>289</v>
      </c>
      <c r="M365" s="139">
        <v>0</v>
      </c>
      <c r="N365" s="139">
        <v>6.1555499885930895E+18</v>
      </c>
    </row>
    <row r="366" spans="3:14">
      <c r="C366" s="24" t="b">
        <v>0</v>
      </c>
      <c r="D366" s="137">
        <v>16.5</v>
      </c>
      <c r="E366" s="138">
        <v>8</v>
      </c>
      <c r="F366" s="137">
        <v>351</v>
      </c>
      <c r="G366" s="137">
        <v>138</v>
      </c>
      <c r="H366" s="137">
        <v>3955</v>
      </c>
      <c r="I366" s="137">
        <v>13.2</v>
      </c>
      <c r="J366" s="137">
        <v>79</v>
      </c>
      <c r="K366" s="137" t="s">
        <v>69</v>
      </c>
      <c r="L366" s="137" t="s">
        <v>290</v>
      </c>
      <c r="M366" s="139">
        <v>0</v>
      </c>
      <c r="N366" s="139">
        <v>1.81350849543326E+19</v>
      </c>
    </row>
    <row r="367" spans="3:14">
      <c r="C367" s="24" t="b">
        <v>0</v>
      </c>
      <c r="D367" s="137">
        <v>18.2</v>
      </c>
      <c r="E367" s="138">
        <v>8</v>
      </c>
      <c r="F367" s="137">
        <v>318</v>
      </c>
      <c r="G367" s="137">
        <v>135</v>
      </c>
      <c r="H367" s="137">
        <v>3830</v>
      </c>
      <c r="I367" s="137">
        <v>15.2</v>
      </c>
      <c r="J367" s="137">
        <v>79</v>
      </c>
      <c r="K367" s="137" t="s">
        <v>69</v>
      </c>
      <c r="L367" s="137" t="s">
        <v>291</v>
      </c>
      <c r="M367" s="139">
        <v>0</v>
      </c>
      <c r="N367" s="139">
        <v>6.2587641534415002E+18</v>
      </c>
    </row>
    <row r="368" spans="3:14">
      <c r="C368" s="24" t="b">
        <v>0</v>
      </c>
      <c r="D368" s="137">
        <v>16.899999999999999</v>
      </c>
      <c r="E368" s="138">
        <v>8</v>
      </c>
      <c r="F368" s="137">
        <v>350</v>
      </c>
      <c r="G368" s="137">
        <v>155</v>
      </c>
      <c r="H368" s="137">
        <v>4360</v>
      </c>
      <c r="I368" s="137">
        <v>14.9</v>
      </c>
      <c r="J368" s="137">
        <v>79</v>
      </c>
      <c r="K368" s="137" t="s">
        <v>69</v>
      </c>
      <c r="L368" s="137" t="s">
        <v>84</v>
      </c>
      <c r="M368" s="139">
        <v>0</v>
      </c>
      <c r="N368" s="139">
        <v>2.8471683532888899E+18</v>
      </c>
    </row>
    <row r="369" spans="3:14">
      <c r="C369" s="24" t="b">
        <v>0</v>
      </c>
      <c r="D369" s="137">
        <v>15.5</v>
      </c>
      <c r="E369" s="138">
        <v>8</v>
      </c>
      <c r="F369" s="137">
        <v>351</v>
      </c>
      <c r="G369" s="137">
        <v>142</v>
      </c>
      <c r="H369" s="137">
        <v>4054</v>
      </c>
      <c r="I369" s="137">
        <v>14.3</v>
      </c>
      <c r="J369" s="137">
        <v>79</v>
      </c>
      <c r="K369" s="137" t="s">
        <v>69</v>
      </c>
      <c r="L369" s="137" t="s">
        <v>109</v>
      </c>
      <c r="M369" s="139">
        <v>0</v>
      </c>
      <c r="N369" s="139">
        <v>8.0116805595410698E+18</v>
      </c>
    </row>
    <row r="370" spans="3:14">
      <c r="C370" s="24" t="b">
        <v>0</v>
      </c>
      <c r="D370" s="137">
        <v>19.2</v>
      </c>
      <c r="E370" s="138">
        <v>8</v>
      </c>
      <c r="F370" s="137">
        <v>267</v>
      </c>
      <c r="G370" s="137">
        <v>125</v>
      </c>
      <c r="H370" s="137">
        <v>3605</v>
      </c>
      <c r="I370" s="137">
        <v>15</v>
      </c>
      <c r="J370" s="137">
        <v>79</v>
      </c>
      <c r="K370" s="137" t="s">
        <v>69</v>
      </c>
      <c r="L370" s="137" t="s">
        <v>292</v>
      </c>
      <c r="M370" s="139">
        <v>0</v>
      </c>
      <c r="N370" s="139">
        <v>4.8141841416036598E+18</v>
      </c>
    </row>
    <row r="371" spans="3:14">
      <c r="C371" s="24" t="b">
        <v>0</v>
      </c>
      <c r="D371" s="137">
        <v>18.5</v>
      </c>
      <c r="E371" s="138">
        <v>8</v>
      </c>
      <c r="F371" s="137">
        <v>360</v>
      </c>
      <c r="G371" s="137">
        <v>150</v>
      </c>
      <c r="H371" s="137">
        <v>3940</v>
      </c>
      <c r="I371" s="137">
        <v>13</v>
      </c>
      <c r="J371" s="137">
        <v>79</v>
      </c>
      <c r="K371" s="137" t="s">
        <v>69</v>
      </c>
      <c r="L371" s="137" t="s">
        <v>293</v>
      </c>
      <c r="M371" s="139">
        <v>0</v>
      </c>
      <c r="N371" s="139">
        <v>8.9344161482018601E+18</v>
      </c>
    </row>
    <row r="372" spans="3:14">
      <c r="C372" s="24" t="b">
        <v>0</v>
      </c>
      <c r="D372" s="137">
        <v>31.9</v>
      </c>
      <c r="E372" s="138">
        <v>4</v>
      </c>
      <c r="F372" s="137">
        <v>89</v>
      </c>
      <c r="G372" s="137">
        <v>71</v>
      </c>
      <c r="H372" s="137">
        <v>1925</v>
      </c>
      <c r="I372" s="137">
        <v>14</v>
      </c>
      <c r="J372" s="137">
        <v>79</v>
      </c>
      <c r="K372" s="137" t="s">
        <v>91</v>
      </c>
      <c r="L372" s="137" t="s">
        <v>294</v>
      </c>
      <c r="M372" s="139">
        <v>0</v>
      </c>
      <c r="N372" s="139">
        <v>3.2978107971052201E+18</v>
      </c>
    </row>
    <row r="373" spans="3:14">
      <c r="C373" s="24" t="b">
        <v>0</v>
      </c>
      <c r="D373" s="137">
        <v>34.1</v>
      </c>
      <c r="E373" s="138">
        <v>4</v>
      </c>
      <c r="F373" s="137">
        <v>86</v>
      </c>
      <c r="G373" s="137">
        <v>65</v>
      </c>
      <c r="H373" s="137">
        <v>1975</v>
      </c>
      <c r="I373" s="137">
        <v>15.2</v>
      </c>
      <c r="J373" s="137">
        <v>79</v>
      </c>
      <c r="K373" s="137" t="s">
        <v>85</v>
      </c>
      <c r="L373" s="137" t="s">
        <v>295</v>
      </c>
      <c r="M373" s="139">
        <v>0</v>
      </c>
      <c r="N373" s="139">
        <v>2.0857210516577101E+18</v>
      </c>
    </row>
    <row r="374" spans="3:14">
      <c r="C374" s="24" t="b">
        <v>0</v>
      </c>
      <c r="D374" s="137">
        <v>35.700000000000003</v>
      </c>
      <c r="E374" s="138">
        <v>4</v>
      </c>
      <c r="F374" s="137">
        <v>98</v>
      </c>
      <c r="G374" s="137">
        <v>80</v>
      </c>
      <c r="H374" s="137">
        <v>1915</v>
      </c>
      <c r="I374" s="137">
        <v>14.4</v>
      </c>
      <c r="J374" s="137">
        <v>79</v>
      </c>
      <c r="K374" s="137" t="s">
        <v>69</v>
      </c>
      <c r="L374" s="137" t="s">
        <v>296</v>
      </c>
      <c r="M374" s="139">
        <v>0</v>
      </c>
      <c r="N374" s="139">
        <v>7.9379654373644401E+18</v>
      </c>
    </row>
    <row r="375" spans="3:14">
      <c r="C375" s="24" t="b">
        <v>0</v>
      </c>
      <c r="D375" s="137">
        <v>27.4</v>
      </c>
      <c r="E375" s="138">
        <v>4</v>
      </c>
      <c r="F375" s="137">
        <v>121</v>
      </c>
      <c r="G375" s="137">
        <v>80</v>
      </c>
      <c r="H375" s="137">
        <v>2670</v>
      </c>
      <c r="I375" s="137">
        <v>15</v>
      </c>
      <c r="J375" s="137">
        <v>79</v>
      </c>
      <c r="K375" s="137" t="s">
        <v>69</v>
      </c>
      <c r="L375" s="137" t="s">
        <v>297</v>
      </c>
      <c r="M375" s="139">
        <v>0</v>
      </c>
      <c r="N375" s="139">
        <v>9.62998422927966E+18</v>
      </c>
    </row>
    <row r="376" spans="3:14">
      <c r="C376" s="24" t="b">
        <v>0</v>
      </c>
      <c r="D376" s="137">
        <v>25.4</v>
      </c>
      <c r="E376" s="138">
        <v>5</v>
      </c>
      <c r="F376" s="137">
        <v>183</v>
      </c>
      <c r="G376" s="137">
        <v>77</v>
      </c>
      <c r="H376" s="137">
        <v>3530</v>
      </c>
      <c r="I376" s="137">
        <v>20.100000000000001</v>
      </c>
      <c r="J376" s="137">
        <v>79</v>
      </c>
      <c r="K376" s="137" t="s">
        <v>91</v>
      </c>
      <c r="L376" s="137" t="s">
        <v>298</v>
      </c>
      <c r="M376" s="139">
        <v>0</v>
      </c>
      <c r="N376" s="139">
        <v>3.1697902612344602E+18</v>
      </c>
    </row>
    <row r="377" spans="3:14">
      <c r="C377" s="24" t="b">
        <v>0</v>
      </c>
      <c r="D377" s="137">
        <v>23</v>
      </c>
      <c r="E377" s="138">
        <v>8</v>
      </c>
      <c r="F377" s="137">
        <v>350</v>
      </c>
      <c r="G377" s="137">
        <v>125</v>
      </c>
      <c r="H377" s="137">
        <v>3900</v>
      </c>
      <c r="I377" s="137">
        <v>17.399999999999999</v>
      </c>
      <c r="J377" s="137">
        <v>79</v>
      </c>
      <c r="K377" s="137" t="s">
        <v>69</v>
      </c>
      <c r="L377" s="137" t="s">
        <v>299</v>
      </c>
      <c r="M377" s="139">
        <v>0</v>
      </c>
      <c r="N377" s="139">
        <v>1.1803404474356799E+19</v>
      </c>
    </row>
    <row r="378" spans="3:14">
      <c r="C378" s="24" t="b">
        <v>0</v>
      </c>
      <c r="D378" s="137">
        <v>27.2</v>
      </c>
      <c r="E378" s="138">
        <v>4</v>
      </c>
      <c r="F378" s="137">
        <v>141</v>
      </c>
      <c r="G378" s="137">
        <v>71</v>
      </c>
      <c r="H378" s="137">
        <v>3190</v>
      </c>
      <c r="I378" s="137">
        <v>24.8</v>
      </c>
      <c r="J378" s="137">
        <v>79</v>
      </c>
      <c r="K378" s="137" t="s">
        <v>91</v>
      </c>
      <c r="L378" s="137" t="s">
        <v>93</v>
      </c>
      <c r="M378" s="139">
        <v>0</v>
      </c>
      <c r="N378" s="139">
        <v>7.0794237089292902E+18</v>
      </c>
    </row>
    <row r="379" spans="3:14">
      <c r="C379" s="24" t="b">
        <v>0</v>
      </c>
      <c r="D379" s="137">
        <v>23.9</v>
      </c>
      <c r="E379" s="138">
        <v>8</v>
      </c>
      <c r="F379" s="137">
        <v>260</v>
      </c>
      <c r="G379" s="137">
        <v>90</v>
      </c>
      <c r="H379" s="137">
        <v>3420</v>
      </c>
      <c r="I379" s="137">
        <v>22.2</v>
      </c>
      <c r="J379" s="137">
        <v>79</v>
      </c>
      <c r="K379" s="137" t="s">
        <v>69</v>
      </c>
      <c r="L379" s="137" t="s">
        <v>257</v>
      </c>
      <c r="M379" s="139">
        <v>0</v>
      </c>
      <c r="N379" s="139">
        <v>1.4812839938624E+19</v>
      </c>
    </row>
    <row r="380" spans="3:14">
      <c r="C380" s="24" t="b">
        <v>0</v>
      </c>
      <c r="D380" s="137">
        <v>34.200000000000003</v>
      </c>
      <c r="E380" s="138">
        <v>4</v>
      </c>
      <c r="F380" s="137">
        <v>105</v>
      </c>
      <c r="G380" s="137">
        <v>70</v>
      </c>
      <c r="H380" s="137">
        <v>2200</v>
      </c>
      <c r="I380" s="137">
        <v>13.2</v>
      </c>
      <c r="J380" s="137">
        <v>79</v>
      </c>
      <c r="K380" s="137" t="s">
        <v>69</v>
      </c>
      <c r="L380" s="137" t="s">
        <v>300</v>
      </c>
      <c r="M380" s="139">
        <v>0</v>
      </c>
      <c r="N380" s="139">
        <v>1.0799871295208499E+19</v>
      </c>
    </row>
    <row r="381" spans="3:14">
      <c r="C381" s="24" t="b">
        <v>0</v>
      </c>
      <c r="D381" s="137">
        <v>34.5</v>
      </c>
      <c r="E381" s="138">
        <v>4</v>
      </c>
      <c r="F381" s="137">
        <v>105</v>
      </c>
      <c r="G381" s="137">
        <v>70</v>
      </c>
      <c r="H381" s="137">
        <v>2150</v>
      </c>
      <c r="I381" s="137">
        <v>14.9</v>
      </c>
      <c r="J381" s="137">
        <v>79</v>
      </c>
      <c r="K381" s="137" t="s">
        <v>69</v>
      </c>
      <c r="L381" s="137" t="s">
        <v>301</v>
      </c>
      <c r="M381" s="139">
        <v>0</v>
      </c>
      <c r="N381" s="139">
        <v>8.5770413891223603E+18</v>
      </c>
    </row>
    <row r="382" spans="3:14">
      <c r="C382" s="24" t="b">
        <v>0</v>
      </c>
      <c r="D382" s="137">
        <v>31.8</v>
      </c>
      <c r="E382" s="138">
        <v>4</v>
      </c>
      <c r="F382" s="137">
        <v>85</v>
      </c>
      <c r="G382" s="137">
        <v>65</v>
      </c>
      <c r="H382" s="137">
        <v>2020</v>
      </c>
      <c r="I382" s="137">
        <v>19.2</v>
      </c>
      <c r="J382" s="137">
        <v>79</v>
      </c>
      <c r="K382" s="137" t="s">
        <v>85</v>
      </c>
      <c r="L382" s="137" t="s">
        <v>302</v>
      </c>
      <c r="M382" s="139">
        <v>0</v>
      </c>
      <c r="N382" s="139">
        <v>1.4142674013183701E+19</v>
      </c>
    </row>
    <row r="383" spans="3:14">
      <c r="C383" s="24" t="b">
        <v>0</v>
      </c>
      <c r="D383" s="137">
        <v>37.299999999999997</v>
      </c>
      <c r="E383" s="138">
        <v>4</v>
      </c>
      <c r="F383" s="137">
        <v>91</v>
      </c>
      <c r="G383" s="137">
        <v>69</v>
      </c>
      <c r="H383" s="137">
        <v>2130</v>
      </c>
      <c r="I383" s="137">
        <v>14.7</v>
      </c>
      <c r="J383" s="137">
        <v>79</v>
      </c>
      <c r="K383" s="137" t="s">
        <v>91</v>
      </c>
      <c r="L383" s="137" t="s">
        <v>303</v>
      </c>
      <c r="M383" s="139">
        <v>0</v>
      </c>
      <c r="N383" s="139">
        <v>6.7297375728967795E+17</v>
      </c>
    </row>
    <row r="384" spans="3:14">
      <c r="C384" s="24" t="b">
        <v>0</v>
      </c>
      <c r="D384" s="137">
        <v>28.4</v>
      </c>
      <c r="E384" s="138">
        <v>4</v>
      </c>
      <c r="F384" s="137">
        <v>151</v>
      </c>
      <c r="G384" s="137">
        <v>90</v>
      </c>
      <c r="H384" s="137">
        <v>2670</v>
      </c>
      <c r="I384" s="137">
        <v>16</v>
      </c>
      <c r="J384" s="137">
        <v>79</v>
      </c>
      <c r="K384" s="137" t="s">
        <v>69</v>
      </c>
      <c r="L384" s="137" t="s">
        <v>304</v>
      </c>
      <c r="M384" s="139">
        <v>0</v>
      </c>
      <c r="N384" s="139">
        <v>1.1322292215027499E+19</v>
      </c>
    </row>
    <row r="385" spans="3:14">
      <c r="C385" s="24" t="b">
        <v>0</v>
      </c>
      <c r="D385" s="137">
        <v>28.8</v>
      </c>
      <c r="E385" s="138">
        <v>6</v>
      </c>
      <c r="F385" s="137">
        <v>173</v>
      </c>
      <c r="G385" s="137">
        <v>115</v>
      </c>
      <c r="H385" s="137">
        <v>2595</v>
      </c>
      <c r="I385" s="137">
        <v>11.3</v>
      </c>
      <c r="J385" s="137">
        <v>79</v>
      </c>
      <c r="K385" s="137" t="s">
        <v>69</v>
      </c>
      <c r="L385" s="137" t="s">
        <v>305</v>
      </c>
      <c r="M385" s="139">
        <v>0</v>
      </c>
      <c r="N385" s="139">
        <v>1.70902702866945E+19</v>
      </c>
    </row>
    <row r="386" spans="3:14">
      <c r="C386" s="24" t="b">
        <v>0</v>
      </c>
      <c r="D386" s="137">
        <v>26.8</v>
      </c>
      <c r="E386" s="138">
        <v>6</v>
      </c>
      <c r="F386" s="137">
        <v>173</v>
      </c>
      <c r="G386" s="137">
        <v>115</v>
      </c>
      <c r="H386" s="137">
        <v>2700</v>
      </c>
      <c r="I386" s="137">
        <v>12.9</v>
      </c>
      <c r="J386" s="137">
        <v>79</v>
      </c>
      <c r="K386" s="137" t="s">
        <v>69</v>
      </c>
      <c r="L386" s="137" t="s">
        <v>306</v>
      </c>
      <c r="M386" s="139">
        <v>0</v>
      </c>
      <c r="N386" s="139">
        <v>5.3676119755329495E+18</v>
      </c>
    </row>
    <row r="387" spans="3:14">
      <c r="C387" s="24" t="b">
        <v>0</v>
      </c>
      <c r="D387" s="137">
        <v>33.5</v>
      </c>
      <c r="E387" s="138">
        <v>4</v>
      </c>
      <c r="F387" s="137">
        <v>151</v>
      </c>
      <c r="G387" s="137">
        <v>90</v>
      </c>
      <c r="H387" s="137">
        <v>2556</v>
      </c>
      <c r="I387" s="137">
        <v>13.2</v>
      </c>
      <c r="J387" s="137">
        <v>79</v>
      </c>
      <c r="K387" s="137" t="s">
        <v>69</v>
      </c>
      <c r="L387" s="137" t="s">
        <v>307</v>
      </c>
      <c r="M387" s="139">
        <v>0</v>
      </c>
      <c r="N387" s="139">
        <v>8.35564415156369E+18</v>
      </c>
    </row>
    <row r="388" spans="3:14">
      <c r="C388" s="24" t="b">
        <v>0</v>
      </c>
      <c r="D388" s="137">
        <v>41.5</v>
      </c>
      <c r="E388" s="138">
        <v>4</v>
      </c>
      <c r="F388" s="137">
        <v>98</v>
      </c>
      <c r="G388" s="137">
        <v>76</v>
      </c>
      <c r="H388" s="137">
        <v>2144</v>
      </c>
      <c r="I388" s="137">
        <v>14.7</v>
      </c>
      <c r="J388" s="137">
        <v>80</v>
      </c>
      <c r="K388" s="137" t="s">
        <v>91</v>
      </c>
      <c r="L388" s="137" t="s">
        <v>215</v>
      </c>
      <c r="M388" s="139">
        <v>0</v>
      </c>
      <c r="N388" s="139">
        <v>6.16762870264768E+18</v>
      </c>
    </row>
    <row r="389" spans="3:14">
      <c r="C389" s="24" t="b">
        <v>0</v>
      </c>
      <c r="D389" s="137">
        <v>38.1</v>
      </c>
      <c r="E389" s="138">
        <v>4</v>
      </c>
      <c r="F389" s="137">
        <v>89</v>
      </c>
      <c r="G389" s="137">
        <v>60</v>
      </c>
      <c r="H389" s="137">
        <v>1968</v>
      </c>
      <c r="I389" s="137">
        <v>18.8</v>
      </c>
      <c r="J389" s="137">
        <v>80</v>
      </c>
      <c r="K389" s="137" t="s">
        <v>85</v>
      </c>
      <c r="L389" s="137" t="s">
        <v>308</v>
      </c>
      <c r="M389" s="139">
        <v>0</v>
      </c>
      <c r="N389" s="139">
        <v>1.6609169922935199E+18</v>
      </c>
    </row>
    <row r="390" spans="3:14">
      <c r="C390" s="24" t="b">
        <v>0</v>
      </c>
      <c r="D390" s="137">
        <v>32.1</v>
      </c>
      <c r="E390" s="138">
        <v>4</v>
      </c>
      <c r="F390" s="137">
        <v>98</v>
      </c>
      <c r="G390" s="137">
        <v>70</v>
      </c>
      <c r="H390" s="137">
        <v>2120</v>
      </c>
      <c r="I390" s="137">
        <v>15.5</v>
      </c>
      <c r="J390" s="137">
        <v>80</v>
      </c>
      <c r="K390" s="137" t="s">
        <v>69</v>
      </c>
      <c r="L390" s="137" t="s">
        <v>213</v>
      </c>
      <c r="M390" s="139">
        <v>0</v>
      </c>
      <c r="N390" s="139">
        <v>1.1497351540324999E+19</v>
      </c>
    </row>
    <row r="391" spans="3:14">
      <c r="C391" s="24" t="b">
        <v>0</v>
      </c>
      <c r="D391" s="137">
        <v>37.200000000000003</v>
      </c>
      <c r="E391" s="138">
        <v>4</v>
      </c>
      <c r="F391" s="137">
        <v>86</v>
      </c>
      <c r="G391" s="137">
        <v>65</v>
      </c>
      <c r="H391" s="137">
        <v>2019</v>
      </c>
      <c r="I391" s="137">
        <v>16.399999999999999</v>
      </c>
      <c r="J391" s="137">
        <v>80</v>
      </c>
      <c r="K391" s="137" t="s">
        <v>85</v>
      </c>
      <c r="L391" s="137" t="s">
        <v>309</v>
      </c>
      <c r="M391" s="139">
        <v>0</v>
      </c>
      <c r="N391" s="139">
        <v>9.3386586410556498E+18</v>
      </c>
    </row>
    <row r="392" spans="3:14">
      <c r="C392" s="24" t="b">
        <v>0</v>
      </c>
      <c r="D392" s="137">
        <v>28</v>
      </c>
      <c r="E392" s="138">
        <v>4</v>
      </c>
      <c r="F392" s="137">
        <v>151</v>
      </c>
      <c r="G392" s="137">
        <v>90</v>
      </c>
      <c r="H392" s="137">
        <v>2678</v>
      </c>
      <c r="I392" s="137">
        <v>16.5</v>
      </c>
      <c r="J392" s="137">
        <v>80</v>
      </c>
      <c r="K392" s="137" t="s">
        <v>69</v>
      </c>
      <c r="L392" s="137" t="s">
        <v>305</v>
      </c>
      <c r="M392" s="139">
        <v>0</v>
      </c>
      <c r="N392" s="139">
        <v>8.9507029560006902E+18</v>
      </c>
    </row>
    <row r="393" spans="3:14">
      <c r="C393" s="24" t="b">
        <v>0</v>
      </c>
      <c r="D393" s="137">
        <v>26.4</v>
      </c>
      <c r="E393" s="138">
        <v>4</v>
      </c>
      <c r="F393" s="137">
        <v>140</v>
      </c>
      <c r="G393" s="137">
        <v>88</v>
      </c>
      <c r="H393" s="137">
        <v>2870</v>
      </c>
      <c r="I393" s="137">
        <v>18.100000000000001</v>
      </c>
      <c r="J393" s="137">
        <v>80</v>
      </c>
      <c r="K393" s="137" t="s">
        <v>69</v>
      </c>
      <c r="L393" s="137" t="s">
        <v>310</v>
      </c>
      <c r="M393" s="139">
        <v>0</v>
      </c>
      <c r="N393" s="139">
        <v>1.80163384803363E+19</v>
      </c>
    </row>
    <row r="394" spans="3:14">
      <c r="C394" s="24" t="b">
        <v>0</v>
      </c>
      <c r="D394" s="137">
        <v>24.3</v>
      </c>
      <c r="E394" s="138">
        <v>4</v>
      </c>
      <c r="F394" s="137">
        <v>151</v>
      </c>
      <c r="G394" s="137">
        <v>90</v>
      </c>
      <c r="H394" s="137">
        <v>3003</v>
      </c>
      <c r="I394" s="137">
        <v>20.100000000000001</v>
      </c>
      <c r="J394" s="137">
        <v>80</v>
      </c>
      <c r="K394" s="137" t="s">
        <v>69</v>
      </c>
      <c r="L394" s="137" t="s">
        <v>264</v>
      </c>
      <c r="M394" s="139">
        <v>0</v>
      </c>
      <c r="N394" s="139">
        <v>8.8435233426259599E+18</v>
      </c>
    </row>
    <row r="395" spans="3:14">
      <c r="C395" s="24" t="b">
        <v>0</v>
      </c>
      <c r="D395" s="137">
        <v>19.100000000000001</v>
      </c>
      <c r="E395" s="138">
        <v>6</v>
      </c>
      <c r="F395" s="137">
        <v>225</v>
      </c>
      <c r="G395" s="137">
        <v>90</v>
      </c>
      <c r="H395" s="137">
        <v>3381</v>
      </c>
      <c r="I395" s="137">
        <v>18.7</v>
      </c>
      <c r="J395" s="137">
        <v>80</v>
      </c>
      <c r="K395" s="137" t="s">
        <v>69</v>
      </c>
      <c r="L395" s="137" t="s">
        <v>267</v>
      </c>
      <c r="M395" s="139">
        <v>0</v>
      </c>
      <c r="N395" s="139">
        <v>1.1701282727554601E+19</v>
      </c>
    </row>
    <row r="396" spans="3:14">
      <c r="C396" s="24" t="b">
        <v>0</v>
      </c>
      <c r="D396" s="137">
        <v>34.299999999999997</v>
      </c>
      <c r="E396" s="138">
        <v>4</v>
      </c>
      <c r="F396" s="137">
        <v>97</v>
      </c>
      <c r="G396" s="137">
        <v>78</v>
      </c>
      <c r="H396" s="137">
        <v>2188</v>
      </c>
      <c r="I396" s="137">
        <v>15.8</v>
      </c>
      <c r="J396" s="137">
        <v>80</v>
      </c>
      <c r="K396" s="137" t="s">
        <v>91</v>
      </c>
      <c r="L396" s="137" t="s">
        <v>311</v>
      </c>
      <c r="M396" s="139">
        <v>0</v>
      </c>
      <c r="N396" s="139">
        <v>8.87819740565999E+18</v>
      </c>
    </row>
    <row r="397" spans="3:14">
      <c r="C397" s="24" t="b">
        <v>0</v>
      </c>
      <c r="D397" s="137">
        <v>29.8</v>
      </c>
      <c r="E397" s="138">
        <v>4</v>
      </c>
      <c r="F397" s="137">
        <v>134</v>
      </c>
      <c r="G397" s="137">
        <v>90</v>
      </c>
      <c r="H397" s="137">
        <v>2711</v>
      </c>
      <c r="I397" s="137">
        <v>15.5</v>
      </c>
      <c r="J397" s="137">
        <v>80</v>
      </c>
      <c r="K397" s="137" t="s">
        <v>85</v>
      </c>
      <c r="L397" s="137" t="s">
        <v>312</v>
      </c>
      <c r="M397" s="139">
        <v>0</v>
      </c>
      <c r="N397" s="139">
        <v>1.1949761346477601E+19</v>
      </c>
    </row>
    <row r="398" spans="3:14">
      <c r="C398" s="24" t="b">
        <v>0</v>
      </c>
      <c r="D398" s="137">
        <v>31.3</v>
      </c>
      <c r="E398" s="138">
        <v>4</v>
      </c>
      <c r="F398" s="137">
        <v>120</v>
      </c>
      <c r="G398" s="137">
        <v>75</v>
      </c>
      <c r="H398" s="137">
        <v>2542</v>
      </c>
      <c r="I398" s="137">
        <v>17.5</v>
      </c>
      <c r="J398" s="137">
        <v>80</v>
      </c>
      <c r="K398" s="137" t="s">
        <v>85</v>
      </c>
      <c r="L398" s="137" t="s">
        <v>313</v>
      </c>
      <c r="M398" s="139">
        <v>0</v>
      </c>
      <c r="N398" s="139">
        <v>1.6516262661246501E+19</v>
      </c>
    </row>
    <row r="399" spans="3:14">
      <c r="C399" s="24" t="b">
        <v>0</v>
      </c>
      <c r="D399" s="137">
        <v>37</v>
      </c>
      <c r="E399" s="138">
        <v>4</v>
      </c>
      <c r="F399" s="137">
        <v>119</v>
      </c>
      <c r="G399" s="137">
        <v>92</v>
      </c>
      <c r="H399" s="137">
        <v>2434</v>
      </c>
      <c r="I399" s="137">
        <v>15</v>
      </c>
      <c r="J399" s="137">
        <v>80</v>
      </c>
      <c r="K399" s="137" t="s">
        <v>85</v>
      </c>
      <c r="L399" s="137" t="s">
        <v>314</v>
      </c>
      <c r="M399" s="139">
        <v>0</v>
      </c>
      <c r="N399" s="139">
        <v>1.45176700294899E+19</v>
      </c>
    </row>
    <row r="400" spans="3:14">
      <c r="C400" s="24" t="b">
        <v>0</v>
      </c>
      <c r="D400" s="137">
        <v>32.200000000000003</v>
      </c>
      <c r="E400" s="138">
        <v>4</v>
      </c>
      <c r="F400" s="137">
        <v>108</v>
      </c>
      <c r="G400" s="137">
        <v>75</v>
      </c>
      <c r="H400" s="137">
        <v>2265</v>
      </c>
      <c r="I400" s="137">
        <v>15.2</v>
      </c>
      <c r="J400" s="137">
        <v>80</v>
      </c>
      <c r="K400" s="137" t="s">
        <v>85</v>
      </c>
      <c r="L400" s="137" t="s">
        <v>203</v>
      </c>
      <c r="M400" s="139">
        <v>0</v>
      </c>
      <c r="N400" s="139">
        <v>1.07437887715666E+19</v>
      </c>
    </row>
    <row r="401" spans="3:14">
      <c r="C401" s="24" t="b">
        <v>0</v>
      </c>
      <c r="D401" s="137">
        <v>46.6</v>
      </c>
      <c r="E401" s="138">
        <v>4</v>
      </c>
      <c r="F401" s="137">
        <v>86</v>
      </c>
      <c r="G401" s="137">
        <v>65</v>
      </c>
      <c r="H401" s="137">
        <v>2110</v>
      </c>
      <c r="I401" s="137">
        <v>17.899999999999999</v>
      </c>
      <c r="J401" s="137">
        <v>80</v>
      </c>
      <c r="K401" s="137" t="s">
        <v>85</v>
      </c>
      <c r="L401" s="137" t="s">
        <v>315</v>
      </c>
      <c r="M401" s="139">
        <v>0</v>
      </c>
      <c r="N401" s="139">
        <v>1.6203479134072801E+18</v>
      </c>
    </row>
    <row r="402" spans="3:14">
      <c r="C402" s="24" t="b">
        <v>0</v>
      </c>
      <c r="D402" s="137">
        <v>27.9</v>
      </c>
      <c r="E402" s="138">
        <v>4</v>
      </c>
      <c r="F402" s="137">
        <v>156</v>
      </c>
      <c r="G402" s="137">
        <v>105</v>
      </c>
      <c r="H402" s="137">
        <v>2800</v>
      </c>
      <c r="I402" s="137">
        <v>14.4</v>
      </c>
      <c r="J402" s="137">
        <v>80</v>
      </c>
      <c r="K402" s="137" t="s">
        <v>69</v>
      </c>
      <c r="L402" s="137" t="s">
        <v>188</v>
      </c>
      <c r="M402" s="139">
        <v>0</v>
      </c>
      <c r="N402" s="139">
        <v>1.20677112229923E+19</v>
      </c>
    </row>
    <row r="403" spans="3:14">
      <c r="C403" s="24" t="b">
        <v>0</v>
      </c>
      <c r="D403" s="137">
        <v>40.799999999999997</v>
      </c>
      <c r="E403" s="138">
        <v>4</v>
      </c>
      <c r="F403" s="137">
        <v>85</v>
      </c>
      <c r="G403" s="137">
        <v>65</v>
      </c>
      <c r="H403" s="137">
        <v>2110</v>
      </c>
      <c r="I403" s="137">
        <v>19.2</v>
      </c>
      <c r="J403" s="137">
        <v>80</v>
      </c>
      <c r="K403" s="137" t="s">
        <v>85</v>
      </c>
      <c r="L403" s="137" t="s">
        <v>302</v>
      </c>
      <c r="M403" s="139">
        <v>0</v>
      </c>
      <c r="N403" s="139">
        <v>2.2827025583298501E+18</v>
      </c>
    </row>
    <row r="404" spans="3:14">
      <c r="C404" s="24" t="b">
        <v>0</v>
      </c>
      <c r="D404" s="137">
        <v>44.3</v>
      </c>
      <c r="E404" s="138">
        <v>4</v>
      </c>
      <c r="F404" s="137">
        <v>90</v>
      </c>
      <c r="G404" s="137">
        <v>48</v>
      </c>
      <c r="H404" s="137">
        <v>2085</v>
      </c>
      <c r="I404" s="137">
        <v>21.7</v>
      </c>
      <c r="J404" s="137">
        <v>80</v>
      </c>
      <c r="K404" s="137" t="s">
        <v>91</v>
      </c>
      <c r="L404" s="137" t="s">
        <v>316</v>
      </c>
      <c r="M404" s="139">
        <v>0</v>
      </c>
      <c r="N404" s="139">
        <v>6.4441502279856497E+18</v>
      </c>
    </row>
    <row r="405" spans="3:14">
      <c r="C405" s="24" t="b">
        <v>0</v>
      </c>
      <c r="D405" s="137">
        <v>43.4</v>
      </c>
      <c r="E405" s="138">
        <v>4</v>
      </c>
      <c r="F405" s="137">
        <v>90</v>
      </c>
      <c r="G405" s="137">
        <v>48</v>
      </c>
      <c r="H405" s="137">
        <v>2335</v>
      </c>
      <c r="I405" s="137">
        <v>23.7</v>
      </c>
      <c r="J405" s="137">
        <v>80</v>
      </c>
      <c r="K405" s="137" t="s">
        <v>91</v>
      </c>
      <c r="L405" s="137" t="s">
        <v>317</v>
      </c>
      <c r="M405" s="139">
        <v>0</v>
      </c>
      <c r="N405" s="139">
        <v>4.6107720064933898E+18</v>
      </c>
    </row>
    <row r="406" spans="3:14">
      <c r="C406" s="24" t="b">
        <v>0</v>
      </c>
      <c r="D406" s="137">
        <v>36.4</v>
      </c>
      <c r="E406" s="138">
        <v>5</v>
      </c>
      <c r="F406" s="137">
        <v>121</v>
      </c>
      <c r="G406" s="137">
        <v>67</v>
      </c>
      <c r="H406" s="137">
        <v>2950</v>
      </c>
      <c r="I406" s="137">
        <v>19.899999999999999</v>
      </c>
      <c r="J406" s="137">
        <v>80</v>
      </c>
      <c r="K406" s="137" t="s">
        <v>91</v>
      </c>
      <c r="L406" s="137" t="s">
        <v>318</v>
      </c>
      <c r="M406" s="139">
        <v>0</v>
      </c>
      <c r="N406" s="139">
        <v>2.6762971706971402E+18</v>
      </c>
    </row>
    <row r="407" spans="3:14">
      <c r="C407" s="24" t="b">
        <v>0</v>
      </c>
      <c r="D407" s="137">
        <v>30</v>
      </c>
      <c r="E407" s="138">
        <v>4</v>
      </c>
      <c r="F407" s="137">
        <v>146</v>
      </c>
      <c r="G407" s="137">
        <v>67</v>
      </c>
      <c r="H407" s="137">
        <v>3250</v>
      </c>
      <c r="I407" s="137">
        <v>21.8</v>
      </c>
      <c r="J407" s="137">
        <v>80</v>
      </c>
      <c r="K407" s="137" t="s">
        <v>91</v>
      </c>
      <c r="L407" s="137" t="s">
        <v>319</v>
      </c>
      <c r="M407" s="139">
        <v>0</v>
      </c>
      <c r="N407" s="139">
        <v>1.5452565343677E+19</v>
      </c>
    </row>
    <row r="408" spans="3:14">
      <c r="C408" s="24" t="b">
        <v>0</v>
      </c>
      <c r="D408" s="137">
        <v>44.6</v>
      </c>
      <c r="E408" s="138">
        <v>4</v>
      </c>
      <c r="F408" s="137">
        <v>91</v>
      </c>
      <c r="G408" s="137">
        <v>67</v>
      </c>
      <c r="H408" s="137">
        <v>1850</v>
      </c>
      <c r="I408" s="137">
        <v>13.8</v>
      </c>
      <c r="J408" s="137">
        <v>80</v>
      </c>
      <c r="K408" s="137" t="s">
        <v>85</v>
      </c>
      <c r="L408" s="137" t="s">
        <v>320</v>
      </c>
      <c r="M408" s="139">
        <v>0</v>
      </c>
      <c r="N408" s="139">
        <v>8.0904825979858698E+18</v>
      </c>
    </row>
    <row r="409" spans="3:14">
      <c r="C409" s="24" t="b">
        <v>0</v>
      </c>
      <c r="D409" s="137">
        <v>40.9</v>
      </c>
      <c r="E409" s="138">
        <v>4</v>
      </c>
      <c r="F409" s="137">
        <v>85</v>
      </c>
      <c r="G409" s="137"/>
      <c r="H409" s="137">
        <v>1835</v>
      </c>
      <c r="I409" s="137">
        <v>17.3</v>
      </c>
      <c r="J409" s="137">
        <v>80</v>
      </c>
      <c r="K409" s="137" t="s">
        <v>91</v>
      </c>
      <c r="L409" s="137" t="s">
        <v>321</v>
      </c>
      <c r="M409" s="139">
        <v>1</v>
      </c>
      <c r="N409" s="139">
        <v>3.6597527020867302E+18</v>
      </c>
    </row>
    <row r="410" spans="3:14">
      <c r="C410" s="24" t="b">
        <v>0</v>
      </c>
      <c r="D410" s="137">
        <v>33.799999999999997</v>
      </c>
      <c r="E410" s="138">
        <v>4</v>
      </c>
      <c r="F410" s="137">
        <v>97</v>
      </c>
      <c r="G410" s="137">
        <v>67</v>
      </c>
      <c r="H410" s="137">
        <v>2145</v>
      </c>
      <c r="I410" s="137">
        <v>18</v>
      </c>
      <c r="J410" s="137">
        <v>80</v>
      </c>
      <c r="K410" s="137" t="s">
        <v>85</v>
      </c>
      <c r="L410" s="137" t="s">
        <v>249</v>
      </c>
      <c r="M410" s="139">
        <v>0</v>
      </c>
      <c r="N410" s="139">
        <v>8.3174794785923502E+18</v>
      </c>
    </row>
    <row r="411" spans="3:14">
      <c r="C411" s="24" t="b">
        <v>0</v>
      </c>
      <c r="D411" s="137">
        <v>29.8</v>
      </c>
      <c r="E411" s="138">
        <v>4</v>
      </c>
      <c r="F411" s="137">
        <v>89</v>
      </c>
      <c r="G411" s="137">
        <v>62</v>
      </c>
      <c r="H411" s="137">
        <v>1845</v>
      </c>
      <c r="I411" s="137">
        <v>15.3</v>
      </c>
      <c r="J411" s="137">
        <v>80</v>
      </c>
      <c r="K411" s="137" t="s">
        <v>91</v>
      </c>
      <c r="L411" s="137" t="s">
        <v>322</v>
      </c>
      <c r="M411" s="139">
        <v>0</v>
      </c>
      <c r="N411" s="139">
        <v>3.0115033758018202E+18</v>
      </c>
    </row>
    <row r="412" spans="3:14">
      <c r="C412" s="24" t="b">
        <v>0</v>
      </c>
      <c r="D412" s="137">
        <v>32.700000000000003</v>
      </c>
      <c r="E412" s="138">
        <v>6</v>
      </c>
      <c r="F412" s="137">
        <v>168</v>
      </c>
      <c r="G412" s="137">
        <v>132</v>
      </c>
      <c r="H412" s="137">
        <v>2910</v>
      </c>
      <c r="I412" s="137">
        <v>11.4</v>
      </c>
      <c r="J412" s="137">
        <v>80</v>
      </c>
      <c r="K412" s="137" t="s">
        <v>85</v>
      </c>
      <c r="L412" s="137" t="s">
        <v>323</v>
      </c>
      <c r="M412" s="139">
        <v>0</v>
      </c>
      <c r="N412" s="139">
        <v>3.2237311284739799E+18</v>
      </c>
    </row>
    <row r="413" spans="3:14">
      <c r="C413" s="24" t="b">
        <v>0</v>
      </c>
      <c r="D413" s="137">
        <v>23.7</v>
      </c>
      <c r="E413" s="138">
        <v>3</v>
      </c>
      <c r="F413" s="137">
        <v>70</v>
      </c>
      <c r="G413" s="137">
        <v>100</v>
      </c>
      <c r="H413" s="137">
        <v>2420</v>
      </c>
      <c r="I413" s="137">
        <v>12.5</v>
      </c>
      <c r="J413" s="137">
        <v>80</v>
      </c>
      <c r="K413" s="137" t="s">
        <v>85</v>
      </c>
      <c r="L413" s="137" t="s">
        <v>324</v>
      </c>
      <c r="M413" s="139">
        <v>0</v>
      </c>
      <c r="N413" s="139">
        <v>1.8378479064615501E+18</v>
      </c>
    </row>
    <row r="414" spans="3:14">
      <c r="C414" s="24" t="b">
        <v>0</v>
      </c>
      <c r="D414" s="137">
        <v>35</v>
      </c>
      <c r="E414" s="138">
        <v>4</v>
      </c>
      <c r="F414" s="137">
        <v>122</v>
      </c>
      <c r="G414" s="137">
        <v>88</v>
      </c>
      <c r="H414" s="137">
        <v>2500</v>
      </c>
      <c r="I414" s="137">
        <v>15.1</v>
      </c>
      <c r="J414" s="137">
        <v>80</v>
      </c>
      <c r="K414" s="137" t="s">
        <v>91</v>
      </c>
      <c r="L414" s="137" t="s">
        <v>325</v>
      </c>
      <c r="M414" s="139">
        <v>0</v>
      </c>
      <c r="N414" s="139">
        <v>1.2223288561744699E+19</v>
      </c>
    </row>
    <row r="415" spans="3:14">
      <c r="C415" s="24" t="b">
        <v>0</v>
      </c>
      <c r="D415" s="137">
        <v>23.6</v>
      </c>
      <c r="E415" s="138">
        <v>4</v>
      </c>
      <c r="F415" s="137">
        <v>140</v>
      </c>
      <c r="G415" s="137"/>
      <c r="H415" s="137">
        <v>2905</v>
      </c>
      <c r="I415" s="137">
        <v>14.3</v>
      </c>
      <c r="J415" s="137">
        <v>80</v>
      </c>
      <c r="K415" s="137" t="s">
        <v>69</v>
      </c>
      <c r="L415" s="137" t="s">
        <v>326</v>
      </c>
      <c r="M415" s="139">
        <v>1</v>
      </c>
      <c r="N415" s="139">
        <v>1.1360748183183901E+19</v>
      </c>
    </row>
    <row r="416" spans="3:14">
      <c r="C416" s="24" t="b">
        <v>0</v>
      </c>
      <c r="D416" s="137">
        <v>32.4</v>
      </c>
      <c r="E416" s="138">
        <v>4</v>
      </c>
      <c r="F416" s="137">
        <v>107</v>
      </c>
      <c r="G416" s="137">
        <v>72</v>
      </c>
      <c r="H416" s="137">
        <v>2290</v>
      </c>
      <c r="I416" s="137">
        <v>17</v>
      </c>
      <c r="J416" s="137">
        <v>80</v>
      </c>
      <c r="K416" s="137" t="s">
        <v>85</v>
      </c>
      <c r="L416" s="137" t="s">
        <v>327</v>
      </c>
      <c r="M416" s="139">
        <v>0</v>
      </c>
      <c r="N416" s="139">
        <v>6.5613119949126605E+18</v>
      </c>
    </row>
    <row r="417" spans="3:14">
      <c r="C417" s="24" t="b">
        <v>0</v>
      </c>
      <c r="D417" s="137">
        <v>27.2</v>
      </c>
      <c r="E417" s="138">
        <v>4</v>
      </c>
      <c r="F417" s="137">
        <v>135</v>
      </c>
      <c r="G417" s="137">
        <v>84</v>
      </c>
      <c r="H417" s="137">
        <v>2490</v>
      </c>
      <c r="I417" s="137">
        <v>15.7</v>
      </c>
      <c r="J417" s="137">
        <v>81</v>
      </c>
      <c r="K417" s="137" t="s">
        <v>69</v>
      </c>
      <c r="L417" s="137" t="s">
        <v>328</v>
      </c>
      <c r="M417" s="139">
        <v>0</v>
      </c>
      <c r="N417" s="139">
        <v>1.03161373945339E+18</v>
      </c>
    </row>
    <row r="418" spans="3:14">
      <c r="C418" s="24" t="b">
        <v>0</v>
      </c>
      <c r="D418" s="137">
        <v>26.6</v>
      </c>
      <c r="E418" s="138">
        <v>4</v>
      </c>
      <c r="F418" s="137">
        <v>151</v>
      </c>
      <c r="G418" s="137">
        <v>84</v>
      </c>
      <c r="H418" s="137">
        <v>2635</v>
      </c>
      <c r="I418" s="137">
        <v>16.399999999999999</v>
      </c>
      <c r="J418" s="137">
        <v>81</v>
      </c>
      <c r="K418" s="137" t="s">
        <v>69</v>
      </c>
      <c r="L418" s="137" t="s">
        <v>237</v>
      </c>
      <c r="M418" s="139">
        <v>0</v>
      </c>
      <c r="N418" s="139">
        <v>1.02071319038359E+19</v>
      </c>
    </row>
    <row r="419" spans="3:14">
      <c r="C419" s="24" t="b">
        <v>0</v>
      </c>
      <c r="D419" s="137">
        <v>25.8</v>
      </c>
      <c r="E419" s="138">
        <v>4</v>
      </c>
      <c r="F419" s="137">
        <v>156</v>
      </c>
      <c r="G419" s="137">
        <v>92</v>
      </c>
      <c r="H419" s="137">
        <v>2620</v>
      </c>
      <c r="I419" s="137">
        <v>14.4</v>
      </c>
      <c r="J419" s="137">
        <v>81</v>
      </c>
      <c r="K419" s="137" t="s">
        <v>69</v>
      </c>
      <c r="L419" s="137" t="s">
        <v>329</v>
      </c>
      <c r="M419" s="139">
        <v>0</v>
      </c>
      <c r="N419" s="139">
        <v>1.0829269554705101E+19</v>
      </c>
    </row>
    <row r="420" spans="3:14">
      <c r="C420" s="24" t="b">
        <v>0</v>
      </c>
      <c r="D420" s="137">
        <v>23.5</v>
      </c>
      <c r="E420" s="138">
        <v>6</v>
      </c>
      <c r="F420" s="137">
        <v>173</v>
      </c>
      <c r="G420" s="137">
        <v>110</v>
      </c>
      <c r="H420" s="137">
        <v>2725</v>
      </c>
      <c r="I420" s="137">
        <v>12.6</v>
      </c>
      <c r="J420" s="137">
        <v>81</v>
      </c>
      <c r="K420" s="137" t="s">
        <v>69</v>
      </c>
      <c r="L420" s="137" t="s">
        <v>305</v>
      </c>
      <c r="M420" s="139">
        <v>0</v>
      </c>
      <c r="N420" s="139">
        <v>3.9500142947084498E+18</v>
      </c>
    </row>
    <row r="421" spans="3:14">
      <c r="C421" s="24" t="b">
        <v>0</v>
      </c>
      <c r="D421" s="137">
        <v>30</v>
      </c>
      <c r="E421" s="138">
        <v>4</v>
      </c>
      <c r="F421" s="137">
        <v>135</v>
      </c>
      <c r="G421" s="137">
        <v>84</v>
      </c>
      <c r="H421" s="137">
        <v>2385</v>
      </c>
      <c r="I421" s="137">
        <v>12.9</v>
      </c>
      <c r="J421" s="137">
        <v>81</v>
      </c>
      <c r="K421" s="137" t="s">
        <v>69</v>
      </c>
      <c r="L421" s="137" t="s">
        <v>328</v>
      </c>
      <c r="M421" s="139">
        <v>0</v>
      </c>
      <c r="N421" s="139">
        <v>1.47316332011484E+19</v>
      </c>
    </row>
    <row r="422" spans="3:14">
      <c r="C422" s="24" t="b">
        <v>0</v>
      </c>
      <c r="D422" s="137">
        <v>39.1</v>
      </c>
      <c r="E422" s="138">
        <v>4</v>
      </c>
      <c r="F422" s="137">
        <v>79</v>
      </c>
      <c r="G422" s="137">
        <v>58</v>
      </c>
      <c r="H422" s="137">
        <v>1755</v>
      </c>
      <c r="I422" s="137">
        <v>16.899999999999999</v>
      </c>
      <c r="J422" s="137">
        <v>81</v>
      </c>
      <c r="K422" s="137" t="s">
        <v>85</v>
      </c>
      <c r="L422" s="137" t="s">
        <v>330</v>
      </c>
      <c r="M422" s="139">
        <v>0</v>
      </c>
      <c r="N422" s="139">
        <v>1.8148640045662599E+19</v>
      </c>
    </row>
    <row r="423" spans="3:14">
      <c r="C423" s="24" t="b">
        <v>0</v>
      </c>
      <c r="D423" s="137">
        <v>39</v>
      </c>
      <c r="E423" s="138">
        <v>4</v>
      </c>
      <c r="F423" s="137">
        <v>86</v>
      </c>
      <c r="G423" s="137">
        <v>64</v>
      </c>
      <c r="H423" s="137">
        <v>1875</v>
      </c>
      <c r="I423" s="137">
        <v>16.399999999999999</v>
      </c>
      <c r="J423" s="137">
        <v>81</v>
      </c>
      <c r="K423" s="137" t="s">
        <v>69</v>
      </c>
      <c r="L423" s="137" t="s">
        <v>331</v>
      </c>
      <c r="M423" s="139">
        <v>0</v>
      </c>
      <c r="N423" s="139">
        <v>1.6832946407587799E+18</v>
      </c>
    </row>
    <row r="424" spans="3:14">
      <c r="C424" s="24" t="b">
        <v>0</v>
      </c>
      <c r="D424" s="137">
        <v>35.1</v>
      </c>
      <c r="E424" s="138">
        <v>4</v>
      </c>
      <c r="F424" s="137">
        <v>81</v>
      </c>
      <c r="G424" s="137">
        <v>60</v>
      </c>
      <c r="H424" s="137">
        <v>1760</v>
      </c>
      <c r="I424" s="137">
        <v>16.100000000000001</v>
      </c>
      <c r="J424" s="137">
        <v>81</v>
      </c>
      <c r="K424" s="137" t="s">
        <v>85</v>
      </c>
      <c r="L424" s="137" t="s">
        <v>332</v>
      </c>
      <c r="M424" s="139">
        <v>0</v>
      </c>
      <c r="N424" s="139">
        <v>1.7195611593687699E+19</v>
      </c>
    </row>
    <row r="425" spans="3:14">
      <c r="C425" s="24" t="b">
        <v>0</v>
      </c>
      <c r="D425" s="137">
        <v>32.299999999999997</v>
      </c>
      <c r="E425" s="138">
        <v>4</v>
      </c>
      <c r="F425" s="137">
        <v>97</v>
      </c>
      <c r="G425" s="137">
        <v>67</v>
      </c>
      <c r="H425" s="137">
        <v>2065</v>
      </c>
      <c r="I425" s="137">
        <v>17.8</v>
      </c>
      <c r="J425" s="137">
        <v>81</v>
      </c>
      <c r="K425" s="137" t="s">
        <v>85</v>
      </c>
      <c r="L425" s="137" t="s">
        <v>191</v>
      </c>
      <c r="M425" s="139">
        <v>0</v>
      </c>
      <c r="N425" s="139">
        <v>2.8145423952215101E+18</v>
      </c>
    </row>
    <row r="426" spans="3:14">
      <c r="C426" s="24" t="b">
        <v>0</v>
      </c>
      <c r="D426" s="137">
        <v>37</v>
      </c>
      <c r="E426" s="138">
        <v>4</v>
      </c>
      <c r="F426" s="137">
        <v>85</v>
      </c>
      <c r="G426" s="137">
        <v>65</v>
      </c>
      <c r="H426" s="137">
        <v>1975</v>
      </c>
      <c r="I426" s="137">
        <v>19.399999999999999</v>
      </c>
      <c r="J426" s="137">
        <v>81</v>
      </c>
      <c r="K426" s="137" t="s">
        <v>85</v>
      </c>
      <c r="L426" s="137" t="s">
        <v>333</v>
      </c>
      <c r="M426" s="139">
        <v>0</v>
      </c>
      <c r="N426" s="139">
        <v>1.84622191998096E+18</v>
      </c>
    </row>
    <row r="427" spans="3:14">
      <c r="C427" s="24" t="b">
        <v>0</v>
      </c>
      <c r="D427" s="137">
        <v>37.700000000000003</v>
      </c>
      <c r="E427" s="138">
        <v>4</v>
      </c>
      <c r="F427" s="137">
        <v>89</v>
      </c>
      <c r="G427" s="137">
        <v>62</v>
      </c>
      <c r="H427" s="137">
        <v>2050</v>
      </c>
      <c r="I427" s="137">
        <v>17.3</v>
      </c>
      <c r="J427" s="137">
        <v>81</v>
      </c>
      <c r="K427" s="137" t="s">
        <v>85</v>
      </c>
      <c r="L427" s="137" t="s">
        <v>334</v>
      </c>
      <c r="M427" s="139">
        <v>0</v>
      </c>
      <c r="N427" s="139">
        <v>3.1461358615096998E+17</v>
      </c>
    </row>
    <row r="428" spans="3:14">
      <c r="C428" s="24" t="b">
        <v>0</v>
      </c>
      <c r="D428" s="137">
        <v>34.1</v>
      </c>
      <c r="E428" s="138">
        <v>4</v>
      </c>
      <c r="F428" s="137">
        <v>91</v>
      </c>
      <c r="G428" s="137">
        <v>68</v>
      </c>
      <c r="H428" s="137">
        <v>1985</v>
      </c>
      <c r="I428" s="137">
        <v>16</v>
      </c>
      <c r="J428" s="137">
        <v>81</v>
      </c>
      <c r="K428" s="137" t="s">
        <v>85</v>
      </c>
      <c r="L428" s="137" t="s">
        <v>335</v>
      </c>
      <c r="M428" s="139">
        <v>0</v>
      </c>
      <c r="N428" s="139">
        <v>1.35720485914508E+19</v>
      </c>
    </row>
    <row r="429" spans="3:14">
      <c r="C429" s="24" t="b">
        <v>0</v>
      </c>
      <c r="D429" s="137">
        <v>34.700000000000003</v>
      </c>
      <c r="E429" s="138">
        <v>4</v>
      </c>
      <c r="F429" s="137">
        <v>105</v>
      </c>
      <c r="G429" s="137">
        <v>63</v>
      </c>
      <c r="H429" s="137">
        <v>2215</v>
      </c>
      <c r="I429" s="137">
        <v>14.9</v>
      </c>
      <c r="J429" s="137">
        <v>81</v>
      </c>
      <c r="K429" s="137" t="s">
        <v>69</v>
      </c>
      <c r="L429" s="137" t="s">
        <v>336</v>
      </c>
      <c r="M429" s="139">
        <v>0</v>
      </c>
      <c r="N429" s="139">
        <v>4.8646253742050598E+17</v>
      </c>
    </row>
    <row r="430" spans="3:14">
      <c r="C430" s="24" t="b">
        <v>0</v>
      </c>
      <c r="D430" s="137">
        <v>34.4</v>
      </c>
      <c r="E430" s="138">
        <v>4</v>
      </c>
      <c r="F430" s="137">
        <v>98</v>
      </c>
      <c r="G430" s="137">
        <v>65</v>
      </c>
      <c r="H430" s="137">
        <v>2045</v>
      </c>
      <c r="I430" s="137">
        <v>16.2</v>
      </c>
      <c r="J430" s="137">
        <v>81</v>
      </c>
      <c r="K430" s="137" t="s">
        <v>69</v>
      </c>
      <c r="L430" s="137" t="s">
        <v>337</v>
      </c>
      <c r="M430" s="139">
        <v>0</v>
      </c>
      <c r="N430" s="139">
        <v>6.6260757644951695E+18</v>
      </c>
    </row>
    <row r="431" spans="3:14">
      <c r="C431" s="24" t="b">
        <v>0</v>
      </c>
      <c r="D431" s="137">
        <v>29.9</v>
      </c>
      <c r="E431" s="138">
        <v>4</v>
      </c>
      <c r="F431" s="137">
        <v>98</v>
      </c>
      <c r="G431" s="137">
        <v>65</v>
      </c>
      <c r="H431" s="137">
        <v>2380</v>
      </c>
      <c r="I431" s="137">
        <v>20.7</v>
      </c>
      <c r="J431" s="137">
        <v>81</v>
      </c>
      <c r="K431" s="137" t="s">
        <v>69</v>
      </c>
      <c r="L431" s="137" t="s">
        <v>338</v>
      </c>
      <c r="M431" s="139">
        <v>0</v>
      </c>
      <c r="N431" s="139">
        <v>1.0472064571288101E+19</v>
      </c>
    </row>
    <row r="432" spans="3:14">
      <c r="C432" s="24" t="b">
        <v>0</v>
      </c>
      <c r="D432" s="137">
        <v>33</v>
      </c>
      <c r="E432" s="138">
        <v>4</v>
      </c>
      <c r="F432" s="137">
        <v>105</v>
      </c>
      <c r="G432" s="137">
        <v>74</v>
      </c>
      <c r="H432" s="137">
        <v>2190</v>
      </c>
      <c r="I432" s="137">
        <v>14.2</v>
      </c>
      <c r="J432" s="137">
        <v>81</v>
      </c>
      <c r="K432" s="137" t="s">
        <v>91</v>
      </c>
      <c r="L432" s="137" t="s">
        <v>339</v>
      </c>
      <c r="M432" s="139">
        <v>0</v>
      </c>
      <c r="N432" s="139">
        <v>5.3595149799196703E+18</v>
      </c>
    </row>
    <row r="433" spans="3:14">
      <c r="C433" s="24" t="b">
        <v>0</v>
      </c>
      <c r="D433" s="137">
        <v>34.5</v>
      </c>
      <c r="E433" s="138">
        <v>4</v>
      </c>
      <c r="F433" s="137">
        <v>100</v>
      </c>
      <c r="G433" s="137"/>
      <c r="H433" s="137">
        <v>2320</v>
      </c>
      <c r="I433" s="137">
        <v>15.8</v>
      </c>
      <c r="J433" s="137">
        <v>81</v>
      </c>
      <c r="K433" s="137" t="s">
        <v>91</v>
      </c>
      <c r="L433" s="137" t="s">
        <v>340</v>
      </c>
      <c r="M433" s="139">
        <v>1</v>
      </c>
      <c r="N433" s="139">
        <v>9.3686051012473303E+18</v>
      </c>
    </row>
    <row r="434" spans="3:14">
      <c r="C434" s="24" t="b">
        <v>0</v>
      </c>
      <c r="D434" s="137">
        <v>33.700000000000003</v>
      </c>
      <c r="E434" s="138">
        <v>4</v>
      </c>
      <c r="F434" s="137">
        <v>107</v>
      </c>
      <c r="G434" s="137">
        <v>75</v>
      </c>
      <c r="H434" s="137">
        <v>2210</v>
      </c>
      <c r="I434" s="137">
        <v>14.4</v>
      </c>
      <c r="J434" s="137">
        <v>81</v>
      </c>
      <c r="K434" s="137" t="s">
        <v>85</v>
      </c>
      <c r="L434" s="137" t="s">
        <v>341</v>
      </c>
      <c r="M434" s="139">
        <v>0</v>
      </c>
      <c r="N434" s="139">
        <v>9.3121393370414694E+18</v>
      </c>
    </row>
    <row r="435" spans="3:14">
      <c r="C435" s="24" t="b">
        <v>0</v>
      </c>
      <c r="D435" s="137">
        <v>32.4</v>
      </c>
      <c r="E435" s="138">
        <v>4</v>
      </c>
      <c r="F435" s="137">
        <v>108</v>
      </c>
      <c r="G435" s="137">
        <v>75</v>
      </c>
      <c r="H435" s="137">
        <v>2350</v>
      </c>
      <c r="I435" s="137">
        <v>16.8</v>
      </c>
      <c r="J435" s="137">
        <v>81</v>
      </c>
      <c r="K435" s="137" t="s">
        <v>85</v>
      </c>
      <c r="L435" s="137" t="s">
        <v>203</v>
      </c>
      <c r="M435" s="139">
        <v>0</v>
      </c>
      <c r="N435" s="139">
        <v>7.8949607417194995E+17</v>
      </c>
    </row>
    <row r="436" spans="3:14">
      <c r="C436" s="24" t="b">
        <v>0</v>
      </c>
      <c r="D436" s="137">
        <v>32.9</v>
      </c>
      <c r="E436" s="138">
        <v>4</v>
      </c>
      <c r="F436" s="137">
        <v>119</v>
      </c>
      <c r="G436" s="137">
        <v>100</v>
      </c>
      <c r="H436" s="137">
        <v>2615</v>
      </c>
      <c r="I436" s="137">
        <v>14.8</v>
      </c>
      <c r="J436" s="137">
        <v>81</v>
      </c>
      <c r="K436" s="137" t="s">
        <v>85</v>
      </c>
      <c r="L436" s="137" t="s">
        <v>342</v>
      </c>
      <c r="M436" s="139">
        <v>0</v>
      </c>
      <c r="N436" s="139">
        <v>1.66642838594321E+19</v>
      </c>
    </row>
    <row r="437" spans="3:14">
      <c r="C437" s="24" t="b">
        <v>0</v>
      </c>
      <c r="D437" s="137">
        <v>31.6</v>
      </c>
      <c r="E437" s="138">
        <v>4</v>
      </c>
      <c r="F437" s="137">
        <v>120</v>
      </c>
      <c r="G437" s="137">
        <v>74</v>
      </c>
      <c r="H437" s="137">
        <v>2635</v>
      </c>
      <c r="I437" s="137">
        <v>18.3</v>
      </c>
      <c r="J437" s="137">
        <v>81</v>
      </c>
      <c r="K437" s="137" t="s">
        <v>85</v>
      </c>
      <c r="L437" s="137" t="s">
        <v>313</v>
      </c>
      <c r="M437" s="139">
        <v>0</v>
      </c>
      <c r="N437" s="139">
        <v>7.39002377664674E+18</v>
      </c>
    </row>
    <row r="438" spans="3:14">
      <c r="C438" s="24" t="b">
        <v>0</v>
      </c>
      <c r="D438" s="137">
        <v>28.1</v>
      </c>
      <c r="E438" s="138">
        <v>4</v>
      </c>
      <c r="F438" s="137">
        <v>141</v>
      </c>
      <c r="G438" s="137">
        <v>80</v>
      </c>
      <c r="H438" s="137">
        <v>3230</v>
      </c>
      <c r="I438" s="137">
        <v>20.399999999999999</v>
      </c>
      <c r="J438" s="137">
        <v>81</v>
      </c>
      <c r="K438" s="137" t="s">
        <v>91</v>
      </c>
      <c r="L438" s="137" t="s">
        <v>343</v>
      </c>
      <c r="M438" s="139">
        <v>0</v>
      </c>
      <c r="N438" s="139">
        <v>1.72476023721832E+19</v>
      </c>
    </row>
    <row r="439" spans="3:14">
      <c r="C439" s="24" t="b">
        <v>0</v>
      </c>
      <c r="D439" s="137">
        <v>30.7</v>
      </c>
      <c r="E439" s="138">
        <v>6</v>
      </c>
      <c r="F439" s="137">
        <v>145</v>
      </c>
      <c r="G439" s="137">
        <v>76</v>
      </c>
      <c r="H439" s="137">
        <v>3160</v>
      </c>
      <c r="I439" s="137">
        <v>19.600000000000001</v>
      </c>
      <c r="J439" s="137">
        <v>81</v>
      </c>
      <c r="K439" s="137" t="s">
        <v>91</v>
      </c>
      <c r="L439" s="137" t="s">
        <v>344</v>
      </c>
      <c r="M439" s="139">
        <v>0</v>
      </c>
      <c r="N439" s="139">
        <v>7.4280629970100398E+18</v>
      </c>
    </row>
    <row r="440" spans="3:14">
      <c r="C440" s="24" t="b">
        <v>0</v>
      </c>
      <c r="D440" s="137">
        <v>25.4</v>
      </c>
      <c r="E440" s="138">
        <v>6</v>
      </c>
      <c r="F440" s="137">
        <v>168</v>
      </c>
      <c r="G440" s="137">
        <v>116</v>
      </c>
      <c r="H440" s="137">
        <v>2900</v>
      </c>
      <c r="I440" s="137">
        <v>12.6</v>
      </c>
      <c r="J440" s="137">
        <v>81</v>
      </c>
      <c r="K440" s="137" t="s">
        <v>85</v>
      </c>
      <c r="L440" s="137" t="s">
        <v>345</v>
      </c>
      <c r="M440" s="139">
        <v>0</v>
      </c>
      <c r="N440" s="139">
        <v>1.2859146214207199E+19</v>
      </c>
    </row>
    <row r="441" spans="3:14">
      <c r="C441" s="24" t="b">
        <v>0</v>
      </c>
      <c r="D441" s="137">
        <v>24.2</v>
      </c>
      <c r="E441" s="138">
        <v>6</v>
      </c>
      <c r="F441" s="137">
        <v>146</v>
      </c>
      <c r="G441" s="137">
        <v>120</v>
      </c>
      <c r="H441" s="137">
        <v>2930</v>
      </c>
      <c r="I441" s="137">
        <v>13.8</v>
      </c>
      <c r="J441" s="137">
        <v>81</v>
      </c>
      <c r="K441" s="137" t="s">
        <v>85</v>
      </c>
      <c r="L441" s="137" t="s">
        <v>346</v>
      </c>
      <c r="M441" s="139">
        <v>0</v>
      </c>
      <c r="N441" s="139">
        <v>4.7254945060088105E+18</v>
      </c>
    </row>
    <row r="442" spans="3:14">
      <c r="C442" s="24" t="b">
        <v>0</v>
      </c>
      <c r="D442" s="137">
        <v>22.4</v>
      </c>
      <c r="E442" s="138">
        <v>6</v>
      </c>
      <c r="F442" s="137">
        <v>231</v>
      </c>
      <c r="G442" s="137">
        <v>110</v>
      </c>
      <c r="H442" s="137">
        <v>3415</v>
      </c>
      <c r="I442" s="137">
        <v>15.8</v>
      </c>
      <c r="J442" s="137">
        <v>81</v>
      </c>
      <c r="K442" s="137" t="s">
        <v>69</v>
      </c>
      <c r="L442" s="137" t="s">
        <v>197</v>
      </c>
      <c r="M442" s="139">
        <v>0</v>
      </c>
      <c r="N442" s="139">
        <v>1.06007457899072E+19</v>
      </c>
    </row>
    <row r="443" spans="3:14">
      <c r="C443" s="24" t="b">
        <v>0</v>
      </c>
      <c r="D443" s="137">
        <v>26.6</v>
      </c>
      <c r="E443" s="138">
        <v>8</v>
      </c>
      <c r="F443" s="137">
        <v>350</v>
      </c>
      <c r="G443" s="137">
        <v>105</v>
      </c>
      <c r="H443" s="137">
        <v>3725</v>
      </c>
      <c r="I443" s="137">
        <v>19</v>
      </c>
      <c r="J443" s="137">
        <v>81</v>
      </c>
      <c r="K443" s="137" t="s">
        <v>69</v>
      </c>
      <c r="L443" s="137" t="s">
        <v>347</v>
      </c>
      <c r="M443" s="139">
        <v>0</v>
      </c>
      <c r="N443" s="139">
        <v>1.71634819052672E+19</v>
      </c>
    </row>
    <row r="444" spans="3:14">
      <c r="C444" s="24" t="b">
        <v>0</v>
      </c>
      <c r="D444" s="137">
        <v>20.2</v>
      </c>
      <c r="E444" s="138">
        <v>6</v>
      </c>
      <c r="F444" s="137">
        <v>200</v>
      </c>
      <c r="G444" s="137">
        <v>88</v>
      </c>
      <c r="H444" s="137">
        <v>3060</v>
      </c>
      <c r="I444" s="137">
        <v>17.100000000000001</v>
      </c>
      <c r="J444" s="137">
        <v>81</v>
      </c>
      <c r="K444" s="137" t="s">
        <v>69</v>
      </c>
      <c r="L444" s="137" t="s">
        <v>348</v>
      </c>
      <c r="M444" s="139">
        <v>0</v>
      </c>
      <c r="N444" s="139">
        <v>4.2460087783812902E+17</v>
      </c>
    </row>
    <row r="445" spans="3:14">
      <c r="C445" s="24" t="b">
        <v>0</v>
      </c>
      <c r="D445" s="137">
        <v>17.600000000000001</v>
      </c>
      <c r="E445" s="138">
        <v>6</v>
      </c>
      <c r="F445" s="137">
        <v>225</v>
      </c>
      <c r="G445" s="137">
        <v>85</v>
      </c>
      <c r="H445" s="137">
        <v>3465</v>
      </c>
      <c r="I445" s="137">
        <v>16.600000000000001</v>
      </c>
      <c r="J445" s="137">
        <v>81</v>
      </c>
      <c r="K445" s="137" t="s">
        <v>69</v>
      </c>
      <c r="L445" s="137" t="s">
        <v>349</v>
      </c>
      <c r="M445" s="139">
        <v>0</v>
      </c>
      <c r="N445" s="139">
        <v>1.16981784274123E+19</v>
      </c>
    </row>
    <row r="446" spans="3:14">
      <c r="C446" s="24" t="b">
        <v>0</v>
      </c>
      <c r="D446" s="137">
        <v>28</v>
      </c>
      <c r="E446" s="138">
        <v>4</v>
      </c>
      <c r="F446" s="137">
        <v>112</v>
      </c>
      <c r="G446" s="137">
        <v>88</v>
      </c>
      <c r="H446" s="137">
        <v>2605</v>
      </c>
      <c r="I446" s="137">
        <v>19.600000000000001</v>
      </c>
      <c r="J446" s="137">
        <v>82</v>
      </c>
      <c r="K446" s="137" t="s">
        <v>69</v>
      </c>
      <c r="L446" s="137" t="s">
        <v>350</v>
      </c>
      <c r="M446" s="139">
        <v>0</v>
      </c>
      <c r="N446" s="139">
        <v>3.3951735166553201E+18</v>
      </c>
    </row>
    <row r="447" spans="3:14">
      <c r="C447" s="24" t="b">
        <v>0</v>
      </c>
      <c r="D447" s="137">
        <v>27</v>
      </c>
      <c r="E447" s="138">
        <v>4</v>
      </c>
      <c r="F447" s="137">
        <v>112</v>
      </c>
      <c r="G447" s="137">
        <v>88</v>
      </c>
      <c r="H447" s="137">
        <v>2640</v>
      </c>
      <c r="I447" s="137">
        <v>18.600000000000001</v>
      </c>
      <c r="J447" s="137">
        <v>82</v>
      </c>
      <c r="K447" s="137" t="s">
        <v>69</v>
      </c>
      <c r="L447" s="137" t="s">
        <v>351</v>
      </c>
      <c r="M447" s="139">
        <v>0</v>
      </c>
      <c r="N447" s="139">
        <v>1.0499839896992899E+19</v>
      </c>
    </row>
    <row r="448" spans="3:14">
      <c r="C448" s="24" t="b">
        <v>0</v>
      </c>
      <c r="D448" s="137">
        <v>34</v>
      </c>
      <c r="E448" s="138">
        <v>4</v>
      </c>
      <c r="F448" s="137">
        <v>112</v>
      </c>
      <c r="G448" s="137">
        <v>88</v>
      </c>
      <c r="H448" s="137">
        <v>2395</v>
      </c>
      <c r="I448" s="137">
        <v>18</v>
      </c>
      <c r="J448" s="137">
        <v>82</v>
      </c>
      <c r="K448" s="137" t="s">
        <v>69</v>
      </c>
      <c r="L448" s="137" t="s">
        <v>352</v>
      </c>
      <c r="M448" s="139">
        <v>0</v>
      </c>
      <c r="N448" s="139">
        <v>9.8055667866008699E+18</v>
      </c>
    </row>
    <row r="449" spans="3:14">
      <c r="C449" s="24" t="b">
        <v>0</v>
      </c>
      <c r="D449" s="137">
        <v>31</v>
      </c>
      <c r="E449" s="138">
        <v>4</v>
      </c>
      <c r="F449" s="137">
        <v>112</v>
      </c>
      <c r="G449" s="137">
        <v>85</v>
      </c>
      <c r="H449" s="137">
        <v>2575</v>
      </c>
      <c r="I449" s="137">
        <v>16.2</v>
      </c>
      <c r="J449" s="137">
        <v>82</v>
      </c>
      <c r="K449" s="137" t="s">
        <v>69</v>
      </c>
      <c r="L449" s="137" t="s">
        <v>353</v>
      </c>
      <c r="M449" s="139">
        <v>0</v>
      </c>
      <c r="N449" s="139">
        <v>2.61301798590131E+18</v>
      </c>
    </row>
    <row r="450" spans="3:14">
      <c r="C450" s="24" t="b">
        <v>0</v>
      </c>
      <c r="D450" s="137">
        <v>29</v>
      </c>
      <c r="E450" s="138">
        <v>4</v>
      </c>
      <c r="F450" s="137">
        <v>135</v>
      </c>
      <c r="G450" s="137">
        <v>84</v>
      </c>
      <c r="H450" s="137">
        <v>2525</v>
      </c>
      <c r="I450" s="137">
        <v>16</v>
      </c>
      <c r="J450" s="137">
        <v>82</v>
      </c>
      <c r="K450" s="137" t="s">
        <v>69</v>
      </c>
      <c r="L450" s="137" t="s">
        <v>354</v>
      </c>
      <c r="M450" s="139">
        <v>0</v>
      </c>
      <c r="N450" s="139">
        <v>1.7443528271883399E+19</v>
      </c>
    </row>
    <row r="451" spans="3:14">
      <c r="C451" s="24" t="b">
        <v>0</v>
      </c>
      <c r="D451" s="137">
        <v>27</v>
      </c>
      <c r="E451" s="138">
        <v>4</v>
      </c>
      <c r="F451" s="137">
        <v>151</v>
      </c>
      <c r="G451" s="137">
        <v>90</v>
      </c>
      <c r="H451" s="137">
        <v>2735</v>
      </c>
      <c r="I451" s="137">
        <v>18</v>
      </c>
      <c r="J451" s="137">
        <v>82</v>
      </c>
      <c r="K451" s="137" t="s">
        <v>69</v>
      </c>
      <c r="L451" s="137" t="s">
        <v>307</v>
      </c>
      <c r="M451" s="139">
        <v>0</v>
      </c>
      <c r="N451" s="139">
        <v>1.17136840029364E+19</v>
      </c>
    </row>
    <row r="452" spans="3:14">
      <c r="C452" s="24" t="b">
        <v>0</v>
      </c>
      <c r="D452" s="137">
        <v>24</v>
      </c>
      <c r="E452" s="138">
        <v>4</v>
      </c>
      <c r="F452" s="137">
        <v>140</v>
      </c>
      <c r="G452" s="137">
        <v>92</v>
      </c>
      <c r="H452" s="137">
        <v>2865</v>
      </c>
      <c r="I452" s="137">
        <v>16.399999999999999</v>
      </c>
      <c r="J452" s="137">
        <v>82</v>
      </c>
      <c r="K452" s="137" t="s">
        <v>69</v>
      </c>
      <c r="L452" s="137" t="s">
        <v>355</v>
      </c>
      <c r="M452" s="139">
        <v>0</v>
      </c>
      <c r="N452" s="139">
        <v>9.9869097376126403E+18</v>
      </c>
    </row>
    <row r="453" spans="3:14">
      <c r="C453" s="24" t="b">
        <v>0</v>
      </c>
      <c r="D453" s="137">
        <v>23</v>
      </c>
      <c r="E453" s="138">
        <v>4</v>
      </c>
      <c r="F453" s="137">
        <v>151</v>
      </c>
      <c r="G453" s="137"/>
      <c r="H453" s="137">
        <v>3035</v>
      </c>
      <c r="I453" s="137">
        <v>20.5</v>
      </c>
      <c r="J453" s="137">
        <v>82</v>
      </c>
      <c r="K453" s="137" t="s">
        <v>69</v>
      </c>
      <c r="L453" s="137" t="s">
        <v>356</v>
      </c>
      <c r="M453" s="139">
        <v>1</v>
      </c>
      <c r="N453" s="139">
        <v>8.4034914585431101E+18</v>
      </c>
    </row>
    <row r="454" spans="3:14">
      <c r="C454" s="24" t="b">
        <v>0</v>
      </c>
      <c r="D454" s="137">
        <v>36</v>
      </c>
      <c r="E454" s="138">
        <v>4</v>
      </c>
      <c r="F454" s="137">
        <v>105</v>
      </c>
      <c r="G454" s="137">
        <v>74</v>
      </c>
      <c r="H454" s="137">
        <v>1980</v>
      </c>
      <c r="I454" s="137">
        <v>15.3</v>
      </c>
      <c r="J454" s="137">
        <v>82</v>
      </c>
      <c r="K454" s="137" t="s">
        <v>91</v>
      </c>
      <c r="L454" s="137" t="s">
        <v>357</v>
      </c>
      <c r="M454" s="139">
        <v>0</v>
      </c>
      <c r="N454" s="139">
        <v>1.7838402447727401E+19</v>
      </c>
    </row>
    <row r="455" spans="3:14">
      <c r="C455" s="24" t="b">
        <v>0</v>
      </c>
      <c r="D455" s="137">
        <v>37</v>
      </c>
      <c r="E455" s="138">
        <v>4</v>
      </c>
      <c r="F455" s="137">
        <v>91</v>
      </c>
      <c r="G455" s="137">
        <v>68</v>
      </c>
      <c r="H455" s="137">
        <v>2025</v>
      </c>
      <c r="I455" s="137">
        <v>18.2</v>
      </c>
      <c r="J455" s="137">
        <v>82</v>
      </c>
      <c r="K455" s="137" t="s">
        <v>85</v>
      </c>
      <c r="L455" s="137" t="s">
        <v>358</v>
      </c>
      <c r="M455" s="139">
        <v>0</v>
      </c>
      <c r="N455" s="139">
        <v>2.9216900356763899E+18</v>
      </c>
    </row>
    <row r="456" spans="3:14">
      <c r="C456" s="24" t="b">
        <v>0</v>
      </c>
      <c r="D456" s="137">
        <v>31</v>
      </c>
      <c r="E456" s="138">
        <v>4</v>
      </c>
      <c r="F456" s="137">
        <v>91</v>
      </c>
      <c r="G456" s="137">
        <v>68</v>
      </c>
      <c r="H456" s="137">
        <v>1970</v>
      </c>
      <c r="I456" s="137">
        <v>17.600000000000001</v>
      </c>
      <c r="J456" s="137">
        <v>82</v>
      </c>
      <c r="K456" s="137" t="s">
        <v>85</v>
      </c>
      <c r="L456" s="137" t="s">
        <v>359</v>
      </c>
      <c r="M456" s="139">
        <v>0</v>
      </c>
      <c r="N456" s="139">
        <v>1.12270107638918E+18</v>
      </c>
    </row>
    <row r="457" spans="3:14">
      <c r="C457" s="24" t="b">
        <v>0</v>
      </c>
      <c r="D457" s="137">
        <v>38</v>
      </c>
      <c r="E457" s="138">
        <v>4</v>
      </c>
      <c r="F457" s="137">
        <v>105</v>
      </c>
      <c r="G457" s="137">
        <v>63</v>
      </c>
      <c r="H457" s="137">
        <v>2125</v>
      </c>
      <c r="I457" s="137">
        <v>14.7</v>
      </c>
      <c r="J457" s="137">
        <v>82</v>
      </c>
      <c r="K457" s="137" t="s">
        <v>69</v>
      </c>
      <c r="L457" s="137" t="s">
        <v>360</v>
      </c>
      <c r="M457" s="139">
        <v>0</v>
      </c>
      <c r="N457" s="139">
        <v>1.15360585974936E+19</v>
      </c>
    </row>
    <row r="458" spans="3:14">
      <c r="C458" s="24" t="b">
        <v>0</v>
      </c>
      <c r="D458" s="137">
        <v>36</v>
      </c>
      <c r="E458" s="138">
        <v>4</v>
      </c>
      <c r="F458" s="137">
        <v>98</v>
      </c>
      <c r="G458" s="137">
        <v>70</v>
      </c>
      <c r="H458" s="137">
        <v>2125</v>
      </c>
      <c r="I458" s="137">
        <v>17.3</v>
      </c>
      <c r="J458" s="137">
        <v>82</v>
      </c>
      <c r="K458" s="137" t="s">
        <v>69</v>
      </c>
      <c r="L458" s="137" t="s">
        <v>361</v>
      </c>
      <c r="M458" s="139">
        <v>0</v>
      </c>
      <c r="N458" s="139">
        <v>9.0006089297547494E+17</v>
      </c>
    </row>
    <row r="459" spans="3:14">
      <c r="C459" s="24" t="b">
        <v>0</v>
      </c>
      <c r="D459" s="137">
        <v>36</v>
      </c>
      <c r="E459" s="138">
        <v>4</v>
      </c>
      <c r="F459" s="137">
        <v>120</v>
      </c>
      <c r="G459" s="137">
        <v>88</v>
      </c>
      <c r="H459" s="137">
        <v>2160</v>
      </c>
      <c r="I459" s="137">
        <v>14.5</v>
      </c>
      <c r="J459" s="137">
        <v>82</v>
      </c>
      <c r="K459" s="137" t="s">
        <v>85</v>
      </c>
      <c r="L459" s="137" t="s">
        <v>362</v>
      </c>
      <c r="M459" s="139">
        <v>0</v>
      </c>
      <c r="N459" s="139">
        <v>1.82477461548871E+19</v>
      </c>
    </row>
    <row r="460" spans="3:14">
      <c r="C460" s="24" t="b">
        <v>0</v>
      </c>
      <c r="D460" s="137">
        <v>36</v>
      </c>
      <c r="E460" s="138">
        <v>4</v>
      </c>
      <c r="F460" s="137">
        <v>107</v>
      </c>
      <c r="G460" s="137">
        <v>75</v>
      </c>
      <c r="H460" s="137">
        <v>2205</v>
      </c>
      <c r="I460" s="137">
        <v>14.5</v>
      </c>
      <c r="J460" s="137">
        <v>82</v>
      </c>
      <c r="K460" s="137" t="s">
        <v>85</v>
      </c>
      <c r="L460" s="137" t="s">
        <v>327</v>
      </c>
      <c r="M460" s="139">
        <v>0</v>
      </c>
      <c r="N460" s="139">
        <v>1.54161646539265E+19</v>
      </c>
    </row>
    <row r="461" spans="3:14">
      <c r="C461" s="24" t="b">
        <v>0</v>
      </c>
      <c r="D461" s="137">
        <v>34</v>
      </c>
      <c r="E461" s="138">
        <v>4</v>
      </c>
      <c r="F461" s="137">
        <v>108</v>
      </c>
      <c r="G461" s="137">
        <v>70</v>
      </c>
      <c r="H461" s="137">
        <v>2245</v>
      </c>
      <c r="I461" s="137">
        <v>16.899999999999999</v>
      </c>
      <c r="J461" s="137">
        <v>82</v>
      </c>
      <c r="K461" s="137" t="s">
        <v>85</v>
      </c>
      <c r="L461" s="137" t="s">
        <v>203</v>
      </c>
      <c r="M461" s="139">
        <v>0</v>
      </c>
      <c r="N461" s="139">
        <v>1.28425594355509E+19</v>
      </c>
    </row>
    <row r="462" spans="3:14">
      <c r="C462" s="24" t="b">
        <v>0</v>
      </c>
      <c r="D462" s="137">
        <v>38</v>
      </c>
      <c r="E462" s="138">
        <v>4</v>
      </c>
      <c r="F462" s="137">
        <v>91</v>
      </c>
      <c r="G462" s="137">
        <v>67</v>
      </c>
      <c r="H462" s="137">
        <v>1965</v>
      </c>
      <c r="I462" s="137">
        <v>15</v>
      </c>
      <c r="J462" s="137">
        <v>82</v>
      </c>
      <c r="K462" s="137" t="s">
        <v>85</v>
      </c>
      <c r="L462" s="137" t="s">
        <v>190</v>
      </c>
      <c r="M462" s="139">
        <v>0</v>
      </c>
      <c r="N462" s="139">
        <v>3.4179910471866301E+18</v>
      </c>
    </row>
    <row r="463" spans="3:14">
      <c r="C463" s="24" t="b">
        <v>0</v>
      </c>
      <c r="D463" s="137">
        <v>32</v>
      </c>
      <c r="E463" s="138">
        <v>4</v>
      </c>
      <c r="F463" s="137">
        <v>91</v>
      </c>
      <c r="G463" s="137">
        <v>67</v>
      </c>
      <c r="H463" s="137">
        <v>1965</v>
      </c>
      <c r="I463" s="137">
        <v>15.7</v>
      </c>
      <c r="J463" s="137">
        <v>82</v>
      </c>
      <c r="K463" s="137" t="s">
        <v>85</v>
      </c>
      <c r="L463" s="137" t="s">
        <v>363</v>
      </c>
      <c r="M463" s="139">
        <v>0</v>
      </c>
      <c r="N463" s="139">
        <v>6.9504532816640604E+18</v>
      </c>
    </row>
    <row r="464" spans="3:14">
      <c r="C464" s="24" t="b">
        <v>0</v>
      </c>
      <c r="D464" s="137">
        <v>38</v>
      </c>
      <c r="E464" s="138">
        <v>4</v>
      </c>
      <c r="F464" s="137">
        <v>91</v>
      </c>
      <c r="G464" s="137">
        <v>67</v>
      </c>
      <c r="H464" s="137">
        <v>1995</v>
      </c>
      <c r="I464" s="137">
        <v>16.2</v>
      </c>
      <c r="J464" s="137">
        <v>82</v>
      </c>
      <c r="K464" s="137" t="s">
        <v>85</v>
      </c>
      <c r="L464" s="137" t="s">
        <v>364</v>
      </c>
      <c r="M464" s="139">
        <v>0</v>
      </c>
      <c r="N464" s="139">
        <v>1.5758193962296601E+19</v>
      </c>
    </row>
    <row r="465" spans="3:14">
      <c r="C465" s="24" t="b">
        <v>0</v>
      </c>
      <c r="D465" s="137">
        <v>25</v>
      </c>
      <c r="E465" s="138">
        <v>6</v>
      </c>
      <c r="F465" s="137">
        <v>181</v>
      </c>
      <c r="G465" s="137">
        <v>110</v>
      </c>
      <c r="H465" s="137">
        <v>2945</v>
      </c>
      <c r="I465" s="137">
        <v>16.399999999999999</v>
      </c>
      <c r="J465" s="137">
        <v>82</v>
      </c>
      <c r="K465" s="137" t="s">
        <v>69</v>
      </c>
      <c r="L465" s="137" t="s">
        <v>365</v>
      </c>
      <c r="M465" s="139">
        <v>0</v>
      </c>
      <c r="N465" s="139">
        <v>1.6968200371476799E+19</v>
      </c>
    </row>
    <row r="466" spans="3:14">
      <c r="C466" s="24" t="b">
        <v>0</v>
      </c>
      <c r="D466" s="137">
        <v>38</v>
      </c>
      <c r="E466" s="138">
        <v>6</v>
      </c>
      <c r="F466" s="137">
        <v>262</v>
      </c>
      <c r="G466" s="137">
        <v>85</v>
      </c>
      <c r="H466" s="137">
        <v>3015</v>
      </c>
      <c r="I466" s="137">
        <v>17</v>
      </c>
      <c r="J466" s="137">
        <v>82</v>
      </c>
      <c r="K466" s="137" t="s">
        <v>69</v>
      </c>
      <c r="L466" s="137" t="s">
        <v>366</v>
      </c>
      <c r="M466" s="139">
        <v>0</v>
      </c>
      <c r="N466" s="139">
        <v>2.3045451132901701E+18</v>
      </c>
    </row>
    <row r="467" spans="3:14">
      <c r="C467" s="24" t="b">
        <v>0</v>
      </c>
      <c r="D467" s="137">
        <v>26</v>
      </c>
      <c r="E467" s="138">
        <v>4</v>
      </c>
      <c r="F467" s="137">
        <v>156</v>
      </c>
      <c r="G467" s="137">
        <v>92</v>
      </c>
      <c r="H467" s="137">
        <v>2585</v>
      </c>
      <c r="I467" s="137">
        <v>14.5</v>
      </c>
      <c r="J467" s="137">
        <v>82</v>
      </c>
      <c r="K467" s="137" t="s">
        <v>69</v>
      </c>
      <c r="L467" s="137" t="s">
        <v>367</v>
      </c>
      <c r="M467" s="139">
        <v>0</v>
      </c>
      <c r="N467" s="139">
        <v>7.4587011908518001E+18</v>
      </c>
    </row>
    <row r="468" spans="3:14">
      <c r="C468" s="24" t="b">
        <v>0</v>
      </c>
      <c r="D468" s="137">
        <v>22</v>
      </c>
      <c r="E468" s="138">
        <v>6</v>
      </c>
      <c r="F468" s="137">
        <v>232</v>
      </c>
      <c r="G468" s="137">
        <v>112</v>
      </c>
      <c r="H468" s="137">
        <v>2835</v>
      </c>
      <c r="I468" s="137">
        <v>14.7</v>
      </c>
      <c r="J468" s="137">
        <v>82</v>
      </c>
      <c r="K468" s="137" t="s">
        <v>69</v>
      </c>
      <c r="L468" s="137" t="s">
        <v>368</v>
      </c>
      <c r="M468" s="139">
        <v>0</v>
      </c>
      <c r="N468" s="139">
        <v>1.4890838456336099E+19</v>
      </c>
    </row>
    <row r="469" spans="3:14">
      <c r="C469" s="24" t="b">
        <v>0</v>
      </c>
      <c r="D469" s="137">
        <v>32</v>
      </c>
      <c r="E469" s="138">
        <v>4</v>
      </c>
      <c r="F469" s="137">
        <v>144</v>
      </c>
      <c r="G469" s="137">
        <v>96</v>
      </c>
      <c r="H469" s="137">
        <v>2665</v>
      </c>
      <c r="I469" s="137">
        <v>13.9</v>
      </c>
      <c r="J469" s="137">
        <v>82</v>
      </c>
      <c r="K469" s="137" t="s">
        <v>85</v>
      </c>
      <c r="L469" s="137" t="s">
        <v>369</v>
      </c>
      <c r="M469" s="139">
        <v>0</v>
      </c>
      <c r="N469" s="139">
        <v>1.4968121354348301E+18</v>
      </c>
    </row>
    <row r="470" spans="3:14">
      <c r="C470" s="24" t="b">
        <v>0</v>
      </c>
      <c r="D470" s="137">
        <v>36</v>
      </c>
      <c r="E470" s="138">
        <v>4</v>
      </c>
      <c r="F470" s="137">
        <v>135</v>
      </c>
      <c r="G470" s="137">
        <v>84</v>
      </c>
      <c r="H470" s="137">
        <v>2370</v>
      </c>
      <c r="I470" s="137">
        <v>13</v>
      </c>
      <c r="J470" s="137">
        <v>82</v>
      </c>
      <c r="K470" s="137" t="s">
        <v>69</v>
      </c>
      <c r="L470" s="137" t="s">
        <v>370</v>
      </c>
      <c r="M470" s="139">
        <v>0</v>
      </c>
      <c r="N470" s="139">
        <v>1.4094218914840101E+19</v>
      </c>
    </row>
    <row r="471" spans="3:14">
      <c r="C471" s="24" t="b">
        <v>0</v>
      </c>
      <c r="D471" s="137">
        <v>27</v>
      </c>
      <c r="E471" s="138">
        <v>4</v>
      </c>
      <c r="F471" s="137">
        <v>151</v>
      </c>
      <c r="G471" s="137">
        <v>90</v>
      </c>
      <c r="H471" s="137">
        <v>2950</v>
      </c>
      <c r="I471" s="137">
        <v>17.3</v>
      </c>
      <c r="J471" s="137">
        <v>82</v>
      </c>
      <c r="K471" s="137" t="s">
        <v>69</v>
      </c>
      <c r="L471" s="137" t="s">
        <v>371</v>
      </c>
      <c r="M471" s="139">
        <v>0</v>
      </c>
      <c r="N471" s="139">
        <v>6.3369566955222702E+18</v>
      </c>
    </row>
    <row r="472" spans="3:14">
      <c r="C472" s="24" t="b">
        <v>0</v>
      </c>
      <c r="D472" s="137">
        <v>27</v>
      </c>
      <c r="E472" s="138">
        <v>4</v>
      </c>
      <c r="F472" s="137">
        <v>140</v>
      </c>
      <c r="G472" s="137">
        <v>86</v>
      </c>
      <c r="H472" s="137">
        <v>2790</v>
      </c>
      <c r="I472" s="137">
        <v>15.6</v>
      </c>
      <c r="J472" s="137">
        <v>82</v>
      </c>
      <c r="K472" s="137" t="s">
        <v>69</v>
      </c>
      <c r="L472" s="137" t="s">
        <v>372</v>
      </c>
      <c r="M472" s="139">
        <v>0</v>
      </c>
      <c r="N472" s="139">
        <v>3.3743880024474301E+18</v>
      </c>
    </row>
    <row r="473" spans="3:14">
      <c r="C473" s="24" t="b">
        <v>0</v>
      </c>
      <c r="D473" s="137">
        <v>44</v>
      </c>
      <c r="E473" s="138">
        <v>4</v>
      </c>
      <c r="F473" s="137">
        <v>97</v>
      </c>
      <c r="G473" s="137">
        <v>52</v>
      </c>
      <c r="H473" s="137">
        <v>2130</v>
      </c>
      <c r="I473" s="137">
        <v>24.6</v>
      </c>
      <c r="J473" s="137">
        <v>82</v>
      </c>
      <c r="K473" s="137" t="s">
        <v>91</v>
      </c>
      <c r="L473" s="137" t="s">
        <v>373</v>
      </c>
      <c r="M473" s="139">
        <v>0</v>
      </c>
      <c r="N473" s="139">
        <v>1.7058276946353701E+19</v>
      </c>
    </row>
    <row r="474" spans="3:14">
      <c r="C474" s="24" t="b">
        <v>0</v>
      </c>
      <c r="D474" s="137">
        <v>32</v>
      </c>
      <c r="E474" s="138">
        <v>4</v>
      </c>
      <c r="F474" s="137">
        <v>135</v>
      </c>
      <c r="G474" s="137">
        <v>84</v>
      </c>
      <c r="H474" s="137">
        <v>2295</v>
      </c>
      <c r="I474" s="137">
        <v>11.6</v>
      </c>
      <c r="J474" s="137">
        <v>82</v>
      </c>
      <c r="K474" s="137" t="s">
        <v>69</v>
      </c>
      <c r="L474" s="137" t="s">
        <v>374</v>
      </c>
      <c r="M474" s="139">
        <v>0</v>
      </c>
      <c r="N474" s="139">
        <v>1.4529105427803E+18</v>
      </c>
    </row>
    <row r="475" spans="3:14">
      <c r="C475" s="24" t="b">
        <v>0</v>
      </c>
      <c r="D475" s="137">
        <v>28</v>
      </c>
      <c r="E475" s="138">
        <v>4</v>
      </c>
      <c r="F475" s="137">
        <v>120</v>
      </c>
      <c r="G475" s="137">
        <v>79</v>
      </c>
      <c r="H475" s="137">
        <v>2625</v>
      </c>
      <c r="I475" s="137">
        <v>18.600000000000001</v>
      </c>
      <c r="J475" s="137">
        <v>82</v>
      </c>
      <c r="K475" s="137" t="s">
        <v>69</v>
      </c>
      <c r="L475" s="137" t="s">
        <v>375</v>
      </c>
      <c r="M475" s="139">
        <v>0</v>
      </c>
      <c r="N475" s="139">
        <v>1.3981937972519899E+19</v>
      </c>
    </row>
    <row r="476" spans="3:14">
      <c r="C476" s="24" t="b">
        <v>0</v>
      </c>
      <c r="D476" s="137">
        <v>31</v>
      </c>
      <c r="E476" s="138">
        <v>4</v>
      </c>
      <c r="F476" s="137">
        <v>119</v>
      </c>
      <c r="G476" s="137">
        <v>82</v>
      </c>
      <c r="H476" s="137">
        <v>2720</v>
      </c>
      <c r="I476" s="137">
        <v>19.399999999999999</v>
      </c>
      <c r="J476" s="137">
        <v>82</v>
      </c>
      <c r="K476" s="137" t="s">
        <v>69</v>
      </c>
      <c r="L476" s="137" t="s">
        <v>376</v>
      </c>
      <c r="M476" s="139">
        <v>0</v>
      </c>
      <c r="N476" s="139">
        <v>1.0372100450335601E+19</v>
      </c>
    </row>
  </sheetData>
  <mergeCells count="1">
    <mergeCell ref="D15:E15"/>
  </mergeCells>
  <phoneticPr fontId="15" type="noConversion"/>
  <conditionalFormatting sqref="D22:F29 D35:F39 D45:F53">
    <cfRule type="cellIs" dxfId="363" priority="58" operator="equal">
      <formula>0</formula>
    </cfRule>
  </conditionalFormatting>
  <conditionalFormatting sqref="C79:C476">
    <cfRule type="cellIs" dxfId="362" priority="54" operator="equal">
      <formula>FALSE</formula>
    </cfRule>
    <cfRule type="cellIs" dxfId="361" priority="55" operator="notEqual">
      <formula>FALSE</formula>
    </cfRule>
  </conditionalFormatting>
  <conditionalFormatting sqref="D9:L9">
    <cfRule type="cellIs" dxfId="36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59" priority="29"/>
  </conditionalFormatting>
  <conditionalFormatting sqref="D7:L7">
    <cfRule type="cellIs" dxfId="358" priority="22" operator="notEqual">
      <formula>"Definition"</formula>
    </cfRule>
  </conditionalFormatting>
  <conditionalFormatting sqref="D15">
    <cfRule type="cellIs" dxfId="35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56" priority="52" operator="equal">
      <formula>FALSE</formula>
    </cfRule>
    <cfRule type="cellIs" dxfId="355" priority="53" operator="notEqual">
      <formula>FALSE</formula>
    </cfRule>
  </conditionalFormatting>
  <conditionalFormatting sqref="G22:L29 G35:L39 G45:L53">
    <cfRule type="cellIs" dxfId="341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340" priority="3" operator="equal">
      <formula>FALSE</formula>
    </cfRule>
    <cfRule type="cellIs" dxfId="339" priority="4" operator="notEqual">
      <formula>FALSE</formula>
    </cfRule>
  </conditionalFormatting>
  <conditionalFormatting sqref="M78:N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88671875" bestFit="1" customWidth="1"/>
    <col min="5" max="5" width="12.21875" bestFit="1" customWidth="1"/>
    <col min="6" max="6" width="13.77734375" bestFit="1" customWidth="1"/>
    <col min="7" max="7" width="11.109375" bestFit="1" customWidth="1"/>
    <col min="8" max="8" width="13.44140625" bestFit="1" customWidth="1"/>
    <col min="9" max="9" width="13.77734375" bestFit="1" customWidth="1"/>
    <col min="10" max="11" width="10.21875" bestFit="1" customWidth="1"/>
    <col min="12" max="13" width="15.77734375" customWidth="1"/>
    <col min="14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mpg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55</v>
      </c>
      <c r="D8" s="141" t="s">
        <v>56</v>
      </c>
      <c r="E8" s="141" t="s">
        <v>57</v>
      </c>
      <c r="F8" s="141" t="s">
        <v>58</v>
      </c>
      <c r="G8" s="141" t="s">
        <v>59</v>
      </c>
      <c r="H8" s="141" t="s">
        <v>60</v>
      </c>
      <c r="I8" s="141" t="s">
        <v>61</v>
      </c>
      <c r="J8" s="141" t="s">
        <v>62</v>
      </c>
      <c r="K8" s="141" t="s">
        <v>63</v>
      </c>
      <c r="L8" s="98" t="s">
        <v>52</v>
      </c>
      <c r="M8" s="98" t="s">
        <v>53</v>
      </c>
    </row>
    <row r="9" spans="2:17" ht="15" customHeight="1">
      <c r="C9" s="140">
        <v>9</v>
      </c>
      <c r="D9" s="91"/>
      <c r="E9" s="91"/>
      <c r="F9" s="91"/>
      <c r="G9" s="91"/>
      <c r="H9" s="91"/>
      <c r="I9" s="91"/>
      <c r="J9" s="91"/>
      <c r="K9" s="91"/>
      <c r="L9" s="99">
        <v>0</v>
      </c>
      <c r="M9" s="143">
        <v>0</v>
      </c>
    </row>
    <row r="10" spans="2:17" ht="15" customHeight="1">
      <c r="C10" s="140">
        <v>10</v>
      </c>
      <c r="D10" s="91"/>
      <c r="E10" s="91"/>
      <c r="F10" s="91"/>
      <c r="G10" s="91"/>
      <c r="H10" s="91"/>
      <c r="I10" s="91"/>
      <c r="J10" s="91"/>
      <c r="K10" s="91"/>
      <c r="L10" s="99">
        <v>0</v>
      </c>
      <c r="M10" s="143">
        <v>0</v>
      </c>
    </row>
    <row r="11" spans="2:17" ht="15" customHeight="1">
      <c r="C11" s="140">
        <v>11</v>
      </c>
      <c r="D11" s="91"/>
      <c r="E11" s="91"/>
      <c r="F11" s="91"/>
      <c r="G11" s="91"/>
      <c r="H11" s="91"/>
      <c r="I11" s="91"/>
      <c r="J11" s="91"/>
      <c r="K11" s="91"/>
      <c r="L11" s="99">
        <v>0</v>
      </c>
      <c r="M11" s="143">
        <v>0</v>
      </c>
    </row>
    <row r="12" spans="2:17" ht="15" customHeight="1">
      <c r="C12" s="140">
        <v>12</v>
      </c>
      <c r="D12" s="91"/>
      <c r="E12" s="91"/>
      <c r="F12" s="91"/>
      <c r="G12" s="91"/>
      <c r="H12" s="91"/>
      <c r="I12" s="91"/>
      <c r="J12" s="91"/>
      <c r="K12" s="91"/>
      <c r="L12" s="99">
        <v>0</v>
      </c>
      <c r="M12" s="143">
        <v>0</v>
      </c>
    </row>
    <row r="13" spans="2:17" ht="15" customHeight="1">
      <c r="C13" s="140">
        <v>13</v>
      </c>
      <c r="D13" s="91"/>
      <c r="E13" s="91"/>
      <c r="F13" s="91"/>
      <c r="G13" s="91"/>
      <c r="H13" s="91"/>
      <c r="I13" s="91"/>
      <c r="J13" s="91"/>
      <c r="K13" s="91"/>
      <c r="L13" s="99">
        <v>0</v>
      </c>
      <c r="M13" s="143">
        <v>0</v>
      </c>
    </row>
    <row r="14" spans="2:17">
      <c r="C14" s="140">
        <v>14</v>
      </c>
      <c r="D14" s="91"/>
      <c r="E14" s="91"/>
      <c r="F14" s="91"/>
      <c r="G14" s="91"/>
      <c r="H14" s="91"/>
      <c r="I14" s="91"/>
      <c r="J14" s="91"/>
      <c r="K14" s="91"/>
      <c r="L14" s="99">
        <v>0</v>
      </c>
      <c r="M14" s="143">
        <v>0</v>
      </c>
    </row>
    <row r="15" spans="2:17">
      <c r="C15" s="140">
        <v>14.5</v>
      </c>
      <c r="D15" s="91"/>
      <c r="E15" s="91"/>
      <c r="F15" s="91"/>
      <c r="G15" s="91"/>
      <c r="H15" s="91"/>
      <c r="I15" s="91"/>
      <c r="J15" s="91"/>
      <c r="K15" s="91"/>
      <c r="L15" s="99">
        <v>0</v>
      </c>
      <c r="M15" s="143">
        <v>0</v>
      </c>
    </row>
    <row r="16" spans="2:17">
      <c r="C16" s="140">
        <v>15</v>
      </c>
      <c r="D16" s="91"/>
      <c r="E16" s="91"/>
      <c r="F16" s="91"/>
      <c r="G16" s="91"/>
      <c r="H16" s="91"/>
      <c r="I16" s="91"/>
      <c r="J16" s="91"/>
      <c r="K16" s="91"/>
      <c r="L16" s="99">
        <v>0</v>
      </c>
      <c r="M16" s="143">
        <v>0</v>
      </c>
    </row>
    <row r="17" spans="3:13">
      <c r="C17" s="140">
        <v>15.5</v>
      </c>
      <c r="D17" s="91"/>
      <c r="E17" s="91"/>
      <c r="F17" s="91"/>
      <c r="G17" s="91"/>
      <c r="H17" s="91"/>
      <c r="I17" s="91"/>
      <c r="J17" s="91"/>
      <c r="K17" s="91"/>
      <c r="L17" s="99">
        <v>0</v>
      </c>
      <c r="M17" s="143">
        <v>0</v>
      </c>
    </row>
    <row r="18" spans="3:13">
      <c r="C18" s="140">
        <v>16</v>
      </c>
      <c r="D18" s="91"/>
      <c r="E18" s="91"/>
      <c r="F18" s="91"/>
      <c r="G18" s="91"/>
      <c r="H18" s="91"/>
      <c r="I18" s="91"/>
      <c r="J18" s="91"/>
      <c r="K18" s="91"/>
      <c r="L18" s="99">
        <v>0</v>
      </c>
      <c r="M18" s="143">
        <v>0</v>
      </c>
    </row>
    <row r="19" spans="3:13">
      <c r="C19" s="140">
        <v>16.2</v>
      </c>
      <c r="D19" s="91"/>
      <c r="E19" s="91"/>
      <c r="F19" s="91"/>
      <c r="G19" s="91"/>
      <c r="H19" s="91"/>
      <c r="I19" s="91"/>
      <c r="J19" s="91"/>
      <c r="K19" s="91"/>
      <c r="L19" s="99">
        <v>0</v>
      </c>
      <c r="M19" s="143">
        <v>0</v>
      </c>
    </row>
    <row r="20" spans="3:13">
      <c r="C20" s="140">
        <v>16.5</v>
      </c>
      <c r="D20" s="91"/>
      <c r="E20" s="91"/>
      <c r="F20" s="91"/>
      <c r="G20" s="91"/>
      <c r="H20" s="91"/>
      <c r="I20" s="91"/>
      <c r="J20" s="91"/>
      <c r="K20" s="91"/>
      <c r="L20" s="99">
        <v>0</v>
      </c>
      <c r="M20" s="143">
        <v>0</v>
      </c>
    </row>
    <row r="21" spans="3:13">
      <c r="C21" s="140">
        <v>16.899999999999999</v>
      </c>
      <c r="D21" s="91"/>
      <c r="E21" s="91"/>
      <c r="F21" s="91"/>
      <c r="G21" s="91"/>
      <c r="H21" s="91"/>
      <c r="I21" s="91"/>
      <c r="J21" s="91"/>
      <c r="K21" s="91"/>
      <c r="L21" s="99">
        <v>0</v>
      </c>
      <c r="M21" s="143">
        <v>0</v>
      </c>
    </row>
    <row r="22" spans="3:13">
      <c r="C22" s="140">
        <v>17</v>
      </c>
      <c r="D22" s="91"/>
      <c r="E22" s="91"/>
      <c r="F22" s="91"/>
      <c r="G22" s="91"/>
      <c r="H22" s="91"/>
      <c r="I22" s="91"/>
      <c r="J22" s="91"/>
      <c r="K22" s="91"/>
      <c r="L22" s="99">
        <v>0</v>
      </c>
      <c r="M22" s="143">
        <v>0</v>
      </c>
    </row>
    <row r="23" spans="3:13">
      <c r="C23" s="140">
        <v>17.5</v>
      </c>
      <c r="D23" s="91"/>
      <c r="E23" s="91"/>
      <c r="F23" s="91"/>
      <c r="G23" s="91"/>
      <c r="H23" s="91"/>
      <c r="I23" s="91"/>
      <c r="J23" s="91"/>
      <c r="K23" s="91"/>
      <c r="L23" s="99">
        <v>0</v>
      </c>
      <c r="M23" s="143">
        <v>0</v>
      </c>
    </row>
    <row r="24" spans="3:13">
      <c r="C24" s="140">
        <v>17.600000000000001</v>
      </c>
      <c r="D24" s="91"/>
      <c r="E24" s="91"/>
      <c r="F24" s="91"/>
      <c r="G24" s="91"/>
      <c r="H24" s="91"/>
      <c r="I24" s="91"/>
      <c r="J24" s="91"/>
      <c r="K24" s="91"/>
      <c r="L24" s="99">
        <v>0</v>
      </c>
      <c r="M24" s="143">
        <v>0</v>
      </c>
    </row>
    <row r="25" spans="3:13">
      <c r="C25" s="140">
        <v>17.7</v>
      </c>
      <c r="D25" s="91"/>
      <c r="E25" s="91"/>
      <c r="F25" s="91"/>
      <c r="G25" s="91"/>
      <c r="H25" s="91"/>
      <c r="I25" s="91"/>
      <c r="J25" s="91"/>
      <c r="K25" s="91"/>
      <c r="L25" s="99">
        <v>0</v>
      </c>
      <c r="M25" s="143">
        <v>0</v>
      </c>
    </row>
    <row r="26" spans="3:13">
      <c r="C26" s="140">
        <v>18</v>
      </c>
      <c r="D26" s="91"/>
      <c r="E26" s="91"/>
      <c r="F26" s="91"/>
      <c r="G26" s="91"/>
      <c r="H26" s="91"/>
      <c r="I26" s="91"/>
      <c r="J26" s="91"/>
      <c r="K26" s="91"/>
      <c r="L26" s="99">
        <v>0</v>
      </c>
      <c r="M26" s="143">
        <v>0</v>
      </c>
    </row>
    <row r="27" spans="3:13">
      <c r="C27" s="140">
        <v>18.100000000000001</v>
      </c>
      <c r="D27" s="91"/>
      <c r="E27" s="91"/>
      <c r="F27" s="91"/>
      <c r="G27" s="91"/>
      <c r="H27" s="91"/>
      <c r="I27" s="91"/>
      <c r="J27" s="91"/>
      <c r="K27" s="91"/>
      <c r="L27" s="99">
        <v>0</v>
      </c>
      <c r="M27" s="143">
        <v>0</v>
      </c>
    </row>
    <row r="28" spans="3:13">
      <c r="C28" s="140">
        <v>18.2</v>
      </c>
      <c r="D28" s="91"/>
      <c r="E28" s="91"/>
      <c r="F28" s="91"/>
      <c r="G28" s="91"/>
      <c r="H28" s="91"/>
      <c r="I28" s="91"/>
      <c r="J28" s="91"/>
      <c r="K28" s="91"/>
      <c r="L28" s="99">
        <v>0</v>
      </c>
      <c r="M28" s="143">
        <v>0</v>
      </c>
    </row>
    <row r="29" spans="3:13">
      <c r="C29" s="140">
        <v>18.5</v>
      </c>
      <c r="D29" s="91"/>
      <c r="E29" s="91"/>
      <c r="F29" s="91"/>
      <c r="G29" s="91"/>
      <c r="H29" s="91"/>
      <c r="I29" s="91"/>
      <c r="J29" s="91"/>
      <c r="K29" s="91"/>
      <c r="L29" s="99">
        <v>0</v>
      </c>
      <c r="M29" s="143">
        <v>0</v>
      </c>
    </row>
    <row r="30" spans="3:13">
      <c r="C30" s="140">
        <v>18.600000000000001</v>
      </c>
      <c r="D30" s="91"/>
      <c r="E30" s="91"/>
      <c r="F30" s="91"/>
      <c r="G30" s="91"/>
      <c r="H30" s="91"/>
      <c r="I30" s="91"/>
      <c r="J30" s="91"/>
      <c r="K30" s="91"/>
      <c r="L30" s="99">
        <v>0</v>
      </c>
      <c r="M30" s="143">
        <v>0</v>
      </c>
    </row>
    <row r="31" spans="3:13">
      <c r="C31" s="140">
        <v>19</v>
      </c>
      <c r="D31" s="91"/>
      <c r="E31" s="91"/>
      <c r="F31" s="91"/>
      <c r="G31" s="91"/>
      <c r="H31" s="91"/>
      <c r="I31" s="91"/>
      <c r="J31" s="91"/>
      <c r="K31" s="91"/>
      <c r="L31" s="99">
        <v>0</v>
      </c>
      <c r="M31" s="143">
        <v>0</v>
      </c>
    </row>
    <row r="32" spans="3:13">
      <c r="C32" s="140">
        <v>19.100000000000001</v>
      </c>
      <c r="D32" s="91"/>
      <c r="E32" s="91"/>
      <c r="F32" s="91"/>
      <c r="G32" s="91"/>
      <c r="H32" s="91"/>
      <c r="I32" s="91"/>
      <c r="J32" s="91"/>
      <c r="K32" s="91"/>
      <c r="L32" s="99">
        <v>0</v>
      </c>
      <c r="M32" s="143">
        <v>0</v>
      </c>
    </row>
    <row r="33" spans="3:13">
      <c r="C33" s="140">
        <v>19.2</v>
      </c>
      <c r="D33" s="91"/>
      <c r="E33" s="91"/>
      <c r="F33" s="91"/>
      <c r="G33" s="91"/>
      <c r="H33" s="91"/>
      <c r="I33" s="91"/>
      <c r="J33" s="91"/>
      <c r="K33" s="91"/>
      <c r="L33" s="99">
        <v>0</v>
      </c>
      <c r="M33" s="143">
        <v>0</v>
      </c>
    </row>
    <row r="34" spans="3:13">
      <c r="C34" s="140">
        <v>19.399999999999999</v>
      </c>
      <c r="D34" s="91"/>
      <c r="E34" s="91"/>
      <c r="F34" s="91"/>
      <c r="G34" s="91"/>
      <c r="H34" s="91"/>
      <c r="I34" s="91"/>
      <c r="J34" s="91"/>
      <c r="K34" s="91"/>
      <c r="L34" s="99">
        <v>0</v>
      </c>
      <c r="M34" s="143">
        <v>0</v>
      </c>
    </row>
    <row r="35" spans="3:13">
      <c r="C35" s="140">
        <v>19.8</v>
      </c>
      <c r="D35" s="91"/>
      <c r="E35" s="91"/>
      <c r="F35" s="91"/>
      <c r="G35" s="91"/>
      <c r="H35" s="91"/>
      <c r="I35" s="91"/>
      <c r="J35" s="91"/>
      <c r="K35" s="91"/>
      <c r="L35" s="99">
        <v>0</v>
      </c>
      <c r="M35" s="143">
        <v>0</v>
      </c>
    </row>
    <row r="36" spans="3:13">
      <c r="C36" s="140">
        <v>19.899999999999999</v>
      </c>
      <c r="D36" s="91"/>
      <c r="E36" s="91"/>
      <c r="F36" s="91"/>
      <c r="G36" s="91"/>
      <c r="H36" s="91"/>
      <c r="I36" s="91"/>
      <c r="J36" s="91"/>
      <c r="K36" s="91"/>
      <c r="L36" s="99">
        <v>0</v>
      </c>
      <c r="M36" s="143">
        <v>0</v>
      </c>
    </row>
    <row r="37" spans="3:13">
      <c r="C37" s="140">
        <v>20</v>
      </c>
      <c r="D37" s="91"/>
      <c r="E37" s="91"/>
      <c r="F37" s="91"/>
      <c r="G37" s="91"/>
      <c r="H37" s="91"/>
      <c r="I37" s="91"/>
      <c r="J37" s="91"/>
      <c r="K37" s="91"/>
      <c r="L37" s="99">
        <v>0</v>
      </c>
      <c r="M37" s="143">
        <v>0</v>
      </c>
    </row>
    <row r="38" spans="3:13">
      <c r="C38" s="140">
        <v>20.2</v>
      </c>
      <c r="D38" s="91"/>
      <c r="E38" s="91"/>
      <c r="F38" s="91"/>
      <c r="G38" s="91"/>
      <c r="H38" s="91"/>
      <c r="I38" s="91"/>
      <c r="J38" s="91"/>
      <c r="K38" s="91"/>
      <c r="L38" s="99">
        <v>0</v>
      </c>
      <c r="M38" s="143">
        <v>0</v>
      </c>
    </row>
    <row r="39" spans="3:13">
      <c r="C39" s="140">
        <v>20.3</v>
      </c>
      <c r="D39" s="91"/>
      <c r="E39" s="91"/>
      <c r="F39" s="91"/>
      <c r="G39" s="91"/>
      <c r="H39" s="91"/>
      <c r="I39" s="91"/>
      <c r="J39" s="91"/>
      <c r="K39" s="91"/>
      <c r="L39" s="99">
        <v>0</v>
      </c>
      <c r="M39" s="143">
        <v>0</v>
      </c>
    </row>
    <row r="40" spans="3:13">
      <c r="C40" s="140">
        <v>20.5</v>
      </c>
      <c r="D40" s="91"/>
      <c r="E40" s="91"/>
      <c r="F40" s="91"/>
      <c r="G40" s="91"/>
      <c r="H40" s="91"/>
      <c r="I40" s="91"/>
      <c r="J40" s="91"/>
      <c r="K40" s="91"/>
      <c r="L40" s="99">
        <v>0</v>
      </c>
      <c r="M40" s="143">
        <v>0</v>
      </c>
    </row>
    <row r="41" spans="3:13">
      <c r="C41" s="140">
        <v>20.6</v>
      </c>
      <c r="D41" s="91"/>
      <c r="E41" s="91"/>
      <c r="F41" s="91"/>
      <c r="G41" s="91"/>
      <c r="H41" s="91"/>
      <c r="I41" s="91"/>
      <c r="J41" s="91"/>
      <c r="K41" s="91"/>
      <c r="L41" s="99">
        <v>0</v>
      </c>
      <c r="M41" s="143">
        <v>0</v>
      </c>
    </row>
    <row r="42" spans="3:13">
      <c r="C42" s="140">
        <v>20.8</v>
      </c>
      <c r="D42" s="91"/>
      <c r="E42" s="91"/>
      <c r="F42" s="91"/>
      <c r="G42" s="91"/>
      <c r="H42" s="91"/>
      <c r="I42" s="91"/>
      <c r="J42" s="91"/>
      <c r="K42" s="91"/>
      <c r="L42" s="99">
        <v>0</v>
      </c>
      <c r="M42" s="143">
        <v>0</v>
      </c>
    </row>
    <row r="43" spans="3:13">
      <c r="C43" s="140">
        <v>21</v>
      </c>
      <c r="D43" s="91"/>
      <c r="E43" s="91"/>
      <c r="F43" s="91"/>
      <c r="G43" s="91"/>
      <c r="H43" s="91"/>
      <c r="I43" s="91"/>
      <c r="J43" s="91"/>
      <c r="K43" s="91"/>
      <c r="L43" s="99">
        <v>0.125</v>
      </c>
      <c r="M43" s="143">
        <v>0.16666666666666666</v>
      </c>
    </row>
    <row r="44" spans="3:13">
      <c r="C44" s="140">
        <v>21.1</v>
      </c>
      <c r="D44" s="91"/>
      <c r="E44" s="91"/>
      <c r="F44" s="91"/>
      <c r="G44" s="91"/>
      <c r="H44" s="91"/>
      <c r="I44" s="91"/>
      <c r="J44" s="91"/>
      <c r="K44" s="91"/>
      <c r="L44" s="99">
        <v>0</v>
      </c>
      <c r="M44" s="143">
        <v>0</v>
      </c>
    </row>
    <row r="45" spans="3:13">
      <c r="C45" s="140">
        <v>21.5</v>
      </c>
      <c r="D45" s="91"/>
      <c r="E45" s="91"/>
      <c r="F45" s="91"/>
      <c r="G45" s="91"/>
      <c r="H45" s="91"/>
      <c r="I45" s="91"/>
      <c r="J45" s="91"/>
      <c r="K45" s="91"/>
      <c r="L45" s="99">
        <v>0</v>
      </c>
      <c r="M45" s="143">
        <v>0</v>
      </c>
    </row>
    <row r="46" spans="3:13">
      <c r="C46" s="140">
        <v>21.6</v>
      </c>
      <c r="D46" s="91"/>
      <c r="E46" s="91"/>
      <c r="F46" s="91"/>
      <c r="G46" s="91"/>
      <c r="H46" s="91"/>
      <c r="I46" s="91"/>
      <c r="J46" s="91"/>
      <c r="K46" s="91"/>
      <c r="L46" s="99">
        <v>0</v>
      </c>
      <c r="M46" s="143">
        <v>0</v>
      </c>
    </row>
    <row r="47" spans="3:13">
      <c r="C47" s="140">
        <v>22</v>
      </c>
      <c r="D47" s="91"/>
      <c r="E47" s="91"/>
      <c r="F47" s="91"/>
      <c r="G47" s="91"/>
      <c r="H47" s="91"/>
      <c r="I47" s="91"/>
      <c r="J47" s="91"/>
      <c r="K47" s="91"/>
      <c r="L47" s="99">
        <v>0</v>
      </c>
      <c r="M47" s="143">
        <v>0</v>
      </c>
    </row>
    <row r="48" spans="3:13">
      <c r="C48" s="140">
        <v>22.3</v>
      </c>
      <c r="D48" s="91"/>
      <c r="E48" s="91"/>
      <c r="F48" s="91"/>
      <c r="G48" s="91"/>
      <c r="H48" s="91"/>
      <c r="I48" s="91"/>
      <c r="J48" s="91"/>
      <c r="K48" s="91"/>
      <c r="L48" s="99">
        <v>0</v>
      </c>
      <c r="M48" s="143">
        <v>0</v>
      </c>
    </row>
    <row r="49" spans="3:13">
      <c r="C49" s="140">
        <v>22.4</v>
      </c>
      <c r="D49" s="91"/>
      <c r="E49" s="91"/>
      <c r="F49" s="91"/>
      <c r="G49" s="91"/>
      <c r="H49" s="91"/>
      <c r="I49" s="91"/>
      <c r="J49" s="91"/>
      <c r="K49" s="91"/>
      <c r="L49" s="99">
        <v>0</v>
      </c>
      <c r="M49" s="143">
        <v>0</v>
      </c>
    </row>
    <row r="50" spans="3:13">
      <c r="C50" s="140">
        <v>22.5</v>
      </c>
      <c r="D50" s="91"/>
      <c r="E50" s="91"/>
      <c r="F50" s="91"/>
      <c r="G50" s="91"/>
      <c r="H50" s="91"/>
      <c r="I50" s="91"/>
      <c r="J50" s="91"/>
      <c r="K50" s="91"/>
      <c r="L50" s="99">
        <v>0</v>
      </c>
      <c r="M50" s="143">
        <v>0</v>
      </c>
    </row>
    <row r="51" spans="3:13">
      <c r="C51" s="140">
        <v>23</v>
      </c>
      <c r="D51" s="91"/>
      <c r="E51" s="91"/>
      <c r="F51" s="91"/>
      <c r="G51" s="91"/>
      <c r="H51" s="91"/>
      <c r="I51" s="91"/>
      <c r="J51" s="91"/>
      <c r="K51" s="91"/>
      <c r="L51" s="99">
        <v>0.1</v>
      </c>
      <c r="M51" s="143">
        <v>0.16666666666666666</v>
      </c>
    </row>
    <row r="52" spans="3:13">
      <c r="C52" s="140">
        <v>23.2</v>
      </c>
      <c r="D52" s="91"/>
      <c r="E52" s="91"/>
      <c r="F52" s="91"/>
      <c r="G52" s="91"/>
      <c r="H52" s="91"/>
      <c r="I52" s="91"/>
      <c r="J52" s="91"/>
      <c r="K52" s="91"/>
      <c r="L52" s="99">
        <v>0</v>
      </c>
      <c r="M52" s="143">
        <v>0</v>
      </c>
    </row>
    <row r="53" spans="3:13">
      <c r="C53" s="140">
        <v>23.5</v>
      </c>
      <c r="D53" s="91"/>
      <c r="E53" s="91"/>
      <c r="F53" s="91"/>
      <c r="G53" s="91"/>
      <c r="H53" s="91"/>
      <c r="I53" s="91"/>
      <c r="J53" s="91"/>
      <c r="K53" s="91"/>
      <c r="L53" s="99">
        <v>0</v>
      </c>
      <c r="M53" s="143">
        <v>0</v>
      </c>
    </row>
    <row r="54" spans="3:13">
      <c r="C54" s="140">
        <v>23.6</v>
      </c>
      <c r="D54" s="91"/>
      <c r="E54" s="91"/>
      <c r="F54" s="91"/>
      <c r="G54" s="91"/>
      <c r="H54" s="91"/>
      <c r="I54" s="91"/>
      <c r="J54" s="91"/>
      <c r="K54" s="91"/>
      <c r="L54" s="99">
        <v>1</v>
      </c>
      <c r="M54" s="143">
        <v>0.16666666666666666</v>
      </c>
    </row>
    <row r="55" spans="3:13">
      <c r="C55" s="140">
        <v>23.7</v>
      </c>
      <c r="D55" s="91"/>
      <c r="E55" s="91"/>
      <c r="F55" s="91"/>
      <c r="G55" s="91"/>
      <c r="H55" s="91"/>
      <c r="I55" s="91"/>
      <c r="J55" s="91"/>
      <c r="K55" s="91"/>
      <c r="L55" s="99">
        <v>0</v>
      </c>
      <c r="M55" s="143">
        <v>0</v>
      </c>
    </row>
    <row r="56" spans="3:13">
      <c r="C56" s="140">
        <v>23.8</v>
      </c>
      <c r="D56" s="91"/>
      <c r="E56" s="91"/>
      <c r="F56" s="91"/>
      <c r="G56" s="91"/>
      <c r="H56" s="91"/>
      <c r="I56" s="91"/>
      <c r="J56" s="91"/>
      <c r="K56" s="91"/>
      <c r="L56" s="99">
        <v>0</v>
      </c>
      <c r="M56" s="143">
        <v>0</v>
      </c>
    </row>
    <row r="57" spans="3:13">
      <c r="C57" s="140">
        <v>23.9</v>
      </c>
      <c r="D57" s="91"/>
      <c r="E57" s="91"/>
      <c r="F57" s="91"/>
      <c r="G57" s="91"/>
      <c r="H57" s="91"/>
      <c r="I57" s="91"/>
      <c r="J57" s="91"/>
      <c r="K57" s="91"/>
      <c r="L57" s="99">
        <v>0</v>
      </c>
      <c r="M57" s="143">
        <v>0</v>
      </c>
    </row>
    <row r="58" spans="3:13">
      <c r="C58" s="140">
        <v>24</v>
      </c>
      <c r="D58" s="91"/>
      <c r="E58" s="91"/>
      <c r="F58" s="91"/>
      <c r="G58" s="91"/>
      <c r="H58" s="91"/>
      <c r="I58" s="91"/>
      <c r="J58" s="91"/>
      <c r="K58" s="91"/>
      <c r="L58" s="99">
        <v>0</v>
      </c>
      <c r="M58" s="143">
        <v>0</v>
      </c>
    </row>
    <row r="59" spans="3:13">
      <c r="C59" s="140">
        <v>24.2</v>
      </c>
      <c r="D59" s="91"/>
      <c r="E59" s="91"/>
      <c r="F59" s="91"/>
      <c r="G59" s="91"/>
      <c r="H59" s="91"/>
      <c r="I59" s="91"/>
      <c r="J59" s="91"/>
      <c r="K59" s="91"/>
      <c r="L59" s="99">
        <v>0</v>
      </c>
      <c r="M59" s="143">
        <v>0</v>
      </c>
    </row>
    <row r="60" spans="3:13">
      <c r="C60" s="140">
        <v>24.3</v>
      </c>
      <c r="D60" s="91"/>
      <c r="E60" s="91"/>
      <c r="F60" s="91"/>
      <c r="G60" s="91"/>
      <c r="H60" s="91"/>
      <c r="I60" s="91"/>
      <c r="J60" s="91"/>
      <c r="K60" s="91"/>
      <c r="L60" s="99">
        <v>0</v>
      </c>
      <c r="M60" s="143">
        <v>0</v>
      </c>
    </row>
    <row r="61" spans="3:13">
      <c r="C61" s="140">
        <v>24.5</v>
      </c>
      <c r="D61" s="91"/>
      <c r="E61" s="91"/>
      <c r="F61" s="91"/>
      <c r="G61" s="91"/>
      <c r="H61" s="91"/>
      <c r="I61" s="91"/>
      <c r="J61" s="91"/>
      <c r="K61" s="91"/>
      <c r="L61" s="99">
        <v>0</v>
      </c>
      <c r="M61" s="143">
        <v>0</v>
      </c>
    </row>
    <row r="62" spans="3:13">
      <c r="C62" s="140">
        <v>25</v>
      </c>
      <c r="D62" s="91"/>
      <c r="E62" s="91"/>
      <c r="F62" s="91"/>
      <c r="G62" s="91"/>
      <c r="H62" s="91"/>
      <c r="I62" s="91"/>
      <c r="J62" s="91"/>
      <c r="K62" s="91"/>
      <c r="L62" s="99">
        <v>9.0909090909090912E-2</v>
      </c>
      <c r="M62" s="143">
        <v>0.16666666666666666</v>
      </c>
    </row>
    <row r="63" spans="3:13">
      <c r="C63" s="140">
        <v>25.1</v>
      </c>
      <c r="D63" s="91"/>
      <c r="E63" s="91"/>
      <c r="F63" s="91"/>
      <c r="G63" s="91"/>
      <c r="H63" s="91"/>
      <c r="I63" s="91"/>
      <c r="J63" s="91"/>
      <c r="K63" s="91"/>
      <c r="L63" s="99">
        <v>0</v>
      </c>
      <c r="M63" s="143">
        <v>0</v>
      </c>
    </row>
    <row r="64" spans="3:13">
      <c r="C64" s="140">
        <v>25.4</v>
      </c>
      <c r="D64" s="91"/>
      <c r="E64" s="91"/>
      <c r="F64" s="91"/>
      <c r="G64" s="91"/>
      <c r="H64" s="91"/>
      <c r="I64" s="91"/>
      <c r="J64" s="91"/>
      <c r="K64" s="91"/>
      <c r="L64" s="99">
        <v>0</v>
      </c>
      <c r="M64" s="143">
        <v>0</v>
      </c>
    </row>
    <row r="65" spans="3:13">
      <c r="C65" s="140">
        <v>25.5</v>
      </c>
      <c r="D65" s="91"/>
      <c r="E65" s="91"/>
      <c r="F65" s="91"/>
      <c r="G65" s="91"/>
      <c r="H65" s="91"/>
      <c r="I65" s="91"/>
      <c r="J65" s="91"/>
      <c r="K65" s="91"/>
      <c r="L65" s="99">
        <v>0</v>
      </c>
      <c r="M65" s="143">
        <v>0</v>
      </c>
    </row>
    <row r="66" spans="3:13">
      <c r="C66" s="140">
        <v>25.8</v>
      </c>
      <c r="D66" s="91"/>
      <c r="E66" s="91"/>
      <c r="F66" s="91"/>
      <c r="G66" s="91"/>
      <c r="H66" s="91"/>
      <c r="I66" s="91"/>
      <c r="J66" s="91"/>
      <c r="K66" s="91"/>
      <c r="L66" s="99">
        <v>0</v>
      </c>
      <c r="M66" s="143">
        <v>0</v>
      </c>
    </row>
    <row r="67" spans="3:13">
      <c r="C67" s="140">
        <v>26</v>
      </c>
      <c r="D67" s="91"/>
      <c r="E67" s="91"/>
      <c r="F67" s="91"/>
      <c r="G67" s="91"/>
      <c r="H67" s="91"/>
      <c r="I67" s="91"/>
      <c r="J67" s="91"/>
      <c r="K67" s="91"/>
      <c r="L67" s="99">
        <v>0</v>
      </c>
      <c r="M67" s="143">
        <v>0</v>
      </c>
    </row>
    <row r="68" spans="3:13">
      <c r="C68" s="140">
        <v>26.4</v>
      </c>
      <c r="D68" s="91"/>
      <c r="E68" s="91"/>
      <c r="F68" s="91"/>
      <c r="G68" s="91"/>
      <c r="H68" s="91"/>
      <c r="I68" s="91"/>
      <c r="J68" s="91"/>
      <c r="K68" s="91"/>
      <c r="L68" s="99">
        <v>0</v>
      </c>
      <c r="M68" s="143">
        <v>0</v>
      </c>
    </row>
    <row r="69" spans="3:13">
      <c r="C69" s="140">
        <v>26.5</v>
      </c>
      <c r="D69" s="91"/>
      <c r="E69" s="91"/>
      <c r="F69" s="91"/>
      <c r="G69" s="91"/>
      <c r="H69" s="91"/>
      <c r="I69" s="91"/>
      <c r="J69" s="91"/>
      <c r="K69" s="91"/>
      <c r="L69" s="99">
        <v>0</v>
      </c>
      <c r="M69" s="143">
        <v>0</v>
      </c>
    </row>
    <row r="70" spans="3:13">
      <c r="C70" s="140">
        <v>26.6</v>
      </c>
      <c r="D70" s="91"/>
      <c r="E70" s="91"/>
      <c r="F70" s="91"/>
      <c r="G70" s="91"/>
      <c r="H70" s="91"/>
      <c r="I70" s="91"/>
      <c r="J70" s="91"/>
      <c r="K70" s="91"/>
      <c r="L70" s="99">
        <v>0</v>
      </c>
      <c r="M70" s="143">
        <v>0</v>
      </c>
    </row>
    <row r="71" spans="3:13">
      <c r="C71" s="140">
        <v>26.8</v>
      </c>
      <c r="D71" s="91"/>
      <c r="E71" s="91"/>
      <c r="F71" s="91"/>
      <c r="G71" s="91"/>
      <c r="H71" s="91"/>
      <c r="I71" s="91"/>
      <c r="J71" s="91"/>
      <c r="K71" s="91"/>
      <c r="L71" s="99">
        <v>0</v>
      </c>
      <c r="M71" s="143">
        <v>0</v>
      </c>
    </row>
    <row r="72" spans="3:13">
      <c r="C72" s="140">
        <v>27</v>
      </c>
      <c r="D72" s="91"/>
      <c r="E72" s="91"/>
      <c r="F72" s="91"/>
      <c r="G72" s="91"/>
      <c r="H72" s="91"/>
      <c r="I72" s="91"/>
      <c r="J72" s="91"/>
      <c r="K72" s="91"/>
      <c r="L72" s="99">
        <v>0</v>
      </c>
      <c r="M72" s="143">
        <v>0</v>
      </c>
    </row>
    <row r="73" spans="3:13">
      <c r="C73" s="140">
        <v>27.2</v>
      </c>
      <c r="D73" s="91"/>
      <c r="E73" s="91"/>
      <c r="F73" s="91"/>
      <c r="G73" s="91"/>
      <c r="H73" s="91"/>
      <c r="I73" s="91"/>
      <c r="J73" s="91"/>
      <c r="K73" s="91"/>
      <c r="L73" s="99">
        <v>0</v>
      </c>
      <c r="M73" s="143">
        <v>0</v>
      </c>
    </row>
    <row r="74" spans="3:13">
      <c r="C74" s="140">
        <v>27.4</v>
      </c>
      <c r="D74" s="91"/>
      <c r="E74" s="91"/>
      <c r="F74" s="91"/>
      <c r="G74" s="91"/>
      <c r="H74" s="91"/>
      <c r="I74" s="91"/>
      <c r="J74" s="91"/>
      <c r="K74" s="91"/>
      <c r="L74" s="99">
        <v>0</v>
      </c>
      <c r="M74" s="143">
        <v>0</v>
      </c>
    </row>
    <row r="75" spans="3:13">
      <c r="C75" s="140">
        <v>27.5</v>
      </c>
      <c r="D75" s="91"/>
      <c r="E75" s="91"/>
      <c r="F75" s="91"/>
      <c r="G75" s="91"/>
      <c r="H75" s="91"/>
      <c r="I75" s="91"/>
      <c r="J75" s="91"/>
      <c r="K75" s="91"/>
      <c r="L75" s="99">
        <v>0</v>
      </c>
      <c r="M75" s="143">
        <v>0</v>
      </c>
    </row>
    <row r="76" spans="3:13">
      <c r="C76" s="140">
        <v>27.9</v>
      </c>
      <c r="D76" s="91"/>
      <c r="E76" s="91"/>
      <c r="F76" s="91"/>
      <c r="G76" s="91"/>
      <c r="H76" s="91"/>
      <c r="I76" s="91"/>
      <c r="J76" s="91"/>
      <c r="K76" s="91"/>
      <c r="L76" s="99">
        <v>0</v>
      </c>
      <c r="M76" s="143">
        <v>0</v>
      </c>
    </row>
    <row r="77" spans="3:13">
      <c r="C77" s="140">
        <v>28</v>
      </c>
      <c r="D77" s="91"/>
      <c r="E77" s="91"/>
      <c r="F77" s="91"/>
      <c r="G77" s="91"/>
      <c r="H77" s="91"/>
      <c r="I77" s="91"/>
      <c r="J77" s="91"/>
      <c r="K77" s="91"/>
      <c r="L77" s="99">
        <v>0</v>
      </c>
      <c r="M77" s="143">
        <v>0</v>
      </c>
    </row>
    <row r="78" spans="3:13">
      <c r="C78" s="140">
        <v>28.1</v>
      </c>
      <c r="D78" s="91"/>
      <c r="E78" s="91"/>
      <c r="F78" s="91"/>
      <c r="G78" s="91"/>
      <c r="H78" s="91"/>
      <c r="I78" s="91"/>
      <c r="J78" s="91"/>
      <c r="K78" s="91"/>
      <c r="L78" s="99">
        <v>0</v>
      </c>
      <c r="M78" s="143">
        <v>0</v>
      </c>
    </row>
    <row r="79" spans="3:13">
      <c r="C79" s="140">
        <v>28.4</v>
      </c>
      <c r="D79" s="91"/>
      <c r="E79" s="91"/>
      <c r="F79" s="91"/>
      <c r="G79" s="91"/>
      <c r="H79" s="91"/>
      <c r="I79" s="91"/>
      <c r="J79" s="91"/>
      <c r="K79" s="91"/>
      <c r="L79" s="99">
        <v>0</v>
      </c>
      <c r="M79" s="143">
        <v>0</v>
      </c>
    </row>
    <row r="80" spans="3:13">
      <c r="C80" s="140">
        <v>28.8</v>
      </c>
      <c r="D80" s="91"/>
      <c r="E80" s="91"/>
      <c r="F80" s="91"/>
      <c r="G80" s="91"/>
      <c r="H80" s="91"/>
      <c r="I80" s="91"/>
      <c r="J80" s="91"/>
      <c r="K80" s="91"/>
      <c r="L80" s="99">
        <v>0</v>
      </c>
      <c r="M80" s="143">
        <v>0</v>
      </c>
    </row>
    <row r="81" spans="3:13">
      <c r="C81" s="140">
        <v>29</v>
      </c>
      <c r="D81" s="91"/>
      <c r="E81" s="91"/>
      <c r="F81" s="91"/>
      <c r="G81" s="91"/>
      <c r="H81" s="91"/>
      <c r="I81" s="91"/>
      <c r="J81" s="91"/>
      <c r="K81" s="91"/>
      <c r="L81" s="99">
        <v>0</v>
      </c>
      <c r="M81" s="143">
        <v>0</v>
      </c>
    </row>
    <row r="82" spans="3:13">
      <c r="C82" s="140">
        <v>29.5</v>
      </c>
      <c r="D82" s="91"/>
      <c r="E82" s="91"/>
      <c r="F82" s="91"/>
      <c r="G82" s="91"/>
      <c r="H82" s="91"/>
      <c r="I82" s="91"/>
      <c r="J82" s="91"/>
      <c r="K82" s="91"/>
      <c r="L82" s="99">
        <v>0</v>
      </c>
      <c r="M82" s="143">
        <v>0</v>
      </c>
    </row>
    <row r="83" spans="3:13">
      <c r="C83" s="140">
        <v>29.8</v>
      </c>
      <c r="D83" s="91"/>
      <c r="E83" s="91"/>
      <c r="F83" s="91"/>
      <c r="G83" s="91"/>
      <c r="H83" s="91"/>
      <c r="I83" s="91"/>
      <c r="J83" s="91"/>
      <c r="K83" s="91"/>
      <c r="L83" s="99">
        <v>0</v>
      </c>
      <c r="M83" s="143">
        <v>0</v>
      </c>
    </row>
    <row r="84" spans="3:13">
      <c r="C84" s="140">
        <v>29.9</v>
      </c>
      <c r="D84" s="91"/>
      <c r="E84" s="91"/>
      <c r="F84" s="91"/>
      <c r="G84" s="91"/>
      <c r="H84" s="91"/>
      <c r="I84" s="91"/>
      <c r="J84" s="91"/>
      <c r="K84" s="91"/>
      <c r="L84" s="99">
        <v>0</v>
      </c>
      <c r="M84" s="143">
        <v>0</v>
      </c>
    </row>
    <row r="85" spans="3:13">
      <c r="C85" s="140">
        <v>30</v>
      </c>
      <c r="D85" s="91"/>
      <c r="E85" s="91"/>
      <c r="F85" s="91"/>
      <c r="G85" s="91"/>
      <c r="H85" s="91"/>
      <c r="I85" s="91"/>
      <c r="J85" s="91"/>
      <c r="K85" s="91"/>
      <c r="L85" s="99">
        <v>0</v>
      </c>
      <c r="M85" s="143">
        <v>0</v>
      </c>
    </row>
    <row r="86" spans="3:13">
      <c r="C86" s="140">
        <v>30.5</v>
      </c>
      <c r="D86" s="91"/>
      <c r="E86" s="91"/>
      <c r="F86" s="91"/>
      <c r="G86" s="91"/>
      <c r="H86" s="91"/>
      <c r="I86" s="91"/>
      <c r="J86" s="91"/>
      <c r="K86" s="91"/>
      <c r="L86" s="99">
        <v>0</v>
      </c>
      <c r="M86" s="143">
        <v>0</v>
      </c>
    </row>
    <row r="87" spans="3:13">
      <c r="C87" s="140">
        <v>30.7</v>
      </c>
      <c r="D87" s="91"/>
      <c r="E87" s="91"/>
      <c r="F87" s="91"/>
      <c r="G87" s="91"/>
      <c r="H87" s="91"/>
      <c r="I87" s="91"/>
      <c r="J87" s="91"/>
      <c r="K87" s="91"/>
      <c r="L87" s="99">
        <v>0</v>
      </c>
      <c r="M87" s="143">
        <v>0</v>
      </c>
    </row>
    <row r="88" spans="3:13">
      <c r="C88" s="140">
        <v>30.9</v>
      </c>
      <c r="D88" s="91"/>
      <c r="E88" s="91"/>
      <c r="F88" s="91"/>
      <c r="G88" s="91"/>
      <c r="H88" s="91"/>
      <c r="I88" s="91"/>
      <c r="J88" s="91"/>
      <c r="K88" s="91"/>
      <c r="L88" s="99">
        <v>0</v>
      </c>
      <c r="M88" s="143">
        <v>0</v>
      </c>
    </row>
    <row r="89" spans="3:13">
      <c r="C89" s="140">
        <v>31</v>
      </c>
      <c r="D89" s="91"/>
      <c r="E89" s="91"/>
      <c r="F89" s="91"/>
      <c r="G89" s="91"/>
      <c r="H89" s="91"/>
      <c r="I89" s="91"/>
      <c r="J89" s="91"/>
      <c r="K89" s="91"/>
      <c r="L89" s="99">
        <v>0</v>
      </c>
      <c r="M89" s="143">
        <v>0</v>
      </c>
    </row>
    <row r="90" spans="3:13">
      <c r="C90" s="140">
        <v>31.3</v>
      </c>
      <c r="D90" s="91"/>
      <c r="E90" s="91"/>
      <c r="F90" s="91"/>
      <c r="G90" s="91"/>
      <c r="H90" s="91"/>
      <c r="I90" s="91"/>
      <c r="J90" s="91"/>
      <c r="K90" s="91"/>
      <c r="L90" s="99">
        <v>0</v>
      </c>
      <c r="M90" s="143">
        <v>0</v>
      </c>
    </row>
    <row r="91" spans="3:13">
      <c r="C91" s="140">
        <v>31.5</v>
      </c>
      <c r="D91" s="91"/>
      <c r="E91" s="91"/>
      <c r="F91" s="91"/>
      <c r="G91" s="91"/>
      <c r="H91" s="91"/>
      <c r="I91" s="91"/>
      <c r="J91" s="91"/>
      <c r="K91" s="91"/>
      <c r="L91" s="99">
        <v>0</v>
      </c>
      <c r="M91" s="143">
        <v>0</v>
      </c>
    </row>
    <row r="92" spans="3:13">
      <c r="C92" s="140">
        <v>31.6</v>
      </c>
      <c r="D92" s="91"/>
      <c r="E92" s="91"/>
      <c r="F92" s="91"/>
      <c r="G92" s="91"/>
      <c r="H92" s="91"/>
      <c r="I92" s="91"/>
      <c r="J92" s="91"/>
      <c r="K92" s="91"/>
      <c r="L92" s="99">
        <v>0</v>
      </c>
      <c r="M92" s="143">
        <v>0</v>
      </c>
    </row>
    <row r="93" spans="3:13">
      <c r="C93" s="140">
        <v>31.8</v>
      </c>
      <c r="D93" s="91"/>
      <c r="E93" s="91"/>
      <c r="F93" s="91"/>
      <c r="G93" s="91"/>
      <c r="H93" s="91"/>
      <c r="I93" s="91"/>
      <c r="J93" s="91"/>
      <c r="K93" s="91"/>
      <c r="L93" s="99">
        <v>0</v>
      </c>
      <c r="M93" s="143">
        <v>0</v>
      </c>
    </row>
    <row r="94" spans="3:13">
      <c r="C94" s="140">
        <v>31.9</v>
      </c>
      <c r="D94" s="91"/>
      <c r="E94" s="91"/>
      <c r="F94" s="91"/>
      <c r="G94" s="91"/>
      <c r="H94" s="91"/>
      <c r="I94" s="91"/>
      <c r="J94" s="91"/>
      <c r="K94" s="91"/>
      <c r="L94" s="99">
        <v>0</v>
      </c>
      <c r="M94" s="143">
        <v>0</v>
      </c>
    </row>
    <row r="95" spans="3:13">
      <c r="C95" s="140">
        <v>32</v>
      </c>
      <c r="D95" s="91"/>
      <c r="E95" s="91"/>
      <c r="F95" s="91"/>
      <c r="G95" s="91"/>
      <c r="H95" s="91"/>
      <c r="I95" s="91"/>
      <c r="J95" s="91"/>
      <c r="K95" s="91"/>
      <c r="L95" s="99">
        <v>0</v>
      </c>
      <c r="M95" s="143">
        <v>0</v>
      </c>
    </row>
    <row r="96" spans="3:13">
      <c r="C96" s="140">
        <v>32.1</v>
      </c>
      <c r="D96" s="91"/>
      <c r="E96" s="91"/>
      <c r="F96" s="91"/>
      <c r="G96" s="91"/>
      <c r="H96" s="91"/>
      <c r="I96" s="91"/>
      <c r="J96" s="91"/>
      <c r="K96" s="91"/>
      <c r="L96" s="99">
        <v>0</v>
      </c>
      <c r="M96" s="143">
        <v>0</v>
      </c>
    </row>
    <row r="97" spans="3:13">
      <c r="C97" s="140">
        <v>32.200000000000003</v>
      </c>
      <c r="D97" s="91"/>
      <c r="E97" s="91"/>
      <c r="F97" s="91"/>
      <c r="G97" s="91"/>
      <c r="H97" s="91"/>
      <c r="I97" s="91"/>
      <c r="J97" s="91"/>
      <c r="K97" s="91"/>
      <c r="L97" s="99">
        <v>0</v>
      </c>
      <c r="M97" s="143">
        <v>0</v>
      </c>
    </row>
    <row r="98" spans="3:13">
      <c r="C98" s="140">
        <v>32.299999999999997</v>
      </c>
      <c r="D98" s="91"/>
      <c r="E98" s="91"/>
      <c r="F98" s="91"/>
      <c r="G98" s="91"/>
      <c r="H98" s="91"/>
      <c r="I98" s="91"/>
      <c r="J98" s="91"/>
      <c r="K98" s="91"/>
      <c r="L98" s="99">
        <v>0</v>
      </c>
      <c r="M98" s="143">
        <v>0</v>
      </c>
    </row>
    <row r="99" spans="3:13">
      <c r="C99" s="140">
        <v>32.4</v>
      </c>
      <c r="D99" s="91"/>
      <c r="E99" s="91"/>
      <c r="F99" s="91"/>
      <c r="G99" s="91"/>
      <c r="H99" s="91"/>
      <c r="I99" s="91"/>
      <c r="J99" s="91"/>
      <c r="K99" s="91"/>
      <c r="L99" s="99">
        <v>0</v>
      </c>
      <c r="M99" s="143">
        <v>0</v>
      </c>
    </row>
    <row r="100" spans="3:13">
      <c r="C100" s="140">
        <v>32.700000000000003</v>
      </c>
      <c r="D100" s="91"/>
      <c r="E100" s="91"/>
      <c r="F100" s="91"/>
      <c r="G100" s="91"/>
      <c r="H100" s="91"/>
      <c r="I100" s="91"/>
      <c r="J100" s="91"/>
      <c r="K100" s="91"/>
      <c r="L100" s="99">
        <v>0</v>
      </c>
      <c r="M100" s="143">
        <v>0</v>
      </c>
    </row>
    <row r="101" spans="3:13">
      <c r="C101" s="140">
        <v>32.799999999999997</v>
      </c>
      <c r="D101" s="91"/>
      <c r="E101" s="91"/>
      <c r="F101" s="91"/>
      <c r="G101" s="91"/>
      <c r="H101" s="91"/>
      <c r="I101" s="91"/>
      <c r="J101" s="91"/>
      <c r="K101" s="91"/>
      <c r="L101" s="99">
        <v>0</v>
      </c>
      <c r="M101" s="143">
        <v>0</v>
      </c>
    </row>
    <row r="102" spans="3:13">
      <c r="C102" s="140">
        <v>32.9</v>
      </c>
      <c r="D102" s="91"/>
      <c r="E102" s="91"/>
      <c r="F102" s="91"/>
      <c r="G102" s="91"/>
      <c r="H102" s="91"/>
      <c r="I102" s="91"/>
      <c r="J102" s="91"/>
      <c r="K102" s="91"/>
      <c r="L102" s="99">
        <v>0</v>
      </c>
      <c r="M102" s="143">
        <v>0</v>
      </c>
    </row>
    <row r="103" spans="3:13">
      <c r="C103" s="140">
        <v>33</v>
      </c>
      <c r="D103" s="91"/>
      <c r="E103" s="91"/>
      <c r="F103" s="91"/>
      <c r="G103" s="91"/>
      <c r="H103" s="91"/>
      <c r="I103" s="91"/>
      <c r="J103" s="91"/>
      <c r="K103" s="91"/>
      <c r="L103" s="99">
        <v>0</v>
      </c>
      <c r="M103" s="143">
        <v>0</v>
      </c>
    </row>
    <row r="104" spans="3:13">
      <c r="C104" s="140">
        <v>33.5</v>
      </c>
      <c r="D104" s="91"/>
      <c r="E104" s="91"/>
      <c r="F104" s="91"/>
      <c r="G104" s="91"/>
      <c r="H104" s="91"/>
      <c r="I104" s="91"/>
      <c r="J104" s="91"/>
      <c r="K104" s="91"/>
      <c r="L104" s="99">
        <v>0</v>
      </c>
      <c r="M104" s="143">
        <v>0</v>
      </c>
    </row>
    <row r="105" spans="3:13">
      <c r="C105" s="140">
        <v>33.700000000000003</v>
      </c>
      <c r="D105" s="91"/>
      <c r="E105" s="91"/>
      <c r="F105" s="91"/>
      <c r="G105" s="91"/>
      <c r="H105" s="91"/>
      <c r="I105" s="91"/>
      <c r="J105" s="91"/>
      <c r="K105" s="91"/>
      <c r="L105" s="99">
        <v>0</v>
      </c>
      <c r="M105" s="143">
        <v>0</v>
      </c>
    </row>
    <row r="106" spans="3:13">
      <c r="C106" s="140">
        <v>33.799999999999997</v>
      </c>
      <c r="D106" s="91"/>
      <c r="E106" s="91"/>
      <c r="F106" s="91"/>
      <c r="G106" s="91"/>
      <c r="H106" s="91"/>
      <c r="I106" s="91"/>
      <c r="J106" s="91"/>
      <c r="K106" s="91"/>
      <c r="L106" s="99">
        <v>0</v>
      </c>
      <c r="M106" s="143">
        <v>0</v>
      </c>
    </row>
    <row r="107" spans="3:13">
      <c r="C107" s="140">
        <v>34</v>
      </c>
      <c r="D107" s="91"/>
      <c r="E107" s="91"/>
      <c r="F107" s="91"/>
      <c r="G107" s="91"/>
      <c r="H107" s="91"/>
      <c r="I107" s="91"/>
      <c r="J107" s="91"/>
      <c r="K107" s="91"/>
      <c r="L107" s="99">
        <v>0</v>
      </c>
      <c r="M107" s="143">
        <v>0</v>
      </c>
    </row>
    <row r="108" spans="3:13">
      <c r="C108" s="140">
        <v>34.1</v>
      </c>
      <c r="D108" s="91"/>
      <c r="E108" s="91"/>
      <c r="F108" s="91"/>
      <c r="G108" s="91"/>
      <c r="H108" s="91"/>
      <c r="I108" s="91"/>
      <c r="J108" s="91"/>
      <c r="K108" s="91"/>
      <c r="L108" s="99">
        <v>0</v>
      </c>
      <c r="M108" s="143">
        <v>0</v>
      </c>
    </row>
    <row r="109" spans="3:13">
      <c r="C109" s="140">
        <v>34.200000000000003</v>
      </c>
      <c r="D109" s="91"/>
      <c r="E109" s="91"/>
      <c r="F109" s="91"/>
      <c r="G109" s="91"/>
      <c r="H109" s="91"/>
      <c r="I109" s="91"/>
      <c r="J109" s="91"/>
      <c r="K109" s="91"/>
      <c r="L109" s="99">
        <v>0</v>
      </c>
      <c r="M109" s="143">
        <v>0</v>
      </c>
    </row>
    <row r="110" spans="3:13">
      <c r="C110" s="140">
        <v>34.299999999999997</v>
      </c>
      <c r="D110" s="91"/>
      <c r="E110" s="91"/>
      <c r="F110" s="91"/>
      <c r="G110" s="91"/>
      <c r="H110" s="91"/>
      <c r="I110" s="91"/>
      <c r="J110" s="91"/>
      <c r="K110" s="91"/>
      <c r="L110" s="99">
        <v>0</v>
      </c>
      <c r="M110" s="143">
        <v>0</v>
      </c>
    </row>
    <row r="111" spans="3:13">
      <c r="C111" s="140">
        <v>34.4</v>
      </c>
      <c r="D111" s="91"/>
      <c r="E111" s="91"/>
      <c r="F111" s="91"/>
      <c r="G111" s="91"/>
      <c r="H111" s="91"/>
      <c r="I111" s="91"/>
      <c r="J111" s="91"/>
      <c r="K111" s="91"/>
      <c r="L111" s="99">
        <v>0</v>
      </c>
      <c r="M111" s="143">
        <v>0</v>
      </c>
    </row>
    <row r="112" spans="3:13">
      <c r="C112" s="140">
        <v>34.5</v>
      </c>
      <c r="D112" s="91"/>
      <c r="E112" s="91"/>
      <c r="F112" s="91"/>
      <c r="G112" s="91"/>
      <c r="H112" s="91"/>
      <c r="I112" s="91"/>
      <c r="J112" s="91"/>
      <c r="K112" s="91"/>
      <c r="L112" s="99">
        <v>0.5</v>
      </c>
      <c r="M112" s="143">
        <v>0.16666666666666666</v>
      </c>
    </row>
    <row r="113" spans="3:13">
      <c r="C113" s="140">
        <v>34.700000000000003</v>
      </c>
      <c r="D113" s="91"/>
      <c r="E113" s="91"/>
      <c r="F113" s="91"/>
      <c r="G113" s="91"/>
      <c r="H113" s="91"/>
      <c r="I113" s="91"/>
      <c r="J113" s="91"/>
      <c r="K113" s="91"/>
      <c r="L113" s="99">
        <v>0</v>
      </c>
      <c r="M113" s="143">
        <v>0</v>
      </c>
    </row>
    <row r="114" spans="3:13">
      <c r="C114" s="140">
        <v>35</v>
      </c>
      <c r="D114" s="91"/>
      <c r="E114" s="91"/>
      <c r="F114" s="91"/>
      <c r="G114" s="91"/>
      <c r="H114" s="91"/>
      <c r="I114" s="91"/>
      <c r="J114" s="91"/>
      <c r="K114" s="91"/>
      <c r="L114" s="99">
        <v>0</v>
      </c>
      <c r="M114" s="143">
        <v>0</v>
      </c>
    </row>
    <row r="115" spans="3:13">
      <c r="C115" s="140">
        <v>35.1</v>
      </c>
      <c r="D115" s="91"/>
      <c r="E115" s="91"/>
      <c r="F115" s="91"/>
      <c r="G115" s="91"/>
      <c r="H115" s="91"/>
      <c r="I115" s="91"/>
      <c r="J115" s="91"/>
      <c r="K115" s="91"/>
      <c r="L115" s="99">
        <v>0</v>
      </c>
      <c r="M115" s="143">
        <v>0</v>
      </c>
    </row>
    <row r="116" spans="3:13">
      <c r="C116" s="140">
        <v>35.700000000000003</v>
      </c>
      <c r="D116" s="91"/>
      <c r="E116" s="91"/>
      <c r="F116" s="91"/>
      <c r="G116" s="91"/>
      <c r="H116" s="91"/>
      <c r="I116" s="91"/>
      <c r="J116" s="91"/>
      <c r="K116" s="91"/>
      <c r="L116" s="99">
        <v>0</v>
      </c>
      <c r="M116" s="143">
        <v>0</v>
      </c>
    </row>
    <row r="117" spans="3:13">
      <c r="C117" s="140">
        <v>36</v>
      </c>
      <c r="D117" s="91"/>
      <c r="E117" s="91"/>
      <c r="F117" s="91"/>
      <c r="G117" s="91"/>
      <c r="H117" s="91"/>
      <c r="I117" s="91"/>
      <c r="J117" s="91"/>
      <c r="K117" s="91"/>
      <c r="L117" s="99">
        <v>0</v>
      </c>
      <c r="M117" s="143">
        <v>0</v>
      </c>
    </row>
    <row r="118" spans="3:13">
      <c r="C118" s="140">
        <v>36.1</v>
      </c>
      <c r="D118" s="91"/>
      <c r="E118" s="91"/>
      <c r="F118" s="91"/>
      <c r="G118" s="91"/>
      <c r="H118" s="91"/>
      <c r="I118" s="91"/>
      <c r="J118" s="91"/>
      <c r="K118" s="91"/>
      <c r="L118" s="99">
        <v>0</v>
      </c>
      <c r="M118" s="143">
        <v>0</v>
      </c>
    </row>
    <row r="119" spans="3:13">
      <c r="C119" s="140">
        <v>36.4</v>
      </c>
      <c r="D119" s="91"/>
      <c r="E119" s="91"/>
      <c r="F119" s="91"/>
      <c r="G119" s="91"/>
      <c r="H119" s="91"/>
      <c r="I119" s="91"/>
      <c r="J119" s="91"/>
      <c r="K119" s="91"/>
      <c r="L119" s="99">
        <v>0</v>
      </c>
      <c r="M119" s="143">
        <v>0</v>
      </c>
    </row>
    <row r="120" spans="3:13">
      <c r="C120" s="140">
        <v>37</v>
      </c>
      <c r="D120" s="91"/>
      <c r="E120" s="91"/>
      <c r="F120" s="91"/>
      <c r="G120" s="91"/>
      <c r="H120" s="91"/>
      <c r="I120" s="91"/>
      <c r="J120" s="91"/>
      <c r="K120" s="91"/>
      <c r="L120" s="99">
        <v>0</v>
      </c>
      <c r="M120" s="143">
        <v>0</v>
      </c>
    </row>
    <row r="121" spans="3:13">
      <c r="C121" s="140">
        <v>37.200000000000003</v>
      </c>
      <c r="D121" s="91"/>
      <c r="E121" s="91"/>
      <c r="F121" s="91"/>
      <c r="G121" s="91"/>
      <c r="H121" s="91"/>
      <c r="I121" s="91"/>
      <c r="J121" s="91"/>
      <c r="K121" s="91"/>
      <c r="L121" s="99">
        <v>0</v>
      </c>
      <c r="M121" s="143">
        <v>0</v>
      </c>
    </row>
    <row r="122" spans="3:13">
      <c r="C122" s="140">
        <v>37.299999999999997</v>
      </c>
      <c r="D122" s="91"/>
      <c r="E122" s="91"/>
      <c r="F122" s="91"/>
      <c r="G122" s="91"/>
      <c r="H122" s="91"/>
      <c r="I122" s="91"/>
      <c r="J122" s="91"/>
      <c r="K122" s="91"/>
      <c r="L122" s="99">
        <v>0</v>
      </c>
      <c r="M122" s="143">
        <v>0</v>
      </c>
    </row>
    <row r="123" spans="3:13">
      <c r="C123" s="140">
        <v>37.700000000000003</v>
      </c>
      <c r="D123" s="91"/>
      <c r="E123" s="91"/>
      <c r="F123" s="91"/>
      <c r="G123" s="91"/>
      <c r="H123" s="91"/>
      <c r="I123" s="91"/>
      <c r="J123" s="91"/>
      <c r="K123" s="91"/>
      <c r="L123" s="99">
        <v>0</v>
      </c>
      <c r="M123" s="143">
        <v>0</v>
      </c>
    </row>
    <row r="124" spans="3:13">
      <c r="C124" s="140">
        <v>38</v>
      </c>
      <c r="D124" s="91"/>
      <c r="E124" s="91"/>
      <c r="F124" s="91"/>
      <c r="G124" s="91"/>
      <c r="H124" s="91"/>
      <c r="I124" s="91"/>
      <c r="J124" s="91"/>
      <c r="K124" s="91"/>
      <c r="L124" s="99">
        <v>0</v>
      </c>
      <c r="M124" s="143">
        <v>0</v>
      </c>
    </row>
    <row r="125" spans="3:13">
      <c r="C125" s="140">
        <v>38.1</v>
      </c>
      <c r="D125" s="91"/>
      <c r="E125" s="91"/>
      <c r="F125" s="91"/>
      <c r="G125" s="91"/>
      <c r="H125" s="91"/>
      <c r="I125" s="91"/>
      <c r="J125" s="91"/>
      <c r="K125" s="91"/>
      <c r="L125" s="99">
        <v>0</v>
      </c>
      <c r="M125" s="143">
        <v>0</v>
      </c>
    </row>
    <row r="126" spans="3:13">
      <c r="C126" s="140">
        <v>39</v>
      </c>
      <c r="D126" s="91"/>
      <c r="E126" s="91"/>
      <c r="F126" s="91"/>
      <c r="G126" s="91"/>
      <c r="H126" s="91"/>
      <c r="I126" s="91"/>
      <c r="J126" s="91"/>
      <c r="K126" s="91"/>
      <c r="L126" s="99">
        <v>0</v>
      </c>
      <c r="M126" s="143">
        <v>0</v>
      </c>
    </row>
    <row r="127" spans="3:13">
      <c r="C127" s="140">
        <v>39.1</v>
      </c>
      <c r="D127" s="91"/>
      <c r="E127" s="91"/>
      <c r="F127" s="91"/>
      <c r="G127" s="91"/>
      <c r="H127" s="91"/>
      <c r="I127" s="91"/>
      <c r="J127" s="91"/>
      <c r="K127" s="91"/>
      <c r="L127" s="99">
        <v>0</v>
      </c>
      <c r="M127" s="143">
        <v>0</v>
      </c>
    </row>
    <row r="128" spans="3:13">
      <c r="C128" s="140">
        <v>39.4</v>
      </c>
      <c r="D128" s="91"/>
      <c r="E128" s="91"/>
      <c r="F128" s="91"/>
      <c r="G128" s="91"/>
      <c r="H128" s="91"/>
      <c r="I128" s="91"/>
      <c r="J128" s="91"/>
      <c r="K128" s="91"/>
      <c r="L128" s="99">
        <v>0</v>
      </c>
      <c r="M128" s="143">
        <v>0</v>
      </c>
    </row>
    <row r="129" spans="3:13">
      <c r="C129" s="140">
        <v>40.799999999999997</v>
      </c>
      <c r="D129" s="91"/>
      <c r="E129" s="91"/>
      <c r="F129" s="91"/>
      <c r="G129" s="91"/>
      <c r="H129" s="91"/>
      <c r="I129" s="91"/>
      <c r="J129" s="91"/>
      <c r="K129" s="91"/>
      <c r="L129" s="99">
        <v>0</v>
      </c>
      <c r="M129" s="143">
        <v>0</v>
      </c>
    </row>
    <row r="130" spans="3:13">
      <c r="C130" s="140">
        <v>40.9</v>
      </c>
      <c r="D130" s="91"/>
      <c r="E130" s="91"/>
      <c r="F130" s="91"/>
      <c r="G130" s="91"/>
      <c r="H130" s="91"/>
      <c r="I130" s="91"/>
      <c r="J130" s="91"/>
      <c r="K130" s="91"/>
      <c r="L130" s="99">
        <v>1</v>
      </c>
      <c r="M130" s="143">
        <v>0.16666666666666666</v>
      </c>
    </row>
    <row r="131" spans="3:13">
      <c r="C131" s="140">
        <v>41.5</v>
      </c>
      <c r="D131" s="91"/>
      <c r="E131" s="91"/>
      <c r="F131" s="91"/>
      <c r="G131" s="91"/>
      <c r="H131" s="91"/>
      <c r="I131" s="91"/>
      <c r="J131" s="91"/>
      <c r="K131" s="91"/>
      <c r="L131" s="99">
        <v>0</v>
      </c>
      <c r="M131" s="143">
        <v>0</v>
      </c>
    </row>
    <row r="132" spans="3:13">
      <c r="C132" s="140">
        <v>43.1</v>
      </c>
      <c r="D132" s="91"/>
      <c r="E132" s="91"/>
      <c r="F132" s="91"/>
      <c r="G132" s="91"/>
      <c r="H132" s="91"/>
      <c r="I132" s="91"/>
      <c r="J132" s="91"/>
      <c r="K132" s="91"/>
      <c r="L132" s="99">
        <v>0</v>
      </c>
      <c r="M132" s="143">
        <v>0</v>
      </c>
    </row>
    <row r="133" spans="3:13">
      <c r="C133" s="140">
        <v>43.4</v>
      </c>
      <c r="D133" s="91"/>
      <c r="E133" s="91"/>
      <c r="F133" s="91"/>
      <c r="G133" s="91"/>
      <c r="H133" s="91"/>
      <c r="I133" s="91"/>
      <c r="J133" s="91"/>
      <c r="K133" s="91"/>
      <c r="L133" s="99">
        <v>0</v>
      </c>
      <c r="M133" s="143">
        <v>0</v>
      </c>
    </row>
    <row r="134" spans="3:13">
      <c r="C134" s="140">
        <v>44</v>
      </c>
      <c r="D134" s="91"/>
      <c r="E134" s="91"/>
      <c r="F134" s="91"/>
      <c r="G134" s="91"/>
      <c r="H134" s="91"/>
      <c r="I134" s="91"/>
      <c r="J134" s="91"/>
      <c r="K134" s="91"/>
      <c r="L134" s="99">
        <v>0</v>
      </c>
      <c r="M134" s="143">
        <v>0</v>
      </c>
    </row>
    <row r="135" spans="3:13">
      <c r="C135" s="140">
        <v>44.3</v>
      </c>
      <c r="D135" s="91"/>
      <c r="E135" s="91"/>
      <c r="F135" s="91"/>
      <c r="G135" s="91"/>
      <c r="H135" s="91"/>
      <c r="I135" s="91"/>
      <c r="J135" s="91"/>
      <c r="K135" s="91"/>
      <c r="L135" s="99">
        <v>0</v>
      </c>
      <c r="M135" s="143">
        <v>0</v>
      </c>
    </row>
    <row r="136" spans="3:13">
      <c r="C136" s="140">
        <v>44.6</v>
      </c>
      <c r="D136" s="91"/>
      <c r="E136" s="91"/>
      <c r="F136" s="91"/>
      <c r="G136" s="91"/>
      <c r="H136" s="91"/>
      <c r="I136" s="91"/>
      <c r="J136" s="91"/>
      <c r="K136" s="91"/>
      <c r="L136" s="99">
        <v>0</v>
      </c>
      <c r="M136" s="143">
        <v>0</v>
      </c>
    </row>
    <row r="137" spans="3:13">
      <c r="C137" s="140">
        <v>46.6</v>
      </c>
      <c r="D137" s="91"/>
      <c r="E137" s="91"/>
      <c r="F137" s="91"/>
      <c r="G137" s="91"/>
      <c r="H137" s="91"/>
      <c r="I137" s="91"/>
      <c r="J137" s="91"/>
      <c r="K137" s="91"/>
      <c r="L137" s="99">
        <v>0</v>
      </c>
      <c r="M137" s="143">
        <v>0</v>
      </c>
    </row>
    <row r="138" spans="3:13">
      <c r="C138" s="140" t="s">
        <v>377</v>
      </c>
      <c r="D138" s="91"/>
      <c r="E138" s="91"/>
      <c r="F138" s="91"/>
      <c r="G138" s="91"/>
      <c r="H138" s="91"/>
      <c r="I138" s="91"/>
      <c r="J138" s="91"/>
      <c r="K138" s="91"/>
      <c r="L138" s="99">
        <v>1.507537688442211E-2</v>
      </c>
      <c r="M138" s="143">
        <v>1</v>
      </c>
    </row>
  </sheetData>
  <conditionalFormatting pivot="1" sqref="L9:L13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M9:M13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88671875" bestFit="1" customWidth="1"/>
    <col min="5" max="5" width="16.6640625" bestFit="1" customWidth="1"/>
    <col min="6" max="6" width="15.44140625" bestFit="1" customWidth="1"/>
    <col min="7" max="7" width="11.109375" bestFit="1" customWidth="1"/>
    <col min="8" max="8" width="15.6640625" bestFit="1" customWidth="1"/>
    <col min="9" max="9" width="15.44140625" bestFit="1" customWidth="1"/>
    <col min="10" max="11" width="10.21875" bestFit="1" customWidth="1"/>
    <col min="12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mpg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55</v>
      </c>
      <c r="D8" s="141" t="s">
        <v>56</v>
      </c>
      <c r="E8" s="141" t="s">
        <v>57</v>
      </c>
      <c r="F8" s="141" t="s">
        <v>58</v>
      </c>
      <c r="G8" s="141" t="s">
        <v>59</v>
      </c>
      <c r="H8" s="141" t="s">
        <v>60</v>
      </c>
      <c r="I8" s="141" t="s">
        <v>61</v>
      </c>
      <c r="J8" s="141" t="s">
        <v>62</v>
      </c>
      <c r="K8" s="141" t="s">
        <v>63</v>
      </c>
    </row>
    <row r="9" spans="2:17" ht="15" customHeight="1">
      <c r="C9" s="140">
        <v>9</v>
      </c>
      <c r="D9" s="91"/>
      <c r="E9" s="91"/>
      <c r="F9" s="91"/>
      <c r="G9" s="91"/>
      <c r="H9" s="91"/>
      <c r="I9" s="91"/>
      <c r="J9" s="91"/>
      <c r="K9" s="91"/>
    </row>
    <row r="10" spans="2:17" ht="15" customHeight="1">
      <c r="C10" s="140">
        <v>10</v>
      </c>
      <c r="D10" s="91"/>
      <c r="E10" s="91"/>
      <c r="F10" s="91"/>
      <c r="G10" s="91"/>
      <c r="H10" s="91"/>
      <c r="I10" s="91"/>
      <c r="J10" s="91"/>
      <c r="K10" s="91"/>
    </row>
    <row r="11" spans="2:17" ht="15" customHeight="1">
      <c r="C11" s="140">
        <v>11</v>
      </c>
      <c r="D11" s="91"/>
      <c r="E11" s="91"/>
      <c r="F11" s="91"/>
      <c r="G11" s="91"/>
      <c r="H11" s="91"/>
      <c r="I11" s="91"/>
      <c r="J11" s="91"/>
      <c r="K11" s="91"/>
    </row>
    <row r="12" spans="2:17" ht="15" customHeight="1">
      <c r="C12" s="140">
        <v>12</v>
      </c>
      <c r="D12" s="91"/>
      <c r="E12" s="91"/>
      <c r="F12" s="91"/>
      <c r="G12" s="91"/>
      <c r="H12" s="91"/>
      <c r="I12" s="91"/>
      <c r="J12" s="91"/>
      <c r="K12" s="91"/>
    </row>
    <row r="13" spans="2:17" ht="15" customHeight="1">
      <c r="C13" s="140">
        <v>13</v>
      </c>
      <c r="D13" s="91"/>
      <c r="E13" s="91"/>
      <c r="F13" s="91"/>
      <c r="G13" s="91"/>
      <c r="H13" s="91"/>
      <c r="I13" s="91"/>
      <c r="J13" s="91"/>
      <c r="K13" s="91"/>
    </row>
    <row r="14" spans="2:17">
      <c r="C14" s="140">
        <v>14</v>
      </c>
      <c r="D14" s="91"/>
      <c r="E14" s="91"/>
      <c r="F14" s="91"/>
      <c r="G14" s="91"/>
      <c r="H14" s="91"/>
      <c r="I14" s="91"/>
      <c r="J14" s="91"/>
      <c r="K14" s="91"/>
    </row>
    <row r="15" spans="2:17">
      <c r="C15" s="140">
        <v>14.5</v>
      </c>
      <c r="D15" s="91"/>
      <c r="E15" s="91"/>
      <c r="F15" s="91"/>
      <c r="G15" s="91"/>
      <c r="H15" s="91"/>
      <c r="I15" s="91"/>
      <c r="J15" s="91"/>
      <c r="K15" s="91"/>
    </row>
    <row r="16" spans="2:17">
      <c r="C16" s="140">
        <v>15</v>
      </c>
      <c r="D16" s="91"/>
      <c r="E16" s="91"/>
      <c r="F16" s="91"/>
      <c r="G16" s="91"/>
      <c r="H16" s="91"/>
      <c r="I16" s="91"/>
      <c r="J16" s="91"/>
      <c r="K16" s="91"/>
    </row>
    <row r="17" spans="3:11">
      <c r="C17" s="140">
        <v>15.5</v>
      </c>
      <c r="D17" s="91"/>
      <c r="E17" s="91"/>
      <c r="F17" s="91"/>
      <c r="G17" s="91"/>
      <c r="H17" s="91"/>
      <c r="I17" s="91"/>
      <c r="J17" s="91"/>
      <c r="K17" s="91"/>
    </row>
    <row r="18" spans="3:11">
      <c r="C18" s="140">
        <v>16</v>
      </c>
      <c r="D18" s="91"/>
      <c r="E18" s="91"/>
      <c r="F18" s="91"/>
      <c r="G18" s="91"/>
      <c r="H18" s="91"/>
      <c r="I18" s="91"/>
      <c r="J18" s="91"/>
      <c r="K18" s="91"/>
    </row>
    <row r="19" spans="3:11">
      <c r="C19" s="140">
        <v>16.2</v>
      </c>
      <c r="D19" s="91"/>
      <c r="E19" s="91"/>
      <c r="F19" s="91"/>
      <c r="G19" s="91"/>
      <c r="H19" s="91"/>
      <c r="I19" s="91"/>
      <c r="J19" s="91"/>
      <c r="K19" s="91"/>
    </row>
    <row r="20" spans="3:11">
      <c r="C20" s="140">
        <v>16.5</v>
      </c>
      <c r="D20" s="91"/>
      <c r="E20" s="91"/>
      <c r="F20" s="91"/>
      <c r="G20" s="91"/>
      <c r="H20" s="91"/>
      <c r="I20" s="91"/>
      <c r="J20" s="91"/>
      <c r="K20" s="91"/>
    </row>
    <row r="21" spans="3:11">
      <c r="C21" s="140">
        <v>16.899999999999999</v>
      </c>
      <c r="D21" s="91"/>
      <c r="E21" s="91"/>
      <c r="F21" s="91"/>
      <c r="G21" s="91"/>
      <c r="H21" s="91"/>
      <c r="I21" s="91"/>
      <c r="J21" s="91"/>
      <c r="K21" s="91"/>
    </row>
    <row r="22" spans="3:11">
      <c r="C22" s="140">
        <v>17</v>
      </c>
      <c r="D22" s="91"/>
      <c r="E22" s="91"/>
      <c r="F22" s="91"/>
      <c r="G22" s="91"/>
      <c r="H22" s="91"/>
      <c r="I22" s="91"/>
      <c r="J22" s="91"/>
      <c r="K22" s="91"/>
    </row>
    <row r="23" spans="3:11">
      <c r="C23" s="140">
        <v>17.5</v>
      </c>
      <c r="D23" s="91"/>
      <c r="E23" s="91"/>
      <c r="F23" s="91"/>
      <c r="G23" s="91"/>
      <c r="H23" s="91"/>
      <c r="I23" s="91"/>
      <c r="J23" s="91"/>
      <c r="K23" s="91"/>
    </row>
    <row r="24" spans="3:11">
      <c r="C24" s="140">
        <v>17.600000000000001</v>
      </c>
      <c r="D24" s="91"/>
      <c r="E24" s="91"/>
      <c r="F24" s="91"/>
      <c r="G24" s="91"/>
      <c r="H24" s="91"/>
      <c r="I24" s="91"/>
      <c r="J24" s="91"/>
      <c r="K24" s="91"/>
    </row>
    <row r="25" spans="3:11">
      <c r="C25" s="140">
        <v>17.7</v>
      </c>
      <c r="D25" s="91"/>
      <c r="E25" s="91"/>
      <c r="F25" s="91"/>
      <c r="G25" s="91"/>
      <c r="H25" s="91"/>
      <c r="I25" s="91"/>
      <c r="J25" s="91"/>
      <c r="K25" s="91"/>
    </row>
    <row r="26" spans="3:11">
      <c r="C26" s="140">
        <v>18</v>
      </c>
      <c r="D26" s="91"/>
      <c r="E26" s="91"/>
      <c r="F26" s="91"/>
      <c r="G26" s="91"/>
      <c r="H26" s="91"/>
      <c r="I26" s="91"/>
      <c r="J26" s="91"/>
      <c r="K26" s="91"/>
    </row>
    <row r="27" spans="3:11">
      <c r="C27" s="140">
        <v>18.100000000000001</v>
      </c>
      <c r="D27" s="91"/>
      <c r="E27" s="91"/>
      <c r="F27" s="91"/>
      <c r="G27" s="91"/>
      <c r="H27" s="91"/>
      <c r="I27" s="91"/>
      <c r="J27" s="91"/>
      <c r="K27" s="91"/>
    </row>
    <row r="28" spans="3:11">
      <c r="C28" s="140">
        <v>18.2</v>
      </c>
      <c r="D28" s="91"/>
      <c r="E28" s="91"/>
      <c r="F28" s="91"/>
      <c r="G28" s="91"/>
      <c r="H28" s="91"/>
      <c r="I28" s="91"/>
      <c r="J28" s="91"/>
      <c r="K28" s="91"/>
    </row>
    <row r="29" spans="3:11">
      <c r="C29" s="140">
        <v>18.5</v>
      </c>
      <c r="D29" s="91"/>
      <c r="E29" s="91"/>
      <c r="F29" s="91"/>
      <c r="G29" s="91"/>
      <c r="H29" s="91"/>
      <c r="I29" s="91"/>
      <c r="J29" s="91"/>
      <c r="K29" s="91"/>
    </row>
    <row r="30" spans="3:11">
      <c r="C30" s="140">
        <v>18.600000000000001</v>
      </c>
      <c r="D30" s="91"/>
      <c r="E30" s="91"/>
      <c r="F30" s="91"/>
      <c r="G30" s="91"/>
      <c r="H30" s="91"/>
      <c r="I30" s="91"/>
      <c r="J30" s="91"/>
      <c r="K30" s="91"/>
    </row>
    <row r="31" spans="3:11">
      <c r="C31" s="140">
        <v>19</v>
      </c>
      <c r="D31" s="91"/>
      <c r="E31" s="91"/>
      <c r="F31" s="91"/>
      <c r="G31" s="91"/>
      <c r="H31" s="91"/>
      <c r="I31" s="91"/>
      <c r="J31" s="91"/>
      <c r="K31" s="91"/>
    </row>
    <row r="32" spans="3:11">
      <c r="C32" s="140">
        <v>19.100000000000001</v>
      </c>
      <c r="D32" s="91"/>
      <c r="E32" s="91"/>
      <c r="F32" s="91"/>
      <c r="G32" s="91"/>
      <c r="H32" s="91"/>
      <c r="I32" s="91"/>
      <c r="J32" s="91"/>
      <c r="K32" s="91"/>
    </row>
    <row r="33" spans="3:11">
      <c r="C33" s="140">
        <v>19.2</v>
      </c>
      <c r="D33" s="91"/>
      <c r="E33" s="91"/>
      <c r="F33" s="91"/>
      <c r="G33" s="91"/>
      <c r="H33" s="91"/>
      <c r="I33" s="91"/>
      <c r="J33" s="91"/>
      <c r="K33" s="91"/>
    </row>
    <row r="34" spans="3:11">
      <c r="C34" s="140">
        <v>19.399999999999999</v>
      </c>
      <c r="D34" s="91"/>
      <c r="E34" s="91"/>
      <c r="F34" s="91"/>
      <c r="G34" s="91"/>
      <c r="H34" s="91"/>
      <c r="I34" s="91"/>
      <c r="J34" s="91"/>
      <c r="K34" s="91"/>
    </row>
    <row r="35" spans="3:11">
      <c r="C35" s="140">
        <v>19.8</v>
      </c>
      <c r="D35" s="91"/>
      <c r="E35" s="91"/>
      <c r="F35" s="91"/>
      <c r="G35" s="91"/>
      <c r="H35" s="91"/>
      <c r="I35" s="91"/>
      <c r="J35" s="91"/>
      <c r="K35" s="91"/>
    </row>
    <row r="36" spans="3:11">
      <c r="C36" s="140">
        <v>19.899999999999999</v>
      </c>
      <c r="D36" s="91"/>
      <c r="E36" s="91"/>
      <c r="F36" s="91"/>
      <c r="G36" s="91"/>
      <c r="H36" s="91"/>
      <c r="I36" s="91"/>
      <c r="J36" s="91"/>
      <c r="K36" s="91"/>
    </row>
    <row r="37" spans="3:11">
      <c r="C37" s="140">
        <v>20</v>
      </c>
      <c r="D37" s="91"/>
      <c r="E37" s="91"/>
      <c r="F37" s="91"/>
      <c r="G37" s="91"/>
      <c r="H37" s="91"/>
      <c r="I37" s="91"/>
      <c r="J37" s="91"/>
      <c r="K37" s="91"/>
    </row>
    <row r="38" spans="3:11">
      <c r="C38" s="140">
        <v>20.2</v>
      </c>
      <c r="D38" s="91"/>
      <c r="E38" s="91"/>
      <c r="F38" s="91"/>
      <c r="G38" s="91"/>
      <c r="H38" s="91"/>
      <c r="I38" s="91"/>
      <c r="J38" s="91"/>
      <c r="K38" s="91"/>
    </row>
    <row r="39" spans="3:11">
      <c r="C39" s="140">
        <v>20.3</v>
      </c>
      <c r="D39" s="91"/>
      <c r="E39" s="91"/>
      <c r="F39" s="91"/>
      <c r="G39" s="91"/>
      <c r="H39" s="91"/>
      <c r="I39" s="91"/>
      <c r="J39" s="91"/>
      <c r="K39" s="91"/>
    </row>
    <row r="40" spans="3:11">
      <c r="C40" s="140">
        <v>20.5</v>
      </c>
      <c r="D40" s="91"/>
      <c r="E40" s="91"/>
      <c r="F40" s="91"/>
      <c r="G40" s="91"/>
      <c r="H40" s="91"/>
      <c r="I40" s="91"/>
      <c r="J40" s="91"/>
      <c r="K40" s="91"/>
    </row>
    <row r="41" spans="3:11">
      <c r="C41" s="140">
        <v>20.6</v>
      </c>
      <c r="D41" s="91"/>
      <c r="E41" s="91"/>
      <c r="F41" s="91"/>
      <c r="G41" s="91"/>
      <c r="H41" s="91"/>
      <c r="I41" s="91"/>
      <c r="J41" s="91"/>
      <c r="K41" s="91"/>
    </row>
    <row r="42" spans="3:11">
      <c r="C42" s="140">
        <v>20.8</v>
      </c>
      <c r="D42" s="91"/>
      <c r="E42" s="91"/>
      <c r="F42" s="91"/>
      <c r="G42" s="91"/>
      <c r="H42" s="91"/>
      <c r="I42" s="91"/>
      <c r="J42" s="91"/>
      <c r="K42" s="91"/>
    </row>
    <row r="43" spans="3:11">
      <c r="C43" s="140">
        <v>21</v>
      </c>
      <c r="D43" s="91"/>
      <c r="E43" s="91"/>
      <c r="F43" s="91"/>
      <c r="G43" s="91"/>
      <c r="H43" s="91"/>
      <c r="I43" s="91"/>
      <c r="J43" s="91"/>
      <c r="K43" s="91"/>
    </row>
    <row r="44" spans="3:11">
      <c r="C44" s="140">
        <v>21.1</v>
      </c>
      <c r="D44" s="91"/>
      <c r="E44" s="91"/>
      <c r="F44" s="91"/>
      <c r="G44" s="91"/>
      <c r="H44" s="91"/>
      <c r="I44" s="91"/>
      <c r="J44" s="91"/>
      <c r="K44" s="91"/>
    </row>
    <row r="45" spans="3:11">
      <c r="C45" s="140">
        <v>21.5</v>
      </c>
      <c r="D45" s="91"/>
      <c r="E45" s="91"/>
      <c r="F45" s="91"/>
      <c r="G45" s="91"/>
      <c r="H45" s="91"/>
      <c r="I45" s="91"/>
      <c r="J45" s="91"/>
      <c r="K45" s="91"/>
    </row>
    <row r="46" spans="3:11">
      <c r="C46" s="140">
        <v>21.6</v>
      </c>
      <c r="D46" s="91"/>
      <c r="E46" s="91"/>
      <c r="F46" s="91"/>
      <c r="G46" s="91"/>
      <c r="H46" s="91"/>
      <c r="I46" s="91"/>
      <c r="J46" s="91"/>
      <c r="K46" s="91"/>
    </row>
    <row r="47" spans="3:11">
      <c r="C47" s="140">
        <v>22</v>
      </c>
      <c r="D47" s="91"/>
      <c r="E47" s="91"/>
      <c r="F47" s="91"/>
      <c r="G47" s="91"/>
      <c r="H47" s="91"/>
      <c r="I47" s="91"/>
      <c r="J47" s="91"/>
      <c r="K47" s="91"/>
    </row>
    <row r="48" spans="3:11">
      <c r="C48" s="140">
        <v>22.3</v>
      </c>
      <c r="D48" s="91"/>
      <c r="E48" s="91"/>
      <c r="F48" s="91"/>
      <c r="G48" s="91"/>
      <c r="H48" s="91"/>
      <c r="I48" s="91"/>
      <c r="J48" s="91"/>
      <c r="K48" s="91"/>
    </row>
    <row r="49" spans="3:11">
      <c r="C49" s="140">
        <v>22.4</v>
      </c>
      <c r="D49" s="91"/>
      <c r="E49" s="91"/>
      <c r="F49" s="91"/>
      <c r="G49" s="91"/>
      <c r="H49" s="91"/>
      <c r="I49" s="91"/>
      <c r="J49" s="91"/>
      <c r="K49" s="91"/>
    </row>
    <row r="50" spans="3:11">
      <c r="C50" s="140">
        <v>22.5</v>
      </c>
      <c r="D50" s="91"/>
      <c r="E50" s="91"/>
      <c r="F50" s="91"/>
      <c r="G50" s="91"/>
      <c r="H50" s="91"/>
      <c r="I50" s="91"/>
      <c r="J50" s="91"/>
      <c r="K50" s="91"/>
    </row>
    <row r="51" spans="3:11">
      <c r="C51" s="140">
        <v>23</v>
      </c>
      <c r="D51" s="91"/>
      <c r="E51" s="91"/>
      <c r="F51" s="91"/>
      <c r="G51" s="91"/>
      <c r="H51" s="91"/>
      <c r="I51" s="91"/>
      <c r="J51" s="91"/>
      <c r="K51" s="91"/>
    </row>
    <row r="52" spans="3:11">
      <c r="C52" s="140">
        <v>23.2</v>
      </c>
      <c r="D52" s="91"/>
      <c r="E52" s="91"/>
      <c r="F52" s="91"/>
      <c r="G52" s="91"/>
      <c r="H52" s="91"/>
      <c r="I52" s="91"/>
      <c r="J52" s="91"/>
      <c r="K52" s="91"/>
    </row>
    <row r="53" spans="3:11">
      <c r="C53" s="140">
        <v>23.5</v>
      </c>
      <c r="D53" s="91"/>
      <c r="E53" s="91"/>
      <c r="F53" s="91"/>
      <c r="G53" s="91"/>
      <c r="H53" s="91"/>
      <c r="I53" s="91"/>
      <c r="J53" s="91"/>
      <c r="K53" s="91"/>
    </row>
    <row r="54" spans="3:11">
      <c r="C54" s="140">
        <v>23.6</v>
      </c>
      <c r="D54" s="91"/>
      <c r="E54" s="91"/>
      <c r="F54" s="91"/>
      <c r="G54" s="91"/>
      <c r="H54" s="91"/>
      <c r="I54" s="91"/>
      <c r="J54" s="91"/>
      <c r="K54" s="91"/>
    </row>
    <row r="55" spans="3:11">
      <c r="C55" s="140">
        <v>23.7</v>
      </c>
      <c r="D55" s="91"/>
      <c r="E55" s="91"/>
      <c r="F55" s="91"/>
      <c r="G55" s="91"/>
      <c r="H55" s="91"/>
      <c r="I55" s="91"/>
      <c r="J55" s="91"/>
      <c r="K55" s="91"/>
    </row>
    <row r="56" spans="3:11">
      <c r="C56" s="140">
        <v>23.8</v>
      </c>
      <c r="D56" s="91"/>
      <c r="E56" s="91"/>
      <c r="F56" s="91"/>
      <c r="G56" s="91"/>
      <c r="H56" s="91"/>
      <c r="I56" s="91"/>
      <c r="J56" s="91"/>
      <c r="K56" s="91"/>
    </row>
    <row r="57" spans="3:11">
      <c r="C57" s="140">
        <v>23.9</v>
      </c>
      <c r="D57" s="91"/>
      <c r="E57" s="91"/>
      <c r="F57" s="91"/>
      <c r="G57" s="91"/>
      <c r="H57" s="91"/>
      <c r="I57" s="91"/>
      <c r="J57" s="91"/>
      <c r="K57" s="91"/>
    </row>
    <row r="58" spans="3:11">
      <c r="C58" s="140">
        <v>24</v>
      </c>
      <c r="D58" s="91"/>
      <c r="E58" s="91"/>
      <c r="F58" s="91"/>
      <c r="G58" s="91"/>
      <c r="H58" s="91"/>
      <c r="I58" s="91"/>
      <c r="J58" s="91"/>
      <c r="K58" s="91"/>
    </row>
    <row r="59" spans="3:11">
      <c r="C59" s="140">
        <v>24.2</v>
      </c>
      <c r="D59" s="91"/>
      <c r="E59" s="91"/>
      <c r="F59" s="91"/>
      <c r="G59" s="91"/>
      <c r="H59" s="91"/>
      <c r="I59" s="91"/>
      <c r="J59" s="91"/>
      <c r="K59" s="91"/>
    </row>
    <row r="60" spans="3:11">
      <c r="C60" s="140">
        <v>24.3</v>
      </c>
      <c r="D60" s="91"/>
      <c r="E60" s="91"/>
      <c r="F60" s="91"/>
      <c r="G60" s="91"/>
      <c r="H60" s="91"/>
      <c r="I60" s="91"/>
      <c r="J60" s="91"/>
      <c r="K60" s="91"/>
    </row>
    <row r="61" spans="3:11">
      <c r="C61" s="140">
        <v>24.5</v>
      </c>
      <c r="D61" s="91"/>
      <c r="E61" s="91"/>
      <c r="F61" s="91"/>
      <c r="G61" s="91"/>
      <c r="H61" s="91"/>
      <c r="I61" s="91"/>
      <c r="J61" s="91"/>
      <c r="K61" s="91"/>
    </row>
    <row r="62" spans="3:11">
      <c r="C62" s="140">
        <v>25</v>
      </c>
      <c r="D62" s="91"/>
      <c r="E62" s="91"/>
      <c r="F62" s="91"/>
      <c r="G62" s="91"/>
      <c r="H62" s="91"/>
      <c r="I62" s="91"/>
      <c r="J62" s="91"/>
      <c r="K62" s="91"/>
    </row>
    <row r="63" spans="3:11">
      <c r="C63" s="140">
        <v>25.1</v>
      </c>
      <c r="D63" s="91"/>
      <c r="E63" s="91"/>
      <c r="F63" s="91"/>
      <c r="G63" s="91"/>
      <c r="H63" s="91"/>
      <c r="I63" s="91"/>
      <c r="J63" s="91"/>
      <c r="K63" s="91"/>
    </row>
    <row r="64" spans="3:11">
      <c r="C64" s="140">
        <v>25.4</v>
      </c>
      <c r="D64" s="91"/>
      <c r="E64" s="91"/>
      <c r="F64" s="91"/>
      <c r="G64" s="91"/>
      <c r="H64" s="91"/>
      <c r="I64" s="91"/>
      <c r="J64" s="91"/>
      <c r="K64" s="91"/>
    </row>
    <row r="65" spans="3:11">
      <c r="C65" s="140">
        <v>25.5</v>
      </c>
      <c r="D65" s="91"/>
      <c r="E65" s="91"/>
      <c r="F65" s="91"/>
      <c r="G65" s="91"/>
      <c r="H65" s="91"/>
      <c r="I65" s="91"/>
      <c r="J65" s="91"/>
      <c r="K65" s="91"/>
    </row>
    <row r="66" spans="3:11">
      <c r="C66" s="140">
        <v>25.8</v>
      </c>
      <c r="D66" s="91"/>
      <c r="E66" s="91"/>
      <c r="F66" s="91"/>
      <c r="G66" s="91"/>
      <c r="H66" s="91"/>
      <c r="I66" s="91"/>
      <c r="J66" s="91"/>
      <c r="K66" s="91"/>
    </row>
    <row r="67" spans="3:11">
      <c r="C67" s="140">
        <v>26</v>
      </c>
      <c r="D67" s="91"/>
      <c r="E67" s="91"/>
      <c r="F67" s="91"/>
      <c r="G67" s="91"/>
      <c r="H67" s="91"/>
      <c r="I67" s="91"/>
      <c r="J67" s="91"/>
      <c r="K67" s="91"/>
    </row>
    <row r="68" spans="3:11">
      <c r="C68" s="140">
        <v>26.4</v>
      </c>
      <c r="D68" s="91"/>
      <c r="E68" s="91"/>
      <c r="F68" s="91"/>
      <c r="G68" s="91"/>
      <c r="H68" s="91"/>
      <c r="I68" s="91"/>
      <c r="J68" s="91"/>
      <c r="K68" s="91"/>
    </row>
    <row r="69" spans="3:11">
      <c r="C69" s="140">
        <v>26.5</v>
      </c>
      <c r="D69" s="91"/>
      <c r="E69" s="91"/>
      <c r="F69" s="91"/>
      <c r="G69" s="91"/>
      <c r="H69" s="91"/>
      <c r="I69" s="91"/>
      <c r="J69" s="91"/>
      <c r="K69" s="91"/>
    </row>
    <row r="70" spans="3:11">
      <c r="C70" s="140">
        <v>26.6</v>
      </c>
      <c r="D70" s="91"/>
      <c r="E70" s="91"/>
      <c r="F70" s="91"/>
      <c r="G70" s="91"/>
      <c r="H70" s="91"/>
      <c r="I70" s="91"/>
      <c r="J70" s="91"/>
      <c r="K70" s="91"/>
    </row>
    <row r="71" spans="3:11">
      <c r="C71" s="140">
        <v>26.8</v>
      </c>
      <c r="D71" s="91"/>
      <c r="E71" s="91"/>
      <c r="F71" s="91"/>
      <c r="G71" s="91"/>
      <c r="H71" s="91"/>
      <c r="I71" s="91"/>
      <c r="J71" s="91"/>
      <c r="K71" s="91"/>
    </row>
    <row r="72" spans="3:11">
      <c r="C72" s="140">
        <v>27</v>
      </c>
      <c r="D72" s="91"/>
      <c r="E72" s="91"/>
      <c r="F72" s="91"/>
      <c r="G72" s="91"/>
      <c r="H72" s="91"/>
      <c r="I72" s="91"/>
      <c r="J72" s="91"/>
      <c r="K72" s="91"/>
    </row>
    <row r="73" spans="3:11">
      <c r="C73" s="140">
        <v>27.2</v>
      </c>
      <c r="D73" s="91"/>
      <c r="E73" s="91"/>
      <c r="F73" s="91"/>
      <c r="G73" s="91"/>
      <c r="H73" s="91"/>
      <c r="I73" s="91"/>
      <c r="J73" s="91"/>
      <c r="K73" s="91"/>
    </row>
    <row r="74" spans="3:11">
      <c r="C74" s="140">
        <v>27.4</v>
      </c>
      <c r="D74" s="91"/>
      <c r="E74" s="91"/>
      <c r="F74" s="91"/>
      <c r="G74" s="91"/>
      <c r="H74" s="91"/>
      <c r="I74" s="91"/>
      <c r="J74" s="91"/>
      <c r="K74" s="91"/>
    </row>
    <row r="75" spans="3:11">
      <c r="C75" s="140">
        <v>27.5</v>
      </c>
      <c r="D75" s="91"/>
      <c r="E75" s="91"/>
      <c r="F75" s="91"/>
      <c r="G75" s="91"/>
      <c r="H75" s="91"/>
      <c r="I75" s="91"/>
      <c r="J75" s="91"/>
      <c r="K75" s="91"/>
    </row>
    <row r="76" spans="3:11">
      <c r="C76" s="140">
        <v>27.9</v>
      </c>
      <c r="D76" s="91"/>
      <c r="E76" s="91"/>
      <c r="F76" s="91"/>
      <c r="G76" s="91"/>
      <c r="H76" s="91"/>
      <c r="I76" s="91"/>
      <c r="J76" s="91"/>
      <c r="K76" s="91"/>
    </row>
    <row r="77" spans="3:11">
      <c r="C77" s="140">
        <v>28</v>
      </c>
      <c r="D77" s="91"/>
      <c r="E77" s="91"/>
      <c r="F77" s="91"/>
      <c r="G77" s="91"/>
      <c r="H77" s="91"/>
      <c r="I77" s="91"/>
      <c r="J77" s="91"/>
      <c r="K77" s="91"/>
    </row>
    <row r="78" spans="3:11">
      <c r="C78" s="140">
        <v>28.1</v>
      </c>
      <c r="D78" s="91"/>
      <c r="E78" s="91"/>
      <c r="F78" s="91"/>
      <c r="G78" s="91"/>
      <c r="H78" s="91"/>
      <c r="I78" s="91"/>
      <c r="J78" s="91"/>
      <c r="K78" s="91"/>
    </row>
    <row r="79" spans="3:11">
      <c r="C79" s="140">
        <v>28.4</v>
      </c>
      <c r="D79" s="91"/>
      <c r="E79" s="91"/>
      <c r="F79" s="91"/>
      <c r="G79" s="91"/>
      <c r="H79" s="91"/>
      <c r="I79" s="91"/>
      <c r="J79" s="91"/>
      <c r="K79" s="91"/>
    </row>
    <row r="80" spans="3:11">
      <c r="C80" s="140">
        <v>28.8</v>
      </c>
      <c r="D80" s="91"/>
      <c r="E80" s="91"/>
      <c r="F80" s="91"/>
      <c r="G80" s="91"/>
      <c r="H80" s="91"/>
      <c r="I80" s="91"/>
      <c r="J80" s="91"/>
      <c r="K80" s="91"/>
    </row>
    <row r="81" spans="3:11">
      <c r="C81" s="140">
        <v>29</v>
      </c>
      <c r="D81" s="91"/>
      <c r="E81" s="91"/>
      <c r="F81" s="91"/>
      <c r="G81" s="91"/>
      <c r="H81" s="91"/>
      <c r="I81" s="91"/>
      <c r="J81" s="91"/>
      <c r="K81" s="91"/>
    </row>
    <row r="82" spans="3:11">
      <c r="C82" s="140">
        <v>29.5</v>
      </c>
      <c r="D82" s="91"/>
      <c r="E82" s="91"/>
      <c r="F82" s="91"/>
      <c r="G82" s="91"/>
      <c r="H82" s="91"/>
      <c r="I82" s="91"/>
      <c r="J82" s="91"/>
      <c r="K82" s="91"/>
    </row>
    <row r="83" spans="3:11">
      <c r="C83" s="140">
        <v>29.8</v>
      </c>
      <c r="D83" s="91"/>
      <c r="E83" s="91"/>
      <c r="F83" s="91"/>
      <c r="G83" s="91"/>
      <c r="H83" s="91"/>
      <c r="I83" s="91"/>
      <c r="J83" s="91"/>
      <c r="K83" s="91"/>
    </row>
    <row r="84" spans="3:11">
      <c r="C84" s="140">
        <v>29.9</v>
      </c>
      <c r="D84" s="91"/>
      <c r="E84" s="91"/>
      <c r="F84" s="91"/>
      <c r="G84" s="91"/>
      <c r="H84" s="91"/>
      <c r="I84" s="91"/>
      <c r="J84" s="91"/>
      <c r="K84" s="91"/>
    </row>
    <row r="85" spans="3:11">
      <c r="C85" s="140">
        <v>30</v>
      </c>
      <c r="D85" s="91"/>
      <c r="E85" s="91"/>
      <c r="F85" s="91"/>
      <c r="G85" s="91"/>
      <c r="H85" s="91"/>
      <c r="I85" s="91"/>
      <c r="J85" s="91"/>
      <c r="K85" s="91"/>
    </row>
    <row r="86" spans="3:11">
      <c r="C86" s="140">
        <v>30.5</v>
      </c>
      <c r="D86" s="91"/>
      <c r="E86" s="91"/>
      <c r="F86" s="91"/>
      <c r="G86" s="91"/>
      <c r="H86" s="91"/>
      <c r="I86" s="91"/>
      <c r="J86" s="91"/>
      <c r="K86" s="91"/>
    </row>
    <row r="87" spans="3:11">
      <c r="C87" s="140">
        <v>30.7</v>
      </c>
      <c r="D87" s="91"/>
      <c r="E87" s="91"/>
      <c r="F87" s="91"/>
      <c r="G87" s="91"/>
      <c r="H87" s="91"/>
      <c r="I87" s="91"/>
      <c r="J87" s="91"/>
      <c r="K87" s="91"/>
    </row>
    <row r="88" spans="3:11">
      <c r="C88" s="140">
        <v>30.9</v>
      </c>
      <c r="D88" s="91"/>
      <c r="E88" s="91"/>
      <c r="F88" s="91"/>
      <c r="G88" s="91"/>
      <c r="H88" s="91"/>
      <c r="I88" s="91"/>
      <c r="J88" s="91"/>
      <c r="K88" s="91"/>
    </row>
    <row r="89" spans="3:11">
      <c r="C89" s="140">
        <v>31</v>
      </c>
      <c r="D89" s="91"/>
      <c r="E89" s="91"/>
      <c r="F89" s="91"/>
      <c r="G89" s="91"/>
      <c r="H89" s="91"/>
      <c r="I89" s="91"/>
      <c r="J89" s="91"/>
      <c r="K89" s="91"/>
    </row>
    <row r="90" spans="3:11">
      <c r="C90" s="140">
        <v>31.3</v>
      </c>
      <c r="D90" s="91"/>
      <c r="E90" s="91"/>
      <c r="F90" s="91"/>
      <c r="G90" s="91"/>
      <c r="H90" s="91"/>
      <c r="I90" s="91"/>
      <c r="J90" s="91"/>
      <c r="K90" s="91"/>
    </row>
    <row r="91" spans="3:11">
      <c r="C91" s="140">
        <v>31.5</v>
      </c>
      <c r="D91" s="91"/>
      <c r="E91" s="91"/>
      <c r="F91" s="91"/>
      <c r="G91" s="91"/>
      <c r="H91" s="91"/>
      <c r="I91" s="91"/>
      <c r="J91" s="91"/>
      <c r="K91" s="91"/>
    </row>
    <row r="92" spans="3:11">
      <c r="C92" s="140">
        <v>31.6</v>
      </c>
      <c r="D92" s="91"/>
      <c r="E92" s="91"/>
      <c r="F92" s="91"/>
      <c r="G92" s="91"/>
      <c r="H92" s="91"/>
      <c r="I92" s="91"/>
      <c r="J92" s="91"/>
      <c r="K92" s="91"/>
    </row>
    <row r="93" spans="3:11">
      <c r="C93" s="140">
        <v>31.8</v>
      </c>
      <c r="D93" s="91"/>
      <c r="E93" s="91"/>
      <c r="F93" s="91"/>
      <c r="G93" s="91"/>
      <c r="H93" s="91"/>
      <c r="I93" s="91"/>
      <c r="J93" s="91"/>
      <c r="K93" s="91"/>
    </row>
    <row r="94" spans="3:11">
      <c r="C94" s="140">
        <v>31.9</v>
      </c>
      <c r="D94" s="91"/>
      <c r="E94" s="91"/>
      <c r="F94" s="91"/>
      <c r="G94" s="91"/>
      <c r="H94" s="91"/>
      <c r="I94" s="91"/>
      <c r="J94" s="91"/>
      <c r="K94" s="91"/>
    </row>
    <row r="95" spans="3:11">
      <c r="C95" s="140">
        <v>32</v>
      </c>
      <c r="D95" s="91"/>
      <c r="E95" s="91"/>
      <c r="F95" s="91"/>
      <c r="G95" s="91"/>
      <c r="H95" s="91"/>
      <c r="I95" s="91"/>
      <c r="J95" s="91"/>
      <c r="K95" s="91"/>
    </row>
    <row r="96" spans="3:11">
      <c r="C96" s="140">
        <v>32.1</v>
      </c>
      <c r="D96" s="91"/>
      <c r="E96" s="91"/>
      <c r="F96" s="91"/>
      <c r="G96" s="91"/>
      <c r="H96" s="91"/>
      <c r="I96" s="91"/>
      <c r="J96" s="91"/>
      <c r="K96" s="91"/>
    </row>
    <row r="97" spans="3:11">
      <c r="C97" s="140">
        <v>32.200000000000003</v>
      </c>
      <c r="D97" s="91"/>
      <c r="E97" s="91"/>
      <c r="F97" s="91"/>
      <c r="G97" s="91"/>
      <c r="H97" s="91"/>
      <c r="I97" s="91"/>
      <c r="J97" s="91"/>
      <c r="K97" s="91"/>
    </row>
    <row r="98" spans="3:11">
      <c r="C98" s="140">
        <v>32.299999999999997</v>
      </c>
      <c r="D98" s="91"/>
      <c r="E98" s="91"/>
      <c r="F98" s="91"/>
      <c r="G98" s="91"/>
      <c r="H98" s="91"/>
      <c r="I98" s="91"/>
      <c r="J98" s="91"/>
      <c r="K98" s="91"/>
    </row>
    <row r="99" spans="3:11">
      <c r="C99" s="140">
        <v>32.4</v>
      </c>
      <c r="D99" s="91"/>
      <c r="E99" s="91"/>
      <c r="F99" s="91"/>
      <c r="G99" s="91"/>
      <c r="H99" s="91"/>
      <c r="I99" s="91"/>
      <c r="J99" s="91"/>
      <c r="K99" s="91"/>
    </row>
    <row r="100" spans="3:11">
      <c r="C100" s="140">
        <v>32.700000000000003</v>
      </c>
      <c r="D100" s="91"/>
      <c r="E100" s="91"/>
      <c r="F100" s="91"/>
      <c r="G100" s="91"/>
      <c r="H100" s="91"/>
      <c r="I100" s="91"/>
      <c r="J100" s="91"/>
      <c r="K100" s="91"/>
    </row>
    <row r="101" spans="3:11">
      <c r="C101" s="140">
        <v>32.799999999999997</v>
      </c>
      <c r="D101" s="91"/>
      <c r="E101" s="91"/>
      <c r="F101" s="91"/>
      <c r="G101" s="91"/>
      <c r="H101" s="91"/>
      <c r="I101" s="91"/>
      <c r="J101" s="91"/>
      <c r="K101" s="91"/>
    </row>
    <row r="102" spans="3:11">
      <c r="C102" s="140">
        <v>32.9</v>
      </c>
      <c r="D102" s="91"/>
      <c r="E102" s="91"/>
      <c r="F102" s="91"/>
      <c r="G102" s="91"/>
      <c r="H102" s="91"/>
      <c r="I102" s="91"/>
      <c r="J102" s="91"/>
      <c r="K102" s="91"/>
    </row>
    <row r="103" spans="3:11">
      <c r="C103" s="140">
        <v>33</v>
      </c>
      <c r="D103" s="91"/>
      <c r="E103" s="91"/>
      <c r="F103" s="91"/>
      <c r="G103" s="91"/>
      <c r="H103" s="91"/>
      <c r="I103" s="91"/>
      <c r="J103" s="91"/>
      <c r="K103" s="91"/>
    </row>
    <row r="104" spans="3:11">
      <c r="C104" s="140">
        <v>33.5</v>
      </c>
      <c r="D104" s="91"/>
      <c r="E104" s="91"/>
      <c r="F104" s="91"/>
      <c r="G104" s="91"/>
      <c r="H104" s="91"/>
      <c r="I104" s="91"/>
      <c r="J104" s="91"/>
      <c r="K104" s="91"/>
    </row>
    <row r="105" spans="3:11">
      <c r="C105" s="140">
        <v>33.700000000000003</v>
      </c>
      <c r="D105" s="91"/>
      <c r="E105" s="91"/>
      <c r="F105" s="91"/>
      <c r="G105" s="91"/>
      <c r="H105" s="91"/>
      <c r="I105" s="91"/>
      <c r="J105" s="91"/>
      <c r="K105" s="91"/>
    </row>
    <row r="106" spans="3:11">
      <c r="C106" s="140">
        <v>33.799999999999997</v>
      </c>
      <c r="D106" s="91"/>
      <c r="E106" s="91"/>
      <c r="F106" s="91"/>
      <c r="G106" s="91"/>
      <c r="H106" s="91"/>
      <c r="I106" s="91"/>
      <c r="J106" s="91"/>
      <c r="K106" s="91"/>
    </row>
    <row r="107" spans="3:11">
      <c r="C107" s="140">
        <v>34</v>
      </c>
      <c r="D107" s="91"/>
      <c r="E107" s="91"/>
      <c r="F107" s="91"/>
      <c r="G107" s="91"/>
      <c r="H107" s="91"/>
      <c r="I107" s="91"/>
      <c r="J107" s="91"/>
      <c r="K107" s="91"/>
    </row>
    <row r="108" spans="3:11">
      <c r="C108" s="140">
        <v>34.1</v>
      </c>
      <c r="D108" s="91"/>
      <c r="E108" s="91"/>
      <c r="F108" s="91"/>
      <c r="G108" s="91"/>
      <c r="H108" s="91"/>
      <c r="I108" s="91"/>
      <c r="J108" s="91"/>
      <c r="K108" s="91"/>
    </row>
    <row r="109" spans="3:11">
      <c r="C109" s="140">
        <v>34.200000000000003</v>
      </c>
      <c r="D109" s="91"/>
      <c r="E109" s="91"/>
      <c r="F109" s="91"/>
      <c r="G109" s="91"/>
      <c r="H109" s="91"/>
      <c r="I109" s="91"/>
      <c r="J109" s="91"/>
      <c r="K109" s="91"/>
    </row>
    <row r="110" spans="3:11">
      <c r="C110" s="140">
        <v>34.299999999999997</v>
      </c>
      <c r="D110" s="91"/>
      <c r="E110" s="91"/>
      <c r="F110" s="91"/>
      <c r="G110" s="91"/>
      <c r="H110" s="91"/>
      <c r="I110" s="91"/>
      <c r="J110" s="91"/>
      <c r="K110" s="91"/>
    </row>
    <row r="111" spans="3:11">
      <c r="C111" s="140">
        <v>34.4</v>
      </c>
      <c r="D111" s="91"/>
      <c r="E111" s="91"/>
      <c r="F111" s="91"/>
      <c r="G111" s="91"/>
      <c r="H111" s="91"/>
      <c r="I111" s="91"/>
      <c r="J111" s="91"/>
      <c r="K111" s="91"/>
    </row>
    <row r="112" spans="3:11">
      <c r="C112" s="140">
        <v>34.5</v>
      </c>
      <c r="D112" s="91"/>
      <c r="E112" s="91"/>
      <c r="F112" s="91"/>
      <c r="G112" s="91"/>
      <c r="H112" s="91"/>
      <c r="I112" s="91"/>
      <c r="J112" s="91"/>
      <c r="K112" s="91"/>
    </row>
    <row r="113" spans="3:11">
      <c r="C113" s="140">
        <v>34.700000000000003</v>
      </c>
      <c r="D113" s="91"/>
      <c r="E113" s="91"/>
      <c r="F113" s="91"/>
      <c r="G113" s="91"/>
      <c r="H113" s="91"/>
      <c r="I113" s="91"/>
      <c r="J113" s="91"/>
      <c r="K113" s="91"/>
    </row>
    <row r="114" spans="3:11">
      <c r="C114" s="140">
        <v>35</v>
      </c>
      <c r="D114" s="91"/>
      <c r="E114" s="91"/>
      <c r="F114" s="91"/>
      <c r="G114" s="91"/>
      <c r="H114" s="91"/>
      <c r="I114" s="91"/>
      <c r="J114" s="91"/>
      <c r="K114" s="91"/>
    </row>
    <row r="115" spans="3:11">
      <c r="C115" s="140">
        <v>35.1</v>
      </c>
      <c r="D115" s="91"/>
      <c r="E115" s="91"/>
      <c r="F115" s="91"/>
      <c r="G115" s="91"/>
      <c r="H115" s="91"/>
      <c r="I115" s="91"/>
      <c r="J115" s="91"/>
      <c r="K115" s="91"/>
    </row>
    <row r="116" spans="3:11">
      <c r="C116" s="140">
        <v>35.700000000000003</v>
      </c>
      <c r="D116" s="91"/>
      <c r="E116" s="91"/>
      <c r="F116" s="91"/>
      <c r="G116" s="91"/>
      <c r="H116" s="91"/>
      <c r="I116" s="91"/>
      <c r="J116" s="91"/>
      <c r="K116" s="91"/>
    </row>
    <row r="117" spans="3:11">
      <c r="C117" s="140">
        <v>36</v>
      </c>
      <c r="D117" s="91"/>
      <c r="E117" s="91"/>
      <c r="F117" s="91"/>
      <c r="G117" s="91"/>
      <c r="H117" s="91"/>
      <c r="I117" s="91"/>
      <c r="J117" s="91"/>
      <c r="K117" s="91"/>
    </row>
    <row r="118" spans="3:11">
      <c r="C118" s="140">
        <v>36.1</v>
      </c>
      <c r="D118" s="91"/>
      <c r="E118" s="91"/>
      <c r="F118" s="91"/>
      <c r="G118" s="91"/>
      <c r="H118" s="91"/>
      <c r="I118" s="91"/>
      <c r="J118" s="91"/>
      <c r="K118" s="91"/>
    </row>
    <row r="119" spans="3:11">
      <c r="C119" s="140">
        <v>36.4</v>
      </c>
      <c r="D119" s="91"/>
      <c r="E119" s="91"/>
      <c r="F119" s="91"/>
      <c r="G119" s="91"/>
      <c r="H119" s="91"/>
      <c r="I119" s="91"/>
      <c r="J119" s="91"/>
      <c r="K119" s="91"/>
    </row>
    <row r="120" spans="3:11">
      <c r="C120" s="140">
        <v>37</v>
      </c>
      <c r="D120" s="91"/>
      <c r="E120" s="91"/>
      <c r="F120" s="91"/>
      <c r="G120" s="91"/>
      <c r="H120" s="91"/>
      <c r="I120" s="91"/>
      <c r="J120" s="91"/>
      <c r="K120" s="91"/>
    </row>
    <row r="121" spans="3:11">
      <c r="C121" s="140">
        <v>37.200000000000003</v>
      </c>
      <c r="D121" s="91"/>
      <c r="E121" s="91"/>
      <c r="F121" s="91"/>
      <c r="G121" s="91"/>
      <c r="H121" s="91"/>
      <c r="I121" s="91"/>
      <c r="J121" s="91"/>
      <c r="K121" s="91"/>
    </row>
    <row r="122" spans="3:11">
      <c r="C122" s="140">
        <v>37.299999999999997</v>
      </c>
      <c r="D122" s="91"/>
      <c r="E122" s="91"/>
      <c r="F122" s="91"/>
      <c r="G122" s="91"/>
      <c r="H122" s="91"/>
      <c r="I122" s="91"/>
      <c r="J122" s="91"/>
      <c r="K122" s="91"/>
    </row>
    <row r="123" spans="3:11">
      <c r="C123" s="140">
        <v>37.700000000000003</v>
      </c>
      <c r="D123" s="91"/>
      <c r="E123" s="91"/>
      <c r="F123" s="91"/>
      <c r="G123" s="91"/>
      <c r="H123" s="91"/>
      <c r="I123" s="91"/>
      <c r="J123" s="91"/>
      <c r="K123" s="91"/>
    </row>
    <row r="124" spans="3:11">
      <c r="C124" s="140">
        <v>38</v>
      </c>
      <c r="D124" s="91"/>
      <c r="E124" s="91"/>
      <c r="F124" s="91"/>
      <c r="G124" s="91"/>
      <c r="H124" s="91"/>
      <c r="I124" s="91"/>
      <c r="J124" s="91"/>
      <c r="K124" s="91"/>
    </row>
    <row r="125" spans="3:11">
      <c r="C125" s="140">
        <v>38.1</v>
      </c>
      <c r="D125" s="91"/>
      <c r="E125" s="91"/>
      <c r="F125" s="91"/>
      <c r="G125" s="91"/>
      <c r="H125" s="91"/>
      <c r="I125" s="91"/>
      <c r="J125" s="91"/>
      <c r="K125" s="91"/>
    </row>
    <row r="126" spans="3:11">
      <c r="C126" s="140">
        <v>39</v>
      </c>
      <c r="D126" s="91"/>
      <c r="E126" s="91"/>
      <c r="F126" s="91"/>
      <c r="G126" s="91"/>
      <c r="H126" s="91"/>
      <c r="I126" s="91"/>
      <c r="J126" s="91"/>
      <c r="K126" s="91"/>
    </row>
    <row r="127" spans="3:11">
      <c r="C127" s="140">
        <v>39.1</v>
      </c>
      <c r="D127" s="91"/>
      <c r="E127" s="91"/>
      <c r="F127" s="91"/>
      <c r="G127" s="91"/>
      <c r="H127" s="91"/>
      <c r="I127" s="91"/>
      <c r="J127" s="91"/>
      <c r="K127" s="91"/>
    </row>
    <row r="128" spans="3:11">
      <c r="C128" s="140">
        <v>39.4</v>
      </c>
      <c r="D128" s="91"/>
      <c r="E128" s="91"/>
      <c r="F128" s="91"/>
      <c r="G128" s="91"/>
      <c r="H128" s="91"/>
      <c r="I128" s="91"/>
      <c r="J128" s="91"/>
      <c r="K128" s="91"/>
    </row>
    <row r="129" spans="3:11">
      <c r="C129" s="140">
        <v>40.799999999999997</v>
      </c>
      <c r="D129" s="91"/>
      <c r="E129" s="91"/>
      <c r="F129" s="91"/>
      <c r="G129" s="91"/>
      <c r="H129" s="91"/>
      <c r="I129" s="91"/>
      <c r="J129" s="91"/>
      <c r="K129" s="91"/>
    </row>
    <row r="130" spans="3:11">
      <c r="C130" s="140">
        <v>40.9</v>
      </c>
      <c r="D130" s="91"/>
      <c r="E130" s="91"/>
      <c r="F130" s="91"/>
      <c r="G130" s="91"/>
      <c r="H130" s="91"/>
      <c r="I130" s="91"/>
      <c r="J130" s="91"/>
      <c r="K130" s="91"/>
    </row>
    <row r="131" spans="3:11">
      <c r="C131" s="140">
        <v>41.5</v>
      </c>
      <c r="D131" s="91"/>
      <c r="E131" s="91"/>
      <c r="F131" s="91"/>
      <c r="G131" s="91"/>
      <c r="H131" s="91"/>
      <c r="I131" s="91"/>
      <c r="J131" s="91"/>
      <c r="K131" s="91"/>
    </row>
    <row r="132" spans="3:11">
      <c r="C132" s="140">
        <v>43.1</v>
      </c>
      <c r="D132" s="91"/>
      <c r="E132" s="91"/>
      <c r="F132" s="91"/>
      <c r="G132" s="91"/>
      <c r="H132" s="91"/>
      <c r="I132" s="91"/>
      <c r="J132" s="91"/>
      <c r="K132" s="91"/>
    </row>
    <row r="133" spans="3:11">
      <c r="C133" s="140">
        <v>43.4</v>
      </c>
      <c r="D133" s="91"/>
      <c r="E133" s="91"/>
      <c r="F133" s="91"/>
      <c r="G133" s="91"/>
      <c r="H133" s="91"/>
      <c r="I133" s="91"/>
      <c r="J133" s="91"/>
      <c r="K133" s="91"/>
    </row>
    <row r="134" spans="3:11">
      <c r="C134" s="140">
        <v>44</v>
      </c>
      <c r="D134" s="91"/>
      <c r="E134" s="91"/>
      <c r="F134" s="91"/>
      <c r="G134" s="91"/>
      <c r="H134" s="91"/>
      <c r="I134" s="91"/>
      <c r="J134" s="91"/>
      <c r="K134" s="91"/>
    </row>
    <row r="135" spans="3:11">
      <c r="C135" s="140">
        <v>44.3</v>
      </c>
      <c r="D135" s="91"/>
      <c r="E135" s="91"/>
      <c r="F135" s="91"/>
      <c r="G135" s="91"/>
      <c r="H135" s="91"/>
      <c r="I135" s="91"/>
      <c r="J135" s="91"/>
      <c r="K135" s="91"/>
    </row>
    <row r="136" spans="3:11">
      <c r="C136" s="140">
        <v>44.6</v>
      </c>
      <c r="D136" s="91"/>
      <c r="E136" s="91"/>
      <c r="F136" s="91"/>
      <c r="G136" s="91"/>
      <c r="H136" s="91"/>
      <c r="I136" s="91"/>
      <c r="J136" s="91"/>
      <c r="K136" s="91"/>
    </row>
    <row r="137" spans="3:11">
      <c r="C137" s="140">
        <v>46.6</v>
      </c>
      <c r="D137" s="91"/>
      <c r="E137" s="91"/>
      <c r="F137" s="91"/>
      <c r="G137" s="91"/>
      <c r="H137" s="91"/>
      <c r="I137" s="91"/>
      <c r="J137" s="91"/>
      <c r="K137" s="91"/>
    </row>
    <row r="138" spans="3:11">
      <c r="C138" s="140" t="s">
        <v>377</v>
      </c>
      <c r="D138" s="91"/>
      <c r="E138" s="91"/>
      <c r="F138" s="91"/>
      <c r="G138" s="91"/>
      <c r="H138" s="91"/>
      <c r="I138" s="91"/>
      <c r="J138" s="91"/>
      <c r="K138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2026-05-26T00:06:54Z</dcterms:modified>
</cp:coreProperties>
</file>