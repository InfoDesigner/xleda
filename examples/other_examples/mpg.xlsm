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97920253-9AC3-B745-9CB4-92A90B9165CE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Analysis'!$E$58:$M$58</definedName>
    <definedName name="FieldList1" localSheetId="5">#REF!</definedName>
    <definedName name="FieldList1" localSheetId="4">#REF!</definedName>
    <definedName name="FieldList2" localSheetId="0">'Field Analysis'!$E$59:$M$59</definedName>
    <definedName name="FieldList2" localSheetId="5">#REF!</definedName>
    <definedName name="FieldList2" localSheetId="4">#REF!</definedName>
    <definedName name="FieldList3" localSheetId="0">'Field Analysis'!$E$60:$M$60</definedName>
    <definedName name="FieldList3" localSheetId="5">#REF!</definedName>
    <definedName name="FieldList3" localSheetId="4">#REF!</definedName>
    <definedName name="FieldList4" localSheetId="0">'Field Analysis'!$E$61:$M$61</definedName>
    <definedName name="FieldList4" localSheetId="5">#REF!</definedName>
    <definedName name="FieldList4" localSheetId="4">#REF!</definedName>
    <definedName name="FieldList5" localSheetId="0">'Field Analysis'!$E$62:$M$62</definedName>
    <definedName name="FieldList5" localSheetId="5">#REF!</definedName>
    <definedName name="FieldList5" localSheetId="4">#REF!</definedName>
    <definedName name="FieldList6" localSheetId="0">'Field Analysis'!$E$63:$M$63</definedName>
    <definedName name="FieldList6" localSheetId="5">#REF!</definedName>
    <definedName name="FieldList6" localSheetId="4">#REF!</definedName>
    <definedName name="FieldList7" localSheetId="0">'Field Analysis'!$E$64:$M$64</definedName>
    <definedName name="FieldList7" localSheetId="5">#REF!</definedName>
    <definedName name="FieldList7" localSheetId="4">#REF!</definedName>
    <definedName name="FieldList8" localSheetId="0">'Field Analysis'!$E$65:$M$65</definedName>
    <definedName name="FieldList8" localSheetId="5">#REF!</definedName>
    <definedName name="FieldList8" localSheetId="4">#REF!</definedName>
    <definedName name="FieldLists" localSheetId="0">'Field Analysis'!$D$58:$M$65</definedName>
    <definedName name="FieldRange" localSheetId="0">'Field Analysis'!$E$79:$M$79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Analysis'!$E$17:$M$17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<sst xmlns="http://schemas.openxmlformats.org/spreadsheetml/2006/main" count="1041" uniqueCount="447">
  <si>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</si>
  <si>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</si>
  <si>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</si>
  <si>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</si>
  <si>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</si>
  <si>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</si>
  <si>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</si>
  <si>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</si>
  <si>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</si>
  <si>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</si>
  <si>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</si>
  <si>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</si>
  <si>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</si>
  <si>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</si>
  <si>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</si>
  <si>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</si>
  <si>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</si>
  <si>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</si>
  <si>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</si>
  <si>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</si>
  <si>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</si>
  <si>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</si>
  <si>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</si>
  <si>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</si>
  <si>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</si>
  <si>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</si>
  <si>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</si>
  <si>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</si>
  <si>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</si>
  <si>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</si>
  <si>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</si>
  <si>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</si>
  <si>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</si>
  <si>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</si>
  <si>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</si>
  <si>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</si>
  <si>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</si>
  <si>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</si>
  <si>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</si>
  <si>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</si>
  <si>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</si>
  <si>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</si>
  <si>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</si>
  <si>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</si>
  <si>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</si>
  <si>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</si>
  <si>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</si>
  <si>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</si>
  <si>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</si>
  <si>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</si>
  <si>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</si>
  <si>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</si>
  <si>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</si>
  <si>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</si>
  <si>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</si>
  <si>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</si>
  <si>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</si>
  <si>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</si>
  <si>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</si>
  <si>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</si>
  <si>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</si>
  <si>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</si>
  <si>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</si>
  <si>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</si>
  <si>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</si>
  <si>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</si>
  <si>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</si>
  <si>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</si>
  <si>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</si>
  <si>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</si>
  <si>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</si>
  <si>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</si>
  <si>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</si>
  <si>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</si>
  <si>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</si>
  <si>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</si>
  <si>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</si>
  <si>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</si>
  <si>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</si>
  <si>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Mpg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</si>
  <si>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</si>
  <si>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</si>
  <si>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</si>
  <si>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</si>
  <si>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</si>
  <si>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</si>
  <si>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</si>
  <si>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</si>
  <si>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</si>
  <si>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index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</si>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</sst>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7A8F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4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7A8F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42"/>
      <tableStyleElement type="headerRow" dxfId="241"/>
      <tableStyleElement type="totalRow" dxfId="240"/>
    </tableStyle>
    <tableStyle name="DarkTable" pivot="0" count="2" xr9:uid="{97C242D2-6F6D-4549-9428-17456D609B35}">
      <tableStyleElement type="wholeTable" dxfId="239"/>
      <tableStyleElement type="headerRow" dxfId="23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mpg">
          <a:extLst>
            <a:ext uri="{FF2B5EF4-FFF2-40B4-BE49-F238E27FC236}">
              <a16:creationId xmlns:a16="http://schemas.microsoft.com/office/drawing/2014/main" id="{627B9112-DC83-CCE6-28EC-2332D3C1C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mpg">
          <a:extLst>
            <a:ext uri="{FF2B5EF4-FFF2-40B4-BE49-F238E27FC236}">
              <a16:creationId xmlns:a16="http://schemas.microsoft.com/office/drawing/2014/main" id="{0BC56332-E83C-9D74-99FA-8840AEA26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cylinders">
          <a:extLst>
            <a:ext uri="{FF2B5EF4-FFF2-40B4-BE49-F238E27FC236}">
              <a16:creationId xmlns:a16="http://schemas.microsoft.com/office/drawing/2014/main" id="{0E415EAC-5520-6486-AE92-524B154A8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cylinders">
          <a:extLst>
            <a:ext uri="{FF2B5EF4-FFF2-40B4-BE49-F238E27FC236}">
              <a16:creationId xmlns:a16="http://schemas.microsoft.com/office/drawing/2014/main" id="{1B04FC38-D7A4-FAA3-627C-72D4985E7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displacement">
          <a:extLst>
            <a:ext uri="{FF2B5EF4-FFF2-40B4-BE49-F238E27FC236}">
              <a16:creationId xmlns:a16="http://schemas.microsoft.com/office/drawing/2014/main" id="{C014680D-DDD6-1721-7D9C-F00AEC764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displacement">
          <a:extLst>
            <a:ext uri="{FF2B5EF4-FFF2-40B4-BE49-F238E27FC236}">
              <a16:creationId xmlns:a16="http://schemas.microsoft.com/office/drawing/2014/main" id="{6ED96613-EB93-B34B-2778-CC19E43BE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horsepower">
          <a:extLst>
            <a:ext uri="{FF2B5EF4-FFF2-40B4-BE49-F238E27FC236}">
              <a16:creationId xmlns:a16="http://schemas.microsoft.com/office/drawing/2014/main" id="{3E859829-C49E-5F45-1A52-6B32B1D0C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horsepower">
          <a:extLst>
            <a:ext uri="{FF2B5EF4-FFF2-40B4-BE49-F238E27FC236}">
              <a16:creationId xmlns:a16="http://schemas.microsoft.com/office/drawing/2014/main" id="{E6B8E41C-9C8A-176C-8D25-2E3ACE8E8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weight">
          <a:extLst>
            <a:ext uri="{FF2B5EF4-FFF2-40B4-BE49-F238E27FC236}">
              <a16:creationId xmlns:a16="http://schemas.microsoft.com/office/drawing/2014/main" id="{6F9DF14E-474D-CB07-0867-688F3FFCC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weight">
          <a:extLst>
            <a:ext uri="{FF2B5EF4-FFF2-40B4-BE49-F238E27FC236}">
              <a16:creationId xmlns:a16="http://schemas.microsoft.com/office/drawing/2014/main" id="{39D66EF1-F57E-EE11-1A1D-5703E21AF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acceleration">
          <a:extLst>
            <a:ext uri="{FF2B5EF4-FFF2-40B4-BE49-F238E27FC236}">
              <a16:creationId xmlns:a16="http://schemas.microsoft.com/office/drawing/2014/main" id="{A9C279CB-9029-876B-1C7C-21E111745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acceleration">
          <a:extLst>
            <a:ext uri="{FF2B5EF4-FFF2-40B4-BE49-F238E27FC236}">
              <a16:creationId xmlns:a16="http://schemas.microsoft.com/office/drawing/2014/main" id="{8A5ADB77-6E51-35F2-34C2-44E6F8A23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model_year">
          <a:extLst>
            <a:ext uri="{FF2B5EF4-FFF2-40B4-BE49-F238E27FC236}">
              <a16:creationId xmlns:a16="http://schemas.microsoft.com/office/drawing/2014/main" id="{EEAE85D9-1EE1-208B-268B-D99D249E4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model_year">
          <a:extLst>
            <a:ext uri="{FF2B5EF4-FFF2-40B4-BE49-F238E27FC236}">
              <a16:creationId xmlns:a16="http://schemas.microsoft.com/office/drawing/2014/main" id="{C5CDD4E7-29C1-CD4D-0AD9-D97C8D0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origin">
          <a:extLst>
            <a:ext uri="{FF2B5EF4-FFF2-40B4-BE49-F238E27FC236}">
              <a16:creationId xmlns:a16="http://schemas.microsoft.com/office/drawing/2014/main" id="{DF541EB8-B0F8-7FA3-26D5-BC8972CAE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0" name="composition_name">
          <a:extLst>
            <a:ext uri="{FF2B5EF4-FFF2-40B4-BE49-F238E27FC236}">
              <a16:creationId xmlns:a16="http://schemas.microsoft.com/office/drawing/2014/main" id="{919F6BB0-794D-DBEC-AADD-6703D0254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51240046295" createdVersion="8" refreshedVersion="8" minRefreshableVersion="3" recordCount="398" xr:uid="{00DEDBB6-1F4A-4C10-B2D2-FF41FE7983D3}">
  <cacheSource type="worksheet">
    <worksheetSource name="tbl_SourceData"/>
  </cacheSource>
  <cacheFields count="13">
    <cacheField name="Record List" numFmtId="0">
      <sharedItems count="1">
        <b v="0"/>
      </sharedItems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index" numFmtId="0">
      <sharedItems containsSemiMixedTypes="0" containsString="0" containsNumber="1" containsInteger="1" minValue="0" maxValue="397" count="398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4.9106040842867304E+16" maxValue="1.8402581821307179E+19" count="398">
        <n v="7.4201167949116344E+18"/>
        <n v="5.6603945357026042E+17"/>
        <n v="1.5926546991706069E+19"/>
        <n v="1.5013760622001785E+19"/>
        <n v="1.2495093232593451E+19"/>
        <n v="2.9581867297982356E+18"/>
        <n v="1.2949552865222943E+19"/>
        <n v="1.2999578640652671E+19"/>
        <n v="1.8884526562172995E+18"/>
        <n v="9.0247041728622674E+18"/>
        <n v="1.5828449319386802E+19"/>
        <n v="1.2063434117439551E+19"/>
        <n v="1.7138052797259299E+19"/>
        <n v="1.0387603051965653E+19"/>
        <n v="9.7410705867996652E+18"/>
        <n v="1.2541895780379841E+19"/>
        <n v="5.7089468930839078E+17"/>
        <n v="2.2531367327349996E+18"/>
        <n v="1.4237073672489073E+19"/>
        <n v="1.4545069712501508E+19"/>
        <n v="7.5881694567844444E+18"/>
        <n v="1.703797420851831E+19"/>
        <n v="1.3497124906533992E+19"/>
        <n v="1.8148784538085935E+19"/>
        <n v="1.0654445027668266E+18"/>
        <n v="8.7456127387150715E+18"/>
        <n v="8.3039832660571597E+18"/>
        <n v="1.2104151931925965E+19"/>
        <n v="4.8666446760739123E+18"/>
        <n v="1.0597992590309134E+19"/>
        <n v="1.0519937551722512E+19"/>
        <n v="8.5534077232800696E+18"/>
        <n v="1.3049810374487702E+19"/>
        <n v="1.0480375843149775E+19"/>
        <n v="1.7977225152035525E+19"/>
        <n v="1.1779508887738612E+19"/>
        <n v="4.9092526834678252E+18"/>
        <n v="1.3063585420593883E+19"/>
        <n v="5.3962310509825556E+18"/>
        <n v="6.1979847725350707E+18"/>
        <n v="9.2664486893126221E+17"/>
        <n v="1.7518049418623324E+19"/>
        <n v="3.8867615281651564E+18"/>
        <n v="1.3092107314030538E+18"/>
        <n v="7.6810757358797568E+18"/>
        <n v="1.3562601547814441E+18"/>
        <n v="9.8460984759952957E+18"/>
        <n v="1.6510325050660215E+19"/>
        <n v="1.2760055116638398E+19"/>
        <n v="1.1017133979330095E+19"/>
        <n v="6.0961178093442458E+17"/>
        <n v="8.7421136542287452E+18"/>
        <n v="1.1331653085121083E+19"/>
        <n v="1.7204772996611305E+19"/>
        <n v="1.4936097151427344E+19"/>
        <n v="1.1638410052839256E+19"/>
        <n v="9.273718025301291E+18"/>
        <n v="7.726937652832852E+18"/>
        <n v="9.5627200531898286E+18"/>
        <n v="2.1077919920732101E+18"/>
        <n v="7.3712058439680963E+18"/>
        <n v="8.0190258927423293E+18"/>
        <n v="6.2776785416859904E+18"/>
        <n v="6.1856451369450117E+18"/>
        <n v="3.8838709858842066E+18"/>
        <n v="4.2814151082854676E+18"/>
        <n v="1.2102812633161691E+19"/>
        <n v="1.0096222597059412E+19"/>
        <n v="1.5902878007484372E+18"/>
        <n v="4.5845405935139461E+18"/>
        <n v="8.5305079262306263E+18"/>
        <n v="5.4859388370350449E+18"/>
        <n v="1.0832078960071365E+18"/>
        <n v="1.7178315530219227E+19"/>
        <n v="1.7796344375797481E+19"/>
        <n v="6.9952682657981553E+18"/>
        <n v="1.7063423358531662E+19"/>
        <n v="1.1736062075009845E+19"/>
        <n v="1.2947140512455535E+19"/>
        <n v="1.6567545715121224E+19"/>
        <n v="8.7863894254704312E+18"/>
        <n v="1.1250029191535634E+19"/>
        <n v="1.8312752148155861E+19"/>
        <n v="2.6181564075280916E+18"/>
        <n v="5.698403798907945E+18"/>
        <n v="8.5530183935683768E+18"/>
        <n v="4.0002039616889994E+18"/>
        <n v="4.2738749867801667E+18"/>
        <n v="1.7933672142060315E+19"/>
        <n v="8.5457720304344248E+18"/>
        <n v="8.4201581390565581E+18"/>
        <n v="1.6850153081953114E+19"/>
        <n v="1.3001555188383453E+19"/>
        <n v="7.8176232094340803E+18"/>
        <n v="1.6990619269039882E+19"/>
        <n v="9.6080452904806072E+18"/>
        <n v="1.5218955023155067E+19"/>
        <n v="8.4032665296185723E+18"/>
        <n v="1.2673941729785692E+18"/>
        <n v="1.4776780073254291E+19"/>
        <n v="2.5022008460792064E+18"/>
        <n v="1.0944810197491999E+19"/>
        <n v="1.3361757729779751E+19"/>
        <n v="2.3191729357748408E+18"/>
        <n v="3.7446838823958214E+17"/>
        <n v="1.3144128983425122E+19"/>
        <n v="9.4344481744962826E+18"/>
        <n v="2.541021390338604E+18"/>
        <n v="4.513438545584254E+18"/>
        <n v="7.4184157857067295E+18"/>
        <n v="1.836400301339827E+19"/>
        <n v="1.4388921434683308E+19"/>
        <n v="8.2888618474901821E+18"/>
        <n v="2.2001317307044829E+17"/>
        <n v="4.2240667055184312E+18"/>
        <n v="2.1104976645054838E+18"/>
        <n v="9.5150116898922557E+18"/>
        <n v="1.5907116142053331E+19"/>
        <n v="1.2991109321645242E+19"/>
        <n v="7.9015403393605696E+17"/>
        <n v="1.3632007337325101E+19"/>
        <n v="4.5011079872996434E+18"/>
        <n v="7.985159420356609E+18"/>
        <n v="8.965182834356949E+18"/>
        <n v="4.7665193524986993E+18"/>
        <n v="1.4234629133009298E+18"/>
        <n v="8.4738090036031514E+17"/>
        <n v="1.2039999476565037E+19"/>
        <n v="1.5525592070492877E+19"/>
        <n v="3.6823382221641011E+17"/>
        <n v="5.4084696745691044E+18"/>
        <n v="1.7379689472896227E+19"/>
        <n v="6.4814256396852859E+18"/>
        <n v="1.762252311574049E+19"/>
        <n v="1.1627108610227855E+19"/>
        <n v="1.8081616779170677E+19"/>
        <n v="1.052211340641961E+19"/>
        <n v="1.0753651373824152E+18"/>
        <n v="1.6343783702132206E+19"/>
        <n v="9.8744413787384038E+17"/>
        <n v="2.6819504611321395E+18"/>
        <n v="6.8275841656661012E+18"/>
        <n v="1.3404908650077673E+18"/>
        <n v="1.0657273012173074E+18"/>
        <n v="1.1242099580552346E+19"/>
        <n v="4.3876879158445537E+18"/>
        <n v="2.1739000167107507E+18"/>
        <n v="1.1147045215075396E+19"/>
        <n v="1.5249170226769283E+19"/>
        <n v="2.3541641517760251E+18"/>
        <n v="1.1112503261514086E+19"/>
        <n v="1.5145471564906756E+19"/>
        <n v="1.1497387132515908E+19"/>
        <n v="1.7924007957192192E+19"/>
        <n v="1.4100737072429044E+19"/>
        <n v="1.8798021328519511E+18"/>
        <n v="7.8199773949951846E+18"/>
        <n v="5.3266049488274268E+18"/>
        <n v="1.6454835805214573E+19"/>
        <n v="5.3771587085405778E+18"/>
        <n v="1.3534698693194605E+19"/>
        <n v="8.4730351533900165E+18"/>
        <n v="9.0726871964813507E+18"/>
        <n v="1.591906918261505E+19"/>
        <n v="1.404173698523128E+19"/>
        <n v="1.2889152805835139E+19"/>
        <n v="1.9054327217124104E+18"/>
        <n v="1.8171375161766576E+19"/>
        <n v="6.4383714338825769E+18"/>
        <n v="7.4109826082864302E+18"/>
        <n v="1.5799601265240381E+19"/>
        <n v="4.5379855515541202E+18"/>
        <n v="1.3343439536465277E+19"/>
        <n v="1.1177686902195038E+19"/>
        <n v="1.3253648177541456E+19"/>
        <n v="6.6960920474643661E+18"/>
        <n v="1.2763463434177561E+19"/>
        <n v="2.3885306337775293E+18"/>
        <n v="1.6895889103376409E+19"/>
        <n v="7.5669939841942006E+18"/>
        <n v="1.5174321224463532E+19"/>
        <n v="7.7386102882512415E+18"/>
        <n v="5.8051640768875387E+18"/>
        <n v="3.470926789897769E+18"/>
        <n v="1.3383665230735875E+18"/>
        <n v="1.5827231526711095E+19"/>
        <n v="9.3286118023217275E+18"/>
        <n v="9.3036439543725158E+18"/>
        <n v="1.440500626654607E+19"/>
        <n v="1.8458018676920269E+18"/>
        <n v="1.068694892534954E+19"/>
        <n v="1.685804729130521E+19"/>
        <n v="1.9911144628666703E+18"/>
        <n v="4.8327975225269699E+18"/>
        <n v="1.7821018395859126E+19"/>
        <n v="8.4976593320769864E+18"/>
        <n v="1.3289796170930514E+19"/>
        <n v="1.2419293533457256E+19"/>
        <n v="5.5827692093751409E+18"/>
        <n v="1.15747258846907E+19"/>
        <n v="1.0160308868614633E+19"/>
        <n v="1.6934001224448658E+18"/>
        <n v="2.6953336598162335E+18"/>
        <n v="1.3117011802289205E+19"/>
        <n v="9.786375405039915E+18"/>
        <n v="4.0067651968096727E+18"/>
        <n v="9.8117203222266081E+18"/>
        <n v="1.6417152913147587E+19"/>
        <n v="5.9930287039144653E+18"/>
        <n v="2.9217201022247475E+18"/>
        <n v="1.4474825684632929E+18"/>
        <n v="3.4802221155476593E+18"/>
        <n v="1.8119084149780015E+19"/>
        <n v="4.6390499480283054E+18"/>
        <n v="4.4433343198334705E+18"/>
        <n v="1.7988882668091277E+19"/>
        <n v="1.8016265951794506E+19"/>
        <n v="9.6631227250324541E+18"/>
        <n v="1.558876427509E+19"/>
        <n v="2.2855257415462479E+18"/>
        <n v="1.7354358143836879E+19"/>
        <n v="1.1552395188160557E+19"/>
        <n v="7.3683518295819141E+18"/>
        <n v="1.8350899003915594E+19"/>
        <n v="6.7184861057771633E+18"/>
        <n v="3.3985930409208842E+18"/>
        <n v="1.1164789817855316E+19"/>
        <n v="1.0138237083327363E+19"/>
        <n v="1.5462360500338846E+19"/>
        <n v="1.4732914610188556E+19"/>
        <n v="8.0208774908899594E+18"/>
        <n v="2.857014099307519E+17"/>
        <n v="1.0892786345869095E+19"/>
        <n v="7.5124588836178616E+18"/>
        <n v="1.5674365150818542E+19"/>
        <n v="8.5953826412713861E+18"/>
        <n v="1.0753747556624667E+19"/>
        <n v="4.8837199142006897E+18"/>
        <n v="8.2123288259153039E+18"/>
        <n v="5.8795953227769946E+17"/>
        <n v="9.9162996243796928E+17"/>
        <n v="9.0289810979540101E+18"/>
        <n v="8.5376139699148421E+18"/>
        <n v="1.3689216314009706E+19"/>
        <n v="3.1226618981459692E+18"/>
        <n v="1.5560363609797573E+19"/>
        <n v="1.8108414474816741E+19"/>
        <n v="1.3222408269378486E+18"/>
        <n v="5.3395115991574088E+18"/>
        <n v="1.7925402178134973E+18"/>
        <n v="1.506729977877529E+19"/>
        <n v="1.0722689032132762E+19"/>
        <n v="6.413780461230167E+18"/>
        <n v="1.0921445177223778E+19"/>
        <n v="1.7051607037981708E+19"/>
        <n v="1.0358643558139761E+19"/>
        <n v="1.0786561107197673E+19"/>
        <n v="3.9931552104251443E+18"/>
        <n v="1.7105117594541928E+19"/>
        <n v="5.7563125741733741E+17"/>
        <n v="1.6762702710959704E+19"/>
        <n v="8.6602286086638828E+18"/>
        <n v="1.1218366603560718E+19"/>
        <n v="1.447773458157731E+19"/>
        <n v="1.3931801810947613E+19"/>
        <n v="1.3783251549334688E+19"/>
        <n v="7.2222196019077622E+18"/>
        <n v="8.6663154397936292E+18"/>
        <n v="1.6154941532249008E+19"/>
        <n v="8.4470167060804454E+17"/>
        <n v="1.0079174963912612E+19"/>
        <n v="5.6799202391193661E+18"/>
        <n v="7.7853964316804782E+18"/>
        <n v="1.7744459672652638E+19"/>
        <n v="4.6583939959355843E+18"/>
        <n v="3.7919410848401603E+18"/>
        <n v="1.0229444853703944E+19"/>
        <n v="1.74373837591256E+19"/>
        <n v="1.5037147073579921E+19"/>
        <n v="4.6422931339365437E+18"/>
        <n v="8.9675613329894707E+18"/>
        <n v="1.7910362133905774E+18"/>
        <n v="1.0090956018566967E+19"/>
        <n v="5.9341383368452844E+18"/>
        <n v="9.2761407368441779E+17"/>
        <n v="1.6312198656057741E+19"/>
        <n v="9.0560467844714424E+18"/>
        <n v="1.3079825195379071E+19"/>
        <n v="2.0714012138249772E+18"/>
        <n v="9.9828556763147919E+18"/>
        <n v="1.7774472688078868E+19"/>
        <n v="1.0006651082370107E+19"/>
        <n v="9.0234365134915308E+18"/>
        <n v="1.6638804231824059E+18"/>
        <n v="1.4315241329355133E+19"/>
        <n v="7.9454308624835942E+18"/>
        <n v="1.5841630099365603E+19"/>
        <n v="1.5089936052058132E+19"/>
        <n v="1.0708883958780137E+19"/>
        <n v="7.2104908328360253E+18"/>
        <n v="2.9771072405449513E+18"/>
        <n v="1.2743510380953031E+19"/>
        <n v="1.1638920048096559E+19"/>
        <n v="1.3331894372623102E+19"/>
        <n v="1.285743272544502E+19"/>
        <n v="1.0357141835762526E+19"/>
        <n v="1.9105070865013368E+18"/>
        <n v="9.6943416927398236E+18"/>
        <n v="1.0486465719068656E+19"/>
        <n v="1.113276374682556E+19"/>
        <n v="4.6152712577571697E+18"/>
        <n v="4.6621354761844736E+18"/>
        <n v="1.4246781040108833E+19"/>
        <n v="4.8194129998372096E+18"/>
        <n v="1.2744403878355153E+19"/>
        <n v="1.4511521244416186E+19"/>
        <n v="2.4321241702804736E+18"/>
        <n v="8.5018568818679081E+18"/>
        <n v="1.0867730582142925E+19"/>
        <n v="2.8952690218763807E+18"/>
        <n v="8.8262793697869855E+18"/>
        <n v="1.0973564555612867E+19"/>
        <n v="1.1295818447089797E+19"/>
        <n v="1.8353046794650417E+19"/>
        <n v="1.7259334820694538E+18"/>
        <n v="5.154886563007017E+18"/>
        <n v="1.1744222064608292E+18"/>
        <n v="1.684014715092977E+19"/>
        <n v="9.4437419145996247E+18"/>
        <n v="1.8383368734723514E+19"/>
        <n v="6.2207479993869875E+18"/>
        <n v="5.3887081398255012E+18"/>
        <n v="7.3323474185278116E+18"/>
        <n v="1.6814757523438301E+19"/>
        <n v="1.6739183670575722E+19"/>
        <n v="6.1658455360984105E+18"/>
        <n v="1.4518738583659594E+18"/>
        <n v="1.5954148572148365E+19"/>
        <n v="1.6776686076780716E+19"/>
        <n v="2.0831636860451331E+18"/>
        <n v="3.0161655648933924E+18"/>
        <n v="1.7863816618855025E+19"/>
        <n v="1.2131366695560995E+19"/>
        <n v="8.4206100439806822E+18"/>
        <n v="7.7715258186762742E+18"/>
        <n v="3.1013940203569976E+18"/>
        <n v="4.9353923635770839E+18"/>
        <n v="5.3038451803250739E+18"/>
        <n v="9.4086858571347722E+18"/>
        <n v="1.8326348823815969E+19"/>
        <n v="3.7359457345459932E+18"/>
        <n v="8.2414059716242647E+18"/>
        <n v="9.1966124654052557E+17"/>
        <n v="1.6094967757524675E+18"/>
        <n v="8.8209851127239516E+18"/>
        <n v="1.8402581821307179E+19"/>
        <n v="1.6133076321946644E+19"/>
        <n v="5.5245894399631739E+18"/>
        <n v="6.6089922647013663E+18"/>
        <n v="1.3849945035069344E+19"/>
        <n v="7.8675414296407112E+18"/>
        <n v="3.0438028453651666E+18"/>
        <n v="8.3604149180588083E+18"/>
        <n v="6.1128325513099704E+18"/>
        <n v="8.1580757232924334E+18"/>
        <n v="5.1764901457934612E+18"/>
        <n v="8.169812054299861E+18"/>
        <n v="7.0850133795855872E+18"/>
        <n v="4.9106040842867304E+16"/>
        <n v="1.8142159286363169E+19"/>
        <n v="1.5453785559709207E+19"/>
        <n v="5.8094996085310044E+18"/>
        <n v="7.1651983751183903E+18"/>
        <n v="1.7681996773611426E+19"/>
        <n v="1.4499036827319564E+19"/>
        <n v="1.7651032170163818E+17"/>
        <n v="1.3854597456397613E+19"/>
        <n v="1.7242788855535466E+19"/>
        <n v="1.0908230132837839E+19"/>
        <n v="4.5755915361931653E+18"/>
        <n v="1.0046573623663063E+19"/>
        <n v="9.950789991375489E+18"/>
        <n v="1.1774038162142933E+19"/>
        <n v="7.3667382092434504E+18"/>
        <n v="9.0712116112563077E+18"/>
        <n v="1.0470029583566295E+19"/>
        <n v="5.6710955342071726E+18"/>
        <n v="1.4007606442400571E+19"/>
        <n v="7.6795655357528996E+18"/>
        <n v="1.0863918576049463E+19"/>
        <n v="1.7442284443253383E+19"/>
        <n v="1.1839706673258452E+18"/>
        <n v="1.2189913690355745E+19"/>
        <n v="1.4440500958915906E+19"/>
        <n v="2.5427461167243482E+17"/>
        <n v="4.6126355476757446E+17"/>
        <n v="9.2352955539439964E+18"/>
        <n v="1.3352883514034444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0"/>
    <x v="0"/>
    <x v="1"/>
    <x v="1"/>
    <x v="0"/>
    <x v="1"/>
  </r>
  <r>
    <x v="0"/>
    <x v="0"/>
    <x v="0"/>
    <x v="2"/>
    <x v="2"/>
    <x v="2"/>
    <x v="2"/>
    <x v="0"/>
    <x v="0"/>
    <x v="2"/>
    <x v="2"/>
    <x v="0"/>
    <x v="2"/>
  </r>
  <r>
    <x v="0"/>
    <x v="2"/>
    <x v="0"/>
    <x v="3"/>
    <x v="2"/>
    <x v="3"/>
    <x v="0"/>
    <x v="0"/>
    <x v="0"/>
    <x v="3"/>
    <x v="3"/>
    <x v="0"/>
    <x v="3"/>
  </r>
  <r>
    <x v="0"/>
    <x v="3"/>
    <x v="0"/>
    <x v="4"/>
    <x v="3"/>
    <x v="4"/>
    <x v="3"/>
    <x v="0"/>
    <x v="0"/>
    <x v="4"/>
    <x v="4"/>
    <x v="0"/>
    <x v="4"/>
  </r>
  <r>
    <x v="0"/>
    <x v="1"/>
    <x v="0"/>
    <x v="5"/>
    <x v="4"/>
    <x v="5"/>
    <x v="4"/>
    <x v="0"/>
    <x v="0"/>
    <x v="5"/>
    <x v="5"/>
    <x v="0"/>
    <x v="5"/>
  </r>
  <r>
    <x v="0"/>
    <x v="4"/>
    <x v="0"/>
    <x v="6"/>
    <x v="5"/>
    <x v="6"/>
    <x v="5"/>
    <x v="0"/>
    <x v="0"/>
    <x v="6"/>
    <x v="6"/>
    <x v="0"/>
    <x v="6"/>
  </r>
  <r>
    <x v="0"/>
    <x v="4"/>
    <x v="0"/>
    <x v="7"/>
    <x v="6"/>
    <x v="7"/>
    <x v="6"/>
    <x v="0"/>
    <x v="0"/>
    <x v="7"/>
    <x v="7"/>
    <x v="0"/>
    <x v="7"/>
  </r>
  <r>
    <x v="0"/>
    <x v="4"/>
    <x v="0"/>
    <x v="8"/>
    <x v="7"/>
    <x v="8"/>
    <x v="4"/>
    <x v="0"/>
    <x v="0"/>
    <x v="8"/>
    <x v="8"/>
    <x v="0"/>
    <x v="8"/>
  </r>
  <r>
    <x v="0"/>
    <x v="1"/>
    <x v="0"/>
    <x v="9"/>
    <x v="8"/>
    <x v="9"/>
    <x v="6"/>
    <x v="0"/>
    <x v="0"/>
    <x v="9"/>
    <x v="9"/>
    <x v="0"/>
    <x v="9"/>
  </r>
  <r>
    <x v="0"/>
    <x v="1"/>
    <x v="0"/>
    <x v="10"/>
    <x v="9"/>
    <x v="10"/>
    <x v="4"/>
    <x v="0"/>
    <x v="0"/>
    <x v="10"/>
    <x v="10"/>
    <x v="0"/>
    <x v="10"/>
  </r>
  <r>
    <x v="0"/>
    <x v="4"/>
    <x v="0"/>
    <x v="11"/>
    <x v="10"/>
    <x v="11"/>
    <x v="7"/>
    <x v="0"/>
    <x v="0"/>
    <x v="11"/>
    <x v="11"/>
    <x v="0"/>
    <x v="11"/>
  </r>
  <r>
    <x v="0"/>
    <x v="1"/>
    <x v="0"/>
    <x v="12"/>
    <x v="2"/>
    <x v="12"/>
    <x v="8"/>
    <x v="0"/>
    <x v="0"/>
    <x v="12"/>
    <x v="12"/>
    <x v="0"/>
    <x v="12"/>
  </r>
  <r>
    <x v="0"/>
    <x v="4"/>
    <x v="0"/>
    <x v="8"/>
    <x v="7"/>
    <x v="13"/>
    <x v="4"/>
    <x v="0"/>
    <x v="0"/>
    <x v="13"/>
    <x v="13"/>
    <x v="0"/>
    <x v="13"/>
  </r>
  <r>
    <x v="0"/>
    <x v="5"/>
    <x v="1"/>
    <x v="13"/>
    <x v="11"/>
    <x v="14"/>
    <x v="9"/>
    <x v="0"/>
    <x v="1"/>
    <x v="14"/>
    <x v="14"/>
    <x v="0"/>
    <x v="14"/>
  </r>
  <r>
    <x v="0"/>
    <x v="6"/>
    <x v="2"/>
    <x v="14"/>
    <x v="11"/>
    <x v="15"/>
    <x v="10"/>
    <x v="0"/>
    <x v="0"/>
    <x v="15"/>
    <x v="15"/>
    <x v="0"/>
    <x v="15"/>
  </r>
  <r>
    <x v="0"/>
    <x v="0"/>
    <x v="2"/>
    <x v="15"/>
    <x v="12"/>
    <x v="16"/>
    <x v="10"/>
    <x v="0"/>
    <x v="0"/>
    <x v="16"/>
    <x v="16"/>
    <x v="0"/>
    <x v="16"/>
  </r>
  <r>
    <x v="0"/>
    <x v="7"/>
    <x v="2"/>
    <x v="16"/>
    <x v="13"/>
    <x v="17"/>
    <x v="11"/>
    <x v="0"/>
    <x v="0"/>
    <x v="17"/>
    <x v="17"/>
    <x v="0"/>
    <x v="17"/>
  </r>
  <r>
    <x v="0"/>
    <x v="8"/>
    <x v="1"/>
    <x v="17"/>
    <x v="14"/>
    <x v="18"/>
    <x v="12"/>
    <x v="0"/>
    <x v="1"/>
    <x v="18"/>
    <x v="18"/>
    <x v="0"/>
    <x v="18"/>
  </r>
  <r>
    <x v="0"/>
    <x v="9"/>
    <x v="1"/>
    <x v="17"/>
    <x v="15"/>
    <x v="19"/>
    <x v="13"/>
    <x v="0"/>
    <x v="2"/>
    <x v="19"/>
    <x v="19"/>
    <x v="0"/>
    <x v="19"/>
  </r>
  <r>
    <x v="0"/>
    <x v="10"/>
    <x v="1"/>
    <x v="18"/>
    <x v="16"/>
    <x v="20"/>
    <x v="14"/>
    <x v="0"/>
    <x v="2"/>
    <x v="20"/>
    <x v="20"/>
    <x v="0"/>
    <x v="20"/>
  </r>
  <r>
    <x v="0"/>
    <x v="5"/>
    <x v="1"/>
    <x v="19"/>
    <x v="17"/>
    <x v="21"/>
    <x v="12"/>
    <x v="0"/>
    <x v="2"/>
    <x v="21"/>
    <x v="21"/>
    <x v="0"/>
    <x v="21"/>
  </r>
  <r>
    <x v="0"/>
    <x v="10"/>
    <x v="1"/>
    <x v="20"/>
    <x v="11"/>
    <x v="22"/>
    <x v="14"/>
    <x v="0"/>
    <x v="2"/>
    <x v="22"/>
    <x v="22"/>
    <x v="0"/>
    <x v="22"/>
  </r>
  <r>
    <x v="0"/>
    <x v="9"/>
    <x v="1"/>
    <x v="21"/>
    <x v="18"/>
    <x v="23"/>
    <x v="15"/>
    <x v="0"/>
    <x v="2"/>
    <x v="23"/>
    <x v="23"/>
    <x v="0"/>
    <x v="23"/>
  </r>
  <r>
    <x v="0"/>
    <x v="7"/>
    <x v="2"/>
    <x v="15"/>
    <x v="17"/>
    <x v="24"/>
    <x v="9"/>
    <x v="0"/>
    <x v="0"/>
    <x v="24"/>
    <x v="24"/>
    <x v="0"/>
    <x v="24"/>
  </r>
  <r>
    <x v="0"/>
    <x v="11"/>
    <x v="0"/>
    <x v="22"/>
    <x v="6"/>
    <x v="25"/>
    <x v="16"/>
    <x v="0"/>
    <x v="0"/>
    <x v="25"/>
    <x v="25"/>
    <x v="0"/>
    <x v="25"/>
  </r>
  <r>
    <x v="0"/>
    <x v="11"/>
    <x v="0"/>
    <x v="0"/>
    <x v="19"/>
    <x v="26"/>
    <x v="9"/>
    <x v="0"/>
    <x v="0"/>
    <x v="26"/>
    <x v="26"/>
    <x v="0"/>
    <x v="26"/>
  </r>
  <r>
    <x v="0"/>
    <x v="12"/>
    <x v="0"/>
    <x v="2"/>
    <x v="20"/>
    <x v="27"/>
    <x v="17"/>
    <x v="0"/>
    <x v="0"/>
    <x v="27"/>
    <x v="27"/>
    <x v="0"/>
    <x v="27"/>
  </r>
  <r>
    <x v="0"/>
    <x v="13"/>
    <x v="0"/>
    <x v="3"/>
    <x v="21"/>
    <x v="28"/>
    <x v="18"/>
    <x v="0"/>
    <x v="0"/>
    <x v="28"/>
    <x v="28"/>
    <x v="0"/>
    <x v="28"/>
  </r>
  <r>
    <x v="0"/>
    <x v="8"/>
    <x v="1"/>
    <x v="17"/>
    <x v="14"/>
    <x v="18"/>
    <x v="12"/>
    <x v="1"/>
    <x v="1"/>
    <x v="18"/>
    <x v="29"/>
    <x v="0"/>
    <x v="29"/>
  </r>
  <r>
    <x v="0"/>
    <x v="14"/>
    <x v="1"/>
    <x v="23"/>
    <x v="17"/>
    <x v="29"/>
    <x v="10"/>
    <x v="1"/>
    <x v="0"/>
    <x v="29"/>
    <x v="30"/>
    <x v="0"/>
    <x v="30"/>
  </r>
  <r>
    <x v="0"/>
    <x v="10"/>
    <x v="1"/>
    <x v="13"/>
    <x v="11"/>
    <x v="30"/>
    <x v="16"/>
    <x v="1"/>
    <x v="1"/>
    <x v="30"/>
    <x v="31"/>
    <x v="0"/>
    <x v="31"/>
  </r>
  <r>
    <x v="0"/>
    <x v="10"/>
    <x v="1"/>
    <x v="24"/>
    <x v="22"/>
    <x v="31"/>
    <x v="19"/>
    <x v="1"/>
    <x v="0"/>
    <x v="31"/>
    <x v="32"/>
    <x v="1"/>
    <x v="32"/>
  </r>
  <r>
    <x v="0"/>
    <x v="15"/>
    <x v="2"/>
    <x v="25"/>
    <x v="23"/>
    <x v="32"/>
    <x v="20"/>
    <x v="1"/>
    <x v="0"/>
    <x v="24"/>
    <x v="33"/>
    <x v="0"/>
    <x v="33"/>
  </r>
  <r>
    <x v="0"/>
    <x v="2"/>
    <x v="2"/>
    <x v="26"/>
    <x v="24"/>
    <x v="33"/>
    <x v="10"/>
    <x v="1"/>
    <x v="0"/>
    <x v="32"/>
    <x v="34"/>
    <x v="0"/>
    <x v="34"/>
  </r>
  <r>
    <x v="0"/>
    <x v="3"/>
    <x v="2"/>
    <x v="27"/>
    <x v="23"/>
    <x v="34"/>
    <x v="10"/>
    <x v="1"/>
    <x v="0"/>
    <x v="0"/>
    <x v="35"/>
    <x v="0"/>
    <x v="35"/>
  </r>
  <r>
    <x v="0"/>
    <x v="15"/>
    <x v="2"/>
    <x v="27"/>
    <x v="14"/>
    <x v="35"/>
    <x v="10"/>
    <x v="1"/>
    <x v="0"/>
    <x v="33"/>
    <x v="36"/>
    <x v="0"/>
    <x v="36"/>
  </r>
  <r>
    <x v="0"/>
    <x v="0"/>
    <x v="2"/>
    <x v="25"/>
    <x v="23"/>
    <x v="36"/>
    <x v="10"/>
    <x v="1"/>
    <x v="0"/>
    <x v="34"/>
    <x v="37"/>
    <x v="0"/>
    <x v="37"/>
  </r>
  <r>
    <x v="0"/>
    <x v="4"/>
    <x v="0"/>
    <x v="1"/>
    <x v="1"/>
    <x v="37"/>
    <x v="0"/>
    <x v="1"/>
    <x v="0"/>
    <x v="6"/>
    <x v="38"/>
    <x v="0"/>
    <x v="38"/>
  </r>
  <r>
    <x v="0"/>
    <x v="4"/>
    <x v="0"/>
    <x v="12"/>
    <x v="25"/>
    <x v="38"/>
    <x v="1"/>
    <x v="1"/>
    <x v="0"/>
    <x v="35"/>
    <x v="39"/>
    <x v="0"/>
    <x v="39"/>
  </r>
  <r>
    <x v="0"/>
    <x v="4"/>
    <x v="0"/>
    <x v="28"/>
    <x v="26"/>
    <x v="39"/>
    <x v="17"/>
    <x v="1"/>
    <x v="0"/>
    <x v="5"/>
    <x v="40"/>
    <x v="0"/>
    <x v="40"/>
  </r>
  <r>
    <x v="0"/>
    <x v="4"/>
    <x v="0"/>
    <x v="2"/>
    <x v="2"/>
    <x v="40"/>
    <x v="20"/>
    <x v="1"/>
    <x v="0"/>
    <x v="7"/>
    <x v="41"/>
    <x v="0"/>
    <x v="41"/>
  </r>
  <r>
    <x v="0"/>
    <x v="16"/>
    <x v="0"/>
    <x v="10"/>
    <x v="27"/>
    <x v="41"/>
    <x v="1"/>
    <x v="1"/>
    <x v="0"/>
    <x v="36"/>
    <x v="42"/>
    <x v="0"/>
    <x v="42"/>
  </r>
  <r>
    <x v="0"/>
    <x v="17"/>
    <x v="0"/>
    <x v="12"/>
    <x v="9"/>
    <x v="42"/>
    <x v="0"/>
    <x v="1"/>
    <x v="0"/>
    <x v="37"/>
    <x v="43"/>
    <x v="0"/>
    <x v="43"/>
  </r>
  <r>
    <x v="0"/>
    <x v="17"/>
    <x v="0"/>
    <x v="12"/>
    <x v="25"/>
    <x v="43"/>
    <x v="0"/>
    <x v="1"/>
    <x v="0"/>
    <x v="38"/>
    <x v="44"/>
    <x v="0"/>
    <x v="44"/>
  </r>
  <r>
    <x v="0"/>
    <x v="0"/>
    <x v="2"/>
    <x v="29"/>
    <x v="28"/>
    <x v="44"/>
    <x v="17"/>
    <x v="1"/>
    <x v="0"/>
    <x v="39"/>
    <x v="45"/>
    <x v="0"/>
    <x v="45"/>
  </r>
  <r>
    <x v="0"/>
    <x v="6"/>
    <x v="1"/>
    <x v="23"/>
    <x v="29"/>
    <x v="45"/>
    <x v="19"/>
    <x v="1"/>
    <x v="0"/>
    <x v="40"/>
    <x v="46"/>
    <x v="0"/>
    <x v="46"/>
  </r>
  <r>
    <x v="0"/>
    <x v="15"/>
    <x v="2"/>
    <x v="27"/>
    <x v="23"/>
    <x v="46"/>
    <x v="9"/>
    <x v="1"/>
    <x v="0"/>
    <x v="41"/>
    <x v="47"/>
    <x v="0"/>
    <x v="47"/>
  </r>
  <r>
    <x v="0"/>
    <x v="0"/>
    <x v="2"/>
    <x v="27"/>
    <x v="14"/>
    <x v="47"/>
    <x v="12"/>
    <x v="1"/>
    <x v="0"/>
    <x v="42"/>
    <x v="48"/>
    <x v="0"/>
    <x v="48"/>
  </r>
  <r>
    <x v="0"/>
    <x v="18"/>
    <x v="1"/>
    <x v="30"/>
    <x v="30"/>
    <x v="48"/>
    <x v="16"/>
    <x v="1"/>
    <x v="0"/>
    <x v="43"/>
    <x v="49"/>
    <x v="0"/>
    <x v="49"/>
  </r>
  <r>
    <x v="0"/>
    <x v="14"/>
    <x v="1"/>
    <x v="31"/>
    <x v="17"/>
    <x v="49"/>
    <x v="16"/>
    <x v="1"/>
    <x v="2"/>
    <x v="44"/>
    <x v="50"/>
    <x v="0"/>
    <x v="50"/>
  </r>
  <r>
    <x v="0"/>
    <x v="19"/>
    <x v="1"/>
    <x v="32"/>
    <x v="31"/>
    <x v="50"/>
    <x v="21"/>
    <x v="1"/>
    <x v="2"/>
    <x v="45"/>
    <x v="51"/>
    <x v="0"/>
    <x v="51"/>
  </r>
  <r>
    <x v="0"/>
    <x v="19"/>
    <x v="1"/>
    <x v="33"/>
    <x v="32"/>
    <x v="51"/>
    <x v="12"/>
    <x v="1"/>
    <x v="2"/>
    <x v="46"/>
    <x v="52"/>
    <x v="0"/>
    <x v="52"/>
  </r>
  <r>
    <x v="0"/>
    <x v="20"/>
    <x v="1"/>
    <x v="34"/>
    <x v="33"/>
    <x v="52"/>
    <x v="19"/>
    <x v="1"/>
    <x v="1"/>
    <x v="47"/>
    <x v="53"/>
    <x v="0"/>
    <x v="53"/>
  </r>
  <r>
    <x v="0"/>
    <x v="21"/>
    <x v="1"/>
    <x v="35"/>
    <x v="34"/>
    <x v="53"/>
    <x v="22"/>
    <x v="1"/>
    <x v="1"/>
    <x v="48"/>
    <x v="54"/>
    <x v="0"/>
    <x v="54"/>
  </r>
  <r>
    <x v="0"/>
    <x v="8"/>
    <x v="1"/>
    <x v="17"/>
    <x v="35"/>
    <x v="54"/>
    <x v="19"/>
    <x v="1"/>
    <x v="2"/>
    <x v="49"/>
    <x v="55"/>
    <x v="0"/>
    <x v="55"/>
  </r>
  <r>
    <x v="0"/>
    <x v="9"/>
    <x v="1"/>
    <x v="36"/>
    <x v="31"/>
    <x v="55"/>
    <x v="13"/>
    <x v="1"/>
    <x v="0"/>
    <x v="50"/>
    <x v="56"/>
    <x v="0"/>
    <x v="56"/>
  </r>
  <r>
    <x v="0"/>
    <x v="5"/>
    <x v="1"/>
    <x v="13"/>
    <x v="11"/>
    <x v="56"/>
    <x v="10"/>
    <x v="2"/>
    <x v="1"/>
    <x v="51"/>
    <x v="57"/>
    <x v="0"/>
    <x v="57"/>
  </r>
  <r>
    <x v="0"/>
    <x v="10"/>
    <x v="1"/>
    <x v="37"/>
    <x v="36"/>
    <x v="57"/>
    <x v="23"/>
    <x v="2"/>
    <x v="0"/>
    <x v="52"/>
    <x v="58"/>
    <x v="0"/>
    <x v="58"/>
  </r>
  <r>
    <x v="0"/>
    <x v="18"/>
    <x v="1"/>
    <x v="17"/>
    <x v="37"/>
    <x v="58"/>
    <x v="24"/>
    <x v="2"/>
    <x v="2"/>
    <x v="53"/>
    <x v="59"/>
    <x v="0"/>
    <x v="59"/>
  </r>
  <r>
    <x v="0"/>
    <x v="22"/>
    <x v="1"/>
    <x v="23"/>
    <x v="17"/>
    <x v="45"/>
    <x v="21"/>
    <x v="2"/>
    <x v="0"/>
    <x v="54"/>
    <x v="60"/>
    <x v="0"/>
    <x v="60"/>
  </r>
  <r>
    <x v="0"/>
    <x v="7"/>
    <x v="1"/>
    <x v="30"/>
    <x v="30"/>
    <x v="59"/>
    <x v="25"/>
    <x v="2"/>
    <x v="0"/>
    <x v="55"/>
    <x v="61"/>
    <x v="0"/>
    <x v="61"/>
  </r>
  <r>
    <x v="0"/>
    <x v="17"/>
    <x v="0"/>
    <x v="1"/>
    <x v="1"/>
    <x v="60"/>
    <x v="0"/>
    <x v="2"/>
    <x v="0"/>
    <x v="6"/>
    <x v="62"/>
    <x v="0"/>
    <x v="62"/>
  </r>
  <r>
    <x v="0"/>
    <x v="4"/>
    <x v="0"/>
    <x v="12"/>
    <x v="25"/>
    <x v="61"/>
    <x v="0"/>
    <x v="2"/>
    <x v="0"/>
    <x v="8"/>
    <x v="63"/>
    <x v="0"/>
    <x v="63"/>
  </r>
  <r>
    <x v="0"/>
    <x v="1"/>
    <x v="0"/>
    <x v="2"/>
    <x v="2"/>
    <x v="62"/>
    <x v="17"/>
    <x v="2"/>
    <x v="0"/>
    <x v="7"/>
    <x v="64"/>
    <x v="0"/>
    <x v="64"/>
  </r>
  <r>
    <x v="0"/>
    <x v="4"/>
    <x v="0"/>
    <x v="28"/>
    <x v="26"/>
    <x v="63"/>
    <x v="20"/>
    <x v="2"/>
    <x v="0"/>
    <x v="5"/>
    <x v="65"/>
    <x v="0"/>
    <x v="65"/>
  </r>
  <r>
    <x v="0"/>
    <x v="3"/>
    <x v="0"/>
    <x v="3"/>
    <x v="2"/>
    <x v="64"/>
    <x v="1"/>
    <x v="2"/>
    <x v="0"/>
    <x v="56"/>
    <x v="66"/>
    <x v="0"/>
    <x v="66"/>
  </r>
  <r>
    <x v="0"/>
    <x v="12"/>
    <x v="0"/>
    <x v="5"/>
    <x v="38"/>
    <x v="65"/>
    <x v="2"/>
    <x v="2"/>
    <x v="0"/>
    <x v="57"/>
    <x v="67"/>
    <x v="0"/>
    <x v="67"/>
  </r>
  <r>
    <x v="0"/>
    <x v="17"/>
    <x v="0"/>
    <x v="1"/>
    <x v="39"/>
    <x v="66"/>
    <x v="17"/>
    <x v="2"/>
    <x v="0"/>
    <x v="58"/>
    <x v="68"/>
    <x v="0"/>
    <x v="68"/>
  </r>
  <r>
    <x v="0"/>
    <x v="16"/>
    <x v="0"/>
    <x v="1"/>
    <x v="10"/>
    <x v="67"/>
    <x v="17"/>
    <x v="2"/>
    <x v="0"/>
    <x v="59"/>
    <x v="69"/>
    <x v="0"/>
    <x v="69"/>
  </r>
  <r>
    <x v="0"/>
    <x v="17"/>
    <x v="0"/>
    <x v="12"/>
    <x v="8"/>
    <x v="68"/>
    <x v="15"/>
    <x v="2"/>
    <x v="0"/>
    <x v="60"/>
    <x v="70"/>
    <x v="0"/>
    <x v="70"/>
  </r>
  <r>
    <x v="0"/>
    <x v="15"/>
    <x v="3"/>
    <x v="38"/>
    <x v="12"/>
    <x v="69"/>
    <x v="17"/>
    <x v="2"/>
    <x v="1"/>
    <x v="61"/>
    <x v="71"/>
    <x v="0"/>
    <x v="71"/>
  </r>
  <r>
    <x v="0"/>
    <x v="1"/>
    <x v="0"/>
    <x v="3"/>
    <x v="2"/>
    <x v="70"/>
    <x v="15"/>
    <x v="2"/>
    <x v="0"/>
    <x v="62"/>
    <x v="72"/>
    <x v="0"/>
    <x v="72"/>
  </r>
  <r>
    <x v="0"/>
    <x v="17"/>
    <x v="0"/>
    <x v="0"/>
    <x v="0"/>
    <x v="71"/>
    <x v="16"/>
    <x v="2"/>
    <x v="0"/>
    <x v="63"/>
    <x v="73"/>
    <x v="0"/>
    <x v="73"/>
  </r>
  <r>
    <x v="0"/>
    <x v="17"/>
    <x v="0"/>
    <x v="4"/>
    <x v="3"/>
    <x v="72"/>
    <x v="11"/>
    <x v="2"/>
    <x v="0"/>
    <x v="64"/>
    <x v="74"/>
    <x v="0"/>
    <x v="74"/>
  </r>
  <r>
    <x v="0"/>
    <x v="4"/>
    <x v="0"/>
    <x v="2"/>
    <x v="2"/>
    <x v="73"/>
    <x v="16"/>
    <x v="2"/>
    <x v="0"/>
    <x v="65"/>
    <x v="75"/>
    <x v="0"/>
    <x v="75"/>
  </r>
  <r>
    <x v="0"/>
    <x v="0"/>
    <x v="1"/>
    <x v="21"/>
    <x v="40"/>
    <x v="74"/>
    <x v="12"/>
    <x v="2"/>
    <x v="2"/>
    <x v="66"/>
    <x v="76"/>
    <x v="0"/>
    <x v="76"/>
  </r>
  <r>
    <x v="0"/>
    <x v="6"/>
    <x v="1"/>
    <x v="21"/>
    <x v="32"/>
    <x v="75"/>
    <x v="22"/>
    <x v="2"/>
    <x v="2"/>
    <x v="67"/>
    <x v="77"/>
    <x v="0"/>
    <x v="77"/>
  </r>
  <r>
    <x v="0"/>
    <x v="7"/>
    <x v="1"/>
    <x v="39"/>
    <x v="16"/>
    <x v="76"/>
    <x v="21"/>
    <x v="2"/>
    <x v="2"/>
    <x v="68"/>
    <x v="78"/>
    <x v="0"/>
    <x v="78"/>
  </r>
  <r>
    <x v="0"/>
    <x v="9"/>
    <x v="1"/>
    <x v="40"/>
    <x v="34"/>
    <x v="77"/>
    <x v="22"/>
    <x v="2"/>
    <x v="2"/>
    <x v="69"/>
    <x v="79"/>
    <x v="0"/>
    <x v="79"/>
  </r>
  <r>
    <x v="0"/>
    <x v="6"/>
    <x v="1"/>
    <x v="30"/>
    <x v="30"/>
    <x v="78"/>
    <x v="11"/>
    <x v="2"/>
    <x v="0"/>
    <x v="70"/>
    <x v="80"/>
    <x v="0"/>
    <x v="80"/>
  </r>
  <r>
    <x v="0"/>
    <x v="14"/>
    <x v="1"/>
    <x v="17"/>
    <x v="41"/>
    <x v="79"/>
    <x v="23"/>
    <x v="2"/>
    <x v="1"/>
    <x v="71"/>
    <x v="81"/>
    <x v="0"/>
    <x v="81"/>
  </r>
  <r>
    <x v="0"/>
    <x v="18"/>
    <x v="1"/>
    <x v="39"/>
    <x v="12"/>
    <x v="80"/>
    <x v="12"/>
    <x v="2"/>
    <x v="1"/>
    <x v="72"/>
    <x v="82"/>
    <x v="0"/>
    <x v="82"/>
  </r>
  <r>
    <x v="0"/>
    <x v="14"/>
    <x v="1"/>
    <x v="24"/>
    <x v="36"/>
    <x v="81"/>
    <x v="9"/>
    <x v="2"/>
    <x v="0"/>
    <x v="73"/>
    <x v="83"/>
    <x v="0"/>
    <x v="83"/>
  </r>
  <r>
    <x v="0"/>
    <x v="8"/>
    <x v="1"/>
    <x v="17"/>
    <x v="14"/>
    <x v="82"/>
    <x v="25"/>
    <x v="2"/>
    <x v="1"/>
    <x v="74"/>
    <x v="84"/>
    <x v="0"/>
    <x v="84"/>
  </r>
  <r>
    <x v="0"/>
    <x v="17"/>
    <x v="0"/>
    <x v="1"/>
    <x v="25"/>
    <x v="83"/>
    <x v="20"/>
    <x v="3"/>
    <x v="0"/>
    <x v="75"/>
    <x v="85"/>
    <x v="0"/>
    <x v="85"/>
  </r>
  <r>
    <x v="0"/>
    <x v="4"/>
    <x v="0"/>
    <x v="3"/>
    <x v="2"/>
    <x v="64"/>
    <x v="1"/>
    <x v="3"/>
    <x v="0"/>
    <x v="34"/>
    <x v="86"/>
    <x v="0"/>
    <x v="86"/>
  </r>
  <r>
    <x v="0"/>
    <x v="17"/>
    <x v="0"/>
    <x v="1"/>
    <x v="42"/>
    <x v="84"/>
    <x v="20"/>
    <x v="3"/>
    <x v="0"/>
    <x v="76"/>
    <x v="87"/>
    <x v="0"/>
    <x v="87"/>
  </r>
  <r>
    <x v="0"/>
    <x v="4"/>
    <x v="0"/>
    <x v="4"/>
    <x v="43"/>
    <x v="85"/>
    <x v="12"/>
    <x v="3"/>
    <x v="0"/>
    <x v="77"/>
    <x v="88"/>
    <x v="0"/>
    <x v="88"/>
  </r>
  <r>
    <x v="0"/>
    <x v="1"/>
    <x v="0"/>
    <x v="2"/>
    <x v="2"/>
    <x v="86"/>
    <x v="15"/>
    <x v="3"/>
    <x v="0"/>
    <x v="78"/>
    <x v="89"/>
    <x v="0"/>
    <x v="89"/>
  </r>
  <r>
    <x v="0"/>
    <x v="16"/>
    <x v="0"/>
    <x v="5"/>
    <x v="4"/>
    <x v="87"/>
    <x v="1"/>
    <x v="3"/>
    <x v="0"/>
    <x v="79"/>
    <x v="90"/>
    <x v="0"/>
    <x v="90"/>
  </r>
  <r>
    <x v="0"/>
    <x v="17"/>
    <x v="0"/>
    <x v="12"/>
    <x v="2"/>
    <x v="38"/>
    <x v="0"/>
    <x v="3"/>
    <x v="0"/>
    <x v="80"/>
    <x v="91"/>
    <x v="0"/>
    <x v="91"/>
  </r>
  <r>
    <x v="0"/>
    <x v="17"/>
    <x v="0"/>
    <x v="28"/>
    <x v="44"/>
    <x v="88"/>
    <x v="20"/>
    <x v="3"/>
    <x v="0"/>
    <x v="81"/>
    <x v="92"/>
    <x v="0"/>
    <x v="92"/>
  </r>
  <r>
    <x v="0"/>
    <x v="4"/>
    <x v="0"/>
    <x v="2"/>
    <x v="2"/>
    <x v="89"/>
    <x v="12"/>
    <x v="3"/>
    <x v="0"/>
    <x v="82"/>
    <x v="93"/>
    <x v="0"/>
    <x v="93"/>
  </r>
  <r>
    <x v="0"/>
    <x v="17"/>
    <x v="0"/>
    <x v="7"/>
    <x v="6"/>
    <x v="90"/>
    <x v="2"/>
    <x v="3"/>
    <x v="0"/>
    <x v="83"/>
    <x v="94"/>
    <x v="0"/>
    <x v="94"/>
  </r>
  <r>
    <x v="0"/>
    <x v="16"/>
    <x v="0"/>
    <x v="8"/>
    <x v="7"/>
    <x v="91"/>
    <x v="2"/>
    <x v="3"/>
    <x v="0"/>
    <x v="84"/>
    <x v="95"/>
    <x v="0"/>
    <x v="95"/>
  </r>
  <r>
    <x v="0"/>
    <x v="17"/>
    <x v="0"/>
    <x v="22"/>
    <x v="25"/>
    <x v="92"/>
    <x v="2"/>
    <x v="3"/>
    <x v="0"/>
    <x v="85"/>
    <x v="96"/>
    <x v="0"/>
    <x v="96"/>
  </r>
  <r>
    <x v="0"/>
    <x v="0"/>
    <x v="2"/>
    <x v="26"/>
    <x v="24"/>
    <x v="93"/>
    <x v="25"/>
    <x v="3"/>
    <x v="0"/>
    <x v="86"/>
    <x v="97"/>
    <x v="0"/>
    <x v="97"/>
  </r>
  <r>
    <x v="0"/>
    <x v="2"/>
    <x v="2"/>
    <x v="27"/>
    <x v="23"/>
    <x v="94"/>
    <x v="22"/>
    <x v="3"/>
    <x v="0"/>
    <x v="87"/>
    <x v="98"/>
    <x v="0"/>
    <x v="98"/>
  </r>
  <r>
    <x v="0"/>
    <x v="0"/>
    <x v="2"/>
    <x v="25"/>
    <x v="23"/>
    <x v="95"/>
    <x v="11"/>
    <x v="3"/>
    <x v="0"/>
    <x v="16"/>
    <x v="99"/>
    <x v="0"/>
    <x v="99"/>
  </r>
  <r>
    <x v="0"/>
    <x v="0"/>
    <x v="2"/>
    <x v="27"/>
    <x v="14"/>
    <x v="96"/>
    <x v="25"/>
    <x v="3"/>
    <x v="0"/>
    <x v="17"/>
    <x v="100"/>
    <x v="0"/>
    <x v="100"/>
  </r>
  <r>
    <x v="0"/>
    <x v="18"/>
    <x v="2"/>
    <x v="14"/>
    <x v="11"/>
    <x v="97"/>
    <x v="11"/>
    <x v="3"/>
    <x v="0"/>
    <x v="15"/>
    <x v="101"/>
    <x v="0"/>
    <x v="101"/>
  </r>
  <r>
    <x v="0"/>
    <x v="9"/>
    <x v="1"/>
    <x v="17"/>
    <x v="15"/>
    <x v="98"/>
    <x v="26"/>
    <x v="3"/>
    <x v="2"/>
    <x v="88"/>
    <x v="102"/>
    <x v="0"/>
    <x v="102"/>
  </r>
  <r>
    <x v="0"/>
    <x v="12"/>
    <x v="0"/>
    <x v="12"/>
    <x v="2"/>
    <x v="99"/>
    <x v="16"/>
    <x v="3"/>
    <x v="0"/>
    <x v="6"/>
    <x v="103"/>
    <x v="0"/>
    <x v="103"/>
  </r>
  <r>
    <x v="0"/>
    <x v="16"/>
    <x v="0"/>
    <x v="12"/>
    <x v="45"/>
    <x v="100"/>
    <x v="15"/>
    <x v="3"/>
    <x v="0"/>
    <x v="89"/>
    <x v="104"/>
    <x v="0"/>
    <x v="104"/>
  </r>
  <r>
    <x v="0"/>
    <x v="17"/>
    <x v="0"/>
    <x v="22"/>
    <x v="9"/>
    <x v="101"/>
    <x v="20"/>
    <x v="3"/>
    <x v="0"/>
    <x v="90"/>
    <x v="105"/>
    <x v="0"/>
    <x v="105"/>
  </r>
  <r>
    <x v="0"/>
    <x v="16"/>
    <x v="0"/>
    <x v="1"/>
    <x v="27"/>
    <x v="102"/>
    <x v="15"/>
    <x v="3"/>
    <x v="0"/>
    <x v="91"/>
    <x v="106"/>
    <x v="0"/>
    <x v="106"/>
  </r>
  <r>
    <x v="0"/>
    <x v="0"/>
    <x v="2"/>
    <x v="25"/>
    <x v="23"/>
    <x v="103"/>
    <x v="9"/>
    <x v="3"/>
    <x v="0"/>
    <x v="24"/>
    <x v="107"/>
    <x v="0"/>
    <x v="107"/>
  </r>
  <r>
    <x v="0"/>
    <x v="22"/>
    <x v="1"/>
    <x v="17"/>
    <x v="14"/>
    <x v="104"/>
    <x v="19"/>
    <x v="3"/>
    <x v="1"/>
    <x v="92"/>
    <x v="108"/>
    <x v="0"/>
    <x v="108"/>
  </r>
  <r>
    <x v="0"/>
    <x v="7"/>
    <x v="1"/>
    <x v="23"/>
    <x v="29"/>
    <x v="105"/>
    <x v="21"/>
    <x v="3"/>
    <x v="0"/>
    <x v="54"/>
    <x v="109"/>
    <x v="0"/>
    <x v="109"/>
  </r>
  <r>
    <x v="0"/>
    <x v="6"/>
    <x v="1"/>
    <x v="41"/>
    <x v="46"/>
    <x v="106"/>
    <x v="25"/>
    <x v="3"/>
    <x v="1"/>
    <x v="93"/>
    <x v="110"/>
    <x v="0"/>
    <x v="110"/>
  </r>
  <r>
    <x v="0"/>
    <x v="0"/>
    <x v="3"/>
    <x v="38"/>
    <x v="17"/>
    <x v="107"/>
    <x v="17"/>
    <x v="3"/>
    <x v="1"/>
    <x v="94"/>
    <x v="111"/>
    <x v="0"/>
    <x v="111"/>
  </r>
  <r>
    <x v="0"/>
    <x v="15"/>
    <x v="1"/>
    <x v="30"/>
    <x v="13"/>
    <x v="108"/>
    <x v="18"/>
    <x v="3"/>
    <x v="0"/>
    <x v="31"/>
    <x v="112"/>
    <x v="0"/>
    <x v="112"/>
  </r>
  <r>
    <x v="0"/>
    <x v="7"/>
    <x v="2"/>
    <x v="42"/>
    <x v="47"/>
    <x v="109"/>
    <x v="16"/>
    <x v="3"/>
    <x v="0"/>
    <x v="95"/>
    <x v="113"/>
    <x v="0"/>
    <x v="113"/>
  </r>
  <r>
    <x v="0"/>
    <x v="9"/>
    <x v="1"/>
    <x v="24"/>
    <x v="17"/>
    <x v="110"/>
    <x v="10"/>
    <x v="3"/>
    <x v="2"/>
    <x v="96"/>
    <x v="114"/>
    <x v="0"/>
    <x v="114"/>
  </r>
  <r>
    <x v="0"/>
    <x v="1"/>
    <x v="0"/>
    <x v="1"/>
    <x v="42"/>
    <x v="111"/>
    <x v="20"/>
    <x v="3"/>
    <x v="0"/>
    <x v="97"/>
    <x v="115"/>
    <x v="0"/>
    <x v="115"/>
  </r>
  <r>
    <x v="0"/>
    <x v="2"/>
    <x v="0"/>
    <x v="12"/>
    <x v="48"/>
    <x v="112"/>
    <x v="8"/>
    <x v="3"/>
    <x v="0"/>
    <x v="98"/>
    <x v="116"/>
    <x v="0"/>
    <x v="116"/>
  </r>
  <r>
    <x v="0"/>
    <x v="23"/>
    <x v="1"/>
    <x v="43"/>
    <x v="49"/>
    <x v="113"/>
    <x v="21"/>
    <x v="3"/>
    <x v="2"/>
    <x v="99"/>
    <x v="117"/>
    <x v="0"/>
    <x v="117"/>
  </r>
  <r>
    <x v="0"/>
    <x v="5"/>
    <x v="1"/>
    <x v="31"/>
    <x v="50"/>
    <x v="114"/>
    <x v="10"/>
    <x v="3"/>
    <x v="2"/>
    <x v="100"/>
    <x v="118"/>
    <x v="0"/>
    <x v="118"/>
  </r>
  <r>
    <x v="0"/>
    <x v="22"/>
    <x v="1"/>
    <x v="44"/>
    <x v="51"/>
    <x v="115"/>
    <x v="16"/>
    <x v="3"/>
    <x v="2"/>
    <x v="101"/>
    <x v="119"/>
    <x v="0"/>
    <x v="119"/>
  </r>
  <r>
    <x v="0"/>
    <x v="15"/>
    <x v="1"/>
    <x v="21"/>
    <x v="40"/>
    <x v="116"/>
    <x v="10"/>
    <x v="3"/>
    <x v="2"/>
    <x v="102"/>
    <x v="120"/>
    <x v="0"/>
    <x v="120"/>
  </r>
  <r>
    <x v="0"/>
    <x v="1"/>
    <x v="0"/>
    <x v="2"/>
    <x v="2"/>
    <x v="117"/>
    <x v="2"/>
    <x v="3"/>
    <x v="0"/>
    <x v="103"/>
    <x v="121"/>
    <x v="0"/>
    <x v="121"/>
  </r>
  <r>
    <x v="0"/>
    <x v="5"/>
    <x v="1"/>
    <x v="21"/>
    <x v="28"/>
    <x v="118"/>
    <x v="16"/>
    <x v="3"/>
    <x v="2"/>
    <x v="104"/>
    <x v="122"/>
    <x v="0"/>
    <x v="122"/>
  </r>
  <r>
    <x v="0"/>
    <x v="22"/>
    <x v="2"/>
    <x v="45"/>
    <x v="52"/>
    <x v="119"/>
    <x v="17"/>
    <x v="3"/>
    <x v="1"/>
    <x v="105"/>
    <x v="123"/>
    <x v="0"/>
    <x v="123"/>
  </r>
  <r>
    <x v="0"/>
    <x v="12"/>
    <x v="0"/>
    <x v="1"/>
    <x v="27"/>
    <x v="120"/>
    <x v="2"/>
    <x v="3"/>
    <x v="0"/>
    <x v="106"/>
    <x v="124"/>
    <x v="0"/>
    <x v="124"/>
  </r>
  <r>
    <x v="0"/>
    <x v="22"/>
    <x v="2"/>
    <x v="14"/>
    <x v="11"/>
    <x v="121"/>
    <x v="25"/>
    <x v="4"/>
    <x v="0"/>
    <x v="15"/>
    <x v="125"/>
    <x v="0"/>
    <x v="125"/>
  </r>
  <r>
    <x v="0"/>
    <x v="7"/>
    <x v="2"/>
    <x v="16"/>
    <x v="22"/>
    <x v="122"/>
    <x v="23"/>
    <x v="4"/>
    <x v="0"/>
    <x v="17"/>
    <x v="126"/>
    <x v="1"/>
    <x v="126"/>
  </r>
  <r>
    <x v="0"/>
    <x v="15"/>
    <x v="2"/>
    <x v="25"/>
    <x v="23"/>
    <x v="123"/>
    <x v="11"/>
    <x v="4"/>
    <x v="0"/>
    <x v="16"/>
    <x v="127"/>
    <x v="0"/>
    <x v="127"/>
  </r>
  <r>
    <x v="0"/>
    <x v="1"/>
    <x v="2"/>
    <x v="27"/>
    <x v="23"/>
    <x v="124"/>
    <x v="23"/>
    <x v="4"/>
    <x v="0"/>
    <x v="107"/>
    <x v="128"/>
    <x v="0"/>
    <x v="128"/>
  </r>
  <r>
    <x v="0"/>
    <x v="20"/>
    <x v="1"/>
    <x v="32"/>
    <x v="53"/>
    <x v="98"/>
    <x v="19"/>
    <x v="4"/>
    <x v="1"/>
    <x v="108"/>
    <x v="129"/>
    <x v="0"/>
    <x v="129"/>
  </r>
  <r>
    <x v="0"/>
    <x v="9"/>
    <x v="1"/>
    <x v="30"/>
    <x v="36"/>
    <x v="125"/>
    <x v="25"/>
    <x v="4"/>
    <x v="0"/>
    <x v="31"/>
    <x v="130"/>
    <x v="0"/>
    <x v="130"/>
  </r>
  <r>
    <x v="0"/>
    <x v="24"/>
    <x v="1"/>
    <x v="34"/>
    <x v="33"/>
    <x v="126"/>
    <x v="26"/>
    <x v="4"/>
    <x v="1"/>
    <x v="47"/>
    <x v="131"/>
    <x v="0"/>
    <x v="131"/>
  </r>
  <r>
    <x v="0"/>
    <x v="10"/>
    <x v="1"/>
    <x v="23"/>
    <x v="50"/>
    <x v="127"/>
    <x v="23"/>
    <x v="4"/>
    <x v="0"/>
    <x v="54"/>
    <x v="132"/>
    <x v="0"/>
    <x v="132"/>
  </r>
  <r>
    <x v="0"/>
    <x v="2"/>
    <x v="2"/>
    <x v="27"/>
    <x v="23"/>
    <x v="128"/>
    <x v="23"/>
    <x v="4"/>
    <x v="0"/>
    <x v="109"/>
    <x v="133"/>
    <x v="0"/>
    <x v="133"/>
  </r>
  <r>
    <x v="0"/>
    <x v="2"/>
    <x v="2"/>
    <x v="29"/>
    <x v="28"/>
    <x v="129"/>
    <x v="22"/>
    <x v="4"/>
    <x v="0"/>
    <x v="34"/>
    <x v="134"/>
    <x v="0"/>
    <x v="134"/>
  </r>
  <r>
    <x v="0"/>
    <x v="0"/>
    <x v="2"/>
    <x v="26"/>
    <x v="24"/>
    <x v="130"/>
    <x v="25"/>
    <x v="4"/>
    <x v="0"/>
    <x v="110"/>
    <x v="135"/>
    <x v="0"/>
    <x v="135"/>
  </r>
  <r>
    <x v="0"/>
    <x v="2"/>
    <x v="0"/>
    <x v="4"/>
    <x v="3"/>
    <x v="131"/>
    <x v="16"/>
    <x v="4"/>
    <x v="0"/>
    <x v="77"/>
    <x v="136"/>
    <x v="0"/>
    <x v="136"/>
  </r>
  <r>
    <x v="0"/>
    <x v="17"/>
    <x v="0"/>
    <x v="1"/>
    <x v="2"/>
    <x v="132"/>
    <x v="12"/>
    <x v="4"/>
    <x v="0"/>
    <x v="111"/>
    <x v="137"/>
    <x v="0"/>
    <x v="137"/>
  </r>
  <r>
    <x v="0"/>
    <x v="4"/>
    <x v="0"/>
    <x v="2"/>
    <x v="2"/>
    <x v="133"/>
    <x v="17"/>
    <x v="4"/>
    <x v="0"/>
    <x v="112"/>
    <x v="138"/>
    <x v="0"/>
    <x v="138"/>
  </r>
  <r>
    <x v="0"/>
    <x v="4"/>
    <x v="0"/>
    <x v="4"/>
    <x v="3"/>
    <x v="134"/>
    <x v="11"/>
    <x v="4"/>
    <x v="0"/>
    <x v="64"/>
    <x v="139"/>
    <x v="0"/>
    <x v="139"/>
  </r>
  <r>
    <x v="0"/>
    <x v="4"/>
    <x v="0"/>
    <x v="3"/>
    <x v="2"/>
    <x v="135"/>
    <x v="10"/>
    <x v="4"/>
    <x v="0"/>
    <x v="62"/>
    <x v="140"/>
    <x v="0"/>
    <x v="140"/>
  </r>
  <r>
    <x v="0"/>
    <x v="23"/>
    <x v="1"/>
    <x v="24"/>
    <x v="54"/>
    <x v="136"/>
    <x v="25"/>
    <x v="4"/>
    <x v="2"/>
    <x v="113"/>
    <x v="141"/>
    <x v="0"/>
    <x v="141"/>
  </r>
  <r>
    <x v="0"/>
    <x v="9"/>
    <x v="1"/>
    <x v="32"/>
    <x v="53"/>
    <x v="137"/>
    <x v="10"/>
    <x v="4"/>
    <x v="2"/>
    <x v="114"/>
    <x v="142"/>
    <x v="0"/>
    <x v="142"/>
  </r>
  <r>
    <x v="0"/>
    <x v="9"/>
    <x v="1"/>
    <x v="17"/>
    <x v="55"/>
    <x v="138"/>
    <x v="12"/>
    <x v="4"/>
    <x v="2"/>
    <x v="100"/>
    <x v="143"/>
    <x v="0"/>
    <x v="143"/>
  </r>
  <r>
    <x v="0"/>
    <x v="20"/>
    <x v="1"/>
    <x v="46"/>
    <x v="56"/>
    <x v="139"/>
    <x v="25"/>
    <x v="4"/>
    <x v="1"/>
    <x v="30"/>
    <x v="144"/>
    <x v="0"/>
    <x v="144"/>
  </r>
  <r>
    <x v="0"/>
    <x v="24"/>
    <x v="1"/>
    <x v="47"/>
    <x v="57"/>
    <x v="140"/>
    <x v="19"/>
    <x v="4"/>
    <x v="1"/>
    <x v="115"/>
    <x v="145"/>
    <x v="0"/>
    <x v="145"/>
  </r>
  <r>
    <x v="0"/>
    <x v="14"/>
    <x v="1"/>
    <x v="48"/>
    <x v="50"/>
    <x v="141"/>
    <x v="12"/>
    <x v="4"/>
    <x v="0"/>
    <x v="116"/>
    <x v="146"/>
    <x v="0"/>
    <x v="146"/>
  </r>
  <r>
    <x v="0"/>
    <x v="5"/>
    <x v="1"/>
    <x v="48"/>
    <x v="50"/>
    <x v="142"/>
    <x v="10"/>
    <x v="4"/>
    <x v="2"/>
    <x v="99"/>
    <x v="147"/>
    <x v="0"/>
    <x v="147"/>
  </r>
  <r>
    <x v="0"/>
    <x v="9"/>
    <x v="1"/>
    <x v="31"/>
    <x v="50"/>
    <x v="143"/>
    <x v="16"/>
    <x v="4"/>
    <x v="2"/>
    <x v="117"/>
    <x v="148"/>
    <x v="0"/>
    <x v="148"/>
  </r>
  <r>
    <x v="0"/>
    <x v="5"/>
    <x v="1"/>
    <x v="39"/>
    <x v="12"/>
    <x v="144"/>
    <x v="9"/>
    <x v="4"/>
    <x v="1"/>
    <x v="118"/>
    <x v="149"/>
    <x v="0"/>
    <x v="149"/>
  </r>
  <r>
    <x v="0"/>
    <x v="9"/>
    <x v="1"/>
    <x v="41"/>
    <x v="58"/>
    <x v="145"/>
    <x v="10"/>
    <x v="4"/>
    <x v="1"/>
    <x v="119"/>
    <x v="150"/>
    <x v="0"/>
    <x v="150"/>
  </r>
  <r>
    <x v="0"/>
    <x v="20"/>
    <x v="1"/>
    <x v="32"/>
    <x v="53"/>
    <x v="146"/>
    <x v="11"/>
    <x v="4"/>
    <x v="2"/>
    <x v="120"/>
    <x v="151"/>
    <x v="0"/>
    <x v="151"/>
  </r>
  <r>
    <x v="0"/>
    <x v="15"/>
    <x v="2"/>
    <x v="26"/>
    <x v="11"/>
    <x v="147"/>
    <x v="11"/>
    <x v="5"/>
    <x v="0"/>
    <x v="121"/>
    <x v="152"/>
    <x v="0"/>
    <x v="152"/>
  </r>
  <r>
    <x v="0"/>
    <x v="0"/>
    <x v="2"/>
    <x v="27"/>
    <x v="24"/>
    <x v="148"/>
    <x v="11"/>
    <x v="5"/>
    <x v="0"/>
    <x v="107"/>
    <x v="153"/>
    <x v="0"/>
    <x v="153"/>
  </r>
  <r>
    <x v="0"/>
    <x v="1"/>
    <x v="2"/>
    <x v="27"/>
    <x v="29"/>
    <x v="149"/>
    <x v="26"/>
    <x v="5"/>
    <x v="0"/>
    <x v="122"/>
    <x v="154"/>
    <x v="0"/>
    <x v="154"/>
  </r>
  <r>
    <x v="0"/>
    <x v="1"/>
    <x v="2"/>
    <x v="27"/>
    <x v="29"/>
    <x v="150"/>
    <x v="21"/>
    <x v="5"/>
    <x v="0"/>
    <x v="17"/>
    <x v="155"/>
    <x v="0"/>
    <x v="155"/>
  </r>
  <r>
    <x v="0"/>
    <x v="2"/>
    <x v="0"/>
    <x v="12"/>
    <x v="9"/>
    <x v="151"/>
    <x v="1"/>
    <x v="5"/>
    <x v="0"/>
    <x v="8"/>
    <x v="156"/>
    <x v="0"/>
    <x v="156"/>
  </r>
  <r>
    <x v="0"/>
    <x v="1"/>
    <x v="0"/>
    <x v="1"/>
    <x v="42"/>
    <x v="152"/>
    <x v="16"/>
    <x v="5"/>
    <x v="0"/>
    <x v="123"/>
    <x v="157"/>
    <x v="0"/>
    <x v="157"/>
  </r>
  <r>
    <x v="0"/>
    <x v="2"/>
    <x v="0"/>
    <x v="2"/>
    <x v="2"/>
    <x v="153"/>
    <x v="12"/>
    <x v="5"/>
    <x v="0"/>
    <x v="124"/>
    <x v="158"/>
    <x v="0"/>
    <x v="158"/>
  </r>
  <r>
    <x v="0"/>
    <x v="4"/>
    <x v="0"/>
    <x v="28"/>
    <x v="59"/>
    <x v="154"/>
    <x v="17"/>
    <x v="5"/>
    <x v="0"/>
    <x v="81"/>
    <x v="159"/>
    <x v="0"/>
    <x v="159"/>
  </r>
  <r>
    <x v="0"/>
    <x v="3"/>
    <x v="2"/>
    <x v="49"/>
    <x v="28"/>
    <x v="155"/>
    <x v="26"/>
    <x v="5"/>
    <x v="0"/>
    <x v="125"/>
    <x v="160"/>
    <x v="0"/>
    <x v="160"/>
  </r>
  <r>
    <x v="0"/>
    <x v="2"/>
    <x v="2"/>
    <x v="27"/>
    <x v="24"/>
    <x v="156"/>
    <x v="18"/>
    <x v="5"/>
    <x v="0"/>
    <x v="126"/>
    <x v="161"/>
    <x v="0"/>
    <x v="161"/>
  </r>
  <r>
    <x v="0"/>
    <x v="1"/>
    <x v="2"/>
    <x v="29"/>
    <x v="28"/>
    <x v="157"/>
    <x v="19"/>
    <x v="5"/>
    <x v="0"/>
    <x v="34"/>
    <x v="162"/>
    <x v="0"/>
    <x v="162"/>
  </r>
  <r>
    <x v="0"/>
    <x v="0"/>
    <x v="2"/>
    <x v="26"/>
    <x v="11"/>
    <x v="158"/>
    <x v="19"/>
    <x v="5"/>
    <x v="0"/>
    <x v="127"/>
    <x v="163"/>
    <x v="0"/>
    <x v="163"/>
  </r>
  <r>
    <x v="0"/>
    <x v="7"/>
    <x v="2"/>
    <x v="49"/>
    <x v="28"/>
    <x v="159"/>
    <x v="9"/>
    <x v="5"/>
    <x v="0"/>
    <x v="128"/>
    <x v="164"/>
    <x v="0"/>
    <x v="164"/>
  </r>
  <r>
    <x v="0"/>
    <x v="22"/>
    <x v="0"/>
    <x v="50"/>
    <x v="28"/>
    <x v="160"/>
    <x v="17"/>
    <x v="5"/>
    <x v="0"/>
    <x v="129"/>
    <x v="165"/>
    <x v="0"/>
    <x v="165"/>
  </r>
  <r>
    <x v="0"/>
    <x v="17"/>
    <x v="0"/>
    <x v="4"/>
    <x v="60"/>
    <x v="161"/>
    <x v="0"/>
    <x v="5"/>
    <x v="0"/>
    <x v="130"/>
    <x v="166"/>
    <x v="0"/>
    <x v="166"/>
  </r>
  <r>
    <x v="0"/>
    <x v="23"/>
    <x v="1"/>
    <x v="17"/>
    <x v="50"/>
    <x v="162"/>
    <x v="11"/>
    <x v="5"/>
    <x v="1"/>
    <x v="131"/>
    <x v="167"/>
    <x v="0"/>
    <x v="167"/>
  </r>
  <r>
    <x v="0"/>
    <x v="18"/>
    <x v="1"/>
    <x v="23"/>
    <x v="54"/>
    <x v="163"/>
    <x v="23"/>
    <x v="5"/>
    <x v="0"/>
    <x v="31"/>
    <x v="168"/>
    <x v="0"/>
    <x v="168"/>
  </r>
  <r>
    <x v="0"/>
    <x v="22"/>
    <x v="2"/>
    <x v="25"/>
    <x v="23"/>
    <x v="164"/>
    <x v="11"/>
    <x v="5"/>
    <x v="0"/>
    <x v="24"/>
    <x v="169"/>
    <x v="0"/>
    <x v="169"/>
  </r>
  <r>
    <x v="0"/>
    <x v="18"/>
    <x v="1"/>
    <x v="23"/>
    <x v="55"/>
    <x v="165"/>
    <x v="18"/>
    <x v="5"/>
    <x v="0"/>
    <x v="132"/>
    <x v="170"/>
    <x v="0"/>
    <x v="170"/>
  </r>
  <r>
    <x v="0"/>
    <x v="5"/>
    <x v="1"/>
    <x v="51"/>
    <x v="61"/>
    <x v="166"/>
    <x v="17"/>
    <x v="5"/>
    <x v="1"/>
    <x v="30"/>
    <x v="171"/>
    <x v="0"/>
    <x v="171"/>
  </r>
  <r>
    <x v="0"/>
    <x v="10"/>
    <x v="1"/>
    <x v="48"/>
    <x v="62"/>
    <x v="167"/>
    <x v="25"/>
    <x v="5"/>
    <x v="2"/>
    <x v="114"/>
    <x v="172"/>
    <x v="0"/>
    <x v="172"/>
  </r>
  <r>
    <x v="0"/>
    <x v="5"/>
    <x v="1"/>
    <x v="52"/>
    <x v="12"/>
    <x v="168"/>
    <x v="23"/>
    <x v="5"/>
    <x v="1"/>
    <x v="115"/>
    <x v="173"/>
    <x v="0"/>
    <x v="173"/>
  </r>
  <r>
    <x v="0"/>
    <x v="0"/>
    <x v="2"/>
    <x v="53"/>
    <x v="12"/>
    <x v="169"/>
    <x v="12"/>
    <x v="5"/>
    <x v="0"/>
    <x v="31"/>
    <x v="174"/>
    <x v="0"/>
    <x v="174"/>
  </r>
  <r>
    <x v="0"/>
    <x v="23"/>
    <x v="1"/>
    <x v="48"/>
    <x v="31"/>
    <x v="170"/>
    <x v="16"/>
    <x v="5"/>
    <x v="2"/>
    <x v="133"/>
    <x v="175"/>
    <x v="0"/>
    <x v="175"/>
  </r>
  <r>
    <x v="0"/>
    <x v="15"/>
    <x v="2"/>
    <x v="25"/>
    <x v="17"/>
    <x v="171"/>
    <x v="23"/>
    <x v="5"/>
    <x v="0"/>
    <x v="134"/>
    <x v="176"/>
    <x v="0"/>
    <x v="176"/>
  </r>
  <r>
    <x v="0"/>
    <x v="18"/>
    <x v="1"/>
    <x v="54"/>
    <x v="11"/>
    <x v="172"/>
    <x v="9"/>
    <x v="5"/>
    <x v="2"/>
    <x v="101"/>
    <x v="177"/>
    <x v="0"/>
    <x v="177"/>
  </r>
  <r>
    <x v="0"/>
    <x v="18"/>
    <x v="1"/>
    <x v="39"/>
    <x v="14"/>
    <x v="173"/>
    <x v="23"/>
    <x v="5"/>
    <x v="2"/>
    <x v="20"/>
    <x v="178"/>
    <x v="0"/>
    <x v="178"/>
  </r>
  <r>
    <x v="0"/>
    <x v="6"/>
    <x v="1"/>
    <x v="21"/>
    <x v="63"/>
    <x v="95"/>
    <x v="12"/>
    <x v="5"/>
    <x v="2"/>
    <x v="135"/>
    <x v="179"/>
    <x v="0"/>
    <x v="179"/>
  </r>
  <r>
    <x v="0"/>
    <x v="10"/>
    <x v="1"/>
    <x v="21"/>
    <x v="64"/>
    <x v="174"/>
    <x v="17"/>
    <x v="5"/>
    <x v="2"/>
    <x v="104"/>
    <x v="180"/>
    <x v="0"/>
    <x v="180"/>
  </r>
  <r>
    <x v="0"/>
    <x v="25"/>
    <x v="1"/>
    <x v="36"/>
    <x v="65"/>
    <x v="175"/>
    <x v="14"/>
    <x v="5"/>
    <x v="1"/>
    <x v="136"/>
    <x v="181"/>
    <x v="0"/>
    <x v="181"/>
  </r>
  <r>
    <x v="0"/>
    <x v="14"/>
    <x v="1"/>
    <x v="19"/>
    <x v="30"/>
    <x v="176"/>
    <x v="10"/>
    <x v="6"/>
    <x v="2"/>
    <x v="137"/>
    <x v="182"/>
    <x v="0"/>
    <x v="182"/>
  </r>
  <r>
    <x v="0"/>
    <x v="10"/>
    <x v="1"/>
    <x v="31"/>
    <x v="66"/>
    <x v="48"/>
    <x v="27"/>
    <x v="6"/>
    <x v="2"/>
    <x v="44"/>
    <x v="183"/>
    <x v="0"/>
    <x v="183"/>
  </r>
  <r>
    <x v="0"/>
    <x v="10"/>
    <x v="1"/>
    <x v="23"/>
    <x v="41"/>
    <x v="177"/>
    <x v="28"/>
    <x v="6"/>
    <x v="0"/>
    <x v="138"/>
    <x v="184"/>
    <x v="0"/>
    <x v="184"/>
  </r>
  <r>
    <x v="0"/>
    <x v="9"/>
    <x v="1"/>
    <x v="24"/>
    <x v="67"/>
    <x v="178"/>
    <x v="29"/>
    <x v="6"/>
    <x v="0"/>
    <x v="116"/>
    <x v="185"/>
    <x v="0"/>
    <x v="185"/>
  </r>
  <r>
    <x v="0"/>
    <x v="8"/>
    <x v="1"/>
    <x v="55"/>
    <x v="54"/>
    <x v="179"/>
    <x v="30"/>
    <x v="6"/>
    <x v="2"/>
    <x v="139"/>
    <x v="186"/>
    <x v="0"/>
    <x v="186"/>
  </r>
  <r>
    <x v="0"/>
    <x v="26"/>
    <x v="0"/>
    <x v="56"/>
    <x v="3"/>
    <x v="180"/>
    <x v="20"/>
    <x v="6"/>
    <x v="0"/>
    <x v="109"/>
    <x v="187"/>
    <x v="0"/>
    <x v="187"/>
  </r>
  <r>
    <x v="0"/>
    <x v="2"/>
    <x v="0"/>
    <x v="2"/>
    <x v="2"/>
    <x v="181"/>
    <x v="20"/>
    <x v="6"/>
    <x v="0"/>
    <x v="140"/>
    <x v="188"/>
    <x v="0"/>
    <x v="188"/>
  </r>
  <r>
    <x v="0"/>
    <x v="27"/>
    <x v="0"/>
    <x v="3"/>
    <x v="68"/>
    <x v="182"/>
    <x v="31"/>
    <x v="6"/>
    <x v="0"/>
    <x v="34"/>
    <x v="189"/>
    <x v="0"/>
    <x v="189"/>
  </r>
  <r>
    <x v="0"/>
    <x v="28"/>
    <x v="0"/>
    <x v="28"/>
    <x v="69"/>
    <x v="180"/>
    <x v="32"/>
    <x v="6"/>
    <x v="0"/>
    <x v="77"/>
    <x v="190"/>
    <x v="0"/>
    <x v="190"/>
  </r>
  <r>
    <x v="0"/>
    <x v="6"/>
    <x v="2"/>
    <x v="26"/>
    <x v="23"/>
    <x v="183"/>
    <x v="33"/>
    <x v="6"/>
    <x v="0"/>
    <x v="86"/>
    <x v="191"/>
    <x v="0"/>
    <x v="191"/>
  </r>
  <r>
    <x v="0"/>
    <x v="6"/>
    <x v="2"/>
    <x v="27"/>
    <x v="24"/>
    <x v="184"/>
    <x v="12"/>
    <x v="6"/>
    <x v="0"/>
    <x v="107"/>
    <x v="192"/>
    <x v="0"/>
    <x v="192"/>
  </r>
  <r>
    <x v="0"/>
    <x v="5"/>
    <x v="2"/>
    <x v="16"/>
    <x v="66"/>
    <x v="185"/>
    <x v="34"/>
    <x v="6"/>
    <x v="0"/>
    <x v="17"/>
    <x v="193"/>
    <x v="0"/>
    <x v="193"/>
  </r>
  <r>
    <x v="0"/>
    <x v="29"/>
    <x v="2"/>
    <x v="25"/>
    <x v="17"/>
    <x v="186"/>
    <x v="34"/>
    <x v="6"/>
    <x v="0"/>
    <x v="16"/>
    <x v="194"/>
    <x v="0"/>
    <x v="194"/>
  </r>
  <r>
    <x v="0"/>
    <x v="23"/>
    <x v="1"/>
    <x v="57"/>
    <x v="56"/>
    <x v="187"/>
    <x v="35"/>
    <x v="6"/>
    <x v="0"/>
    <x v="141"/>
    <x v="195"/>
    <x v="0"/>
    <x v="195"/>
  </r>
  <r>
    <x v="0"/>
    <x v="30"/>
    <x v="1"/>
    <x v="24"/>
    <x v="35"/>
    <x v="81"/>
    <x v="36"/>
    <x v="6"/>
    <x v="0"/>
    <x v="142"/>
    <x v="196"/>
    <x v="0"/>
    <x v="196"/>
  </r>
  <r>
    <x v="0"/>
    <x v="23"/>
    <x v="1"/>
    <x v="48"/>
    <x v="31"/>
    <x v="170"/>
    <x v="37"/>
    <x v="6"/>
    <x v="2"/>
    <x v="143"/>
    <x v="197"/>
    <x v="0"/>
    <x v="197"/>
  </r>
  <r>
    <x v="0"/>
    <x v="25"/>
    <x v="1"/>
    <x v="36"/>
    <x v="65"/>
    <x v="175"/>
    <x v="38"/>
    <x v="6"/>
    <x v="1"/>
    <x v="118"/>
    <x v="198"/>
    <x v="0"/>
    <x v="198"/>
  </r>
  <r>
    <x v="0"/>
    <x v="22"/>
    <x v="2"/>
    <x v="26"/>
    <x v="23"/>
    <x v="188"/>
    <x v="29"/>
    <x v="6"/>
    <x v="0"/>
    <x v="144"/>
    <x v="199"/>
    <x v="0"/>
    <x v="199"/>
  </r>
  <r>
    <x v="0"/>
    <x v="0"/>
    <x v="2"/>
    <x v="27"/>
    <x v="55"/>
    <x v="189"/>
    <x v="26"/>
    <x v="6"/>
    <x v="0"/>
    <x v="145"/>
    <x v="200"/>
    <x v="0"/>
    <x v="200"/>
  </r>
  <r>
    <x v="0"/>
    <x v="31"/>
    <x v="2"/>
    <x v="27"/>
    <x v="28"/>
    <x v="190"/>
    <x v="39"/>
    <x v="6"/>
    <x v="0"/>
    <x v="146"/>
    <x v="201"/>
    <x v="0"/>
    <x v="201"/>
  </r>
  <r>
    <x v="0"/>
    <x v="26"/>
    <x v="2"/>
    <x v="29"/>
    <x v="11"/>
    <x v="191"/>
    <x v="40"/>
    <x v="6"/>
    <x v="0"/>
    <x v="147"/>
    <x v="202"/>
    <x v="0"/>
    <x v="202"/>
  </r>
  <r>
    <x v="0"/>
    <x v="32"/>
    <x v="1"/>
    <x v="17"/>
    <x v="62"/>
    <x v="192"/>
    <x v="41"/>
    <x v="6"/>
    <x v="2"/>
    <x v="133"/>
    <x v="203"/>
    <x v="0"/>
    <x v="203"/>
  </r>
  <r>
    <x v="0"/>
    <x v="24"/>
    <x v="1"/>
    <x v="57"/>
    <x v="31"/>
    <x v="193"/>
    <x v="23"/>
    <x v="6"/>
    <x v="1"/>
    <x v="148"/>
    <x v="204"/>
    <x v="0"/>
    <x v="204"/>
  </r>
  <r>
    <x v="0"/>
    <x v="14"/>
    <x v="1"/>
    <x v="17"/>
    <x v="50"/>
    <x v="194"/>
    <x v="42"/>
    <x v="6"/>
    <x v="1"/>
    <x v="131"/>
    <x v="205"/>
    <x v="0"/>
    <x v="205"/>
  </r>
  <r>
    <x v="0"/>
    <x v="33"/>
    <x v="1"/>
    <x v="23"/>
    <x v="29"/>
    <x v="195"/>
    <x v="43"/>
    <x v="6"/>
    <x v="0"/>
    <x v="31"/>
    <x v="206"/>
    <x v="0"/>
    <x v="206"/>
  </r>
  <r>
    <x v="0"/>
    <x v="22"/>
    <x v="1"/>
    <x v="58"/>
    <x v="70"/>
    <x v="196"/>
    <x v="44"/>
    <x v="6"/>
    <x v="2"/>
    <x v="149"/>
    <x v="207"/>
    <x v="0"/>
    <x v="207"/>
  </r>
  <r>
    <x v="0"/>
    <x v="17"/>
    <x v="0"/>
    <x v="2"/>
    <x v="2"/>
    <x v="197"/>
    <x v="45"/>
    <x v="6"/>
    <x v="0"/>
    <x v="150"/>
    <x v="208"/>
    <x v="0"/>
    <x v="208"/>
  </r>
  <r>
    <x v="0"/>
    <x v="15"/>
    <x v="1"/>
    <x v="39"/>
    <x v="14"/>
    <x v="198"/>
    <x v="46"/>
    <x v="6"/>
    <x v="2"/>
    <x v="20"/>
    <x v="209"/>
    <x v="0"/>
    <x v="209"/>
  </r>
  <r>
    <x v="0"/>
    <x v="15"/>
    <x v="2"/>
    <x v="45"/>
    <x v="71"/>
    <x v="199"/>
    <x v="10"/>
    <x v="6"/>
    <x v="1"/>
    <x v="105"/>
    <x v="210"/>
    <x v="0"/>
    <x v="210"/>
  </r>
  <r>
    <x v="0"/>
    <x v="34"/>
    <x v="2"/>
    <x v="59"/>
    <x v="68"/>
    <x v="200"/>
    <x v="47"/>
    <x v="6"/>
    <x v="2"/>
    <x v="151"/>
    <x v="211"/>
    <x v="0"/>
    <x v="211"/>
  </r>
  <r>
    <x v="0"/>
    <x v="34"/>
    <x v="0"/>
    <x v="1"/>
    <x v="27"/>
    <x v="201"/>
    <x v="48"/>
    <x v="6"/>
    <x v="0"/>
    <x v="152"/>
    <x v="212"/>
    <x v="0"/>
    <x v="212"/>
  </r>
  <r>
    <x v="0"/>
    <x v="17"/>
    <x v="0"/>
    <x v="1"/>
    <x v="42"/>
    <x v="202"/>
    <x v="0"/>
    <x v="6"/>
    <x v="0"/>
    <x v="153"/>
    <x v="213"/>
    <x v="0"/>
    <x v="213"/>
  </r>
  <r>
    <x v="0"/>
    <x v="17"/>
    <x v="0"/>
    <x v="4"/>
    <x v="0"/>
    <x v="203"/>
    <x v="9"/>
    <x v="6"/>
    <x v="0"/>
    <x v="154"/>
    <x v="214"/>
    <x v="0"/>
    <x v="214"/>
  </r>
  <r>
    <x v="0"/>
    <x v="17"/>
    <x v="0"/>
    <x v="2"/>
    <x v="2"/>
    <x v="204"/>
    <x v="16"/>
    <x v="6"/>
    <x v="0"/>
    <x v="155"/>
    <x v="215"/>
    <x v="0"/>
    <x v="215"/>
  </r>
  <r>
    <x v="0"/>
    <x v="35"/>
    <x v="1"/>
    <x v="24"/>
    <x v="72"/>
    <x v="205"/>
    <x v="18"/>
    <x v="7"/>
    <x v="1"/>
    <x v="156"/>
    <x v="216"/>
    <x v="0"/>
    <x v="216"/>
  </r>
  <r>
    <x v="0"/>
    <x v="19"/>
    <x v="1"/>
    <x v="60"/>
    <x v="36"/>
    <x v="194"/>
    <x v="49"/>
    <x v="7"/>
    <x v="0"/>
    <x v="157"/>
    <x v="217"/>
    <x v="0"/>
    <x v="217"/>
  </r>
  <r>
    <x v="0"/>
    <x v="36"/>
    <x v="1"/>
    <x v="32"/>
    <x v="73"/>
    <x v="192"/>
    <x v="50"/>
    <x v="7"/>
    <x v="2"/>
    <x v="158"/>
    <x v="218"/>
    <x v="0"/>
    <x v="218"/>
  </r>
  <r>
    <x v="0"/>
    <x v="37"/>
    <x v="1"/>
    <x v="30"/>
    <x v="61"/>
    <x v="138"/>
    <x v="10"/>
    <x v="7"/>
    <x v="0"/>
    <x v="159"/>
    <x v="219"/>
    <x v="0"/>
    <x v="219"/>
  </r>
  <r>
    <x v="0"/>
    <x v="38"/>
    <x v="1"/>
    <x v="57"/>
    <x v="31"/>
    <x v="206"/>
    <x v="51"/>
    <x v="7"/>
    <x v="1"/>
    <x v="160"/>
    <x v="220"/>
    <x v="0"/>
    <x v="220"/>
  </r>
  <r>
    <x v="0"/>
    <x v="26"/>
    <x v="0"/>
    <x v="56"/>
    <x v="42"/>
    <x v="207"/>
    <x v="15"/>
    <x v="7"/>
    <x v="0"/>
    <x v="80"/>
    <x v="221"/>
    <x v="0"/>
    <x v="221"/>
  </r>
  <r>
    <x v="0"/>
    <x v="3"/>
    <x v="0"/>
    <x v="61"/>
    <x v="28"/>
    <x v="208"/>
    <x v="19"/>
    <x v="7"/>
    <x v="0"/>
    <x v="161"/>
    <x v="222"/>
    <x v="0"/>
    <x v="222"/>
  </r>
  <r>
    <x v="0"/>
    <x v="27"/>
    <x v="0"/>
    <x v="2"/>
    <x v="42"/>
    <x v="209"/>
    <x v="52"/>
    <x v="7"/>
    <x v="0"/>
    <x v="162"/>
    <x v="223"/>
    <x v="0"/>
    <x v="223"/>
  </r>
  <r>
    <x v="0"/>
    <x v="1"/>
    <x v="0"/>
    <x v="4"/>
    <x v="0"/>
    <x v="210"/>
    <x v="28"/>
    <x v="7"/>
    <x v="0"/>
    <x v="163"/>
    <x v="224"/>
    <x v="0"/>
    <x v="224"/>
  </r>
  <r>
    <x v="0"/>
    <x v="26"/>
    <x v="2"/>
    <x v="27"/>
    <x v="28"/>
    <x v="211"/>
    <x v="42"/>
    <x v="7"/>
    <x v="0"/>
    <x v="164"/>
    <x v="225"/>
    <x v="0"/>
    <x v="225"/>
  </r>
  <r>
    <x v="0"/>
    <x v="39"/>
    <x v="2"/>
    <x v="49"/>
    <x v="24"/>
    <x v="212"/>
    <x v="27"/>
    <x v="7"/>
    <x v="0"/>
    <x v="165"/>
    <x v="226"/>
    <x v="0"/>
    <x v="226"/>
  </r>
  <r>
    <x v="0"/>
    <x v="15"/>
    <x v="2"/>
    <x v="26"/>
    <x v="23"/>
    <x v="213"/>
    <x v="29"/>
    <x v="7"/>
    <x v="0"/>
    <x v="166"/>
    <x v="227"/>
    <x v="0"/>
    <x v="227"/>
  </r>
  <r>
    <x v="0"/>
    <x v="31"/>
    <x v="2"/>
    <x v="27"/>
    <x v="63"/>
    <x v="214"/>
    <x v="19"/>
    <x v="7"/>
    <x v="0"/>
    <x v="167"/>
    <x v="228"/>
    <x v="0"/>
    <x v="228"/>
  </r>
  <r>
    <x v="0"/>
    <x v="2"/>
    <x v="0"/>
    <x v="12"/>
    <x v="27"/>
    <x v="215"/>
    <x v="53"/>
    <x v="7"/>
    <x v="0"/>
    <x v="168"/>
    <x v="229"/>
    <x v="0"/>
    <x v="229"/>
  </r>
  <r>
    <x v="0"/>
    <x v="27"/>
    <x v="0"/>
    <x v="1"/>
    <x v="9"/>
    <x v="216"/>
    <x v="54"/>
    <x v="7"/>
    <x v="0"/>
    <x v="169"/>
    <x v="230"/>
    <x v="0"/>
    <x v="230"/>
  </r>
  <r>
    <x v="0"/>
    <x v="27"/>
    <x v="0"/>
    <x v="12"/>
    <x v="8"/>
    <x v="217"/>
    <x v="41"/>
    <x v="7"/>
    <x v="0"/>
    <x v="170"/>
    <x v="231"/>
    <x v="0"/>
    <x v="231"/>
  </r>
  <r>
    <x v="0"/>
    <x v="2"/>
    <x v="0"/>
    <x v="28"/>
    <x v="74"/>
    <x v="218"/>
    <x v="12"/>
    <x v="7"/>
    <x v="0"/>
    <x v="171"/>
    <x v="232"/>
    <x v="0"/>
    <x v="232"/>
  </r>
  <r>
    <x v="0"/>
    <x v="23"/>
    <x v="1"/>
    <x v="17"/>
    <x v="55"/>
    <x v="219"/>
    <x v="12"/>
    <x v="7"/>
    <x v="2"/>
    <x v="172"/>
    <x v="233"/>
    <x v="0"/>
    <x v="233"/>
  </r>
  <r>
    <x v="0"/>
    <x v="30"/>
    <x v="1"/>
    <x v="62"/>
    <x v="14"/>
    <x v="220"/>
    <x v="11"/>
    <x v="7"/>
    <x v="0"/>
    <x v="173"/>
    <x v="234"/>
    <x v="0"/>
    <x v="234"/>
  </r>
  <r>
    <x v="0"/>
    <x v="9"/>
    <x v="1"/>
    <x v="17"/>
    <x v="50"/>
    <x v="110"/>
    <x v="55"/>
    <x v="7"/>
    <x v="1"/>
    <x v="174"/>
    <x v="235"/>
    <x v="0"/>
    <x v="235"/>
  </r>
  <r>
    <x v="0"/>
    <x v="37"/>
    <x v="1"/>
    <x v="23"/>
    <x v="75"/>
    <x v="221"/>
    <x v="56"/>
    <x v="7"/>
    <x v="0"/>
    <x v="175"/>
    <x v="236"/>
    <x v="0"/>
    <x v="236"/>
  </r>
  <r>
    <x v="0"/>
    <x v="40"/>
    <x v="1"/>
    <x v="24"/>
    <x v="76"/>
    <x v="222"/>
    <x v="23"/>
    <x v="7"/>
    <x v="0"/>
    <x v="141"/>
    <x v="237"/>
    <x v="0"/>
    <x v="237"/>
  </r>
  <r>
    <x v="0"/>
    <x v="38"/>
    <x v="1"/>
    <x v="24"/>
    <x v="54"/>
    <x v="223"/>
    <x v="57"/>
    <x v="7"/>
    <x v="0"/>
    <x v="176"/>
    <x v="238"/>
    <x v="0"/>
    <x v="238"/>
  </r>
  <r>
    <x v="0"/>
    <x v="19"/>
    <x v="1"/>
    <x v="17"/>
    <x v="53"/>
    <x v="224"/>
    <x v="42"/>
    <x v="7"/>
    <x v="1"/>
    <x v="177"/>
    <x v="239"/>
    <x v="0"/>
    <x v="239"/>
  </r>
  <r>
    <x v="0"/>
    <x v="40"/>
    <x v="1"/>
    <x v="17"/>
    <x v="55"/>
    <x v="225"/>
    <x v="58"/>
    <x v="7"/>
    <x v="2"/>
    <x v="114"/>
    <x v="240"/>
    <x v="0"/>
    <x v="240"/>
  </r>
  <r>
    <x v="0"/>
    <x v="6"/>
    <x v="2"/>
    <x v="63"/>
    <x v="12"/>
    <x v="226"/>
    <x v="12"/>
    <x v="7"/>
    <x v="1"/>
    <x v="178"/>
    <x v="241"/>
    <x v="0"/>
    <x v="241"/>
  </r>
  <r>
    <x v="0"/>
    <x v="41"/>
    <x v="1"/>
    <x v="21"/>
    <x v="28"/>
    <x v="227"/>
    <x v="32"/>
    <x v="7"/>
    <x v="2"/>
    <x v="179"/>
    <x v="242"/>
    <x v="0"/>
    <x v="242"/>
  </r>
  <r>
    <x v="0"/>
    <x v="41"/>
    <x v="3"/>
    <x v="64"/>
    <x v="28"/>
    <x v="228"/>
    <x v="17"/>
    <x v="7"/>
    <x v="1"/>
    <x v="180"/>
    <x v="243"/>
    <x v="0"/>
    <x v="243"/>
  </r>
  <r>
    <x v="0"/>
    <x v="42"/>
    <x v="1"/>
    <x v="48"/>
    <x v="77"/>
    <x v="224"/>
    <x v="59"/>
    <x v="8"/>
    <x v="2"/>
    <x v="181"/>
    <x v="244"/>
    <x v="0"/>
    <x v="244"/>
  </r>
  <r>
    <x v="0"/>
    <x v="43"/>
    <x v="1"/>
    <x v="24"/>
    <x v="78"/>
    <x v="229"/>
    <x v="60"/>
    <x v="8"/>
    <x v="0"/>
    <x v="182"/>
    <x v="245"/>
    <x v="0"/>
    <x v="245"/>
  </r>
  <r>
    <x v="0"/>
    <x v="44"/>
    <x v="1"/>
    <x v="65"/>
    <x v="56"/>
    <x v="224"/>
    <x v="61"/>
    <x v="8"/>
    <x v="1"/>
    <x v="183"/>
    <x v="246"/>
    <x v="0"/>
    <x v="246"/>
  </r>
  <r>
    <x v="0"/>
    <x v="45"/>
    <x v="1"/>
    <x v="57"/>
    <x v="31"/>
    <x v="230"/>
    <x v="50"/>
    <x v="8"/>
    <x v="1"/>
    <x v="184"/>
    <x v="247"/>
    <x v="0"/>
    <x v="247"/>
  </r>
  <r>
    <x v="0"/>
    <x v="43"/>
    <x v="1"/>
    <x v="36"/>
    <x v="35"/>
    <x v="229"/>
    <x v="42"/>
    <x v="8"/>
    <x v="1"/>
    <x v="136"/>
    <x v="248"/>
    <x v="0"/>
    <x v="248"/>
  </r>
  <r>
    <x v="0"/>
    <x v="46"/>
    <x v="0"/>
    <x v="61"/>
    <x v="28"/>
    <x v="231"/>
    <x v="10"/>
    <x v="8"/>
    <x v="0"/>
    <x v="185"/>
    <x v="249"/>
    <x v="0"/>
    <x v="249"/>
  </r>
  <r>
    <x v="0"/>
    <x v="47"/>
    <x v="0"/>
    <x v="2"/>
    <x v="3"/>
    <x v="232"/>
    <x v="45"/>
    <x v="8"/>
    <x v="0"/>
    <x v="186"/>
    <x v="250"/>
    <x v="0"/>
    <x v="250"/>
  </r>
  <r>
    <x v="0"/>
    <x v="48"/>
    <x v="0"/>
    <x v="4"/>
    <x v="79"/>
    <x v="233"/>
    <x v="32"/>
    <x v="8"/>
    <x v="0"/>
    <x v="187"/>
    <x v="251"/>
    <x v="0"/>
    <x v="251"/>
  </r>
  <r>
    <x v="0"/>
    <x v="49"/>
    <x v="2"/>
    <x v="49"/>
    <x v="24"/>
    <x v="234"/>
    <x v="62"/>
    <x v="8"/>
    <x v="0"/>
    <x v="188"/>
    <x v="252"/>
    <x v="0"/>
    <x v="252"/>
  </r>
  <r>
    <x v="0"/>
    <x v="39"/>
    <x v="2"/>
    <x v="16"/>
    <x v="11"/>
    <x v="235"/>
    <x v="55"/>
    <x v="8"/>
    <x v="0"/>
    <x v="76"/>
    <x v="253"/>
    <x v="0"/>
    <x v="253"/>
  </r>
  <r>
    <x v="0"/>
    <x v="48"/>
    <x v="2"/>
    <x v="16"/>
    <x v="13"/>
    <x v="236"/>
    <x v="56"/>
    <x v="8"/>
    <x v="0"/>
    <x v="189"/>
    <x v="254"/>
    <x v="0"/>
    <x v="254"/>
  </r>
  <r>
    <x v="0"/>
    <x v="50"/>
    <x v="1"/>
    <x v="23"/>
    <x v="14"/>
    <x v="228"/>
    <x v="33"/>
    <x v="8"/>
    <x v="0"/>
    <x v="190"/>
    <x v="255"/>
    <x v="0"/>
    <x v="255"/>
  </r>
  <r>
    <x v="0"/>
    <x v="39"/>
    <x v="2"/>
    <x v="26"/>
    <x v="23"/>
    <x v="237"/>
    <x v="63"/>
    <x v="8"/>
    <x v="0"/>
    <x v="191"/>
    <x v="256"/>
    <x v="0"/>
    <x v="256"/>
  </r>
  <r>
    <x v="0"/>
    <x v="47"/>
    <x v="2"/>
    <x v="25"/>
    <x v="17"/>
    <x v="238"/>
    <x v="63"/>
    <x v="8"/>
    <x v="0"/>
    <x v="192"/>
    <x v="257"/>
    <x v="0"/>
    <x v="257"/>
  </r>
  <r>
    <x v="0"/>
    <x v="51"/>
    <x v="2"/>
    <x v="49"/>
    <x v="24"/>
    <x v="239"/>
    <x v="56"/>
    <x v="8"/>
    <x v="0"/>
    <x v="193"/>
    <x v="258"/>
    <x v="0"/>
    <x v="258"/>
  </r>
  <r>
    <x v="0"/>
    <x v="52"/>
    <x v="2"/>
    <x v="16"/>
    <x v="13"/>
    <x v="240"/>
    <x v="47"/>
    <x v="8"/>
    <x v="0"/>
    <x v="194"/>
    <x v="259"/>
    <x v="0"/>
    <x v="259"/>
  </r>
  <r>
    <x v="0"/>
    <x v="53"/>
    <x v="2"/>
    <x v="26"/>
    <x v="28"/>
    <x v="241"/>
    <x v="64"/>
    <x v="8"/>
    <x v="0"/>
    <x v="195"/>
    <x v="260"/>
    <x v="0"/>
    <x v="260"/>
  </r>
  <r>
    <x v="0"/>
    <x v="54"/>
    <x v="2"/>
    <x v="29"/>
    <x v="68"/>
    <x v="242"/>
    <x v="65"/>
    <x v="8"/>
    <x v="0"/>
    <x v="196"/>
    <x v="261"/>
    <x v="0"/>
    <x v="261"/>
  </r>
  <r>
    <x v="0"/>
    <x v="49"/>
    <x v="0"/>
    <x v="56"/>
    <x v="42"/>
    <x v="212"/>
    <x v="45"/>
    <x v="8"/>
    <x v="0"/>
    <x v="169"/>
    <x v="262"/>
    <x v="0"/>
    <x v="262"/>
  </r>
  <r>
    <x v="0"/>
    <x v="55"/>
    <x v="2"/>
    <x v="49"/>
    <x v="1"/>
    <x v="243"/>
    <x v="66"/>
    <x v="8"/>
    <x v="0"/>
    <x v="197"/>
    <x v="263"/>
    <x v="0"/>
    <x v="263"/>
  </r>
  <r>
    <x v="0"/>
    <x v="54"/>
    <x v="0"/>
    <x v="4"/>
    <x v="79"/>
    <x v="244"/>
    <x v="67"/>
    <x v="8"/>
    <x v="0"/>
    <x v="198"/>
    <x v="264"/>
    <x v="0"/>
    <x v="264"/>
  </r>
  <r>
    <x v="0"/>
    <x v="26"/>
    <x v="0"/>
    <x v="2"/>
    <x v="3"/>
    <x v="245"/>
    <x v="52"/>
    <x v="8"/>
    <x v="0"/>
    <x v="199"/>
    <x v="265"/>
    <x v="0"/>
    <x v="265"/>
  </r>
  <r>
    <x v="0"/>
    <x v="19"/>
    <x v="1"/>
    <x v="24"/>
    <x v="72"/>
    <x v="194"/>
    <x v="25"/>
    <x v="8"/>
    <x v="0"/>
    <x v="141"/>
    <x v="266"/>
    <x v="0"/>
    <x v="266"/>
  </r>
  <r>
    <x v="0"/>
    <x v="56"/>
    <x v="1"/>
    <x v="51"/>
    <x v="11"/>
    <x v="246"/>
    <x v="37"/>
    <x v="8"/>
    <x v="1"/>
    <x v="30"/>
    <x v="267"/>
    <x v="0"/>
    <x v="267"/>
  </r>
  <r>
    <x v="0"/>
    <x v="57"/>
    <x v="1"/>
    <x v="52"/>
    <x v="12"/>
    <x v="138"/>
    <x v="68"/>
    <x v="8"/>
    <x v="1"/>
    <x v="200"/>
    <x v="268"/>
    <x v="0"/>
    <x v="268"/>
  </r>
  <r>
    <x v="0"/>
    <x v="58"/>
    <x v="1"/>
    <x v="66"/>
    <x v="50"/>
    <x v="247"/>
    <x v="12"/>
    <x v="8"/>
    <x v="0"/>
    <x v="201"/>
    <x v="269"/>
    <x v="0"/>
    <x v="269"/>
  </r>
  <r>
    <x v="0"/>
    <x v="59"/>
    <x v="1"/>
    <x v="51"/>
    <x v="11"/>
    <x v="248"/>
    <x v="49"/>
    <x v="8"/>
    <x v="1"/>
    <x v="202"/>
    <x v="270"/>
    <x v="0"/>
    <x v="270"/>
  </r>
  <r>
    <x v="0"/>
    <x v="60"/>
    <x v="1"/>
    <x v="45"/>
    <x v="24"/>
    <x v="249"/>
    <x v="47"/>
    <x v="8"/>
    <x v="0"/>
    <x v="203"/>
    <x v="271"/>
    <x v="0"/>
    <x v="271"/>
  </r>
  <r>
    <x v="0"/>
    <x v="61"/>
    <x v="1"/>
    <x v="62"/>
    <x v="13"/>
    <x v="250"/>
    <x v="34"/>
    <x v="8"/>
    <x v="0"/>
    <x v="204"/>
    <x v="272"/>
    <x v="0"/>
    <x v="272"/>
  </r>
  <r>
    <x v="0"/>
    <x v="62"/>
    <x v="1"/>
    <x v="52"/>
    <x v="12"/>
    <x v="251"/>
    <x v="28"/>
    <x v="8"/>
    <x v="1"/>
    <x v="205"/>
    <x v="273"/>
    <x v="0"/>
    <x v="273"/>
  </r>
  <r>
    <x v="0"/>
    <x v="63"/>
    <x v="4"/>
    <x v="67"/>
    <x v="80"/>
    <x v="252"/>
    <x v="57"/>
    <x v="8"/>
    <x v="2"/>
    <x v="206"/>
    <x v="274"/>
    <x v="0"/>
    <x v="274"/>
  </r>
  <r>
    <x v="0"/>
    <x v="3"/>
    <x v="2"/>
    <x v="68"/>
    <x v="81"/>
    <x v="253"/>
    <x v="43"/>
    <x v="8"/>
    <x v="2"/>
    <x v="207"/>
    <x v="275"/>
    <x v="0"/>
    <x v="275"/>
  </r>
  <r>
    <x v="0"/>
    <x v="64"/>
    <x v="1"/>
    <x v="21"/>
    <x v="64"/>
    <x v="254"/>
    <x v="44"/>
    <x v="8"/>
    <x v="2"/>
    <x v="208"/>
    <x v="276"/>
    <x v="0"/>
    <x v="276"/>
  </r>
  <r>
    <x v="0"/>
    <x v="65"/>
    <x v="2"/>
    <x v="68"/>
    <x v="82"/>
    <x v="242"/>
    <x v="56"/>
    <x v="8"/>
    <x v="2"/>
    <x v="209"/>
    <x v="277"/>
    <x v="0"/>
    <x v="277"/>
  </r>
  <r>
    <x v="0"/>
    <x v="35"/>
    <x v="1"/>
    <x v="69"/>
    <x v="62"/>
    <x v="193"/>
    <x v="28"/>
    <x v="8"/>
    <x v="2"/>
    <x v="210"/>
    <x v="278"/>
    <x v="0"/>
    <x v="278"/>
  </r>
  <r>
    <x v="0"/>
    <x v="32"/>
    <x v="1"/>
    <x v="24"/>
    <x v="72"/>
    <x v="255"/>
    <x v="69"/>
    <x v="8"/>
    <x v="1"/>
    <x v="211"/>
    <x v="279"/>
    <x v="0"/>
    <x v="279"/>
  </r>
  <r>
    <x v="0"/>
    <x v="41"/>
    <x v="2"/>
    <x v="49"/>
    <x v="64"/>
    <x v="256"/>
    <x v="33"/>
    <x v="9"/>
    <x v="0"/>
    <x v="212"/>
    <x v="280"/>
    <x v="0"/>
    <x v="280"/>
  </r>
  <r>
    <x v="0"/>
    <x v="66"/>
    <x v="2"/>
    <x v="16"/>
    <x v="13"/>
    <x v="257"/>
    <x v="55"/>
    <x v="9"/>
    <x v="0"/>
    <x v="213"/>
    <x v="281"/>
    <x v="0"/>
    <x v="281"/>
  </r>
  <r>
    <x v="0"/>
    <x v="67"/>
    <x v="1"/>
    <x v="23"/>
    <x v="14"/>
    <x v="258"/>
    <x v="70"/>
    <x v="9"/>
    <x v="0"/>
    <x v="214"/>
    <x v="282"/>
    <x v="0"/>
    <x v="282"/>
  </r>
  <r>
    <x v="0"/>
    <x v="48"/>
    <x v="2"/>
    <x v="25"/>
    <x v="17"/>
    <x v="259"/>
    <x v="55"/>
    <x v="9"/>
    <x v="0"/>
    <x v="215"/>
    <x v="283"/>
    <x v="0"/>
    <x v="283"/>
  </r>
  <r>
    <x v="0"/>
    <x v="51"/>
    <x v="2"/>
    <x v="26"/>
    <x v="28"/>
    <x v="260"/>
    <x v="69"/>
    <x v="9"/>
    <x v="0"/>
    <x v="216"/>
    <x v="284"/>
    <x v="0"/>
    <x v="284"/>
  </r>
  <r>
    <x v="0"/>
    <x v="3"/>
    <x v="0"/>
    <x v="56"/>
    <x v="0"/>
    <x v="261"/>
    <x v="33"/>
    <x v="9"/>
    <x v="0"/>
    <x v="80"/>
    <x v="285"/>
    <x v="0"/>
    <x v="285"/>
  </r>
  <r>
    <x v="0"/>
    <x v="68"/>
    <x v="0"/>
    <x v="4"/>
    <x v="60"/>
    <x v="262"/>
    <x v="66"/>
    <x v="9"/>
    <x v="0"/>
    <x v="217"/>
    <x v="286"/>
    <x v="0"/>
    <x v="286"/>
  </r>
  <r>
    <x v="0"/>
    <x v="34"/>
    <x v="0"/>
    <x v="28"/>
    <x v="83"/>
    <x v="263"/>
    <x v="45"/>
    <x v="9"/>
    <x v="0"/>
    <x v="218"/>
    <x v="287"/>
    <x v="0"/>
    <x v="287"/>
  </r>
  <r>
    <x v="0"/>
    <x v="69"/>
    <x v="0"/>
    <x v="2"/>
    <x v="84"/>
    <x v="264"/>
    <x v="71"/>
    <x v="9"/>
    <x v="0"/>
    <x v="219"/>
    <x v="288"/>
    <x v="0"/>
    <x v="288"/>
  </r>
  <r>
    <x v="0"/>
    <x v="70"/>
    <x v="0"/>
    <x v="1"/>
    <x v="39"/>
    <x v="265"/>
    <x v="28"/>
    <x v="9"/>
    <x v="0"/>
    <x v="13"/>
    <x v="289"/>
    <x v="0"/>
    <x v="289"/>
  </r>
  <r>
    <x v="0"/>
    <x v="27"/>
    <x v="0"/>
    <x v="28"/>
    <x v="85"/>
    <x v="266"/>
    <x v="72"/>
    <x v="9"/>
    <x v="0"/>
    <x v="37"/>
    <x v="290"/>
    <x v="0"/>
    <x v="290"/>
  </r>
  <r>
    <x v="0"/>
    <x v="49"/>
    <x v="0"/>
    <x v="70"/>
    <x v="81"/>
    <x v="267"/>
    <x v="9"/>
    <x v="9"/>
    <x v="0"/>
    <x v="220"/>
    <x v="291"/>
    <x v="0"/>
    <x v="291"/>
  </r>
  <r>
    <x v="0"/>
    <x v="31"/>
    <x v="0"/>
    <x v="22"/>
    <x v="2"/>
    <x v="197"/>
    <x v="20"/>
    <x v="9"/>
    <x v="0"/>
    <x v="221"/>
    <x v="292"/>
    <x v="0"/>
    <x v="292"/>
  </r>
  <r>
    <x v="0"/>
    <x v="71"/>
    <x v="1"/>
    <x v="69"/>
    <x v="62"/>
    <x v="268"/>
    <x v="16"/>
    <x v="9"/>
    <x v="2"/>
    <x v="222"/>
    <x v="293"/>
    <x v="0"/>
    <x v="293"/>
  </r>
  <r>
    <x v="0"/>
    <x v="72"/>
    <x v="1"/>
    <x v="71"/>
    <x v="33"/>
    <x v="269"/>
    <x v="71"/>
    <x v="9"/>
    <x v="1"/>
    <x v="223"/>
    <x v="294"/>
    <x v="0"/>
    <x v="294"/>
  </r>
  <r>
    <x v="0"/>
    <x v="73"/>
    <x v="1"/>
    <x v="24"/>
    <x v="36"/>
    <x v="270"/>
    <x v="60"/>
    <x v="9"/>
    <x v="0"/>
    <x v="224"/>
    <x v="295"/>
    <x v="0"/>
    <x v="295"/>
  </r>
  <r>
    <x v="0"/>
    <x v="74"/>
    <x v="1"/>
    <x v="21"/>
    <x v="36"/>
    <x v="271"/>
    <x v="9"/>
    <x v="9"/>
    <x v="0"/>
    <x v="225"/>
    <x v="296"/>
    <x v="0"/>
    <x v="296"/>
  </r>
  <r>
    <x v="0"/>
    <x v="75"/>
    <x v="4"/>
    <x v="72"/>
    <x v="86"/>
    <x v="272"/>
    <x v="73"/>
    <x v="9"/>
    <x v="2"/>
    <x v="226"/>
    <x v="297"/>
    <x v="0"/>
    <x v="297"/>
  </r>
  <r>
    <x v="0"/>
    <x v="18"/>
    <x v="0"/>
    <x v="1"/>
    <x v="81"/>
    <x v="273"/>
    <x v="38"/>
    <x v="9"/>
    <x v="0"/>
    <x v="227"/>
    <x v="298"/>
    <x v="0"/>
    <x v="298"/>
  </r>
  <r>
    <x v="0"/>
    <x v="57"/>
    <x v="1"/>
    <x v="73"/>
    <x v="62"/>
    <x v="274"/>
    <x v="74"/>
    <x v="9"/>
    <x v="2"/>
    <x v="20"/>
    <x v="299"/>
    <x v="0"/>
    <x v="299"/>
  </r>
  <r>
    <x v="0"/>
    <x v="62"/>
    <x v="0"/>
    <x v="61"/>
    <x v="17"/>
    <x v="275"/>
    <x v="35"/>
    <x v="9"/>
    <x v="0"/>
    <x v="185"/>
    <x v="300"/>
    <x v="0"/>
    <x v="300"/>
  </r>
  <r>
    <x v="0"/>
    <x v="76"/>
    <x v="1"/>
    <x v="66"/>
    <x v="31"/>
    <x v="276"/>
    <x v="45"/>
    <x v="9"/>
    <x v="0"/>
    <x v="228"/>
    <x v="301"/>
    <x v="0"/>
    <x v="301"/>
  </r>
  <r>
    <x v="0"/>
    <x v="77"/>
    <x v="1"/>
    <x v="66"/>
    <x v="31"/>
    <x v="277"/>
    <x v="28"/>
    <x v="9"/>
    <x v="0"/>
    <x v="229"/>
    <x v="302"/>
    <x v="0"/>
    <x v="302"/>
  </r>
  <r>
    <x v="0"/>
    <x v="78"/>
    <x v="1"/>
    <x v="57"/>
    <x v="33"/>
    <x v="278"/>
    <x v="62"/>
    <x v="9"/>
    <x v="1"/>
    <x v="230"/>
    <x v="303"/>
    <x v="0"/>
    <x v="303"/>
  </r>
  <r>
    <x v="0"/>
    <x v="79"/>
    <x v="1"/>
    <x v="36"/>
    <x v="34"/>
    <x v="18"/>
    <x v="68"/>
    <x v="9"/>
    <x v="2"/>
    <x v="231"/>
    <x v="304"/>
    <x v="0"/>
    <x v="304"/>
  </r>
  <r>
    <x v="0"/>
    <x v="80"/>
    <x v="1"/>
    <x v="62"/>
    <x v="17"/>
    <x v="271"/>
    <x v="11"/>
    <x v="9"/>
    <x v="0"/>
    <x v="232"/>
    <x v="305"/>
    <x v="0"/>
    <x v="305"/>
  </r>
  <r>
    <x v="0"/>
    <x v="81"/>
    <x v="2"/>
    <x v="74"/>
    <x v="64"/>
    <x v="279"/>
    <x v="75"/>
    <x v="9"/>
    <x v="0"/>
    <x v="233"/>
    <x v="306"/>
    <x v="0"/>
    <x v="306"/>
  </r>
  <r>
    <x v="0"/>
    <x v="82"/>
    <x v="2"/>
    <x v="74"/>
    <x v="64"/>
    <x v="280"/>
    <x v="76"/>
    <x v="9"/>
    <x v="0"/>
    <x v="234"/>
    <x v="307"/>
    <x v="0"/>
    <x v="307"/>
  </r>
  <r>
    <x v="0"/>
    <x v="38"/>
    <x v="1"/>
    <x v="62"/>
    <x v="17"/>
    <x v="281"/>
    <x v="45"/>
    <x v="9"/>
    <x v="0"/>
    <x v="235"/>
    <x v="308"/>
    <x v="0"/>
    <x v="308"/>
  </r>
  <r>
    <x v="0"/>
    <x v="83"/>
    <x v="1"/>
    <x v="24"/>
    <x v="32"/>
    <x v="282"/>
    <x v="68"/>
    <x v="10"/>
    <x v="2"/>
    <x v="143"/>
    <x v="309"/>
    <x v="0"/>
    <x v="309"/>
  </r>
  <r>
    <x v="0"/>
    <x v="84"/>
    <x v="1"/>
    <x v="69"/>
    <x v="35"/>
    <x v="283"/>
    <x v="77"/>
    <x v="10"/>
    <x v="1"/>
    <x v="236"/>
    <x v="310"/>
    <x v="0"/>
    <x v="310"/>
  </r>
  <r>
    <x v="0"/>
    <x v="85"/>
    <x v="1"/>
    <x v="24"/>
    <x v="31"/>
    <x v="284"/>
    <x v="10"/>
    <x v="10"/>
    <x v="0"/>
    <x v="141"/>
    <x v="311"/>
    <x v="0"/>
    <x v="311"/>
  </r>
  <r>
    <x v="0"/>
    <x v="86"/>
    <x v="1"/>
    <x v="71"/>
    <x v="33"/>
    <x v="285"/>
    <x v="42"/>
    <x v="10"/>
    <x v="1"/>
    <x v="237"/>
    <x v="312"/>
    <x v="0"/>
    <x v="312"/>
  </r>
  <r>
    <x v="0"/>
    <x v="14"/>
    <x v="1"/>
    <x v="62"/>
    <x v="17"/>
    <x v="286"/>
    <x v="25"/>
    <x v="10"/>
    <x v="0"/>
    <x v="233"/>
    <x v="313"/>
    <x v="0"/>
    <x v="313"/>
  </r>
  <r>
    <x v="0"/>
    <x v="87"/>
    <x v="1"/>
    <x v="23"/>
    <x v="14"/>
    <x v="287"/>
    <x v="78"/>
    <x v="10"/>
    <x v="0"/>
    <x v="238"/>
    <x v="314"/>
    <x v="0"/>
    <x v="314"/>
  </r>
  <r>
    <x v="0"/>
    <x v="88"/>
    <x v="1"/>
    <x v="62"/>
    <x v="17"/>
    <x v="288"/>
    <x v="73"/>
    <x v="10"/>
    <x v="0"/>
    <x v="192"/>
    <x v="315"/>
    <x v="0"/>
    <x v="315"/>
  </r>
  <r>
    <x v="0"/>
    <x v="89"/>
    <x v="2"/>
    <x v="26"/>
    <x v="17"/>
    <x v="289"/>
    <x v="64"/>
    <x v="10"/>
    <x v="0"/>
    <x v="195"/>
    <x v="316"/>
    <x v="0"/>
    <x v="316"/>
  </r>
  <r>
    <x v="0"/>
    <x v="90"/>
    <x v="1"/>
    <x v="17"/>
    <x v="55"/>
    <x v="290"/>
    <x v="56"/>
    <x v="10"/>
    <x v="2"/>
    <x v="239"/>
    <x v="317"/>
    <x v="0"/>
    <x v="317"/>
  </r>
  <r>
    <x v="0"/>
    <x v="91"/>
    <x v="1"/>
    <x v="51"/>
    <x v="17"/>
    <x v="291"/>
    <x v="10"/>
    <x v="10"/>
    <x v="1"/>
    <x v="240"/>
    <x v="318"/>
    <x v="0"/>
    <x v="318"/>
  </r>
  <r>
    <x v="0"/>
    <x v="92"/>
    <x v="1"/>
    <x v="39"/>
    <x v="50"/>
    <x v="127"/>
    <x v="14"/>
    <x v="10"/>
    <x v="1"/>
    <x v="241"/>
    <x v="319"/>
    <x v="0"/>
    <x v="319"/>
  </r>
  <r>
    <x v="0"/>
    <x v="93"/>
    <x v="1"/>
    <x v="52"/>
    <x v="41"/>
    <x v="292"/>
    <x v="9"/>
    <x v="10"/>
    <x v="1"/>
    <x v="242"/>
    <x v="320"/>
    <x v="0"/>
    <x v="320"/>
  </r>
  <r>
    <x v="0"/>
    <x v="94"/>
    <x v="1"/>
    <x v="41"/>
    <x v="50"/>
    <x v="110"/>
    <x v="71"/>
    <x v="10"/>
    <x v="1"/>
    <x v="131"/>
    <x v="321"/>
    <x v="0"/>
    <x v="321"/>
  </r>
  <r>
    <x v="0"/>
    <x v="95"/>
    <x v="1"/>
    <x v="71"/>
    <x v="33"/>
    <x v="293"/>
    <x v="79"/>
    <x v="10"/>
    <x v="1"/>
    <x v="243"/>
    <x v="322"/>
    <x v="0"/>
    <x v="322"/>
  </r>
  <r>
    <x v="0"/>
    <x v="96"/>
    <x v="1"/>
    <x v="45"/>
    <x v="24"/>
    <x v="294"/>
    <x v="60"/>
    <x v="10"/>
    <x v="0"/>
    <x v="116"/>
    <x v="323"/>
    <x v="0"/>
    <x v="323"/>
  </r>
  <r>
    <x v="0"/>
    <x v="97"/>
    <x v="1"/>
    <x v="57"/>
    <x v="33"/>
    <x v="293"/>
    <x v="62"/>
    <x v="10"/>
    <x v="1"/>
    <x v="230"/>
    <x v="324"/>
    <x v="0"/>
    <x v="324"/>
  </r>
  <r>
    <x v="0"/>
    <x v="98"/>
    <x v="1"/>
    <x v="48"/>
    <x v="77"/>
    <x v="295"/>
    <x v="80"/>
    <x v="10"/>
    <x v="2"/>
    <x v="244"/>
    <x v="325"/>
    <x v="0"/>
    <x v="325"/>
  </r>
  <r>
    <x v="0"/>
    <x v="99"/>
    <x v="1"/>
    <x v="48"/>
    <x v="77"/>
    <x v="296"/>
    <x v="81"/>
    <x v="10"/>
    <x v="2"/>
    <x v="245"/>
    <x v="326"/>
    <x v="0"/>
    <x v="326"/>
  </r>
  <r>
    <x v="0"/>
    <x v="100"/>
    <x v="4"/>
    <x v="21"/>
    <x v="53"/>
    <x v="297"/>
    <x v="82"/>
    <x v="10"/>
    <x v="2"/>
    <x v="246"/>
    <x v="327"/>
    <x v="0"/>
    <x v="327"/>
  </r>
  <r>
    <x v="0"/>
    <x v="19"/>
    <x v="1"/>
    <x v="63"/>
    <x v="53"/>
    <x v="298"/>
    <x v="83"/>
    <x v="10"/>
    <x v="2"/>
    <x v="247"/>
    <x v="328"/>
    <x v="0"/>
    <x v="328"/>
  </r>
  <r>
    <x v="0"/>
    <x v="101"/>
    <x v="1"/>
    <x v="36"/>
    <x v="53"/>
    <x v="299"/>
    <x v="84"/>
    <x v="10"/>
    <x v="1"/>
    <x v="248"/>
    <x v="329"/>
    <x v="0"/>
    <x v="329"/>
  </r>
  <r>
    <x v="0"/>
    <x v="102"/>
    <x v="1"/>
    <x v="57"/>
    <x v="22"/>
    <x v="19"/>
    <x v="70"/>
    <x v="10"/>
    <x v="2"/>
    <x v="249"/>
    <x v="330"/>
    <x v="1"/>
    <x v="330"/>
  </r>
  <r>
    <x v="0"/>
    <x v="103"/>
    <x v="1"/>
    <x v="17"/>
    <x v="53"/>
    <x v="300"/>
    <x v="22"/>
    <x v="10"/>
    <x v="1"/>
    <x v="177"/>
    <x v="331"/>
    <x v="0"/>
    <x v="331"/>
  </r>
  <r>
    <x v="0"/>
    <x v="91"/>
    <x v="1"/>
    <x v="69"/>
    <x v="87"/>
    <x v="301"/>
    <x v="30"/>
    <x v="10"/>
    <x v="2"/>
    <x v="250"/>
    <x v="332"/>
    <x v="0"/>
    <x v="332"/>
  </r>
  <r>
    <x v="0"/>
    <x v="104"/>
    <x v="2"/>
    <x v="59"/>
    <x v="88"/>
    <x v="302"/>
    <x v="54"/>
    <x v="10"/>
    <x v="1"/>
    <x v="251"/>
    <x v="333"/>
    <x v="0"/>
    <x v="333"/>
  </r>
  <r>
    <x v="0"/>
    <x v="105"/>
    <x v="3"/>
    <x v="38"/>
    <x v="23"/>
    <x v="303"/>
    <x v="15"/>
    <x v="10"/>
    <x v="1"/>
    <x v="252"/>
    <x v="334"/>
    <x v="0"/>
    <x v="334"/>
  </r>
  <r>
    <x v="0"/>
    <x v="21"/>
    <x v="1"/>
    <x v="30"/>
    <x v="14"/>
    <x v="304"/>
    <x v="65"/>
    <x v="10"/>
    <x v="2"/>
    <x v="253"/>
    <x v="335"/>
    <x v="0"/>
    <x v="335"/>
  </r>
  <r>
    <x v="0"/>
    <x v="106"/>
    <x v="1"/>
    <x v="23"/>
    <x v="22"/>
    <x v="305"/>
    <x v="72"/>
    <x v="10"/>
    <x v="0"/>
    <x v="254"/>
    <x v="336"/>
    <x v="1"/>
    <x v="336"/>
  </r>
  <r>
    <x v="0"/>
    <x v="107"/>
    <x v="1"/>
    <x v="19"/>
    <x v="29"/>
    <x v="306"/>
    <x v="23"/>
    <x v="10"/>
    <x v="1"/>
    <x v="255"/>
    <x v="337"/>
    <x v="0"/>
    <x v="337"/>
  </r>
  <r>
    <x v="0"/>
    <x v="57"/>
    <x v="1"/>
    <x v="75"/>
    <x v="89"/>
    <x v="307"/>
    <x v="44"/>
    <x v="11"/>
    <x v="0"/>
    <x v="256"/>
    <x v="338"/>
    <x v="0"/>
    <x v="338"/>
  </r>
  <r>
    <x v="0"/>
    <x v="108"/>
    <x v="1"/>
    <x v="62"/>
    <x v="89"/>
    <x v="308"/>
    <x v="42"/>
    <x v="11"/>
    <x v="0"/>
    <x v="165"/>
    <x v="339"/>
    <x v="0"/>
    <x v="339"/>
  </r>
  <r>
    <x v="0"/>
    <x v="109"/>
    <x v="1"/>
    <x v="45"/>
    <x v="41"/>
    <x v="309"/>
    <x v="60"/>
    <x v="11"/>
    <x v="0"/>
    <x v="257"/>
    <x v="340"/>
    <x v="0"/>
    <x v="340"/>
  </r>
  <r>
    <x v="0"/>
    <x v="110"/>
    <x v="2"/>
    <x v="74"/>
    <x v="28"/>
    <x v="310"/>
    <x v="85"/>
    <x v="11"/>
    <x v="0"/>
    <x v="233"/>
    <x v="341"/>
    <x v="0"/>
    <x v="341"/>
  </r>
  <r>
    <x v="0"/>
    <x v="19"/>
    <x v="1"/>
    <x v="75"/>
    <x v="89"/>
    <x v="311"/>
    <x v="76"/>
    <x v="11"/>
    <x v="0"/>
    <x v="256"/>
    <x v="342"/>
    <x v="0"/>
    <x v="342"/>
  </r>
  <r>
    <x v="0"/>
    <x v="111"/>
    <x v="1"/>
    <x v="32"/>
    <x v="73"/>
    <x v="312"/>
    <x v="27"/>
    <x v="11"/>
    <x v="1"/>
    <x v="258"/>
    <x v="343"/>
    <x v="0"/>
    <x v="343"/>
  </r>
  <r>
    <x v="0"/>
    <x v="112"/>
    <x v="1"/>
    <x v="71"/>
    <x v="90"/>
    <x v="313"/>
    <x v="42"/>
    <x v="11"/>
    <x v="0"/>
    <x v="259"/>
    <x v="344"/>
    <x v="0"/>
    <x v="344"/>
  </r>
  <r>
    <x v="0"/>
    <x v="113"/>
    <x v="1"/>
    <x v="76"/>
    <x v="35"/>
    <x v="314"/>
    <x v="86"/>
    <x v="11"/>
    <x v="1"/>
    <x v="260"/>
    <x v="345"/>
    <x v="0"/>
    <x v="345"/>
  </r>
  <r>
    <x v="0"/>
    <x v="114"/>
    <x v="1"/>
    <x v="17"/>
    <x v="53"/>
    <x v="51"/>
    <x v="40"/>
    <x v="11"/>
    <x v="1"/>
    <x v="119"/>
    <x v="346"/>
    <x v="0"/>
    <x v="346"/>
  </r>
  <r>
    <x v="0"/>
    <x v="93"/>
    <x v="1"/>
    <x v="57"/>
    <x v="33"/>
    <x v="269"/>
    <x v="61"/>
    <x v="11"/>
    <x v="1"/>
    <x v="261"/>
    <x v="347"/>
    <x v="0"/>
    <x v="347"/>
  </r>
  <r>
    <x v="0"/>
    <x v="115"/>
    <x v="1"/>
    <x v="69"/>
    <x v="87"/>
    <x v="315"/>
    <x v="70"/>
    <x v="11"/>
    <x v="1"/>
    <x v="262"/>
    <x v="348"/>
    <x v="0"/>
    <x v="348"/>
  </r>
  <r>
    <x v="0"/>
    <x v="72"/>
    <x v="1"/>
    <x v="36"/>
    <x v="72"/>
    <x v="224"/>
    <x v="11"/>
    <x v="11"/>
    <x v="1"/>
    <x v="263"/>
    <x v="349"/>
    <x v="0"/>
    <x v="349"/>
  </r>
  <r>
    <x v="0"/>
    <x v="116"/>
    <x v="1"/>
    <x v="66"/>
    <x v="76"/>
    <x v="316"/>
    <x v="28"/>
    <x v="11"/>
    <x v="0"/>
    <x v="264"/>
    <x v="350"/>
    <x v="0"/>
    <x v="350"/>
  </r>
  <r>
    <x v="0"/>
    <x v="117"/>
    <x v="1"/>
    <x v="24"/>
    <x v="33"/>
    <x v="205"/>
    <x v="39"/>
    <x v="11"/>
    <x v="0"/>
    <x v="265"/>
    <x v="351"/>
    <x v="0"/>
    <x v="351"/>
  </r>
  <r>
    <x v="0"/>
    <x v="118"/>
    <x v="1"/>
    <x v="24"/>
    <x v="33"/>
    <x v="317"/>
    <x v="87"/>
    <x v="11"/>
    <x v="0"/>
    <x v="266"/>
    <x v="352"/>
    <x v="0"/>
    <x v="352"/>
  </r>
  <r>
    <x v="0"/>
    <x v="25"/>
    <x v="1"/>
    <x v="66"/>
    <x v="91"/>
    <x v="225"/>
    <x v="37"/>
    <x v="11"/>
    <x v="2"/>
    <x v="267"/>
    <x v="353"/>
    <x v="0"/>
    <x v="353"/>
  </r>
  <r>
    <x v="0"/>
    <x v="77"/>
    <x v="1"/>
    <x v="77"/>
    <x v="22"/>
    <x v="318"/>
    <x v="56"/>
    <x v="11"/>
    <x v="2"/>
    <x v="268"/>
    <x v="354"/>
    <x v="1"/>
    <x v="354"/>
  </r>
  <r>
    <x v="0"/>
    <x v="119"/>
    <x v="1"/>
    <x v="19"/>
    <x v="50"/>
    <x v="319"/>
    <x v="60"/>
    <x v="11"/>
    <x v="1"/>
    <x v="269"/>
    <x v="355"/>
    <x v="0"/>
    <x v="355"/>
  </r>
  <r>
    <x v="0"/>
    <x v="107"/>
    <x v="1"/>
    <x v="41"/>
    <x v="50"/>
    <x v="320"/>
    <x v="51"/>
    <x v="11"/>
    <x v="1"/>
    <x v="131"/>
    <x v="356"/>
    <x v="0"/>
    <x v="356"/>
  </r>
  <r>
    <x v="0"/>
    <x v="120"/>
    <x v="1"/>
    <x v="52"/>
    <x v="23"/>
    <x v="321"/>
    <x v="49"/>
    <x v="11"/>
    <x v="1"/>
    <x v="270"/>
    <x v="357"/>
    <x v="0"/>
    <x v="357"/>
  </r>
  <r>
    <x v="0"/>
    <x v="121"/>
    <x v="1"/>
    <x v="39"/>
    <x v="91"/>
    <x v="308"/>
    <x v="88"/>
    <x v="11"/>
    <x v="1"/>
    <x v="241"/>
    <x v="358"/>
    <x v="0"/>
    <x v="358"/>
  </r>
  <r>
    <x v="0"/>
    <x v="122"/>
    <x v="1"/>
    <x v="73"/>
    <x v="36"/>
    <x v="322"/>
    <x v="89"/>
    <x v="11"/>
    <x v="2"/>
    <x v="271"/>
    <x v="359"/>
    <x v="0"/>
    <x v="359"/>
  </r>
  <r>
    <x v="0"/>
    <x v="123"/>
    <x v="2"/>
    <x v="78"/>
    <x v="32"/>
    <x v="323"/>
    <x v="90"/>
    <x v="11"/>
    <x v="2"/>
    <x v="272"/>
    <x v="360"/>
    <x v="0"/>
    <x v="360"/>
  </r>
  <r>
    <x v="0"/>
    <x v="75"/>
    <x v="2"/>
    <x v="59"/>
    <x v="92"/>
    <x v="324"/>
    <x v="85"/>
    <x v="11"/>
    <x v="1"/>
    <x v="273"/>
    <x v="361"/>
    <x v="0"/>
    <x v="361"/>
  </r>
  <r>
    <x v="0"/>
    <x v="124"/>
    <x v="2"/>
    <x v="63"/>
    <x v="68"/>
    <x v="199"/>
    <x v="84"/>
    <x v="11"/>
    <x v="1"/>
    <x v="274"/>
    <x v="362"/>
    <x v="0"/>
    <x v="362"/>
  </r>
  <r>
    <x v="0"/>
    <x v="125"/>
    <x v="2"/>
    <x v="49"/>
    <x v="28"/>
    <x v="325"/>
    <x v="56"/>
    <x v="11"/>
    <x v="0"/>
    <x v="125"/>
    <x v="363"/>
    <x v="0"/>
    <x v="363"/>
  </r>
  <r>
    <x v="0"/>
    <x v="108"/>
    <x v="0"/>
    <x v="1"/>
    <x v="24"/>
    <x v="262"/>
    <x v="19"/>
    <x v="11"/>
    <x v="0"/>
    <x v="275"/>
    <x v="364"/>
    <x v="0"/>
    <x v="364"/>
  </r>
  <r>
    <x v="0"/>
    <x v="48"/>
    <x v="2"/>
    <x v="16"/>
    <x v="14"/>
    <x v="326"/>
    <x v="91"/>
    <x v="11"/>
    <x v="0"/>
    <x v="276"/>
    <x v="365"/>
    <x v="0"/>
    <x v="365"/>
  </r>
  <r>
    <x v="0"/>
    <x v="68"/>
    <x v="2"/>
    <x v="26"/>
    <x v="13"/>
    <x v="327"/>
    <x v="69"/>
    <x v="11"/>
    <x v="0"/>
    <x v="277"/>
    <x v="366"/>
    <x v="0"/>
    <x v="366"/>
  </r>
  <r>
    <x v="0"/>
    <x v="14"/>
    <x v="1"/>
    <x v="79"/>
    <x v="14"/>
    <x v="328"/>
    <x v="90"/>
    <x v="12"/>
    <x v="0"/>
    <x v="278"/>
    <x v="367"/>
    <x v="0"/>
    <x v="367"/>
  </r>
  <r>
    <x v="0"/>
    <x v="8"/>
    <x v="1"/>
    <x v="79"/>
    <x v="14"/>
    <x v="329"/>
    <x v="50"/>
    <x v="12"/>
    <x v="0"/>
    <x v="279"/>
    <x v="368"/>
    <x v="0"/>
    <x v="368"/>
  </r>
  <r>
    <x v="0"/>
    <x v="126"/>
    <x v="1"/>
    <x v="79"/>
    <x v="14"/>
    <x v="78"/>
    <x v="22"/>
    <x v="12"/>
    <x v="0"/>
    <x v="280"/>
    <x v="369"/>
    <x v="0"/>
    <x v="369"/>
  </r>
  <r>
    <x v="0"/>
    <x v="20"/>
    <x v="1"/>
    <x v="79"/>
    <x v="13"/>
    <x v="330"/>
    <x v="39"/>
    <x v="12"/>
    <x v="0"/>
    <x v="281"/>
    <x v="370"/>
    <x v="0"/>
    <x v="370"/>
  </r>
  <r>
    <x v="0"/>
    <x v="23"/>
    <x v="1"/>
    <x v="75"/>
    <x v="89"/>
    <x v="331"/>
    <x v="11"/>
    <x v="12"/>
    <x v="0"/>
    <x v="282"/>
    <x v="371"/>
    <x v="0"/>
    <x v="371"/>
  </r>
  <r>
    <x v="0"/>
    <x v="8"/>
    <x v="1"/>
    <x v="62"/>
    <x v="17"/>
    <x v="332"/>
    <x v="22"/>
    <x v="12"/>
    <x v="0"/>
    <x v="235"/>
    <x v="372"/>
    <x v="0"/>
    <x v="372"/>
  </r>
  <r>
    <x v="0"/>
    <x v="5"/>
    <x v="1"/>
    <x v="23"/>
    <x v="41"/>
    <x v="333"/>
    <x v="42"/>
    <x v="12"/>
    <x v="0"/>
    <x v="283"/>
    <x v="373"/>
    <x v="0"/>
    <x v="373"/>
  </r>
  <r>
    <x v="0"/>
    <x v="18"/>
    <x v="1"/>
    <x v="62"/>
    <x v="22"/>
    <x v="334"/>
    <x v="13"/>
    <x v="12"/>
    <x v="0"/>
    <x v="284"/>
    <x v="374"/>
    <x v="1"/>
    <x v="374"/>
  </r>
  <r>
    <x v="0"/>
    <x v="36"/>
    <x v="1"/>
    <x v="66"/>
    <x v="91"/>
    <x v="335"/>
    <x v="30"/>
    <x v="12"/>
    <x v="2"/>
    <x v="285"/>
    <x v="375"/>
    <x v="0"/>
    <x v="375"/>
  </r>
  <r>
    <x v="0"/>
    <x v="93"/>
    <x v="1"/>
    <x v="36"/>
    <x v="72"/>
    <x v="336"/>
    <x v="55"/>
    <x v="12"/>
    <x v="1"/>
    <x v="286"/>
    <x v="376"/>
    <x v="0"/>
    <x v="376"/>
  </r>
  <r>
    <x v="0"/>
    <x v="20"/>
    <x v="1"/>
    <x v="36"/>
    <x v="72"/>
    <x v="337"/>
    <x v="34"/>
    <x v="12"/>
    <x v="1"/>
    <x v="287"/>
    <x v="377"/>
    <x v="0"/>
    <x v="377"/>
  </r>
  <r>
    <x v="0"/>
    <x v="127"/>
    <x v="1"/>
    <x v="66"/>
    <x v="76"/>
    <x v="141"/>
    <x v="68"/>
    <x v="12"/>
    <x v="0"/>
    <x v="288"/>
    <x v="378"/>
    <x v="0"/>
    <x v="378"/>
  </r>
  <r>
    <x v="0"/>
    <x v="36"/>
    <x v="1"/>
    <x v="24"/>
    <x v="31"/>
    <x v="141"/>
    <x v="70"/>
    <x v="12"/>
    <x v="0"/>
    <x v="289"/>
    <x v="379"/>
    <x v="0"/>
    <x v="379"/>
  </r>
  <r>
    <x v="0"/>
    <x v="36"/>
    <x v="1"/>
    <x v="39"/>
    <x v="14"/>
    <x v="338"/>
    <x v="12"/>
    <x v="12"/>
    <x v="1"/>
    <x v="290"/>
    <x v="380"/>
    <x v="0"/>
    <x v="380"/>
  </r>
  <r>
    <x v="0"/>
    <x v="36"/>
    <x v="1"/>
    <x v="19"/>
    <x v="50"/>
    <x v="339"/>
    <x v="12"/>
    <x v="12"/>
    <x v="1"/>
    <x v="255"/>
    <x v="381"/>
    <x v="0"/>
    <x v="381"/>
  </r>
  <r>
    <x v="0"/>
    <x v="126"/>
    <x v="1"/>
    <x v="41"/>
    <x v="31"/>
    <x v="340"/>
    <x v="27"/>
    <x v="12"/>
    <x v="1"/>
    <x v="131"/>
    <x v="382"/>
    <x v="0"/>
    <x v="382"/>
  </r>
  <r>
    <x v="0"/>
    <x v="127"/>
    <x v="1"/>
    <x v="36"/>
    <x v="53"/>
    <x v="341"/>
    <x v="9"/>
    <x v="12"/>
    <x v="1"/>
    <x v="118"/>
    <x v="383"/>
    <x v="0"/>
    <x v="383"/>
  </r>
  <r>
    <x v="0"/>
    <x v="24"/>
    <x v="1"/>
    <x v="36"/>
    <x v="53"/>
    <x v="341"/>
    <x v="44"/>
    <x v="12"/>
    <x v="1"/>
    <x v="291"/>
    <x v="384"/>
    <x v="0"/>
    <x v="384"/>
  </r>
  <r>
    <x v="0"/>
    <x v="127"/>
    <x v="1"/>
    <x v="36"/>
    <x v="53"/>
    <x v="342"/>
    <x v="39"/>
    <x v="12"/>
    <x v="1"/>
    <x v="292"/>
    <x v="385"/>
    <x v="0"/>
    <x v="385"/>
  </r>
  <r>
    <x v="0"/>
    <x v="10"/>
    <x v="2"/>
    <x v="80"/>
    <x v="28"/>
    <x v="95"/>
    <x v="42"/>
    <x v="12"/>
    <x v="0"/>
    <x v="293"/>
    <x v="386"/>
    <x v="0"/>
    <x v="386"/>
  </r>
  <r>
    <x v="0"/>
    <x v="127"/>
    <x v="2"/>
    <x v="50"/>
    <x v="13"/>
    <x v="343"/>
    <x v="23"/>
    <x v="12"/>
    <x v="0"/>
    <x v="294"/>
    <x v="387"/>
    <x v="0"/>
    <x v="387"/>
  </r>
  <r>
    <x v="0"/>
    <x v="9"/>
    <x v="1"/>
    <x v="45"/>
    <x v="41"/>
    <x v="344"/>
    <x v="12"/>
    <x v="12"/>
    <x v="0"/>
    <x v="295"/>
    <x v="388"/>
    <x v="0"/>
    <x v="388"/>
  </r>
  <r>
    <x v="0"/>
    <x v="6"/>
    <x v="2"/>
    <x v="25"/>
    <x v="40"/>
    <x v="345"/>
    <x v="68"/>
    <x v="12"/>
    <x v="0"/>
    <x v="296"/>
    <x v="389"/>
    <x v="0"/>
    <x v="389"/>
  </r>
  <r>
    <x v="0"/>
    <x v="24"/>
    <x v="1"/>
    <x v="81"/>
    <x v="61"/>
    <x v="346"/>
    <x v="31"/>
    <x v="12"/>
    <x v="1"/>
    <x v="297"/>
    <x v="390"/>
    <x v="0"/>
    <x v="390"/>
  </r>
  <r>
    <x v="0"/>
    <x v="36"/>
    <x v="1"/>
    <x v="75"/>
    <x v="89"/>
    <x v="347"/>
    <x v="20"/>
    <x v="12"/>
    <x v="0"/>
    <x v="298"/>
    <x v="391"/>
    <x v="0"/>
    <x v="391"/>
  </r>
  <r>
    <x v="0"/>
    <x v="8"/>
    <x v="1"/>
    <x v="62"/>
    <x v="17"/>
    <x v="297"/>
    <x v="70"/>
    <x v="12"/>
    <x v="0"/>
    <x v="299"/>
    <x v="392"/>
    <x v="0"/>
    <x v="392"/>
  </r>
  <r>
    <x v="0"/>
    <x v="8"/>
    <x v="1"/>
    <x v="23"/>
    <x v="30"/>
    <x v="348"/>
    <x v="92"/>
    <x v="12"/>
    <x v="0"/>
    <x v="300"/>
    <x v="393"/>
    <x v="0"/>
    <x v="393"/>
  </r>
  <r>
    <x v="0"/>
    <x v="128"/>
    <x v="1"/>
    <x v="17"/>
    <x v="56"/>
    <x v="18"/>
    <x v="93"/>
    <x v="12"/>
    <x v="2"/>
    <x v="301"/>
    <x v="394"/>
    <x v="0"/>
    <x v="394"/>
  </r>
  <r>
    <x v="0"/>
    <x v="24"/>
    <x v="1"/>
    <x v="75"/>
    <x v="89"/>
    <x v="349"/>
    <x v="94"/>
    <x v="12"/>
    <x v="0"/>
    <x v="302"/>
    <x v="395"/>
    <x v="0"/>
    <x v="395"/>
  </r>
  <r>
    <x v="0"/>
    <x v="14"/>
    <x v="1"/>
    <x v="39"/>
    <x v="67"/>
    <x v="350"/>
    <x v="50"/>
    <x v="12"/>
    <x v="0"/>
    <x v="303"/>
    <x v="396"/>
    <x v="0"/>
    <x v="396"/>
  </r>
  <r>
    <x v="0"/>
    <x v="20"/>
    <x v="1"/>
    <x v="52"/>
    <x v="93"/>
    <x v="228"/>
    <x v="61"/>
    <x v="12"/>
    <x v="0"/>
    <x v="304"/>
    <x v="397"/>
    <x v="0"/>
    <x v="3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9" firstHeaderRow="0" firstDataRow="1" firstDataCol="9"/>
  <pivotFields count="13">
    <pivotField compact="0" outline="0" showAll="0" defaultSubtotal="0">
      <items count="1">
        <item sd="0" x="0"/>
      </items>
    </pivotField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05"/>
        <item x="270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48"/>
        <item x="10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180"/>
        <item x="252"/>
        <item x="61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1"/>
        <item x="159"/>
        <item x="259"/>
        <item x="50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 defaultSubtotal="0">
      <items count="39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398">
        <item sd="0" x="368"/>
        <item sd="0" x="375"/>
        <item sd="0" x="113"/>
        <item sd="0" x="394"/>
        <item sd="0" x="231"/>
        <item sd="0" x="129"/>
        <item sd="0" x="104"/>
        <item sd="0" x="395"/>
        <item sd="0" x="1"/>
        <item sd="0" x="16"/>
        <item sd="0" x="259"/>
        <item sd="0" x="239"/>
        <item sd="0" x="50"/>
        <item sd="0" x="119"/>
        <item sd="0" x="269"/>
        <item sd="0" x="126"/>
        <item sd="0" x="352"/>
        <item sd="0" x="40"/>
        <item sd="0" x="284"/>
        <item sd="0" x="139"/>
        <item sd="0" x="240"/>
        <item sd="0" x="24"/>
        <item sd="0" x="143"/>
        <item sd="0" x="137"/>
        <item sd="0" x="72"/>
        <item sd="0" x="326"/>
        <item sd="0" x="391"/>
        <item sd="0" x="98"/>
        <item sd="0" x="43"/>
        <item sd="0" x="247"/>
        <item sd="0" x="184"/>
        <item sd="0" x="142"/>
        <item sd="0" x="45"/>
        <item sd="0" x="125"/>
        <item sd="0" x="210"/>
        <item sd="0" x="336"/>
        <item sd="0" x="68"/>
        <item sd="0" x="353"/>
        <item sd="0" x="293"/>
        <item sd="0" x="201"/>
        <item sd="0" x="324"/>
        <item sd="0" x="281"/>
        <item sd="0" x="249"/>
        <item sd="0" x="189"/>
        <item sd="0" x="155"/>
        <item sd="0" x="8"/>
        <item sd="0" x="166"/>
        <item sd="0" x="306"/>
        <item sd="0" x="192"/>
        <item sd="0" x="288"/>
        <item sd="0" x="339"/>
        <item sd="0" x="59"/>
        <item sd="0" x="115"/>
        <item sd="0" x="146"/>
        <item sd="0" x="17"/>
        <item sd="0" x="219"/>
        <item sd="0" x="103"/>
        <item sd="0" x="149"/>
        <item sd="0" x="177"/>
        <item sd="0" x="316"/>
        <item sd="0" x="100"/>
        <item sd="0" x="107"/>
        <item sd="0" x="83"/>
        <item sd="0" x="140"/>
        <item sd="0" x="202"/>
        <item sd="0" x="319"/>
        <item sd="0" x="209"/>
        <item sd="0" x="5"/>
        <item sd="0" x="300"/>
        <item sd="0" x="340"/>
        <item sd="0" x="361"/>
        <item sd="0" x="345"/>
        <item sd="0" x="244"/>
        <item sd="0" x="225"/>
        <item sd="0" x="183"/>
        <item sd="0" x="211"/>
        <item sd="0" x="350"/>
        <item sd="0" x="275"/>
        <item sd="0" x="64"/>
        <item sd="0" x="42"/>
        <item sd="0" x="257"/>
        <item sd="0" x="86"/>
        <item sd="0" x="205"/>
        <item sd="0" x="114"/>
        <item sd="0" x="87"/>
        <item sd="0" x="65"/>
        <item sd="0" x="145"/>
        <item sd="0" x="214"/>
        <item sd="0" x="121"/>
        <item sd="0" x="108"/>
        <item sd="0" x="171"/>
        <item sd="0" x="379"/>
        <item sd="0" x="69"/>
        <item sd="0" x="310"/>
        <item sd="0" x="213"/>
        <item sd="0" x="279"/>
        <item sd="0" x="274"/>
        <item sd="0" x="311"/>
        <item sd="0" x="124"/>
        <item sd="0" x="313"/>
        <item sd="0" x="193"/>
        <item sd="0" x="28"/>
        <item sd="0" x="237"/>
        <item sd="0" x="36"/>
        <item sd="0" x="346"/>
        <item sd="0" x="325"/>
        <item sd="0" x="365"/>
        <item sd="0" x="347"/>
        <item sd="0" x="157"/>
        <item sd="0" x="248"/>
        <item sd="0" x="159"/>
        <item sd="0" x="331"/>
        <item sd="0" x="38"/>
        <item sd="0" x="130"/>
        <item sd="0" x="71"/>
        <item sd="0" x="357"/>
        <item sd="0" x="198"/>
        <item sd="0" x="386"/>
        <item sd="0" x="271"/>
        <item sd="0" x="84"/>
        <item sd="0" x="182"/>
        <item sd="0" x="371"/>
        <item sd="0" x="283"/>
        <item sd="0" x="208"/>
        <item sd="0" x="363"/>
        <item sd="0" x="335"/>
        <item sd="0" x="63"/>
        <item sd="0" x="39"/>
        <item sd="0" x="330"/>
        <item sd="0" x="62"/>
        <item sd="0" x="252"/>
        <item sd="0" x="168"/>
        <item sd="0" x="132"/>
        <item sd="0" x="358"/>
        <item sd="0" x="175"/>
        <item sd="0" x="224"/>
        <item sd="0" x="141"/>
        <item sd="0" x="75"/>
        <item sd="0" x="367"/>
        <item sd="0" x="372"/>
        <item sd="0" x="299"/>
        <item sd="0" x="266"/>
        <item sd="0" x="332"/>
        <item sd="0" x="383"/>
        <item sd="0" x="222"/>
        <item sd="0" x="60"/>
        <item sd="0" x="169"/>
        <item sd="0" x="109"/>
        <item sd="0" x="0"/>
        <item sd="0" x="233"/>
        <item sd="0" x="179"/>
        <item sd="0" x="20"/>
        <item sd="0" x="388"/>
        <item sd="0" x="44"/>
        <item sd="0" x="57"/>
        <item sd="0" x="181"/>
        <item sd="0" x="344"/>
        <item sd="0" x="272"/>
        <item sd="0" x="93"/>
        <item sd="0" x="156"/>
        <item sd="0" x="360"/>
        <item sd="0" x="295"/>
        <item sd="0" x="122"/>
        <item sd="0" x="61"/>
        <item sd="0" x="230"/>
        <item sd="0" x="364"/>
        <item sd="0" x="366"/>
        <item sd="0" x="238"/>
        <item sd="0" x="351"/>
        <item sd="0" x="112"/>
        <item sd="0" x="26"/>
        <item sd="0" x="362"/>
        <item sd="0" x="97"/>
        <item sd="0" x="90"/>
        <item sd="0" x="343"/>
        <item sd="0" x="161"/>
        <item sd="0" x="195"/>
        <item sd="0" x="317"/>
        <item sd="0" x="70"/>
        <item sd="0" x="242"/>
        <item sd="0" x="89"/>
        <item sd="0" x="85"/>
        <item sd="0" x="31"/>
        <item sd="0" x="235"/>
        <item sd="0" x="261"/>
        <item sd="0" x="267"/>
        <item sd="0" x="51"/>
        <item sd="0" x="25"/>
        <item sd="0" x="80"/>
        <item sd="0" x="354"/>
        <item sd="0" x="320"/>
        <item sd="0" x="123"/>
        <item sd="0" x="280"/>
        <item sd="0" x="292"/>
        <item sd="0" x="9"/>
        <item sd="0" x="241"/>
        <item sd="0" x="286"/>
        <item sd="0" x="384"/>
        <item sd="0" x="162"/>
        <item sd="0" x="396"/>
        <item sd="0" x="56"/>
        <item sd="0" x="187"/>
        <item sd="0" x="186"/>
        <item sd="0" x="348"/>
        <item sd="0" x="106"/>
        <item sd="0" x="328"/>
        <item sd="0" x="116"/>
        <item sd="0" x="58"/>
        <item sd="0" x="95"/>
        <item sd="0" x="217"/>
        <item sd="0" x="307"/>
        <item sd="0" x="14"/>
        <item sd="0" x="204"/>
        <item sd="0" x="206"/>
        <item sd="0" x="46"/>
        <item sd="0" x="381"/>
        <item sd="0" x="289"/>
        <item sd="0" x="291"/>
        <item sd="0" x="380"/>
        <item sd="0" x="270"/>
        <item sd="0" x="282"/>
        <item sd="0" x="67"/>
        <item sd="0" x="227"/>
        <item sd="0" x="200"/>
        <item sd="0" x="276"/>
        <item sd="0" x="305"/>
        <item sd="0" x="255"/>
        <item sd="0" x="13"/>
        <item sd="0" x="385"/>
        <item sd="0" x="33"/>
        <item sd="0" x="308"/>
        <item sd="0" x="30"/>
        <item sd="0" x="136"/>
        <item sd="0" x="29"/>
        <item sd="0" x="190"/>
        <item sd="0" x="298"/>
        <item sd="0" x="251"/>
        <item sd="0" x="236"/>
        <item sd="0" x="256"/>
        <item sd="0" x="389"/>
        <item sd="0" x="318"/>
        <item sd="0" x="232"/>
        <item sd="0" x="378"/>
        <item sd="0" x="253"/>
        <item sd="0" x="101"/>
        <item sd="0" x="321"/>
        <item sd="0" x="49"/>
        <item sd="0" x="150"/>
        <item sd="0" x="309"/>
        <item sd="0" x="147"/>
        <item sd="0" x="226"/>
        <item sd="0" x="173"/>
        <item sd="0" x="262"/>
        <item sd="0" x="144"/>
        <item sd="0" x="81"/>
        <item sd="0" x="322"/>
        <item sd="0" x="52"/>
        <item sd="0" x="152"/>
        <item sd="0" x="221"/>
        <item sd="0" x="199"/>
        <item sd="0" x="134"/>
        <item sd="0" x="55"/>
        <item sd="0" x="302"/>
        <item sd="0" x="77"/>
        <item sd="0" x="382"/>
        <item sd="0" x="35"/>
        <item sd="0" x="127"/>
        <item sd="0" x="11"/>
        <item sd="0" x="66"/>
        <item sd="0" x="27"/>
        <item sd="0" x="342"/>
        <item sd="0" x="392"/>
        <item sd="0" x="197"/>
        <item sd="0" x="4"/>
        <item sd="0" x="15"/>
        <item sd="0" x="301"/>
        <item sd="0" x="314"/>
        <item sd="0" x="48"/>
        <item sd="0" x="176"/>
        <item sd="0" x="304"/>
        <item sd="0" x="165"/>
        <item sd="0" x="78"/>
        <item sd="0" x="6"/>
        <item sd="0" x="118"/>
        <item sd="0" x="7"/>
        <item sd="0" x="92"/>
        <item sd="0" x="32"/>
        <item sd="0" x="37"/>
        <item sd="0" x="287"/>
        <item sd="0" x="203"/>
        <item sd="0" x="105"/>
        <item sd="0" x="174"/>
        <item sd="0" x="196"/>
        <item sd="0" x="303"/>
        <item sd="0" x="172"/>
        <item sd="0" x="397"/>
        <item sd="0" x="102"/>
        <item sd="0" x="22"/>
        <item sd="0" x="160"/>
        <item sd="0" x="120"/>
        <item sd="0" x="243"/>
        <item sd="0" x="265"/>
        <item sd="0" x="359"/>
        <item sd="0" x="376"/>
        <item sd="0" x="264"/>
        <item sd="0" x="387"/>
        <item sd="0" x="164"/>
        <item sd="0" x="154"/>
        <item sd="0" x="18"/>
        <item sd="0" x="312"/>
        <item sd="0" x="294"/>
        <item sd="0" x="111"/>
        <item sd="0" x="188"/>
        <item sd="0" x="393"/>
        <item sd="0" x="263"/>
        <item sd="0" x="374"/>
        <item sd="0" x="315"/>
        <item sd="0" x="19"/>
        <item sd="0" x="229"/>
        <item sd="0" x="99"/>
        <item sd="0" x="54"/>
        <item sd="0" x="3"/>
        <item sd="0" x="278"/>
        <item sd="0" x="250"/>
        <item sd="0" x="297"/>
        <item sd="0" x="151"/>
        <item sd="0" x="180"/>
        <item sd="0" x="96"/>
        <item sd="0" x="148"/>
        <item sd="0" x="370"/>
        <item sd="0" x="228"/>
        <item sd="0" x="128"/>
        <item sd="0" x="245"/>
        <item sd="0" x="218"/>
        <item sd="0" x="234"/>
        <item sd="0" x="170"/>
        <item sd="0" x="185"/>
        <item sd="0" x="10"/>
        <item sd="0" x="296"/>
        <item sd="0" x="117"/>
        <item sd="0" x="163"/>
        <item sd="0" x="2"/>
        <item sd="0" x="337"/>
        <item sd="0" x="356"/>
        <item sd="0" x="268"/>
        <item sd="0" x="285"/>
        <item sd="0" x="138"/>
        <item sd="0" x="207"/>
        <item sd="0" x="158"/>
        <item sd="0" x="47"/>
        <item sd="0" x="79"/>
        <item sd="0" x="334"/>
        <item sd="0" x="260"/>
        <item sd="0" x="338"/>
        <item sd="0" x="333"/>
        <item sd="0" x="327"/>
        <item sd="0" x="91"/>
        <item sd="0" x="191"/>
        <item sd="0" x="178"/>
        <item sd="0" x="94"/>
        <item sd="0" x="21"/>
        <item sd="0" x="254"/>
        <item sd="0" x="76"/>
        <item sd="0" x="258"/>
        <item sd="0" x="12"/>
        <item sd="0" x="73"/>
        <item sd="0" x="53"/>
        <item sd="0" x="377"/>
        <item sd="0" x="220"/>
        <item sd="0" x="131"/>
        <item sd="0" x="277"/>
        <item sd="0" x="390"/>
        <item sd="0" x="41"/>
        <item sd="0" x="133"/>
        <item sd="0" x="373"/>
        <item sd="0" x="273"/>
        <item sd="0" x="290"/>
        <item sd="0" x="74"/>
        <item sd="0" x="194"/>
        <item sd="0" x="341"/>
        <item sd="0" x="153"/>
        <item sd="0" x="88"/>
        <item sd="0" x="34"/>
        <item sd="0" x="215"/>
        <item sd="0" x="216"/>
        <item sd="0" x="135"/>
        <item sd="0" x="246"/>
        <item sd="0" x="212"/>
        <item sd="0" x="369"/>
        <item sd="0" x="23"/>
        <item sd="0" x="167"/>
        <item sd="0" x="82"/>
        <item sd="0" x="349"/>
        <item sd="0" x="223"/>
        <item sd="0" x="323"/>
        <item sd="0" x="110"/>
        <item sd="0" x="329"/>
        <item sd="0" x="355"/>
      </items>
    </pivotField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162">
    <format dxfId="204">
      <pivotArea type="all" dataOnly="0" outline="0" fieldPosition="0"/>
    </format>
    <format dxfId="203">
      <pivotArea outline="0" collapsedLevelsAreSubtotals="1" fieldPosition="0"/>
    </format>
    <format dxfId="202">
      <pivotArea dataOnly="0" labelOnly="1" grandRow="1" outline="0" fieldPosition="0"/>
    </format>
    <format dxfId="2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0">
      <pivotArea type="all" dataOnly="0" outline="0" fieldPosition="0"/>
    </format>
    <format dxfId="199">
      <pivotArea dataOnly="0" outline="0" fieldPosition="0">
        <references count="1">
          <reference field="4294967294" count="1">
            <x v="0"/>
          </reference>
        </references>
      </pivotArea>
    </format>
    <format dxfId="198">
      <pivotArea outline="0" fieldPosition="0">
        <references count="1">
          <reference field="4294967294" count="1">
            <x v="0"/>
          </reference>
        </references>
      </pivotArea>
    </format>
    <format dxfId="197">
      <pivotArea outline="0" fieldPosition="0">
        <references count="1">
          <reference field="4294967294" count="1">
            <x v="1"/>
          </reference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3">
      <pivotArea outline="0" fieldPosition="0">
        <references count="1">
          <reference field="4294967294" count="1" selected="0">
            <x v="1"/>
          </reference>
        </references>
      </pivotArea>
    </format>
    <format dxfId="192">
      <pivotArea dataOnly="0" outline="0" fieldPosition="0">
        <references count="1">
          <reference field="4294967294" count="1">
            <x v="1"/>
          </reference>
        </references>
      </pivotArea>
    </format>
    <format dxfId="191">
      <pivotArea type="all" dataOnly="0" outline="0" fieldPosition="0"/>
    </format>
    <format dxfId="190">
      <pivotArea type="all" dataOnly="0" outline="0" fieldPosition="0"/>
    </format>
    <format dxfId="189">
      <pivotArea outline="0" fieldPosition="0">
        <references count="1">
          <reference field="4294967294" count="1"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1" type="button" dataOnly="0" labelOnly="1" outline="0" axis="axisRow" fieldPosition="0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4" type="button" dataOnly="0" labelOnly="1" outline="0" axis="axisRow" fieldPosition="3"/>
    </format>
    <format dxfId="140">
      <pivotArea field="5" type="button" dataOnly="0" labelOnly="1" outline="0" axis="axisRow" fieldPosition="4"/>
    </format>
    <format dxfId="139">
      <pivotArea field="6" type="button" dataOnly="0" labelOnly="1" outline="0" axis="axisRow" fieldPosition="5"/>
    </format>
    <format dxfId="138">
      <pivotArea field="7" type="button" dataOnly="0" labelOnly="1" outline="0" axis="axisRow" fieldPosition="6"/>
    </format>
    <format dxfId="137">
      <pivotArea field="8" type="button" dataOnly="0" labelOnly="1" outline="0" axis="axisRow" fieldPosition="7"/>
    </format>
    <format dxfId="136">
      <pivotArea field="9" type="button" dataOnly="0" labelOnly="1" outline="0" axis="axisRow" fieldPosition="8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1" type="button" dataOnly="0" labelOnly="1" outline="0" axis="axisRow" fieldPosition="0"/>
    </format>
    <format dxfId="133">
      <pivotArea dataOnly="0" labelOnly="1" outline="0" fieldPosition="0">
        <references count="1">
          <reference field="1" count="1">
            <x v="0"/>
          </reference>
        </references>
      </pivotArea>
    </format>
    <format dxfId="132">
      <pivotArea dataOnly="0" labelOnly="1" outline="0" fieldPosition="0">
        <references count="1">
          <reference field="1" count="1">
            <x v="1"/>
          </reference>
        </references>
      </pivotArea>
    </format>
    <format dxfId="131">
      <pivotArea dataOnly="0" labelOnly="1" outline="0" fieldPosition="0">
        <references count="1">
          <reference field="1" count="1">
            <x v="2"/>
          </reference>
        </references>
      </pivotArea>
    </format>
    <format dxfId="130">
      <pivotArea dataOnly="0" labelOnly="1" outline="0" fieldPosition="0">
        <references count="1">
          <reference field="1" count="1">
            <x v="3"/>
          </reference>
        </references>
      </pivotArea>
    </format>
    <format dxfId="129">
      <pivotArea dataOnly="0" labelOnly="1" outline="0" fieldPosition="0">
        <references count="1">
          <reference field="1" count="1">
            <x v="4"/>
          </reference>
        </references>
      </pivotArea>
    </format>
    <format dxfId="128">
      <pivotArea dataOnly="0" labelOnly="1" outline="0" fieldPosition="0">
        <references count="1">
          <reference field="1" count="1">
            <x v="5"/>
          </reference>
        </references>
      </pivotArea>
    </format>
    <format dxfId="127">
      <pivotArea dataOnly="0" labelOnly="1" outline="0" fieldPosition="0">
        <references count="1">
          <reference field="1" count="1">
            <x v="6"/>
          </reference>
        </references>
      </pivotArea>
    </format>
    <format dxfId="126">
      <pivotArea dataOnly="0" labelOnly="1" outline="0" fieldPosition="0">
        <references count="1">
          <reference field="1" count="1">
            <x v="7"/>
          </reference>
        </references>
      </pivotArea>
    </format>
    <format dxfId="125">
      <pivotArea dataOnly="0" labelOnly="1" outline="0" fieldPosition="0">
        <references count="1">
          <reference field="1" count="1">
            <x v="8"/>
          </reference>
        </references>
      </pivotArea>
    </format>
    <format dxfId="124">
      <pivotArea dataOnly="0" labelOnly="1" outline="0" fieldPosition="0">
        <references count="1">
          <reference field="1" count="1">
            <x v="9"/>
          </reference>
        </references>
      </pivotArea>
    </format>
    <format dxfId="123">
      <pivotArea dataOnly="0" labelOnly="1" outline="0" fieldPosition="0">
        <references count="1">
          <reference field="1" count="1">
            <x v="10"/>
          </reference>
        </references>
      </pivotArea>
    </format>
    <format dxfId="122">
      <pivotArea dataOnly="0" labelOnly="1" outline="0" fieldPosition="0">
        <references count="1">
          <reference field="1" count="1">
            <x v="11"/>
          </reference>
        </references>
      </pivotArea>
    </format>
    <format dxfId="121">
      <pivotArea dataOnly="0" labelOnly="1" outline="0" fieldPosition="0">
        <references count="1">
          <reference field="1" count="1">
            <x v="12"/>
          </reference>
        </references>
      </pivotArea>
    </format>
    <format dxfId="120">
      <pivotArea dataOnly="0" labelOnly="1" outline="0" fieldPosition="0">
        <references count="1">
          <reference field="1" count="1">
            <x v="13"/>
          </reference>
        </references>
      </pivotArea>
    </format>
    <format dxfId="119">
      <pivotArea dataOnly="0" labelOnly="1" outline="0" fieldPosition="0">
        <references count="1">
          <reference field="1" count="1">
            <x v="14"/>
          </reference>
        </references>
      </pivotArea>
    </format>
    <format dxfId="118">
      <pivotArea dataOnly="0" labelOnly="1" outline="0" fieldPosition="0">
        <references count="1">
          <reference field="1" count="1">
            <x v="15"/>
          </reference>
        </references>
      </pivotArea>
    </format>
    <format dxfId="117">
      <pivotArea dataOnly="0" labelOnly="1" outline="0" fieldPosition="0">
        <references count="1">
          <reference field="1" count="1">
            <x v="16"/>
          </reference>
        </references>
      </pivotArea>
    </format>
    <format dxfId="116">
      <pivotArea dataOnly="0" labelOnly="1" outline="0" fieldPosition="0">
        <references count="1">
          <reference field="1" count="1">
            <x v="17"/>
          </reference>
        </references>
      </pivotArea>
    </format>
    <format dxfId="115">
      <pivotArea dataOnly="0" labelOnly="1" outline="0" fieldPosition="0">
        <references count="1">
          <reference field="1" count="1">
            <x v="18"/>
          </reference>
        </references>
      </pivotArea>
    </format>
    <format dxfId="114">
      <pivotArea dataOnly="0" labelOnly="1" outline="0" fieldPosition="0">
        <references count="1">
          <reference field="1" count="1">
            <x v="19"/>
          </reference>
        </references>
      </pivotArea>
    </format>
    <format dxfId="113">
      <pivotArea dataOnly="0" labelOnly="1" outline="0" fieldPosition="0">
        <references count="1">
          <reference field="1" count="1">
            <x v="20"/>
          </reference>
        </references>
      </pivotArea>
    </format>
    <format dxfId="112">
      <pivotArea dataOnly="0" labelOnly="1" outline="0" fieldPosition="0">
        <references count="1">
          <reference field="1" count="1">
            <x v="21"/>
          </reference>
        </references>
      </pivotArea>
    </format>
    <format dxfId="111">
      <pivotArea dataOnly="0" labelOnly="1" outline="0" fieldPosition="0">
        <references count="1">
          <reference field="1" count="1">
            <x v="22"/>
          </reference>
        </references>
      </pivotArea>
    </format>
    <format dxfId="110">
      <pivotArea dataOnly="0" labelOnly="1" outline="0" fieldPosition="0">
        <references count="1">
          <reference field="1" count="1">
            <x v="23"/>
          </reference>
        </references>
      </pivotArea>
    </format>
    <format dxfId="109">
      <pivotArea dataOnly="0" labelOnly="1" outline="0" fieldPosition="0">
        <references count="1">
          <reference field="1" count="1">
            <x v="24"/>
          </reference>
        </references>
      </pivotArea>
    </format>
    <format dxfId="108">
      <pivotArea dataOnly="0" labelOnly="1" outline="0" fieldPosition="0">
        <references count="1">
          <reference field="1" count="1">
            <x v="25"/>
          </reference>
        </references>
      </pivotArea>
    </format>
    <format dxfId="107">
      <pivotArea dataOnly="0" labelOnly="1" outline="0" fieldPosition="0">
        <references count="1">
          <reference field="1" count="1">
            <x v="26"/>
          </reference>
        </references>
      </pivotArea>
    </format>
    <format dxfId="106">
      <pivotArea dataOnly="0" labelOnly="1" outline="0" fieldPosition="0">
        <references count="1">
          <reference field="1" count="1">
            <x v="27"/>
          </reference>
        </references>
      </pivotArea>
    </format>
    <format dxfId="105">
      <pivotArea dataOnly="0" labelOnly="1" outline="0" fieldPosition="0">
        <references count="1">
          <reference field="1" count="1">
            <x v="28"/>
          </reference>
        </references>
      </pivotArea>
    </format>
    <format dxfId="104">
      <pivotArea dataOnly="0" labelOnly="1" outline="0" fieldPosition="0">
        <references count="1">
          <reference field="1" count="1">
            <x v="29"/>
          </reference>
        </references>
      </pivotArea>
    </format>
    <format dxfId="103">
      <pivotArea dataOnly="0" labelOnly="1" outline="0" fieldPosition="0">
        <references count="1">
          <reference field="1" count="1">
            <x v="30"/>
          </reference>
        </references>
      </pivotArea>
    </format>
    <format dxfId="102">
      <pivotArea dataOnly="0" labelOnly="1" outline="0" fieldPosition="0">
        <references count="1">
          <reference field="1" count="1">
            <x v="31"/>
          </reference>
        </references>
      </pivotArea>
    </format>
    <format dxfId="101">
      <pivotArea dataOnly="0" labelOnly="1" outline="0" fieldPosition="0">
        <references count="1">
          <reference field="1" count="1">
            <x v="32"/>
          </reference>
        </references>
      </pivotArea>
    </format>
    <format dxfId="100">
      <pivotArea dataOnly="0" labelOnly="1" outline="0" fieldPosition="0">
        <references count="1">
          <reference field="1" count="1">
            <x v="33"/>
          </reference>
        </references>
      </pivotArea>
    </format>
    <format dxfId="99">
      <pivotArea dataOnly="0" labelOnly="1" outline="0" fieldPosition="0">
        <references count="1">
          <reference field="1" count="1">
            <x v="34"/>
          </reference>
        </references>
      </pivotArea>
    </format>
    <format dxfId="98">
      <pivotArea dataOnly="0" labelOnly="1" outline="0" fieldPosition="0">
        <references count="1">
          <reference field="1" count="1">
            <x v="35"/>
          </reference>
        </references>
      </pivotArea>
    </format>
    <format dxfId="97">
      <pivotArea dataOnly="0" labelOnly="1" outline="0" fieldPosition="0">
        <references count="1">
          <reference field="1" count="1">
            <x v="36"/>
          </reference>
        </references>
      </pivotArea>
    </format>
    <format dxfId="96">
      <pivotArea dataOnly="0" labelOnly="1" outline="0" fieldPosition="0">
        <references count="1">
          <reference field="1" count="1">
            <x v="37"/>
          </reference>
        </references>
      </pivotArea>
    </format>
    <format dxfId="95">
      <pivotArea dataOnly="0" labelOnly="1" outline="0" fieldPosition="0">
        <references count="1">
          <reference field="1" count="1">
            <x v="38"/>
          </reference>
        </references>
      </pivotArea>
    </format>
    <format dxfId="94">
      <pivotArea dataOnly="0" labelOnly="1" outline="0" fieldPosition="0">
        <references count="1">
          <reference field="1" count="1">
            <x v="39"/>
          </reference>
        </references>
      </pivotArea>
    </format>
    <format dxfId="93">
      <pivotArea dataOnly="0" labelOnly="1" outline="0" fieldPosition="0">
        <references count="1">
          <reference field="1" count="1">
            <x v="40"/>
          </reference>
        </references>
      </pivotArea>
    </format>
    <format dxfId="92">
      <pivotArea dataOnly="0" labelOnly="1" outline="0" fieldPosition="0">
        <references count="1">
          <reference field="1" count="1">
            <x v="41"/>
          </reference>
        </references>
      </pivotArea>
    </format>
    <format dxfId="91">
      <pivotArea dataOnly="0" labelOnly="1" outline="0" fieldPosition="0">
        <references count="1">
          <reference field="1" count="1">
            <x v="42"/>
          </reference>
        </references>
      </pivotArea>
    </format>
    <format dxfId="90">
      <pivotArea dataOnly="0" labelOnly="1" outline="0" fieldPosition="0">
        <references count="1">
          <reference field="1" count="1">
            <x v="43"/>
          </reference>
        </references>
      </pivotArea>
    </format>
    <format dxfId="89">
      <pivotArea dataOnly="0" labelOnly="1" outline="0" fieldPosition="0">
        <references count="1">
          <reference field="1" count="1">
            <x v="44"/>
          </reference>
        </references>
      </pivotArea>
    </format>
    <format dxfId="88">
      <pivotArea dataOnly="0" labelOnly="1" outline="0" fieldPosition="0">
        <references count="1">
          <reference field="1" count="1">
            <x v="45"/>
          </reference>
        </references>
      </pivotArea>
    </format>
    <format dxfId="87">
      <pivotArea dataOnly="0" labelOnly="1" outline="0" fieldPosition="0">
        <references count="1">
          <reference field="1" count="1">
            <x v="46"/>
          </reference>
        </references>
      </pivotArea>
    </format>
    <format dxfId="86">
      <pivotArea dataOnly="0" labelOnly="1" outline="0" fieldPosition="0">
        <references count="1">
          <reference field="1" count="1">
            <x v="47"/>
          </reference>
        </references>
      </pivotArea>
    </format>
    <format dxfId="85">
      <pivotArea dataOnly="0" labelOnly="1" outline="0" fieldPosition="0">
        <references count="1">
          <reference field="1" count="1">
            <x v="48"/>
          </reference>
        </references>
      </pivotArea>
    </format>
    <format dxfId="84">
      <pivotArea dataOnly="0" labelOnly="1" outline="0" fieldPosition="0">
        <references count="1">
          <reference field="1" count="1">
            <x v="49"/>
          </reference>
        </references>
      </pivotArea>
    </format>
    <format dxfId="83">
      <pivotArea dataOnly="0" labelOnly="1" outline="0" fieldPosition="0">
        <references count="1">
          <reference field="1" count="1">
            <x v="50"/>
          </reference>
        </references>
      </pivotArea>
    </format>
    <format dxfId="82">
      <pivotArea dataOnly="0" labelOnly="1" outline="0" fieldPosition="0">
        <references count="1">
          <reference field="1" count="1">
            <x v="51"/>
          </reference>
        </references>
      </pivotArea>
    </format>
    <format dxfId="81">
      <pivotArea dataOnly="0" labelOnly="1" outline="0" fieldPosition="0">
        <references count="1">
          <reference field="1" count="1">
            <x v="52"/>
          </reference>
        </references>
      </pivotArea>
    </format>
    <format dxfId="80">
      <pivotArea dataOnly="0" labelOnly="1" outline="0" fieldPosition="0">
        <references count="1">
          <reference field="1" count="1">
            <x v="53"/>
          </reference>
        </references>
      </pivotArea>
    </format>
    <format dxfId="79">
      <pivotArea dataOnly="0" labelOnly="1" outline="0" fieldPosition="0">
        <references count="1">
          <reference field="1" count="1">
            <x v="54"/>
          </reference>
        </references>
      </pivotArea>
    </format>
    <format dxfId="78">
      <pivotArea dataOnly="0" labelOnly="1" outline="0" fieldPosition="0">
        <references count="1">
          <reference field="1" count="1">
            <x v="55"/>
          </reference>
        </references>
      </pivotArea>
    </format>
    <format dxfId="77">
      <pivotArea dataOnly="0" labelOnly="1" outline="0" fieldPosition="0">
        <references count="1">
          <reference field="1" count="1">
            <x v="56"/>
          </reference>
        </references>
      </pivotArea>
    </format>
    <format dxfId="76">
      <pivotArea dataOnly="0" labelOnly="1" outline="0" fieldPosition="0">
        <references count="1">
          <reference field="1" count="1">
            <x v="57"/>
          </reference>
        </references>
      </pivotArea>
    </format>
    <format dxfId="75">
      <pivotArea dataOnly="0" labelOnly="1" outline="0" fieldPosition="0">
        <references count="1">
          <reference field="1" count="1">
            <x v="58"/>
          </reference>
        </references>
      </pivotArea>
    </format>
    <format dxfId="74">
      <pivotArea dataOnly="0" labelOnly="1" outline="0" fieldPosition="0">
        <references count="1">
          <reference field="1" count="1">
            <x v="59"/>
          </reference>
        </references>
      </pivotArea>
    </format>
    <format dxfId="73">
      <pivotArea dataOnly="0" labelOnly="1" outline="0" fieldPosition="0">
        <references count="1">
          <reference field="1" count="1">
            <x v="60"/>
          </reference>
        </references>
      </pivotArea>
    </format>
    <format dxfId="72">
      <pivotArea dataOnly="0" labelOnly="1" outline="0" fieldPosition="0">
        <references count="1">
          <reference field="1" count="1">
            <x v="61"/>
          </reference>
        </references>
      </pivotArea>
    </format>
    <format dxfId="71">
      <pivotArea dataOnly="0" labelOnly="1" outline="0" fieldPosition="0">
        <references count="1">
          <reference field="1" count="1">
            <x v="62"/>
          </reference>
        </references>
      </pivotArea>
    </format>
    <format dxfId="70">
      <pivotArea dataOnly="0" labelOnly="1" outline="0" fieldPosition="0">
        <references count="1">
          <reference field="1" count="1">
            <x v="63"/>
          </reference>
        </references>
      </pivotArea>
    </format>
    <format dxfId="69">
      <pivotArea dataOnly="0" labelOnly="1" outline="0" fieldPosition="0">
        <references count="1">
          <reference field="1" count="1">
            <x v="64"/>
          </reference>
        </references>
      </pivotArea>
    </format>
    <format dxfId="68">
      <pivotArea dataOnly="0" labelOnly="1" outline="0" fieldPosition="0">
        <references count="1">
          <reference field="1" count="1">
            <x v="65"/>
          </reference>
        </references>
      </pivotArea>
    </format>
    <format dxfId="67">
      <pivotArea dataOnly="0" labelOnly="1" outline="0" fieldPosition="0">
        <references count="1">
          <reference field="1" count="1">
            <x v="66"/>
          </reference>
        </references>
      </pivotArea>
    </format>
    <format dxfId="66">
      <pivotArea dataOnly="0" labelOnly="1" outline="0" fieldPosition="0">
        <references count="1">
          <reference field="1" count="1">
            <x v="67"/>
          </reference>
        </references>
      </pivotArea>
    </format>
    <format dxfId="65">
      <pivotArea dataOnly="0" labelOnly="1" outline="0" fieldPosition="0">
        <references count="1">
          <reference field="1" count="1">
            <x v="68"/>
          </reference>
        </references>
      </pivotArea>
    </format>
    <format dxfId="64">
      <pivotArea dataOnly="0" labelOnly="1" outline="0" fieldPosition="0">
        <references count="1">
          <reference field="1" count="1">
            <x v="69"/>
          </reference>
        </references>
      </pivotArea>
    </format>
    <format dxfId="63">
      <pivotArea dataOnly="0" labelOnly="1" outline="0" fieldPosition="0">
        <references count="1">
          <reference field="1" count="1">
            <x v="70"/>
          </reference>
        </references>
      </pivotArea>
    </format>
    <format dxfId="62">
      <pivotArea dataOnly="0" labelOnly="1" outline="0" fieldPosition="0">
        <references count="1">
          <reference field="1" count="1">
            <x v="71"/>
          </reference>
        </references>
      </pivotArea>
    </format>
    <format dxfId="61">
      <pivotArea dataOnly="0" labelOnly="1" outline="0" fieldPosition="0">
        <references count="1">
          <reference field="1" count="1">
            <x v="72"/>
          </reference>
        </references>
      </pivotArea>
    </format>
    <format dxfId="60">
      <pivotArea dataOnly="0" labelOnly="1" outline="0" fieldPosition="0">
        <references count="1">
          <reference field="1" count="1">
            <x v="73"/>
          </reference>
        </references>
      </pivotArea>
    </format>
    <format dxfId="59">
      <pivotArea dataOnly="0" labelOnly="1" outline="0" fieldPosition="0">
        <references count="1">
          <reference field="1" count="1">
            <x v="74"/>
          </reference>
        </references>
      </pivotArea>
    </format>
    <format dxfId="58">
      <pivotArea dataOnly="0" labelOnly="1" outline="0" fieldPosition="0">
        <references count="1">
          <reference field="1" count="1">
            <x v="75"/>
          </reference>
        </references>
      </pivotArea>
    </format>
    <format dxfId="57">
      <pivotArea dataOnly="0" labelOnly="1" outline="0" fieldPosition="0">
        <references count="1">
          <reference field="1" count="1">
            <x v="76"/>
          </reference>
        </references>
      </pivotArea>
    </format>
    <format dxfId="56">
      <pivotArea dataOnly="0" labelOnly="1" outline="0" fieldPosition="0">
        <references count="1">
          <reference field="1" count="1">
            <x v="77"/>
          </reference>
        </references>
      </pivotArea>
    </format>
    <format dxfId="55">
      <pivotArea dataOnly="0" labelOnly="1" outline="0" fieldPosition="0">
        <references count="1">
          <reference field="1" count="1">
            <x v="78"/>
          </reference>
        </references>
      </pivotArea>
    </format>
    <format dxfId="54">
      <pivotArea dataOnly="0" labelOnly="1" outline="0" fieldPosition="0">
        <references count="1">
          <reference field="1" count="1">
            <x v="79"/>
          </reference>
        </references>
      </pivotArea>
    </format>
    <format dxfId="53">
      <pivotArea dataOnly="0" labelOnly="1" outline="0" fieldPosition="0">
        <references count="1">
          <reference field="1" count="1">
            <x v="80"/>
          </reference>
        </references>
      </pivotArea>
    </format>
    <format dxfId="52">
      <pivotArea dataOnly="0" labelOnly="1" outline="0" fieldPosition="0">
        <references count="1">
          <reference field="1" count="1">
            <x v="81"/>
          </reference>
        </references>
      </pivotArea>
    </format>
    <format dxfId="51">
      <pivotArea dataOnly="0" labelOnly="1" outline="0" fieldPosition="0">
        <references count="1">
          <reference field="1" count="1">
            <x v="82"/>
          </reference>
        </references>
      </pivotArea>
    </format>
    <format dxfId="50">
      <pivotArea dataOnly="0" labelOnly="1" outline="0" fieldPosition="0">
        <references count="1">
          <reference field="1" count="1">
            <x v="83"/>
          </reference>
        </references>
      </pivotArea>
    </format>
    <format dxfId="49">
      <pivotArea dataOnly="0" labelOnly="1" outline="0" fieldPosition="0">
        <references count="1">
          <reference field="1" count="1">
            <x v="84"/>
          </reference>
        </references>
      </pivotArea>
    </format>
    <format dxfId="48">
      <pivotArea dataOnly="0" labelOnly="1" outline="0" fieldPosition="0">
        <references count="1">
          <reference field="1" count="1">
            <x v="85"/>
          </reference>
        </references>
      </pivotArea>
    </format>
    <format dxfId="47">
      <pivotArea dataOnly="0" labelOnly="1" outline="0" fieldPosition="0">
        <references count="1">
          <reference field="1" count="1">
            <x v="86"/>
          </reference>
        </references>
      </pivotArea>
    </format>
    <format dxfId="46">
      <pivotArea dataOnly="0" labelOnly="1" outline="0" fieldPosition="0">
        <references count="1">
          <reference field="1" count="1">
            <x v="87"/>
          </reference>
        </references>
      </pivotArea>
    </format>
    <format dxfId="45">
      <pivotArea dataOnly="0" labelOnly="1" outline="0" fieldPosition="0">
        <references count="1">
          <reference field="1" count="1">
            <x v="88"/>
          </reference>
        </references>
      </pivotArea>
    </format>
    <format dxfId="44">
      <pivotArea dataOnly="0" labelOnly="1" outline="0" fieldPosition="0">
        <references count="1">
          <reference field="1" count="1">
            <x v="89"/>
          </reference>
        </references>
      </pivotArea>
    </format>
    <format dxfId="43">
      <pivotArea dataOnly="0" labelOnly="1" outline="0" fieldPosition="0">
        <references count="1">
          <reference field="1" count="1">
            <x v="90"/>
          </reference>
        </references>
      </pivotArea>
    </format>
    <format dxfId="42">
      <pivotArea dataOnly="0" labelOnly="1" outline="0" fieldPosition="0">
        <references count="1">
          <reference field="1" count="1">
            <x v="91"/>
          </reference>
        </references>
      </pivotArea>
    </format>
    <format dxfId="41">
      <pivotArea dataOnly="0" labelOnly="1" outline="0" fieldPosition="0">
        <references count="1">
          <reference field="1" count="1">
            <x v="92"/>
          </reference>
        </references>
      </pivotArea>
    </format>
    <format dxfId="40">
      <pivotArea dataOnly="0" labelOnly="1" outline="0" fieldPosition="0">
        <references count="1">
          <reference field="1" count="1">
            <x v="93"/>
          </reference>
        </references>
      </pivotArea>
    </format>
    <format dxfId="39">
      <pivotArea dataOnly="0" labelOnly="1" outline="0" fieldPosition="0">
        <references count="1">
          <reference field="1" count="1">
            <x v="94"/>
          </reference>
        </references>
      </pivotArea>
    </format>
    <format dxfId="38">
      <pivotArea dataOnly="0" labelOnly="1" outline="0" fieldPosition="0">
        <references count="1">
          <reference field="1" count="1">
            <x v="95"/>
          </reference>
        </references>
      </pivotArea>
    </format>
    <format dxfId="37">
      <pivotArea dataOnly="0" labelOnly="1" outline="0" fieldPosition="0">
        <references count="1">
          <reference field="1" count="1">
            <x v="96"/>
          </reference>
        </references>
      </pivotArea>
    </format>
    <format dxfId="36">
      <pivotArea dataOnly="0" labelOnly="1" outline="0" fieldPosition="0">
        <references count="1">
          <reference field="1" count="1">
            <x v="97"/>
          </reference>
        </references>
      </pivotArea>
    </format>
    <format dxfId="35">
      <pivotArea dataOnly="0" labelOnly="1" outline="0" fieldPosition="0">
        <references count="1">
          <reference field="1" count="1">
            <x v="98"/>
          </reference>
        </references>
      </pivotArea>
    </format>
    <format dxfId="34">
      <pivotArea dataOnly="0" labelOnly="1" outline="0" fieldPosition="0">
        <references count="1">
          <reference field="1" count="1">
            <x v="99"/>
          </reference>
        </references>
      </pivotArea>
    </format>
    <format dxfId="33">
      <pivotArea dataOnly="0" labelOnly="1" outline="0" fieldPosition="0">
        <references count="1">
          <reference field="1" count="1">
            <x v="100"/>
          </reference>
        </references>
      </pivotArea>
    </format>
    <format dxfId="32">
      <pivotArea dataOnly="0" labelOnly="1" outline="0" fieldPosition="0">
        <references count="1">
          <reference field="1" count="1">
            <x v="101"/>
          </reference>
        </references>
      </pivotArea>
    </format>
    <format dxfId="31">
      <pivotArea dataOnly="0" labelOnly="1" outline="0" fieldPosition="0">
        <references count="1">
          <reference field="1" count="1">
            <x v="102"/>
          </reference>
        </references>
      </pivotArea>
    </format>
    <format dxfId="30">
      <pivotArea dataOnly="0" labelOnly="1" outline="0" fieldPosition="0">
        <references count="1">
          <reference field="1" count="1">
            <x v="103"/>
          </reference>
        </references>
      </pivotArea>
    </format>
    <format dxfId="29">
      <pivotArea dataOnly="0" labelOnly="1" outline="0" fieldPosition="0">
        <references count="1">
          <reference field="1" count="1">
            <x v="104"/>
          </reference>
        </references>
      </pivotArea>
    </format>
    <format dxfId="28">
      <pivotArea dataOnly="0" labelOnly="1" outline="0" fieldPosition="0">
        <references count="1">
          <reference field="1" count="1">
            <x v="105"/>
          </reference>
        </references>
      </pivotArea>
    </format>
    <format dxfId="27">
      <pivotArea dataOnly="0" labelOnly="1" outline="0" fieldPosition="0">
        <references count="1">
          <reference field="1" count="1">
            <x v="106"/>
          </reference>
        </references>
      </pivotArea>
    </format>
    <format dxfId="26">
      <pivotArea dataOnly="0" labelOnly="1" outline="0" fieldPosition="0">
        <references count="1">
          <reference field="1" count="1">
            <x v="107"/>
          </reference>
        </references>
      </pivotArea>
    </format>
    <format dxfId="25">
      <pivotArea dataOnly="0" labelOnly="1" outline="0" fieldPosition="0">
        <references count="1">
          <reference field="1" count="1">
            <x v="108"/>
          </reference>
        </references>
      </pivotArea>
    </format>
    <format dxfId="24">
      <pivotArea dataOnly="0" labelOnly="1" outline="0" fieldPosition="0">
        <references count="1">
          <reference field="1" count="1">
            <x v="109"/>
          </reference>
        </references>
      </pivotArea>
    </format>
    <format dxfId="23">
      <pivotArea dataOnly="0" labelOnly="1" outline="0" fieldPosition="0">
        <references count="1">
          <reference field="1" count="1">
            <x v="110"/>
          </reference>
        </references>
      </pivotArea>
    </format>
    <format dxfId="22">
      <pivotArea dataOnly="0" labelOnly="1" outline="0" fieldPosition="0">
        <references count="1">
          <reference field="1" count="1">
            <x v="111"/>
          </reference>
        </references>
      </pivotArea>
    </format>
    <format dxfId="21">
      <pivotArea dataOnly="0" labelOnly="1" outline="0" fieldPosition="0">
        <references count="1">
          <reference field="1" count="1">
            <x v="112"/>
          </reference>
        </references>
      </pivotArea>
    </format>
    <format dxfId="20">
      <pivotArea dataOnly="0" labelOnly="1" outline="0" fieldPosition="0">
        <references count="1">
          <reference field="1" count="1">
            <x v="113"/>
          </reference>
        </references>
      </pivotArea>
    </format>
    <format dxfId="19">
      <pivotArea dataOnly="0" labelOnly="1" outline="0" fieldPosition="0">
        <references count="1">
          <reference field="1" count="1">
            <x v="114"/>
          </reference>
        </references>
      </pivotArea>
    </format>
    <format dxfId="18">
      <pivotArea dataOnly="0" labelOnly="1" outline="0" fieldPosition="0">
        <references count="1">
          <reference field="1" count="1">
            <x v="115"/>
          </reference>
        </references>
      </pivotArea>
    </format>
    <format dxfId="17">
      <pivotArea dataOnly="0" labelOnly="1" outline="0" fieldPosition="0">
        <references count="1">
          <reference field="1" count="1">
            <x v="116"/>
          </reference>
        </references>
      </pivotArea>
    </format>
    <format dxfId="16">
      <pivotArea dataOnly="0" labelOnly="1" outline="0" fieldPosition="0">
        <references count="1">
          <reference field="1" count="1">
            <x v="117"/>
          </reference>
        </references>
      </pivotArea>
    </format>
    <format dxfId="15">
      <pivotArea dataOnly="0" labelOnly="1" outline="0" fieldPosition="0">
        <references count="1">
          <reference field="1" count="1">
            <x v="118"/>
          </reference>
        </references>
      </pivotArea>
    </format>
    <format dxfId="14">
      <pivotArea dataOnly="0" labelOnly="1" outline="0" fieldPosition="0">
        <references count="1">
          <reference field="1" count="1">
            <x v="119"/>
          </reference>
        </references>
      </pivotArea>
    </format>
    <format dxfId="13">
      <pivotArea dataOnly="0" labelOnly="1" outline="0" fieldPosition="0">
        <references count="1">
          <reference field="1" count="1">
            <x v="120"/>
          </reference>
        </references>
      </pivotArea>
    </format>
    <format dxfId="12">
      <pivotArea dataOnly="0" labelOnly="1" outline="0" fieldPosition="0">
        <references count="1">
          <reference field="1" count="1">
            <x v="121"/>
          </reference>
        </references>
      </pivotArea>
    </format>
    <format dxfId="11">
      <pivotArea dataOnly="0" labelOnly="1" outline="0" fieldPosition="0">
        <references count="1">
          <reference field="1" count="1">
            <x v="122"/>
          </reference>
        </references>
      </pivotArea>
    </format>
    <format dxfId="10">
      <pivotArea dataOnly="0" labelOnly="1" outline="0" fieldPosition="0">
        <references count="1">
          <reference field="1" count="1">
            <x v="123"/>
          </reference>
        </references>
      </pivotArea>
    </format>
    <format dxfId="9">
      <pivotArea dataOnly="0" labelOnly="1" outline="0" fieldPosition="0">
        <references count="1">
          <reference field="1" count="1">
            <x v="124"/>
          </reference>
        </references>
      </pivotArea>
    </format>
    <format dxfId="8">
      <pivotArea dataOnly="0" labelOnly="1" outline="0" fieldPosition="0">
        <references count="1">
          <reference field="1" count="1">
            <x v="125"/>
          </reference>
        </references>
      </pivotArea>
    </format>
    <format dxfId="7">
      <pivotArea dataOnly="0" labelOnly="1" outline="0" fieldPosition="0">
        <references count="1">
          <reference field="1" count="1">
            <x v="126"/>
          </reference>
        </references>
      </pivotArea>
    </format>
    <format dxfId="6">
      <pivotArea dataOnly="0" labelOnly="1" outline="0" fieldPosition="0">
        <references count="1">
          <reference field="1" count="1">
            <x v="127"/>
          </reference>
        </references>
      </pivotArea>
    </format>
    <format dxfId="5">
      <pivotArea dataOnly="0" labelOnly="1" outline="0" fieldPosition="0">
        <references count="1">
          <reference field="1" count="1">
            <x v="12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77" totalsRowShown="0" headerRowDxfId="152" dataDxfId="151" headerRowCellStyle="DarkHeader" dataCellStyle="Normal">
  <autoFilter ref="D79:P477" xr:uid="{DB1D1E60-5E37-456A-AD85-0649D531840E}"/>
  <tableColumns count="13">
    <tableColumn id="1" xr3:uid="{57EDF41E-F06D-4819-BADE-3D62DE46F06C}" name="Record List" dataDxfId="149" dataCellStyle="Normal"/>
    <tableColumn id="2" xr3:uid="{CF70C9CE-83FE-40FA-8089-C68B39CF665A}" name="mpg" dataDxfId="150" dataCellStyle="Normal"/>
    <tableColumn id="3" xr3:uid="{B8654690-502A-4FAF-9205-0118DABCB954}" name="cylinders" dataDxfId="159" dataCellStyle="Normal"/>
    <tableColumn id="4" xr3:uid="{5A5BA001-2F93-4E62-880C-C4E8BDB17EEB}" name="displacement" dataDxfId="158" dataCellStyle="Normal"/>
    <tableColumn id="5" xr3:uid="{520A1F4A-7241-6F4B-BC2C-3B603B9BD7CF}" name="horsepower" dataDxfId="157" dataCellStyle="Normal"/>
    <tableColumn id="6" xr3:uid="{24D93D4D-EC6A-DA48-BF31-5BB398108C78}" name="weight" dataDxfId="156" dataCellStyle="Normal"/>
    <tableColumn id="7" xr3:uid="{42AD4896-488F-9841-8FEE-C026B1819C0F}" name="acceleration" dataDxfId="155" dataCellStyle="Normal"/>
    <tableColumn id="8" xr3:uid="{74201BB8-A684-7F44-ABD8-C29150CAAE77}" name="model_year" dataDxfId="154" dataCellStyle="Normal"/>
    <tableColumn id="9" xr3:uid="{70BAA996-78F7-FC44-84CA-17CB7E47B71C}" name="origin" dataDxfId="153" dataCellStyle="Normal"/>
    <tableColumn id="10" xr3:uid="{5E02A7D0-56DF-1E4C-AA07-E874140FAD06}" name="name" dataDxfId="148" dataCellStyle="Normal"/>
    <tableColumn id="11" xr3:uid="{96C6FD3C-8E00-0945-A80C-39A5936440A4}" name="index" dataDxfId="147" dataCellStyle="Normal"/>
    <tableColumn id="12" xr3:uid="{03B2ABF9-9614-B448-9362-837A34367F3C}" name="HasBlank" dataDxfId="146" dataCellStyle="Normal"/>
    <tableColumn id="13" xr3:uid="{DBD2B27F-1B89-D74E-AAE2-F0423516713F}" name="Record Hash" dataDxfId="14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162" dataDxfId="229" headerRowBorderDxfId="230">
  <autoFilter ref="B11:AA20" xr:uid="{034D1C74-BE18-490E-B396-097D407DA97D}"/>
  <tableColumns count="26">
    <tableColumn id="1" xr3:uid="{010A8E62-502A-4B19-B37A-BF59E03A068A}" name="Field" dataDxfId="228"/>
    <tableColumn id="2" xr3:uid="{AD236665-EC7C-404F-8915-AD7CD5510D0F}" name="Definition" dataDxfId="1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27"/>
    <tableColumn id="5" xr3:uid="{5006D683-9D12-4B97-9EF2-6D41AF6E0B35}" name="Distinct %" dataDxfId="226"/>
    <tableColumn id="6" xr3:uid="{3AFB42F8-9976-44FF-9239-74914D5BE035}" name="Missing %" dataDxfId="225"/>
    <tableColumn id="7" xr3:uid="{4BA41102-DB06-4180-9754-C88722FE82BD}" name="Memory Usage %" dataDxfId="224"/>
    <tableColumn id="8" xr3:uid="{D22319BD-3A80-40F3-84FC-A6D1627B2F29}" name="Memory Usage" dataDxfId="223"/>
    <tableColumn id="9" xr3:uid="{77FAEE19-B6C7-4056-8EF3-5EB877C820C4}" name="Distinct" dataDxfId="222"/>
    <tableColumn id="10" xr3:uid="{54FF47BF-594E-417B-9028-64A4DFE4D389}" name="Count" dataDxfId="221"/>
    <tableColumn id="11" xr3:uid="{54E587FE-36DC-4522-91DC-8B81B386217B}" name="Count %" dataDxfId="220"/>
    <tableColumn id="12" xr3:uid="{0DE21D83-93B1-480C-BE9C-379DA0E532C7}" name="Missing" dataDxfId="219"/>
    <tableColumn id="13" xr3:uid="{C4B407B9-B7FB-4DFC-A6B3-885C816BAF99}" name="Mean" dataDxfId="218"/>
    <tableColumn id="14" xr3:uid="{9796FD8E-D568-43E1-AC6E-BFAE7C7B7017}" name="Median" dataDxfId="217"/>
    <tableColumn id="15" xr3:uid="{A6A7BCED-DD2F-4B41-A84C-2F2674A38A53}" name="Mode" dataDxfId="216"/>
    <tableColumn id="16" xr3:uid="{46607FA5-244C-49C2-997C-B64EB2E94FDE}" name="Standard Deviation" dataDxfId="215"/>
    <tableColumn id="17" xr3:uid="{80BA1782-4C46-45CE-B3FB-40B70BA09AF9}" name="Variance" dataDxfId="214"/>
    <tableColumn id="18" xr3:uid="{EC3C5A76-EF95-419C-87A8-D8885B542521}" name="Min" dataDxfId="213"/>
    <tableColumn id="19" xr3:uid="{BFE545F8-810C-4F0A-A0B2-FF0AB9764A07}" name="5%" dataDxfId="212"/>
    <tableColumn id="20" xr3:uid="{77D31A9B-57B1-4422-8EF9-6320F00E0DB9}" name="25%" dataDxfId="211"/>
    <tableColumn id="21" xr3:uid="{7A350787-F0EA-4E65-B596-5D7253E75CD6}" name="50%" dataDxfId="210"/>
    <tableColumn id="22" xr3:uid="{FB4C260E-A19F-4908-9DBF-DB4AC630982A}" name="75%" dataDxfId="209"/>
    <tableColumn id="23" xr3:uid="{FBECC9F1-5BC8-4774-9475-EB2D6D28F1E2}" name="95%" dataDxfId="208"/>
    <tableColumn id="24" xr3:uid="{839CD532-ED80-4544-A8C8-E9E036764A84}" name="Max" dataDxfId="207"/>
    <tableColumn id="25" xr3:uid="{9DDA1FD6-82B1-4FBE-8BBD-B40C331930D2}" name="Range" dataDxfId="206"/>
    <tableColumn id="26" xr3:uid="{902A027A-FD65-44D4-B3D0-5B3883ACFA39}" name="IQR" dataDxfId="20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7" dataDxfId="185" headerRowBorderDxfId="186" tableBorderDxfId="184" totalsRowBorderDxfId="183">
  <tableColumns count="3">
    <tableColumn id="1" xr3:uid="{FFACC0FF-000E-4785-9C1A-22F01E7C2644}" name="Production Section" dataDxfId="182" dataCellStyle="DarkHeader"/>
    <tableColumn id="2" xr3:uid="{6A06C42D-D4AD-45CE-A81D-0918B410EAA9}" name="Production Time in Seconds" dataDxfId="181"/>
    <tableColumn id="3" xr3:uid="{2643AF23-A2E5-4438-810D-7531CB2D2E4E}" name="% of Production Time" dataDxfId="18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78" headerRowBorderDxfId="179" tableBorderDxfId="177">
  <tableColumns count="2">
    <tableColumn id="1" xr3:uid="{9623C5AE-E7C2-4493-9B72-08667C9B2C60}" name="Environment Variable" dataDxfId="176" dataCellStyle="DarkHeader"/>
    <tableColumn id="2" xr3:uid="{E5E357AA-48FB-47EA-928A-80845B0CD7C9}" name="Value" dataDxfId="17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74" tableBorderDxfId="173" totalsRowBorderDxfId="172">
  <autoFilter ref="F8:G19" xr:uid="{A6117933-3C15-4FC8-ADF4-0EC66304DEE1}"/>
  <tableColumns count="2">
    <tableColumn id="1" xr3:uid="{EC70458D-5C3D-497C-AA06-AFCBD688FBDA}" name="Input Argument" dataDxfId="171" dataCellStyle="DarkHeader"/>
    <tableColumn id="2" xr3:uid="{FCA8AE27-3D46-4152-9A03-0F3EFBA2366A}" name="Value" dataDxfId="17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69" tableBorderDxfId="168" totalsRowBorderDxfId="167">
  <autoFilter ref="I8:J9" xr:uid="{6AF89CD0-DF40-4046-87D4-2BF660DDE636}"/>
  <tableColumns count="2">
    <tableColumn id="1" xr3:uid="{27FA7240-202E-4FAB-AD4A-DC169AFD6F56}" name="Error Type" dataDxfId="166" dataCellStyle="DarkHeader"/>
    <tableColumn id="2" xr3:uid="{C21354E4-3682-4AA0-B73A-2E689C89258C}" name="Value" dataDxfId="16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77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3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398</v>
      </c>
    </row>
    <row r="10" spans="1:23" ht="15" hidden="1" customHeight="1" outlineLevel="1" x14ac:dyDescent="0.2">
      <c r="D10" s="3" t="s">
        <v>53</v>
      </c>
      <c r="E10" s="29">
        <v>9</v>
      </c>
    </row>
    <row r="11" spans="1:23" ht="15" hidden="1" customHeight="1" outlineLevel="1" x14ac:dyDescent="0.2">
      <c r="D11" s="3" t="s">
        <v>12</v>
      </c>
      <c r="E11" s="29" t="s">
        <v>91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1.6750418760469012E-3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</row>
    <row r="16" spans="1:23" ht="10.25" hidden="1" customHeight="1" outlineLevel="1" x14ac:dyDescent="0.2"/>
    <row r="17" spans="1:16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</row>
    <row r="18" spans="1:16" ht="10.25" hidden="1" customHeight="1" outlineLevel="1" x14ac:dyDescent="0.2"/>
    <row r="19" spans="1:16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27" t="s">
        <v>89</v>
      </c>
      <c r="O19" s="27" t="s">
        <v>38</v>
      </c>
      <c r="P19" s="27" t="s">
        <v>90</v>
      </c>
    </row>
    <row r="20" spans="1:16" ht="10.25" customHeight="1" x14ac:dyDescent="0.2"/>
    <row r="21" spans="1:16" outlineLevel="1" x14ac:dyDescent="0.2">
      <c r="C21" s="52" t="s">
        <v>78</v>
      </c>
      <c r="D21" s="2" t="s">
        <v>7</v>
      </c>
    </row>
    <row r="22" spans="1:16" ht="10.25" customHeight="1" outlineLevel="1" x14ac:dyDescent="0.2"/>
    <row r="23" spans="1:16" ht="15" hidden="1" customHeight="1" outlineLevel="2" x14ac:dyDescent="0.2">
      <c r="D23" s="23" t="s">
        <v>8</v>
      </c>
      <c r="E23" s="13" t="s">
        <v>92</v>
      </c>
      <c r="F23" s="13" t="s">
        <v>93</v>
      </c>
      <c r="G23" s="13" t="s">
        <v>92</v>
      </c>
      <c r="H23" s="13" t="s">
        <v>92</v>
      </c>
      <c r="I23" s="13" t="s">
        <v>93</v>
      </c>
      <c r="J23" s="13" t="s">
        <v>92</v>
      </c>
      <c r="K23" s="13" t="s">
        <v>93</v>
      </c>
      <c r="L23" s="13" t="s">
        <v>94</v>
      </c>
      <c r="M23" s="13" t="s">
        <v>94</v>
      </c>
    </row>
    <row r="24" spans="1:16" ht="15" hidden="1" customHeight="1" outlineLevel="2" x14ac:dyDescent="0.2">
      <c r="D24" s="3" t="s">
        <v>9</v>
      </c>
      <c r="E24" s="14">
        <v>0.324120603015075</v>
      </c>
      <c r="F24" s="14">
        <v>1.25628140703517E-2</v>
      </c>
      <c r="G24" s="14">
        <v>0.20603015075376799</v>
      </c>
      <c r="H24" s="14">
        <v>0.233668341708542</v>
      </c>
      <c r="I24" s="14">
        <v>0.88190954773869301</v>
      </c>
      <c r="J24" s="14">
        <v>0.23869346733668301</v>
      </c>
      <c r="K24" s="14">
        <v>3.2663316582914499E-2</v>
      </c>
      <c r="L24" s="14">
        <v>7.5376884422110497E-3</v>
      </c>
      <c r="M24" s="14">
        <v>0.766331658291457</v>
      </c>
    </row>
    <row r="25" spans="1:16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1.5075376884422099E-2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</row>
    <row r="26" spans="1:16" ht="15" hidden="1" customHeight="1" outlineLevel="2" x14ac:dyDescent="0.2">
      <c r="D26" s="22" t="s">
        <v>11</v>
      </c>
      <c r="E26" s="14">
        <v>7.9783502054725799E-2</v>
      </c>
      <c r="F26" s="14">
        <v>7.9783502054725799E-2</v>
      </c>
      <c r="G26" s="14">
        <v>7.9783502054725799E-2</v>
      </c>
      <c r="H26" s="14">
        <v>7.9783502054725799E-2</v>
      </c>
      <c r="I26" s="14">
        <v>7.9783502054725799E-2</v>
      </c>
      <c r="J26" s="14">
        <v>7.9783502054725799E-2</v>
      </c>
      <c r="K26" s="14">
        <v>7.9783502054725799E-2</v>
      </c>
      <c r="L26" s="14">
        <v>0.120176405733186</v>
      </c>
      <c r="M26" s="14">
        <v>0.241555577829006</v>
      </c>
    </row>
    <row r="27" spans="1:16" ht="15" hidden="1" customHeight="1" outlineLevel="2" x14ac:dyDescent="0.2">
      <c r="D27" s="22" t="s">
        <v>12</v>
      </c>
      <c r="E27" s="15">
        <v>3184</v>
      </c>
      <c r="F27" s="15">
        <v>3184</v>
      </c>
      <c r="G27" s="15">
        <v>3184</v>
      </c>
      <c r="H27" s="15">
        <v>3184</v>
      </c>
      <c r="I27" s="15">
        <v>3184</v>
      </c>
      <c r="J27" s="15">
        <v>3184</v>
      </c>
      <c r="K27" s="15">
        <v>3184</v>
      </c>
      <c r="L27" s="15">
        <v>4796</v>
      </c>
      <c r="M27" s="15">
        <v>9640</v>
      </c>
    </row>
    <row r="28" spans="1:16" ht="15" hidden="1" customHeight="1" outlineLevel="2" x14ac:dyDescent="0.2">
      <c r="D28" s="22" t="s">
        <v>13</v>
      </c>
      <c r="E28" s="15">
        <v>129</v>
      </c>
      <c r="F28" s="15">
        <v>5</v>
      </c>
      <c r="G28" s="15">
        <v>82</v>
      </c>
      <c r="H28" s="15">
        <v>93</v>
      </c>
      <c r="I28" s="15">
        <v>351</v>
      </c>
      <c r="J28" s="15">
        <v>95</v>
      </c>
      <c r="K28" s="15">
        <v>13</v>
      </c>
      <c r="L28" s="15">
        <v>3</v>
      </c>
      <c r="M28" s="15">
        <v>305</v>
      </c>
    </row>
    <row r="29" spans="1:16" ht="15" hidden="1" customHeight="1" outlineLevel="2" x14ac:dyDescent="0.2">
      <c r="D29" s="23" t="s">
        <v>14</v>
      </c>
      <c r="E29" s="15">
        <v>398</v>
      </c>
      <c r="F29" s="15">
        <v>398</v>
      </c>
      <c r="G29" s="15">
        <v>398</v>
      </c>
      <c r="H29" s="15">
        <v>392</v>
      </c>
      <c r="I29" s="15">
        <v>398</v>
      </c>
      <c r="J29" s="15">
        <v>398</v>
      </c>
      <c r="K29" s="15">
        <v>398</v>
      </c>
      <c r="L29" s="15">
        <v>398</v>
      </c>
      <c r="M29" s="15">
        <v>398</v>
      </c>
    </row>
    <row r="30" spans="1:16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6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6" ht="10.25" hidden="1" customHeight="1" outlineLevel="2" x14ac:dyDescent="0.2"/>
    <row r="32" spans="1:16" ht="150" hidden="1" customHeight="1" outlineLevel="2" x14ac:dyDescent="0.2"/>
    <row r="33" spans="3:13" ht="10.25" hidden="1" customHeight="1" outlineLevel="2" x14ac:dyDescent="0.2"/>
    <row r="34" spans="3:13" outlineLevel="1" collapsed="1" x14ac:dyDescent="0.2">
      <c r="C34" s="52" t="s">
        <v>78</v>
      </c>
      <c r="D34" s="2" t="s">
        <v>16</v>
      </c>
    </row>
    <row r="35" spans="3:13" ht="10.25" customHeight="1" outlineLevel="1" x14ac:dyDescent="0.2"/>
    <row r="36" spans="3:13" ht="15" hidden="1" customHeight="1" outlineLevel="2" x14ac:dyDescent="0.2">
      <c r="D36" s="3" t="s">
        <v>17</v>
      </c>
      <c r="E36" s="16">
        <v>23.5145728643216</v>
      </c>
      <c r="F36" s="16">
        <v>5.45477386934673</v>
      </c>
      <c r="G36" s="16">
        <v>193.42587939698399</v>
      </c>
      <c r="H36" s="16">
        <v>104.46938775510201</v>
      </c>
      <c r="I36" s="16">
        <v>2970.4246231155698</v>
      </c>
      <c r="J36" s="16">
        <v>15.5680904522613</v>
      </c>
      <c r="K36" s="16">
        <v>76.010050251256203</v>
      </c>
      <c r="L36" s="16"/>
      <c r="M36" s="16"/>
    </row>
    <row r="37" spans="3:13" ht="15" hidden="1" customHeight="1" outlineLevel="2" x14ac:dyDescent="0.2">
      <c r="D37" s="22" t="s">
        <v>18</v>
      </c>
      <c r="E37" s="16">
        <v>23</v>
      </c>
      <c r="F37" s="16">
        <v>4</v>
      </c>
      <c r="G37" s="16">
        <v>148.5</v>
      </c>
      <c r="H37" s="16">
        <v>93.5</v>
      </c>
      <c r="I37" s="16">
        <v>2803.5</v>
      </c>
      <c r="J37" s="16">
        <v>15.5</v>
      </c>
      <c r="K37" s="16">
        <v>76</v>
      </c>
      <c r="L37" s="16"/>
      <c r="M37" s="16"/>
    </row>
    <row r="38" spans="3:13" ht="15" hidden="1" customHeight="1" outlineLevel="2" x14ac:dyDescent="0.2">
      <c r="D38" s="22" t="s">
        <v>19</v>
      </c>
      <c r="E38" s="16">
        <v>13</v>
      </c>
      <c r="F38" s="16">
        <v>4</v>
      </c>
      <c r="G38" s="16">
        <v>97</v>
      </c>
      <c r="H38" s="16">
        <v>150</v>
      </c>
      <c r="I38" s="16">
        <v>1985</v>
      </c>
      <c r="J38" s="16">
        <v>14.5</v>
      </c>
      <c r="K38" s="16">
        <v>73</v>
      </c>
      <c r="L38" s="16" t="s">
        <v>95</v>
      </c>
      <c r="M38" s="16" t="s">
        <v>96</v>
      </c>
    </row>
    <row r="39" spans="3:13" ht="15" hidden="1" customHeight="1" outlineLevel="2" x14ac:dyDescent="0.2">
      <c r="D39" s="3" t="s">
        <v>20</v>
      </c>
      <c r="E39" s="16">
        <v>7.8159843125657797</v>
      </c>
      <c r="F39" s="16">
        <v>1.7010042445332101</v>
      </c>
      <c r="G39" s="16">
        <v>104.269838171195</v>
      </c>
      <c r="H39" s="16">
        <v>38.491159932828403</v>
      </c>
      <c r="I39" s="16">
        <v>846.841774197326</v>
      </c>
      <c r="J39" s="16">
        <v>2.7576889298126699</v>
      </c>
      <c r="K39" s="16">
        <v>3.69762664673262</v>
      </c>
      <c r="L39" s="16"/>
      <c r="M39" s="16"/>
    </row>
    <row r="40" spans="3:13" ht="15" hidden="1" customHeight="1" outlineLevel="2" x14ac:dyDescent="0.2">
      <c r="D40" s="24" t="s">
        <v>21</v>
      </c>
      <c r="E40" s="16">
        <v>61.089610774274398</v>
      </c>
      <c r="F40" s="16">
        <v>2.8934154399200001</v>
      </c>
      <c r="G40" s="16">
        <v>10872.1991522473</v>
      </c>
      <c r="H40" s="16">
        <v>1481.5693929745801</v>
      </c>
      <c r="I40" s="16">
        <v>717140.99052567605</v>
      </c>
      <c r="J40" s="16">
        <v>7.6048482336113796</v>
      </c>
      <c r="K40" s="16">
        <v>13.672442818627101</v>
      </c>
      <c r="L40" s="16"/>
      <c r="M40" s="16"/>
    </row>
    <row r="41" spans="3:13" ht="10.25" hidden="1" customHeight="1" outlineLevel="2" x14ac:dyDescent="0.2"/>
    <row r="42" spans="3:13" ht="150" hidden="1" customHeight="1" outlineLevel="2" x14ac:dyDescent="0.2"/>
    <row r="43" spans="3:13" ht="10.25" hidden="1" customHeight="1" outlineLevel="2" x14ac:dyDescent="0.2"/>
    <row r="44" spans="3:13" outlineLevel="1" collapsed="1" x14ac:dyDescent="0.2">
      <c r="C44" s="52" t="s">
        <v>78</v>
      </c>
      <c r="D44" s="2" t="s">
        <v>22</v>
      </c>
    </row>
    <row r="45" spans="3:13" ht="10" customHeight="1" outlineLevel="1" x14ac:dyDescent="0.2"/>
    <row r="46" spans="3:13" ht="15" hidden="1" customHeight="1" outlineLevel="2" x14ac:dyDescent="0.2">
      <c r="D46" s="3" t="s">
        <v>23</v>
      </c>
      <c r="E46" s="16">
        <v>9</v>
      </c>
      <c r="F46" s="16">
        <v>3</v>
      </c>
      <c r="G46" s="16">
        <v>68</v>
      </c>
      <c r="H46" s="16">
        <v>46</v>
      </c>
      <c r="I46" s="16">
        <v>1613</v>
      </c>
      <c r="J46" s="16">
        <v>8</v>
      </c>
      <c r="K46" s="16">
        <v>70</v>
      </c>
      <c r="L46" s="16"/>
      <c r="M46" s="16"/>
    </row>
    <row r="47" spans="3:13" ht="15" hidden="1" customHeight="1" outlineLevel="2" x14ac:dyDescent="0.2">
      <c r="D47" s="22">
        <v>0.05</v>
      </c>
      <c r="E47" s="16">
        <v>13</v>
      </c>
      <c r="F47" s="16">
        <v>4</v>
      </c>
      <c r="G47" s="16">
        <v>85</v>
      </c>
      <c r="H47" s="16">
        <v>60.55</v>
      </c>
      <c r="I47" s="16">
        <v>1923.5</v>
      </c>
      <c r="J47" s="16">
        <v>11.285</v>
      </c>
      <c r="K47" s="16">
        <v>70</v>
      </c>
      <c r="L47" s="16"/>
      <c r="M47" s="16"/>
    </row>
    <row r="48" spans="3:13" ht="15" hidden="1" customHeight="1" outlineLevel="2" x14ac:dyDescent="0.2">
      <c r="D48" s="23">
        <v>0.25</v>
      </c>
      <c r="E48" s="16">
        <v>17.5</v>
      </c>
      <c r="F48" s="16">
        <v>4</v>
      </c>
      <c r="G48" s="16">
        <v>104.25</v>
      </c>
      <c r="H48" s="16">
        <v>75</v>
      </c>
      <c r="I48" s="16">
        <v>2223.75</v>
      </c>
      <c r="J48" s="16">
        <v>13.824999999999999</v>
      </c>
      <c r="K48" s="16">
        <v>73</v>
      </c>
      <c r="L48" s="16"/>
      <c r="M48" s="16"/>
    </row>
    <row r="49" spans="3:13" ht="15" hidden="1" customHeight="1" outlineLevel="2" x14ac:dyDescent="0.2">
      <c r="D49" s="3">
        <v>0.5</v>
      </c>
      <c r="E49" s="16">
        <v>23</v>
      </c>
      <c r="F49" s="16">
        <v>4</v>
      </c>
      <c r="G49" s="16">
        <v>148.5</v>
      </c>
      <c r="H49" s="16">
        <v>93.5</v>
      </c>
      <c r="I49" s="16">
        <v>2803.5</v>
      </c>
      <c r="J49" s="16">
        <v>15.5</v>
      </c>
      <c r="K49" s="16">
        <v>76</v>
      </c>
      <c r="L49" s="16"/>
      <c r="M49" s="16"/>
    </row>
    <row r="50" spans="3:13" ht="15" hidden="1" customHeight="1" outlineLevel="2" x14ac:dyDescent="0.2">
      <c r="D50" s="22">
        <v>0.75</v>
      </c>
      <c r="E50" s="16">
        <v>29</v>
      </c>
      <c r="F50" s="16">
        <v>8</v>
      </c>
      <c r="G50" s="16">
        <v>262</v>
      </c>
      <c r="H50" s="16">
        <v>126</v>
      </c>
      <c r="I50" s="16">
        <v>3608</v>
      </c>
      <c r="J50" s="16">
        <v>17.175000000000001</v>
      </c>
      <c r="K50" s="16">
        <v>79</v>
      </c>
      <c r="L50" s="16"/>
      <c r="M50" s="16"/>
    </row>
    <row r="51" spans="3:13" ht="15" hidden="1" customHeight="1" outlineLevel="2" x14ac:dyDescent="0.2">
      <c r="D51" s="22">
        <v>0.95</v>
      </c>
      <c r="E51" s="16">
        <v>37.029999999999902</v>
      </c>
      <c r="F51" s="16">
        <v>8</v>
      </c>
      <c r="G51" s="16">
        <v>400</v>
      </c>
      <c r="H51" s="16">
        <v>180</v>
      </c>
      <c r="I51" s="16">
        <v>4464</v>
      </c>
      <c r="J51" s="16">
        <v>20.4149999999999</v>
      </c>
      <c r="K51" s="16">
        <v>82</v>
      </c>
      <c r="L51" s="16"/>
      <c r="M51" s="16"/>
    </row>
    <row r="52" spans="3:13" ht="15" hidden="1" customHeight="1" outlineLevel="2" x14ac:dyDescent="0.2">
      <c r="D52" s="3" t="s">
        <v>24</v>
      </c>
      <c r="E52" s="16">
        <v>46.6</v>
      </c>
      <c r="F52" s="16">
        <v>8</v>
      </c>
      <c r="G52" s="16">
        <v>455</v>
      </c>
      <c r="H52" s="16">
        <v>230</v>
      </c>
      <c r="I52" s="16">
        <v>5140</v>
      </c>
      <c r="J52" s="16">
        <v>24.8</v>
      </c>
      <c r="K52" s="16">
        <v>82</v>
      </c>
      <c r="L52" s="16"/>
      <c r="M52" s="16"/>
    </row>
    <row r="53" spans="3:13" ht="15" hidden="1" customHeight="1" outlineLevel="2" x14ac:dyDescent="0.2">
      <c r="D53" s="22" t="s">
        <v>25</v>
      </c>
      <c r="E53" s="16">
        <v>37.6</v>
      </c>
      <c r="F53" s="16">
        <v>5</v>
      </c>
      <c r="G53" s="16">
        <v>387</v>
      </c>
      <c r="H53" s="16">
        <v>184</v>
      </c>
      <c r="I53" s="16">
        <v>3527</v>
      </c>
      <c r="J53" s="16">
        <v>16.8</v>
      </c>
      <c r="K53" s="16">
        <v>12</v>
      </c>
      <c r="L53" s="16"/>
      <c r="M53" s="16"/>
    </row>
    <row r="54" spans="3:13" ht="15" hidden="1" customHeight="1" outlineLevel="2" x14ac:dyDescent="0.2">
      <c r="D54" s="3" t="s">
        <v>26</v>
      </c>
      <c r="E54" s="16">
        <v>11.5</v>
      </c>
      <c r="F54" s="16">
        <v>4</v>
      </c>
      <c r="G54" s="16">
        <v>157.75</v>
      </c>
      <c r="H54" s="16">
        <v>51</v>
      </c>
      <c r="I54" s="16">
        <v>1384.25</v>
      </c>
      <c r="J54" s="16">
        <v>3.3499999999999899</v>
      </c>
      <c r="K54" s="16">
        <v>6</v>
      </c>
      <c r="L54" s="16"/>
      <c r="M54" s="16"/>
    </row>
    <row r="55" spans="3:13" ht="10.25" hidden="1" customHeight="1" outlineLevel="2" x14ac:dyDescent="0.2"/>
    <row r="56" spans="3:13" outlineLevel="1" collapsed="1" x14ac:dyDescent="0.2">
      <c r="C56" s="52" t="s">
        <v>78</v>
      </c>
      <c r="D56" s="2" t="s">
        <v>27</v>
      </c>
    </row>
    <row r="57" spans="3:13" ht="10" customHeight="1" outlineLevel="1" x14ac:dyDescent="0.2"/>
    <row r="58" spans="3:13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</row>
    <row r="59" spans="3:13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</row>
    <row r="60" spans="3:13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</row>
    <row r="61" spans="3:13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</row>
    <row r="62" spans="3:13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</row>
    <row r="63" spans="3:13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</row>
    <row r="64" spans="3:13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</row>
    <row r="65" spans="3:16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</row>
    <row r="66" spans="3:16" ht="10.25" hidden="1" customHeight="1" outlineLevel="2" x14ac:dyDescent="0.2"/>
    <row r="67" spans="3:16" outlineLevel="1" collapsed="1" x14ac:dyDescent="0.2">
      <c r="C67" s="52" t="s">
        <v>78</v>
      </c>
      <c r="D67" s="2" t="s">
        <v>36</v>
      </c>
    </row>
    <row r="68" spans="3:16" ht="10" customHeight="1" outlineLevel="1" x14ac:dyDescent="0.2"/>
    <row r="69" spans="3:16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6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6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6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6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6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6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6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6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6" ht="10.25" hidden="1" customHeight="1" outlineLevel="1" collapsed="1" x14ac:dyDescent="0.2"/>
    <row r="79" spans="3:16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8" t="s">
        <v>89</v>
      </c>
      <c r="O79" s="128" t="s">
        <v>38</v>
      </c>
      <c r="P79" s="128" t="s">
        <v>90</v>
      </c>
    </row>
    <row r="80" spans="3:16" ht="15" customHeight="1" x14ac:dyDescent="0.2">
      <c r="D80" s="129" t="b">
        <v>0</v>
      </c>
      <c r="E80" s="122">
        <v>18</v>
      </c>
      <c r="F80" s="122">
        <v>8</v>
      </c>
      <c r="G80" s="122">
        <v>307</v>
      </c>
      <c r="H80" s="123">
        <v>130</v>
      </c>
      <c r="I80" s="123">
        <v>3504</v>
      </c>
      <c r="J80" s="123">
        <v>12</v>
      </c>
      <c r="K80" s="123">
        <v>70</v>
      </c>
      <c r="L80" s="123" t="s">
        <v>95</v>
      </c>
      <c r="M80" s="123" t="s">
        <v>97</v>
      </c>
      <c r="N80" s="132">
        <v>0</v>
      </c>
      <c r="O80" s="132">
        <v>0</v>
      </c>
      <c r="P80" s="132">
        <v>7.4201167949116344E+18</v>
      </c>
    </row>
    <row r="81" spans="4:16" ht="15" customHeight="1" x14ac:dyDescent="0.2">
      <c r="D81" s="129" t="b">
        <v>0</v>
      </c>
      <c r="E81" s="122">
        <v>15</v>
      </c>
      <c r="F81" s="122">
        <v>8</v>
      </c>
      <c r="G81" s="122">
        <v>350</v>
      </c>
      <c r="H81" s="123">
        <v>165</v>
      </c>
      <c r="I81" s="123">
        <v>3693</v>
      </c>
      <c r="J81" s="123">
        <v>11.5</v>
      </c>
      <c r="K81" s="123">
        <v>70</v>
      </c>
      <c r="L81" s="123" t="s">
        <v>95</v>
      </c>
      <c r="M81" s="123" t="s">
        <v>98</v>
      </c>
      <c r="N81" s="132">
        <v>1</v>
      </c>
      <c r="O81" s="132">
        <v>0</v>
      </c>
      <c r="P81" s="132">
        <v>5.6603945357026042E+17</v>
      </c>
    </row>
    <row r="82" spans="4:16" ht="15" customHeight="1" x14ac:dyDescent="0.2">
      <c r="D82" s="130" t="b">
        <v>0</v>
      </c>
      <c r="E82" s="124">
        <v>18</v>
      </c>
      <c r="F82" s="125">
        <v>8</v>
      </c>
      <c r="G82" s="125">
        <v>318</v>
      </c>
      <c r="H82" s="123">
        <v>150</v>
      </c>
      <c r="I82" s="123">
        <v>3436</v>
      </c>
      <c r="J82" s="123">
        <v>11</v>
      </c>
      <c r="K82" s="123">
        <v>70</v>
      </c>
      <c r="L82" s="123" t="s">
        <v>95</v>
      </c>
      <c r="M82" s="123" t="s">
        <v>99</v>
      </c>
      <c r="N82" s="132">
        <v>2</v>
      </c>
      <c r="O82" s="132">
        <v>0</v>
      </c>
      <c r="P82" s="132">
        <v>1.5926546991706069E+19</v>
      </c>
    </row>
    <row r="83" spans="4:16" ht="15" customHeight="1" x14ac:dyDescent="0.2">
      <c r="D83" s="130" t="b">
        <v>0</v>
      </c>
      <c r="E83" s="124">
        <v>16</v>
      </c>
      <c r="F83" s="125">
        <v>8</v>
      </c>
      <c r="G83" s="125">
        <v>304</v>
      </c>
      <c r="H83" s="123">
        <v>150</v>
      </c>
      <c r="I83" s="123">
        <v>3433</v>
      </c>
      <c r="J83" s="123">
        <v>12</v>
      </c>
      <c r="K83" s="123">
        <v>70</v>
      </c>
      <c r="L83" s="123" t="s">
        <v>95</v>
      </c>
      <c r="M83" s="123" t="s">
        <v>100</v>
      </c>
      <c r="N83" s="132">
        <v>3</v>
      </c>
      <c r="O83" s="132">
        <v>0</v>
      </c>
      <c r="P83" s="132">
        <v>1.5013760622001785E+19</v>
      </c>
    </row>
    <row r="84" spans="4:16" ht="15" customHeight="1" x14ac:dyDescent="0.2">
      <c r="D84" s="130" t="b">
        <v>0</v>
      </c>
      <c r="E84" s="124">
        <v>17</v>
      </c>
      <c r="F84" s="125">
        <v>8</v>
      </c>
      <c r="G84" s="125">
        <v>302</v>
      </c>
      <c r="H84" s="123">
        <v>140</v>
      </c>
      <c r="I84" s="123">
        <v>3449</v>
      </c>
      <c r="J84" s="123">
        <v>10.5</v>
      </c>
      <c r="K84" s="123">
        <v>70</v>
      </c>
      <c r="L84" s="123" t="s">
        <v>95</v>
      </c>
      <c r="M84" s="123" t="s">
        <v>101</v>
      </c>
      <c r="N84" s="132">
        <v>4</v>
      </c>
      <c r="O84" s="132">
        <v>0</v>
      </c>
      <c r="P84" s="132">
        <v>1.2495093232593451E+19</v>
      </c>
    </row>
    <row r="85" spans="4:16" ht="15" customHeight="1" x14ac:dyDescent="0.2">
      <c r="D85" s="130" t="b">
        <v>0</v>
      </c>
      <c r="E85" s="124">
        <v>15</v>
      </c>
      <c r="F85" s="125">
        <v>8</v>
      </c>
      <c r="G85" s="125">
        <v>429</v>
      </c>
      <c r="H85" s="123">
        <v>198</v>
      </c>
      <c r="I85" s="123">
        <v>4341</v>
      </c>
      <c r="J85" s="123">
        <v>10</v>
      </c>
      <c r="K85" s="123">
        <v>70</v>
      </c>
      <c r="L85" s="123" t="s">
        <v>95</v>
      </c>
      <c r="M85" s="123" t="s">
        <v>102</v>
      </c>
      <c r="N85" s="132">
        <v>5</v>
      </c>
      <c r="O85" s="132">
        <v>0</v>
      </c>
      <c r="P85" s="132">
        <v>2.9581867297982356E+18</v>
      </c>
    </row>
    <row r="86" spans="4:16" ht="15" customHeight="1" x14ac:dyDescent="0.2">
      <c r="D86" s="130" t="b">
        <v>0</v>
      </c>
      <c r="E86" s="124">
        <v>14</v>
      </c>
      <c r="F86" s="125">
        <v>8</v>
      </c>
      <c r="G86" s="125">
        <v>454</v>
      </c>
      <c r="H86" s="123">
        <v>220</v>
      </c>
      <c r="I86" s="123">
        <v>4354</v>
      </c>
      <c r="J86" s="123">
        <v>9</v>
      </c>
      <c r="K86" s="123">
        <v>70</v>
      </c>
      <c r="L86" s="123" t="s">
        <v>95</v>
      </c>
      <c r="M86" s="123" t="s">
        <v>103</v>
      </c>
      <c r="N86" s="132">
        <v>6</v>
      </c>
      <c r="O86" s="132">
        <v>0</v>
      </c>
      <c r="P86" s="132">
        <v>1.2949552865222943E+19</v>
      </c>
    </row>
    <row r="87" spans="4:16" ht="15" customHeight="1" x14ac:dyDescent="0.2">
      <c r="D87" s="130" t="b">
        <v>0</v>
      </c>
      <c r="E87" s="124">
        <v>14</v>
      </c>
      <c r="F87" s="125">
        <v>8</v>
      </c>
      <c r="G87" s="125">
        <v>440</v>
      </c>
      <c r="H87" s="123">
        <v>215</v>
      </c>
      <c r="I87" s="123">
        <v>4312</v>
      </c>
      <c r="J87" s="123">
        <v>8.5</v>
      </c>
      <c r="K87" s="123">
        <v>70</v>
      </c>
      <c r="L87" s="123" t="s">
        <v>95</v>
      </c>
      <c r="M87" s="123" t="s">
        <v>104</v>
      </c>
      <c r="N87" s="132">
        <v>7</v>
      </c>
      <c r="O87" s="132">
        <v>0</v>
      </c>
      <c r="P87" s="132">
        <v>1.2999578640652671E+19</v>
      </c>
    </row>
    <row r="88" spans="4:16" ht="15" customHeight="1" x14ac:dyDescent="0.2">
      <c r="D88" s="130" t="b">
        <v>0</v>
      </c>
      <c r="E88" s="124">
        <v>14</v>
      </c>
      <c r="F88" s="125">
        <v>8</v>
      </c>
      <c r="G88" s="125">
        <v>455</v>
      </c>
      <c r="H88" s="123">
        <v>225</v>
      </c>
      <c r="I88" s="123">
        <v>4425</v>
      </c>
      <c r="J88" s="123">
        <v>10</v>
      </c>
      <c r="K88" s="123">
        <v>70</v>
      </c>
      <c r="L88" s="123" t="s">
        <v>95</v>
      </c>
      <c r="M88" s="123" t="s">
        <v>105</v>
      </c>
      <c r="N88" s="132">
        <v>8</v>
      </c>
      <c r="O88" s="132">
        <v>0</v>
      </c>
      <c r="P88" s="132">
        <v>1.8884526562172995E+18</v>
      </c>
    </row>
    <row r="89" spans="4:16" ht="15" customHeight="1" x14ac:dyDescent="0.2">
      <c r="D89" s="130" t="b">
        <v>0</v>
      </c>
      <c r="E89" s="124">
        <v>15</v>
      </c>
      <c r="F89" s="125">
        <v>8</v>
      </c>
      <c r="G89" s="125">
        <v>390</v>
      </c>
      <c r="H89" s="123">
        <v>190</v>
      </c>
      <c r="I89" s="123">
        <v>3850</v>
      </c>
      <c r="J89" s="123">
        <v>8.5</v>
      </c>
      <c r="K89" s="123">
        <v>70</v>
      </c>
      <c r="L89" s="123" t="s">
        <v>95</v>
      </c>
      <c r="M89" s="123" t="s">
        <v>106</v>
      </c>
      <c r="N89" s="132">
        <v>9</v>
      </c>
      <c r="O89" s="132">
        <v>0</v>
      </c>
      <c r="P89" s="132">
        <v>9.0247041728622674E+18</v>
      </c>
    </row>
    <row r="90" spans="4:16" ht="15" customHeight="1" x14ac:dyDescent="0.2">
      <c r="D90" s="130" t="b">
        <v>0</v>
      </c>
      <c r="E90" s="124">
        <v>15</v>
      </c>
      <c r="F90" s="125">
        <v>8</v>
      </c>
      <c r="G90" s="125">
        <v>383</v>
      </c>
      <c r="H90" s="123">
        <v>170</v>
      </c>
      <c r="I90" s="123">
        <v>3563</v>
      </c>
      <c r="J90" s="123">
        <v>10</v>
      </c>
      <c r="K90" s="123">
        <v>70</v>
      </c>
      <c r="L90" s="123" t="s">
        <v>95</v>
      </c>
      <c r="M90" s="123" t="s">
        <v>107</v>
      </c>
      <c r="N90" s="132">
        <v>10</v>
      </c>
      <c r="O90" s="132">
        <v>0</v>
      </c>
      <c r="P90" s="132">
        <v>1.5828449319386802E+19</v>
      </c>
    </row>
    <row r="91" spans="4:16" ht="15" customHeight="1" x14ac:dyDescent="0.2">
      <c r="D91" s="130" t="b">
        <v>0</v>
      </c>
      <c r="E91" s="124">
        <v>14</v>
      </c>
      <c r="F91" s="125">
        <v>8</v>
      </c>
      <c r="G91" s="125">
        <v>340</v>
      </c>
      <c r="H91" s="123">
        <v>160</v>
      </c>
      <c r="I91" s="123">
        <v>3609</v>
      </c>
      <c r="J91" s="123">
        <v>8</v>
      </c>
      <c r="K91" s="123">
        <v>70</v>
      </c>
      <c r="L91" s="123" t="s">
        <v>95</v>
      </c>
      <c r="M91" s="123" t="s">
        <v>108</v>
      </c>
      <c r="N91" s="132">
        <v>11</v>
      </c>
      <c r="O91" s="132">
        <v>0</v>
      </c>
      <c r="P91" s="132">
        <v>1.2063434117439551E+19</v>
      </c>
    </row>
    <row r="92" spans="4:16" ht="15" customHeight="1" x14ac:dyDescent="0.2">
      <c r="D92" s="130" t="b">
        <v>0</v>
      </c>
      <c r="E92" s="124">
        <v>15</v>
      </c>
      <c r="F92" s="125">
        <v>8</v>
      </c>
      <c r="G92" s="125">
        <v>400</v>
      </c>
      <c r="H92" s="123">
        <v>150</v>
      </c>
      <c r="I92" s="123">
        <v>3761</v>
      </c>
      <c r="J92" s="123">
        <v>9.5</v>
      </c>
      <c r="K92" s="123">
        <v>70</v>
      </c>
      <c r="L92" s="123" t="s">
        <v>95</v>
      </c>
      <c r="M92" s="123" t="s">
        <v>109</v>
      </c>
      <c r="N92" s="132">
        <v>12</v>
      </c>
      <c r="O92" s="132">
        <v>0</v>
      </c>
      <c r="P92" s="132">
        <v>1.7138052797259299E+19</v>
      </c>
    </row>
    <row r="93" spans="4:16" ht="15" customHeight="1" x14ac:dyDescent="0.2">
      <c r="D93" s="130" t="b">
        <v>0</v>
      </c>
      <c r="E93" s="124">
        <v>14</v>
      </c>
      <c r="F93" s="125">
        <v>8</v>
      </c>
      <c r="G93" s="125">
        <v>455</v>
      </c>
      <c r="H93" s="123">
        <v>225</v>
      </c>
      <c r="I93" s="123">
        <v>3086</v>
      </c>
      <c r="J93" s="123">
        <v>10</v>
      </c>
      <c r="K93" s="123">
        <v>70</v>
      </c>
      <c r="L93" s="123" t="s">
        <v>95</v>
      </c>
      <c r="M93" s="123" t="s">
        <v>110</v>
      </c>
      <c r="N93" s="132">
        <v>13</v>
      </c>
      <c r="O93" s="132">
        <v>0</v>
      </c>
      <c r="P93" s="132">
        <v>1.0387603051965653E+19</v>
      </c>
    </row>
    <row r="94" spans="4:16" ht="15" customHeight="1" x14ac:dyDescent="0.2">
      <c r="D94" s="130" t="b">
        <v>0</v>
      </c>
      <c r="E94" s="124">
        <v>24</v>
      </c>
      <c r="F94" s="125">
        <v>4</v>
      </c>
      <c r="G94" s="125">
        <v>113</v>
      </c>
      <c r="H94" s="123">
        <v>95</v>
      </c>
      <c r="I94" s="123">
        <v>2372</v>
      </c>
      <c r="J94" s="123">
        <v>15</v>
      </c>
      <c r="K94" s="123">
        <v>70</v>
      </c>
      <c r="L94" s="123" t="s">
        <v>111</v>
      </c>
      <c r="M94" s="123" t="s">
        <v>112</v>
      </c>
      <c r="N94" s="132">
        <v>14</v>
      </c>
      <c r="O94" s="132">
        <v>0</v>
      </c>
      <c r="P94" s="132">
        <v>9.7410705867996652E+18</v>
      </c>
    </row>
    <row r="95" spans="4:16" ht="15" customHeight="1" x14ac:dyDescent="0.2">
      <c r="D95" s="130" t="b">
        <v>0</v>
      </c>
      <c r="E95" s="124">
        <v>22</v>
      </c>
      <c r="F95" s="125">
        <v>6</v>
      </c>
      <c r="G95" s="125">
        <v>198</v>
      </c>
      <c r="H95" s="123">
        <v>95</v>
      </c>
      <c r="I95" s="123">
        <v>2833</v>
      </c>
      <c r="J95" s="123">
        <v>15.5</v>
      </c>
      <c r="K95" s="123">
        <v>70</v>
      </c>
      <c r="L95" s="123" t="s">
        <v>95</v>
      </c>
      <c r="M95" s="123" t="s">
        <v>113</v>
      </c>
      <c r="N95" s="132">
        <v>15</v>
      </c>
      <c r="O95" s="132">
        <v>0</v>
      </c>
      <c r="P95" s="132">
        <v>1.2541895780379841E+19</v>
      </c>
    </row>
    <row r="96" spans="4:16" ht="15" customHeight="1" x14ac:dyDescent="0.2">
      <c r="D96" s="130" t="b">
        <v>0</v>
      </c>
      <c r="E96" s="124">
        <v>18</v>
      </c>
      <c r="F96" s="125">
        <v>6</v>
      </c>
      <c r="G96" s="125">
        <v>199</v>
      </c>
      <c r="H96" s="123">
        <v>97</v>
      </c>
      <c r="I96" s="123">
        <v>2774</v>
      </c>
      <c r="J96" s="123">
        <v>15.5</v>
      </c>
      <c r="K96" s="123">
        <v>70</v>
      </c>
      <c r="L96" s="123" t="s">
        <v>95</v>
      </c>
      <c r="M96" s="123" t="s">
        <v>114</v>
      </c>
      <c r="N96" s="132">
        <v>16</v>
      </c>
      <c r="O96" s="132">
        <v>0</v>
      </c>
      <c r="P96" s="132">
        <v>5.7089468930839078E+17</v>
      </c>
    </row>
    <row r="97" spans="4:16" ht="15" customHeight="1" x14ac:dyDescent="0.2">
      <c r="D97" s="130" t="b">
        <v>0</v>
      </c>
      <c r="E97" s="124">
        <v>21</v>
      </c>
      <c r="F97" s="125">
        <v>6</v>
      </c>
      <c r="G97" s="125">
        <v>200</v>
      </c>
      <c r="H97" s="123">
        <v>85</v>
      </c>
      <c r="I97" s="123">
        <v>2587</v>
      </c>
      <c r="J97" s="123">
        <v>16</v>
      </c>
      <c r="K97" s="123">
        <v>70</v>
      </c>
      <c r="L97" s="123" t="s">
        <v>95</v>
      </c>
      <c r="M97" s="123" t="s">
        <v>115</v>
      </c>
      <c r="N97" s="132">
        <v>17</v>
      </c>
      <c r="O97" s="132">
        <v>0</v>
      </c>
      <c r="P97" s="132">
        <v>2.2531367327349996E+18</v>
      </c>
    </row>
    <row r="98" spans="4:16" ht="15" customHeight="1" x14ac:dyDescent="0.2">
      <c r="D98" s="130" t="b">
        <v>0</v>
      </c>
      <c r="E98" s="124">
        <v>27</v>
      </c>
      <c r="F98" s="125">
        <v>4</v>
      </c>
      <c r="G98" s="125">
        <v>97</v>
      </c>
      <c r="H98" s="123">
        <v>88</v>
      </c>
      <c r="I98" s="123">
        <v>2130</v>
      </c>
      <c r="J98" s="123">
        <v>14.5</v>
      </c>
      <c r="K98" s="123">
        <v>70</v>
      </c>
      <c r="L98" s="123" t="s">
        <v>111</v>
      </c>
      <c r="M98" s="123" t="s">
        <v>116</v>
      </c>
      <c r="N98" s="132">
        <v>18</v>
      </c>
      <c r="O98" s="132">
        <v>0</v>
      </c>
      <c r="P98" s="132">
        <v>1.4237073672489073E+19</v>
      </c>
    </row>
    <row r="99" spans="4:16" ht="15" customHeight="1" x14ac:dyDescent="0.2">
      <c r="D99" s="130" t="b">
        <v>0</v>
      </c>
      <c r="E99" s="124">
        <v>26</v>
      </c>
      <c r="F99" s="125">
        <v>4</v>
      </c>
      <c r="G99" s="125">
        <v>97</v>
      </c>
      <c r="H99" s="123">
        <v>46</v>
      </c>
      <c r="I99" s="123">
        <v>1835</v>
      </c>
      <c r="J99" s="123">
        <v>20.5</v>
      </c>
      <c r="K99" s="123">
        <v>70</v>
      </c>
      <c r="L99" s="123" t="s">
        <v>117</v>
      </c>
      <c r="M99" s="123" t="s">
        <v>118</v>
      </c>
      <c r="N99" s="132">
        <v>19</v>
      </c>
      <c r="O99" s="132">
        <v>0</v>
      </c>
      <c r="P99" s="132">
        <v>1.4545069712501508E+19</v>
      </c>
    </row>
    <row r="100" spans="4:16" ht="15" customHeight="1" x14ac:dyDescent="0.2">
      <c r="D100" s="130" t="b">
        <v>0</v>
      </c>
      <c r="E100" s="124">
        <v>25</v>
      </c>
      <c r="F100" s="125">
        <v>4</v>
      </c>
      <c r="G100" s="125">
        <v>110</v>
      </c>
      <c r="H100" s="123">
        <v>87</v>
      </c>
      <c r="I100" s="123">
        <v>2672</v>
      </c>
      <c r="J100" s="123">
        <v>17.5</v>
      </c>
      <c r="K100" s="123">
        <v>70</v>
      </c>
      <c r="L100" s="123" t="s">
        <v>117</v>
      </c>
      <c r="M100" s="123" t="s">
        <v>119</v>
      </c>
      <c r="N100" s="132">
        <v>20</v>
      </c>
      <c r="O100" s="132">
        <v>0</v>
      </c>
      <c r="P100" s="132">
        <v>7.5881694567844444E+18</v>
      </c>
    </row>
    <row r="101" spans="4:16" ht="15" customHeight="1" x14ac:dyDescent="0.2">
      <c r="D101" s="130" t="b">
        <v>0</v>
      </c>
      <c r="E101" s="124">
        <v>24</v>
      </c>
      <c r="F101" s="125">
        <v>4</v>
      </c>
      <c r="G101" s="125">
        <v>107</v>
      </c>
      <c r="H101" s="123">
        <v>90</v>
      </c>
      <c r="I101" s="123">
        <v>2430</v>
      </c>
      <c r="J101" s="123">
        <v>14.5</v>
      </c>
      <c r="K101" s="123">
        <v>70</v>
      </c>
      <c r="L101" s="123" t="s">
        <v>117</v>
      </c>
      <c r="M101" s="123" t="s">
        <v>120</v>
      </c>
      <c r="N101" s="132">
        <v>21</v>
      </c>
      <c r="O101" s="132">
        <v>0</v>
      </c>
      <c r="P101" s="132">
        <v>1.703797420851831E+19</v>
      </c>
    </row>
    <row r="102" spans="4:16" ht="15" customHeight="1" x14ac:dyDescent="0.2">
      <c r="D102" s="130" t="b">
        <v>0</v>
      </c>
      <c r="E102" s="124">
        <v>25</v>
      </c>
      <c r="F102" s="125">
        <v>4</v>
      </c>
      <c r="G102" s="125">
        <v>104</v>
      </c>
      <c r="H102" s="123">
        <v>95</v>
      </c>
      <c r="I102" s="123">
        <v>2375</v>
      </c>
      <c r="J102" s="123">
        <v>17.5</v>
      </c>
      <c r="K102" s="123">
        <v>70</v>
      </c>
      <c r="L102" s="123" t="s">
        <v>117</v>
      </c>
      <c r="M102" s="123" t="s">
        <v>121</v>
      </c>
      <c r="N102" s="132">
        <v>22</v>
      </c>
      <c r="O102" s="132">
        <v>0</v>
      </c>
      <c r="P102" s="132">
        <v>1.3497124906533992E+19</v>
      </c>
    </row>
    <row r="103" spans="4:16" ht="15" customHeight="1" x14ac:dyDescent="0.2">
      <c r="D103" s="130" t="b">
        <v>0</v>
      </c>
      <c r="E103" s="124">
        <v>26</v>
      </c>
      <c r="F103" s="125">
        <v>4</v>
      </c>
      <c r="G103" s="125">
        <v>121</v>
      </c>
      <c r="H103" s="123">
        <v>113</v>
      </c>
      <c r="I103" s="123">
        <v>2234</v>
      </c>
      <c r="J103" s="123">
        <v>12.5</v>
      </c>
      <c r="K103" s="123">
        <v>70</v>
      </c>
      <c r="L103" s="123" t="s">
        <v>117</v>
      </c>
      <c r="M103" s="123" t="s">
        <v>122</v>
      </c>
      <c r="N103" s="132">
        <v>23</v>
      </c>
      <c r="O103" s="132">
        <v>0</v>
      </c>
      <c r="P103" s="132">
        <v>1.8148784538085935E+19</v>
      </c>
    </row>
    <row r="104" spans="4:16" ht="15" customHeight="1" x14ac:dyDescent="0.2">
      <c r="D104" s="130" t="b">
        <v>0</v>
      </c>
      <c r="E104" s="124">
        <v>21</v>
      </c>
      <c r="F104" s="125">
        <v>6</v>
      </c>
      <c r="G104" s="125">
        <v>199</v>
      </c>
      <c r="H104" s="123">
        <v>90</v>
      </c>
      <c r="I104" s="123">
        <v>2648</v>
      </c>
      <c r="J104" s="123">
        <v>15</v>
      </c>
      <c r="K104" s="123">
        <v>70</v>
      </c>
      <c r="L104" s="123" t="s">
        <v>95</v>
      </c>
      <c r="M104" s="123" t="s">
        <v>123</v>
      </c>
      <c r="N104" s="132">
        <v>24</v>
      </c>
      <c r="O104" s="132">
        <v>0</v>
      </c>
      <c r="P104" s="132">
        <v>1.0654445027668266E+18</v>
      </c>
    </row>
    <row r="105" spans="4:16" ht="15" customHeight="1" x14ac:dyDescent="0.2">
      <c r="D105" s="130" t="b">
        <v>0</v>
      </c>
      <c r="E105" s="124">
        <v>10</v>
      </c>
      <c r="F105" s="125">
        <v>8</v>
      </c>
      <c r="G105" s="125">
        <v>360</v>
      </c>
      <c r="H105" s="123">
        <v>215</v>
      </c>
      <c r="I105" s="123">
        <v>4615</v>
      </c>
      <c r="J105" s="123">
        <v>14</v>
      </c>
      <c r="K105" s="123">
        <v>70</v>
      </c>
      <c r="L105" s="123" t="s">
        <v>95</v>
      </c>
      <c r="M105" s="123" t="s">
        <v>124</v>
      </c>
      <c r="N105" s="132">
        <v>25</v>
      </c>
      <c r="O105" s="132">
        <v>0</v>
      </c>
      <c r="P105" s="132">
        <v>8.7456127387150715E+18</v>
      </c>
    </row>
    <row r="106" spans="4:16" ht="15" customHeight="1" x14ac:dyDescent="0.2">
      <c r="D106" s="130" t="b">
        <v>0</v>
      </c>
      <c r="E106" s="124">
        <v>10</v>
      </c>
      <c r="F106" s="125">
        <v>8</v>
      </c>
      <c r="G106" s="125">
        <v>307</v>
      </c>
      <c r="H106" s="123">
        <v>200</v>
      </c>
      <c r="I106" s="123">
        <v>4376</v>
      </c>
      <c r="J106" s="123">
        <v>15</v>
      </c>
      <c r="K106" s="123">
        <v>70</v>
      </c>
      <c r="L106" s="123" t="s">
        <v>95</v>
      </c>
      <c r="M106" s="123" t="s">
        <v>125</v>
      </c>
      <c r="N106" s="132">
        <v>26</v>
      </c>
      <c r="O106" s="132">
        <v>0</v>
      </c>
      <c r="P106" s="132">
        <v>8.3039832660571597E+18</v>
      </c>
    </row>
    <row r="107" spans="4:16" ht="15" customHeight="1" x14ac:dyDescent="0.2">
      <c r="D107" s="130" t="b">
        <v>0</v>
      </c>
      <c r="E107" s="124">
        <v>11</v>
      </c>
      <c r="F107" s="125">
        <v>8</v>
      </c>
      <c r="G107" s="125">
        <v>318</v>
      </c>
      <c r="H107" s="123">
        <v>210</v>
      </c>
      <c r="I107" s="123">
        <v>4382</v>
      </c>
      <c r="J107" s="123">
        <v>13.5</v>
      </c>
      <c r="K107" s="123">
        <v>70</v>
      </c>
      <c r="L107" s="123" t="s">
        <v>95</v>
      </c>
      <c r="M107" s="123" t="s">
        <v>126</v>
      </c>
      <c r="N107" s="132">
        <v>27</v>
      </c>
      <c r="O107" s="132">
        <v>0</v>
      </c>
      <c r="P107" s="132">
        <v>1.2104151931925965E+19</v>
      </c>
    </row>
    <row r="108" spans="4:16" ht="15" customHeight="1" x14ac:dyDescent="0.2">
      <c r="D108" s="130" t="b">
        <v>0</v>
      </c>
      <c r="E108" s="124">
        <v>9</v>
      </c>
      <c r="F108" s="125">
        <v>8</v>
      </c>
      <c r="G108" s="125">
        <v>304</v>
      </c>
      <c r="H108" s="123">
        <v>193</v>
      </c>
      <c r="I108" s="123">
        <v>4732</v>
      </c>
      <c r="J108" s="123">
        <v>18.5</v>
      </c>
      <c r="K108" s="123">
        <v>70</v>
      </c>
      <c r="L108" s="123" t="s">
        <v>95</v>
      </c>
      <c r="M108" s="123" t="s">
        <v>127</v>
      </c>
      <c r="N108" s="132">
        <v>28</v>
      </c>
      <c r="O108" s="132">
        <v>0</v>
      </c>
      <c r="P108" s="132">
        <v>4.8666446760739123E+18</v>
      </c>
    </row>
    <row r="109" spans="4:16" ht="15" customHeight="1" x14ac:dyDescent="0.2">
      <c r="D109" s="130" t="b">
        <v>0</v>
      </c>
      <c r="E109" s="124">
        <v>27</v>
      </c>
      <c r="F109" s="125">
        <v>4</v>
      </c>
      <c r="G109" s="125">
        <v>97</v>
      </c>
      <c r="H109" s="123">
        <v>88</v>
      </c>
      <c r="I109" s="123">
        <v>2130</v>
      </c>
      <c r="J109" s="123">
        <v>14.5</v>
      </c>
      <c r="K109" s="123">
        <v>71</v>
      </c>
      <c r="L109" s="123" t="s">
        <v>111</v>
      </c>
      <c r="M109" s="123" t="s">
        <v>116</v>
      </c>
      <c r="N109" s="132">
        <v>29</v>
      </c>
      <c r="O109" s="132">
        <v>0</v>
      </c>
      <c r="P109" s="132">
        <v>1.0597992590309134E+19</v>
      </c>
    </row>
    <row r="110" spans="4:16" ht="15" customHeight="1" x14ac:dyDescent="0.2">
      <c r="D110" s="130" t="b">
        <v>0</v>
      </c>
      <c r="E110" s="124">
        <v>28</v>
      </c>
      <c r="F110" s="125">
        <v>4</v>
      </c>
      <c r="G110" s="125">
        <v>140</v>
      </c>
      <c r="H110" s="123">
        <v>90</v>
      </c>
      <c r="I110" s="123">
        <v>2264</v>
      </c>
      <c r="J110" s="123">
        <v>15.5</v>
      </c>
      <c r="K110" s="123">
        <v>71</v>
      </c>
      <c r="L110" s="123" t="s">
        <v>95</v>
      </c>
      <c r="M110" s="123" t="s">
        <v>128</v>
      </c>
      <c r="N110" s="132">
        <v>30</v>
      </c>
      <c r="O110" s="132">
        <v>0</v>
      </c>
      <c r="P110" s="132">
        <v>1.0519937551722512E+19</v>
      </c>
    </row>
    <row r="111" spans="4:16" ht="15" customHeight="1" x14ac:dyDescent="0.2">
      <c r="D111" s="130" t="b">
        <v>0</v>
      </c>
      <c r="E111" s="124">
        <v>25</v>
      </c>
      <c r="F111" s="125">
        <v>4</v>
      </c>
      <c r="G111" s="125">
        <v>113</v>
      </c>
      <c r="H111" s="123">
        <v>95</v>
      </c>
      <c r="I111" s="123">
        <v>2228</v>
      </c>
      <c r="J111" s="123">
        <v>14</v>
      </c>
      <c r="K111" s="123">
        <v>71</v>
      </c>
      <c r="L111" s="123" t="s">
        <v>111</v>
      </c>
      <c r="M111" s="123" t="s">
        <v>129</v>
      </c>
      <c r="N111" s="132">
        <v>31</v>
      </c>
      <c r="O111" s="132">
        <v>0</v>
      </c>
      <c r="P111" s="132">
        <v>8.5534077232800696E+18</v>
      </c>
    </row>
    <row r="112" spans="4:16" ht="15" customHeight="1" x14ac:dyDescent="0.2">
      <c r="D112" s="130" t="b">
        <v>0</v>
      </c>
      <c r="E112" s="124">
        <v>25</v>
      </c>
      <c r="F112" s="125">
        <v>4</v>
      </c>
      <c r="G112" s="125">
        <v>98</v>
      </c>
      <c r="H112" s="123"/>
      <c r="I112" s="123">
        <v>2046</v>
      </c>
      <c r="J112" s="123">
        <v>19</v>
      </c>
      <c r="K112" s="123">
        <v>71</v>
      </c>
      <c r="L112" s="123" t="s">
        <v>95</v>
      </c>
      <c r="M112" s="123" t="s">
        <v>96</v>
      </c>
      <c r="N112" s="132">
        <v>32</v>
      </c>
      <c r="O112" s="132">
        <v>1</v>
      </c>
      <c r="P112" s="132">
        <v>1.3049810374487702E+19</v>
      </c>
    </row>
    <row r="113" spans="4:16" ht="15" customHeight="1" x14ac:dyDescent="0.2">
      <c r="D113" s="130" t="b">
        <v>0</v>
      </c>
      <c r="E113" s="124">
        <v>19</v>
      </c>
      <c r="F113" s="125">
        <v>6</v>
      </c>
      <c r="G113" s="125">
        <v>232</v>
      </c>
      <c r="H113" s="123">
        <v>100</v>
      </c>
      <c r="I113" s="123">
        <v>2634</v>
      </c>
      <c r="J113" s="123">
        <v>13</v>
      </c>
      <c r="K113" s="123">
        <v>71</v>
      </c>
      <c r="L113" s="123" t="s">
        <v>95</v>
      </c>
      <c r="M113" s="123" t="s">
        <v>123</v>
      </c>
      <c r="N113" s="132">
        <v>33</v>
      </c>
      <c r="O113" s="132">
        <v>0</v>
      </c>
      <c r="P113" s="132">
        <v>1.0480375843149775E+19</v>
      </c>
    </row>
    <row r="114" spans="4:16" ht="15" customHeight="1" x14ac:dyDescent="0.2">
      <c r="D114" s="130" t="b">
        <v>0</v>
      </c>
      <c r="E114" s="124">
        <v>16</v>
      </c>
      <c r="F114" s="125">
        <v>6</v>
      </c>
      <c r="G114" s="125">
        <v>225</v>
      </c>
      <c r="H114" s="123">
        <v>105</v>
      </c>
      <c r="I114" s="123">
        <v>3439</v>
      </c>
      <c r="J114" s="123">
        <v>15.5</v>
      </c>
      <c r="K114" s="123">
        <v>71</v>
      </c>
      <c r="L114" s="123" t="s">
        <v>95</v>
      </c>
      <c r="M114" s="123" t="s">
        <v>130</v>
      </c>
      <c r="N114" s="132">
        <v>34</v>
      </c>
      <c r="O114" s="132">
        <v>0</v>
      </c>
      <c r="P114" s="132">
        <v>1.7977225152035525E+19</v>
      </c>
    </row>
    <row r="115" spans="4:16" ht="15" customHeight="1" x14ac:dyDescent="0.2">
      <c r="D115" s="130" t="b">
        <v>0</v>
      </c>
      <c r="E115" s="124">
        <v>17</v>
      </c>
      <c r="F115" s="125">
        <v>6</v>
      </c>
      <c r="G115" s="125">
        <v>250</v>
      </c>
      <c r="H115" s="123">
        <v>100</v>
      </c>
      <c r="I115" s="123">
        <v>3329</v>
      </c>
      <c r="J115" s="123">
        <v>15.5</v>
      </c>
      <c r="K115" s="123">
        <v>71</v>
      </c>
      <c r="L115" s="123" t="s">
        <v>95</v>
      </c>
      <c r="M115" s="123" t="s">
        <v>97</v>
      </c>
      <c r="N115" s="132">
        <v>35</v>
      </c>
      <c r="O115" s="132">
        <v>0</v>
      </c>
      <c r="P115" s="132">
        <v>1.1779508887738612E+19</v>
      </c>
    </row>
    <row r="116" spans="4:16" ht="15" customHeight="1" x14ac:dyDescent="0.2">
      <c r="D116" s="130" t="b">
        <v>0</v>
      </c>
      <c r="E116" s="124">
        <v>19</v>
      </c>
      <c r="F116" s="125">
        <v>6</v>
      </c>
      <c r="G116" s="125">
        <v>250</v>
      </c>
      <c r="H116" s="123">
        <v>88</v>
      </c>
      <c r="I116" s="123">
        <v>3302</v>
      </c>
      <c r="J116" s="123">
        <v>15.5</v>
      </c>
      <c r="K116" s="123">
        <v>71</v>
      </c>
      <c r="L116" s="123" t="s">
        <v>95</v>
      </c>
      <c r="M116" s="123" t="s">
        <v>131</v>
      </c>
      <c r="N116" s="132">
        <v>36</v>
      </c>
      <c r="O116" s="132">
        <v>0</v>
      </c>
      <c r="P116" s="132">
        <v>4.9092526834678252E+18</v>
      </c>
    </row>
    <row r="117" spans="4:16" ht="15" customHeight="1" x14ac:dyDescent="0.2">
      <c r="D117" s="130" t="b">
        <v>0</v>
      </c>
      <c r="E117" s="124">
        <v>18</v>
      </c>
      <c r="F117" s="125">
        <v>6</v>
      </c>
      <c r="G117" s="125">
        <v>232</v>
      </c>
      <c r="H117" s="123">
        <v>100</v>
      </c>
      <c r="I117" s="123">
        <v>3288</v>
      </c>
      <c r="J117" s="123">
        <v>15.5</v>
      </c>
      <c r="K117" s="123">
        <v>71</v>
      </c>
      <c r="L117" s="123" t="s">
        <v>95</v>
      </c>
      <c r="M117" s="123" t="s">
        <v>132</v>
      </c>
      <c r="N117" s="132">
        <v>37</v>
      </c>
      <c r="O117" s="132">
        <v>0</v>
      </c>
      <c r="P117" s="132">
        <v>1.3063585420593883E+19</v>
      </c>
    </row>
    <row r="118" spans="4:16" ht="15" customHeight="1" x14ac:dyDescent="0.2">
      <c r="D118" s="130" t="b">
        <v>0</v>
      </c>
      <c r="E118" s="124">
        <v>14</v>
      </c>
      <c r="F118" s="125">
        <v>8</v>
      </c>
      <c r="G118" s="125">
        <v>350</v>
      </c>
      <c r="H118" s="123">
        <v>165</v>
      </c>
      <c r="I118" s="123">
        <v>4209</v>
      </c>
      <c r="J118" s="123">
        <v>12</v>
      </c>
      <c r="K118" s="123">
        <v>71</v>
      </c>
      <c r="L118" s="123" t="s">
        <v>95</v>
      </c>
      <c r="M118" s="123" t="s">
        <v>103</v>
      </c>
      <c r="N118" s="132">
        <v>38</v>
      </c>
      <c r="O118" s="132">
        <v>0</v>
      </c>
      <c r="P118" s="132">
        <v>5.3962310509825556E+18</v>
      </c>
    </row>
    <row r="119" spans="4:16" ht="15" customHeight="1" x14ac:dyDescent="0.2">
      <c r="D119" s="130" t="b">
        <v>0</v>
      </c>
      <c r="E119" s="124">
        <v>14</v>
      </c>
      <c r="F119" s="125">
        <v>8</v>
      </c>
      <c r="G119" s="125">
        <v>400</v>
      </c>
      <c r="H119" s="123">
        <v>175</v>
      </c>
      <c r="I119" s="123">
        <v>4464</v>
      </c>
      <c r="J119" s="123">
        <v>11.5</v>
      </c>
      <c r="K119" s="123">
        <v>71</v>
      </c>
      <c r="L119" s="123" t="s">
        <v>95</v>
      </c>
      <c r="M119" s="123" t="s">
        <v>133</v>
      </c>
      <c r="N119" s="132">
        <v>39</v>
      </c>
      <c r="O119" s="132">
        <v>0</v>
      </c>
      <c r="P119" s="132">
        <v>6.1979847725350707E+18</v>
      </c>
    </row>
    <row r="120" spans="4:16" ht="15" customHeight="1" x14ac:dyDescent="0.2">
      <c r="D120" s="130" t="b">
        <v>0</v>
      </c>
      <c r="E120" s="124">
        <v>14</v>
      </c>
      <c r="F120" s="125">
        <v>8</v>
      </c>
      <c r="G120" s="125">
        <v>351</v>
      </c>
      <c r="H120" s="123">
        <v>153</v>
      </c>
      <c r="I120" s="123">
        <v>4154</v>
      </c>
      <c r="J120" s="123">
        <v>13.5</v>
      </c>
      <c r="K120" s="123">
        <v>71</v>
      </c>
      <c r="L120" s="123" t="s">
        <v>95</v>
      </c>
      <c r="M120" s="123" t="s">
        <v>102</v>
      </c>
      <c r="N120" s="132">
        <v>40</v>
      </c>
      <c r="O120" s="132">
        <v>0</v>
      </c>
      <c r="P120" s="132">
        <v>9.2664486893126221E+17</v>
      </c>
    </row>
    <row r="121" spans="4:16" ht="15" customHeight="1" x14ac:dyDescent="0.2">
      <c r="D121" s="130" t="b">
        <v>0</v>
      </c>
      <c r="E121" s="124">
        <v>14</v>
      </c>
      <c r="F121" s="125">
        <v>8</v>
      </c>
      <c r="G121" s="125">
        <v>318</v>
      </c>
      <c r="H121" s="123">
        <v>150</v>
      </c>
      <c r="I121" s="123">
        <v>4096</v>
      </c>
      <c r="J121" s="123">
        <v>13</v>
      </c>
      <c r="K121" s="123">
        <v>71</v>
      </c>
      <c r="L121" s="123" t="s">
        <v>95</v>
      </c>
      <c r="M121" s="123" t="s">
        <v>104</v>
      </c>
      <c r="N121" s="132">
        <v>41</v>
      </c>
      <c r="O121" s="132">
        <v>0</v>
      </c>
      <c r="P121" s="132">
        <v>1.7518049418623324E+19</v>
      </c>
    </row>
    <row r="122" spans="4:16" ht="15" customHeight="1" x14ac:dyDescent="0.2">
      <c r="D122" s="130" t="b">
        <v>0</v>
      </c>
      <c r="E122" s="124">
        <v>12</v>
      </c>
      <c r="F122" s="125">
        <v>8</v>
      </c>
      <c r="G122" s="125">
        <v>383</v>
      </c>
      <c r="H122" s="123">
        <v>180</v>
      </c>
      <c r="I122" s="123">
        <v>4955</v>
      </c>
      <c r="J122" s="123">
        <v>11.5</v>
      </c>
      <c r="K122" s="123">
        <v>71</v>
      </c>
      <c r="L122" s="123" t="s">
        <v>95</v>
      </c>
      <c r="M122" s="123" t="s">
        <v>134</v>
      </c>
      <c r="N122" s="132">
        <v>42</v>
      </c>
      <c r="O122" s="132">
        <v>0</v>
      </c>
      <c r="P122" s="132">
        <v>3.8867615281651564E+18</v>
      </c>
    </row>
    <row r="123" spans="4:16" ht="15" customHeight="1" x14ac:dyDescent="0.2">
      <c r="D123" s="130" t="b">
        <v>0</v>
      </c>
      <c r="E123" s="124">
        <v>13</v>
      </c>
      <c r="F123" s="125">
        <v>8</v>
      </c>
      <c r="G123" s="125">
        <v>400</v>
      </c>
      <c r="H123" s="123">
        <v>170</v>
      </c>
      <c r="I123" s="123">
        <v>4746</v>
      </c>
      <c r="J123" s="123">
        <v>12</v>
      </c>
      <c r="K123" s="123">
        <v>71</v>
      </c>
      <c r="L123" s="123" t="s">
        <v>95</v>
      </c>
      <c r="M123" s="123" t="s">
        <v>135</v>
      </c>
      <c r="N123" s="132">
        <v>43</v>
      </c>
      <c r="O123" s="132">
        <v>0</v>
      </c>
      <c r="P123" s="132">
        <v>1.3092107314030538E+18</v>
      </c>
    </row>
    <row r="124" spans="4:16" ht="15" customHeight="1" x14ac:dyDescent="0.2">
      <c r="D124" s="130" t="b">
        <v>0</v>
      </c>
      <c r="E124" s="124">
        <v>13</v>
      </c>
      <c r="F124" s="125">
        <v>8</v>
      </c>
      <c r="G124" s="125">
        <v>400</v>
      </c>
      <c r="H124" s="123">
        <v>175</v>
      </c>
      <c r="I124" s="123">
        <v>5140</v>
      </c>
      <c r="J124" s="123">
        <v>12</v>
      </c>
      <c r="K124" s="123">
        <v>71</v>
      </c>
      <c r="L124" s="123" t="s">
        <v>95</v>
      </c>
      <c r="M124" s="123" t="s">
        <v>136</v>
      </c>
      <c r="N124" s="132">
        <v>44</v>
      </c>
      <c r="O124" s="132">
        <v>0</v>
      </c>
      <c r="P124" s="132">
        <v>7.6810757358797568E+18</v>
      </c>
    </row>
    <row r="125" spans="4:16" ht="15" customHeight="1" x14ac:dyDescent="0.2">
      <c r="D125" s="130" t="b">
        <v>0</v>
      </c>
      <c r="E125" s="124">
        <v>18</v>
      </c>
      <c r="F125" s="125">
        <v>6</v>
      </c>
      <c r="G125" s="125">
        <v>258</v>
      </c>
      <c r="H125" s="123">
        <v>110</v>
      </c>
      <c r="I125" s="123">
        <v>2962</v>
      </c>
      <c r="J125" s="123">
        <v>13.5</v>
      </c>
      <c r="K125" s="123">
        <v>71</v>
      </c>
      <c r="L125" s="123" t="s">
        <v>95</v>
      </c>
      <c r="M125" s="123" t="s">
        <v>137</v>
      </c>
      <c r="N125" s="132">
        <v>45</v>
      </c>
      <c r="O125" s="132">
        <v>0</v>
      </c>
      <c r="P125" s="132">
        <v>1.3562601547814441E+18</v>
      </c>
    </row>
    <row r="126" spans="4:16" ht="15" customHeight="1" x14ac:dyDescent="0.2">
      <c r="D126" s="130" t="b">
        <v>0</v>
      </c>
      <c r="E126" s="124">
        <v>22</v>
      </c>
      <c r="F126" s="125">
        <v>4</v>
      </c>
      <c r="G126" s="125">
        <v>140</v>
      </c>
      <c r="H126" s="123">
        <v>72</v>
      </c>
      <c r="I126" s="123">
        <v>2408</v>
      </c>
      <c r="J126" s="123">
        <v>19</v>
      </c>
      <c r="K126" s="123">
        <v>71</v>
      </c>
      <c r="L126" s="123" t="s">
        <v>95</v>
      </c>
      <c r="M126" s="123" t="s">
        <v>138</v>
      </c>
      <c r="N126" s="132">
        <v>46</v>
      </c>
      <c r="O126" s="132">
        <v>0</v>
      </c>
      <c r="P126" s="132">
        <v>9.8460984759952957E+18</v>
      </c>
    </row>
    <row r="127" spans="4:16" ht="15" customHeight="1" x14ac:dyDescent="0.2">
      <c r="D127" s="130" t="b">
        <v>0</v>
      </c>
      <c r="E127" s="124">
        <v>19</v>
      </c>
      <c r="F127" s="125">
        <v>6</v>
      </c>
      <c r="G127" s="125">
        <v>250</v>
      </c>
      <c r="H127" s="123">
        <v>100</v>
      </c>
      <c r="I127" s="123">
        <v>3282</v>
      </c>
      <c r="J127" s="123">
        <v>15</v>
      </c>
      <c r="K127" s="123">
        <v>71</v>
      </c>
      <c r="L127" s="123" t="s">
        <v>95</v>
      </c>
      <c r="M127" s="123" t="s">
        <v>139</v>
      </c>
      <c r="N127" s="132">
        <v>47</v>
      </c>
      <c r="O127" s="132">
        <v>0</v>
      </c>
      <c r="P127" s="132">
        <v>1.6510325050660215E+19</v>
      </c>
    </row>
    <row r="128" spans="4:16" ht="15" customHeight="1" x14ac:dyDescent="0.2">
      <c r="D128" s="130" t="b">
        <v>0</v>
      </c>
      <c r="E128" s="124">
        <v>18</v>
      </c>
      <c r="F128" s="125">
        <v>6</v>
      </c>
      <c r="G128" s="125">
        <v>250</v>
      </c>
      <c r="H128" s="123">
        <v>88</v>
      </c>
      <c r="I128" s="123">
        <v>3139</v>
      </c>
      <c r="J128" s="123">
        <v>14.5</v>
      </c>
      <c r="K128" s="123">
        <v>71</v>
      </c>
      <c r="L128" s="123" t="s">
        <v>95</v>
      </c>
      <c r="M128" s="123" t="s">
        <v>140</v>
      </c>
      <c r="N128" s="132">
        <v>48</v>
      </c>
      <c r="O128" s="132">
        <v>0</v>
      </c>
      <c r="P128" s="132">
        <v>1.2760055116638398E+19</v>
      </c>
    </row>
    <row r="129" spans="4:16" ht="15" customHeight="1" x14ac:dyDescent="0.2">
      <c r="D129" s="130" t="b">
        <v>0</v>
      </c>
      <c r="E129" s="124">
        <v>23</v>
      </c>
      <c r="F129" s="125">
        <v>4</v>
      </c>
      <c r="G129" s="125">
        <v>122</v>
      </c>
      <c r="H129" s="123">
        <v>86</v>
      </c>
      <c r="I129" s="123">
        <v>2220</v>
      </c>
      <c r="J129" s="123">
        <v>14</v>
      </c>
      <c r="K129" s="123">
        <v>71</v>
      </c>
      <c r="L129" s="123" t="s">
        <v>95</v>
      </c>
      <c r="M129" s="123" t="s">
        <v>141</v>
      </c>
      <c r="N129" s="132">
        <v>49</v>
      </c>
      <c r="O129" s="132">
        <v>0</v>
      </c>
      <c r="P129" s="132">
        <v>1.1017133979330095E+19</v>
      </c>
    </row>
    <row r="130" spans="4:16" ht="15" customHeight="1" x14ac:dyDescent="0.2">
      <c r="D130" s="130" t="b">
        <v>0</v>
      </c>
      <c r="E130" s="124">
        <v>28</v>
      </c>
      <c r="F130" s="125">
        <v>4</v>
      </c>
      <c r="G130" s="125">
        <v>116</v>
      </c>
      <c r="H130" s="123">
        <v>90</v>
      </c>
      <c r="I130" s="123">
        <v>2123</v>
      </c>
      <c r="J130" s="123">
        <v>14</v>
      </c>
      <c r="K130" s="123">
        <v>71</v>
      </c>
      <c r="L130" s="123" t="s">
        <v>117</v>
      </c>
      <c r="M130" s="123" t="s">
        <v>142</v>
      </c>
      <c r="N130" s="132">
        <v>50</v>
      </c>
      <c r="O130" s="132">
        <v>0</v>
      </c>
      <c r="P130" s="132">
        <v>6.0961178093442458E+17</v>
      </c>
    </row>
    <row r="131" spans="4:16" ht="15" customHeight="1" x14ac:dyDescent="0.2">
      <c r="D131" s="130" t="b">
        <v>0</v>
      </c>
      <c r="E131" s="124">
        <v>30</v>
      </c>
      <c r="F131" s="125">
        <v>4</v>
      </c>
      <c r="G131" s="125">
        <v>79</v>
      </c>
      <c r="H131" s="123">
        <v>70</v>
      </c>
      <c r="I131" s="123">
        <v>2074</v>
      </c>
      <c r="J131" s="123">
        <v>19.5</v>
      </c>
      <c r="K131" s="123">
        <v>71</v>
      </c>
      <c r="L131" s="123" t="s">
        <v>117</v>
      </c>
      <c r="M131" s="123" t="s">
        <v>143</v>
      </c>
      <c r="N131" s="132">
        <v>51</v>
      </c>
      <c r="O131" s="132">
        <v>0</v>
      </c>
      <c r="P131" s="132">
        <v>8.7421136542287452E+18</v>
      </c>
    </row>
    <row r="132" spans="4:16" ht="15" customHeight="1" x14ac:dyDescent="0.2">
      <c r="D132" s="130" t="b">
        <v>0</v>
      </c>
      <c r="E132" s="124">
        <v>30</v>
      </c>
      <c r="F132" s="125">
        <v>4</v>
      </c>
      <c r="G132" s="125">
        <v>88</v>
      </c>
      <c r="H132" s="123">
        <v>76</v>
      </c>
      <c r="I132" s="123">
        <v>2065</v>
      </c>
      <c r="J132" s="123">
        <v>14.5</v>
      </c>
      <c r="K132" s="123">
        <v>71</v>
      </c>
      <c r="L132" s="123" t="s">
        <v>117</v>
      </c>
      <c r="M132" s="123" t="s">
        <v>144</v>
      </c>
      <c r="N132" s="132">
        <v>52</v>
      </c>
      <c r="O132" s="132">
        <v>0</v>
      </c>
      <c r="P132" s="132">
        <v>1.1331653085121083E+19</v>
      </c>
    </row>
    <row r="133" spans="4:16" ht="15" customHeight="1" x14ac:dyDescent="0.2">
      <c r="D133" s="130" t="b">
        <v>0</v>
      </c>
      <c r="E133" s="124">
        <v>31</v>
      </c>
      <c r="F133" s="125">
        <v>4</v>
      </c>
      <c r="G133" s="125">
        <v>71</v>
      </c>
      <c r="H133" s="123">
        <v>65</v>
      </c>
      <c r="I133" s="123">
        <v>1773</v>
      </c>
      <c r="J133" s="123">
        <v>19</v>
      </c>
      <c r="K133" s="123">
        <v>71</v>
      </c>
      <c r="L133" s="123" t="s">
        <v>111</v>
      </c>
      <c r="M133" s="123" t="s">
        <v>145</v>
      </c>
      <c r="N133" s="132">
        <v>53</v>
      </c>
      <c r="O133" s="132">
        <v>0</v>
      </c>
      <c r="P133" s="132">
        <v>1.7204772996611305E+19</v>
      </c>
    </row>
    <row r="134" spans="4:16" ht="15" customHeight="1" x14ac:dyDescent="0.2">
      <c r="D134" s="130" t="b">
        <v>0</v>
      </c>
      <c r="E134" s="124">
        <v>35</v>
      </c>
      <c r="F134" s="125">
        <v>4</v>
      </c>
      <c r="G134" s="125">
        <v>72</v>
      </c>
      <c r="H134" s="123">
        <v>69</v>
      </c>
      <c r="I134" s="123">
        <v>1613</v>
      </c>
      <c r="J134" s="123">
        <v>18</v>
      </c>
      <c r="K134" s="123">
        <v>71</v>
      </c>
      <c r="L134" s="123" t="s">
        <v>111</v>
      </c>
      <c r="M134" s="123" t="s">
        <v>146</v>
      </c>
      <c r="N134" s="132">
        <v>54</v>
      </c>
      <c r="O134" s="132">
        <v>0</v>
      </c>
      <c r="P134" s="132">
        <v>1.4936097151427344E+19</v>
      </c>
    </row>
    <row r="135" spans="4:16" ht="15" customHeight="1" x14ac:dyDescent="0.2">
      <c r="D135" s="130" t="b">
        <v>0</v>
      </c>
      <c r="E135" s="124">
        <v>27</v>
      </c>
      <c r="F135" s="125">
        <v>4</v>
      </c>
      <c r="G135" s="125">
        <v>97</v>
      </c>
      <c r="H135" s="123">
        <v>60</v>
      </c>
      <c r="I135" s="123">
        <v>1834</v>
      </c>
      <c r="J135" s="123">
        <v>19</v>
      </c>
      <c r="K135" s="123">
        <v>71</v>
      </c>
      <c r="L135" s="123" t="s">
        <v>117</v>
      </c>
      <c r="M135" s="123" t="s">
        <v>147</v>
      </c>
      <c r="N135" s="132">
        <v>55</v>
      </c>
      <c r="O135" s="132">
        <v>0</v>
      </c>
      <c r="P135" s="132">
        <v>1.1638410052839256E+19</v>
      </c>
    </row>
    <row r="136" spans="4:16" ht="15" customHeight="1" x14ac:dyDescent="0.2">
      <c r="D136" s="130" t="b">
        <v>0</v>
      </c>
      <c r="E136" s="124">
        <v>26</v>
      </c>
      <c r="F136" s="125">
        <v>4</v>
      </c>
      <c r="G136" s="125">
        <v>91</v>
      </c>
      <c r="H136" s="123">
        <v>70</v>
      </c>
      <c r="I136" s="123">
        <v>1955</v>
      </c>
      <c r="J136" s="123">
        <v>20.5</v>
      </c>
      <c r="K136" s="123">
        <v>71</v>
      </c>
      <c r="L136" s="123" t="s">
        <v>95</v>
      </c>
      <c r="M136" s="123" t="s">
        <v>148</v>
      </c>
      <c r="N136" s="132">
        <v>56</v>
      </c>
      <c r="O136" s="132">
        <v>0</v>
      </c>
      <c r="P136" s="132">
        <v>9.273718025301291E+18</v>
      </c>
    </row>
    <row r="137" spans="4:16" ht="15" customHeight="1" x14ac:dyDescent="0.2">
      <c r="D137" s="130" t="b">
        <v>0</v>
      </c>
      <c r="E137" s="124">
        <v>24</v>
      </c>
      <c r="F137" s="125">
        <v>4</v>
      </c>
      <c r="G137" s="125">
        <v>113</v>
      </c>
      <c r="H137" s="123">
        <v>95</v>
      </c>
      <c r="I137" s="123">
        <v>2278</v>
      </c>
      <c r="J137" s="123">
        <v>15.5</v>
      </c>
      <c r="K137" s="123">
        <v>72</v>
      </c>
      <c r="L137" s="123" t="s">
        <v>111</v>
      </c>
      <c r="M137" s="123" t="s">
        <v>149</v>
      </c>
      <c r="N137" s="132">
        <v>57</v>
      </c>
      <c r="O137" s="132">
        <v>0</v>
      </c>
      <c r="P137" s="132">
        <v>7.726937652832852E+18</v>
      </c>
    </row>
    <row r="138" spans="4:16" ht="15" customHeight="1" x14ac:dyDescent="0.2">
      <c r="D138" s="130" t="b">
        <v>0</v>
      </c>
      <c r="E138" s="124">
        <v>25</v>
      </c>
      <c r="F138" s="125">
        <v>4</v>
      </c>
      <c r="G138" s="125">
        <v>97.5</v>
      </c>
      <c r="H138" s="123">
        <v>80</v>
      </c>
      <c r="I138" s="123">
        <v>2126</v>
      </c>
      <c r="J138" s="123">
        <v>17</v>
      </c>
      <c r="K138" s="123">
        <v>72</v>
      </c>
      <c r="L138" s="123" t="s">
        <v>95</v>
      </c>
      <c r="M138" s="123" t="s">
        <v>150</v>
      </c>
      <c r="N138" s="132">
        <v>58</v>
      </c>
      <c r="O138" s="132">
        <v>0</v>
      </c>
      <c r="P138" s="132">
        <v>9.5627200531898286E+18</v>
      </c>
    </row>
    <row r="139" spans="4:16" ht="15" customHeight="1" x14ac:dyDescent="0.2">
      <c r="D139" s="130" t="b">
        <v>0</v>
      </c>
      <c r="E139" s="124">
        <v>23</v>
      </c>
      <c r="F139" s="125">
        <v>4</v>
      </c>
      <c r="G139" s="125">
        <v>97</v>
      </c>
      <c r="H139" s="123">
        <v>54</v>
      </c>
      <c r="I139" s="123">
        <v>2254</v>
      </c>
      <c r="J139" s="123">
        <v>23.5</v>
      </c>
      <c r="K139" s="123">
        <v>72</v>
      </c>
      <c r="L139" s="123" t="s">
        <v>117</v>
      </c>
      <c r="M139" s="123" t="s">
        <v>151</v>
      </c>
      <c r="N139" s="132">
        <v>59</v>
      </c>
      <c r="O139" s="132">
        <v>0</v>
      </c>
      <c r="P139" s="132">
        <v>2.1077919920732101E+18</v>
      </c>
    </row>
    <row r="140" spans="4:16" ht="15" customHeight="1" x14ac:dyDescent="0.2">
      <c r="D140" s="130" t="b">
        <v>0</v>
      </c>
      <c r="E140" s="124">
        <v>20</v>
      </c>
      <c r="F140" s="125">
        <v>4</v>
      </c>
      <c r="G140" s="125">
        <v>140</v>
      </c>
      <c r="H140" s="123">
        <v>90</v>
      </c>
      <c r="I140" s="123">
        <v>2408</v>
      </c>
      <c r="J140" s="123">
        <v>19.5</v>
      </c>
      <c r="K140" s="123">
        <v>72</v>
      </c>
      <c r="L140" s="123" t="s">
        <v>95</v>
      </c>
      <c r="M140" s="123" t="s">
        <v>152</v>
      </c>
      <c r="N140" s="132">
        <v>60</v>
      </c>
      <c r="O140" s="132">
        <v>0</v>
      </c>
      <c r="P140" s="132">
        <v>7.3712058439680963E+18</v>
      </c>
    </row>
    <row r="141" spans="4:16" ht="15" customHeight="1" x14ac:dyDescent="0.2">
      <c r="D141" s="130" t="b">
        <v>0</v>
      </c>
      <c r="E141" s="124">
        <v>21</v>
      </c>
      <c r="F141" s="125">
        <v>4</v>
      </c>
      <c r="G141" s="125">
        <v>122</v>
      </c>
      <c r="H141" s="123">
        <v>86</v>
      </c>
      <c r="I141" s="123">
        <v>2226</v>
      </c>
      <c r="J141" s="123">
        <v>16.5</v>
      </c>
      <c r="K141" s="123">
        <v>72</v>
      </c>
      <c r="L141" s="123" t="s">
        <v>95</v>
      </c>
      <c r="M141" s="123" t="s">
        <v>153</v>
      </c>
      <c r="N141" s="132">
        <v>61</v>
      </c>
      <c r="O141" s="132">
        <v>0</v>
      </c>
      <c r="P141" s="132">
        <v>8.0190258927423293E+18</v>
      </c>
    </row>
    <row r="142" spans="4:16" ht="15" customHeight="1" x14ac:dyDescent="0.2">
      <c r="D142" s="130" t="b">
        <v>0</v>
      </c>
      <c r="E142" s="124">
        <v>13</v>
      </c>
      <c r="F142" s="125">
        <v>8</v>
      </c>
      <c r="G142" s="125">
        <v>350</v>
      </c>
      <c r="H142" s="123">
        <v>165</v>
      </c>
      <c r="I142" s="123">
        <v>4274</v>
      </c>
      <c r="J142" s="123">
        <v>12</v>
      </c>
      <c r="K142" s="123">
        <v>72</v>
      </c>
      <c r="L142" s="123" t="s">
        <v>95</v>
      </c>
      <c r="M142" s="123" t="s">
        <v>103</v>
      </c>
      <c r="N142" s="132">
        <v>62</v>
      </c>
      <c r="O142" s="132">
        <v>0</v>
      </c>
      <c r="P142" s="132">
        <v>6.2776785416859904E+18</v>
      </c>
    </row>
    <row r="143" spans="4:16" ht="15" customHeight="1" x14ac:dyDescent="0.2">
      <c r="D143" s="130" t="b">
        <v>0</v>
      </c>
      <c r="E143" s="124">
        <v>14</v>
      </c>
      <c r="F143" s="125">
        <v>8</v>
      </c>
      <c r="G143" s="125">
        <v>400</v>
      </c>
      <c r="H143" s="123">
        <v>175</v>
      </c>
      <c r="I143" s="123">
        <v>4385</v>
      </c>
      <c r="J143" s="123">
        <v>12</v>
      </c>
      <c r="K143" s="123">
        <v>72</v>
      </c>
      <c r="L143" s="123" t="s">
        <v>95</v>
      </c>
      <c r="M143" s="123" t="s">
        <v>105</v>
      </c>
      <c r="N143" s="132">
        <v>63</v>
      </c>
      <c r="O143" s="132">
        <v>0</v>
      </c>
      <c r="P143" s="132">
        <v>6.1856451369450117E+18</v>
      </c>
    </row>
    <row r="144" spans="4:16" ht="15" customHeight="1" x14ac:dyDescent="0.2">
      <c r="D144" s="130" t="b">
        <v>0</v>
      </c>
      <c r="E144" s="124">
        <v>15</v>
      </c>
      <c r="F144" s="125">
        <v>8</v>
      </c>
      <c r="G144" s="125">
        <v>318</v>
      </c>
      <c r="H144" s="123">
        <v>150</v>
      </c>
      <c r="I144" s="123">
        <v>4135</v>
      </c>
      <c r="J144" s="123">
        <v>13.5</v>
      </c>
      <c r="K144" s="123">
        <v>72</v>
      </c>
      <c r="L144" s="123" t="s">
        <v>95</v>
      </c>
      <c r="M144" s="123" t="s">
        <v>104</v>
      </c>
      <c r="N144" s="132">
        <v>64</v>
      </c>
      <c r="O144" s="132">
        <v>0</v>
      </c>
      <c r="P144" s="132">
        <v>3.8838709858842066E+18</v>
      </c>
    </row>
    <row r="145" spans="4:16" ht="15" customHeight="1" x14ac:dyDescent="0.2">
      <c r="D145" s="130" t="b">
        <v>0</v>
      </c>
      <c r="E145" s="124">
        <v>14</v>
      </c>
      <c r="F145" s="125">
        <v>8</v>
      </c>
      <c r="G145" s="125">
        <v>351</v>
      </c>
      <c r="H145" s="123">
        <v>153</v>
      </c>
      <c r="I145" s="123">
        <v>4129</v>
      </c>
      <c r="J145" s="123">
        <v>13</v>
      </c>
      <c r="K145" s="123">
        <v>72</v>
      </c>
      <c r="L145" s="123" t="s">
        <v>95</v>
      </c>
      <c r="M145" s="123" t="s">
        <v>102</v>
      </c>
      <c r="N145" s="132">
        <v>65</v>
      </c>
      <c r="O145" s="132">
        <v>0</v>
      </c>
      <c r="P145" s="132">
        <v>4.2814151082854676E+18</v>
      </c>
    </row>
    <row r="146" spans="4:16" ht="15" customHeight="1" x14ac:dyDescent="0.2">
      <c r="D146" s="130" t="b">
        <v>0</v>
      </c>
      <c r="E146" s="124">
        <v>17</v>
      </c>
      <c r="F146" s="125">
        <v>8</v>
      </c>
      <c r="G146" s="125">
        <v>304</v>
      </c>
      <c r="H146" s="123">
        <v>150</v>
      </c>
      <c r="I146" s="123">
        <v>3672</v>
      </c>
      <c r="J146" s="123">
        <v>11.5</v>
      </c>
      <c r="K146" s="123">
        <v>72</v>
      </c>
      <c r="L146" s="123" t="s">
        <v>95</v>
      </c>
      <c r="M146" s="123" t="s">
        <v>154</v>
      </c>
      <c r="N146" s="132">
        <v>66</v>
      </c>
      <c r="O146" s="132">
        <v>0</v>
      </c>
      <c r="P146" s="132">
        <v>1.2102812633161691E+19</v>
      </c>
    </row>
    <row r="147" spans="4:16" ht="15" customHeight="1" x14ac:dyDescent="0.2">
      <c r="D147" s="130" t="b">
        <v>0</v>
      </c>
      <c r="E147" s="124">
        <v>11</v>
      </c>
      <c r="F147" s="125">
        <v>8</v>
      </c>
      <c r="G147" s="125">
        <v>429</v>
      </c>
      <c r="H147" s="123">
        <v>208</v>
      </c>
      <c r="I147" s="123">
        <v>4633</v>
      </c>
      <c r="J147" s="123">
        <v>11</v>
      </c>
      <c r="K147" s="123">
        <v>72</v>
      </c>
      <c r="L147" s="123" t="s">
        <v>95</v>
      </c>
      <c r="M147" s="123" t="s">
        <v>155</v>
      </c>
      <c r="N147" s="132">
        <v>67</v>
      </c>
      <c r="O147" s="132">
        <v>0</v>
      </c>
      <c r="P147" s="132">
        <v>1.0096222597059412E+19</v>
      </c>
    </row>
    <row r="148" spans="4:16" ht="15" customHeight="1" x14ac:dyDescent="0.2">
      <c r="D148" s="130" t="b">
        <v>0</v>
      </c>
      <c r="E148" s="124">
        <v>13</v>
      </c>
      <c r="F148" s="125">
        <v>8</v>
      </c>
      <c r="G148" s="125">
        <v>350</v>
      </c>
      <c r="H148" s="123">
        <v>155</v>
      </c>
      <c r="I148" s="123">
        <v>4502</v>
      </c>
      <c r="J148" s="123">
        <v>13.5</v>
      </c>
      <c r="K148" s="123">
        <v>72</v>
      </c>
      <c r="L148" s="123" t="s">
        <v>95</v>
      </c>
      <c r="M148" s="123" t="s">
        <v>156</v>
      </c>
      <c r="N148" s="132">
        <v>68</v>
      </c>
      <c r="O148" s="132">
        <v>0</v>
      </c>
      <c r="P148" s="132">
        <v>1.5902878007484372E+18</v>
      </c>
    </row>
    <row r="149" spans="4:16" ht="15" customHeight="1" x14ac:dyDescent="0.2">
      <c r="D149" s="130" t="b">
        <v>0</v>
      </c>
      <c r="E149" s="124">
        <v>12</v>
      </c>
      <c r="F149" s="125">
        <v>8</v>
      </c>
      <c r="G149" s="125">
        <v>350</v>
      </c>
      <c r="H149" s="123">
        <v>160</v>
      </c>
      <c r="I149" s="123">
        <v>4456</v>
      </c>
      <c r="J149" s="123">
        <v>13.5</v>
      </c>
      <c r="K149" s="123">
        <v>72</v>
      </c>
      <c r="L149" s="123" t="s">
        <v>95</v>
      </c>
      <c r="M149" s="123" t="s">
        <v>157</v>
      </c>
      <c r="N149" s="132">
        <v>69</v>
      </c>
      <c r="O149" s="132">
        <v>0</v>
      </c>
      <c r="P149" s="132">
        <v>4.5845405935139461E+18</v>
      </c>
    </row>
    <row r="150" spans="4:16" ht="15" customHeight="1" x14ac:dyDescent="0.2">
      <c r="D150" s="130" t="b">
        <v>0</v>
      </c>
      <c r="E150" s="124">
        <v>13</v>
      </c>
      <c r="F150" s="125">
        <v>8</v>
      </c>
      <c r="G150" s="125">
        <v>400</v>
      </c>
      <c r="H150" s="123">
        <v>190</v>
      </c>
      <c r="I150" s="123">
        <v>4422</v>
      </c>
      <c r="J150" s="123">
        <v>12.5</v>
      </c>
      <c r="K150" s="123">
        <v>72</v>
      </c>
      <c r="L150" s="123" t="s">
        <v>95</v>
      </c>
      <c r="M150" s="123" t="s">
        <v>158</v>
      </c>
      <c r="N150" s="132">
        <v>70</v>
      </c>
      <c r="O150" s="132">
        <v>0</v>
      </c>
      <c r="P150" s="132">
        <v>8.5305079262306263E+18</v>
      </c>
    </row>
    <row r="151" spans="4:16" ht="15" customHeight="1" x14ac:dyDescent="0.2">
      <c r="D151" s="130" t="b">
        <v>0</v>
      </c>
      <c r="E151" s="124">
        <v>19</v>
      </c>
      <c r="F151" s="125">
        <v>3</v>
      </c>
      <c r="G151" s="125">
        <v>70</v>
      </c>
      <c r="H151" s="123">
        <v>97</v>
      </c>
      <c r="I151" s="123">
        <v>2330</v>
      </c>
      <c r="J151" s="123">
        <v>13.5</v>
      </c>
      <c r="K151" s="123">
        <v>72</v>
      </c>
      <c r="L151" s="123" t="s">
        <v>111</v>
      </c>
      <c r="M151" s="123" t="s">
        <v>159</v>
      </c>
      <c r="N151" s="132">
        <v>71</v>
      </c>
      <c r="O151" s="132">
        <v>0</v>
      </c>
      <c r="P151" s="132">
        <v>5.4859388370350449E+18</v>
      </c>
    </row>
    <row r="152" spans="4:16" ht="15" customHeight="1" x14ac:dyDescent="0.2">
      <c r="D152" s="130" t="b">
        <v>0</v>
      </c>
      <c r="E152" s="124">
        <v>15</v>
      </c>
      <c r="F152" s="125">
        <v>8</v>
      </c>
      <c r="G152" s="125">
        <v>304</v>
      </c>
      <c r="H152" s="123">
        <v>150</v>
      </c>
      <c r="I152" s="123">
        <v>3892</v>
      </c>
      <c r="J152" s="123">
        <v>12.5</v>
      </c>
      <c r="K152" s="123">
        <v>72</v>
      </c>
      <c r="L152" s="123" t="s">
        <v>95</v>
      </c>
      <c r="M152" s="123" t="s">
        <v>160</v>
      </c>
      <c r="N152" s="132">
        <v>72</v>
      </c>
      <c r="O152" s="132">
        <v>0</v>
      </c>
      <c r="P152" s="132">
        <v>1.0832078960071365E+18</v>
      </c>
    </row>
    <row r="153" spans="4:16" ht="15" customHeight="1" x14ac:dyDescent="0.2">
      <c r="D153" s="130" t="b">
        <v>0</v>
      </c>
      <c r="E153" s="124">
        <v>13</v>
      </c>
      <c r="F153" s="125">
        <v>8</v>
      </c>
      <c r="G153" s="125">
        <v>307</v>
      </c>
      <c r="H153" s="123">
        <v>130</v>
      </c>
      <c r="I153" s="123">
        <v>4098</v>
      </c>
      <c r="J153" s="123">
        <v>14</v>
      </c>
      <c r="K153" s="123">
        <v>72</v>
      </c>
      <c r="L153" s="123" t="s">
        <v>95</v>
      </c>
      <c r="M153" s="123" t="s">
        <v>161</v>
      </c>
      <c r="N153" s="132">
        <v>73</v>
      </c>
      <c r="O153" s="132">
        <v>0</v>
      </c>
      <c r="P153" s="132">
        <v>1.7178315530219227E+19</v>
      </c>
    </row>
    <row r="154" spans="4:16" ht="15" customHeight="1" x14ac:dyDescent="0.2">
      <c r="D154" s="130" t="b">
        <v>0</v>
      </c>
      <c r="E154" s="124">
        <v>13</v>
      </c>
      <c r="F154" s="125">
        <v>8</v>
      </c>
      <c r="G154" s="125">
        <v>302</v>
      </c>
      <c r="H154" s="123">
        <v>140</v>
      </c>
      <c r="I154" s="123">
        <v>4294</v>
      </c>
      <c r="J154" s="123">
        <v>16</v>
      </c>
      <c r="K154" s="123">
        <v>72</v>
      </c>
      <c r="L154" s="123" t="s">
        <v>95</v>
      </c>
      <c r="M154" s="123" t="s">
        <v>162</v>
      </c>
      <c r="N154" s="132">
        <v>74</v>
      </c>
      <c r="O154" s="132">
        <v>0</v>
      </c>
      <c r="P154" s="132">
        <v>1.7796344375797481E+19</v>
      </c>
    </row>
    <row r="155" spans="4:16" ht="15" customHeight="1" x14ac:dyDescent="0.2">
      <c r="D155" s="130" t="b">
        <v>0</v>
      </c>
      <c r="E155" s="124">
        <v>14</v>
      </c>
      <c r="F155" s="125">
        <v>8</v>
      </c>
      <c r="G155" s="125">
        <v>318</v>
      </c>
      <c r="H155" s="123">
        <v>150</v>
      </c>
      <c r="I155" s="123">
        <v>4077</v>
      </c>
      <c r="J155" s="123">
        <v>14</v>
      </c>
      <c r="K155" s="123">
        <v>72</v>
      </c>
      <c r="L155" s="123" t="s">
        <v>95</v>
      </c>
      <c r="M155" s="123" t="s">
        <v>163</v>
      </c>
      <c r="N155" s="132">
        <v>75</v>
      </c>
      <c r="O155" s="132">
        <v>0</v>
      </c>
      <c r="P155" s="132">
        <v>6.9952682657981553E+18</v>
      </c>
    </row>
    <row r="156" spans="4:16" ht="15" customHeight="1" x14ac:dyDescent="0.2">
      <c r="D156" s="130" t="b">
        <v>0</v>
      </c>
      <c r="E156" s="124">
        <v>18</v>
      </c>
      <c r="F156" s="125">
        <v>4</v>
      </c>
      <c r="G156" s="125">
        <v>121</v>
      </c>
      <c r="H156" s="123">
        <v>112</v>
      </c>
      <c r="I156" s="123">
        <v>2933</v>
      </c>
      <c r="J156" s="123">
        <v>14.5</v>
      </c>
      <c r="K156" s="123">
        <v>72</v>
      </c>
      <c r="L156" s="123" t="s">
        <v>117</v>
      </c>
      <c r="M156" s="123" t="s">
        <v>164</v>
      </c>
      <c r="N156" s="132">
        <v>76</v>
      </c>
      <c r="O156" s="132">
        <v>0</v>
      </c>
      <c r="P156" s="132">
        <v>1.7063423358531662E+19</v>
      </c>
    </row>
    <row r="157" spans="4:16" ht="15" customHeight="1" x14ac:dyDescent="0.2">
      <c r="D157" s="130" t="b">
        <v>0</v>
      </c>
      <c r="E157" s="124">
        <v>22</v>
      </c>
      <c r="F157" s="125">
        <v>4</v>
      </c>
      <c r="G157" s="125">
        <v>121</v>
      </c>
      <c r="H157" s="123">
        <v>76</v>
      </c>
      <c r="I157" s="123">
        <v>2511</v>
      </c>
      <c r="J157" s="123">
        <v>18</v>
      </c>
      <c r="K157" s="123">
        <v>72</v>
      </c>
      <c r="L157" s="123" t="s">
        <v>117</v>
      </c>
      <c r="M157" s="123" t="s">
        <v>165</v>
      </c>
      <c r="N157" s="132">
        <v>77</v>
      </c>
      <c r="O157" s="132">
        <v>0</v>
      </c>
      <c r="P157" s="132">
        <v>1.1736062075009845E+19</v>
      </c>
    </row>
    <row r="158" spans="4:16" ht="15" customHeight="1" x14ac:dyDescent="0.2">
      <c r="D158" s="130" t="b">
        <v>0</v>
      </c>
      <c r="E158" s="124">
        <v>21</v>
      </c>
      <c r="F158" s="125">
        <v>4</v>
      </c>
      <c r="G158" s="125">
        <v>120</v>
      </c>
      <c r="H158" s="123">
        <v>87</v>
      </c>
      <c r="I158" s="123">
        <v>2979</v>
      </c>
      <c r="J158" s="123">
        <v>19.5</v>
      </c>
      <c r="K158" s="123">
        <v>72</v>
      </c>
      <c r="L158" s="123" t="s">
        <v>117</v>
      </c>
      <c r="M158" s="123" t="s">
        <v>166</v>
      </c>
      <c r="N158" s="132">
        <v>78</v>
      </c>
      <c r="O158" s="132">
        <v>0</v>
      </c>
      <c r="P158" s="132">
        <v>1.2947140512455535E+19</v>
      </c>
    </row>
    <row r="159" spans="4:16" ht="15" customHeight="1" x14ac:dyDescent="0.2">
      <c r="D159" s="130" t="b">
        <v>0</v>
      </c>
      <c r="E159" s="124">
        <v>26</v>
      </c>
      <c r="F159" s="125">
        <v>4</v>
      </c>
      <c r="G159" s="125">
        <v>96</v>
      </c>
      <c r="H159" s="123">
        <v>69</v>
      </c>
      <c r="I159" s="123">
        <v>2189</v>
      </c>
      <c r="J159" s="123">
        <v>18</v>
      </c>
      <c r="K159" s="123">
        <v>72</v>
      </c>
      <c r="L159" s="123" t="s">
        <v>117</v>
      </c>
      <c r="M159" s="123" t="s">
        <v>167</v>
      </c>
      <c r="N159" s="132">
        <v>79</v>
      </c>
      <c r="O159" s="132">
        <v>0</v>
      </c>
      <c r="P159" s="132">
        <v>1.6567545715121224E+19</v>
      </c>
    </row>
    <row r="160" spans="4:16" ht="15" customHeight="1" x14ac:dyDescent="0.2">
      <c r="D160" s="130" t="b">
        <v>0</v>
      </c>
      <c r="E160" s="124">
        <v>22</v>
      </c>
      <c r="F160" s="125">
        <v>4</v>
      </c>
      <c r="G160" s="125">
        <v>122</v>
      </c>
      <c r="H160" s="123">
        <v>86</v>
      </c>
      <c r="I160" s="123">
        <v>2395</v>
      </c>
      <c r="J160" s="123">
        <v>16</v>
      </c>
      <c r="K160" s="123">
        <v>72</v>
      </c>
      <c r="L160" s="123" t="s">
        <v>95</v>
      </c>
      <c r="M160" s="123" t="s">
        <v>168</v>
      </c>
      <c r="N160" s="132">
        <v>80</v>
      </c>
      <c r="O160" s="132">
        <v>0</v>
      </c>
      <c r="P160" s="132">
        <v>8.7863894254704312E+18</v>
      </c>
    </row>
    <row r="161" spans="4:16" ht="15" customHeight="1" x14ac:dyDescent="0.2">
      <c r="D161" s="130" t="b">
        <v>0</v>
      </c>
      <c r="E161" s="124">
        <v>28</v>
      </c>
      <c r="F161" s="125">
        <v>4</v>
      </c>
      <c r="G161" s="125">
        <v>97</v>
      </c>
      <c r="H161" s="123">
        <v>92</v>
      </c>
      <c r="I161" s="123">
        <v>2288</v>
      </c>
      <c r="J161" s="123">
        <v>17</v>
      </c>
      <c r="K161" s="123">
        <v>72</v>
      </c>
      <c r="L161" s="123" t="s">
        <v>111</v>
      </c>
      <c r="M161" s="123" t="s">
        <v>169</v>
      </c>
      <c r="N161" s="132">
        <v>81</v>
      </c>
      <c r="O161" s="132">
        <v>0</v>
      </c>
      <c r="P161" s="132">
        <v>1.1250029191535634E+19</v>
      </c>
    </row>
    <row r="162" spans="4:16" ht="15" customHeight="1" x14ac:dyDescent="0.2">
      <c r="D162" s="130" t="b">
        <v>0</v>
      </c>
      <c r="E162" s="124">
        <v>23</v>
      </c>
      <c r="F162" s="125">
        <v>4</v>
      </c>
      <c r="G162" s="125">
        <v>120</v>
      </c>
      <c r="H162" s="123">
        <v>97</v>
      </c>
      <c r="I162" s="123">
        <v>2506</v>
      </c>
      <c r="J162" s="123">
        <v>14.5</v>
      </c>
      <c r="K162" s="123">
        <v>72</v>
      </c>
      <c r="L162" s="123" t="s">
        <v>111</v>
      </c>
      <c r="M162" s="123" t="s">
        <v>170</v>
      </c>
      <c r="N162" s="132">
        <v>82</v>
      </c>
      <c r="O162" s="132">
        <v>0</v>
      </c>
      <c r="P162" s="132">
        <v>1.8312752148155861E+19</v>
      </c>
    </row>
    <row r="163" spans="4:16" ht="15" customHeight="1" x14ac:dyDescent="0.2">
      <c r="D163" s="130" t="b">
        <v>0</v>
      </c>
      <c r="E163" s="124">
        <v>28</v>
      </c>
      <c r="F163" s="125">
        <v>4</v>
      </c>
      <c r="G163" s="125">
        <v>98</v>
      </c>
      <c r="H163" s="123">
        <v>80</v>
      </c>
      <c r="I163" s="123">
        <v>2164</v>
      </c>
      <c r="J163" s="123">
        <v>15</v>
      </c>
      <c r="K163" s="123">
        <v>72</v>
      </c>
      <c r="L163" s="123" t="s">
        <v>95</v>
      </c>
      <c r="M163" s="123" t="s">
        <v>171</v>
      </c>
      <c r="N163" s="132">
        <v>83</v>
      </c>
      <c r="O163" s="132">
        <v>0</v>
      </c>
      <c r="P163" s="132">
        <v>2.6181564075280916E+18</v>
      </c>
    </row>
    <row r="164" spans="4:16" ht="15" customHeight="1" x14ac:dyDescent="0.2">
      <c r="D164" s="130" t="b">
        <v>0</v>
      </c>
      <c r="E164" s="124">
        <v>27</v>
      </c>
      <c r="F164" s="125">
        <v>4</v>
      </c>
      <c r="G164" s="125">
        <v>97</v>
      </c>
      <c r="H164" s="123">
        <v>88</v>
      </c>
      <c r="I164" s="123">
        <v>2100</v>
      </c>
      <c r="J164" s="123">
        <v>16.5</v>
      </c>
      <c r="K164" s="123">
        <v>72</v>
      </c>
      <c r="L164" s="123" t="s">
        <v>111</v>
      </c>
      <c r="M164" s="123" t="s">
        <v>172</v>
      </c>
      <c r="N164" s="132">
        <v>84</v>
      </c>
      <c r="O164" s="132">
        <v>0</v>
      </c>
      <c r="P164" s="132">
        <v>5.698403798907945E+18</v>
      </c>
    </row>
    <row r="165" spans="4:16" ht="15" customHeight="1" x14ac:dyDescent="0.2">
      <c r="D165" s="130" t="b">
        <v>0</v>
      </c>
      <c r="E165" s="124">
        <v>13</v>
      </c>
      <c r="F165" s="125">
        <v>8</v>
      </c>
      <c r="G165" s="125">
        <v>350</v>
      </c>
      <c r="H165" s="123">
        <v>175</v>
      </c>
      <c r="I165" s="123">
        <v>4100</v>
      </c>
      <c r="J165" s="123">
        <v>13</v>
      </c>
      <c r="K165" s="123">
        <v>73</v>
      </c>
      <c r="L165" s="123" t="s">
        <v>95</v>
      </c>
      <c r="M165" s="123" t="s">
        <v>173</v>
      </c>
      <c r="N165" s="132">
        <v>85</v>
      </c>
      <c r="O165" s="132">
        <v>0</v>
      </c>
      <c r="P165" s="132">
        <v>8.5530183935683768E+18</v>
      </c>
    </row>
    <row r="166" spans="4:16" ht="15" customHeight="1" x14ac:dyDescent="0.2">
      <c r="D166" s="130" t="b">
        <v>0</v>
      </c>
      <c r="E166" s="124">
        <v>14</v>
      </c>
      <c r="F166" s="125">
        <v>8</v>
      </c>
      <c r="G166" s="125">
        <v>304</v>
      </c>
      <c r="H166" s="123">
        <v>150</v>
      </c>
      <c r="I166" s="123">
        <v>3672</v>
      </c>
      <c r="J166" s="123">
        <v>11.5</v>
      </c>
      <c r="K166" s="123">
        <v>73</v>
      </c>
      <c r="L166" s="123" t="s">
        <v>95</v>
      </c>
      <c r="M166" s="123" t="s">
        <v>132</v>
      </c>
      <c r="N166" s="132">
        <v>86</v>
      </c>
      <c r="O166" s="132">
        <v>0</v>
      </c>
      <c r="P166" s="132">
        <v>4.0002039616889994E+18</v>
      </c>
    </row>
    <row r="167" spans="4:16" ht="15" customHeight="1" x14ac:dyDescent="0.2">
      <c r="D167" s="130" t="b">
        <v>0</v>
      </c>
      <c r="E167" s="124">
        <v>13</v>
      </c>
      <c r="F167" s="125">
        <v>8</v>
      </c>
      <c r="G167" s="125">
        <v>350</v>
      </c>
      <c r="H167" s="123">
        <v>145</v>
      </c>
      <c r="I167" s="123">
        <v>3988</v>
      </c>
      <c r="J167" s="123">
        <v>13</v>
      </c>
      <c r="K167" s="123">
        <v>73</v>
      </c>
      <c r="L167" s="123" t="s">
        <v>95</v>
      </c>
      <c r="M167" s="123" t="s">
        <v>174</v>
      </c>
      <c r="N167" s="132">
        <v>87</v>
      </c>
      <c r="O167" s="132">
        <v>0</v>
      </c>
      <c r="P167" s="132">
        <v>4.2738749867801667E+18</v>
      </c>
    </row>
    <row r="168" spans="4:16" ht="15" customHeight="1" x14ac:dyDescent="0.2">
      <c r="D168" s="130" t="b">
        <v>0</v>
      </c>
      <c r="E168" s="124">
        <v>14</v>
      </c>
      <c r="F168" s="125">
        <v>8</v>
      </c>
      <c r="G168" s="125">
        <v>302</v>
      </c>
      <c r="H168" s="123">
        <v>137</v>
      </c>
      <c r="I168" s="123">
        <v>4042</v>
      </c>
      <c r="J168" s="123">
        <v>14.5</v>
      </c>
      <c r="K168" s="123">
        <v>73</v>
      </c>
      <c r="L168" s="123" t="s">
        <v>95</v>
      </c>
      <c r="M168" s="123" t="s">
        <v>175</v>
      </c>
      <c r="N168" s="132">
        <v>88</v>
      </c>
      <c r="O168" s="132">
        <v>0</v>
      </c>
      <c r="P168" s="132">
        <v>1.7933672142060315E+19</v>
      </c>
    </row>
    <row r="169" spans="4:16" ht="15" customHeight="1" x14ac:dyDescent="0.2">
      <c r="D169" s="130" t="b">
        <v>0</v>
      </c>
      <c r="E169" s="124">
        <v>15</v>
      </c>
      <c r="F169" s="125">
        <v>8</v>
      </c>
      <c r="G169" s="125">
        <v>318</v>
      </c>
      <c r="H169" s="123">
        <v>150</v>
      </c>
      <c r="I169" s="123">
        <v>3777</v>
      </c>
      <c r="J169" s="123">
        <v>12.5</v>
      </c>
      <c r="K169" s="123">
        <v>73</v>
      </c>
      <c r="L169" s="123" t="s">
        <v>95</v>
      </c>
      <c r="M169" s="123" t="s">
        <v>176</v>
      </c>
      <c r="N169" s="132">
        <v>89</v>
      </c>
      <c r="O169" s="132">
        <v>0</v>
      </c>
      <c r="P169" s="132">
        <v>8.5457720304344248E+18</v>
      </c>
    </row>
    <row r="170" spans="4:16" ht="15" customHeight="1" x14ac:dyDescent="0.2">
      <c r="D170" s="130" t="b">
        <v>0</v>
      </c>
      <c r="E170" s="124">
        <v>12</v>
      </c>
      <c r="F170" s="125">
        <v>8</v>
      </c>
      <c r="G170" s="125">
        <v>429</v>
      </c>
      <c r="H170" s="123">
        <v>198</v>
      </c>
      <c r="I170" s="123">
        <v>4952</v>
      </c>
      <c r="J170" s="123">
        <v>11.5</v>
      </c>
      <c r="K170" s="123">
        <v>73</v>
      </c>
      <c r="L170" s="123" t="s">
        <v>95</v>
      </c>
      <c r="M170" s="123" t="s">
        <v>177</v>
      </c>
      <c r="N170" s="132">
        <v>90</v>
      </c>
      <c r="O170" s="132">
        <v>0</v>
      </c>
      <c r="P170" s="132">
        <v>8.4201581390565581E+18</v>
      </c>
    </row>
    <row r="171" spans="4:16" ht="15" customHeight="1" x14ac:dyDescent="0.2">
      <c r="D171" s="130" t="b">
        <v>0</v>
      </c>
      <c r="E171" s="124">
        <v>13</v>
      </c>
      <c r="F171" s="125">
        <v>8</v>
      </c>
      <c r="G171" s="125">
        <v>400</v>
      </c>
      <c r="H171" s="123">
        <v>150</v>
      </c>
      <c r="I171" s="123">
        <v>4464</v>
      </c>
      <c r="J171" s="123">
        <v>12</v>
      </c>
      <c r="K171" s="123">
        <v>73</v>
      </c>
      <c r="L171" s="123" t="s">
        <v>95</v>
      </c>
      <c r="M171" s="123" t="s">
        <v>178</v>
      </c>
      <c r="N171" s="132">
        <v>91</v>
      </c>
      <c r="O171" s="132">
        <v>0</v>
      </c>
      <c r="P171" s="132">
        <v>1.6850153081953114E+19</v>
      </c>
    </row>
    <row r="172" spans="4:16" ht="15" customHeight="1" x14ac:dyDescent="0.2">
      <c r="D172" s="130" t="b">
        <v>0</v>
      </c>
      <c r="E172" s="124">
        <v>13</v>
      </c>
      <c r="F172" s="125">
        <v>8</v>
      </c>
      <c r="G172" s="125">
        <v>351</v>
      </c>
      <c r="H172" s="123">
        <v>158</v>
      </c>
      <c r="I172" s="123">
        <v>4363</v>
      </c>
      <c r="J172" s="123">
        <v>13</v>
      </c>
      <c r="K172" s="123">
        <v>73</v>
      </c>
      <c r="L172" s="123" t="s">
        <v>95</v>
      </c>
      <c r="M172" s="123" t="s">
        <v>179</v>
      </c>
      <c r="N172" s="132">
        <v>92</v>
      </c>
      <c r="O172" s="132">
        <v>0</v>
      </c>
      <c r="P172" s="132">
        <v>1.3001555188383453E+19</v>
      </c>
    </row>
    <row r="173" spans="4:16" ht="15" customHeight="1" x14ac:dyDescent="0.2">
      <c r="D173" s="130" t="b">
        <v>0</v>
      </c>
      <c r="E173" s="124">
        <v>14</v>
      </c>
      <c r="F173" s="125">
        <v>8</v>
      </c>
      <c r="G173" s="125">
        <v>318</v>
      </c>
      <c r="H173" s="123">
        <v>150</v>
      </c>
      <c r="I173" s="123">
        <v>4237</v>
      </c>
      <c r="J173" s="123">
        <v>14.5</v>
      </c>
      <c r="K173" s="123">
        <v>73</v>
      </c>
      <c r="L173" s="123" t="s">
        <v>95</v>
      </c>
      <c r="M173" s="123" t="s">
        <v>180</v>
      </c>
      <c r="N173" s="132">
        <v>93</v>
      </c>
      <c r="O173" s="132">
        <v>0</v>
      </c>
      <c r="P173" s="132">
        <v>7.8176232094340803E+18</v>
      </c>
    </row>
    <row r="174" spans="4:16" ht="15" customHeight="1" x14ac:dyDescent="0.2">
      <c r="D174" s="130" t="b">
        <v>0</v>
      </c>
      <c r="E174" s="124">
        <v>13</v>
      </c>
      <c r="F174" s="125">
        <v>8</v>
      </c>
      <c r="G174" s="125">
        <v>440</v>
      </c>
      <c r="H174" s="123">
        <v>215</v>
      </c>
      <c r="I174" s="123">
        <v>4735</v>
      </c>
      <c r="J174" s="123">
        <v>11</v>
      </c>
      <c r="K174" s="123">
        <v>73</v>
      </c>
      <c r="L174" s="123" t="s">
        <v>95</v>
      </c>
      <c r="M174" s="123" t="s">
        <v>181</v>
      </c>
      <c r="N174" s="132">
        <v>94</v>
      </c>
      <c r="O174" s="132">
        <v>0</v>
      </c>
      <c r="P174" s="132">
        <v>1.6990619269039882E+19</v>
      </c>
    </row>
    <row r="175" spans="4:16" ht="15" customHeight="1" x14ac:dyDescent="0.2">
      <c r="D175" s="130" t="b">
        <v>0</v>
      </c>
      <c r="E175" s="124">
        <v>12</v>
      </c>
      <c r="F175" s="125">
        <v>8</v>
      </c>
      <c r="G175" s="125">
        <v>455</v>
      </c>
      <c r="H175" s="123">
        <v>225</v>
      </c>
      <c r="I175" s="123">
        <v>4951</v>
      </c>
      <c r="J175" s="123">
        <v>11</v>
      </c>
      <c r="K175" s="123">
        <v>73</v>
      </c>
      <c r="L175" s="123" t="s">
        <v>95</v>
      </c>
      <c r="M175" s="123" t="s">
        <v>182</v>
      </c>
      <c r="N175" s="132">
        <v>95</v>
      </c>
      <c r="O175" s="132">
        <v>0</v>
      </c>
      <c r="P175" s="132">
        <v>9.6080452904806072E+18</v>
      </c>
    </row>
    <row r="176" spans="4:16" ht="15" customHeight="1" x14ac:dyDescent="0.2">
      <c r="D176" s="130" t="b">
        <v>0</v>
      </c>
      <c r="E176" s="124">
        <v>13</v>
      </c>
      <c r="F176" s="125">
        <v>8</v>
      </c>
      <c r="G176" s="125">
        <v>360</v>
      </c>
      <c r="H176" s="123">
        <v>175</v>
      </c>
      <c r="I176" s="123">
        <v>3821</v>
      </c>
      <c r="J176" s="123">
        <v>11</v>
      </c>
      <c r="K176" s="123">
        <v>73</v>
      </c>
      <c r="L176" s="123" t="s">
        <v>95</v>
      </c>
      <c r="M176" s="123" t="s">
        <v>183</v>
      </c>
      <c r="N176" s="132">
        <v>96</v>
      </c>
      <c r="O176" s="132">
        <v>0</v>
      </c>
      <c r="P176" s="132">
        <v>1.5218955023155067E+19</v>
      </c>
    </row>
    <row r="177" spans="4:16" ht="15" customHeight="1" x14ac:dyDescent="0.2">
      <c r="D177" s="130" t="b">
        <v>0</v>
      </c>
      <c r="E177" s="124">
        <v>18</v>
      </c>
      <c r="F177" s="125">
        <v>6</v>
      </c>
      <c r="G177" s="125">
        <v>225</v>
      </c>
      <c r="H177" s="123">
        <v>105</v>
      </c>
      <c r="I177" s="123">
        <v>3121</v>
      </c>
      <c r="J177" s="123">
        <v>16.5</v>
      </c>
      <c r="K177" s="123">
        <v>73</v>
      </c>
      <c r="L177" s="123" t="s">
        <v>95</v>
      </c>
      <c r="M177" s="123" t="s">
        <v>184</v>
      </c>
      <c r="N177" s="132">
        <v>97</v>
      </c>
      <c r="O177" s="132">
        <v>0</v>
      </c>
      <c r="P177" s="132">
        <v>8.4032665296185723E+18</v>
      </c>
    </row>
    <row r="178" spans="4:16" ht="15" customHeight="1" x14ac:dyDescent="0.2">
      <c r="D178" s="130" t="b">
        <v>0</v>
      </c>
      <c r="E178" s="124">
        <v>16</v>
      </c>
      <c r="F178" s="125">
        <v>6</v>
      </c>
      <c r="G178" s="125">
        <v>250</v>
      </c>
      <c r="H178" s="123">
        <v>100</v>
      </c>
      <c r="I178" s="123">
        <v>3278</v>
      </c>
      <c r="J178" s="123">
        <v>18</v>
      </c>
      <c r="K178" s="123">
        <v>73</v>
      </c>
      <c r="L178" s="123" t="s">
        <v>95</v>
      </c>
      <c r="M178" s="123" t="s">
        <v>185</v>
      </c>
      <c r="N178" s="132">
        <v>98</v>
      </c>
      <c r="O178" s="132">
        <v>0</v>
      </c>
      <c r="P178" s="132">
        <v>1.2673941729785692E+18</v>
      </c>
    </row>
    <row r="179" spans="4:16" ht="15" customHeight="1" x14ac:dyDescent="0.2">
      <c r="D179" s="130" t="b">
        <v>0</v>
      </c>
      <c r="E179" s="124">
        <v>18</v>
      </c>
      <c r="F179" s="125">
        <v>6</v>
      </c>
      <c r="G179" s="125">
        <v>232</v>
      </c>
      <c r="H179" s="123">
        <v>100</v>
      </c>
      <c r="I179" s="123">
        <v>2945</v>
      </c>
      <c r="J179" s="123">
        <v>16</v>
      </c>
      <c r="K179" s="123">
        <v>73</v>
      </c>
      <c r="L179" s="123" t="s">
        <v>95</v>
      </c>
      <c r="M179" s="123" t="s">
        <v>114</v>
      </c>
      <c r="N179" s="132">
        <v>99</v>
      </c>
      <c r="O179" s="132">
        <v>0</v>
      </c>
      <c r="P179" s="132">
        <v>1.4776780073254291E+19</v>
      </c>
    </row>
    <row r="180" spans="4:16" ht="15" customHeight="1" x14ac:dyDescent="0.2">
      <c r="D180" s="130" t="b">
        <v>0</v>
      </c>
      <c r="E180" s="124">
        <v>18</v>
      </c>
      <c r="F180" s="125">
        <v>6</v>
      </c>
      <c r="G180" s="125">
        <v>250</v>
      </c>
      <c r="H180" s="123">
        <v>88</v>
      </c>
      <c r="I180" s="123">
        <v>3021</v>
      </c>
      <c r="J180" s="123">
        <v>16.5</v>
      </c>
      <c r="K180" s="123">
        <v>73</v>
      </c>
      <c r="L180" s="123" t="s">
        <v>95</v>
      </c>
      <c r="M180" s="123" t="s">
        <v>115</v>
      </c>
      <c r="N180" s="132">
        <v>100</v>
      </c>
      <c r="O180" s="132">
        <v>0</v>
      </c>
      <c r="P180" s="132">
        <v>2.5022008460792064E+18</v>
      </c>
    </row>
    <row r="181" spans="4:16" ht="15" customHeight="1" x14ac:dyDescent="0.2">
      <c r="D181" s="130" t="b">
        <v>0</v>
      </c>
      <c r="E181" s="124">
        <v>23</v>
      </c>
      <c r="F181" s="125">
        <v>6</v>
      </c>
      <c r="G181" s="125">
        <v>198</v>
      </c>
      <c r="H181" s="123">
        <v>95</v>
      </c>
      <c r="I181" s="123">
        <v>2904</v>
      </c>
      <c r="J181" s="123">
        <v>16</v>
      </c>
      <c r="K181" s="123">
        <v>73</v>
      </c>
      <c r="L181" s="123" t="s">
        <v>95</v>
      </c>
      <c r="M181" s="123" t="s">
        <v>113</v>
      </c>
      <c r="N181" s="132">
        <v>101</v>
      </c>
      <c r="O181" s="132">
        <v>0</v>
      </c>
      <c r="P181" s="132">
        <v>1.0944810197491999E+19</v>
      </c>
    </row>
    <row r="182" spans="4:16" ht="15" customHeight="1" x14ac:dyDescent="0.2">
      <c r="D182" s="130" t="b">
        <v>0</v>
      </c>
      <c r="E182" s="124">
        <v>26</v>
      </c>
      <c r="F182" s="125">
        <v>4</v>
      </c>
      <c r="G182" s="125">
        <v>97</v>
      </c>
      <c r="H182" s="123">
        <v>46</v>
      </c>
      <c r="I182" s="123">
        <v>1950</v>
      </c>
      <c r="J182" s="123">
        <v>21</v>
      </c>
      <c r="K182" s="123">
        <v>73</v>
      </c>
      <c r="L182" s="123" t="s">
        <v>117</v>
      </c>
      <c r="M182" s="123" t="s">
        <v>186</v>
      </c>
      <c r="N182" s="132">
        <v>102</v>
      </c>
      <c r="O182" s="132">
        <v>0</v>
      </c>
      <c r="P182" s="132">
        <v>1.3361757729779751E+19</v>
      </c>
    </row>
    <row r="183" spans="4:16" ht="15" customHeight="1" x14ac:dyDescent="0.2">
      <c r="D183" s="130" t="b">
        <v>0</v>
      </c>
      <c r="E183" s="124">
        <v>11</v>
      </c>
      <c r="F183" s="125">
        <v>8</v>
      </c>
      <c r="G183" s="125">
        <v>400</v>
      </c>
      <c r="H183" s="123">
        <v>150</v>
      </c>
      <c r="I183" s="123">
        <v>4997</v>
      </c>
      <c r="J183" s="123">
        <v>14</v>
      </c>
      <c r="K183" s="123">
        <v>73</v>
      </c>
      <c r="L183" s="123" t="s">
        <v>95</v>
      </c>
      <c r="M183" s="123" t="s">
        <v>103</v>
      </c>
      <c r="N183" s="132">
        <v>103</v>
      </c>
      <c r="O183" s="132">
        <v>0</v>
      </c>
      <c r="P183" s="132">
        <v>2.3191729357748408E+18</v>
      </c>
    </row>
    <row r="184" spans="4:16" ht="15" customHeight="1" x14ac:dyDescent="0.2">
      <c r="D184" s="130" t="b">
        <v>0</v>
      </c>
      <c r="E184" s="124">
        <v>12</v>
      </c>
      <c r="F184" s="125">
        <v>8</v>
      </c>
      <c r="G184" s="125">
        <v>400</v>
      </c>
      <c r="H184" s="123">
        <v>167</v>
      </c>
      <c r="I184" s="123">
        <v>4906</v>
      </c>
      <c r="J184" s="123">
        <v>12.5</v>
      </c>
      <c r="K184" s="123">
        <v>73</v>
      </c>
      <c r="L184" s="123" t="s">
        <v>95</v>
      </c>
      <c r="M184" s="123" t="s">
        <v>187</v>
      </c>
      <c r="N184" s="132">
        <v>104</v>
      </c>
      <c r="O184" s="132">
        <v>0</v>
      </c>
      <c r="P184" s="132">
        <v>3.7446838823958214E+17</v>
      </c>
    </row>
    <row r="185" spans="4:16" ht="15" customHeight="1" x14ac:dyDescent="0.2">
      <c r="D185" s="130" t="b">
        <v>0</v>
      </c>
      <c r="E185" s="124">
        <v>13</v>
      </c>
      <c r="F185" s="125">
        <v>8</v>
      </c>
      <c r="G185" s="125">
        <v>360</v>
      </c>
      <c r="H185" s="123">
        <v>170</v>
      </c>
      <c r="I185" s="123">
        <v>4654</v>
      </c>
      <c r="J185" s="123">
        <v>13</v>
      </c>
      <c r="K185" s="123">
        <v>73</v>
      </c>
      <c r="L185" s="123" t="s">
        <v>95</v>
      </c>
      <c r="M185" s="123" t="s">
        <v>188</v>
      </c>
      <c r="N185" s="132">
        <v>105</v>
      </c>
      <c r="O185" s="132">
        <v>0</v>
      </c>
      <c r="P185" s="132">
        <v>1.3144128983425122E+19</v>
      </c>
    </row>
    <row r="186" spans="4:16" ht="15" customHeight="1" x14ac:dyDescent="0.2">
      <c r="D186" s="130" t="b">
        <v>0</v>
      </c>
      <c r="E186" s="124">
        <v>12</v>
      </c>
      <c r="F186" s="125">
        <v>8</v>
      </c>
      <c r="G186" s="125">
        <v>350</v>
      </c>
      <c r="H186" s="123">
        <v>180</v>
      </c>
      <c r="I186" s="123">
        <v>4499</v>
      </c>
      <c r="J186" s="123">
        <v>12.5</v>
      </c>
      <c r="K186" s="123">
        <v>73</v>
      </c>
      <c r="L186" s="123" t="s">
        <v>95</v>
      </c>
      <c r="M186" s="123" t="s">
        <v>189</v>
      </c>
      <c r="N186" s="132">
        <v>106</v>
      </c>
      <c r="O186" s="132">
        <v>0</v>
      </c>
      <c r="P186" s="132">
        <v>9.4344481744962826E+18</v>
      </c>
    </row>
    <row r="187" spans="4:16" ht="15" customHeight="1" x14ac:dyDescent="0.2">
      <c r="D187" s="130" t="b">
        <v>0</v>
      </c>
      <c r="E187" s="124">
        <v>18</v>
      </c>
      <c r="F187" s="125">
        <v>6</v>
      </c>
      <c r="G187" s="125">
        <v>232</v>
      </c>
      <c r="H187" s="123">
        <v>100</v>
      </c>
      <c r="I187" s="123">
        <v>2789</v>
      </c>
      <c r="J187" s="123">
        <v>15</v>
      </c>
      <c r="K187" s="123">
        <v>73</v>
      </c>
      <c r="L187" s="123" t="s">
        <v>95</v>
      </c>
      <c r="M187" s="123" t="s">
        <v>123</v>
      </c>
      <c r="N187" s="132">
        <v>107</v>
      </c>
      <c r="O187" s="132">
        <v>0</v>
      </c>
      <c r="P187" s="132">
        <v>2.541021390338604E+18</v>
      </c>
    </row>
    <row r="188" spans="4:16" ht="15" customHeight="1" x14ac:dyDescent="0.2">
      <c r="D188" s="130" t="b">
        <v>0</v>
      </c>
      <c r="E188" s="124">
        <v>20</v>
      </c>
      <c r="F188" s="125">
        <v>4</v>
      </c>
      <c r="G188" s="125">
        <v>97</v>
      </c>
      <c r="H188" s="123">
        <v>88</v>
      </c>
      <c r="I188" s="123">
        <v>2279</v>
      </c>
      <c r="J188" s="123">
        <v>19</v>
      </c>
      <c r="K188" s="123">
        <v>73</v>
      </c>
      <c r="L188" s="123" t="s">
        <v>111</v>
      </c>
      <c r="M188" s="123" t="s">
        <v>190</v>
      </c>
      <c r="N188" s="132">
        <v>108</v>
      </c>
      <c r="O188" s="132">
        <v>0</v>
      </c>
      <c r="P188" s="132">
        <v>4.513438545584254E+18</v>
      </c>
    </row>
    <row r="189" spans="4:16" ht="15" customHeight="1" x14ac:dyDescent="0.2">
      <c r="D189" s="130" t="b">
        <v>0</v>
      </c>
      <c r="E189" s="124">
        <v>21</v>
      </c>
      <c r="F189" s="125">
        <v>4</v>
      </c>
      <c r="G189" s="125">
        <v>140</v>
      </c>
      <c r="H189" s="123">
        <v>72</v>
      </c>
      <c r="I189" s="123">
        <v>2401</v>
      </c>
      <c r="J189" s="123">
        <v>19.5</v>
      </c>
      <c r="K189" s="123">
        <v>73</v>
      </c>
      <c r="L189" s="123" t="s">
        <v>95</v>
      </c>
      <c r="M189" s="123" t="s">
        <v>152</v>
      </c>
      <c r="N189" s="132">
        <v>109</v>
      </c>
      <c r="O189" s="132">
        <v>0</v>
      </c>
      <c r="P189" s="132">
        <v>7.4184157857067295E+18</v>
      </c>
    </row>
    <row r="190" spans="4:16" ht="15" customHeight="1" x14ac:dyDescent="0.2">
      <c r="D190" s="130" t="b">
        <v>0</v>
      </c>
      <c r="E190" s="124">
        <v>22</v>
      </c>
      <c r="F190" s="125">
        <v>4</v>
      </c>
      <c r="G190" s="125">
        <v>108</v>
      </c>
      <c r="H190" s="123">
        <v>94</v>
      </c>
      <c r="I190" s="123">
        <v>2379</v>
      </c>
      <c r="J190" s="123">
        <v>16.5</v>
      </c>
      <c r="K190" s="123">
        <v>73</v>
      </c>
      <c r="L190" s="123" t="s">
        <v>111</v>
      </c>
      <c r="M190" s="123" t="s">
        <v>191</v>
      </c>
      <c r="N190" s="132">
        <v>110</v>
      </c>
      <c r="O190" s="132">
        <v>0</v>
      </c>
      <c r="P190" s="132">
        <v>1.836400301339827E+19</v>
      </c>
    </row>
    <row r="191" spans="4:16" ht="15" customHeight="1" x14ac:dyDescent="0.2">
      <c r="D191" s="130" t="b">
        <v>0</v>
      </c>
      <c r="E191" s="124">
        <v>18</v>
      </c>
      <c r="F191" s="125">
        <v>3</v>
      </c>
      <c r="G191" s="125">
        <v>70</v>
      </c>
      <c r="H191" s="123">
        <v>90</v>
      </c>
      <c r="I191" s="123">
        <v>2124</v>
      </c>
      <c r="J191" s="123">
        <v>13.5</v>
      </c>
      <c r="K191" s="123">
        <v>73</v>
      </c>
      <c r="L191" s="123" t="s">
        <v>111</v>
      </c>
      <c r="M191" s="123" t="s">
        <v>192</v>
      </c>
      <c r="N191" s="132">
        <v>111</v>
      </c>
      <c r="O191" s="132">
        <v>0</v>
      </c>
      <c r="P191" s="132">
        <v>1.4388921434683308E+19</v>
      </c>
    </row>
    <row r="192" spans="4:16" ht="15" customHeight="1" x14ac:dyDescent="0.2">
      <c r="D192" s="130" t="b">
        <v>0</v>
      </c>
      <c r="E192" s="124">
        <v>19</v>
      </c>
      <c r="F192" s="125">
        <v>4</v>
      </c>
      <c r="G192" s="125">
        <v>122</v>
      </c>
      <c r="H192" s="123">
        <v>85</v>
      </c>
      <c r="I192" s="123">
        <v>2310</v>
      </c>
      <c r="J192" s="123">
        <v>18.5</v>
      </c>
      <c r="K192" s="123">
        <v>73</v>
      </c>
      <c r="L192" s="123" t="s">
        <v>95</v>
      </c>
      <c r="M192" s="123" t="s">
        <v>96</v>
      </c>
      <c r="N192" s="132">
        <v>112</v>
      </c>
      <c r="O192" s="132">
        <v>0</v>
      </c>
      <c r="P192" s="132">
        <v>8.2888618474901821E+18</v>
      </c>
    </row>
    <row r="193" spans="4:16" ht="15" customHeight="1" x14ac:dyDescent="0.2">
      <c r="D193" s="130" t="b">
        <v>0</v>
      </c>
      <c r="E193" s="124">
        <v>21</v>
      </c>
      <c r="F193" s="125">
        <v>6</v>
      </c>
      <c r="G193" s="125">
        <v>155</v>
      </c>
      <c r="H193" s="123">
        <v>107</v>
      </c>
      <c r="I193" s="123">
        <v>2472</v>
      </c>
      <c r="J193" s="123">
        <v>14</v>
      </c>
      <c r="K193" s="123">
        <v>73</v>
      </c>
      <c r="L193" s="123" t="s">
        <v>95</v>
      </c>
      <c r="M193" s="123" t="s">
        <v>193</v>
      </c>
      <c r="N193" s="132">
        <v>113</v>
      </c>
      <c r="O193" s="132">
        <v>0</v>
      </c>
      <c r="P193" s="132">
        <v>2.2001317307044829E+17</v>
      </c>
    </row>
    <row r="194" spans="4:16" ht="15" customHeight="1" x14ac:dyDescent="0.2">
      <c r="D194" s="130" t="b">
        <v>0</v>
      </c>
      <c r="E194" s="124">
        <v>26</v>
      </c>
      <c r="F194" s="125">
        <v>4</v>
      </c>
      <c r="G194" s="125">
        <v>98</v>
      </c>
      <c r="H194" s="123">
        <v>90</v>
      </c>
      <c r="I194" s="123">
        <v>2265</v>
      </c>
      <c r="J194" s="123">
        <v>15.5</v>
      </c>
      <c r="K194" s="123">
        <v>73</v>
      </c>
      <c r="L194" s="123" t="s">
        <v>117</v>
      </c>
      <c r="M194" s="123" t="s">
        <v>194</v>
      </c>
      <c r="N194" s="132">
        <v>114</v>
      </c>
      <c r="O194" s="132">
        <v>0</v>
      </c>
      <c r="P194" s="132">
        <v>4.2240667055184312E+18</v>
      </c>
    </row>
    <row r="195" spans="4:16" ht="15" customHeight="1" x14ac:dyDescent="0.2">
      <c r="D195" s="130" t="b">
        <v>0</v>
      </c>
      <c r="E195" s="124">
        <v>15</v>
      </c>
      <c r="F195" s="125">
        <v>8</v>
      </c>
      <c r="G195" s="125">
        <v>350</v>
      </c>
      <c r="H195" s="123">
        <v>145</v>
      </c>
      <c r="I195" s="123">
        <v>4082</v>
      </c>
      <c r="J195" s="123">
        <v>13</v>
      </c>
      <c r="K195" s="123">
        <v>73</v>
      </c>
      <c r="L195" s="123" t="s">
        <v>95</v>
      </c>
      <c r="M195" s="123" t="s">
        <v>195</v>
      </c>
      <c r="N195" s="132">
        <v>115</v>
      </c>
      <c r="O195" s="132">
        <v>0</v>
      </c>
      <c r="P195" s="132">
        <v>2.1104976645054838E+18</v>
      </c>
    </row>
    <row r="196" spans="4:16" ht="15" customHeight="1" x14ac:dyDescent="0.2">
      <c r="D196" s="130" t="b">
        <v>0</v>
      </c>
      <c r="E196" s="124">
        <v>16</v>
      </c>
      <c r="F196" s="125">
        <v>8</v>
      </c>
      <c r="G196" s="125">
        <v>400</v>
      </c>
      <c r="H196" s="123">
        <v>230</v>
      </c>
      <c r="I196" s="123">
        <v>4278</v>
      </c>
      <c r="J196" s="123">
        <v>9.5</v>
      </c>
      <c r="K196" s="123">
        <v>73</v>
      </c>
      <c r="L196" s="123" t="s">
        <v>95</v>
      </c>
      <c r="M196" s="123" t="s">
        <v>196</v>
      </c>
      <c r="N196" s="132">
        <v>116</v>
      </c>
      <c r="O196" s="132">
        <v>0</v>
      </c>
      <c r="P196" s="132">
        <v>9.5150116898922557E+18</v>
      </c>
    </row>
    <row r="197" spans="4:16" ht="15" customHeight="1" x14ac:dyDescent="0.2">
      <c r="D197" s="130" t="b">
        <v>0</v>
      </c>
      <c r="E197" s="124">
        <v>29</v>
      </c>
      <c r="F197" s="125">
        <v>4</v>
      </c>
      <c r="G197" s="125">
        <v>68</v>
      </c>
      <c r="H197" s="123">
        <v>49</v>
      </c>
      <c r="I197" s="123">
        <v>1867</v>
      </c>
      <c r="J197" s="123">
        <v>19.5</v>
      </c>
      <c r="K197" s="123">
        <v>73</v>
      </c>
      <c r="L197" s="123" t="s">
        <v>117</v>
      </c>
      <c r="M197" s="123" t="s">
        <v>197</v>
      </c>
      <c r="N197" s="132">
        <v>117</v>
      </c>
      <c r="O197" s="132">
        <v>0</v>
      </c>
      <c r="P197" s="132">
        <v>1.5907116142053331E+19</v>
      </c>
    </row>
    <row r="198" spans="4:16" ht="15" customHeight="1" x14ac:dyDescent="0.2">
      <c r="D198" s="130" t="b">
        <v>0</v>
      </c>
      <c r="E198" s="124">
        <v>24</v>
      </c>
      <c r="F198" s="125">
        <v>4</v>
      </c>
      <c r="G198" s="125">
        <v>116</v>
      </c>
      <c r="H198" s="123">
        <v>75</v>
      </c>
      <c r="I198" s="123">
        <v>2158</v>
      </c>
      <c r="J198" s="123">
        <v>15.5</v>
      </c>
      <c r="K198" s="123">
        <v>73</v>
      </c>
      <c r="L198" s="123" t="s">
        <v>117</v>
      </c>
      <c r="M198" s="123" t="s">
        <v>198</v>
      </c>
      <c r="N198" s="132">
        <v>118</v>
      </c>
      <c r="O198" s="132">
        <v>0</v>
      </c>
      <c r="P198" s="132">
        <v>1.2991109321645242E+19</v>
      </c>
    </row>
    <row r="199" spans="4:16" ht="15" customHeight="1" x14ac:dyDescent="0.2">
      <c r="D199" s="130" t="b">
        <v>0</v>
      </c>
      <c r="E199" s="124">
        <v>20</v>
      </c>
      <c r="F199" s="125">
        <v>4</v>
      </c>
      <c r="G199" s="125">
        <v>114</v>
      </c>
      <c r="H199" s="123">
        <v>91</v>
      </c>
      <c r="I199" s="123">
        <v>2582</v>
      </c>
      <c r="J199" s="123">
        <v>14</v>
      </c>
      <c r="K199" s="123">
        <v>73</v>
      </c>
      <c r="L199" s="123" t="s">
        <v>117</v>
      </c>
      <c r="M199" s="123" t="s">
        <v>199</v>
      </c>
      <c r="N199" s="132">
        <v>119</v>
      </c>
      <c r="O199" s="132">
        <v>0</v>
      </c>
      <c r="P199" s="132">
        <v>7.9015403393605696E+17</v>
      </c>
    </row>
    <row r="200" spans="4:16" ht="15" customHeight="1" x14ac:dyDescent="0.2">
      <c r="D200" s="130" t="b">
        <v>0</v>
      </c>
      <c r="E200" s="124">
        <v>19</v>
      </c>
      <c r="F200" s="125">
        <v>4</v>
      </c>
      <c r="G200" s="125">
        <v>121</v>
      </c>
      <c r="H200" s="123">
        <v>112</v>
      </c>
      <c r="I200" s="123">
        <v>2868</v>
      </c>
      <c r="J200" s="123">
        <v>15.5</v>
      </c>
      <c r="K200" s="123">
        <v>73</v>
      </c>
      <c r="L200" s="123" t="s">
        <v>117</v>
      </c>
      <c r="M200" s="123" t="s">
        <v>200</v>
      </c>
      <c r="N200" s="132">
        <v>120</v>
      </c>
      <c r="O200" s="132">
        <v>0</v>
      </c>
      <c r="P200" s="132">
        <v>1.3632007337325101E+19</v>
      </c>
    </row>
    <row r="201" spans="4:16" ht="15" customHeight="1" x14ac:dyDescent="0.2">
      <c r="D201" s="130" t="b">
        <v>0</v>
      </c>
      <c r="E201" s="124">
        <v>15</v>
      </c>
      <c r="F201" s="125">
        <v>8</v>
      </c>
      <c r="G201" s="125">
        <v>318</v>
      </c>
      <c r="H201" s="123">
        <v>150</v>
      </c>
      <c r="I201" s="123">
        <v>3399</v>
      </c>
      <c r="J201" s="123">
        <v>11</v>
      </c>
      <c r="K201" s="123">
        <v>73</v>
      </c>
      <c r="L201" s="123" t="s">
        <v>95</v>
      </c>
      <c r="M201" s="123" t="s">
        <v>201</v>
      </c>
      <c r="N201" s="132">
        <v>121</v>
      </c>
      <c r="O201" s="132">
        <v>0</v>
      </c>
      <c r="P201" s="132">
        <v>4.5011079872996434E+18</v>
      </c>
    </row>
    <row r="202" spans="4:16" ht="15" customHeight="1" x14ac:dyDescent="0.2">
      <c r="D202" s="130" t="b">
        <v>0</v>
      </c>
      <c r="E202" s="124">
        <v>24</v>
      </c>
      <c r="F202" s="125">
        <v>4</v>
      </c>
      <c r="G202" s="125">
        <v>121</v>
      </c>
      <c r="H202" s="123">
        <v>110</v>
      </c>
      <c r="I202" s="123">
        <v>2660</v>
      </c>
      <c r="J202" s="123">
        <v>14</v>
      </c>
      <c r="K202" s="123">
        <v>73</v>
      </c>
      <c r="L202" s="123" t="s">
        <v>117</v>
      </c>
      <c r="M202" s="123" t="s">
        <v>202</v>
      </c>
      <c r="N202" s="132">
        <v>122</v>
      </c>
      <c r="O202" s="132">
        <v>0</v>
      </c>
      <c r="P202" s="132">
        <v>7.985159420356609E+18</v>
      </c>
    </row>
    <row r="203" spans="4:16" ht="15" customHeight="1" x14ac:dyDescent="0.2">
      <c r="D203" s="130" t="b">
        <v>0</v>
      </c>
      <c r="E203" s="124">
        <v>20</v>
      </c>
      <c r="F203" s="125">
        <v>6</v>
      </c>
      <c r="G203" s="125">
        <v>156</v>
      </c>
      <c r="H203" s="123">
        <v>122</v>
      </c>
      <c r="I203" s="123">
        <v>2807</v>
      </c>
      <c r="J203" s="123">
        <v>13.5</v>
      </c>
      <c r="K203" s="123">
        <v>73</v>
      </c>
      <c r="L203" s="123" t="s">
        <v>111</v>
      </c>
      <c r="M203" s="123" t="s">
        <v>203</v>
      </c>
      <c r="N203" s="132">
        <v>123</v>
      </c>
      <c r="O203" s="132">
        <v>0</v>
      </c>
      <c r="P203" s="132">
        <v>8.965182834356949E+18</v>
      </c>
    </row>
    <row r="204" spans="4:16" ht="15" customHeight="1" x14ac:dyDescent="0.2">
      <c r="D204" s="130" t="b">
        <v>0</v>
      </c>
      <c r="E204" s="124">
        <v>11</v>
      </c>
      <c r="F204" s="125">
        <v>8</v>
      </c>
      <c r="G204" s="125">
        <v>350</v>
      </c>
      <c r="H204" s="123">
        <v>180</v>
      </c>
      <c r="I204" s="123">
        <v>3664</v>
      </c>
      <c r="J204" s="123">
        <v>11</v>
      </c>
      <c r="K204" s="123">
        <v>73</v>
      </c>
      <c r="L204" s="123" t="s">
        <v>95</v>
      </c>
      <c r="M204" s="123" t="s">
        <v>204</v>
      </c>
      <c r="N204" s="132">
        <v>124</v>
      </c>
      <c r="O204" s="132">
        <v>0</v>
      </c>
      <c r="P204" s="132">
        <v>4.7665193524986993E+18</v>
      </c>
    </row>
    <row r="205" spans="4:16" ht="15" customHeight="1" x14ac:dyDescent="0.2">
      <c r="D205" s="130" t="b">
        <v>0</v>
      </c>
      <c r="E205" s="124">
        <v>20</v>
      </c>
      <c r="F205" s="125">
        <v>6</v>
      </c>
      <c r="G205" s="125">
        <v>198</v>
      </c>
      <c r="H205" s="123">
        <v>95</v>
      </c>
      <c r="I205" s="123">
        <v>3102</v>
      </c>
      <c r="J205" s="123">
        <v>16.5</v>
      </c>
      <c r="K205" s="123">
        <v>74</v>
      </c>
      <c r="L205" s="123" t="s">
        <v>95</v>
      </c>
      <c r="M205" s="123" t="s">
        <v>113</v>
      </c>
      <c r="N205" s="132">
        <v>125</v>
      </c>
      <c r="O205" s="132">
        <v>0</v>
      </c>
      <c r="P205" s="132">
        <v>1.4234629133009298E+18</v>
      </c>
    </row>
    <row r="206" spans="4:16" ht="15" customHeight="1" x14ac:dyDescent="0.2">
      <c r="D206" s="130" t="b">
        <v>0</v>
      </c>
      <c r="E206" s="124">
        <v>21</v>
      </c>
      <c r="F206" s="125">
        <v>6</v>
      </c>
      <c r="G206" s="125">
        <v>200</v>
      </c>
      <c r="H206" s="123"/>
      <c r="I206" s="123">
        <v>2875</v>
      </c>
      <c r="J206" s="123">
        <v>17</v>
      </c>
      <c r="K206" s="123">
        <v>74</v>
      </c>
      <c r="L206" s="123" t="s">
        <v>95</v>
      </c>
      <c r="M206" s="123" t="s">
        <v>115</v>
      </c>
      <c r="N206" s="132">
        <v>126</v>
      </c>
      <c r="O206" s="132">
        <v>1</v>
      </c>
      <c r="P206" s="132">
        <v>8.4738090036031514E+17</v>
      </c>
    </row>
    <row r="207" spans="4:16" ht="15" customHeight="1" x14ac:dyDescent="0.2">
      <c r="D207" s="130" t="b">
        <v>0</v>
      </c>
      <c r="E207" s="124">
        <v>19</v>
      </c>
      <c r="F207" s="125">
        <v>6</v>
      </c>
      <c r="G207" s="125">
        <v>232</v>
      </c>
      <c r="H207" s="123">
        <v>100</v>
      </c>
      <c r="I207" s="123">
        <v>2901</v>
      </c>
      <c r="J207" s="123">
        <v>16</v>
      </c>
      <c r="K207" s="123">
        <v>74</v>
      </c>
      <c r="L207" s="123" t="s">
        <v>95</v>
      </c>
      <c r="M207" s="123" t="s">
        <v>114</v>
      </c>
      <c r="N207" s="132">
        <v>127</v>
      </c>
      <c r="O207" s="132">
        <v>0</v>
      </c>
      <c r="P207" s="132">
        <v>1.2039999476565037E+19</v>
      </c>
    </row>
    <row r="208" spans="4:16" ht="15" customHeight="1" x14ac:dyDescent="0.2">
      <c r="D208" s="130" t="b">
        <v>0</v>
      </c>
      <c r="E208" s="124">
        <v>15</v>
      </c>
      <c r="F208" s="125">
        <v>6</v>
      </c>
      <c r="G208" s="125">
        <v>250</v>
      </c>
      <c r="H208" s="123">
        <v>100</v>
      </c>
      <c r="I208" s="123">
        <v>3336</v>
      </c>
      <c r="J208" s="123">
        <v>17</v>
      </c>
      <c r="K208" s="123">
        <v>74</v>
      </c>
      <c r="L208" s="123" t="s">
        <v>95</v>
      </c>
      <c r="M208" s="123" t="s">
        <v>205</v>
      </c>
      <c r="N208" s="132">
        <v>128</v>
      </c>
      <c r="O208" s="132">
        <v>0</v>
      </c>
      <c r="P208" s="132">
        <v>1.5525592070492877E+19</v>
      </c>
    </row>
    <row r="209" spans="4:16" ht="15" customHeight="1" x14ac:dyDescent="0.2">
      <c r="D209" s="130" t="b">
        <v>0</v>
      </c>
      <c r="E209" s="124">
        <v>31</v>
      </c>
      <c r="F209" s="125">
        <v>4</v>
      </c>
      <c r="G209" s="125">
        <v>79</v>
      </c>
      <c r="H209" s="123">
        <v>67</v>
      </c>
      <c r="I209" s="123">
        <v>1950</v>
      </c>
      <c r="J209" s="123">
        <v>19</v>
      </c>
      <c r="K209" s="123">
        <v>74</v>
      </c>
      <c r="L209" s="123" t="s">
        <v>111</v>
      </c>
      <c r="M209" s="123" t="s">
        <v>206</v>
      </c>
      <c r="N209" s="132">
        <v>129</v>
      </c>
      <c r="O209" s="132">
        <v>0</v>
      </c>
      <c r="P209" s="132">
        <v>3.6823382221641011E+17</v>
      </c>
    </row>
    <row r="210" spans="4:16" ht="15" customHeight="1" x14ac:dyDescent="0.2">
      <c r="D210" s="130" t="b">
        <v>0</v>
      </c>
      <c r="E210" s="124">
        <v>26</v>
      </c>
      <c r="F210" s="125">
        <v>4</v>
      </c>
      <c r="G210" s="125">
        <v>122</v>
      </c>
      <c r="H210" s="123">
        <v>80</v>
      </c>
      <c r="I210" s="123">
        <v>2451</v>
      </c>
      <c r="J210" s="123">
        <v>16.5</v>
      </c>
      <c r="K210" s="123">
        <v>74</v>
      </c>
      <c r="L210" s="123" t="s">
        <v>95</v>
      </c>
      <c r="M210" s="123" t="s">
        <v>96</v>
      </c>
      <c r="N210" s="132">
        <v>130</v>
      </c>
      <c r="O210" s="132">
        <v>0</v>
      </c>
      <c r="P210" s="132">
        <v>5.4084696745691044E+18</v>
      </c>
    </row>
    <row r="211" spans="4:16" ht="15" customHeight="1" x14ac:dyDescent="0.2">
      <c r="D211" s="130" t="b">
        <v>0</v>
      </c>
      <c r="E211" s="124">
        <v>32</v>
      </c>
      <c r="F211" s="125">
        <v>4</v>
      </c>
      <c r="G211" s="125">
        <v>71</v>
      </c>
      <c r="H211" s="123">
        <v>65</v>
      </c>
      <c r="I211" s="123">
        <v>1836</v>
      </c>
      <c r="J211" s="123">
        <v>21</v>
      </c>
      <c r="K211" s="123">
        <v>74</v>
      </c>
      <c r="L211" s="123" t="s">
        <v>111</v>
      </c>
      <c r="M211" s="123" t="s">
        <v>145</v>
      </c>
      <c r="N211" s="132">
        <v>131</v>
      </c>
      <c r="O211" s="132">
        <v>0</v>
      </c>
      <c r="P211" s="132">
        <v>1.7379689472896227E+19</v>
      </c>
    </row>
    <row r="212" spans="4:16" ht="15" customHeight="1" x14ac:dyDescent="0.2">
      <c r="D212" s="130" t="b">
        <v>0</v>
      </c>
      <c r="E212" s="124">
        <v>25</v>
      </c>
      <c r="F212" s="125">
        <v>4</v>
      </c>
      <c r="G212" s="125">
        <v>140</v>
      </c>
      <c r="H212" s="123">
        <v>75</v>
      </c>
      <c r="I212" s="123">
        <v>2542</v>
      </c>
      <c r="J212" s="123">
        <v>17</v>
      </c>
      <c r="K212" s="123">
        <v>74</v>
      </c>
      <c r="L212" s="123" t="s">
        <v>95</v>
      </c>
      <c r="M212" s="123" t="s">
        <v>152</v>
      </c>
      <c r="N212" s="132">
        <v>132</v>
      </c>
      <c r="O212" s="132">
        <v>0</v>
      </c>
      <c r="P212" s="132">
        <v>6.4814256396852859E+18</v>
      </c>
    </row>
    <row r="213" spans="4:16" ht="15" customHeight="1" x14ac:dyDescent="0.2">
      <c r="D213" s="130" t="b">
        <v>0</v>
      </c>
      <c r="E213" s="124">
        <v>16</v>
      </c>
      <c r="F213" s="125">
        <v>6</v>
      </c>
      <c r="G213" s="125">
        <v>250</v>
      </c>
      <c r="H213" s="123">
        <v>100</v>
      </c>
      <c r="I213" s="123">
        <v>3781</v>
      </c>
      <c r="J213" s="123">
        <v>17</v>
      </c>
      <c r="K213" s="123">
        <v>74</v>
      </c>
      <c r="L213" s="123" t="s">
        <v>95</v>
      </c>
      <c r="M213" s="123" t="s">
        <v>207</v>
      </c>
      <c r="N213" s="132">
        <v>133</v>
      </c>
      <c r="O213" s="132">
        <v>0</v>
      </c>
      <c r="P213" s="132">
        <v>1.762252311574049E+19</v>
      </c>
    </row>
    <row r="214" spans="4:16" ht="15" customHeight="1" x14ac:dyDescent="0.2">
      <c r="D214" s="130" t="b">
        <v>0</v>
      </c>
      <c r="E214" s="124">
        <v>16</v>
      </c>
      <c r="F214" s="125">
        <v>6</v>
      </c>
      <c r="G214" s="125">
        <v>258</v>
      </c>
      <c r="H214" s="123">
        <v>110</v>
      </c>
      <c r="I214" s="123">
        <v>3632</v>
      </c>
      <c r="J214" s="123">
        <v>18</v>
      </c>
      <c r="K214" s="123">
        <v>74</v>
      </c>
      <c r="L214" s="123" t="s">
        <v>95</v>
      </c>
      <c r="M214" s="123" t="s">
        <v>132</v>
      </c>
      <c r="N214" s="132">
        <v>134</v>
      </c>
      <c r="O214" s="132">
        <v>0</v>
      </c>
      <c r="P214" s="132">
        <v>1.1627108610227855E+19</v>
      </c>
    </row>
    <row r="215" spans="4:16" ht="15" customHeight="1" x14ac:dyDescent="0.2">
      <c r="D215" s="130" t="b">
        <v>0</v>
      </c>
      <c r="E215" s="124">
        <v>18</v>
      </c>
      <c r="F215" s="125">
        <v>6</v>
      </c>
      <c r="G215" s="125">
        <v>225</v>
      </c>
      <c r="H215" s="123">
        <v>105</v>
      </c>
      <c r="I215" s="123">
        <v>3613</v>
      </c>
      <c r="J215" s="123">
        <v>16.5</v>
      </c>
      <c r="K215" s="123">
        <v>74</v>
      </c>
      <c r="L215" s="123" t="s">
        <v>95</v>
      </c>
      <c r="M215" s="123" t="s">
        <v>208</v>
      </c>
      <c r="N215" s="132">
        <v>135</v>
      </c>
      <c r="O215" s="132">
        <v>0</v>
      </c>
      <c r="P215" s="132">
        <v>1.8081616779170677E+19</v>
      </c>
    </row>
    <row r="216" spans="4:16" ht="15" customHeight="1" x14ac:dyDescent="0.2">
      <c r="D216" s="130" t="b">
        <v>0</v>
      </c>
      <c r="E216" s="124">
        <v>16</v>
      </c>
      <c r="F216" s="125">
        <v>8</v>
      </c>
      <c r="G216" s="125">
        <v>302</v>
      </c>
      <c r="H216" s="123">
        <v>140</v>
      </c>
      <c r="I216" s="123">
        <v>4141</v>
      </c>
      <c r="J216" s="123">
        <v>14</v>
      </c>
      <c r="K216" s="123">
        <v>74</v>
      </c>
      <c r="L216" s="123" t="s">
        <v>95</v>
      </c>
      <c r="M216" s="123" t="s">
        <v>175</v>
      </c>
      <c r="N216" s="132">
        <v>136</v>
      </c>
      <c r="O216" s="132">
        <v>0</v>
      </c>
      <c r="P216" s="132">
        <v>1.052211340641961E+19</v>
      </c>
    </row>
    <row r="217" spans="4:16" ht="15" customHeight="1" x14ac:dyDescent="0.2">
      <c r="D217" s="130" t="b">
        <v>0</v>
      </c>
      <c r="E217" s="124">
        <v>13</v>
      </c>
      <c r="F217" s="125">
        <v>8</v>
      </c>
      <c r="G217" s="125">
        <v>350</v>
      </c>
      <c r="H217" s="123">
        <v>150</v>
      </c>
      <c r="I217" s="123">
        <v>4699</v>
      </c>
      <c r="J217" s="123">
        <v>14.5</v>
      </c>
      <c r="K217" s="123">
        <v>74</v>
      </c>
      <c r="L217" s="123" t="s">
        <v>95</v>
      </c>
      <c r="M217" s="123" t="s">
        <v>209</v>
      </c>
      <c r="N217" s="132">
        <v>137</v>
      </c>
      <c r="O217" s="132">
        <v>0</v>
      </c>
      <c r="P217" s="132">
        <v>1.0753651373824152E+18</v>
      </c>
    </row>
    <row r="218" spans="4:16" ht="15" customHeight="1" x14ac:dyDescent="0.2">
      <c r="D218" s="130" t="b">
        <v>0</v>
      </c>
      <c r="E218" s="124">
        <v>14</v>
      </c>
      <c r="F218" s="125">
        <v>8</v>
      </c>
      <c r="G218" s="125">
        <v>318</v>
      </c>
      <c r="H218" s="123">
        <v>150</v>
      </c>
      <c r="I218" s="123">
        <v>4457</v>
      </c>
      <c r="J218" s="123">
        <v>13.5</v>
      </c>
      <c r="K218" s="123">
        <v>74</v>
      </c>
      <c r="L218" s="123" t="s">
        <v>95</v>
      </c>
      <c r="M218" s="123" t="s">
        <v>210</v>
      </c>
      <c r="N218" s="132">
        <v>138</v>
      </c>
      <c r="O218" s="132">
        <v>0</v>
      </c>
      <c r="P218" s="132">
        <v>1.6343783702132206E+19</v>
      </c>
    </row>
    <row r="219" spans="4:16" ht="15" customHeight="1" x14ac:dyDescent="0.2">
      <c r="D219" s="130" t="b">
        <v>0</v>
      </c>
      <c r="E219" s="124">
        <v>14</v>
      </c>
      <c r="F219" s="125">
        <v>8</v>
      </c>
      <c r="G219" s="125">
        <v>302</v>
      </c>
      <c r="H219" s="123">
        <v>140</v>
      </c>
      <c r="I219" s="123">
        <v>4638</v>
      </c>
      <c r="J219" s="123">
        <v>16</v>
      </c>
      <c r="K219" s="123">
        <v>74</v>
      </c>
      <c r="L219" s="123" t="s">
        <v>95</v>
      </c>
      <c r="M219" s="123" t="s">
        <v>162</v>
      </c>
      <c r="N219" s="132">
        <v>139</v>
      </c>
      <c r="O219" s="132">
        <v>0</v>
      </c>
      <c r="P219" s="132">
        <v>9.8744413787384038E+17</v>
      </c>
    </row>
    <row r="220" spans="4:16" ht="15" customHeight="1" x14ac:dyDescent="0.2">
      <c r="D220" s="130" t="b">
        <v>0</v>
      </c>
      <c r="E220" s="124">
        <v>14</v>
      </c>
      <c r="F220" s="125">
        <v>8</v>
      </c>
      <c r="G220" s="125">
        <v>304</v>
      </c>
      <c r="H220" s="123">
        <v>150</v>
      </c>
      <c r="I220" s="123">
        <v>4257</v>
      </c>
      <c r="J220" s="123">
        <v>15.5</v>
      </c>
      <c r="K220" s="123">
        <v>74</v>
      </c>
      <c r="L220" s="123" t="s">
        <v>95</v>
      </c>
      <c r="M220" s="123" t="s">
        <v>160</v>
      </c>
      <c r="N220" s="132">
        <v>140</v>
      </c>
      <c r="O220" s="132">
        <v>0</v>
      </c>
      <c r="P220" s="132">
        <v>2.6819504611321395E+18</v>
      </c>
    </row>
    <row r="221" spans="4:16" ht="15" customHeight="1" x14ac:dyDescent="0.2">
      <c r="D221" s="130" t="b">
        <v>0</v>
      </c>
      <c r="E221" s="124">
        <v>29</v>
      </c>
      <c r="F221" s="125">
        <v>4</v>
      </c>
      <c r="G221" s="125">
        <v>98</v>
      </c>
      <c r="H221" s="123">
        <v>83</v>
      </c>
      <c r="I221" s="123">
        <v>2219</v>
      </c>
      <c r="J221" s="123">
        <v>16.5</v>
      </c>
      <c r="K221" s="123">
        <v>74</v>
      </c>
      <c r="L221" s="123" t="s">
        <v>117</v>
      </c>
      <c r="M221" s="123" t="s">
        <v>211</v>
      </c>
      <c r="N221" s="132">
        <v>141</v>
      </c>
      <c r="O221" s="132">
        <v>0</v>
      </c>
      <c r="P221" s="132">
        <v>6.8275841656661012E+18</v>
      </c>
    </row>
    <row r="222" spans="4:16" ht="15" customHeight="1" x14ac:dyDescent="0.2">
      <c r="D222" s="130" t="b">
        <v>0</v>
      </c>
      <c r="E222" s="124">
        <v>26</v>
      </c>
      <c r="F222" s="125">
        <v>4</v>
      </c>
      <c r="G222" s="125">
        <v>79</v>
      </c>
      <c r="H222" s="123">
        <v>67</v>
      </c>
      <c r="I222" s="123">
        <v>1963</v>
      </c>
      <c r="J222" s="123">
        <v>15.5</v>
      </c>
      <c r="K222" s="123">
        <v>74</v>
      </c>
      <c r="L222" s="123" t="s">
        <v>117</v>
      </c>
      <c r="M222" s="123" t="s">
        <v>212</v>
      </c>
      <c r="N222" s="132">
        <v>142</v>
      </c>
      <c r="O222" s="132">
        <v>0</v>
      </c>
      <c r="P222" s="132">
        <v>1.3404908650077673E+18</v>
      </c>
    </row>
    <row r="223" spans="4:16" ht="15" customHeight="1" x14ac:dyDescent="0.2">
      <c r="D223" s="130" t="b">
        <v>0</v>
      </c>
      <c r="E223" s="124">
        <v>26</v>
      </c>
      <c r="F223" s="125">
        <v>4</v>
      </c>
      <c r="G223" s="125">
        <v>97</v>
      </c>
      <c r="H223" s="123">
        <v>78</v>
      </c>
      <c r="I223" s="123">
        <v>2300</v>
      </c>
      <c r="J223" s="123">
        <v>14.5</v>
      </c>
      <c r="K223" s="123">
        <v>74</v>
      </c>
      <c r="L223" s="123" t="s">
        <v>117</v>
      </c>
      <c r="M223" s="123" t="s">
        <v>198</v>
      </c>
      <c r="N223" s="132">
        <v>143</v>
      </c>
      <c r="O223" s="132">
        <v>0</v>
      </c>
      <c r="P223" s="132">
        <v>1.0657273012173074E+18</v>
      </c>
    </row>
    <row r="224" spans="4:16" ht="15" customHeight="1" x14ac:dyDescent="0.2">
      <c r="D224" s="130" t="b">
        <v>0</v>
      </c>
      <c r="E224" s="124">
        <v>31</v>
      </c>
      <c r="F224" s="125">
        <v>4</v>
      </c>
      <c r="G224" s="125">
        <v>76</v>
      </c>
      <c r="H224" s="123">
        <v>52</v>
      </c>
      <c r="I224" s="123">
        <v>1649</v>
      </c>
      <c r="J224" s="123">
        <v>16.5</v>
      </c>
      <c r="K224" s="123">
        <v>74</v>
      </c>
      <c r="L224" s="123" t="s">
        <v>111</v>
      </c>
      <c r="M224" s="123" t="s">
        <v>129</v>
      </c>
      <c r="N224" s="132">
        <v>144</v>
      </c>
      <c r="O224" s="132">
        <v>0</v>
      </c>
      <c r="P224" s="132">
        <v>1.1242099580552346E+19</v>
      </c>
    </row>
    <row r="225" spans="4:16" ht="15" customHeight="1" x14ac:dyDescent="0.2">
      <c r="D225" s="130" t="b">
        <v>0</v>
      </c>
      <c r="E225" s="124">
        <v>32</v>
      </c>
      <c r="F225" s="125">
        <v>4</v>
      </c>
      <c r="G225" s="125">
        <v>83</v>
      </c>
      <c r="H225" s="123">
        <v>61</v>
      </c>
      <c r="I225" s="123">
        <v>2003</v>
      </c>
      <c r="J225" s="123">
        <v>19</v>
      </c>
      <c r="K225" s="123">
        <v>74</v>
      </c>
      <c r="L225" s="123" t="s">
        <v>111</v>
      </c>
      <c r="M225" s="123" t="s">
        <v>213</v>
      </c>
      <c r="N225" s="132">
        <v>145</v>
      </c>
      <c r="O225" s="132">
        <v>0</v>
      </c>
      <c r="P225" s="132">
        <v>4.3876879158445537E+18</v>
      </c>
    </row>
    <row r="226" spans="4:16" ht="15" customHeight="1" x14ac:dyDescent="0.2">
      <c r="D226" s="130" t="b">
        <v>0</v>
      </c>
      <c r="E226" s="124">
        <v>28</v>
      </c>
      <c r="F226" s="125">
        <v>4</v>
      </c>
      <c r="G226" s="125">
        <v>90</v>
      </c>
      <c r="H226" s="123">
        <v>75</v>
      </c>
      <c r="I226" s="123">
        <v>2125</v>
      </c>
      <c r="J226" s="123">
        <v>14.5</v>
      </c>
      <c r="K226" s="123">
        <v>74</v>
      </c>
      <c r="L226" s="123" t="s">
        <v>95</v>
      </c>
      <c r="M226" s="123" t="s">
        <v>214</v>
      </c>
      <c r="N226" s="132">
        <v>146</v>
      </c>
      <c r="O226" s="132">
        <v>0</v>
      </c>
      <c r="P226" s="132">
        <v>2.1739000167107507E+18</v>
      </c>
    </row>
    <row r="227" spans="4:16" ht="15" customHeight="1" x14ac:dyDescent="0.2">
      <c r="D227" s="130" t="b">
        <v>0</v>
      </c>
      <c r="E227" s="124">
        <v>24</v>
      </c>
      <c r="F227" s="125">
        <v>4</v>
      </c>
      <c r="G227" s="125">
        <v>90</v>
      </c>
      <c r="H227" s="123">
        <v>75</v>
      </c>
      <c r="I227" s="123">
        <v>2108</v>
      </c>
      <c r="J227" s="123">
        <v>15.5</v>
      </c>
      <c r="K227" s="123">
        <v>74</v>
      </c>
      <c r="L227" s="123" t="s">
        <v>117</v>
      </c>
      <c r="M227" s="123" t="s">
        <v>197</v>
      </c>
      <c r="N227" s="132">
        <v>147</v>
      </c>
      <c r="O227" s="132">
        <v>0</v>
      </c>
      <c r="P227" s="132">
        <v>1.1147045215075396E+19</v>
      </c>
    </row>
    <row r="228" spans="4:16" ht="15" customHeight="1" x14ac:dyDescent="0.2">
      <c r="D228" s="130" t="b">
        <v>0</v>
      </c>
      <c r="E228" s="124">
        <v>26</v>
      </c>
      <c r="F228" s="125">
        <v>4</v>
      </c>
      <c r="G228" s="125">
        <v>116</v>
      </c>
      <c r="H228" s="123">
        <v>75</v>
      </c>
      <c r="I228" s="123">
        <v>2246</v>
      </c>
      <c r="J228" s="123">
        <v>14</v>
      </c>
      <c r="K228" s="123">
        <v>74</v>
      </c>
      <c r="L228" s="123" t="s">
        <v>117</v>
      </c>
      <c r="M228" s="123" t="s">
        <v>215</v>
      </c>
      <c r="N228" s="132">
        <v>148</v>
      </c>
      <c r="O228" s="132">
        <v>0</v>
      </c>
      <c r="P228" s="132">
        <v>1.5249170226769283E+19</v>
      </c>
    </row>
    <row r="229" spans="4:16" ht="15" customHeight="1" x14ac:dyDescent="0.2">
      <c r="D229" s="130" t="b">
        <v>0</v>
      </c>
      <c r="E229" s="124">
        <v>24</v>
      </c>
      <c r="F229" s="125">
        <v>4</v>
      </c>
      <c r="G229" s="125">
        <v>120</v>
      </c>
      <c r="H229" s="123">
        <v>97</v>
      </c>
      <c r="I229" s="123">
        <v>2489</v>
      </c>
      <c r="J229" s="123">
        <v>15</v>
      </c>
      <c r="K229" s="123">
        <v>74</v>
      </c>
      <c r="L229" s="123" t="s">
        <v>111</v>
      </c>
      <c r="M229" s="123" t="s">
        <v>216</v>
      </c>
      <c r="N229" s="132">
        <v>149</v>
      </c>
      <c r="O229" s="132">
        <v>0</v>
      </c>
      <c r="P229" s="132">
        <v>2.3541641517760251E+18</v>
      </c>
    </row>
    <row r="230" spans="4:16" ht="15" customHeight="1" x14ac:dyDescent="0.2">
      <c r="D230" s="130" t="b">
        <v>0</v>
      </c>
      <c r="E230" s="124">
        <v>26</v>
      </c>
      <c r="F230" s="125">
        <v>4</v>
      </c>
      <c r="G230" s="125">
        <v>108</v>
      </c>
      <c r="H230" s="123">
        <v>93</v>
      </c>
      <c r="I230" s="123">
        <v>2391</v>
      </c>
      <c r="J230" s="123">
        <v>15.5</v>
      </c>
      <c r="K230" s="123">
        <v>74</v>
      </c>
      <c r="L230" s="123" t="s">
        <v>111</v>
      </c>
      <c r="M230" s="123" t="s">
        <v>217</v>
      </c>
      <c r="N230" s="132">
        <v>150</v>
      </c>
      <c r="O230" s="132">
        <v>0</v>
      </c>
      <c r="P230" s="132">
        <v>1.1112503261514086E+19</v>
      </c>
    </row>
    <row r="231" spans="4:16" ht="15" customHeight="1" x14ac:dyDescent="0.2">
      <c r="D231" s="130" t="b">
        <v>0</v>
      </c>
      <c r="E231" s="124">
        <v>31</v>
      </c>
      <c r="F231" s="125">
        <v>4</v>
      </c>
      <c r="G231" s="125">
        <v>79</v>
      </c>
      <c r="H231" s="123">
        <v>67</v>
      </c>
      <c r="I231" s="123">
        <v>2000</v>
      </c>
      <c r="J231" s="123">
        <v>16</v>
      </c>
      <c r="K231" s="123">
        <v>74</v>
      </c>
      <c r="L231" s="123" t="s">
        <v>117</v>
      </c>
      <c r="M231" s="123" t="s">
        <v>218</v>
      </c>
      <c r="N231" s="132">
        <v>151</v>
      </c>
      <c r="O231" s="132">
        <v>0</v>
      </c>
      <c r="P231" s="132">
        <v>1.5145471564906756E+19</v>
      </c>
    </row>
    <row r="232" spans="4:16" ht="15" customHeight="1" x14ac:dyDescent="0.2">
      <c r="D232" s="130" t="b">
        <v>0</v>
      </c>
      <c r="E232" s="124">
        <v>19</v>
      </c>
      <c r="F232" s="125">
        <v>6</v>
      </c>
      <c r="G232" s="125">
        <v>225</v>
      </c>
      <c r="H232" s="123">
        <v>95</v>
      </c>
      <c r="I232" s="123">
        <v>3264</v>
      </c>
      <c r="J232" s="123">
        <v>16</v>
      </c>
      <c r="K232" s="123">
        <v>75</v>
      </c>
      <c r="L232" s="123" t="s">
        <v>95</v>
      </c>
      <c r="M232" s="123" t="s">
        <v>219</v>
      </c>
      <c r="N232" s="132">
        <v>152</v>
      </c>
      <c r="O232" s="132">
        <v>0</v>
      </c>
      <c r="P232" s="132">
        <v>1.1497387132515908E+19</v>
      </c>
    </row>
    <row r="233" spans="4:16" ht="15" customHeight="1" x14ac:dyDescent="0.2">
      <c r="D233" s="130" t="b">
        <v>0</v>
      </c>
      <c r="E233" s="124">
        <v>18</v>
      </c>
      <c r="F233" s="125">
        <v>6</v>
      </c>
      <c r="G233" s="125">
        <v>250</v>
      </c>
      <c r="H233" s="123">
        <v>105</v>
      </c>
      <c r="I233" s="123">
        <v>3459</v>
      </c>
      <c r="J233" s="123">
        <v>16</v>
      </c>
      <c r="K233" s="123">
        <v>75</v>
      </c>
      <c r="L233" s="123" t="s">
        <v>95</v>
      </c>
      <c r="M233" s="123" t="s">
        <v>205</v>
      </c>
      <c r="N233" s="132">
        <v>153</v>
      </c>
      <c r="O233" s="132">
        <v>0</v>
      </c>
      <c r="P233" s="132">
        <v>1.7924007957192192E+19</v>
      </c>
    </row>
    <row r="234" spans="4:16" ht="15" customHeight="1" x14ac:dyDescent="0.2">
      <c r="D234" s="130" t="b">
        <v>0</v>
      </c>
      <c r="E234" s="124">
        <v>15</v>
      </c>
      <c r="F234" s="125">
        <v>6</v>
      </c>
      <c r="G234" s="125">
        <v>250</v>
      </c>
      <c r="H234" s="123">
        <v>72</v>
      </c>
      <c r="I234" s="123">
        <v>3432</v>
      </c>
      <c r="J234" s="123">
        <v>21</v>
      </c>
      <c r="K234" s="123">
        <v>75</v>
      </c>
      <c r="L234" s="123" t="s">
        <v>95</v>
      </c>
      <c r="M234" s="123" t="s">
        <v>220</v>
      </c>
      <c r="N234" s="132">
        <v>154</v>
      </c>
      <c r="O234" s="132">
        <v>0</v>
      </c>
      <c r="P234" s="132">
        <v>1.4100737072429044E+19</v>
      </c>
    </row>
    <row r="235" spans="4:16" ht="15" customHeight="1" x14ac:dyDescent="0.2">
      <c r="D235" s="130" t="b">
        <v>0</v>
      </c>
      <c r="E235" s="124">
        <v>15</v>
      </c>
      <c r="F235" s="125">
        <v>6</v>
      </c>
      <c r="G235" s="125">
        <v>250</v>
      </c>
      <c r="H235" s="123">
        <v>72</v>
      </c>
      <c r="I235" s="123">
        <v>3158</v>
      </c>
      <c r="J235" s="123">
        <v>19.5</v>
      </c>
      <c r="K235" s="123">
        <v>75</v>
      </c>
      <c r="L235" s="123" t="s">
        <v>95</v>
      </c>
      <c r="M235" s="123" t="s">
        <v>115</v>
      </c>
      <c r="N235" s="132">
        <v>155</v>
      </c>
      <c r="O235" s="132">
        <v>0</v>
      </c>
      <c r="P235" s="132">
        <v>1.8798021328519511E+18</v>
      </c>
    </row>
    <row r="236" spans="4:16" ht="15" customHeight="1" x14ac:dyDescent="0.2">
      <c r="D236" s="130" t="b">
        <v>0</v>
      </c>
      <c r="E236" s="124">
        <v>16</v>
      </c>
      <c r="F236" s="125">
        <v>8</v>
      </c>
      <c r="G236" s="125">
        <v>400</v>
      </c>
      <c r="H236" s="123">
        <v>170</v>
      </c>
      <c r="I236" s="123">
        <v>4668</v>
      </c>
      <c r="J236" s="123">
        <v>11.5</v>
      </c>
      <c r="K236" s="123">
        <v>75</v>
      </c>
      <c r="L236" s="123" t="s">
        <v>95</v>
      </c>
      <c r="M236" s="123" t="s">
        <v>105</v>
      </c>
      <c r="N236" s="132">
        <v>156</v>
      </c>
      <c r="O236" s="132">
        <v>0</v>
      </c>
      <c r="P236" s="132">
        <v>7.8199773949951846E+18</v>
      </c>
    </row>
    <row r="237" spans="4:16" ht="15" customHeight="1" x14ac:dyDescent="0.2">
      <c r="D237" s="130" t="b">
        <v>0</v>
      </c>
      <c r="E237" s="124">
        <v>15</v>
      </c>
      <c r="F237" s="125">
        <v>8</v>
      </c>
      <c r="G237" s="125">
        <v>350</v>
      </c>
      <c r="H237" s="123">
        <v>145</v>
      </c>
      <c r="I237" s="123">
        <v>4440</v>
      </c>
      <c r="J237" s="123">
        <v>14</v>
      </c>
      <c r="K237" s="123">
        <v>75</v>
      </c>
      <c r="L237" s="123" t="s">
        <v>95</v>
      </c>
      <c r="M237" s="123" t="s">
        <v>221</v>
      </c>
      <c r="N237" s="132">
        <v>157</v>
      </c>
      <c r="O237" s="132">
        <v>0</v>
      </c>
      <c r="P237" s="132">
        <v>5.3266049488274268E+18</v>
      </c>
    </row>
    <row r="238" spans="4:16" ht="15" customHeight="1" x14ac:dyDescent="0.2">
      <c r="D238" s="130" t="b">
        <v>0</v>
      </c>
      <c r="E238" s="124">
        <v>16</v>
      </c>
      <c r="F238" s="125">
        <v>8</v>
      </c>
      <c r="G238" s="125">
        <v>318</v>
      </c>
      <c r="H238" s="123">
        <v>150</v>
      </c>
      <c r="I238" s="123">
        <v>4498</v>
      </c>
      <c r="J238" s="123">
        <v>14.5</v>
      </c>
      <c r="K238" s="123">
        <v>75</v>
      </c>
      <c r="L238" s="123" t="s">
        <v>95</v>
      </c>
      <c r="M238" s="123" t="s">
        <v>222</v>
      </c>
      <c r="N238" s="132">
        <v>158</v>
      </c>
      <c r="O238" s="132">
        <v>0</v>
      </c>
      <c r="P238" s="132">
        <v>1.6454835805214573E+19</v>
      </c>
    </row>
    <row r="239" spans="4:16" ht="15" customHeight="1" x14ac:dyDescent="0.2">
      <c r="D239" s="130" t="b">
        <v>0</v>
      </c>
      <c r="E239" s="124">
        <v>14</v>
      </c>
      <c r="F239" s="125">
        <v>8</v>
      </c>
      <c r="G239" s="125">
        <v>351</v>
      </c>
      <c r="H239" s="123">
        <v>148</v>
      </c>
      <c r="I239" s="123">
        <v>4657</v>
      </c>
      <c r="J239" s="123">
        <v>13.5</v>
      </c>
      <c r="K239" s="123">
        <v>75</v>
      </c>
      <c r="L239" s="123" t="s">
        <v>95</v>
      </c>
      <c r="M239" s="123" t="s">
        <v>179</v>
      </c>
      <c r="N239" s="132">
        <v>159</v>
      </c>
      <c r="O239" s="132">
        <v>0</v>
      </c>
      <c r="P239" s="132">
        <v>5.3771587085405778E+18</v>
      </c>
    </row>
    <row r="240" spans="4:16" ht="15" customHeight="1" x14ac:dyDescent="0.2">
      <c r="D240" s="130" t="b">
        <v>0</v>
      </c>
      <c r="E240" s="124">
        <v>17</v>
      </c>
      <c r="F240" s="125">
        <v>6</v>
      </c>
      <c r="G240" s="125">
        <v>231</v>
      </c>
      <c r="H240" s="123">
        <v>110</v>
      </c>
      <c r="I240" s="123">
        <v>3907</v>
      </c>
      <c r="J240" s="123">
        <v>21</v>
      </c>
      <c r="K240" s="123">
        <v>75</v>
      </c>
      <c r="L240" s="123" t="s">
        <v>95</v>
      </c>
      <c r="M240" s="123" t="s">
        <v>223</v>
      </c>
      <c r="N240" s="132">
        <v>160</v>
      </c>
      <c r="O240" s="132">
        <v>0</v>
      </c>
      <c r="P240" s="132">
        <v>1.3534698693194605E+19</v>
      </c>
    </row>
    <row r="241" spans="4:16" ht="15" customHeight="1" x14ac:dyDescent="0.2">
      <c r="D241" s="130" t="b">
        <v>0</v>
      </c>
      <c r="E241" s="124">
        <v>16</v>
      </c>
      <c r="F241" s="125">
        <v>6</v>
      </c>
      <c r="G241" s="125">
        <v>250</v>
      </c>
      <c r="H241" s="123">
        <v>105</v>
      </c>
      <c r="I241" s="123">
        <v>3897</v>
      </c>
      <c r="J241" s="123">
        <v>18.5</v>
      </c>
      <c r="K241" s="123">
        <v>75</v>
      </c>
      <c r="L241" s="123" t="s">
        <v>95</v>
      </c>
      <c r="M241" s="123" t="s">
        <v>224</v>
      </c>
      <c r="N241" s="132">
        <v>161</v>
      </c>
      <c r="O241" s="132">
        <v>0</v>
      </c>
      <c r="P241" s="132">
        <v>8.4730351533900165E+18</v>
      </c>
    </row>
    <row r="242" spans="4:16" ht="15" customHeight="1" x14ac:dyDescent="0.2">
      <c r="D242" s="130" t="b">
        <v>0</v>
      </c>
      <c r="E242" s="124">
        <v>15</v>
      </c>
      <c r="F242" s="125">
        <v>6</v>
      </c>
      <c r="G242" s="125">
        <v>258</v>
      </c>
      <c r="H242" s="123">
        <v>110</v>
      </c>
      <c r="I242" s="123">
        <v>3730</v>
      </c>
      <c r="J242" s="123">
        <v>19</v>
      </c>
      <c r="K242" s="123">
        <v>75</v>
      </c>
      <c r="L242" s="123" t="s">
        <v>95</v>
      </c>
      <c r="M242" s="123" t="s">
        <v>132</v>
      </c>
      <c r="N242" s="132">
        <v>162</v>
      </c>
      <c r="O242" s="132">
        <v>0</v>
      </c>
      <c r="P242" s="132">
        <v>9.0726871964813507E+18</v>
      </c>
    </row>
    <row r="243" spans="4:16" ht="15" customHeight="1" x14ac:dyDescent="0.2">
      <c r="D243" s="130" t="b">
        <v>0</v>
      </c>
      <c r="E243" s="124">
        <v>18</v>
      </c>
      <c r="F243" s="125">
        <v>6</v>
      </c>
      <c r="G243" s="125">
        <v>225</v>
      </c>
      <c r="H243" s="123">
        <v>95</v>
      </c>
      <c r="I243" s="123">
        <v>3785</v>
      </c>
      <c r="J243" s="123">
        <v>19</v>
      </c>
      <c r="K243" s="123">
        <v>75</v>
      </c>
      <c r="L243" s="123" t="s">
        <v>95</v>
      </c>
      <c r="M243" s="123" t="s">
        <v>225</v>
      </c>
      <c r="N243" s="132">
        <v>163</v>
      </c>
      <c r="O243" s="132">
        <v>0</v>
      </c>
      <c r="P243" s="132">
        <v>1.591906918261505E+19</v>
      </c>
    </row>
    <row r="244" spans="4:16" ht="15" customHeight="1" x14ac:dyDescent="0.2">
      <c r="D244" s="130" t="b">
        <v>0</v>
      </c>
      <c r="E244" s="124">
        <v>21</v>
      </c>
      <c r="F244" s="125">
        <v>6</v>
      </c>
      <c r="G244" s="125">
        <v>231</v>
      </c>
      <c r="H244" s="123">
        <v>110</v>
      </c>
      <c r="I244" s="123">
        <v>3039</v>
      </c>
      <c r="J244" s="123">
        <v>15</v>
      </c>
      <c r="K244" s="123">
        <v>75</v>
      </c>
      <c r="L244" s="123" t="s">
        <v>95</v>
      </c>
      <c r="M244" s="123" t="s">
        <v>226</v>
      </c>
      <c r="N244" s="132">
        <v>164</v>
      </c>
      <c r="O244" s="132">
        <v>0</v>
      </c>
      <c r="P244" s="132">
        <v>1.404173698523128E+19</v>
      </c>
    </row>
    <row r="245" spans="4:16" ht="15" customHeight="1" x14ac:dyDescent="0.2">
      <c r="D245" s="130" t="b">
        <v>0</v>
      </c>
      <c r="E245" s="124">
        <v>20</v>
      </c>
      <c r="F245" s="125">
        <v>8</v>
      </c>
      <c r="G245" s="125">
        <v>262</v>
      </c>
      <c r="H245" s="123">
        <v>110</v>
      </c>
      <c r="I245" s="123">
        <v>3221</v>
      </c>
      <c r="J245" s="123">
        <v>13.5</v>
      </c>
      <c r="K245" s="123">
        <v>75</v>
      </c>
      <c r="L245" s="123" t="s">
        <v>95</v>
      </c>
      <c r="M245" s="123" t="s">
        <v>227</v>
      </c>
      <c r="N245" s="132">
        <v>165</v>
      </c>
      <c r="O245" s="132">
        <v>0</v>
      </c>
      <c r="P245" s="132">
        <v>1.2889152805835139E+19</v>
      </c>
    </row>
    <row r="246" spans="4:16" ht="15" customHeight="1" x14ac:dyDescent="0.2">
      <c r="D246" s="130" t="b">
        <v>0</v>
      </c>
      <c r="E246" s="124">
        <v>13</v>
      </c>
      <c r="F246" s="125">
        <v>8</v>
      </c>
      <c r="G246" s="125">
        <v>302</v>
      </c>
      <c r="H246" s="123">
        <v>129</v>
      </c>
      <c r="I246" s="123">
        <v>3169</v>
      </c>
      <c r="J246" s="123">
        <v>12</v>
      </c>
      <c r="K246" s="123">
        <v>75</v>
      </c>
      <c r="L246" s="123" t="s">
        <v>95</v>
      </c>
      <c r="M246" s="123" t="s">
        <v>228</v>
      </c>
      <c r="N246" s="132">
        <v>166</v>
      </c>
      <c r="O246" s="132">
        <v>0</v>
      </c>
      <c r="P246" s="132">
        <v>1.9054327217124104E+18</v>
      </c>
    </row>
    <row r="247" spans="4:16" ht="15" customHeight="1" x14ac:dyDescent="0.2">
      <c r="D247" s="130" t="b">
        <v>0</v>
      </c>
      <c r="E247" s="124">
        <v>29</v>
      </c>
      <c r="F247" s="125">
        <v>4</v>
      </c>
      <c r="G247" s="125">
        <v>97</v>
      </c>
      <c r="H247" s="123">
        <v>75</v>
      </c>
      <c r="I247" s="123">
        <v>2171</v>
      </c>
      <c r="J247" s="123">
        <v>16</v>
      </c>
      <c r="K247" s="123">
        <v>75</v>
      </c>
      <c r="L247" s="123" t="s">
        <v>111</v>
      </c>
      <c r="M247" s="123" t="s">
        <v>229</v>
      </c>
      <c r="N247" s="132">
        <v>167</v>
      </c>
      <c r="O247" s="132">
        <v>0</v>
      </c>
      <c r="P247" s="132">
        <v>1.8171375161766576E+19</v>
      </c>
    </row>
    <row r="248" spans="4:16" ht="15" customHeight="1" x14ac:dyDescent="0.2">
      <c r="D248" s="130" t="b">
        <v>0</v>
      </c>
      <c r="E248" s="124">
        <v>23</v>
      </c>
      <c r="F248" s="125">
        <v>4</v>
      </c>
      <c r="G248" s="125">
        <v>140</v>
      </c>
      <c r="H248" s="123">
        <v>83</v>
      </c>
      <c r="I248" s="123">
        <v>2639</v>
      </c>
      <c r="J248" s="123">
        <v>17</v>
      </c>
      <c r="K248" s="123">
        <v>75</v>
      </c>
      <c r="L248" s="123" t="s">
        <v>95</v>
      </c>
      <c r="M248" s="123" t="s">
        <v>96</v>
      </c>
      <c r="N248" s="132">
        <v>168</v>
      </c>
      <c r="O248" s="132">
        <v>0</v>
      </c>
      <c r="P248" s="132">
        <v>6.4383714338825769E+18</v>
      </c>
    </row>
    <row r="249" spans="4:16" ht="15" customHeight="1" x14ac:dyDescent="0.2">
      <c r="D249" s="130" t="b">
        <v>0</v>
      </c>
      <c r="E249" s="124">
        <v>20</v>
      </c>
      <c r="F249" s="125">
        <v>6</v>
      </c>
      <c r="G249" s="125">
        <v>232</v>
      </c>
      <c r="H249" s="123">
        <v>100</v>
      </c>
      <c r="I249" s="123">
        <v>2914</v>
      </c>
      <c r="J249" s="123">
        <v>16</v>
      </c>
      <c r="K249" s="123">
        <v>75</v>
      </c>
      <c r="L249" s="123" t="s">
        <v>95</v>
      </c>
      <c r="M249" s="123" t="s">
        <v>123</v>
      </c>
      <c r="N249" s="132">
        <v>169</v>
      </c>
      <c r="O249" s="132">
        <v>0</v>
      </c>
      <c r="P249" s="132">
        <v>7.4109826082864302E+18</v>
      </c>
    </row>
    <row r="250" spans="4:16" ht="15" customHeight="1" x14ac:dyDescent="0.2">
      <c r="D250" s="130" t="b">
        <v>0</v>
      </c>
      <c r="E250" s="124">
        <v>23</v>
      </c>
      <c r="F250" s="125">
        <v>4</v>
      </c>
      <c r="G250" s="125">
        <v>140</v>
      </c>
      <c r="H250" s="123">
        <v>78</v>
      </c>
      <c r="I250" s="123">
        <v>2592</v>
      </c>
      <c r="J250" s="123">
        <v>18.5</v>
      </c>
      <c r="K250" s="123">
        <v>75</v>
      </c>
      <c r="L250" s="123" t="s">
        <v>95</v>
      </c>
      <c r="M250" s="123" t="s">
        <v>230</v>
      </c>
      <c r="N250" s="132">
        <v>170</v>
      </c>
      <c r="O250" s="132">
        <v>0</v>
      </c>
      <c r="P250" s="132">
        <v>1.5799601265240381E+19</v>
      </c>
    </row>
    <row r="251" spans="4:16" ht="15" customHeight="1" x14ac:dyDescent="0.2">
      <c r="D251" s="130" t="b">
        <v>0</v>
      </c>
      <c r="E251" s="124">
        <v>24</v>
      </c>
      <c r="F251" s="125">
        <v>4</v>
      </c>
      <c r="G251" s="125">
        <v>134</v>
      </c>
      <c r="H251" s="123">
        <v>96</v>
      </c>
      <c r="I251" s="123">
        <v>2702</v>
      </c>
      <c r="J251" s="123">
        <v>13.5</v>
      </c>
      <c r="K251" s="123">
        <v>75</v>
      </c>
      <c r="L251" s="123" t="s">
        <v>111</v>
      </c>
      <c r="M251" s="123" t="s">
        <v>129</v>
      </c>
      <c r="N251" s="132">
        <v>171</v>
      </c>
      <c r="O251" s="132">
        <v>0</v>
      </c>
      <c r="P251" s="132">
        <v>4.5379855515541202E+18</v>
      </c>
    </row>
    <row r="252" spans="4:16" ht="15" customHeight="1" x14ac:dyDescent="0.2">
      <c r="D252" s="130" t="b">
        <v>0</v>
      </c>
      <c r="E252" s="124">
        <v>25</v>
      </c>
      <c r="F252" s="125">
        <v>4</v>
      </c>
      <c r="G252" s="125">
        <v>90</v>
      </c>
      <c r="H252" s="123">
        <v>71</v>
      </c>
      <c r="I252" s="123">
        <v>2223</v>
      </c>
      <c r="J252" s="123">
        <v>16.5</v>
      </c>
      <c r="K252" s="123">
        <v>75</v>
      </c>
      <c r="L252" s="123" t="s">
        <v>117</v>
      </c>
      <c r="M252" s="123" t="s">
        <v>212</v>
      </c>
      <c r="N252" s="132">
        <v>172</v>
      </c>
      <c r="O252" s="132">
        <v>0</v>
      </c>
      <c r="P252" s="132">
        <v>1.3343439536465277E+19</v>
      </c>
    </row>
    <row r="253" spans="4:16" ht="15" customHeight="1" x14ac:dyDescent="0.2">
      <c r="D253" s="130" t="b">
        <v>0</v>
      </c>
      <c r="E253" s="124">
        <v>24</v>
      </c>
      <c r="F253" s="125">
        <v>4</v>
      </c>
      <c r="G253" s="125">
        <v>119</v>
      </c>
      <c r="H253" s="123">
        <v>97</v>
      </c>
      <c r="I253" s="123">
        <v>2545</v>
      </c>
      <c r="J253" s="123">
        <v>17</v>
      </c>
      <c r="K253" s="123">
        <v>75</v>
      </c>
      <c r="L253" s="123" t="s">
        <v>111</v>
      </c>
      <c r="M253" s="123" t="s">
        <v>213</v>
      </c>
      <c r="N253" s="132">
        <v>173</v>
      </c>
      <c r="O253" s="132">
        <v>0</v>
      </c>
      <c r="P253" s="132">
        <v>1.1177686902195038E+19</v>
      </c>
    </row>
    <row r="254" spans="4:16" ht="15" customHeight="1" x14ac:dyDescent="0.2">
      <c r="D254" s="130" t="b">
        <v>0</v>
      </c>
      <c r="E254" s="124">
        <v>18</v>
      </c>
      <c r="F254" s="125">
        <v>6</v>
      </c>
      <c r="G254" s="125">
        <v>171</v>
      </c>
      <c r="H254" s="123">
        <v>97</v>
      </c>
      <c r="I254" s="123">
        <v>2984</v>
      </c>
      <c r="J254" s="123">
        <v>14.5</v>
      </c>
      <c r="K254" s="123">
        <v>75</v>
      </c>
      <c r="L254" s="123" t="s">
        <v>95</v>
      </c>
      <c r="M254" s="123" t="s">
        <v>96</v>
      </c>
      <c r="N254" s="132">
        <v>174</v>
      </c>
      <c r="O254" s="132">
        <v>0</v>
      </c>
      <c r="P254" s="132">
        <v>1.3253648177541456E+19</v>
      </c>
    </row>
    <row r="255" spans="4:16" ht="15" customHeight="1" x14ac:dyDescent="0.2">
      <c r="D255" s="130" t="b">
        <v>0</v>
      </c>
      <c r="E255" s="124">
        <v>29</v>
      </c>
      <c r="F255" s="125">
        <v>4</v>
      </c>
      <c r="G255" s="125">
        <v>90</v>
      </c>
      <c r="H255" s="123">
        <v>70</v>
      </c>
      <c r="I255" s="123">
        <v>1937</v>
      </c>
      <c r="J255" s="123">
        <v>14</v>
      </c>
      <c r="K255" s="123">
        <v>75</v>
      </c>
      <c r="L255" s="123" t="s">
        <v>117</v>
      </c>
      <c r="M255" s="123" t="s">
        <v>231</v>
      </c>
      <c r="N255" s="132">
        <v>175</v>
      </c>
      <c r="O255" s="132">
        <v>0</v>
      </c>
      <c r="P255" s="132">
        <v>6.6960920474643661E+18</v>
      </c>
    </row>
    <row r="256" spans="4:16" ht="15" customHeight="1" x14ac:dyDescent="0.2">
      <c r="D256" s="130" t="b">
        <v>0</v>
      </c>
      <c r="E256" s="124">
        <v>19</v>
      </c>
      <c r="F256" s="125">
        <v>6</v>
      </c>
      <c r="G256" s="125">
        <v>232</v>
      </c>
      <c r="H256" s="123">
        <v>90</v>
      </c>
      <c r="I256" s="123">
        <v>3211</v>
      </c>
      <c r="J256" s="123">
        <v>17</v>
      </c>
      <c r="K256" s="123">
        <v>75</v>
      </c>
      <c r="L256" s="123" t="s">
        <v>95</v>
      </c>
      <c r="M256" s="123" t="s">
        <v>232</v>
      </c>
      <c r="N256" s="132">
        <v>176</v>
      </c>
      <c r="O256" s="132">
        <v>0</v>
      </c>
      <c r="P256" s="132">
        <v>1.2763463434177561E+19</v>
      </c>
    </row>
    <row r="257" spans="4:16" ht="15" customHeight="1" x14ac:dyDescent="0.2">
      <c r="D257" s="130" t="b">
        <v>0</v>
      </c>
      <c r="E257" s="124">
        <v>23</v>
      </c>
      <c r="F257" s="125">
        <v>4</v>
      </c>
      <c r="G257" s="125">
        <v>115</v>
      </c>
      <c r="H257" s="123">
        <v>95</v>
      </c>
      <c r="I257" s="123">
        <v>2694</v>
      </c>
      <c r="J257" s="123">
        <v>15</v>
      </c>
      <c r="K257" s="123">
        <v>75</v>
      </c>
      <c r="L257" s="123" t="s">
        <v>117</v>
      </c>
      <c r="M257" s="123" t="s">
        <v>199</v>
      </c>
      <c r="N257" s="132">
        <v>177</v>
      </c>
      <c r="O257" s="132">
        <v>0</v>
      </c>
      <c r="P257" s="132">
        <v>2.3885306337775293E+18</v>
      </c>
    </row>
    <row r="258" spans="4:16" ht="15" customHeight="1" x14ac:dyDescent="0.2">
      <c r="D258" s="130" t="b">
        <v>0</v>
      </c>
      <c r="E258" s="124">
        <v>23</v>
      </c>
      <c r="F258" s="125">
        <v>4</v>
      </c>
      <c r="G258" s="125">
        <v>120</v>
      </c>
      <c r="H258" s="123">
        <v>88</v>
      </c>
      <c r="I258" s="123">
        <v>2957</v>
      </c>
      <c r="J258" s="123">
        <v>17</v>
      </c>
      <c r="K258" s="123">
        <v>75</v>
      </c>
      <c r="L258" s="123" t="s">
        <v>117</v>
      </c>
      <c r="M258" s="123" t="s">
        <v>119</v>
      </c>
      <c r="N258" s="132">
        <v>178</v>
      </c>
      <c r="O258" s="132">
        <v>0</v>
      </c>
      <c r="P258" s="132">
        <v>1.6895889103376409E+19</v>
      </c>
    </row>
    <row r="259" spans="4:16" ht="15" customHeight="1" x14ac:dyDescent="0.2">
      <c r="D259" s="130" t="b">
        <v>0</v>
      </c>
      <c r="E259" s="124">
        <v>22</v>
      </c>
      <c r="F259" s="125">
        <v>4</v>
      </c>
      <c r="G259" s="125">
        <v>121</v>
      </c>
      <c r="H259" s="123">
        <v>98</v>
      </c>
      <c r="I259" s="123">
        <v>2945</v>
      </c>
      <c r="J259" s="123">
        <v>14.5</v>
      </c>
      <c r="K259" s="123">
        <v>75</v>
      </c>
      <c r="L259" s="123" t="s">
        <v>117</v>
      </c>
      <c r="M259" s="123" t="s">
        <v>233</v>
      </c>
      <c r="N259" s="132">
        <v>179</v>
      </c>
      <c r="O259" s="132">
        <v>0</v>
      </c>
      <c r="P259" s="132">
        <v>7.5669939841942006E+18</v>
      </c>
    </row>
    <row r="260" spans="4:16" ht="15" customHeight="1" x14ac:dyDescent="0.2">
      <c r="D260" s="130" t="b">
        <v>0</v>
      </c>
      <c r="E260" s="124">
        <v>25</v>
      </c>
      <c r="F260" s="125">
        <v>4</v>
      </c>
      <c r="G260" s="125">
        <v>121</v>
      </c>
      <c r="H260" s="123">
        <v>115</v>
      </c>
      <c r="I260" s="123">
        <v>2671</v>
      </c>
      <c r="J260" s="123">
        <v>13.5</v>
      </c>
      <c r="K260" s="123">
        <v>75</v>
      </c>
      <c r="L260" s="123" t="s">
        <v>117</v>
      </c>
      <c r="M260" s="123" t="s">
        <v>202</v>
      </c>
      <c r="N260" s="132">
        <v>180</v>
      </c>
      <c r="O260" s="132">
        <v>0</v>
      </c>
      <c r="P260" s="132">
        <v>1.5174321224463532E+19</v>
      </c>
    </row>
    <row r="261" spans="4:16" ht="15" customHeight="1" x14ac:dyDescent="0.2">
      <c r="D261" s="130" t="b">
        <v>0</v>
      </c>
      <c r="E261" s="124">
        <v>33</v>
      </c>
      <c r="F261" s="125">
        <v>4</v>
      </c>
      <c r="G261" s="125">
        <v>91</v>
      </c>
      <c r="H261" s="123">
        <v>53</v>
      </c>
      <c r="I261" s="123">
        <v>1795</v>
      </c>
      <c r="J261" s="123">
        <v>17.5</v>
      </c>
      <c r="K261" s="123">
        <v>75</v>
      </c>
      <c r="L261" s="123" t="s">
        <v>111</v>
      </c>
      <c r="M261" s="123" t="s">
        <v>234</v>
      </c>
      <c r="N261" s="132">
        <v>181</v>
      </c>
      <c r="O261" s="132">
        <v>0</v>
      </c>
      <c r="P261" s="132">
        <v>7.7386102882512415E+18</v>
      </c>
    </row>
    <row r="262" spans="4:16" ht="15" customHeight="1" x14ac:dyDescent="0.2">
      <c r="D262" s="130" t="b">
        <v>0</v>
      </c>
      <c r="E262" s="124">
        <v>28</v>
      </c>
      <c r="F262" s="125">
        <v>4</v>
      </c>
      <c r="G262" s="125">
        <v>107</v>
      </c>
      <c r="H262" s="123">
        <v>86</v>
      </c>
      <c r="I262" s="123">
        <v>2464</v>
      </c>
      <c r="J262" s="123">
        <v>15.5</v>
      </c>
      <c r="K262" s="123">
        <v>76</v>
      </c>
      <c r="L262" s="123" t="s">
        <v>117</v>
      </c>
      <c r="M262" s="123" t="s">
        <v>235</v>
      </c>
      <c r="N262" s="132">
        <v>182</v>
      </c>
      <c r="O262" s="132">
        <v>0</v>
      </c>
      <c r="P262" s="132">
        <v>5.8051640768875387E+18</v>
      </c>
    </row>
    <row r="263" spans="4:16" ht="15" customHeight="1" x14ac:dyDescent="0.2">
      <c r="D263" s="130" t="b">
        <v>0</v>
      </c>
      <c r="E263" s="124">
        <v>25</v>
      </c>
      <c r="F263" s="125">
        <v>4</v>
      </c>
      <c r="G263" s="125">
        <v>116</v>
      </c>
      <c r="H263" s="123">
        <v>81</v>
      </c>
      <c r="I263" s="123">
        <v>2220</v>
      </c>
      <c r="J263" s="123">
        <v>16.899999999999999</v>
      </c>
      <c r="K263" s="123">
        <v>76</v>
      </c>
      <c r="L263" s="123" t="s">
        <v>117</v>
      </c>
      <c r="M263" s="123" t="s">
        <v>142</v>
      </c>
      <c r="N263" s="132">
        <v>183</v>
      </c>
      <c r="O263" s="132">
        <v>0</v>
      </c>
      <c r="P263" s="132">
        <v>3.470926789897769E+18</v>
      </c>
    </row>
    <row r="264" spans="4:16" ht="15" customHeight="1" x14ac:dyDescent="0.2">
      <c r="D264" s="130" t="b">
        <v>0</v>
      </c>
      <c r="E264" s="124">
        <v>25</v>
      </c>
      <c r="F264" s="125">
        <v>4</v>
      </c>
      <c r="G264" s="125">
        <v>140</v>
      </c>
      <c r="H264" s="123">
        <v>92</v>
      </c>
      <c r="I264" s="123">
        <v>2572</v>
      </c>
      <c r="J264" s="123">
        <v>14.9</v>
      </c>
      <c r="K264" s="123">
        <v>76</v>
      </c>
      <c r="L264" s="123" t="s">
        <v>95</v>
      </c>
      <c r="M264" s="123" t="s">
        <v>236</v>
      </c>
      <c r="N264" s="132">
        <v>184</v>
      </c>
      <c r="O264" s="132">
        <v>0</v>
      </c>
      <c r="P264" s="132">
        <v>1.3383665230735875E+18</v>
      </c>
    </row>
    <row r="265" spans="4:16" ht="15" customHeight="1" x14ac:dyDescent="0.2">
      <c r="D265" s="130" t="b">
        <v>0</v>
      </c>
      <c r="E265" s="124">
        <v>26</v>
      </c>
      <c r="F265" s="125">
        <v>4</v>
      </c>
      <c r="G265" s="125">
        <v>98</v>
      </c>
      <c r="H265" s="123">
        <v>79</v>
      </c>
      <c r="I265" s="123">
        <v>2255</v>
      </c>
      <c r="J265" s="123">
        <v>17.7</v>
      </c>
      <c r="K265" s="123">
        <v>76</v>
      </c>
      <c r="L265" s="123" t="s">
        <v>95</v>
      </c>
      <c r="M265" s="123" t="s">
        <v>214</v>
      </c>
      <c r="N265" s="132">
        <v>185</v>
      </c>
      <c r="O265" s="132">
        <v>0</v>
      </c>
      <c r="P265" s="132">
        <v>1.5827231526711095E+19</v>
      </c>
    </row>
    <row r="266" spans="4:16" ht="15" customHeight="1" x14ac:dyDescent="0.2">
      <c r="D266" s="130" t="b">
        <v>0</v>
      </c>
      <c r="E266" s="124">
        <v>27</v>
      </c>
      <c r="F266" s="125">
        <v>4</v>
      </c>
      <c r="G266" s="125">
        <v>101</v>
      </c>
      <c r="H266" s="123">
        <v>83</v>
      </c>
      <c r="I266" s="123">
        <v>2202</v>
      </c>
      <c r="J266" s="123">
        <v>15.3</v>
      </c>
      <c r="K266" s="123">
        <v>76</v>
      </c>
      <c r="L266" s="123" t="s">
        <v>117</v>
      </c>
      <c r="M266" s="123" t="s">
        <v>237</v>
      </c>
      <c r="N266" s="132">
        <v>186</v>
      </c>
      <c r="O266" s="132">
        <v>0</v>
      </c>
      <c r="P266" s="132">
        <v>9.3286118023217275E+18</v>
      </c>
    </row>
    <row r="267" spans="4:16" ht="15" customHeight="1" x14ac:dyDescent="0.2">
      <c r="D267" s="130" t="b">
        <v>0</v>
      </c>
      <c r="E267" s="124">
        <v>17.5</v>
      </c>
      <c r="F267" s="125">
        <v>8</v>
      </c>
      <c r="G267" s="125">
        <v>305</v>
      </c>
      <c r="H267" s="123">
        <v>140</v>
      </c>
      <c r="I267" s="123">
        <v>4215</v>
      </c>
      <c r="J267" s="123">
        <v>13</v>
      </c>
      <c r="K267" s="123">
        <v>76</v>
      </c>
      <c r="L267" s="123" t="s">
        <v>95</v>
      </c>
      <c r="M267" s="123" t="s">
        <v>207</v>
      </c>
      <c r="N267" s="132">
        <v>187</v>
      </c>
      <c r="O267" s="132">
        <v>0</v>
      </c>
      <c r="P267" s="132">
        <v>9.3036439543725158E+18</v>
      </c>
    </row>
    <row r="268" spans="4:16" ht="15" customHeight="1" x14ac:dyDescent="0.2">
      <c r="D268" s="130" t="b">
        <v>0</v>
      </c>
      <c r="E268" s="124">
        <v>16</v>
      </c>
      <c r="F268" s="125">
        <v>8</v>
      </c>
      <c r="G268" s="125">
        <v>318</v>
      </c>
      <c r="H268" s="123">
        <v>150</v>
      </c>
      <c r="I268" s="123">
        <v>4190</v>
      </c>
      <c r="J268" s="123">
        <v>13</v>
      </c>
      <c r="K268" s="123">
        <v>76</v>
      </c>
      <c r="L268" s="123" t="s">
        <v>95</v>
      </c>
      <c r="M268" s="123" t="s">
        <v>238</v>
      </c>
      <c r="N268" s="132">
        <v>188</v>
      </c>
      <c r="O268" s="132">
        <v>0</v>
      </c>
      <c r="P268" s="132">
        <v>1.440500626654607E+19</v>
      </c>
    </row>
    <row r="269" spans="4:16" ht="15" customHeight="1" x14ac:dyDescent="0.2">
      <c r="D269" s="130" t="b">
        <v>0</v>
      </c>
      <c r="E269" s="124">
        <v>15.5</v>
      </c>
      <c r="F269" s="125">
        <v>8</v>
      </c>
      <c r="G269" s="125">
        <v>304</v>
      </c>
      <c r="H269" s="123">
        <v>120</v>
      </c>
      <c r="I269" s="123">
        <v>3962</v>
      </c>
      <c r="J269" s="123">
        <v>13.9</v>
      </c>
      <c r="K269" s="123">
        <v>76</v>
      </c>
      <c r="L269" s="123" t="s">
        <v>95</v>
      </c>
      <c r="M269" s="123" t="s">
        <v>132</v>
      </c>
      <c r="N269" s="132">
        <v>189</v>
      </c>
      <c r="O269" s="132">
        <v>0</v>
      </c>
      <c r="P269" s="132">
        <v>1.8458018676920269E+18</v>
      </c>
    </row>
    <row r="270" spans="4:16" ht="15" customHeight="1" x14ac:dyDescent="0.2">
      <c r="D270" s="130" t="b">
        <v>0</v>
      </c>
      <c r="E270" s="124">
        <v>14.5</v>
      </c>
      <c r="F270" s="125">
        <v>8</v>
      </c>
      <c r="G270" s="125">
        <v>351</v>
      </c>
      <c r="H270" s="123">
        <v>152</v>
      </c>
      <c r="I270" s="123">
        <v>4215</v>
      </c>
      <c r="J270" s="123">
        <v>12.8</v>
      </c>
      <c r="K270" s="123">
        <v>76</v>
      </c>
      <c r="L270" s="123" t="s">
        <v>95</v>
      </c>
      <c r="M270" s="123" t="s">
        <v>175</v>
      </c>
      <c r="N270" s="132">
        <v>190</v>
      </c>
      <c r="O270" s="132">
        <v>0</v>
      </c>
      <c r="P270" s="132">
        <v>1.068694892534954E+19</v>
      </c>
    </row>
    <row r="271" spans="4:16" ht="15" customHeight="1" x14ac:dyDescent="0.2">
      <c r="D271" s="130" t="b">
        <v>0</v>
      </c>
      <c r="E271" s="124">
        <v>22</v>
      </c>
      <c r="F271" s="125">
        <v>6</v>
      </c>
      <c r="G271" s="125">
        <v>225</v>
      </c>
      <c r="H271" s="123">
        <v>100</v>
      </c>
      <c r="I271" s="123">
        <v>3233</v>
      </c>
      <c r="J271" s="123">
        <v>15.4</v>
      </c>
      <c r="K271" s="123">
        <v>76</v>
      </c>
      <c r="L271" s="123" t="s">
        <v>95</v>
      </c>
      <c r="M271" s="123" t="s">
        <v>184</v>
      </c>
      <c r="N271" s="132">
        <v>191</v>
      </c>
      <c r="O271" s="132">
        <v>0</v>
      </c>
      <c r="P271" s="132">
        <v>1.685804729130521E+19</v>
      </c>
    </row>
    <row r="272" spans="4:16" ht="15" customHeight="1" x14ac:dyDescent="0.2">
      <c r="D272" s="130" t="b">
        <v>0</v>
      </c>
      <c r="E272" s="124">
        <v>22</v>
      </c>
      <c r="F272" s="125">
        <v>6</v>
      </c>
      <c r="G272" s="125">
        <v>250</v>
      </c>
      <c r="H272" s="123">
        <v>105</v>
      </c>
      <c r="I272" s="123">
        <v>3353</v>
      </c>
      <c r="J272" s="123">
        <v>14.5</v>
      </c>
      <c r="K272" s="123">
        <v>76</v>
      </c>
      <c r="L272" s="123" t="s">
        <v>95</v>
      </c>
      <c r="M272" s="123" t="s">
        <v>205</v>
      </c>
      <c r="N272" s="132">
        <v>192</v>
      </c>
      <c r="O272" s="132">
        <v>0</v>
      </c>
      <c r="P272" s="132">
        <v>1.9911144628666703E+18</v>
      </c>
    </row>
    <row r="273" spans="4:16" ht="15" customHeight="1" x14ac:dyDescent="0.2">
      <c r="D273" s="130" t="b">
        <v>0</v>
      </c>
      <c r="E273" s="124">
        <v>24</v>
      </c>
      <c r="F273" s="125">
        <v>6</v>
      </c>
      <c r="G273" s="125">
        <v>200</v>
      </c>
      <c r="H273" s="123">
        <v>81</v>
      </c>
      <c r="I273" s="123">
        <v>3012</v>
      </c>
      <c r="J273" s="123">
        <v>17.600000000000001</v>
      </c>
      <c r="K273" s="123">
        <v>76</v>
      </c>
      <c r="L273" s="123" t="s">
        <v>95</v>
      </c>
      <c r="M273" s="123" t="s">
        <v>115</v>
      </c>
      <c r="N273" s="132">
        <v>193</v>
      </c>
      <c r="O273" s="132">
        <v>0</v>
      </c>
      <c r="P273" s="132">
        <v>4.8327975225269699E+18</v>
      </c>
    </row>
    <row r="274" spans="4:16" ht="15" customHeight="1" x14ac:dyDescent="0.2">
      <c r="D274" s="130" t="b">
        <v>0</v>
      </c>
      <c r="E274" s="124">
        <v>22.5</v>
      </c>
      <c r="F274" s="125">
        <v>6</v>
      </c>
      <c r="G274" s="125">
        <v>232</v>
      </c>
      <c r="H274" s="123">
        <v>90</v>
      </c>
      <c r="I274" s="123">
        <v>3085</v>
      </c>
      <c r="J274" s="123">
        <v>17.600000000000001</v>
      </c>
      <c r="K274" s="123">
        <v>76</v>
      </c>
      <c r="L274" s="123" t="s">
        <v>95</v>
      </c>
      <c r="M274" s="123" t="s">
        <v>114</v>
      </c>
      <c r="N274" s="132">
        <v>194</v>
      </c>
      <c r="O274" s="132">
        <v>0</v>
      </c>
      <c r="P274" s="132">
        <v>1.7821018395859126E+19</v>
      </c>
    </row>
    <row r="275" spans="4:16" ht="15" customHeight="1" x14ac:dyDescent="0.2">
      <c r="D275" s="130" t="b">
        <v>0</v>
      </c>
      <c r="E275" s="124">
        <v>29</v>
      </c>
      <c r="F275" s="125">
        <v>4</v>
      </c>
      <c r="G275" s="125">
        <v>85</v>
      </c>
      <c r="H275" s="123">
        <v>52</v>
      </c>
      <c r="I275" s="123">
        <v>2035</v>
      </c>
      <c r="J275" s="123">
        <v>22.2</v>
      </c>
      <c r="K275" s="123">
        <v>76</v>
      </c>
      <c r="L275" s="123" t="s">
        <v>95</v>
      </c>
      <c r="M275" s="123" t="s">
        <v>239</v>
      </c>
      <c r="N275" s="132">
        <v>195</v>
      </c>
      <c r="O275" s="132">
        <v>0</v>
      </c>
      <c r="P275" s="132">
        <v>8.4976593320769864E+18</v>
      </c>
    </row>
    <row r="276" spans="4:16" ht="15" customHeight="1" x14ac:dyDescent="0.2">
      <c r="D276" s="130" t="b">
        <v>0</v>
      </c>
      <c r="E276" s="124">
        <v>24.5</v>
      </c>
      <c r="F276" s="125">
        <v>4</v>
      </c>
      <c r="G276" s="125">
        <v>98</v>
      </c>
      <c r="H276" s="123">
        <v>60</v>
      </c>
      <c r="I276" s="123">
        <v>2164</v>
      </c>
      <c r="J276" s="123">
        <v>22.1</v>
      </c>
      <c r="K276" s="123">
        <v>76</v>
      </c>
      <c r="L276" s="123" t="s">
        <v>95</v>
      </c>
      <c r="M276" s="123" t="s">
        <v>240</v>
      </c>
      <c r="N276" s="132">
        <v>196</v>
      </c>
      <c r="O276" s="132">
        <v>0</v>
      </c>
      <c r="P276" s="132">
        <v>1.3289796170930514E+19</v>
      </c>
    </row>
    <row r="277" spans="4:16" ht="15" customHeight="1" x14ac:dyDescent="0.2">
      <c r="D277" s="130" t="b">
        <v>0</v>
      </c>
      <c r="E277" s="124">
        <v>29</v>
      </c>
      <c r="F277" s="125">
        <v>4</v>
      </c>
      <c r="G277" s="125">
        <v>90</v>
      </c>
      <c r="H277" s="123">
        <v>70</v>
      </c>
      <c r="I277" s="123">
        <v>1937</v>
      </c>
      <c r="J277" s="123">
        <v>14.2</v>
      </c>
      <c r="K277" s="123">
        <v>76</v>
      </c>
      <c r="L277" s="123" t="s">
        <v>117</v>
      </c>
      <c r="M277" s="123" t="s">
        <v>241</v>
      </c>
      <c r="N277" s="132">
        <v>197</v>
      </c>
      <c r="O277" s="132">
        <v>0</v>
      </c>
      <c r="P277" s="132">
        <v>1.2419293533457256E+19</v>
      </c>
    </row>
    <row r="278" spans="4:16" ht="15" customHeight="1" x14ac:dyDescent="0.2">
      <c r="D278" s="130" t="b">
        <v>0</v>
      </c>
      <c r="E278" s="124">
        <v>33</v>
      </c>
      <c r="F278" s="125">
        <v>4</v>
      </c>
      <c r="G278" s="125">
        <v>91</v>
      </c>
      <c r="H278" s="123">
        <v>53</v>
      </c>
      <c r="I278" s="123">
        <v>1795</v>
      </c>
      <c r="J278" s="123">
        <v>17.399999999999999</v>
      </c>
      <c r="K278" s="123">
        <v>76</v>
      </c>
      <c r="L278" s="123" t="s">
        <v>111</v>
      </c>
      <c r="M278" s="123" t="s">
        <v>216</v>
      </c>
      <c r="N278" s="132">
        <v>198</v>
      </c>
      <c r="O278" s="132">
        <v>0</v>
      </c>
      <c r="P278" s="132">
        <v>5.5827692093751409E+18</v>
      </c>
    </row>
    <row r="279" spans="4:16" ht="15" customHeight="1" x14ac:dyDescent="0.2">
      <c r="D279" s="130" t="b">
        <v>0</v>
      </c>
      <c r="E279" s="124">
        <v>20</v>
      </c>
      <c r="F279" s="125">
        <v>6</v>
      </c>
      <c r="G279" s="125">
        <v>225</v>
      </c>
      <c r="H279" s="123">
        <v>100</v>
      </c>
      <c r="I279" s="123">
        <v>3651</v>
      </c>
      <c r="J279" s="123">
        <v>17.7</v>
      </c>
      <c r="K279" s="123">
        <v>76</v>
      </c>
      <c r="L279" s="123" t="s">
        <v>95</v>
      </c>
      <c r="M279" s="123" t="s">
        <v>242</v>
      </c>
      <c r="N279" s="132">
        <v>199</v>
      </c>
      <c r="O279" s="132">
        <v>0</v>
      </c>
      <c r="P279" s="132">
        <v>1.15747258846907E+19</v>
      </c>
    </row>
    <row r="280" spans="4:16" ht="15" customHeight="1" x14ac:dyDescent="0.2">
      <c r="D280" s="130" t="b">
        <v>0</v>
      </c>
      <c r="E280" s="124">
        <v>18</v>
      </c>
      <c r="F280" s="125">
        <v>6</v>
      </c>
      <c r="G280" s="125">
        <v>250</v>
      </c>
      <c r="H280" s="123">
        <v>78</v>
      </c>
      <c r="I280" s="123">
        <v>3574</v>
      </c>
      <c r="J280" s="123">
        <v>21</v>
      </c>
      <c r="K280" s="123">
        <v>76</v>
      </c>
      <c r="L280" s="123" t="s">
        <v>95</v>
      </c>
      <c r="M280" s="123" t="s">
        <v>243</v>
      </c>
      <c r="N280" s="132">
        <v>200</v>
      </c>
      <c r="O280" s="132">
        <v>0</v>
      </c>
      <c r="P280" s="132">
        <v>1.0160308868614633E+19</v>
      </c>
    </row>
    <row r="281" spans="4:16" ht="15" customHeight="1" x14ac:dyDescent="0.2">
      <c r="D281" s="130" t="b">
        <v>0</v>
      </c>
      <c r="E281" s="124">
        <v>18.5</v>
      </c>
      <c r="F281" s="125">
        <v>6</v>
      </c>
      <c r="G281" s="125">
        <v>250</v>
      </c>
      <c r="H281" s="123">
        <v>110</v>
      </c>
      <c r="I281" s="123">
        <v>3645</v>
      </c>
      <c r="J281" s="123">
        <v>16.2</v>
      </c>
      <c r="K281" s="123">
        <v>76</v>
      </c>
      <c r="L281" s="123" t="s">
        <v>95</v>
      </c>
      <c r="M281" s="123" t="s">
        <v>244</v>
      </c>
      <c r="N281" s="132">
        <v>201</v>
      </c>
      <c r="O281" s="132">
        <v>0</v>
      </c>
      <c r="P281" s="132">
        <v>1.6934001224448658E+18</v>
      </c>
    </row>
    <row r="282" spans="4:16" ht="15" customHeight="1" x14ac:dyDescent="0.2">
      <c r="D282" s="130" t="b">
        <v>0</v>
      </c>
      <c r="E282" s="124">
        <v>17.5</v>
      </c>
      <c r="F282" s="125">
        <v>6</v>
      </c>
      <c r="G282" s="125">
        <v>258</v>
      </c>
      <c r="H282" s="123">
        <v>95</v>
      </c>
      <c r="I282" s="123">
        <v>3193</v>
      </c>
      <c r="J282" s="123">
        <v>17.8</v>
      </c>
      <c r="K282" s="123">
        <v>76</v>
      </c>
      <c r="L282" s="123" t="s">
        <v>95</v>
      </c>
      <c r="M282" s="123" t="s">
        <v>245</v>
      </c>
      <c r="N282" s="132">
        <v>202</v>
      </c>
      <c r="O282" s="132">
        <v>0</v>
      </c>
      <c r="P282" s="132">
        <v>2.6953336598162335E+18</v>
      </c>
    </row>
    <row r="283" spans="4:16" ht="15" customHeight="1" x14ac:dyDescent="0.2">
      <c r="D283" s="130" t="b">
        <v>0</v>
      </c>
      <c r="E283" s="124">
        <v>29.5</v>
      </c>
      <c r="F283" s="125">
        <v>4</v>
      </c>
      <c r="G283" s="125">
        <v>97</v>
      </c>
      <c r="H283" s="123">
        <v>71</v>
      </c>
      <c r="I283" s="123">
        <v>1825</v>
      </c>
      <c r="J283" s="123">
        <v>12.2</v>
      </c>
      <c r="K283" s="123">
        <v>76</v>
      </c>
      <c r="L283" s="123" t="s">
        <v>117</v>
      </c>
      <c r="M283" s="123" t="s">
        <v>231</v>
      </c>
      <c r="N283" s="132">
        <v>203</v>
      </c>
      <c r="O283" s="132">
        <v>0</v>
      </c>
      <c r="P283" s="132">
        <v>1.3117011802289205E+19</v>
      </c>
    </row>
    <row r="284" spans="4:16" ht="15" customHeight="1" x14ac:dyDescent="0.2">
      <c r="D284" s="130" t="b">
        <v>0</v>
      </c>
      <c r="E284" s="124">
        <v>32</v>
      </c>
      <c r="F284" s="125">
        <v>4</v>
      </c>
      <c r="G284" s="125">
        <v>85</v>
      </c>
      <c r="H284" s="123">
        <v>70</v>
      </c>
      <c r="I284" s="123">
        <v>1990</v>
      </c>
      <c r="J284" s="123">
        <v>17</v>
      </c>
      <c r="K284" s="123">
        <v>76</v>
      </c>
      <c r="L284" s="123" t="s">
        <v>111</v>
      </c>
      <c r="M284" s="123" t="s">
        <v>246</v>
      </c>
      <c r="N284" s="132">
        <v>204</v>
      </c>
      <c r="O284" s="132">
        <v>0</v>
      </c>
      <c r="P284" s="132">
        <v>9.786375405039915E+18</v>
      </c>
    </row>
    <row r="285" spans="4:16" ht="15" customHeight="1" x14ac:dyDescent="0.2">
      <c r="D285" s="130" t="b">
        <v>0</v>
      </c>
      <c r="E285" s="124">
        <v>28</v>
      </c>
      <c r="F285" s="125">
        <v>4</v>
      </c>
      <c r="G285" s="125">
        <v>97</v>
      </c>
      <c r="H285" s="123">
        <v>75</v>
      </c>
      <c r="I285" s="123">
        <v>2155</v>
      </c>
      <c r="J285" s="123">
        <v>16.399999999999999</v>
      </c>
      <c r="K285" s="123">
        <v>76</v>
      </c>
      <c r="L285" s="123" t="s">
        <v>111</v>
      </c>
      <c r="M285" s="123" t="s">
        <v>229</v>
      </c>
      <c r="N285" s="132">
        <v>205</v>
      </c>
      <c r="O285" s="132">
        <v>0</v>
      </c>
      <c r="P285" s="132">
        <v>4.0067651968096727E+18</v>
      </c>
    </row>
    <row r="286" spans="4:16" ht="15" customHeight="1" x14ac:dyDescent="0.2">
      <c r="D286" s="130" t="b">
        <v>0</v>
      </c>
      <c r="E286" s="124">
        <v>26.5</v>
      </c>
      <c r="F286" s="125">
        <v>4</v>
      </c>
      <c r="G286" s="125">
        <v>140</v>
      </c>
      <c r="H286" s="123">
        <v>72</v>
      </c>
      <c r="I286" s="123">
        <v>2565</v>
      </c>
      <c r="J286" s="123">
        <v>13.6</v>
      </c>
      <c r="K286" s="123">
        <v>76</v>
      </c>
      <c r="L286" s="123" t="s">
        <v>95</v>
      </c>
      <c r="M286" s="123" t="s">
        <v>96</v>
      </c>
      <c r="N286" s="132">
        <v>206</v>
      </c>
      <c r="O286" s="132">
        <v>0</v>
      </c>
      <c r="P286" s="132">
        <v>9.8117203222266081E+18</v>
      </c>
    </row>
    <row r="287" spans="4:16" ht="15" customHeight="1" x14ac:dyDescent="0.2">
      <c r="D287" s="130" t="b">
        <v>0</v>
      </c>
      <c r="E287" s="124">
        <v>20</v>
      </c>
      <c r="F287" s="125">
        <v>4</v>
      </c>
      <c r="G287" s="125">
        <v>130</v>
      </c>
      <c r="H287" s="123">
        <v>102</v>
      </c>
      <c r="I287" s="123">
        <v>3150</v>
      </c>
      <c r="J287" s="123">
        <v>15.7</v>
      </c>
      <c r="K287" s="123">
        <v>76</v>
      </c>
      <c r="L287" s="123" t="s">
        <v>117</v>
      </c>
      <c r="M287" s="123" t="s">
        <v>247</v>
      </c>
      <c r="N287" s="132">
        <v>207</v>
      </c>
      <c r="O287" s="132">
        <v>0</v>
      </c>
      <c r="P287" s="132">
        <v>1.6417152913147587E+19</v>
      </c>
    </row>
    <row r="288" spans="4:16" ht="15" customHeight="1" x14ac:dyDescent="0.2">
      <c r="D288" s="130" t="b">
        <v>0</v>
      </c>
      <c r="E288" s="124">
        <v>13</v>
      </c>
      <c r="F288" s="125">
        <v>8</v>
      </c>
      <c r="G288" s="125">
        <v>318</v>
      </c>
      <c r="H288" s="123">
        <v>150</v>
      </c>
      <c r="I288" s="123">
        <v>3940</v>
      </c>
      <c r="J288" s="123">
        <v>13.2</v>
      </c>
      <c r="K288" s="123">
        <v>76</v>
      </c>
      <c r="L288" s="123" t="s">
        <v>95</v>
      </c>
      <c r="M288" s="123" t="s">
        <v>248</v>
      </c>
      <c r="N288" s="132">
        <v>208</v>
      </c>
      <c r="O288" s="132">
        <v>0</v>
      </c>
      <c r="P288" s="132">
        <v>5.9930287039144653E+18</v>
      </c>
    </row>
    <row r="289" spans="4:16" ht="15" customHeight="1" x14ac:dyDescent="0.2">
      <c r="D289" s="130" t="b">
        <v>0</v>
      </c>
      <c r="E289" s="124">
        <v>19</v>
      </c>
      <c r="F289" s="125">
        <v>4</v>
      </c>
      <c r="G289" s="125">
        <v>120</v>
      </c>
      <c r="H289" s="123">
        <v>88</v>
      </c>
      <c r="I289" s="123">
        <v>3270</v>
      </c>
      <c r="J289" s="123">
        <v>21.9</v>
      </c>
      <c r="K289" s="123">
        <v>76</v>
      </c>
      <c r="L289" s="123" t="s">
        <v>117</v>
      </c>
      <c r="M289" s="123" t="s">
        <v>119</v>
      </c>
      <c r="N289" s="132">
        <v>209</v>
      </c>
      <c r="O289" s="132">
        <v>0</v>
      </c>
      <c r="P289" s="132">
        <v>2.9217201022247475E+18</v>
      </c>
    </row>
    <row r="290" spans="4:16" ht="15" customHeight="1" x14ac:dyDescent="0.2">
      <c r="D290" s="130" t="b">
        <v>0</v>
      </c>
      <c r="E290" s="124">
        <v>19</v>
      </c>
      <c r="F290" s="125">
        <v>6</v>
      </c>
      <c r="G290" s="125">
        <v>156</v>
      </c>
      <c r="H290" s="123">
        <v>108</v>
      </c>
      <c r="I290" s="123">
        <v>2930</v>
      </c>
      <c r="J290" s="123">
        <v>15.5</v>
      </c>
      <c r="K290" s="123">
        <v>76</v>
      </c>
      <c r="L290" s="123" t="s">
        <v>111</v>
      </c>
      <c r="M290" s="123" t="s">
        <v>203</v>
      </c>
      <c r="N290" s="132">
        <v>210</v>
      </c>
      <c r="O290" s="132">
        <v>0</v>
      </c>
      <c r="P290" s="132">
        <v>1.4474825684632929E+18</v>
      </c>
    </row>
    <row r="291" spans="4:16" ht="15" customHeight="1" x14ac:dyDescent="0.2">
      <c r="D291" s="130" t="b">
        <v>0</v>
      </c>
      <c r="E291" s="124">
        <v>16.5</v>
      </c>
      <c r="F291" s="125">
        <v>6</v>
      </c>
      <c r="G291" s="125">
        <v>168</v>
      </c>
      <c r="H291" s="123">
        <v>120</v>
      </c>
      <c r="I291" s="123">
        <v>3820</v>
      </c>
      <c r="J291" s="123">
        <v>16.7</v>
      </c>
      <c r="K291" s="123">
        <v>76</v>
      </c>
      <c r="L291" s="123" t="s">
        <v>117</v>
      </c>
      <c r="M291" s="123" t="s">
        <v>249</v>
      </c>
      <c r="N291" s="132">
        <v>211</v>
      </c>
      <c r="O291" s="132">
        <v>0</v>
      </c>
      <c r="P291" s="132">
        <v>3.4802221155476593E+18</v>
      </c>
    </row>
    <row r="292" spans="4:16" ht="15" customHeight="1" x14ac:dyDescent="0.2">
      <c r="D292" s="130" t="b">
        <v>0</v>
      </c>
      <c r="E292" s="124">
        <v>16.5</v>
      </c>
      <c r="F292" s="125">
        <v>8</v>
      </c>
      <c r="G292" s="125">
        <v>350</v>
      </c>
      <c r="H292" s="123">
        <v>180</v>
      </c>
      <c r="I292" s="123">
        <v>4380</v>
      </c>
      <c r="J292" s="123">
        <v>12.1</v>
      </c>
      <c r="K292" s="123">
        <v>76</v>
      </c>
      <c r="L292" s="123" t="s">
        <v>95</v>
      </c>
      <c r="M292" s="123" t="s">
        <v>250</v>
      </c>
      <c r="N292" s="132">
        <v>212</v>
      </c>
      <c r="O292" s="132">
        <v>0</v>
      </c>
      <c r="P292" s="132">
        <v>1.8119084149780015E+19</v>
      </c>
    </row>
    <row r="293" spans="4:16" ht="15" customHeight="1" x14ac:dyDescent="0.2">
      <c r="D293" s="130" t="b">
        <v>0</v>
      </c>
      <c r="E293" s="124">
        <v>13</v>
      </c>
      <c r="F293" s="125">
        <v>8</v>
      </c>
      <c r="G293" s="125">
        <v>350</v>
      </c>
      <c r="H293" s="123">
        <v>145</v>
      </c>
      <c r="I293" s="123">
        <v>4055</v>
      </c>
      <c r="J293" s="123">
        <v>12</v>
      </c>
      <c r="K293" s="123">
        <v>76</v>
      </c>
      <c r="L293" s="123" t="s">
        <v>95</v>
      </c>
      <c r="M293" s="123" t="s">
        <v>251</v>
      </c>
      <c r="N293" s="132">
        <v>213</v>
      </c>
      <c r="O293" s="132">
        <v>0</v>
      </c>
      <c r="P293" s="132">
        <v>4.6390499480283054E+18</v>
      </c>
    </row>
    <row r="294" spans="4:16" ht="15" customHeight="1" x14ac:dyDescent="0.2">
      <c r="D294" s="130" t="b">
        <v>0</v>
      </c>
      <c r="E294" s="124">
        <v>13</v>
      </c>
      <c r="F294" s="125">
        <v>8</v>
      </c>
      <c r="G294" s="125">
        <v>302</v>
      </c>
      <c r="H294" s="123">
        <v>130</v>
      </c>
      <c r="I294" s="123">
        <v>3870</v>
      </c>
      <c r="J294" s="123">
        <v>15</v>
      </c>
      <c r="K294" s="123">
        <v>76</v>
      </c>
      <c r="L294" s="123" t="s">
        <v>95</v>
      </c>
      <c r="M294" s="123" t="s">
        <v>252</v>
      </c>
      <c r="N294" s="132">
        <v>214</v>
      </c>
      <c r="O294" s="132">
        <v>0</v>
      </c>
      <c r="P294" s="132">
        <v>4.4433343198334705E+18</v>
      </c>
    </row>
    <row r="295" spans="4:16" ht="15" customHeight="1" x14ac:dyDescent="0.2">
      <c r="D295" s="130" t="b">
        <v>0</v>
      </c>
      <c r="E295" s="124">
        <v>13</v>
      </c>
      <c r="F295" s="125">
        <v>8</v>
      </c>
      <c r="G295" s="125">
        <v>318</v>
      </c>
      <c r="H295" s="123">
        <v>150</v>
      </c>
      <c r="I295" s="123">
        <v>3755</v>
      </c>
      <c r="J295" s="123">
        <v>14</v>
      </c>
      <c r="K295" s="123">
        <v>76</v>
      </c>
      <c r="L295" s="123" t="s">
        <v>95</v>
      </c>
      <c r="M295" s="123" t="s">
        <v>253</v>
      </c>
      <c r="N295" s="132">
        <v>215</v>
      </c>
      <c r="O295" s="132">
        <v>0</v>
      </c>
      <c r="P295" s="132">
        <v>1.7988882668091277E+19</v>
      </c>
    </row>
    <row r="296" spans="4:16" ht="15" customHeight="1" x14ac:dyDescent="0.2">
      <c r="D296" s="130" t="b">
        <v>0</v>
      </c>
      <c r="E296" s="124">
        <v>31.5</v>
      </c>
      <c r="F296" s="125">
        <v>4</v>
      </c>
      <c r="G296" s="125">
        <v>98</v>
      </c>
      <c r="H296" s="123">
        <v>68</v>
      </c>
      <c r="I296" s="123">
        <v>2045</v>
      </c>
      <c r="J296" s="123">
        <v>18.5</v>
      </c>
      <c r="K296" s="123">
        <v>77</v>
      </c>
      <c r="L296" s="123" t="s">
        <v>111</v>
      </c>
      <c r="M296" s="123" t="s">
        <v>254</v>
      </c>
      <c r="N296" s="132">
        <v>216</v>
      </c>
      <c r="O296" s="132">
        <v>0</v>
      </c>
      <c r="P296" s="132">
        <v>1.8016265951794506E+19</v>
      </c>
    </row>
    <row r="297" spans="4:16" ht="15" customHeight="1" x14ac:dyDescent="0.2">
      <c r="D297" s="130" t="b">
        <v>0</v>
      </c>
      <c r="E297" s="124">
        <v>30</v>
      </c>
      <c r="F297" s="125">
        <v>4</v>
      </c>
      <c r="G297" s="125">
        <v>111</v>
      </c>
      <c r="H297" s="123">
        <v>80</v>
      </c>
      <c r="I297" s="123">
        <v>2155</v>
      </c>
      <c r="J297" s="123">
        <v>14.8</v>
      </c>
      <c r="K297" s="123">
        <v>77</v>
      </c>
      <c r="L297" s="123" t="s">
        <v>95</v>
      </c>
      <c r="M297" s="123" t="s">
        <v>255</v>
      </c>
      <c r="N297" s="132">
        <v>217</v>
      </c>
      <c r="O297" s="132">
        <v>0</v>
      </c>
      <c r="P297" s="132">
        <v>9.6631227250324541E+18</v>
      </c>
    </row>
    <row r="298" spans="4:16" ht="15" customHeight="1" x14ac:dyDescent="0.2">
      <c r="D298" s="130" t="b">
        <v>0</v>
      </c>
      <c r="E298" s="124">
        <v>36</v>
      </c>
      <c r="F298" s="125">
        <v>4</v>
      </c>
      <c r="G298" s="125">
        <v>79</v>
      </c>
      <c r="H298" s="123">
        <v>58</v>
      </c>
      <c r="I298" s="123">
        <v>1825</v>
      </c>
      <c r="J298" s="123">
        <v>18.600000000000001</v>
      </c>
      <c r="K298" s="123">
        <v>77</v>
      </c>
      <c r="L298" s="123" t="s">
        <v>117</v>
      </c>
      <c r="M298" s="123" t="s">
        <v>256</v>
      </c>
      <c r="N298" s="132">
        <v>218</v>
      </c>
      <c r="O298" s="132">
        <v>0</v>
      </c>
      <c r="P298" s="132">
        <v>1.558876427509E+19</v>
      </c>
    </row>
    <row r="299" spans="4:16" ht="15" customHeight="1" x14ac:dyDescent="0.2">
      <c r="D299" s="130" t="b">
        <v>0</v>
      </c>
      <c r="E299" s="124">
        <v>25.5</v>
      </c>
      <c r="F299" s="125">
        <v>4</v>
      </c>
      <c r="G299" s="125">
        <v>122</v>
      </c>
      <c r="H299" s="123">
        <v>96</v>
      </c>
      <c r="I299" s="123">
        <v>2300</v>
      </c>
      <c r="J299" s="123">
        <v>15.5</v>
      </c>
      <c r="K299" s="123">
        <v>77</v>
      </c>
      <c r="L299" s="123" t="s">
        <v>95</v>
      </c>
      <c r="M299" s="123" t="s">
        <v>257</v>
      </c>
      <c r="N299" s="132">
        <v>219</v>
      </c>
      <c r="O299" s="132">
        <v>0</v>
      </c>
      <c r="P299" s="132">
        <v>2.2855257415462479E+18</v>
      </c>
    </row>
    <row r="300" spans="4:16" ht="15" customHeight="1" x14ac:dyDescent="0.2">
      <c r="D300" s="130" t="b">
        <v>0</v>
      </c>
      <c r="E300" s="124">
        <v>33.5</v>
      </c>
      <c r="F300" s="125">
        <v>4</v>
      </c>
      <c r="G300" s="125">
        <v>85</v>
      </c>
      <c r="H300" s="123">
        <v>70</v>
      </c>
      <c r="I300" s="123">
        <v>1945</v>
      </c>
      <c r="J300" s="123">
        <v>16.8</v>
      </c>
      <c r="K300" s="123">
        <v>77</v>
      </c>
      <c r="L300" s="123" t="s">
        <v>111</v>
      </c>
      <c r="M300" s="123" t="s">
        <v>258</v>
      </c>
      <c r="N300" s="132">
        <v>220</v>
      </c>
      <c r="O300" s="132">
        <v>0</v>
      </c>
      <c r="P300" s="132">
        <v>1.7354358143836879E+19</v>
      </c>
    </row>
    <row r="301" spans="4:16" ht="15" customHeight="1" x14ac:dyDescent="0.2">
      <c r="D301" s="130" t="b">
        <v>0</v>
      </c>
      <c r="E301" s="124">
        <v>17.5</v>
      </c>
      <c r="F301" s="125">
        <v>8</v>
      </c>
      <c r="G301" s="125">
        <v>305</v>
      </c>
      <c r="H301" s="123">
        <v>145</v>
      </c>
      <c r="I301" s="123">
        <v>3880</v>
      </c>
      <c r="J301" s="123">
        <v>12.5</v>
      </c>
      <c r="K301" s="123">
        <v>77</v>
      </c>
      <c r="L301" s="123" t="s">
        <v>95</v>
      </c>
      <c r="M301" s="123" t="s">
        <v>178</v>
      </c>
      <c r="N301" s="132">
        <v>221</v>
      </c>
      <c r="O301" s="132">
        <v>0</v>
      </c>
      <c r="P301" s="132">
        <v>1.1552395188160557E+19</v>
      </c>
    </row>
    <row r="302" spans="4:16" ht="15" customHeight="1" x14ac:dyDescent="0.2">
      <c r="D302" s="130" t="b">
        <v>0</v>
      </c>
      <c r="E302" s="124">
        <v>17</v>
      </c>
      <c r="F302" s="125">
        <v>8</v>
      </c>
      <c r="G302" s="125">
        <v>260</v>
      </c>
      <c r="H302" s="123">
        <v>110</v>
      </c>
      <c r="I302" s="123">
        <v>4060</v>
      </c>
      <c r="J302" s="123">
        <v>19</v>
      </c>
      <c r="K302" s="123">
        <v>77</v>
      </c>
      <c r="L302" s="123" t="s">
        <v>95</v>
      </c>
      <c r="M302" s="123" t="s">
        <v>259</v>
      </c>
      <c r="N302" s="132">
        <v>222</v>
      </c>
      <c r="O302" s="132">
        <v>0</v>
      </c>
      <c r="P302" s="132">
        <v>7.3683518295819141E+18</v>
      </c>
    </row>
    <row r="303" spans="4:16" ht="15" customHeight="1" x14ac:dyDescent="0.2">
      <c r="D303" s="130" t="b">
        <v>0</v>
      </c>
      <c r="E303" s="124">
        <v>15.5</v>
      </c>
      <c r="F303" s="125">
        <v>8</v>
      </c>
      <c r="G303" s="125">
        <v>318</v>
      </c>
      <c r="H303" s="123">
        <v>145</v>
      </c>
      <c r="I303" s="123">
        <v>4140</v>
      </c>
      <c r="J303" s="123">
        <v>13.7</v>
      </c>
      <c r="K303" s="123">
        <v>77</v>
      </c>
      <c r="L303" s="123" t="s">
        <v>95</v>
      </c>
      <c r="M303" s="123" t="s">
        <v>260</v>
      </c>
      <c r="N303" s="132">
        <v>223</v>
      </c>
      <c r="O303" s="132">
        <v>0</v>
      </c>
      <c r="P303" s="132">
        <v>1.8350899003915594E+19</v>
      </c>
    </row>
    <row r="304" spans="4:16" ht="15" customHeight="1" x14ac:dyDescent="0.2">
      <c r="D304" s="130" t="b">
        <v>0</v>
      </c>
      <c r="E304" s="124">
        <v>15</v>
      </c>
      <c r="F304" s="125">
        <v>8</v>
      </c>
      <c r="G304" s="125">
        <v>302</v>
      </c>
      <c r="H304" s="123">
        <v>130</v>
      </c>
      <c r="I304" s="123">
        <v>4295</v>
      </c>
      <c r="J304" s="123">
        <v>14.9</v>
      </c>
      <c r="K304" s="123">
        <v>77</v>
      </c>
      <c r="L304" s="123" t="s">
        <v>95</v>
      </c>
      <c r="M304" s="123" t="s">
        <v>261</v>
      </c>
      <c r="N304" s="132">
        <v>224</v>
      </c>
      <c r="O304" s="132">
        <v>0</v>
      </c>
      <c r="P304" s="132">
        <v>6.7184861057771633E+18</v>
      </c>
    </row>
    <row r="305" spans="4:16" ht="15" customHeight="1" x14ac:dyDescent="0.2">
      <c r="D305" s="130" t="b">
        <v>0</v>
      </c>
      <c r="E305" s="124">
        <v>17.5</v>
      </c>
      <c r="F305" s="125">
        <v>6</v>
      </c>
      <c r="G305" s="125">
        <v>250</v>
      </c>
      <c r="H305" s="123">
        <v>110</v>
      </c>
      <c r="I305" s="123">
        <v>3520</v>
      </c>
      <c r="J305" s="123">
        <v>16.399999999999999</v>
      </c>
      <c r="K305" s="123">
        <v>77</v>
      </c>
      <c r="L305" s="123" t="s">
        <v>95</v>
      </c>
      <c r="M305" s="123" t="s">
        <v>262</v>
      </c>
      <c r="N305" s="132">
        <v>225</v>
      </c>
      <c r="O305" s="132">
        <v>0</v>
      </c>
      <c r="P305" s="132">
        <v>3.3985930409208842E+18</v>
      </c>
    </row>
    <row r="306" spans="4:16" ht="15" customHeight="1" x14ac:dyDescent="0.2">
      <c r="D306" s="130" t="b">
        <v>0</v>
      </c>
      <c r="E306" s="124">
        <v>20.5</v>
      </c>
      <c r="F306" s="125">
        <v>6</v>
      </c>
      <c r="G306" s="125">
        <v>231</v>
      </c>
      <c r="H306" s="123">
        <v>105</v>
      </c>
      <c r="I306" s="123">
        <v>3425</v>
      </c>
      <c r="J306" s="123">
        <v>16.899999999999999</v>
      </c>
      <c r="K306" s="123">
        <v>77</v>
      </c>
      <c r="L306" s="123" t="s">
        <v>95</v>
      </c>
      <c r="M306" s="123" t="s">
        <v>263</v>
      </c>
      <c r="N306" s="132">
        <v>226</v>
      </c>
      <c r="O306" s="132">
        <v>0</v>
      </c>
      <c r="P306" s="132">
        <v>1.1164789817855316E+19</v>
      </c>
    </row>
    <row r="307" spans="4:16" ht="15" customHeight="1" x14ac:dyDescent="0.2">
      <c r="D307" s="130" t="b">
        <v>0</v>
      </c>
      <c r="E307" s="124">
        <v>19</v>
      </c>
      <c r="F307" s="125">
        <v>6</v>
      </c>
      <c r="G307" s="125">
        <v>225</v>
      </c>
      <c r="H307" s="123">
        <v>100</v>
      </c>
      <c r="I307" s="123">
        <v>3630</v>
      </c>
      <c r="J307" s="123">
        <v>17.7</v>
      </c>
      <c r="K307" s="123">
        <v>77</v>
      </c>
      <c r="L307" s="123" t="s">
        <v>95</v>
      </c>
      <c r="M307" s="123" t="s">
        <v>264</v>
      </c>
      <c r="N307" s="132">
        <v>227</v>
      </c>
      <c r="O307" s="132">
        <v>0</v>
      </c>
      <c r="P307" s="132">
        <v>1.0138237083327363E+19</v>
      </c>
    </row>
    <row r="308" spans="4:16" ht="15" customHeight="1" x14ac:dyDescent="0.2">
      <c r="D308" s="130" t="b">
        <v>0</v>
      </c>
      <c r="E308" s="124">
        <v>18.5</v>
      </c>
      <c r="F308" s="125">
        <v>6</v>
      </c>
      <c r="G308" s="125">
        <v>250</v>
      </c>
      <c r="H308" s="123">
        <v>98</v>
      </c>
      <c r="I308" s="123">
        <v>3525</v>
      </c>
      <c r="J308" s="123">
        <v>19</v>
      </c>
      <c r="K308" s="123">
        <v>77</v>
      </c>
      <c r="L308" s="123" t="s">
        <v>95</v>
      </c>
      <c r="M308" s="123" t="s">
        <v>265</v>
      </c>
      <c r="N308" s="132">
        <v>228</v>
      </c>
      <c r="O308" s="132">
        <v>0</v>
      </c>
      <c r="P308" s="132">
        <v>1.5462360500338846E+19</v>
      </c>
    </row>
    <row r="309" spans="4:16" ht="15" customHeight="1" x14ac:dyDescent="0.2">
      <c r="D309" s="130" t="b">
        <v>0</v>
      </c>
      <c r="E309" s="124">
        <v>16</v>
      </c>
      <c r="F309" s="125">
        <v>8</v>
      </c>
      <c r="G309" s="125">
        <v>400</v>
      </c>
      <c r="H309" s="123">
        <v>180</v>
      </c>
      <c r="I309" s="123">
        <v>4220</v>
      </c>
      <c r="J309" s="123">
        <v>11.1</v>
      </c>
      <c r="K309" s="123">
        <v>77</v>
      </c>
      <c r="L309" s="123" t="s">
        <v>95</v>
      </c>
      <c r="M309" s="123" t="s">
        <v>266</v>
      </c>
      <c r="N309" s="132">
        <v>229</v>
      </c>
      <c r="O309" s="132">
        <v>0</v>
      </c>
      <c r="P309" s="132">
        <v>1.4732914610188556E+19</v>
      </c>
    </row>
    <row r="310" spans="4:16" ht="15" customHeight="1" x14ac:dyDescent="0.2">
      <c r="D310" s="130" t="b">
        <v>0</v>
      </c>
      <c r="E310" s="124">
        <v>15.5</v>
      </c>
      <c r="F310" s="125">
        <v>8</v>
      </c>
      <c r="G310" s="125">
        <v>350</v>
      </c>
      <c r="H310" s="123">
        <v>170</v>
      </c>
      <c r="I310" s="123">
        <v>4165</v>
      </c>
      <c r="J310" s="123">
        <v>11.4</v>
      </c>
      <c r="K310" s="123">
        <v>77</v>
      </c>
      <c r="L310" s="123" t="s">
        <v>95</v>
      </c>
      <c r="M310" s="123" t="s">
        <v>267</v>
      </c>
      <c r="N310" s="132">
        <v>230</v>
      </c>
      <c r="O310" s="132">
        <v>0</v>
      </c>
      <c r="P310" s="132">
        <v>8.0208774908899594E+18</v>
      </c>
    </row>
    <row r="311" spans="4:16" ht="15" customHeight="1" x14ac:dyDescent="0.2">
      <c r="D311" s="130" t="b">
        <v>0</v>
      </c>
      <c r="E311" s="124">
        <v>15.5</v>
      </c>
      <c r="F311" s="125">
        <v>8</v>
      </c>
      <c r="G311" s="125">
        <v>400</v>
      </c>
      <c r="H311" s="123">
        <v>190</v>
      </c>
      <c r="I311" s="123">
        <v>4325</v>
      </c>
      <c r="J311" s="123">
        <v>12.2</v>
      </c>
      <c r="K311" s="123">
        <v>77</v>
      </c>
      <c r="L311" s="123" t="s">
        <v>95</v>
      </c>
      <c r="M311" s="123" t="s">
        <v>268</v>
      </c>
      <c r="N311" s="132">
        <v>231</v>
      </c>
      <c r="O311" s="132">
        <v>0</v>
      </c>
      <c r="P311" s="132">
        <v>2.857014099307519E+17</v>
      </c>
    </row>
    <row r="312" spans="4:16" ht="15" customHeight="1" x14ac:dyDescent="0.2">
      <c r="D312" s="130" t="b">
        <v>0</v>
      </c>
      <c r="E312" s="124">
        <v>16</v>
      </c>
      <c r="F312" s="125">
        <v>8</v>
      </c>
      <c r="G312" s="125">
        <v>351</v>
      </c>
      <c r="H312" s="123">
        <v>149</v>
      </c>
      <c r="I312" s="123">
        <v>4335</v>
      </c>
      <c r="J312" s="123">
        <v>14.5</v>
      </c>
      <c r="K312" s="123">
        <v>77</v>
      </c>
      <c r="L312" s="123" t="s">
        <v>95</v>
      </c>
      <c r="M312" s="123" t="s">
        <v>269</v>
      </c>
      <c r="N312" s="132">
        <v>232</v>
      </c>
      <c r="O312" s="132">
        <v>0</v>
      </c>
      <c r="P312" s="132">
        <v>1.0892786345869095E+19</v>
      </c>
    </row>
    <row r="313" spans="4:16" ht="15" customHeight="1" x14ac:dyDescent="0.2">
      <c r="D313" s="130" t="b">
        <v>0</v>
      </c>
      <c r="E313" s="124">
        <v>29</v>
      </c>
      <c r="F313" s="125">
        <v>4</v>
      </c>
      <c r="G313" s="125">
        <v>97</v>
      </c>
      <c r="H313" s="123">
        <v>78</v>
      </c>
      <c r="I313" s="123">
        <v>1940</v>
      </c>
      <c r="J313" s="123">
        <v>14.5</v>
      </c>
      <c r="K313" s="123">
        <v>77</v>
      </c>
      <c r="L313" s="123" t="s">
        <v>117</v>
      </c>
      <c r="M313" s="123" t="s">
        <v>270</v>
      </c>
      <c r="N313" s="132">
        <v>233</v>
      </c>
      <c r="O313" s="132">
        <v>0</v>
      </c>
      <c r="P313" s="132">
        <v>7.5124588836178616E+18</v>
      </c>
    </row>
    <row r="314" spans="4:16" ht="15" customHeight="1" x14ac:dyDescent="0.2">
      <c r="D314" s="130" t="b">
        <v>0</v>
      </c>
      <c r="E314" s="124">
        <v>24.5</v>
      </c>
      <c r="F314" s="125">
        <v>4</v>
      </c>
      <c r="G314" s="125">
        <v>151</v>
      </c>
      <c r="H314" s="123">
        <v>88</v>
      </c>
      <c r="I314" s="123">
        <v>2740</v>
      </c>
      <c r="J314" s="123">
        <v>16</v>
      </c>
      <c r="K314" s="123">
        <v>77</v>
      </c>
      <c r="L314" s="123" t="s">
        <v>95</v>
      </c>
      <c r="M314" s="123" t="s">
        <v>271</v>
      </c>
      <c r="N314" s="132">
        <v>234</v>
      </c>
      <c r="O314" s="132">
        <v>0</v>
      </c>
      <c r="P314" s="132">
        <v>1.5674365150818542E+19</v>
      </c>
    </row>
    <row r="315" spans="4:16" ht="15" customHeight="1" x14ac:dyDescent="0.2">
      <c r="D315" s="130" t="b">
        <v>0</v>
      </c>
      <c r="E315" s="124">
        <v>26</v>
      </c>
      <c r="F315" s="125">
        <v>4</v>
      </c>
      <c r="G315" s="125">
        <v>97</v>
      </c>
      <c r="H315" s="123">
        <v>75</v>
      </c>
      <c r="I315" s="123">
        <v>2265</v>
      </c>
      <c r="J315" s="123">
        <v>18.2</v>
      </c>
      <c r="K315" s="123">
        <v>77</v>
      </c>
      <c r="L315" s="123" t="s">
        <v>111</v>
      </c>
      <c r="M315" s="123" t="s">
        <v>272</v>
      </c>
      <c r="N315" s="132">
        <v>235</v>
      </c>
      <c r="O315" s="132">
        <v>0</v>
      </c>
      <c r="P315" s="132">
        <v>8.5953826412713861E+18</v>
      </c>
    </row>
    <row r="316" spans="4:16" ht="15" customHeight="1" x14ac:dyDescent="0.2">
      <c r="D316" s="130" t="b">
        <v>0</v>
      </c>
      <c r="E316" s="124">
        <v>25.5</v>
      </c>
      <c r="F316" s="125">
        <v>4</v>
      </c>
      <c r="G316" s="125">
        <v>140</v>
      </c>
      <c r="H316" s="123">
        <v>89</v>
      </c>
      <c r="I316" s="123">
        <v>2755</v>
      </c>
      <c r="J316" s="123">
        <v>15.8</v>
      </c>
      <c r="K316" s="123">
        <v>77</v>
      </c>
      <c r="L316" s="123" t="s">
        <v>95</v>
      </c>
      <c r="M316" s="123" t="s">
        <v>273</v>
      </c>
      <c r="N316" s="132">
        <v>236</v>
      </c>
      <c r="O316" s="132">
        <v>0</v>
      </c>
      <c r="P316" s="132">
        <v>1.0753747556624667E+19</v>
      </c>
    </row>
    <row r="317" spans="4:16" ht="15" customHeight="1" x14ac:dyDescent="0.2">
      <c r="D317" s="130" t="b">
        <v>0</v>
      </c>
      <c r="E317" s="124">
        <v>30.5</v>
      </c>
      <c r="F317" s="125">
        <v>4</v>
      </c>
      <c r="G317" s="125">
        <v>98</v>
      </c>
      <c r="H317" s="123">
        <v>63</v>
      </c>
      <c r="I317" s="123">
        <v>2051</v>
      </c>
      <c r="J317" s="123">
        <v>17</v>
      </c>
      <c r="K317" s="123">
        <v>77</v>
      </c>
      <c r="L317" s="123" t="s">
        <v>95</v>
      </c>
      <c r="M317" s="123" t="s">
        <v>239</v>
      </c>
      <c r="N317" s="132">
        <v>237</v>
      </c>
      <c r="O317" s="132">
        <v>0</v>
      </c>
      <c r="P317" s="132">
        <v>4.8837199142006897E+18</v>
      </c>
    </row>
    <row r="318" spans="4:16" ht="15" customHeight="1" x14ac:dyDescent="0.2">
      <c r="D318" s="130" t="b">
        <v>0</v>
      </c>
      <c r="E318" s="124">
        <v>33.5</v>
      </c>
      <c r="F318" s="125">
        <v>4</v>
      </c>
      <c r="G318" s="125">
        <v>98</v>
      </c>
      <c r="H318" s="123">
        <v>83</v>
      </c>
      <c r="I318" s="123">
        <v>2075</v>
      </c>
      <c r="J318" s="123">
        <v>15.9</v>
      </c>
      <c r="K318" s="123">
        <v>77</v>
      </c>
      <c r="L318" s="123" t="s">
        <v>95</v>
      </c>
      <c r="M318" s="123" t="s">
        <v>274</v>
      </c>
      <c r="N318" s="132">
        <v>238</v>
      </c>
      <c r="O318" s="132">
        <v>0</v>
      </c>
      <c r="P318" s="132">
        <v>8.2123288259153039E+18</v>
      </c>
    </row>
    <row r="319" spans="4:16" ht="15" customHeight="1" x14ac:dyDescent="0.2">
      <c r="D319" s="130" t="b">
        <v>0</v>
      </c>
      <c r="E319" s="124">
        <v>30</v>
      </c>
      <c r="F319" s="125">
        <v>4</v>
      </c>
      <c r="G319" s="125">
        <v>97</v>
      </c>
      <c r="H319" s="123">
        <v>67</v>
      </c>
      <c r="I319" s="123">
        <v>1985</v>
      </c>
      <c r="J319" s="123">
        <v>16.399999999999999</v>
      </c>
      <c r="K319" s="123">
        <v>77</v>
      </c>
      <c r="L319" s="123" t="s">
        <v>111</v>
      </c>
      <c r="M319" s="123" t="s">
        <v>275</v>
      </c>
      <c r="N319" s="132">
        <v>239</v>
      </c>
      <c r="O319" s="132">
        <v>0</v>
      </c>
      <c r="P319" s="132">
        <v>5.8795953227769946E+17</v>
      </c>
    </row>
    <row r="320" spans="4:16" ht="15" customHeight="1" x14ac:dyDescent="0.2">
      <c r="D320" s="130" t="b">
        <v>0</v>
      </c>
      <c r="E320" s="124">
        <v>30.5</v>
      </c>
      <c r="F320" s="125">
        <v>4</v>
      </c>
      <c r="G320" s="125">
        <v>97</v>
      </c>
      <c r="H320" s="123">
        <v>78</v>
      </c>
      <c r="I320" s="123">
        <v>2190</v>
      </c>
      <c r="J320" s="123">
        <v>14.1</v>
      </c>
      <c r="K320" s="123">
        <v>77</v>
      </c>
      <c r="L320" s="123" t="s">
        <v>117</v>
      </c>
      <c r="M320" s="123" t="s">
        <v>212</v>
      </c>
      <c r="N320" s="132">
        <v>240</v>
      </c>
      <c r="O320" s="132">
        <v>0</v>
      </c>
      <c r="P320" s="132">
        <v>9.9162996243796928E+17</v>
      </c>
    </row>
    <row r="321" spans="4:16" ht="15" customHeight="1" x14ac:dyDescent="0.2">
      <c r="D321" s="130" t="b">
        <v>0</v>
      </c>
      <c r="E321" s="124">
        <v>22</v>
      </c>
      <c r="F321" s="125">
        <v>6</v>
      </c>
      <c r="G321" s="125">
        <v>146</v>
      </c>
      <c r="H321" s="123">
        <v>97</v>
      </c>
      <c r="I321" s="123">
        <v>2815</v>
      </c>
      <c r="J321" s="123">
        <v>14.5</v>
      </c>
      <c r="K321" s="123">
        <v>77</v>
      </c>
      <c r="L321" s="123" t="s">
        <v>111</v>
      </c>
      <c r="M321" s="123" t="s">
        <v>276</v>
      </c>
      <c r="N321" s="132">
        <v>241</v>
      </c>
      <c r="O321" s="132">
        <v>0</v>
      </c>
      <c r="P321" s="132">
        <v>9.0289810979540101E+18</v>
      </c>
    </row>
    <row r="322" spans="4:16" ht="15" customHeight="1" x14ac:dyDescent="0.2">
      <c r="D322" s="130" t="b">
        <v>0</v>
      </c>
      <c r="E322" s="124">
        <v>21.5</v>
      </c>
      <c r="F322" s="125">
        <v>4</v>
      </c>
      <c r="G322" s="125">
        <v>121</v>
      </c>
      <c r="H322" s="123">
        <v>110</v>
      </c>
      <c r="I322" s="123">
        <v>2600</v>
      </c>
      <c r="J322" s="123">
        <v>12.8</v>
      </c>
      <c r="K322" s="123">
        <v>77</v>
      </c>
      <c r="L322" s="123" t="s">
        <v>117</v>
      </c>
      <c r="M322" s="123" t="s">
        <v>277</v>
      </c>
      <c r="N322" s="132">
        <v>242</v>
      </c>
      <c r="O322" s="132">
        <v>0</v>
      </c>
      <c r="P322" s="132">
        <v>8.5376139699148421E+18</v>
      </c>
    </row>
    <row r="323" spans="4:16" ht="15" customHeight="1" x14ac:dyDescent="0.2">
      <c r="D323" s="130" t="b">
        <v>0</v>
      </c>
      <c r="E323" s="124">
        <v>21.5</v>
      </c>
      <c r="F323" s="125">
        <v>3</v>
      </c>
      <c r="G323" s="125">
        <v>80</v>
      </c>
      <c r="H323" s="123">
        <v>110</v>
      </c>
      <c r="I323" s="123">
        <v>2720</v>
      </c>
      <c r="J323" s="123">
        <v>13.5</v>
      </c>
      <c r="K323" s="123">
        <v>77</v>
      </c>
      <c r="L323" s="123" t="s">
        <v>111</v>
      </c>
      <c r="M323" s="123" t="s">
        <v>278</v>
      </c>
      <c r="N323" s="132">
        <v>243</v>
      </c>
      <c r="O323" s="132">
        <v>0</v>
      </c>
      <c r="P323" s="132">
        <v>1.3689216314009706E+19</v>
      </c>
    </row>
    <row r="324" spans="4:16" ht="15" customHeight="1" x14ac:dyDescent="0.2">
      <c r="D324" s="130" t="b">
        <v>0</v>
      </c>
      <c r="E324" s="124">
        <v>43.1</v>
      </c>
      <c r="F324" s="125">
        <v>4</v>
      </c>
      <c r="G324" s="125">
        <v>90</v>
      </c>
      <c r="H324" s="123">
        <v>48</v>
      </c>
      <c r="I324" s="123">
        <v>1985</v>
      </c>
      <c r="J324" s="123">
        <v>21.5</v>
      </c>
      <c r="K324" s="123">
        <v>78</v>
      </c>
      <c r="L324" s="123" t="s">
        <v>117</v>
      </c>
      <c r="M324" s="123" t="s">
        <v>279</v>
      </c>
      <c r="N324" s="132">
        <v>244</v>
      </c>
      <c r="O324" s="132">
        <v>0</v>
      </c>
      <c r="P324" s="132">
        <v>3.1226618981459692E+18</v>
      </c>
    </row>
    <row r="325" spans="4:16" ht="15" customHeight="1" x14ac:dyDescent="0.2">
      <c r="D325" s="130" t="b">
        <v>0</v>
      </c>
      <c r="E325" s="124">
        <v>36.1</v>
      </c>
      <c r="F325" s="125">
        <v>4</v>
      </c>
      <c r="G325" s="125">
        <v>98</v>
      </c>
      <c r="H325" s="123">
        <v>66</v>
      </c>
      <c r="I325" s="123">
        <v>1800</v>
      </c>
      <c r="J325" s="123">
        <v>14.4</v>
      </c>
      <c r="K325" s="123">
        <v>78</v>
      </c>
      <c r="L325" s="123" t="s">
        <v>95</v>
      </c>
      <c r="M325" s="123" t="s">
        <v>280</v>
      </c>
      <c r="N325" s="132">
        <v>245</v>
      </c>
      <c r="O325" s="132">
        <v>0</v>
      </c>
      <c r="P325" s="132">
        <v>1.5560363609797573E+19</v>
      </c>
    </row>
    <row r="326" spans="4:16" ht="15" customHeight="1" x14ac:dyDescent="0.2">
      <c r="D326" s="130" t="b">
        <v>0</v>
      </c>
      <c r="E326" s="124">
        <v>32.799999999999997</v>
      </c>
      <c r="F326" s="125">
        <v>4</v>
      </c>
      <c r="G326" s="125">
        <v>78</v>
      </c>
      <c r="H326" s="123">
        <v>52</v>
      </c>
      <c r="I326" s="123">
        <v>1985</v>
      </c>
      <c r="J326" s="123">
        <v>19.399999999999999</v>
      </c>
      <c r="K326" s="123">
        <v>78</v>
      </c>
      <c r="L326" s="123" t="s">
        <v>111</v>
      </c>
      <c r="M326" s="123" t="s">
        <v>281</v>
      </c>
      <c r="N326" s="132">
        <v>246</v>
      </c>
      <c r="O326" s="132">
        <v>0</v>
      </c>
      <c r="P326" s="132">
        <v>1.8108414474816741E+19</v>
      </c>
    </row>
    <row r="327" spans="4:16" ht="15" customHeight="1" x14ac:dyDescent="0.2">
      <c r="D327" s="130" t="b">
        <v>0</v>
      </c>
      <c r="E327" s="124">
        <v>39.4</v>
      </c>
      <c r="F327" s="125">
        <v>4</v>
      </c>
      <c r="G327" s="125">
        <v>85</v>
      </c>
      <c r="H327" s="123">
        <v>70</v>
      </c>
      <c r="I327" s="123">
        <v>2070</v>
      </c>
      <c r="J327" s="123">
        <v>18.600000000000001</v>
      </c>
      <c r="K327" s="123">
        <v>78</v>
      </c>
      <c r="L327" s="123" t="s">
        <v>111</v>
      </c>
      <c r="M327" s="123" t="s">
        <v>282</v>
      </c>
      <c r="N327" s="132">
        <v>247</v>
      </c>
      <c r="O327" s="132">
        <v>0</v>
      </c>
      <c r="P327" s="132">
        <v>1.3222408269378486E+18</v>
      </c>
    </row>
    <row r="328" spans="4:16" ht="15" customHeight="1" x14ac:dyDescent="0.2">
      <c r="D328" s="130" t="b">
        <v>0</v>
      </c>
      <c r="E328" s="124">
        <v>36.1</v>
      </c>
      <c r="F328" s="125">
        <v>4</v>
      </c>
      <c r="G328" s="125">
        <v>91</v>
      </c>
      <c r="H328" s="123">
        <v>60</v>
      </c>
      <c r="I328" s="123">
        <v>1800</v>
      </c>
      <c r="J328" s="123">
        <v>16.399999999999999</v>
      </c>
      <c r="K328" s="123">
        <v>78</v>
      </c>
      <c r="L328" s="123" t="s">
        <v>111</v>
      </c>
      <c r="M328" s="123" t="s">
        <v>234</v>
      </c>
      <c r="N328" s="132">
        <v>248</v>
      </c>
      <c r="O328" s="132">
        <v>0</v>
      </c>
      <c r="P328" s="132">
        <v>5.3395115991574088E+18</v>
      </c>
    </row>
    <row r="329" spans="4:16" ht="15" customHeight="1" x14ac:dyDescent="0.2">
      <c r="D329" s="130" t="b">
        <v>0</v>
      </c>
      <c r="E329" s="124">
        <v>19.899999999999999</v>
      </c>
      <c r="F329" s="125">
        <v>8</v>
      </c>
      <c r="G329" s="125">
        <v>260</v>
      </c>
      <c r="H329" s="123">
        <v>110</v>
      </c>
      <c r="I329" s="123">
        <v>3365</v>
      </c>
      <c r="J329" s="123">
        <v>15.5</v>
      </c>
      <c r="K329" s="123">
        <v>78</v>
      </c>
      <c r="L329" s="123" t="s">
        <v>95</v>
      </c>
      <c r="M329" s="123" t="s">
        <v>283</v>
      </c>
      <c r="N329" s="132">
        <v>249</v>
      </c>
      <c r="O329" s="132">
        <v>0</v>
      </c>
      <c r="P329" s="132">
        <v>1.7925402178134973E+18</v>
      </c>
    </row>
    <row r="330" spans="4:16" ht="15" customHeight="1" x14ac:dyDescent="0.2">
      <c r="D330" s="130" t="b">
        <v>0</v>
      </c>
      <c r="E330" s="124">
        <v>19.399999999999999</v>
      </c>
      <c r="F330" s="125">
        <v>8</v>
      </c>
      <c r="G330" s="125">
        <v>318</v>
      </c>
      <c r="H330" s="123">
        <v>140</v>
      </c>
      <c r="I330" s="123">
        <v>3735</v>
      </c>
      <c r="J330" s="123">
        <v>13.2</v>
      </c>
      <c r="K330" s="123">
        <v>78</v>
      </c>
      <c r="L330" s="123" t="s">
        <v>95</v>
      </c>
      <c r="M330" s="123" t="s">
        <v>284</v>
      </c>
      <c r="N330" s="132">
        <v>250</v>
      </c>
      <c r="O330" s="132">
        <v>0</v>
      </c>
      <c r="P330" s="132">
        <v>1.506729977877529E+19</v>
      </c>
    </row>
    <row r="331" spans="4:16" ht="15" customHeight="1" x14ac:dyDescent="0.2">
      <c r="D331" s="130" t="b">
        <v>0</v>
      </c>
      <c r="E331" s="124">
        <v>20.2</v>
      </c>
      <c r="F331" s="125">
        <v>8</v>
      </c>
      <c r="G331" s="125">
        <v>302</v>
      </c>
      <c r="H331" s="123">
        <v>139</v>
      </c>
      <c r="I331" s="123">
        <v>3570</v>
      </c>
      <c r="J331" s="123">
        <v>12.8</v>
      </c>
      <c r="K331" s="123">
        <v>78</v>
      </c>
      <c r="L331" s="123" t="s">
        <v>95</v>
      </c>
      <c r="M331" s="123" t="s">
        <v>285</v>
      </c>
      <c r="N331" s="132">
        <v>251</v>
      </c>
      <c r="O331" s="132">
        <v>0</v>
      </c>
      <c r="P331" s="132">
        <v>1.0722689032132762E+19</v>
      </c>
    </row>
    <row r="332" spans="4:16" ht="15" customHeight="1" x14ac:dyDescent="0.2">
      <c r="D332" s="130" t="b">
        <v>0</v>
      </c>
      <c r="E332" s="124">
        <v>19.2</v>
      </c>
      <c r="F332" s="125">
        <v>6</v>
      </c>
      <c r="G332" s="125">
        <v>231</v>
      </c>
      <c r="H332" s="123">
        <v>105</v>
      </c>
      <c r="I332" s="123">
        <v>3535</v>
      </c>
      <c r="J332" s="123">
        <v>19.2</v>
      </c>
      <c r="K332" s="123">
        <v>78</v>
      </c>
      <c r="L332" s="123" t="s">
        <v>95</v>
      </c>
      <c r="M332" s="123" t="s">
        <v>286</v>
      </c>
      <c r="N332" s="132">
        <v>252</v>
      </c>
      <c r="O332" s="132">
        <v>0</v>
      </c>
      <c r="P332" s="132">
        <v>6.413780461230167E+18</v>
      </c>
    </row>
    <row r="333" spans="4:16" ht="15" customHeight="1" x14ac:dyDescent="0.2">
      <c r="D333" s="130" t="b">
        <v>0</v>
      </c>
      <c r="E333" s="124">
        <v>20.5</v>
      </c>
      <c r="F333" s="125">
        <v>6</v>
      </c>
      <c r="G333" s="125">
        <v>200</v>
      </c>
      <c r="H333" s="123">
        <v>95</v>
      </c>
      <c r="I333" s="123">
        <v>3155</v>
      </c>
      <c r="J333" s="123">
        <v>18.2</v>
      </c>
      <c r="K333" s="123">
        <v>78</v>
      </c>
      <c r="L333" s="123" t="s">
        <v>95</v>
      </c>
      <c r="M333" s="123" t="s">
        <v>174</v>
      </c>
      <c r="N333" s="132">
        <v>253</v>
      </c>
      <c r="O333" s="132">
        <v>0</v>
      </c>
      <c r="P333" s="132">
        <v>1.0921445177223778E+19</v>
      </c>
    </row>
    <row r="334" spans="4:16" ht="15" customHeight="1" x14ac:dyDescent="0.2">
      <c r="D334" s="130" t="b">
        <v>0</v>
      </c>
      <c r="E334" s="124">
        <v>20.2</v>
      </c>
      <c r="F334" s="125">
        <v>6</v>
      </c>
      <c r="G334" s="125">
        <v>200</v>
      </c>
      <c r="H334" s="123">
        <v>85</v>
      </c>
      <c r="I334" s="123">
        <v>2965</v>
      </c>
      <c r="J334" s="123">
        <v>15.8</v>
      </c>
      <c r="K334" s="123">
        <v>78</v>
      </c>
      <c r="L334" s="123" t="s">
        <v>95</v>
      </c>
      <c r="M334" s="123" t="s">
        <v>287</v>
      </c>
      <c r="N334" s="132">
        <v>254</v>
      </c>
      <c r="O334" s="132">
        <v>0</v>
      </c>
      <c r="P334" s="132">
        <v>1.7051607037981708E+19</v>
      </c>
    </row>
    <row r="335" spans="4:16" ht="15" customHeight="1" x14ac:dyDescent="0.2">
      <c r="D335" s="130" t="b">
        <v>0</v>
      </c>
      <c r="E335" s="124">
        <v>25.1</v>
      </c>
      <c r="F335" s="125">
        <v>4</v>
      </c>
      <c r="G335" s="125">
        <v>140</v>
      </c>
      <c r="H335" s="123">
        <v>88</v>
      </c>
      <c r="I335" s="123">
        <v>2720</v>
      </c>
      <c r="J335" s="123">
        <v>15.4</v>
      </c>
      <c r="K335" s="123">
        <v>78</v>
      </c>
      <c r="L335" s="123" t="s">
        <v>95</v>
      </c>
      <c r="M335" s="123" t="s">
        <v>288</v>
      </c>
      <c r="N335" s="132">
        <v>255</v>
      </c>
      <c r="O335" s="132">
        <v>0</v>
      </c>
      <c r="P335" s="132">
        <v>1.0358643558139761E+19</v>
      </c>
    </row>
    <row r="336" spans="4:16" ht="15" customHeight="1" x14ac:dyDescent="0.2">
      <c r="D336" s="130" t="b">
        <v>0</v>
      </c>
      <c r="E336" s="124">
        <v>20.5</v>
      </c>
      <c r="F336" s="125">
        <v>6</v>
      </c>
      <c r="G336" s="125">
        <v>225</v>
      </c>
      <c r="H336" s="123">
        <v>100</v>
      </c>
      <c r="I336" s="123">
        <v>3430</v>
      </c>
      <c r="J336" s="123">
        <v>17.2</v>
      </c>
      <c r="K336" s="123">
        <v>78</v>
      </c>
      <c r="L336" s="123" t="s">
        <v>95</v>
      </c>
      <c r="M336" s="123" t="s">
        <v>289</v>
      </c>
      <c r="N336" s="132">
        <v>256</v>
      </c>
      <c r="O336" s="132">
        <v>0</v>
      </c>
      <c r="P336" s="132">
        <v>1.0786561107197673E+19</v>
      </c>
    </row>
    <row r="337" spans="4:16" ht="15" customHeight="1" x14ac:dyDescent="0.2">
      <c r="D337" s="130" t="b">
        <v>0</v>
      </c>
      <c r="E337" s="124">
        <v>19.399999999999999</v>
      </c>
      <c r="F337" s="125">
        <v>6</v>
      </c>
      <c r="G337" s="125">
        <v>232</v>
      </c>
      <c r="H337" s="123">
        <v>90</v>
      </c>
      <c r="I337" s="123">
        <v>3210</v>
      </c>
      <c r="J337" s="123">
        <v>17.2</v>
      </c>
      <c r="K337" s="123">
        <v>78</v>
      </c>
      <c r="L337" s="123" t="s">
        <v>95</v>
      </c>
      <c r="M337" s="123" t="s">
        <v>290</v>
      </c>
      <c r="N337" s="132">
        <v>257</v>
      </c>
      <c r="O337" s="132">
        <v>0</v>
      </c>
      <c r="P337" s="132">
        <v>3.9931552104251443E+18</v>
      </c>
    </row>
    <row r="338" spans="4:16" ht="15" customHeight="1" x14ac:dyDescent="0.2">
      <c r="D338" s="130" t="b">
        <v>0</v>
      </c>
      <c r="E338" s="124">
        <v>20.6</v>
      </c>
      <c r="F338" s="125">
        <v>6</v>
      </c>
      <c r="G338" s="125">
        <v>231</v>
      </c>
      <c r="H338" s="123">
        <v>105</v>
      </c>
      <c r="I338" s="123">
        <v>3380</v>
      </c>
      <c r="J338" s="123">
        <v>15.8</v>
      </c>
      <c r="K338" s="123">
        <v>78</v>
      </c>
      <c r="L338" s="123" t="s">
        <v>95</v>
      </c>
      <c r="M338" s="123" t="s">
        <v>291</v>
      </c>
      <c r="N338" s="132">
        <v>258</v>
      </c>
      <c r="O338" s="132">
        <v>0</v>
      </c>
      <c r="P338" s="132">
        <v>1.7105117594541928E+19</v>
      </c>
    </row>
    <row r="339" spans="4:16" ht="15" customHeight="1" x14ac:dyDescent="0.2">
      <c r="D339" s="130" t="b">
        <v>0</v>
      </c>
      <c r="E339" s="124">
        <v>20.8</v>
      </c>
      <c r="F339" s="125">
        <v>6</v>
      </c>
      <c r="G339" s="125">
        <v>200</v>
      </c>
      <c r="H339" s="123">
        <v>85</v>
      </c>
      <c r="I339" s="123">
        <v>3070</v>
      </c>
      <c r="J339" s="123">
        <v>16.7</v>
      </c>
      <c r="K339" s="123">
        <v>78</v>
      </c>
      <c r="L339" s="123" t="s">
        <v>95</v>
      </c>
      <c r="M339" s="123" t="s">
        <v>292</v>
      </c>
      <c r="N339" s="132">
        <v>259</v>
      </c>
      <c r="O339" s="132">
        <v>0</v>
      </c>
      <c r="P339" s="132">
        <v>5.7563125741733741E+17</v>
      </c>
    </row>
    <row r="340" spans="4:16" ht="15" customHeight="1" x14ac:dyDescent="0.2">
      <c r="D340" s="130" t="b">
        <v>0</v>
      </c>
      <c r="E340" s="124">
        <v>18.600000000000001</v>
      </c>
      <c r="F340" s="125">
        <v>6</v>
      </c>
      <c r="G340" s="125">
        <v>225</v>
      </c>
      <c r="H340" s="123">
        <v>110</v>
      </c>
      <c r="I340" s="123">
        <v>3620</v>
      </c>
      <c r="J340" s="123">
        <v>18.7</v>
      </c>
      <c r="K340" s="123">
        <v>78</v>
      </c>
      <c r="L340" s="123" t="s">
        <v>95</v>
      </c>
      <c r="M340" s="123" t="s">
        <v>293</v>
      </c>
      <c r="N340" s="132">
        <v>260</v>
      </c>
      <c r="O340" s="132">
        <v>0</v>
      </c>
      <c r="P340" s="132">
        <v>1.6762702710959704E+19</v>
      </c>
    </row>
    <row r="341" spans="4:16" ht="15" customHeight="1" x14ac:dyDescent="0.2">
      <c r="D341" s="130" t="b">
        <v>0</v>
      </c>
      <c r="E341" s="124">
        <v>18.100000000000001</v>
      </c>
      <c r="F341" s="125">
        <v>6</v>
      </c>
      <c r="G341" s="125">
        <v>258</v>
      </c>
      <c r="H341" s="123">
        <v>120</v>
      </c>
      <c r="I341" s="123">
        <v>3410</v>
      </c>
      <c r="J341" s="123">
        <v>15.1</v>
      </c>
      <c r="K341" s="123">
        <v>78</v>
      </c>
      <c r="L341" s="123" t="s">
        <v>95</v>
      </c>
      <c r="M341" s="123" t="s">
        <v>294</v>
      </c>
      <c r="N341" s="132">
        <v>261</v>
      </c>
      <c r="O341" s="132">
        <v>0</v>
      </c>
      <c r="P341" s="132">
        <v>8.6602286086638828E+18</v>
      </c>
    </row>
    <row r="342" spans="4:16" ht="15" customHeight="1" x14ac:dyDescent="0.2">
      <c r="D342" s="130" t="b">
        <v>0</v>
      </c>
      <c r="E342" s="124">
        <v>19.2</v>
      </c>
      <c r="F342" s="125">
        <v>8</v>
      </c>
      <c r="G342" s="125">
        <v>305</v>
      </c>
      <c r="H342" s="123">
        <v>145</v>
      </c>
      <c r="I342" s="123">
        <v>3425</v>
      </c>
      <c r="J342" s="123">
        <v>13.2</v>
      </c>
      <c r="K342" s="123">
        <v>78</v>
      </c>
      <c r="L342" s="123" t="s">
        <v>95</v>
      </c>
      <c r="M342" s="123" t="s">
        <v>267</v>
      </c>
      <c r="N342" s="132">
        <v>262</v>
      </c>
      <c r="O342" s="132">
        <v>0</v>
      </c>
      <c r="P342" s="132">
        <v>1.1218366603560718E+19</v>
      </c>
    </row>
    <row r="343" spans="4:16" ht="15" customHeight="1" x14ac:dyDescent="0.2">
      <c r="D343" s="130" t="b">
        <v>0</v>
      </c>
      <c r="E343" s="124">
        <v>17.7</v>
      </c>
      <c r="F343" s="125">
        <v>6</v>
      </c>
      <c r="G343" s="125">
        <v>231</v>
      </c>
      <c r="H343" s="123">
        <v>165</v>
      </c>
      <c r="I343" s="123">
        <v>3445</v>
      </c>
      <c r="J343" s="123">
        <v>13.4</v>
      </c>
      <c r="K343" s="123">
        <v>78</v>
      </c>
      <c r="L343" s="123" t="s">
        <v>95</v>
      </c>
      <c r="M343" s="123" t="s">
        <v>295</v>
      </c>
      <c r="N343" s="132">
        <v>263</v>
      </c>
      <c r="O343" s="132">
        <v>0</v>
      </c>
      <c r="P343" s="132">
        <v>1.447773458157731E+19</v>
      </c>
    </row>
    <row r="344" spans="4:16" ht="15" customHeight="1" x14ac:dyDescent="0.2">
      <c r="D344" s="130" t="b">
        <v>0</v>
      </c>
      <c r="E344" s="124">
        <v>18.100000000000001</v>
      </c>
      <c r="F344" s="125">
        <v>8</v>
      </c>
      <c r="G344" s="125">
        <v>302</v>
      </c>
      <c r="H344" s="123">
        <v>139</v>
      </c>
      <c r="I344" s="123">
        <v>3205</v>
      </c>
      <c r="J344" s="123">
        <v>11.2</v>
      </c>
      <c r="K344" s="123">
        <v>78</v>
      </c>
      <c r="L344" s="123" t="s">
        <v>95</v>
      </c>
      <c r="M344" s="123" t="s">
        <v>296</v>
      </c>
      <c r="N344" s="132">
        <v>264</v>
      </c>
      <c r="O344" s="132">
        <v>0</v>
      </c>
      <c r="P344" s="132">
        <v>1.3931801810947613E+19</v>
      </c>
    </row>
    <row r="345" spans="4:16" ht="15" customHeight="1" x14ac:dyDescent="0.2">
      <c r="D345" s="130" t="b">
        <v>0</v>
      </c>
      <c r="E345" s="124">
        <v>17.5</v>
      </c>
      <c r="F345" s="125">
        <v>8</v>
      </c>
      <c r="G345" s="125">
        <v>318</v>
      </c>
      <c r="H345" s="123">
        <v>140</v>
      </c>
      <c r="I345" s="123">
        <v>4080</v>
      </c>
      <c r="J345" s="123">
        <v>13.7</v>
      </c>
      <c r="K345" s="123">
        <v>78</v>
      </c>
      <c r="L345" s="123" t="s">
        <v>95</v>
      </c>
      <c r="M345" s="123" t="s">
        <v>297</v>
      </c>
      <c r="N345" s="132">
        <v>265</v>
      </c>
      <c r="O345" s="132">
        <v>0</v>
      </c>
      <c r="P345" s="132">
        <v>1.3783251549334688E+19</v>
      </c>
    </row>
    <row r="346" spans="4:16" ht="15" customHeight="1" x14ac:dyDescent="0.2">
      <c r="D346" s="130" t="b">
        <v>0</v>
      </c>
      <c r="E346" s="124">
        <v>30</v>
      </c>
      <c r="F346" s="125">
        <v>4</v>
      </c>
      <c r="G346" s="125">
        <v>98</v>
      </c>
      <c r="H346" s="123">
        <v>68</v>
      </c>
      <c r="I346" s="123">
        <v>2155</v>
      </c>
      <c r="J346" s="123">
        <v>16.5</v>
      </c>
      <c r="K346" s="123">
        <v>78</v>
      </c>
      <c r="L346" s="123" t="s">
        <v>95</v>
      </c>
      <c r="M346" s="123" t="s">
        <v>239</v>
      </c>
      <c r="N346" s="132">
        <v>266</v>
      </c>
      <c r="O346" s="132">
        <v>0</v>
      </c>
      <c r="P346" s="132">
        <v>7.2222196019077622E+18</v>
      </c>
    </row>
    <row r="347" spans="4:16" ht="15" customHeight="1" x14ac:dyDescent="0.2">
      <c r="D347" s="130" t="b">
        <v>0</v>
      </c>
      <c r="E347" s="124">
        <v>27.5</v>
      </c>
      <c r="F347" s="125">
        <v>4</v>
      </c>
      <c r="G347" s="125">
        <v>134</v>
      </c>
      <c r="H347" s="123">
        <v>95</v>
      </c>
      <c r="I347" s="123">
        <v>2560</v>
      </c>
      <c r="J347" s="123">
        <v>14.2</v>
      </c>
      <c r="K347" s="123">
        <v>78</v>
      </c>
      <c r="L347" s="123" t="s">
        <v>111</v>
      </c>
      <c r="M347" s="123" t="s">
        <v>129</v>
      </c>
      <c r="N347" s="132">
        <v>267</v>
      </c>
      <c r="O347" s="132">
        <v>0</v>
      </c>
      <c r="P347" s="132">
        <v>8.6663154397936292E+18</v>
      </c>
    </row>
    <row r="348" spans="4:16" ht="15" customHeight="1" x14ac:dyDescent="0.2">
      <c r="D348" s="130" t="b">
        <v>0</v>
      </c>
      <c r="E348" s="124">
        <v>27.2</v>
      </c>
      <c r="F348" s="125">
        <v>4</v>
      </c>
      <c r="G348" s="125">
        <v>119</v>
      </c>
      <c r="H348" s="123">
        <v>97</v>
      </c>
      <c r="I348" s="123">
        <v>2300</v>
      </c>
      <c r="J348" s="123">
        <v>14.7</v>
      </c>
      <c r="K348" s="123">
        <v>78</v>
      </c>
      <c r="L348" s="123" t="s">
        <v>111</v>
      </c>
      <c r="M348" s="123" t="s">
        <v>298</v>
      </c>
      <c r="N348" s="132">
        <v>268</v>
      </c>
      <c r="O348" s="132">
        <v>0</v>
      </c>
      <c r="P348" s="132">
        <v>1.6154941532249008E+19</v>
      </c>
    </row>
    <row r="349" spans="4:16" ht="15" customHeight="1" x14ac:dyDescent="0.2">
      <c r="D349" s="130" t="b">
        <v>0</v>
      </c>
      <c r="E349" s="124">
        <v>30.9</v>
      </c>
      <c r="F349" s="125">
        <v>4</v>
      </c>
      <c r="G349" s="125">
        <v>105</v>
      </c>
      <c r="H349" s="123">
        <v>75</v>
      </c>
      <c r="I349" s="123">
        <v>2230</v>
      </c>
      <c r="J349" s="123">
        <v>14.5</v>
      </c>
      <c r="K349" s="123">
        <v>78</v>
      </c>
      <c r="L349" s="123" t="s">
        <v>95</v>
      </c>
      <c r="M349" s="123" t="s">
        <v>299</v>
      </c>
      <c r="N349" s="132">
        <v>269</v>
      </c>
      <c r="O349" s="132">
        <v>0</v>
      </c>
      <c r="P349" s="132">
        <v>8.4470167060804454E+17</v>
      </c>
    </row>
    <row r="350" spans="4:16" ht="15" customHeight="1" x14ac:dyDescent="0.2">
      <c r="D350" s="130" t="b">
        <v>0</v>
      </c>
      <c r="E350" s="124">
        <v>21.1</v>
      </c>
      <c r="F350" s="125">
        <v>4</v>
      </c>
      <c r="G350" s="125">
        <v>134</v>
      </c>
      <c r="H350" s="123">
        <v>95</v>
      </c>
      <c r="I350" s="123">
        <v>2515</v>
      </c>
      <c r="J350" s="123">
        <v>14.8</v>
      </c>
      <c r="K350" s="123">
        <v>78</v>
      </c>
      <c r="L350" s="123" t="s">
        <v>111</v>
      </c>
      <c r="M350" s="123" t="s">
        <v>300</v>
      </c>
      <c r="N350" s="132">
        <v>270</v>
      </c>
      <c r="O350" s="132">
        <v>0</v>
      </c>
      <c r="P350" s="132">
        <v>1.0079174963912612E+19</v>
      </c>
    </row>
    <row r="351" spans="4:16" ht="15" customHeight="1" x14ac:dyDescent="0.2">
      <c r="D351" s="130" t="b">
        <v>0</v>
      </c>
      <c r="E351" s="124">
        <v>23.2</v>
      </c>
      <c r="F351" s="125">
        <v>4</v>
      </c>
      <c r="G351" s="125">
        <v>156</v>
      </c>
      <c r="H351" s="123">
        <v>105</v>
      </c>
      <c r="I351" s="123">
        <v>2745</v>
      </c>
      <c r="J351" s="123">
        <v>16.7</v>
      </c>
      <c r="K351" s="123">
        <v>78</v>
      </c>
      <c r="L351" s="123" t="s">
        <v>95</v>
      </c>
      <c r="M351" s="123" t="s">
        <v>301</v>
      </c>
      <c r="N351" s="132">
        <v>271</v>
      </c>
      <c r="O351" s="132">
        <v>0</v>
      </c>
      <c r="P351" s="132">
        <v>5.6799202391193661E+18</v>
      </c>
    </row>
    <row r="352" spans="4:16" ht="15" customHeight="1" x14ac:dyDescent="0.2">
      <c r="D352" s="130" t="b">
        <v>0</v>
      </c>
      <c r="E352" s="124">
        <v>23.8</v>
      </c>
      <c r="F352" s="125">
        <v>4</v>
      </c>
      <c r="G352" s="125">
        <v>151</v>
      </c>
      <c r="H352" s="123">
        <v>85</v>
      </c>
      <c r="I352" s="123">
        <v>2855</v>
      </c>
      <c r="J352" s="123">
        <v>17.600000000000001</v>
      </c>
      <c r="K352" s="123">
        <v>78</v>
      </c>
      <c r="L352" s="123" t="s">
        <v>95</v>
      </c>
      <c r="M352" s="123" t="s">
        <v>302</v>
      </c>
      <c r="N352" s="132">
        <v>272</v>
      </c>
      <c r="O352" s="132">
        <v>0</v>
      </c>
      <c r="P352" s="132">
        <v>7.7853964316804782E+18</v>
      </c>
    </row>
    <row r="353" spans="4:16" ht="15" customHeight="1" x14ac:dyDescent="0.2">
      <c r="D353" s="130" t="b">
        <v>0</v>
      </c>
      <c r="E353" s="124">
        <v>23.9</v>
      </c>
      <c r="F353" s="125">
        <v>4</v>
      </c>
      <c r="G353" s="125">
        <v>119</v>
      </c>
      <c r="H353" s="123">
        <v>97</v>
      </c>
      <c r="I353" s="123">
        <v>2405</v>
      </c>
      <c r="J353" s="123">
        <v>14.9</v>
      </c>
      <c r="K353" s="123">
        <v>78</v>
      </c>
      <c r="L353" s="123" t="s">
        <v>111</v>
      </c>
      <c r="M353" s="123" t="s">
        <v>303</v>
      </c>
      <c r="N353" s="132">
        <v>273</v>
      </c>
      <c r="O353" s="132">
        <v>0</v>
      </c>
      <c r="P353" s="132">
        <v>1.7744459672652638E+19</v>
      </c>
    </row>
    <row r="354" spans="4:16" ht="15" customHeight="1" x14ac:dyDescent="0.2">
      <c r="D354" s="130" t="b">
        <v>0</v>
      </c>
      <c r="E354" s="124">
        <v>20.3</v>
      </c>
      <c r="F354" s="125">
        <v>5</v>
      </c>
      <c r="G354" s="125">
        <v>131</v>
      </c>
      <c r="H354" s="123">
        <v>103</v>
      </c>
      <c r="I354" s="123">
        <v>2830</v>
      </c>
      <c r="J354" s="123">
        <v>15.9</v>
      </c>
      <c r="K354" s="123">
        <v>78</v>
      </c>
      <c r="L354" s="123" t="s">
        <v>117</v>
      </c>
      <c r="M354" s="123" t="s">
        <v>304</v>
      </c>
      <c r="N354" s="132">
        <v>274</v>
      </c>
      <c r="O354" s="132">
        <v>0</v>
      </c>
      <c r="P354" s="132">
        <v>4.6583939959355843E+18</v>
      </c>
    </row>
    <row r="355" spans="4:16" ht="15" customHeight="1" x14ac:dyDescent="0.2">
      <c r="D355" s="130" t="b">
        <v>0</v>
      </c>
      <c r="E355" s="124">
        <v>17</v>
      </c>
      <c r="F355" s="125">
        <v>6</v>
      </c>
      <c r="G355" s="125">
        <v>163</v>
      </c>
      <c r="H355" s="123">
        <v>125</v>
      </c>
      <c r="I355" s="123">
        <v>3140</v>
      </c>
      <c r="J355" s="123">
        <v>13.6</v>
      </c>
      <c r="K355" s="123">
        <v>78</v>
      </c>
      <c r="L355" s="123" t="s">
        <v>117</v>
      </c>
      <c r="M355" s="123" t="s">
        <v>305</v>
      </c>
      <c r="N355" s="132">
        <v>275</v>
      </c>
      <c r="O355" s="132">
        <v>0</v>
      </c>
      <c r="P355" s="132">
        <v>3.7919410848401603E+18</v>
      </c>
    </row>
    <row r="356" spans="4:16" ht="15" customHeight="1" x14ac:dyDescent="0.2">
      <c r="D356" s="130" t="b">
        <v>0</v>
      </c>
      <c r="E356" s="124">
        <v>21.6</v>
      </c>
      <c r="F356" s="125">
        <v>4</v>
      </c>
      <c r="G356" s="125">
        <v>121</v>
      </c>
      <c r="H356" s="123">
        <v>115</v>
      </c>
      <c r="I356" s="123">
        <v>2795</v>
      </c>
      <c r="J356" s="123">
        <v>15.7</v>
      </c>
      <c r="K356" s="123">
        <v>78</v>
      </c>
      <c r="L356" s="123" t="s">
        <v>117</v>
      </c>
      <c r="M356" s="123" t="s">
        <v>306</v>
      </c>
      <c r="N356" s="132">
        <v>276</v>
      </c>
      <c r="O356" s="132">
        <v>0</v>
      </c>
      <c r="P356" s="132">
        <v>1.0229444853703944E+19</v>
      </c>
    </row>
    <row r="357" spans="4:16" ht="15" customHeight="1" x14ac:dyDescent="0.2">
      <c r="D357" s="130" t="b">
        <v>0</v>
      </c>
      <c r="E357" s="124">
        <v>16.2</v>
      </c>
      <c r="F357" s="125">
        <v>6</v>
      </c>
      <c r="G357" s="125">
        <v>163</v>
      </c>
      <c r="H357" s="123">
        <v>133</v>
      </c>
      <c r="I357" s="123">
        <v>3410</v>
      </c>
      <c r="J357" s="123">
        <v>15.8</v>
      </c>
      <c r="K357" s="123">
        <v>78</v>
      </c>
      <c r="L357" s="123" t="s">
        <v>117</v>
      </c>
      <c r="M357" s="123" t="s">
        <v>307</v>
      </c>
      <c r="N357" s="132">
        <v>277</v>
      </c>
      <c r="O357" s="132">
        <v>0</v>
      </c>
      <c r="P357" s="132">
        <v>1.74373837591256E+19</v>
      </c>
    </row>
    <row r="358" spans="4:16" ht="15" customHeight="1" x14ac:dyDescent="0.2">
      <c r="D358" s="130" t="b">
        <v>0</v>
      </c>
      <c r="E358" s="124">
        <v>31.5</v>
      </c>
      <c r="F358" s="125">
        <v>4</v>
      </c>
      <c r="G358" s="125">
        <v>89</v>
      </c>
      <c r="H358" s="123">
        <v>71</v>
      </c>
      <c r="I358" s="123">
        <v>1990</v>
      </c>
      <c r="J358" s="123">
        <v>14.9</v>
      </c>
      <c r="K358" s="123">
        <v>78</v>
      </c>
      <c r="L358" s="123" t="s">
        <v>117</v>
      </c>
      <c r="M358" s="123" t="s">
        <v>308</v>
      </c>
      <c r="N358" s="132">
        <v>278</v>
      </c>
      <c r="O358" s="132">
        <v>0</v>
      </c>
      <c r="P358" s="132">
        <v>1.5037147073579921E+19</v>
      </c>
    </row>
    <row r="359" spans="4:16" ht="15" customHeight="1" x14ac:dyDescent="0.2">
      <c r="D359" s="130" t="b">
        <v>0</v>
      </c>
      <c r="E359" s="124">
        <v>29.5</v>
      </c>
      <c r="F359" s="125">
        <v>4</v>
      </c>
      <c r="G359" s="125">
        <v>98</v>
      </c>
      <c r="H359" s="123">
        <v>68</v>
      </c>
      <c r="I359" s="123">
        <v>2135</v>
      </c>
      <c r="J359" s="123">
        <v>16.600000000000001</v>
      </c>
      <c r="K359" s="123">
        <v>78</v>
      </c>
      <c r="L359" s="123" t="s">
        <v>111</v>
      </c>
      <c r="M359" s="123" t="s">
        <v>309</v>
      </c>
      <c r="N359" s="132">
        <v>279</v>
      </c>
      <c r="O359" s="132">
        <v>0</v>
      </c>
      <c r="P359" s="132">
        <v>4.6422931339365437E+18</v>
      </c>
    </row>
    <row r="360" spans="4:16" ht="15" customHeight="1" x14ac:dyDescent="0.2">
      <c r="D360" s="130" t="b">
        <v>0</v>
      </c>
      <c r="E360" s="124">
        <v>21.5</v>
      </c>
      <c r="F360" s="125">
        <v>6</v>
      </c>
      <c r="G360" s="125">
        <v>231</v>
      </c>
      <c r="H360" s="123">
        <v>115</v>
      </c>
      <c r="I360" s="123">
        <v>3245</v>
      </c>
      <c r="J360" s="123">
        <v>15.4</v>
      </c>
      <c r="K360" s="123">
        <v>79</v>
      </c>
      <c r="L360" s="123" t="s">
        <v>95</v>
      </c>
      <c r="M360" s="123" t="s">
        <v>310</v>
      </c>
      <c r="N360" s="132">
        <v>280</v>
      </c>
      <c r="O360" s="132">
        <v>0</v>
      </c>
      <c r="P360" s="132">
        <v>8.9675613329894707E+18</v>
      </c>
    </row>
    <row r="361" spans="4:16" ht="15" customHeight="1" x14ac:dyDescent="0.2">
      <c r="D361" s="130" t="b">
        <v>0</v>
      </c>
      <c r="E361" s="124">
        <v>19.8</v>
      </c>
      <c r="F361" s="125">
        <v>6</v>
      </c>
      <c r="G361" s="125">
        <v>200</v>
      </c>
      <c r="H361" s="123">
        <v>85</v>
      </c>
      <c r="I361" s="123">
        <v>2990</v>
      </c>
      <c r="J361" s="123">
        <v>18.2</v>
      </c>
      <c r="K361" s="123">
        <v>79</v>
      </c>
      <c r="L361" s="123" t="s">
        <v>95</v>
      </c>
      <c r="M361" s="123" t="s">
        <v>311</v>
      </c>
      <c r="N361" s="132">
        <v>281</v>
      </c>
      <c r="O361" s="132">
        <v>0</v>
      </c>
      <c r="P361" s="132">
        <v>1.7910362133905774E+18</v>
      </c>
    </row>
    <row r="362" spans="4:16" ht="15" customHeight="1" x14ac:dyDescent="0.2">
      <c r="D362" s="130" t="b">
        <v>0</v>
      </c>
      <c r="E362" s="124">
        <v>22.3</v>
      </c>
      <c r="F362" s="125">
        <v>4</v>
      </c>
      <c r="G362" s="125">
        <v>140</v>
      </c>
      <c r="H362" s="123">
        <v>88</v>
      </c>
      <c r="I362" s="123">
        <v>2890</v>
      </c>
      <c r="J362" s="123">
        <v>17.3</v>
      </c>
      <c r="K362" s="123">
        <v>79</v>
      </c>
      <c r="L362" s="123" t="s">
        <v>95</v>
      </c>
      <c r="M362" s="123" t="s">
        <v>312</v>
      </c>
      <c r="N362" s="132">
        <v>282</v>
      </c>
      <c r="O362" s="132">
        <v>0</v>
      </c>
      <c r="P362" s="132">
        <v>1.0090956018566967E+19</v>
      </c>
    </row>
    <row r="363" spans="4:16" ht="15" customHeight="1" x14ac:dyDescent="0.2">
      <c r="D363" s="130" t="b">
        <v>0</v>
      </c>
      <c r="E363" s="124">
        <v>20.2</v>
      </c>
      <c r="F363" s="125">
        <v>6</v>
      </c>
      <c r="G363" s="125">
        <v>232</v>
      </c>
      <c r="H363" s="123">
        <v>90</v>
      </c>
      <c r="I363" s="123">
        <v>3265</v>
      </c>
      <c r="J363" s="123">
        <v>18.2</v>
      </c>
      <c r="K363" s="123">
        <v>79</v>
      </c>
      <c r="L363" s="123" t="s">
        <v>95</v>
      </c>
      <c r="M363" s="123" t="s">
        <v>313</v>
      </c>
      <c r="N363" s="132">
        <v>283</v>
      </c>
      <c r="O363" s="132">
        <v>0</v>
      </c>
      <c r="P363" s="132">
        <v>5.9341383368452844E+18</v>
      </c>
    </row>
    <row r="364" spans="4:16" ht="15" customHeight="1" x14ac:dyDescent="0.2">
      <c r="D364" s="130" t="b">
        <v>0</v>
      </c>
      <c r="E364" s="124">
        <v>20.6</v>
      </c>
      <c r="F364" s="125">
        <v>6</v>
      </c>
      <c r="G364" s="125">
        <v>225</v>
      </c>
      <c r="H364" s="123">
        <v>110</v>
      </c>
      <c r="I364" s="123">
        <v>3360</v>
      </c>
      <c r="J364" s="123">
        <v>16.600000000000001</v>
      </c>
      <c r="K364" s="123">
        <v>79</v>
      </c>
      <c r="L364" s="123" t="s">
        <v>95</v>
      </c>
      <c r="M364" s="123" t="s">
        <v>314</v>
      </c>
      <c r="N364" s="132">
        <v>284</v>
      </c>
      <c r="O364" s="132">
        <v>0</v>
      </c>
      <c r="P364" s="132">
        <v>9.2761407368441779E+17</v>
      </c>
    </row>
    <row r="365" spans="4:16" ht="15" customHeight="1" x14ac:dyDescent="0.2">
      <c r="D365" s="130" t="b">
        <v>0</v>
      </c>
      <c r="E365" s="124">
        <v>17</v>
      </c>
      <c r="F365" s="125">
        <v>8</v>
      </c>
      <c r="G365" s="125">
        <v>305</v>
      </c>
      <c r="H365" s="123">
        <v>130</v>
      </c>
      <c r="I365" s="123">
        <v>3840</v>
      </c>
      <c r="J365" s="123">
        <v>15.4</v>
      </c>
      <c r="K365" s="123">
        <v>79</v>
      </c>
      <c r="L365" s="123" t="s">
        <v>95</v>
      </c>
      <c r="M365" s="123" t="s">
        <v>178</v>
      </c>
      <c r="N365" s="132">
        <v>285</v>
      </c>
      <c r="O365" s="132">
        <v>0</v>
      </c>
      <c r="P365" s="132">
        <v>1.6312198656057741E+19</v>
      </c>
    </row>
    <row r="366" spans="4:16" ht="15" customHeight="1" x14ac:dyDescent="0.2">
      <c r="D366" s="130" t="b">
        <v>0</v>
      </c>
      <c r="E366" s="124">
        <v>17.600000000000001</v>
      </c>
      <c r="F366" s="125">
        <v>8</v>
      </c>
      <c r="G366" s="125">
        <v>302</v>
      </c>
      <c r="H366" s="123">
        <v>129</v>
      </c>
      <c r="I366" s="123">
        <v>3725</v>
      </c>
      <c r="J366" s="123">
        <v>13.4</v>
      </c>
      <c r="K366" s="123">
        <v>79</v>
      </c>
      <c r="L366" s="123" t="s">
        <v>95</v>
      </c>
      <c r="M366" s="123" t="s">
        <v>315</v>
      </c>
      <c r="N366" s="132">
        <v>286</v>
      </c>
      <c r="O366" s="132">
        <v>0</v>
      </c>
      <c r="P366" s="132">
        <v>9.0560467844714424E+18</v>
      </c>
    </row>
    <row r="367" spans="4:16" ht="15" customHeight="1" x14ac:dyDescent="0.2">
      <c r="D367" s="130" t="b">
        <v>0</v>
      </c>
      <c r="E367" s="124">
        <v>16.5</v>
      </c>
      <c r="F367" s="125">
        <v>8</v>
      </c>
      <c r="G367" s="125">
        <v>351</v>
      </c>
      <c r="H367" s="123">
        <v>138</v>
      </c>
      <c r="I367" s="123">
        <v>3955</v>
      </c>
      <c r="J367" s="123">
        <v>13.2</v>
      </c>
      <c r="K367" s="123">
        <v>79</v>
      </c>
      <c r="L367" s="123" t="s">
        <v>95</v>
      </c>
      <c r="M367" s="123" t="s">
        <v>316</v>
      </c>
      <c r="N367" s="132">
        <v>287</v>
      </c>
      <c r="O367" s="132">
        <v>0</v>
      </c>
      <c r="P367" s="132">
        <v>1.3079825195379071E+19</v>
      </c>
    </row>
    <row r="368" spans="4:16" ht="15" customHeight="1" x14ac:dyDescent="0.2">
      <c r="D368" s="130" t="b">
        <v>0</v>
      </c>
      <c r="E368" s="124">
        <v>18.2</v>
      </c>
      <c r="F368" s="125">
        <v>8</v>
      </c>
      <c r="G368" s="125">
        <v>318</v>
      </c>
      <c r="H368" s="123">
        <v>135</v>
      </c>
      <c r="I368" s="123">
        <v>3830</v>
      </c>
      <c r="J368" s="123">
        <v>15.2</v>
      </c>
      <c r="K368" s="123">
        <v>79</v>
      </c>
      <c r="L368" s="123" t="s">
        <v>95</v>
      </c>
      <c r="M368" s="123" t="s">
        <v>317</v>
      </c>
      <c r="N368" s="132">
        <v>288</v>
      </c>
      <c r="O368" s="132">
        <v>0</v>
      </c>
      <c r="P368" s="132">
        <v>2.0714012138249772E+18</v>
      </c>
    </row>
    <row r="369" spans="4:16" ht="15" customHeight="1" x14ac:dyDescent="0.2">
      <c r="D369" s="130" t="b">
        <v>0</v>
      </c>
      <c r="E369" s="124">
        <v>16.899999999999999</v>
      </c>
      <c r="F369" s="125">
        <v>8</v>
      </c>
      <c r="G369" s="125">
        <v>350</v>
      </c>
      <c r="H369" s="123">
        <v>155</v>
      </c>
      <c r="I369" s="123">
        <v>4360</v>
      </c>
      <c r="J369" s="123">
        <v>14.9</v>
      </c>
      <c r="K369" s="123">
        <v>79</v>
      </c>
      <c r="L369" s="123" t="s">
        <v>95</v>
      </c>
      <c r="M369" s="123" t="s">
        <v>110</v>
      </c>
      <c r="N369" s="132">
        <v>289</v>
      </c>
      <c r="O369" s="132">
        <v>0</v>
      </c>
      <c r="P369" s="132">
        <v>9.9828556763147919E+18</v>
      </c>
    </row>
    <row r="370" spans="4:16" ht="15" customHeight="1" x14ac:dyDescent="0.2">
      <c r="D370" s="130" t="b">
        <v>0</v>
      </c>
      <c r="E370" s="124">
        <v>15.5</v>
      </c>
      <c r="F370" s="125">
        <v>8</v>
      </c>
      <c r="G370" s="125">
        <v>351</v>
      </c>
      <c r="H370" s="123">
        <v>142</v>
      </c>
      <c r="I370" s="123">
        <v>4054</v>
      </c>
      <c r="J370" s="123">
        <v>14.3</v>
      </c>
      <c r="K370" s="123">
        <v>79</v>
      </c>
      <c r="L370" s="123" t="s">
        <v>95</v>
      </c>
      <c r="M370" s="123" t="s">
        <v>135</v>
      </c>
      <c r="N370" s="132">
        <v>290</v>
      </c>
      <c r="O370" s="132">
        <v>0</v>
      </c>
      <c r="P370" s="132">
        <v>1.7774472688078868E+19</v>
      </c>
    </row>
    <row r="371" spans="4:16" ht="15" customHeight="1" x14ac:dyDescent="0.2">
      <c r="D371" s="130" t="b">
        <v>0</v>
      </c>
      <c r="E371" s="124">
        <v>19.2</v>
      </c>
      <c r="F371" s="125">
        <v>8</v>
      </c>
      <c r="G371" s="125">
        <v>267</v>
      </c>
      <c r="H371" s="123">
        <v>125</v>
      </c>
      <c r="I371" s="123">
        <v>3605</v>
      </c>
      <c r="J371" s="123">
        <v>15</v>
      </c>
      <c r="K371" s="123">
        <v>79</v>
      </c>
      <c r="L371" s="123" t="s">
        <v>95</v>
      </c>
      <c r="M371" s="123" t="s">
        <v>318</v>
      </c>
      <c r="N371" s="132">
        <v>291</v>
      </c>
      <c r="O371" s="132">
        <v>0</v>
      </c>
      <c r="P371" s="132">
        <v>1.0006651082370107E+19</v>
      </c>
    </row>
    <row r="372" spans="4:16" ht="15" customHeight="1" x14ac:dyDescent="0.2">
      <c r="D372" s="130" t="b">
        <v>0</v>
      </c>
      <c r="E372" s="124">
        <v>18.5</v>
      </c>
      <c r="F372" s="125">
        <v>8</v>
      </c>
      <c r="G372" s="125">
        <v>360</v>
      </c>
      <c r="H372" s="123">
        <v>150</v>
      </c>
      <c r="I372" s="123">
        <v>3940</v>
      </c>
      <c r="J372" s="123">
        <v>13</v>
      </c>
      <c r="K372" s="123">
        <v>79</v>
      </c>
      <c r="L372" s="123" t="s">
        <v>95</v>
      </c>
      <c r="M372" s="123" t="s">
        <v>319</v>
      </c>
      <c r="N372" s="132">
        <v>292</v>
      </c>
      <c r="O372" s="132">
        <v>0</v>
      </c>
      <c r="P372" s="132">
        <v>9.0234365134915308E+18</v>
      </c>
    </row>
    <row r="373" spans="4:16" ht="15" customHeight="1" x14ac:dyDescent="0.2">
      <c r="D373" s="130" t="b">
        <v>0</v>
      </c>
      <c r="E373" s="124">
        <v>31.9</v>
      </c>
      <c r="F373" s="125">
        <v>4</v>
      </c>
      <c r="G373" s="125">
        <v>89</v>
      </c>
      <c r="H373" s="123">
        <v>71</v>
      </c>
      <c r="I373" s="123">
        <v>1925</v>
      </c>
      <c r="J373" s="123">
        <v>14</v>
      </c>
      <c r="K373" s="123">
        <v>79</v>
      </c>
      <c r="L373" s="123" t="s">
        <v>117</v>
      </c>
      <c r="M373" s="123" t="s">
        <v>320</v>
      </c>
      <c r="N373" s="132">
        <v>293</v>
      </c>
      <c r="O373" s="132">
        <v>0</v>
      </c>
      <c r="P373" s="132">
        <v>1.6638804231824059E+18</v>
      </c>
    </row>
    <row r="374" spans="4:16" ht="15" customHeight="1" x14ac:dyDescent="0.2">
      <c r="D374" s="130" t="b">
        <v>0</v>
      </c>
      <c r="E374" s="124">
        <v>34.1</v>
      </c>
      <c r="F374" s="125">
        <v>4</v>
      </c>
      <c r="G374" s="125">
        <v>86</v>
      </c>
      <c r="H374" s="123">
        <v>65</v>
      </c>
      <c r="I374" s="123">
        <v>1975</v>
      </c>
      <c r="J374" s="123">
        <v>15.2</v>
      </c>
      <c r="K374" s="123">
        <v>79</v>
      </c>
      <c r="L374" s="123" t="s">
        <v>111</v>
      </c>
      <c r="M374" s="123" t="s">
        <v>321</v>
      </c>
      <c r="N374" s="132">
        <v>294</v>
      </c>
      <c r="O374" s="132">
        <v>0</v>
      </c>
      <c r="P374" s="132">
        <v>1.4315241329355133E+19</v>
      </c>
    </row>
    <row r="375" spans="4:16" ht="15" customHeight="1" x14ac:dyDescent="0.2">
      <c r="D375" s="130" t="b">
        <v>0</v>
      </c>
      <c r="E375" s="124">
        <v>35.700000000000003</v>
      </c>
      <c r="F375" s="125">
        <v>4</v>
      </c>
      <c r="G375" s="125">
        <v>98</v>
      </c>
      <c r="H375" s="123">
        <v>80</v>
      </c>
      <c r="I375" s="123">
        <v>1915</v>
      </c>
      <c r="J375" s="123">
        <v>14.4</v>
      </c>
      <c r="K375" s="123">
        <v>79</v>
      </c>
      <c r="L375" s="123" t="s">
        <v>95</v>
      </c>
      <c r="M375" s="123" t="s">
        <v>322</v>
      </c>
      <c r="N375" s="132">
        <v>295</v>
      </c>
      <c r="O375" s="132">
        <v>0</v>
      </c>
      <c r="P375" s="132">
        <v>7.9454308624835942E+18</v>
      </c>
    </row>
    <row r="376" spans="4:16" ht="15" customHeight="1" x14ac:dyDescent="0.2">
      <c r="D376" s="130" t="b">
        <v>0</v>
      </c>
      <c r="E376" s="124">
        <v>27.4</v>
      </c>
      <c r="F376" s="125">
        <v>4</v>
      </c>
      <c r="G376" s="125">
        <v>121</v>
      </c>
      <c r="H376" s="123">
        <v>80</v>
      </c>
      <c r="I376" s="123">
        <v>2670</v>
      </c>
      <c r="J376" s="123">
        <v>15</v>
      </c>
      <c r="K376" s="123">
        <v>79</v>
      </c>
      <c r="L376" s="123" t="s">
        <v>95</v>
      </c>
      <c r="M376" s="123" t="s">
        <v>323</v>
      </c>
      <c r="N376" s="132">
        <v>296</v>
      </c>
      <c r="O376" s="132">
        <v>0</v>
      </c>
      <c r="P376" s="132">
        <v>1.5841630099365603E+19</v>
      </c>
    </row>
    <row r="377" spans="4:16" ht="15" customHeight="1" x14ac:dyDescent="0.2">
      <c r="D377" s="130" t="b">
        <v>0</v>
      </c>
      <c r="E377" s="124">
        <v>25.4</v>
      </c>
      <c r="F377" s="125">
        <v>5</v>
      </c>
      <c r="G377" s="125">
        <v>183</v>
      </c>
      <c r="H377" s="123">
        <v>77</v>
      </c>
      <c r="I377" s="123">
        <v>3530</v>
      </c>
      <c r="J377" s="123">
        <v>20.100000000000001</v>
      </c>
      <c r="K377" s="123">
        <v>79</v>
      </c>
      <c r="L377" s="123" t="s">
        <v>117</v>
      </c>
      <c r="M377" s="123" t="s">
        <v>324</v>
      </c>
      <c r="N377" s="132">
        <v>297</v>
      </c>
      <c r="O377" s="132">
        <v>0</v>
      </c>
      <c r="P377" s="132">
        <v>1.5089936052058132E+19</v>
      </c>
    </row>
    <row r="378" spans="4:16" ht="15" customHeight="1" x14ac:dyDescent="0.2">
      <c r="D378" s="130" t="b">
        <v>0</v>
      </c>
      <c r="E378" s="124">
        <v>23</v>
      </c>
      <c r="F378" s="125">
        <v>8</v>
      </c>
      <c r="G378" s="125">
        <v>350</v>
      </c>
      <c r="H378" s="123">
        <v>125</v>
      </c>
      <c r="I378" s="123">
        <v>3900</v>
      </c>
      <c r="J378" s="123">
        <v>17.399999999999999</v>
      </c>
      <c r="K378" s="123">
        <v>79</v>
      </c>
      <c r="L378" s="123" t="s">
        <v>95</v>
      </c>
      <c r="M378" s="123" t="s">
        <v>325</v>
      </c>
      <c r="N378" s="132">
        <v>298</v>
      </c>
      <c r="O378" s="132">
        <v>0</v>
      </c>
      <c r="P378" s="132">
        <v>1.0708883958780137E+19</v>
      </c>
    </row>
    <row r="379" spans="4:16" ht="15" customHeight="1" x14ac:dyDescent="0.2">
      <c r="D379" s="130" t="b">
        <v>0</v>
      </c>
      <c r="E379" s="124">
        <v>27.2</v>
      </c>
      <c r="F379" s="125">
        <v>4</v>
      </c>
      <c r="G379" s="125">
        <v>141</v>
      </c>
      <c r="H379" s="123">
        <v>71</v>
      </c>
      <c r="I379" s="123">
        <v>3190</v>
      </c>
      <c r="J379" s="123">
        <v>24.8</v>
      </c>
      <c r="K379" s="123">
        <v>79</v>
      </c>
      <c r="L379" s="123" t="s">
        <v>117</v>
      </c>
      <c r="M379" s="123" t="s">
        <v>119</v>
      </c>
      <c r="N379" s="132">
        <v>299</v>
      </c>
      <c r="O379" s="132">
        <v>0</v>
      </c>
      <c r="P379" s="132">
        <v>7.2104908328360253E+18</v>
      </c>
    </row>
    <row r="380" spans="4:16" ht="15" customHeight="1" x14ac:dyDescent="0.2">
      <c r="D380" s="130" t="b">
        <v>0</v>
      </c>
      <c r="E380" s="124">
        <v>23.9</v>
      </c>
      <c r="F380" s="125">
        <v>8</v>
      </c>
      <c r="G380" s="125">
        <v>260</v>
      </c>
      <c r="H380" s="123">
        <v>90</v>
      </c>
      <c r="I380" s="123">
        <v>3420</v>
      </c>
      <c r="J380" s="123">
        <v>22.2</v>
      </c>
      <c r="K380" s="123">
        <v>79</v>
      </c>
      <c r="L380" s="123" t="s">
        <v>95</v>
      </c>
      <c r="M380" s="123" t="s">
        <v>283</v>
      </c>
      <c r="N380" s="132">
        <v>300</v>
      </c>
      <c r="O380" s="132">
        <v>0</v>
      </c>
      <c r="P380" s="132">
        <v>2.9771072405449513E+18</v>
      </c>
    </row>
    <row r="381" spans="4:16" ht="15" customHeight="1" x14ac:dyDescent="0.2">
      <c r="D381" s="130" t="b">
        <v>0</v>
      </c>
      <c r="E381" s="124">
        <v>34.200000000000003</v>
      </c>
      <c r="F381" s="125">
        <v>4</v>
      </c>
      <c r="G381" s="125">
        <v>105</v>
      </c>
      <c r="H381" s="123">
        <v>70</v>
      </c>
      <c r="I381" s="123">
        <v>2200</v>
      </c>
      <c r="J381" s="123">
        <v>13.2</v>
      </c>
      <c r="K381" s="123">
        <v>79</v>
      </c>
      <c r="L381" s="123" t="s">
        <v>95</v>
      </c>
      <c r="M381" s="123" t="s">
        <v>326</v>
      </c>
      <c r="N381" s="132">
        <v>301</v>
      </c>
      <c r="O381" s="132">
        <v>0</v>
      </c>
      <c r="P381" s="132">
        <v>1.2743510380953031E+19</v>
      </c>
    </row>
    <row r="382" spans="4:16" ht="15" customHeight="1" x14ac:dyDescent="0.2">
      <c r="D382" s="130" t="b">
        <v>0</v>
      </c>
      <c r="E382" s="124">
        <v>34.5</v>
      </c>
      <c r="F382" s="125">
        <v>4</v>
      </c>
      <c r="G382" s="125">
        <v>105</v>
      </c>
      <c r="H382" s="123">
        <v>70</v>
      </c>
      <c r="I382" s="123">
        <v>2150</v>
      </c>
      <c r="J382" s="123">
        <v>14.9</v>
      </c>
      <c r="K382" s="123">
        <v>79</v>
      </c>
      <c r="L382" s="123" t="s">
        <v>95</v>
      </c>
      <c r="M382" s="123" t="s">
        <v>327</v>
      </c>
      <c r="N382" s="132">
        <v>302</v>
      </c>
      <c r="O382" s="132">
        <v>0</v>
      </c>
      <c r="P382" s="132">
        <v>1.1638920048096559E+19</v>
      </c>
    </row>
    <row r="383" spans="4:16" ht="15" customHeight="1" x14ac:dyDescent="0.2">
      <c r="D383" s="130" t="b">
        <v>0</v>
      </c>
      <c r="E383" s="124">
        <v>31.8</v>
      </c>
      <c r="F383" s="125">
        <v>4</v>
      </c>
      <c r="G383" s="125">
        <v>85</v>
      </c>
      <c r="H383" s="123">
        <v>65</v>
      </c>
      <c r="I383" s="123">
        <v>2020</v>
      </c>
      <c r="J383" s="123">
        <v>19.2</v>
      </c>
      <c r="K383" s="123">
        <v>79</v>
      </c>
      <c r="L383" s="123" t="s">
        <v>111</v>
      </c>
      <c r="M383" s="123" t="s">
        <v>328</v>
      </c>
      <c r="N383" s="132">
        <v>303</v>
      </c>
      <c r="O383" s="132">
        <v>0</v>
      </c>
      <c r="P383" s="132">
        <v>1.3331894372623102E+19</v>
      </c>
    </row>
    <row r="384" spans="4:16" ht="15" customHeight="1" x14ac:dyDescent="0.2">
      <c r="D384" s="130" t="b">
        <v>0</v>
      </c>
      <c r="E384" s="124">
        <v>37.299999999999997</v>
      </c>
      <c r="F384" s="125">
        <v>4</v>
      </c>
      <c r="G384" s="125">
        <v>91</v>
      </c>
      <c r="H384" s="123">
        <v>69</v>
      </c>
      <c r="I384" s="123">
        <v>2130</v>
      </c>
      <c r="J384" s="123">
        <v>14.7</v>
      </c>
      <c r="K384" s="123">
        <v>79</v>
      </c>
      <c r="L384" s="123" t="s">
        <v>117</v>
      </c>
      <c r="M384" s="123" t="s">
        <v>329</v>
      </c>
      <c r="N384" s="132">
        <v>304</v>
      </c>
      <c r="O384" s="132">
        <v>0</v>
      </c>
      <c r="P384" s="132">
        <v>1.285743272544502E+19</v>
      </c>
    </row>
    <row r="385" spans="4:16" ht="15" customHeight="1" x14ac:dyDescent="0.2">
      <c r="D385" s="130" t="b">
        <v>0</v>
      </c>
      <c r="E385" s="124">
        <v>28.4</v>
      </c>
      <c r="F385" s="125">
        <v>4</v>
      </c>
      <c r="G385" s="125">
        <v>151</v>
      </c>
      <c r="H385" s="123">
        <v>90</v>
      </c>
      <c r="I385" s="123">
        <v>2670</v>
      </c>
      <c r="J385" s="123">
        <v>16</v>
      </c>
      <c r="K385" s="123">
        <v>79</v>
      </c>
      <c r="L385" s="123" t="s">
        <v>95</v>
      </c>
      <c r="M385" s="123" t="s">
        <v>330</v>
      </c>
      <c r="N385" s="132">
        <v>305</v>
      </c>
      <c r="O385" s="132">
        <v>0</v>
      </c>
      <c r="P385" s="132">
        <v>1.0357141835762526E+19</v>
      </c>
    </row>
    <row r="386" spans="4:16" ht="15" customHeight="1" x14ac:dyDescent="0.2">
      <c r="D386" s="130" t="b">
        <v>0</v>
      </c>
      <c r="E386" s="124">
        <v>28.8</v>
      </c>
      <c r="F386" s="125">
        <v>6</v>
      </c>
      <c r="G386" s="125">
        <v>173</v>
      </c>
      <c r="H386" s="123">
        <v>115</v>
      </c>
      <c r="I386" s="123">
        <v>2595</v>
      </c>
      <c r="J386" s="123">
        <v>11.3</v>
      </c>
      <c r="K386" s="123">
        <v>79</v>
      </c>
      <c r="L386" s="123" t="s">
        <v>95</v>
      </c>
      <c r="M386" s="123" t="s">
        <v>331</v>
      </c>
      <c r="N386" s="132">
        <v>306</v>
      </c>
      <c r="O386" s="132">
        <v>0</v>
      </c>
      <c r="P386" s="132">
        <v>1.9105070865013368E+18</v>
      </c>
    </row>
    <row r="387" spans="4:16" ht="15" customHeight="1" x14ac:dyDescent="0.2">
      <c r="D387" s="130" t="b">
        <v>0</v>
      </c>
      <c r="E387" s="124">
        <v>26.8</v>
      </c>
      <c r="F387" s="125">
        <v>6</v>
      </c>
      <c r="G387" s="125">
        <v>173</v>
      </c>
      <c r="H387" s="123">
        <v>115</v>
      </c>
      <c r="I387" s="123">
        <v>2700</v>
      </c>
      <c r="J387" s="123">
        <v>12.9</v>
      </c>
      <c r="K387" s="123">
        <v>79</v>
      </c>
      <c r="L387" s="123" t="s">
        <v>95</v>
      </c>
      <c r="M387" s="123" t="s">
        <v>332</v>
      </c>
      <c r="N387" s="132">
        <v>307</v>
      </c>
      <c r="O387" s="132">
        <v>0</v>
      </c>
      <c r="P387" s="132">
        <v>9.6943416927398236E+18</v>
      </c>
    </row>
    <row r="388" spans="4:16" ht="15" customHeight="1" x14ac:dyDescent="0.2">
      <c r="D388" s="130" t="b">
        <v>0</v>
      </c>
      <c r="E388" s="124">
        <v>33.5</v>
      </c>
      <c r="F388" s="125">
        <v>4</v>
      </c>
      <c r="G388" s="125">
        <v>151</v>
      </c>
      <c r="H388" s="123">
        <v>90</v>
      </c>
      <c r="I388" s="123">
        <v>2556</v>
      </c>
      <c r="J388" s="123">
        <v>13.2</v>
      </c>
      <c r="K388" s="123">
        <v>79</v>
      </c>
      <c r="L388" s="123" t="s">
        <v>95</v>
      </c>
      <c r="M388" s="123" t="s">
        <v>333</v>
      </c>
      <c r="N388" s="132">
        <v>308</v>
      </c>
      <c r="O388" s="132">
        <v>0</v>
      </c>
      <c r="P388" s="132">
        <v>1.0486465719068656E+19</v>
      </c>
    </row>
    <row r="389" spans="4:16" ht="15" customHeight="1" x14ac:dyDescent="0.2">
      <c r="D389" s="130" t="b">
        <v>0</v>
      </c>
      <c r="E389" s="124">
        <v>41.5</v>
      </c>
      <c r="F389" s="125">
        <v>4</v>
      </c>
      <c r="G389" s="125">
        <v>98</v>
      </c>
      <c r="H389" s="123">
        <v>76</v>
      </c>
      <c r="I389" s="123">
        <v>2144</v>
      </c>
      <c r="J389" s="123">
        <v>14.7</v>
      </c>
      <c r="K389" s="123">
        <v>80</v>
      </c>
      <c r="L389" s="123" t="s">
        <v>117</v>
      </c>
      <c r="M389" s="123" t="s">
        <v>241</v>
      </c>
      <c r="N389" s="132">
        <v>309</v>
      </c>
      <c r="O389" s="132">
        <v>0</v>
      </c>
      <c r="P389" s="132">
        <v>1.113276374682556E+19</v>
      </c>
    </row>
    <row r="390" spans="4:16" ht="15" customHeight="1" x14ac:dyDescent="0.2">
      <c r="D390" s="130" t="b">
        <v>0</v>
      </c>
      <c r="E390" s="124">
        <v>38.1</v>
      </c>
      <c r="F390" s="125">
        <v>4</v>
      </c>
      <c r="G390" s="125">
        <v>89</v>
      </c>
      <c r="H390" s="123">
        <v>60</v>
      </c>
      <c r="I390" s="123">
        <v>1968</v>
      </c>
      <c r="J390" s="123">
        <v>18.8</v>
      </c>
      <c r="K390" s="123">
        <v>80</v>
      </c>
      <c r="L390" s="123" t="s">
        <v>111</v>
      </c>
      <c r="M390" s="123" t="s">
        <v>334</v>
      </c>
      <c r="N390" s="132">
        <v>310</v>
      </c>
      <c r="O390" s="132">
        <v>0</v>
      </c>
      <c r="P390" s="132">
        <v>4.6152712577571697E+18</v>
      </c>
    </row>
    <row r="391" spans="4:16" ht="15" customHeight="1" x14ac:dyDescent="0.2">
      <c r="D391" s="130" t="b">
        <v>0</v>
      </c>
      <c r="E391" s="124">
        <v>32.1</v>
      </c>
      <c r="F391" s="125">
        <v>4</v>
      </c>
      <c r="G391" s="125">
        <v>98</v>
      </c>
      <c r="H391" s="123">
        <v>70</v>
      </c>
      <c r="I391" s="123">
        <v>2120</v>
      </c>
      <c r="J391" s="123">
        <v>15.5</v>
      </c>
      <c r="K391" s="123">
        <v>80</v>
      </c>
      <c r="L391" s="123" t="s">
        <v>95</v>
      </c>
      <c r="M391" s="123" t="s">
        <v>239</v>
      </c>
      <c r="N391" s="132">
        <v>311</v>
      </c>
      <c r="O391" s="132">
        <v>0</v>
      </c>
      <c r="P391" s="132">
        <v>4.6621354761844736E+18</v>
      </c>
    </row>
    <row r="392" spans="4:16" ht="15" customHeight="1" x14ac:dyDescent="0.2">
      <c r="D392" s="130" t="b">
        <v>0</v>
      </c>
      <c r="E392" s="124">
        <v>37.200000000000003</v>
      </c>
      <c r="F392" s="125">
        <v>4</v>
      </c>
      <c r="G392" s="125">
        <v>86</v>
      </c>
      <c r="H392" s="123">
        <v>65</v>
      </c>
      <c r="I392" s="123">
        <v>2019</v>
      </c>
      <c r="J392" s="123">
        <v>16.399999999999999</v>
      </c>
      <c r="K392" s="123">
        <v>80</v>
      </c>
      <c r="L392" s="123" t="s">
        <v>111</v>
      </c>
      <c r="M392" s="123" t="s">
        <v>335</v>
      </c>
      <c r="N392" s="132">
        <v>312</v>
      </c>
      <c r="O392" s="132">
        <v>0</v>
      </c>
      <c r="P392" s="132">
        <v>1.4246781040108833E+19</v>
      </c>
    </row>
    <row r="393" spans="4:16" ht="15" customHeight="1" x14ac:dyDescent="0.2">
      <c r="D393" s="130" t="b">
        <v>0</v>
      </c>
      <c r="E393" s="124">
        <v>28</v>
      </c>
      <c r="F393" s="125">
        <v>4</v>
      </c>
      <c r="G393" s="125">
        <v>151</v>
      </c>
      <c r="H393" s="123">
        <v>90</v>
      </c>
      <c r="I393" s="123">
        <v>2678</v>
      </c>
      <c r="J393" s="123">
        <v>16.5</v>
      </c>
      <c r="K393" s="123">
        <v>80</v>
      </c>
      <c r="L393" s="123" t="s">
        <v>95</v>
      </c>
      <c r="M393" s="123" t="s">
        <v>331</v>
      </c>
      <c r="N393" s="132">
        <v>313</v>
      </c>
      <c r="O393" s="132">
        <v>0</v>
      </c>
      <c r="P393" s="132">
        <v>4.8194129998372096E+18</v>
      </c>
    </row>
    <row r="394" spans="4:16" ht="15" customHeight="1" x14ac:dyDescent="0.2">
      <c r="D394" s="130" t="b">
        <v>0</v>
      </c>
      <c r="E394" s="124">
        <v>26.4</v>
      </c>
      <c r="F394" s="125">
        <v>4</v>
      </c>
      <c r="G394" s="125">
        <v>140</v>
      </c>
      <c r="H394" s="123">
        <v>88</v>
      </c>
      <c r="I394" s="123">
        <v>2870</v>
      </c>
      <c r="J394" s="123">
        <v>18.100000000000001</v>
      </c>
      <c r="K394" s="123">
        <v>80</v>
      </c>
      <c r="L394" s="123" t="s">
        <v>95</v>
      </c>
      <c r="M394" s="123" t="s">
        <v>336</v>
      </c>
      <c r="N394" s="132">
        <v>314</v>
      </c>
      <c r="O394" s="132">
        <v>0</v>
      </c>
      <c r="P394" s="132">
        <v>1.2744403878355153E+19</v>
      </c>
    </row>
    <row r="395" spans="4:16" ht="15" customHeight="1" x14ac:dyDescent="0.2">
      <c r="D395" s="130" t="b">
        <v>0</v>
      </c>
      <c r="E395" s="124">
        <v>24.3</v>
      </c>
      <c r="F395" s="125">
        <v>4</v>
      </c>
      <c r="G395" s="125">
        <v>151</v>
      </c>
      <c r="H395" s="123">
        <v>90</v>
      </c>
      <c r="I395" s="123">
        <v>3003</v>
      </c>
      <c r="J395" s="123">
        <v>20.100000000000001</v>
      </c>
      <c r="K395" s="123">
        <v>80</v>
      </c>
      <c r="L395" s="123" t="s">
        <v>95</v>
      </c>
      <c r="M395" s="123" t="s">
        <v>290</v>
      </c>
      <c r="N395" s="132">
        <v>315</v>
      </c>
      <c r="O395" s="132">
        <v>0</v>
      </c>
      <c r="P395" s="132">
        <v>1.4511521244416186E+19</v>
      </c>
    </row>
    <row r="396" spans="4:16" ht="15" customHeight="1" x14ac:dyDescent="0.2">
      <c r="D396" s="130" t="b">
        <v>0</v>
      </c>
      <c r="E396" s="124">
        <v>19.100000000000001</v>
      </c>
      <c r="F396" s="125">
        <v>6</v>
      </c>
      <c r="G396" s="125">
        <v>225</v>
      </c>
      <c r="H396" s="123">
        <v>90</v>
      </c>
      <c r="I396" s="123">
        <v>3381</v>
      </c>
      <c r="J396" s="123">
        <v>18.7</v>
      </c>
      <c r="K396" s="123">
        <v>80</v>
      </c>
      <c r="L396" s="123" t="s">
        <v>95</v>
      </c>
      <c r="M396" s="123" t="s">
        <v>293</v>
      </c>
      <c r="N396" s="132">
        <v>316</v>
      </c>
      <c r="O396" s="132">
        <v>0</v>
      </c>
      <c r="P396" s="132">
        <v>2.4321241702804736E+18</v>
      </c>
    </row>
    <row r="397" spans="4:16" ht="15" customHeight="1" x14ac:dyDescent="0.2">
      <c r="D397" s="130" t="b">
        <v>0</v>
      </c>
      <c r="E397" s="124">
        <v>34.299999999999997</v>
      </c>
      <c r="F397" s="125">
        <v>4</v>
      </c>
      <c r="G397" s="125">
        <v>97</v>
      </c>
      <c r="H397" s="123">
        <v>78</v>
      </c>
      <c r="I397" s="123">
        <v>2188</v>
      </c>
      <c r="J397" s="123">
        <v>15.8</v>
      </c>
      <c r="K397" s="123">
        <v>80</v>
      </c>
      <c r="L397" s="123" t="s">
        <v>117</v>
      </c>
      <c r="M397" s="123" t="s">
        <v>337</v>
      </c>
      <c r="N397" s="132">
        <v>317</v>
      </c>
      <c r="O397" s="132">
        <v>0</v>
      </c>
      <c r="P397" s="132">
        <v>8.5018568818679081E+18</v>
      </c>
    </row>
    <row r="398" spans="4:16" ht="15" customHeight="1" x14ac:dyDescent="0.2">
      <c r="D398" s="130" t="b">
        <v>0</v>
      </c>
      <c r="E398" s="124">
        <v>29.8</v>
      </c>
      <c r="F398" s="125">
        <v>4</v>
      </c>
      <c r="G398" s="125">
        <v>134</v>
      </c>
      <c r="H398" s="123">
        <v>90</v>
      </c>
      <c r="I398" s="123">
        <v>2711</v>
      </c>
      <c r="J398" s="123">
        <v>15.5</v>
      </c>
      <c r="K398" s="123">
        <v>80</v>
      </c>
      <c r="L398" s="123" t="s">
        <v>111</v>
      </c>
      <c r="M398" s="123" t="s">
        <v>338</v>
      </c>
      <c r="N398" s="132">
        <v>318</v>
      </c>
      <c r="O398" s="132">
        <v>0</v>
      </c>
      <c r="P398" s="132">
        <v>1.0867730582142925E+19</v>
      </c>
    </row>
    <row r="399" spans="4:16" ht="15" customHeight="1" x14ac:dyDescent="0.2">
      <c r="D399" s="130" t="b">
        <v>0</v>
      </c>
      <c r="E399" s="124">
        <v>31.3</v>
      </c>
      <c r="F399" s="125">
        <v>4</v>
      </c>
      <c r="G399" s="125">
        <v>120</v>
      </c>
      <c r="H399" s="123">
        <v>75</v>
      </c>
      <c r="I399" s="123">
        <v>2542</v>
      </c>
      <c r="J399" s="123">
        <v>17.5</v>
      </c>
      <c r="K399" s="123">
        <v>80</v>
      </c>
      <c r="L399" s="123" t="s">
        <v>111</v>
      </c>
      <c r="M399" s="123" t="s">
        <v>339</v>
      </c>
      <c r="N399" s="132">
        <v>319</v>
      </c>
      <c r="O399" s="132">
        <v>0</v>
      </c>
      <c r="P399" s="132">
        <v>2.8952690218763807E+18</v>
      </c>
    </row>
    <row r="400" spans="4:16" ht="15" customHeight="1" x14ac:dyDescent="0.2">
      <c r="D400" s="130" t="b">
        <v>0</v>
      </c>
      <c r="E400" s="124">
        <v>37</v>
      </c>
      <c r="F400" s="125">
        <v>4</v>
      </c>
      <c r="G400" s="125">
        <v>119</v>
      </c>
      <c r="H400" s="123">
        <v>92</v>
      </c>
      <c r="I400" s="123">
        <v>2434</v>
      </c>
      <c r="J400" s="123">
        <v>15</v>
      </c>
      <c r="K400" s="123">
        <v>80</v>
      </c>
      <c r="L400" s="123" t="s">
        <v>111</v>
      </c>
      <c r="M400" s="123" t="s">
        <v>340</v>
      </c>
      <c r="N400" s="132">
        <v>320</v>
      </c>
      <c r="O400" s="132">
        <v>0</v>
      </c>
      <c r="P400" s="132">
        <v>8.8262793697869855E+18</v>
      </c>
    </row>
    <row r="401" spans="4:16" ht="15" customHeight="1" x14ac:dyDescent="0.2">
      <c r="D401" s="130" t="b">
        <v>0</v>
      </c>
      <c r="E401" s="124">
        <v>32.200000000000003</v>
      </c>
      <c r="F401" s="125">
        <v>4</v>
      </c>
      <c r="G401" s="125">
        <v>108</v>
      </c>
      <c r="H401" s="123">
        <v>75</v>
      </c>
      <c r="I401" s="123">
        <v>2265</v>
      </c>
      <c r="J401" s="123">
        <v>15.2</v>
      </c>
      <c r="K401" s="123">
        <v>80</v>
      </c>
      <c r="L401" s="123" t="s">
        <v>111</v>
      </c>
      <c r="M401" s="123" t="s">
        <v>229</v>
      </c>
      <c r="N401" s="132">
        <v>321</v>
      </c>
      <c r="O401" s="132">
        <v>0</v>
      </c>
      <c r="P401" s="132">
        <v>1.0973564555612867E+19</v>
      </c>
    </row>
    <row r="402" spans="4:16" ht="15" customHeight="1" x14ac:dyDescent="0.2">
      <c r="D402" s="130" t="b">
        <v>0</v>
      </c>
      <c r="E402" s="124">
        <v>46.6</v>
      </c>
      <c r="F402" s="125">
        <v>4</v>
      </c>
      <c r="G402" s="125">
        <v>86</v>
      </c>
      <c r="H402" s="123">
        <v>65</v>
      </c>
      <c r="I402" s="123">
        <v>2110</v>
      </c>
      <c r="J402" s="123">
        <v>17.899999999999999</v>
      </c>
      <c r="K402" s="123">
        <v>80</v>
      </c>
      <c r="L402" s="123" t="s">
        <v>111</v>
      </c>
      <c r="M402" s="123" t="s">
        <v>341</v>
      </c>
      <c r="N402" s="132">
        <v>322</v>
      </c>
      <c r="O402" s="132">
        <v>0</v>
      </c>
      <c r="P402" s="132">
        <v>1.1295818447089797E+19</v>
      </c>
    </row>
    <row r="403" spans="4:16" ht="15" customHeight="1" x14ac:dyDescent="0.2">
      <c r="D403" s="130" t="b">
        <v>0</v>
      </c>
      <c r="E403" s="124">
        <v>27.9</v>
      </c>
      <c r="F403" s="125">
        <v>4</v>
      </c>
      <c r="G403" s="125">
        <v>156</v>
      </c>
      <c r="H403" s="123">
        <v>105</v>
      </c>
      <c r="I403" s="123">
        <v>2800</v>
      </c>
      <c r="J403" s="123">
        <v>14.4</v>
      </c>
      <c r="K403" s="123">
        <v>80</v>
      </c>
      <c r="L403" s="123" t="s">
        <v>95</v>
      </c>
      <c r="M403" s="123" t="s">
        <v>214</v>
      </c>
      <c r="N403" s="132">
        <v>323</v>
      </c>
      <c r="O403" s="132">
        <v>0</v>
      </c>
      <c r="P403" s="132">
        <v>1.8353046794650417E+19</v>
      </c>
    </row>
    <row r="404" spans="4:16" ht="15" customHeight="1" x14ac:dyDescent="0.2">
      <c r="D404" s="130" t="b">
        <v>0</v>
      </c>
      <c r="E404" s="124">
        <v>40.799999999999997</v>
      </c>
      <c r="F404" s="125">
        <v>4</v>
      </c>
      <c r="G404" s="125">
        <v>85</v>
      </c>
      <c r="H404" s="123">
        <v>65</v>
      </c>
      <c r="I404" s="123">
        <v>2110</v>
      </c>
      <c r="J404" s="123">
        <v>19.2</v>
      </c>
      <c r="K404" s="123">
        <v>80</v>
      </c>
      <c r="L404" s="123" t="s">
        <v>111</v>
      </c>
      <c r="M404" s="123" t="s">
        <v>328</v>
      </c>
      <c r="N404" s="132">
        <v>324</v>
      </c>
      <c r="O404" s="132">
        <v>0</v>
      </c>
      <c r="P404" s="132">
        <v>1.7259334820694538E+18</v>
      </c>
    </row>
    <row r="405" spans="4:16" ht="15" customHeight="1" x14ac:dyDescent="0.2">
      <c r="D405" s="130" t="b">
        <v>0</v>
      </c>
      <c r="E405" s="124">
        <v>44.3</v>
      </c>
      <c r="F405" s="125">
        <v>4</v>
      </c>
      <c r="G405" s="125">
        <v>90</v>
      </c>
      <c r="H405" s="123">
        <v>48</v>
      </c>
      <c r="I405" s="123">
        <v>2085</v>
      </c>
      <c r="J405" s="123">
        <v>21.7</v>
      </c>
      <c r="K405" s="123">
        <v>80</v>
      </c>
      <c r="L405" s="123" t="s">
        <v>117</v>
      </c>
      <c r="M405" s="123" t="s">
        <v>342</v>
      </c>
      <c r="N405" s="132">
        <v>325</v>
      </c>
      <c r="O405" s="132">
        <v>0</v>
      </c>
      <c r="P405" s="132">
        <v>5.154886563007017E+18</v>
      </c>
    </row>
    <row r="406" spans="4:16" ht="15" customHeight="1" x14ac:dyDescent="0.2">
      <c r="D406" s="130" t="b">
        <v>0</v>
      </c>
      <c r="E406" s="124">
        <v>43.4</v>
      </c>
      <c r="F406" s="125">
        <v>4</v>
      </c>
      <c r="G406" s="125">
        <v>90</v>
      </c>
      <c r="H406" s="123">
        <v>48</v>
      </c>
      <c r="I406" s="123">
        <v>2335</v>
      </c>
      <c r="J406" s="123">
        <v>23.7</v>
      </c>
      <c r="K406" s="123">
        <v>80</v>
      </c>
      <c r="L406" s="123" t="s">
        <v>117</v>
      </c>
      <c r="M406" s="123" t="s">
        <v>343</v>
      </c>
      <c r="N406" s="132">
        <v>326</v>
      </c>
      <c r="O406" s="132">
        <v>0</v>
      </c>
      <c r="P406" s="132">
        <v>1.1744222064608292E+18</v>
      </c>
    </row>
    <row r="407" spans="4:16" ht="15" customHeight="1" x14ac:dyDescent="0.2">
      <c r="D407" s="130" t="b">
        <v>0</v>
      </c>
      <c r="E407" s="124">
        <v>36.4</v>
      </c>
      <c r="F407" s="125">
        <v>5</v>
      </c>
      <c r="G407" s="125">
        <v>121</v>
      </c>
      <c r="H407" s="123">
        <v>67</v>
      </c>
      <c r="I407" s="123">
        <v>2950</v>
      </c>
      <c r="J407" s="123">
        <v>19.899999999999999</v>
      </c>
      <c r="K407" s="123">
        <v>80</v>
      </c>
      <c r="L407" s="123" t="s">
        <v>117</v>
      </c>
      <c r="M407" s="123" t="s">
        <v>344</v>
      </c>
      <c r="N407" s="132">
        <v>327</v>
      </c>
      <c r="O407" s="132">
        <v>0</v>
      </c>
      <c r="P407" s="132">
        <v>1.684014715092977E+19</v>
      </c>
    </row>
    <row r="408" spans="4:16" ht="15" customHeight="1" x14ac:dyDescent="0.2">
      <c r="D408" s="130" t="b">
        <v>0</v>
      </c>
      <c r="E408" s="124">
        <v>30</v>
      </c>
      <c r="F408" s="125">
        <v>4</v>
      </c>
      <c r="G408" s="125">
        <v>146</v>
      </c>
      <c r="H408" s="123">
        <v>67</v>
      </c>
      <c r="I408" s="123">
        <v>3250</v>
      </c>
      <c r="J408" s="123">
        <v>21.8</v>
      </c>
      <c r="K408" s="123">
        <v>80</v>
      </c>
      <c r="L408" s="123" t="s">
        <v>117</v>
      </c>
      <c r="M408" s="123" t="s">
        <v>345</v>
      </c>
      <c r="N408" s="132">
        <v>328</v>
      </c>
      <c r="O408" s="132">
        <v>0</v>
      </c>
      <c r="P408" s="132">
        <v>9.4437419145996247E+18</v>
      </c>
    </row>
    <row r="409" spans="4:16" ht="15" customHeight="1" x14ac:dyDescent="0.2">
      <c r="D409" s="130" t="b">
        <v>0</v>
      </c>
      <c r="E409" s="124">
        <v>44.6</v>
      </c>
      <c r="F409" s="125">
        <v>4</v>
      </c>
      <c r="G409" s="125">
        <v>91</v>
      </c>
      <c r="H409" s="123">
        <v>67</v>
      </c>
      <c r="I409" s="123">
        <v>1850</v>
      </c>
      <c r="J409" s="123">
        <v>13.8</v>
      </c>
      <c r="K409" s="123">
        <v>80</v>
      </c>
      <c r="L409" s="123" t="s">
        <v>111</v>
      </c>
      <c r="M409" s="123" t="s">
        <v>346</v>
      </c>
      <c r="N409" s="132">
        <v>329</v>
      </c>
      <c r="O409" s="132">
        <v>0</v>
      </c>
      <c r="P409" s="132">
        <v>1.8383368734723514E+19</v>
      </c>
    </row>
    <row r="410" spans="4:16" ht="15" customHeight="1" x14ac:dyDescent="0.2">
      <c r="D410" s="130" t="b">
        <v>0</v>
      </c>
      <c r="E410" s="124">
        <v>40.9</v>
      </c>
      <c r="F410" s="125">
        <v>4</v>
      </c>
      <c r="G410" s="125">
        <v>85</v>
      </c>
      <c r="H410" s="123"/>
      <c r="I410" s="123">
        <v>1835</v>
      </c>
      <c r="J410" s="123">
        <v>17.3</v>
      </c>
      <c r="K410" s="123">
        <v>80</v>
      </c>
      <c r="L410" s="123" t="s">
        <v>117</v>
      </c>
      <c r="M410" s="123" t="s">
        <v>347</v>
      </c>
      <c r="N410" s="132">
        <v>330</v>
      </c>
      <c r="O410" s="132">
        <v>1</v>
      </c>
      <c r="P410" s="132">
        <v>6.2207479993869875E+18</v>
      </c>
    </row>
    <row r="411" spans="4:16" ht="15" customHeight="1" x14ac:dyDescent="0.2">
      <c r="D411" s="130" t="b">
        <v>0</v>
      </c>
      <c r="E411" s="124">
        <v>33.799999999999997</v>
      </c>
      <c r="F411" s="125">
        <v>4</v>
      </c>
      <c r="G411" s="125">
        <v>97</v>
      </c>
      <c r="H411" s="123">
        <v>67</v>
      </c>
      <c r="I411" s="123">
        <v>2145</v>
      </c>
      <c r="J411" s="123">
        <v>18</v>
      </c>
      <c r="K411" s="123">
        <v>80</v>
      </c>
      <c r="L411" s="123" t="s">
        <v>111</v>
      </c>
      <c r="M411" s="123" t="s">
        <v>275</v>
      </c>
      <c r="N411" s="132">
        <v>331</v>
      </c>
      <c r="O411" s="132">
        <v>0</v>
      </c>
      <c r="P411" s="132">
        <v>5.3887081398255012E+18</v>
      </c>
    </row>
    <row r="412" spans="4:16" ht="15" customHeight="1" x14ac:dyDescent="0.2">
      <c r="D412" s="130" t="b">
        <v>0</v>
      </c>
      <c r="E412" s="124">
        <v>29.8</v>
      </c>
      <c r="F412" s="125">
        <v>4</v>
      </c>
      <c r="G412" s="125">
        <v>89</v>
      </c>
      <c r="H412" s="123">
        <v>62</v>
      </c>
      <c r="I412" s="123">
        <v>1845</v>
      </c>
      <c r="J412" s="123">
        <v>15.3</v>
      </c>
      <c r="K412" s="123">
        <v>80</v>
      </c>
      <c r="L412" s="123" t="s">
        <v>117</v>
      </c>
      <c r="M412" s="123" t="s">
        <v>348</v>
      </c>
      <c r="N412" s="132">
        <v>332</v>
      </c>
      <c r="O412" s="132">
        <v>0</v>
      </c>
      <c r="P412" s="132">
        <v>7.3323474185278116E+18</v>
      </c>
    </row>
    <row r="413" spans="4:16" ht="15" customHeight="1" x14ac:dyDescent="0.2">
      <c r="D413" s="130" t="b">
        <v>0</v>
      </c>
      <c r="E413" s="124">
        <v>32.700000000000003</v>
      </c>
      <c r="F413" s="125">
        <v>6</v>
      </c>
      <c r="G413" s="125">
        <v>168</v>
      </c>
      <c r="H413" s="123">
        <v>132</v>
      </c>
      <c r="I413" s="123">
        <v>2910</v>
      </c>
      <c r="J413" s="123">
        <v>11.4</v>
      </c>
      <c r="K413" s="123">
        <v>80</v>
      </c>
      <c r="L413" s="123" t="s">
        <v>111</v>
      </c>
      <c r="M413" s="123" t="s">
        <v>349</v>
      </c>
      <c r="N413" s="132">
        <v>333</v>
      </c>
      <c r="O413" s="132">
        <v>0</v>
      </c>
      <c r="P413" s="132">
        <v>1.6814757523438301E+19</v>
      </c>
    </row>
    <row r="414" spans="4:16" ht="15" customHeight="1" x14ac:dyDescent="0.2">
      <c r="D414" s="130" t="b">
        <v>0</v>
      </c>
      <c r="E414" s="124">
        <v>23.7</v>
      </c>
      <c r="F414" s="125">
        <v>3</v>
      </c>
      <c r="G414" s="125">
        <v>70</v>
      </c>
      <c r="H414" s="123">
        <v>100</v>
      </c>
      <c r="I414" s="123">
        <v>2420</v>
      </c>
      <c r="J414" s="123">
        <v>12.5</v>
      </c>
      <c r="K414" s="123">
        <v>80</v>
      </c>
      <c r="L414" s="123" t="s">
        <v>111</v>
      </c>
      <c r="M414" s="123" t="s">
        <v>350</v>
      </c>
      <c r="N414" s="132">
        <v>334</v>
      </c>
      <c r="O414" s="132">
        <v>0</v>
      </c>
      <c r="P414" s="132">
        <v>1.6739183670575722E+19</v>
      </c>
    </row>
    <row r="415" spans="4:16" ht="15" customHeight="1" x14ac:dyDescent="0.2">
      <c r="D415" s="130" t="b">
        <v>0</v>
      </c>
      <c r="E415" s="124">
        <v>35</v>
      </c>
      <c r="F415" s="125">
        <v>4</v>
      </c>
      <c r="G415" s="125">
        <v>122</v>
      </c>
      <c r="H415" s="123">
        <v>88</v>
      </c>
      <c r="I415" s="123">
        <v>2500</v>
      </c>
      <c r="J415" s="123">
        <v>15.1</v>
      </c>
      <c r="K415" s="123">
        <v>80</v>
      </c>
      <c r="L415" s="123" t="s">
        <v>117</v>
      </c>
      <c r="M415" s="123" t="s">
        <v>351</v>
      </c>
      <c r="N415" s="132">
        <v>335</v>
      </c>
      <c r="O415" s="132">
        <v>0</v>
      </c>
      <c r="P415" s="132">
        <v>6.1658455360984105E+18</v>
      </c>
    </row>
    <row r="416" spans="4:16" ht="15" customHeight="1" x14ac:dyDescent="0.2">
      <c r="D416" s="130" t="b">
        <v>0</v>
      </c>
      <c r="E416" s="124">
        <v>23.6</v>
      </c>
      <c r="F416" s="125">
        <v>4</v>
      </c>
      <c r="G416" s="125">
        <v>140</v>
      </c>
      <c r="H416" s="123"/>
      <c r="I416" s="123">
        <v>2905</v>
      </c>
      <c r="J416" s="123">
        <v>14.3</v>
      </c>
      <c r="K416" s="123">
        <v>80</v>
      </c>
      <c r="L416" s="123" t="s">
        <v>95</v>
      </c>
      <c r="M416" s="123" t="s">
        <v>352</v>
      </c>
      <c r="N416" s="132">
        <v>336</v>
      </c>
      <c r="O416" s="132">
        <v>1</v>
      </c>
      <c r="P416" s="132">
        <v>1.4518738583659594E+18</v>
      </c>
    </row>
    <row r="417" spans="4:16" ht="15" customHeight="1" x14ac:dyDescent="0.2">
      <c r="D417" s="130" t="b">
        <v>0</v>
      </c>
      <c r="E417" s="124">
        <v>32.4</v>
      </c>
      <c r="F417" s="125">
        <v>4</v>
      </c>
      <c r="G417" s="125">
        <v>107</v>
      </c>
      <c r="H417" s="123">
        <v>72</v>
      </c>
      <c r="I417" s="123">
        <v>2290</v>
      </c>
      <c r="J417" s="123">
        <v>17</v>
      </c>
      <c r="K417" s="123">
        <v>80</v>
      </c>
      <c r="L417" s="123" t="s">
        <v>111</v>
      </c>
      <c r="M417" s="123" t="s">
        <v>353</v>
      </c>
      <c r="N417" s="132">
        <v>337</v>
      </c>
      <c r="O417" s="132">
        <v>0</v>
      </c>
      <c r="P417" s="132">
        <v>1.5954148572148365E+19</v>
      </c>
    </row>
    <row r="418" spans="4:16" ht="15" customHeight="1" x14ac:dyDescent="0.2">
      <c r="D418" s="130" t="b">
        <v>0</v>
      </c>
      <c r="E418" s="124">
        <v>27.2</v>
      </c>
      <c r="F418" s="125">
        <v>4</v>
      </c>
      <c r="G418" s="125">
        <v>135</v>
      </c>
      <c r="H418" s="123">
        <v>84</v>
      </c>
      <c r="I418" s="123">
        <v>2490</v>
      </c>
      <c r="J418" s="123">
        <v>15.7</v>
      </c>
      <c r="K418" s="123">
        <v>81</v>
      </c>
      <c r="L418" s="123" t="s">
        <v>95</v>
      </c>
      <c r="M418" s="123" t="s">
        <v>354</v>
      </c>
      <c r="N418" s="132">
        <v>338</v>
      </c>
      <c r="O418" s="132">
        <v>0</v>
      </c>
      <c r="P418" s="132">
        <v>1.6776686076780716E+19</v>
      </c>
    </row>
    <row r="419" spans="4:16" ht="15" customHeight="1" x14ac:dyDescent="0.2">
      <c r="D419" s="130" t="b">
        <v>0</v>
      </c>
      <c r="E419" s="124">
        <v>26.6</v>
      </c>
      <c r="F419" s="125">
        <v>4</v>
      </c>
      <c r="G419" s="125">
        <v>151</v>
      </c>
      <c r="H419" s="123">
        <v>84</v>
      </c>
      <c r="I419" s="123">
        <v>2635</v>
      </c>
      <c r="J419" s="123">
        <v>16.399999999999999</v>
      </c>
      <c r="K419" s="123">
        <v>81</v>
      </c>
      <c r="L419" s="123" t="s">
        <v>95</v>
      </c>
      <c r="M419" s="123" t="s">
        <v>263</v>
      </c>
      <c r="N419" s="132">
        <v>339</v>
      </c>
      <c r="O419" s="132">
        <v>0</v>
      </c>
      <c r="P419" s="132">
        <v>2.0831636860451331E+18</v>
      </c>
    </row>
    <row r="420" spans="4:16" ht="15" customHeight="1" x14ac:dyDescent="0.2">
      <c r="D420" s="130" t="b">
        <v>0</v>
      </c>
      <c r="E420" s="124">
        <v>25.8</v>
      </c>
      <c r="F420" s="125">
        <v>4</v>
      </c>
      <c r="G420" s="125">
        <v>156</v>
      </c>
      <c r="H420" s="123">
        <v>92</v>
      </c>
      <c r="I420" s="123">
        <v>2620</v>
      </c>
      <c r="J420" s="123">
        <v>14.4</v>
      </c>
      <c r="K420" s="123">
        <v>81</v>
      </c>
      <c r="L420" s="123" t="s">
        <v>95</v>
      </c>
      <c r="M420" s="123" t="s">
        <v>355</v>
      </c>
      <c r="N420" s="132">
        <v>340</v>
      </c>
      <c r="O420" s="132">
        <v>0</v>
      </c>
      <c r="P420" s="132">
        <v>3.0161655648933924E+18</v>
      </c>
    </row>
    <row r="421" spans="4:16" ht="15" customHeight="1" x14ac:dyDescent="0.2">
      <c r="D421" s="130" t="b">
        <v>0</v>
      </c>
      <c r="E421" s="124">
        <v>23.5</v>
      </c>
      <c r="F421" s="125">
        <v>6</v>
      </c>
      <c r="G421" s="125">
        <v>173</v>
      </c>
      <c r="H421" s="123">
        <v>110</v>
      </c>
      <c r="I421" s="123">
        <v>2725</v>
      </c>
      <c r="J421" s="123">
        <v>12.6</v>
      </c>
      <c r="K421" s="123">
        <v>81</v>
      </c>
      <c r="L421" s="123" t="s">
        <v>95</v>
      </c>
      <c r="M421" s="123" t="s">
        <v>331</v>
      </c>
      <c r="N421" s="132">
        <v>341</v>
      </c>
      <c r="O421" s="132">
        <v>0</v>
      </c>
      <c r="P421" s="132">
        <v>1.7863816618855025E+19</v>
      </c>
    </row>
    <row r="422" spans="4:16" ht="15" customHeight="1" x14ac:dyDescent="0.2">
      <c r="D422" s="130" t="b">
        <v>0</v>
      </c>
      <c r="E422" s="124">
        <v>30</v>
      </c>
      <c r="F422" s="125">
        <v>4</v>
      </c>
      <c r="G422" s="125">
        <v>135</v>
      </c>
      <c r="H422" s="123">
        <v>84</v>
      </c>
      <c r="I422" s="123">
        <v>2385</v>
      </c>
      <c r="J422" s="123">
        <v>12.9</v>
      </c>
      <c r="K422" s="123">
        <v>81</v>
      </c>
      <c r="L422" s="123" t="s">
        <v>95</v>
      </c>
      <c r="M422" s="123" t="s">
        <v>354</v>
      </c>
      <c r="N422" s="132">
        <v>342</v>
      </c>
      <c r="O422" s="132">
        <v>0</v>
      </c>
      <c r="P422" s="132">
        <v>1.2131366695560995E+19</v>
      </c>
    </row>
    <row r="423" spans="4:16" ht="15" customHeight="1" x14ac:dyDescent="0.2">
      <c r="D423" s="130" t="b">
        <v>0</v>
      </c>
      <c r="E423" s="124">
        <v>39.1</v>
      </c>
      <c r="F423" s="125">
        <v>4</v>
      </c>
      <c r="G423" s="125">
        <v>79</v>
      </c>
      <c r="H423" s="123">
        <v>58</v>
      </c>
      <c r="I423" s="123">
        <v>1755</v>
      </c>
      <c r="J423" s="123">
        <v>16.899999999999999</v>
      </c>
      <c r="K423" s="123">
        <v>81</v>
      </c>
      <c r="L423" s="123" t="s">
        <v>111</v>
      </c>
      <c r="M423" s="123" t="s">
        <v>356</v>
      </c>
      <c r="N423" s="132">
        <v>343</v>
      </c>
      <c r="O423" s="132">
        <v>0</v>
      </c>
      <c r="P423" s="132">
        <v>8.4206100439806822E+18</v>
      </c>
    </row>
    <row r="424" spans="4:16" ht="15" customHeight="1" x14ac:dyDescent="0.2">
      <c r="D424" s="130" t="b">
        <v>0</v>
      </c>
      <c r="E424" s="124">
        <v>39</v>
      </c>
      <c r="F424" s="125">
        <v>4</v>
      </c>
      <c r="G424" s="125">
        <v>86</v>
      </c>
      <c r="H424" s="123">
        <v>64</v>
      </c>
      <c r="I424" s="123">
        <v>1875</v>
      </c>
      <c r="J424" s="123">
        <v>16.399999999999999</v>
      </c>
      <c r="K424" s="123">
        <v>81</v>
      </c>
      <c r="L424" s="123" t="s">
        <v>95</v>
      </c>
      <c r="M424" s="123" t="s">
        <v>357</v>
      </c>
      <c r="N424" s="132">
        <v>344</v>
      </c>
      <c r="O424" s="132">
        <v>0</v>
      </c>
      <c r="P424" s="132">
        <v>7.7715258186762742E+18</v>
      </c>
    </row>
    <row r="425" spans="4:16" ht="15" customHeight="1" x14ac:dyDescent="0.2">
      <c r="D425" s="130" t="b">
        <v>0</v>
      </c>
      <c r="E425" s="124">
        <v>35.1</v>
      </c>
      <c r="F425" s="125">
        <v>4</v>
      </c>
      <c r="G425" s="125">
        <v>81</v>
      </c>
      <c r="H425" s="123">
        <v>60</v>
      </c>
      <c r="I425" s="123">
        <v>1760</v>
      </c>
      <c r="J425" s="123">
        <v>16.100000000000001</v>
      </c>
      <c r="K425" s="123">
        <v>81</v>
      </c>
      <c r="L425" s="123" t="s">
        <v>111</v>
      </c>
      <c r="M425" s="123" t="s">
        <v>358</v>
      </c>
      <c r="N425" s="132">
        <v>345</v>
      </c>
      <c r="O425" s="132">
        <v>0</v>
      </c>
      <c r="P425" s="132">
        <v>3.1013940203569976E+18</v>
      </c>
    </row>
    <row r="426" spans="4:16" ht="15" customHeight="1" x14ac:dyDescent="0.2">
      <c r="D426" s="130" t="b">
        <v>0</v>
      </c>
      <c r="E426" s="124">
        <v>32.299999999999997</v>
      </c>
      <c r="F426" s="125">
        <v>4</v>
      </c>
      <c r="G426" s="125">
        <v>97</v>
      </c>
      <c r="H426" s="123">
        <v>67</v>
      </c>
      <c r="I426" s="123">
        <v>2065</v>
      </c>
      <c r="J426" s="123">
        <v>17.8</v>
      </c>
      <c r="K426" s="123">
        <v>81</v>
      </c>
      <c r="L426" s="123" t="s">
        <v>111</v>
      </c>
      <c r="M426" s="123" t="s">
        <v>217</v>
      </c>
      <c r="N426" s="132">
        <v>346</v>
      </c>
      <c r="O426" s="132">
        <v>0</v>
      </c>
      <c r="P426" s="132">
        <v>4.9353923635770839E+18</v>
      </c>
    </row>
    <row r="427" spans="4:16" ht="15" customHeight="1" x14ac:dyDescent="0.2">
      <c r="D427" s="130" t="b">
        <v>0</v>
      </c>
      <c r="E427" s="124">
        <v>37</v>
      </c>
      <c r="F427" s="125">
        <v>4</v>
      </c>
      <c r="G427" s="125">
        <v>85</v>
      </c>
      <c r="H427" s="123">
        <v>65</v>
      </c>
      <c r="I427" s="123">
        <v>1975</v>
      </c>
      <c r="J427" s="123">
        <v>19.399999999999999</v>
      </c>
      <c r="K427" s="123">
        <v>81</v>
      </c>
      <c r="L427" s="123" t="s">
        <v>111</v>
      </c>
      <c r="M427" s="123" t="s">
        <v>359</v>
      </c>
      <c r="N427" s="132">
        <v>347</v>
      </c>
      <c r="O427" s="132">
        <v>0</v>
      </c>
      <c r="P427" s="132">
        <v>5.3038451803250739E+18</v>
      </c>
    </row>
    <row r="428" spans="4:16" ht="15" customHeight="1" x14ac:dyDescent="0.2">
      <c r="D428" s="130" t="b">
        <v>0</v>
      </c>
      <c r="E428" s="124">
        <v>37.700000000000003</v>
      </c>
      <c r="F428" s="125">
        <v>4</v>
      </c>
      <c r="G428" s="125">
        <v>89</v>
      </c>
      <c r="H428" s="123">
        <v>62</v>
      </c>
      <c r="I428" s="123">
        <v>2050</v>
      </c>
      <c r="J428" s="123">
        <v>17.3</v>
      </c>
      <c r="K428" s="123">
        <v>81</v>
      </c>
      <c r="L428" s="123" t="s">
        <v>111</v>
      </c>
      <c r="M428" s="123" t="s">
        <v>360</v>
      </c>
      <c r="N428" s="132">
        <v>348</v>
      </c>
      <c r="O428" s="132">
        <v>0</v>
      </c>
      <c r="P428" s="132">
        <v>9.4086858571347722E+18</v>
      </c>
    </row>
    <row r="429" spans="4:16" ht="15" customHeight="1" x14ac:dyDescent="0.2">
      <c r="D429" s="130" t="b">
        <v>0</v>
      </c>
      <c r="E429" s="124">
        <v>34.1</v>
      </c>
      <c r="F429" s="125">
        <v>4</v>
      </c>
      <c r="G429" s="125">
        <v>91</v>
      </c>
      <c r="H429" s="123">
        <v>68</v>
      </c>
      <c r="I429" s="123">
        <v>1985</v>
      </c>
      <c r="J429" s="123">
        <v>16</v>
      </c>
      <c r="K429" s="123">
        <v>81</v>
      </c>
      <c r="L429" s="123" t="s">
        <v>111</v>
      </c>
      <c r="M429" s="123" t="s">
        <v>361</v>
      </c>
      <c r="N429" s="132">
        <v>349</v>
      </c>
      <c r="O429" s="132">
        <v>0</v>
      </c>
      <c r="P429" s="132">
        <v>1.8326348823815969E+19</v>
      </c>
    </row>
    <row r="430" spans="4:16" ht="15" customHeight="1" x14ac:dyDescent="0.2">
      <c r="D430" s="130" t="b">
        <v>0</v>
      </c>
      <c r="E430" s="124">
        <v>34.700000000000003</v>
      </c>
      <c r="F430" s="125">
        <v>4</v>
      </c>
      <c r="G430" s="125">
        <v>105</v>
      </c>
      <c r="H430" s="123">
        <v>63</v>
      </c>
      <c r="I430" s="123">
        <v>2215</v>
      </c>
      <c r="J430" s="123">
        <v>14.9</v>
      </c>
      <c r="K430" s="123">
        <v>81</v>
      </c>
      <c r="L430" s="123" t="s">
        <v>95</v>
      </c>
      <c r="M430" s="123" t="s">
        <v>362</v>
      </c>
      <c r="N430" s="132">
        <v>350</v>
      </c>
      <c r="O430" s="132">
        <v>0</v>
      </c>
      <c r="P430" s="132">
        <v>3.7359457345459932E+18</v>
      </c>
    </row>
    <row r="431" spans="4:16" ht="15" customHeight="1" x14ac:dyDescent="0.2">
      <c r="D431" s="130" t="b">
        <v>0</v>
      </c>
      <c r="E431" s="124">
        <v>34.4</v>
      </c>
      <c r="F431" s="125">
        <v>4</v>
      </c>
      <c r="G431" s="125">
        <v>98</v>
      </c>
      <c r="H431" s="123">
        <v>65</v>
      </c>
      <c r="I431" s="123">
        <v>2045</v>
      </c>
      <c r="J431" s="123">
        <v>16.2</v>
      </c>
      <c r="K431" s="123">
        <v>81</v>
      </c>
      <c r="L431" s="123" t="s">
        <v>95</v>
      </c>
      <c r="M431" s="123" t="s">
        <v>363</v>
      </c>
      <c r="N431" s="132">
        <v>351</v>
      </c>
      <c r="O431" s="132">
        <v>0</v>
      </c>
      <c r="P431" s="132">
        <v>8.2414059716242647E+18</v>
      </c>
    </row>
    <row r="432" spans="4:16" ht="15" customHeight="1" x14ac:dyDescent="0.2">
      <c r="D432" s="130" t="b">
        <v>0</v>
      </c>
      <c r="E432" s="124">
        <v>29.9</v>
      </c>
      <c r="F432" s="125">
        <v>4</v>
      </c>
      <c r="G432" s="125">
        <v>98</v>
      </c>
      <c r="H432" s="123">
        <v>65</v>
      </c>
      <c r="I432" s="123">
        <v>2380</v>
      </c>
      <c r="J432" s="123">
        <v>20.7</v>
      </c>
      <c r="K432" s="123">
        <v>81</v>
      </c>
      <c r="L432" s="123" t="s">
        <v>95</v>
      </c>
      <c r="M432" s="123" t="s">
        <v>364</v>
      </c>
      <c r="N432" s="132">
        <v>352</v>
      </c>
      <c r="O432" s="132">
        <v>0</v>
      </c>
      <c r="P432" s="132">
        <v>9.1966124654052557E+17</v>
      </c>
    </row>
    <row r="433" spans="4:16" ht="15" customHeight="1" x14ac:dyDescent="0.2">
      <c r="D433" s="130" t="b">
        <v>0</v>
      </c>
      <c r="E433" s="124">
        <v>33</v>
      </c>
      <c r="F433" s="125">
        <v>4</v>
      </c>
      <c r="G433" s="125">
        <v>105</v>
      </c>
      <c r="H433" s="123">
        <v>74</v>
      </c>
      <c r="I433" s="123">
        <v>2190</v>
      </c>
      <c r="J433" s="123">
        <v>14.2</v>
      </c>
      <c r="K433" s="123">
        <v>81</v>
      </c>
      <c r="L433" s="123" t="s">
        <v>117</v>
      </c>
      <c r="M433" s="123" t="s">
        <v>365</v>
      </c>
      <c r="N433" s="132">
        <v>353</v>
      </c>
      <c r="O433" s="132">
        <v>0</v>
      </c>
      <c r="P433" s="132">
        <v>1.6094967757524675E+18</v>
      </c>
    </row>
    <row r="434" spans="4:16" ht="15" customHeight="1" x14ac:dyDescent="0.2">
      <c r="D434" s="130" t="b">
        <v>0</v>
      </c>
      <c r="E434" s="124">
        <v>34.5</v>
      </c>
      <c r="F434" s="125">
        <v>4</v>
      </c>
      <c r="G434" s="125">
        <v>100</v>
      </c>
      <c r="H434" s="123"/>
      <c r="I434" s="123">
        <v>2320</v>
      </c>
      <c r="J434" s="123">
        <v>15.8</v>
      </c>
      <c r="K434" s="123">
        <v>81</v>
      </c>
      <c r="L434" s="123" t="s">
        <v>117</v>
      </c>
      <c r="M434" s="123" t="s">
        <v>366</v>
      </c>
      <c r="N434" s="132">
        <v>354</v>
      </c>
      <c r="O434" s="132">
        <v>1</v>
      </c>
      <c r="P434" s="132">
        <v>8.8209851127239516E+18</v>
      </c>
    </row>
    <row r="435" spans="4:16" ht="15" customHeight="1" x14ac:dyDescent="0.2">
      <c r="D435" s="130" t="b">
        <v>0</v>
      </c>
      <c r="E435" s="124">
        <v>33.700000000000003</v>
      </c>
      <c r="F435" s="125">
        <v>4</v>
      </c>
      <c r="G435" s="125">
        <v>107</v>
      </c>
      <c r="H435" s="123">
        <v>75</v>
      </c>
      <c r="I435" s="123">
        <v>2210</v>
      </c>
      <c r="J435" s="123">
        <v>14.4</v>
      </c>
      <c r="K435" s="123">
        <v>81</v>
      </c>
      <c r="L435" s="123" t="s">
        <v>111</v>
      </c>
      <c r="M435" s="123" t="s">
        <v>367</v>
      </c>
      <c r="N435" s="132">
        <v>355</v>
      </c>
      <c r="O435" s="132">
        <v>0</v>
      </c>
      <c r="P435" s="132">
        <v>1.8402581821307179E+19</v>
      </c>
    </row>
    <row r="436" spans="4:16" ht="15" customHeight="1" x14ac:dyDescent="0.2">
      <c r="D436" s="130" t="b">
        <v>0</v>
      </c>
      <c r="E436" s="124">
        <v>32.4</v>
      </c>
      <c r="F436" s="125">
        <v>4</v>
      </c>
      <c r="G436" s="125">
        <v>108</v>
      </c>
      <c r="H436" s="123">
        <v>75</v>
      </c>
      <c r="I436" s="123">
        <v>2350</v>
      </c>
      <c r="J436" s="123">
        <v>16.8</v>
      </c>
      <c r="K436" s="123">
        <v>81</v>
      </c>
      <c r="L436" s="123" t="s">
        <v>111</v>
      </c>
      <c r="M436" s="123" t="s">
        <v>229</v>
      </c>
      <c r="N436" s="132">
        <v>356</v>
      </c>
      <c r="O436" s="132">
        <v>0</v>
      </c>
      <c r="P436" s="132">
        <v>1.6133076321946644E+19</v>
      </c>
    </row>
    <row r="437" spans="4:16" ht="15" customHeight="1" x14ac:dyDescent="0.2">
      <c r="D437" s="130" t="b">
        <v>0</v>
      </c>
      <c r="E437" s="124">
        <v>32.9</v>
      </c>
      <c r="F437" s="125">
        <v>4</v>
      </c>
      <c r="G437" s="125">
        <v>119</v>
      </c>
      <c r="H437" s="123">
        <v>100</v>
      </c>
      <c r="I437" s="123">
        <v>2615</v>
      </c>
      <c r="J437" s="123">
        <v>14.8</v>
      </c>
      <c r="K437" s="123">
        <v>81</v>
      </c>
      <c r="L437" s="123" t="s">
        <v>111</v>
      </c>
      <c r="M437" s="123" t="s">
        <v>368</v>
      </c>
      <c r="N437" s="132">
        <v>357</v>
      </c>
      <c r="O437" s="132">
        <v>0</v>
      </c>
      <c r="P437" s="132">
        <v>5.5245894399631739E+18</v>
      </c>
    </row>
    <row r="438" spans="4:16" ht="15" customHeight="1" x14ac:dyDescent="0.2">
      <c r="D438" s="130" t="b">
        <v>0</v>
      </c>
      <c r="E438" s="124">
        <v>31.6</v>
      </c>
      <c r="F438" s="125">
        <v>4</v>
      </c>
      <c r="G438" s="125">
        <v>120</v>
      </c>
      <c r="H438" s="123">
        <v>74</v>
      </c>
      <c r="I438" s="123">
        <v>2635</v>
      </c>
      <c r="J438" s="123">
        <v>18.3</v>
      </c>
      <c r="K438" s="123">
        <v>81</v>
      </c>
      <c r="L438" s="123" t="s">
        <v>111</v>
      </c>
      <c r="M438" s="123" t="s">
        <v>339</v>
      </c>
      <c r="N438" s="132">
        <v>358</v>
      </c>
      <c r="O438" s="132">
        <v>0</v>
      </c>
      <c r="P438" s="132">
        <v>6.6089922647013663E+18</v>
      </c>
    </row>
    <row r="439" spans="4:16" ht="15" customHeight="1" x14ac:dyDescent="0.2">
      <c r="D439" s="130" t="b">
        <v>0</v>
      </c>
      <c r="E439" s="124">
        <v>28.1</v>
      </c>
      <c r="F439" s="125">
        <v>4</v>
      </c>
      <c r="G439" s="125">
        <v>141</v>
      </c>
      <c r="H439" s="123">
        <v>80</v>
      </c>
      <c r="I439" s="123">
        <v>3230</v>
      </c>
      <c r="J439" s="123">
        <v>20.399999999999999</v>
      </c>
      <c r="K439" s="123">
        <v>81</v>
      </c>
      <c r="L439" s="123" t="s">
        <v>117</v>
      </c>
      <c r="M439" s="123" t="s">
        <v>369</v>
      </c>
      <c r="N439" s="132">
        <v>359</v>
      </c>
      <c r="O439" s="132">
        <v>0</v>
      </c>
      <c r="P439" s="132">
        <v>1.3849945035069344E+19</v>
      </c>
    </row>
    <row r="440" spans="4:16" ht="15" customHeight="1" x14ac:dyDescent="0.2">
      <c r="D440" s="130" t="b">
        <v>0</v>
      </c>
      <c r="E440" s="124">
        <v>30.7</v>
      </c>
      <c r="F440" s="125">
        <v>6</v>
      </c>
      <c r="G440" s="125">
        <v>145</v>
      </c>
      <c r="H440" s="123">
        <v>76</v>
      </c>
      <c r="I440" s="123">
        <v>3160</v>
      </c>
      <c r="J440" s="123">
        <v>19.600000000000001</v>
      </c>
      <c r="K440" s="123">
        <v>81</v>
      </c>
      <c r="L440" s="123" t="s">
        <v>117</v>
      </c>
      <c r="M440" s="123" t="s">
        <v>370</v>
      </c>
      <c r="N440" s="132">
        <v>360</v>
      </c>
      <c r="O440" s="132">
        <v>0</v>
      </c>
      <c r="P440" s="132">
        <v>7.8675414296407112E+18</v>
      </c>
    </row>
    <row r="441" spans="4:16" ht="15" customHeight="1" x14ac:dyDescent="0.2">
      <c r="D441" s="130" t="b">
        <v>0</v>
      </c>
      <c r="E441" s="124">
        <v>25.4</v>
      </c>
      <c r="F441" s="125">
        <v>6</v>
      </c>
      <c r="G441" s="125">
        <v>168</v>
      </c>
      <c r="H441" s="123">
        <v>116</v>
      </c>
      <c r="I441" s="123">
        <v>2900</v>
      </c>
      <c r="J441" s="123">
        <v>12.6</v>
      </c>
      <c r="K441" s="123">
        <v>81</v>
      </c>
      <c r="L441" s="123" t="s">
        <v>111</v>
      </c>
      <c r="M441" s="123" t="s">
        <v>371</v>
      </c>
      <c r="N441" s="132">
        <v>361</v>
      </c>
      <c r="O441" s="132">
        <v>0</v>
      </c>
      <c r="P441" s="132">
        <v>3.0438028453651666E+18</v>
      </c>
    </row>
    <row r="442" spans="4:16" ht="15" customHeight="1" x14ac:dyDescent="0.2">
      <c r="D442" s="130" t="b">
        <v>0</v>
      </c>
      <c r="E442" s="124">
        <v>24.2</v>
      </c>
      <c r="F442" s="125">
        <v>6</v>
      </c>
      <c r="G442" s="125">
        <v>146</v>
      </c>
      <c r="H442" s="123">
        <v>120</v>
      </c>
      <c r="I442" s="123">
        <v>2930</v>
      </c>
      <c r="J442" s="123">
        <v>13.8</v>
      </c>
      <c r="K442" s="123">
        <v>81</v>
      </c>
      <c r="L442" s="123" t="s">
        <v>111</v>
      </c>
      <c r="M442" s="123" t="s">
        <v>372</v>
      </c>
      <c r="N442" s="132">
        <v>362</v>
      </c>
      <c r="O442" s="132">
        <v>0</v>
      </c>
      <c r="P442" s="132">
        <v>8.3604149180588083E+18</v>
      </c>
    </row>
    <row r="443" spans="4:16" ht="15" customHeight="1" x14ac:dyDescent="0.2">
      <c r="D443" s="130" t="b">
        <v>0</v>
      </c>
      <c r="E443" s="124">
        <v>22.4</v>
      </c>
      <c r="F443" s="125">
        <v>6</v>
      </c>
      <c r="G443" s="125">
        <v>231</v>
      </c>
      <c r="H443" s="123">
        <v>110</v>
      </c>
      <c r="I443" s="123">
        <v>3415</v>
      </c>
      <c r="J443" s="123">
        <v>15.8</v>
      </c>
      <c r="K443" s="123">
        <v>81</v>
      </c>
      <c r="L443" s="123" t="s">
        <v>95</v>
      </c>
      <c r="M443" s="123" t="s">
        <v>223</v>
      </c>
      <c r="N443" s="132">
        <v>363</v>
      </c>
      <c r="O443" s="132">
        <v>0</v>
      </c>
      <c r="P443" s="132">
        <v>6.1128325513099704E+18</v>
      </c>
    </row>
    <row r="444" spans="4:16" ht="15" customHeight="1" x14ac:dyDescent="0.2">
      <c r="D444" s="130" t="b">
        <v>0</v>
      </c>
      <c r="E444" s="124">
        <v>26.6</v>
      </c>
      <c r="F444" s="125">
        <v>8</v>
      </c>
      <c r="G444" s="125">
        <v>350</v>
      </c>
      <c r="H444" s="123">
        <v>105</v>
      </c>
      <c r="I444" s="123">
        <v>3725</v>
      </c>
      <c r="J444" s="123">
        <v>19</v>
      </c>
      <c r="K444" s="123">
        <v>81</v>
      </c>
      <c r="L444" s="123" t="s">
        <v>95</v>
      </c>
      <c r="M444" s="123" t="s">
        <v>373</v>
      </c>
      <c r="N444" s="132">
        <v>364</v>
      </c>
      <c r="O444" s="132">
        <v>0</v>
      </c>
      <c r="P444" s="132">
        <v>8.1580757232924334E+18</v>
      </c>
    </row>
    <row r="445" spans="4:16" ht="15" customHeight="1" x14ac:dyDescent="0.2">
      <c r="D445" s="130" t="b">
        <v>0</v>
      </c>
      <c r="E445" s="124">
        <v>20.2</v>
      </c>
      <c r="F445" s="125">
        <v>6</v>
      </c>
      <c r="G445" s="125">
        <v>200</v>
      </c>
      <c r="H445" s="123">
        <v>88</v>
      </c>
      <c r="I445" s="123">
        <v>3060</v>
      </c>
      <c r="J445" s="123">
        <v>17.100000000000001</v>
      </c>
      <c r="K445" s="123">
        <v>81</v>
      </c>
      <c r="L445" s="123" t="s">
        <v>95</v>
      </c>
      <c r="M445" s="123" t="s">
        <v>374</v>
      </c>
      <c r="N445" s="132">
        <v>365</v>
      </c>
      <c r="O445" s="132">
        <v>0</v>
      </c>
      <c r="P445" s="132">
        <v>5.1764901457934612E+18</v>
      </c>
    </row>
    <row r="446" spans="4:16" ht="15" customHeight="1" x14ac:dyDescent="0.2">
      <c r="D446" s="130" t="b">
        <v>0</v>
      </c>
      <c r="E446" s="124">
        <v>17.600000000000001</v>
      </c>
      <c r="F446" s="125">
        <v>6</v>
      </c>
      <c r="G446" s="125">
        <v>225</v>
      </c>
      <c r="H446" s="123">
        <v>85</v>
      </c>
      <c r="I446" s="123">
        <v>3465</v>
      </c>
      <c r="J446" s="123">
        <v>16.600000000000001</v>
      </c>
      <c r="K446" s="123">
        <v>81</v>
      </c>
      <c r="L446" s="123" t="s">
        <v>95</v>
      </c>
      <c r="M446" s="123" t="s">
        <v>375</v>
      </c>
      <c r="N446" s="132">
        <v>366</v>
      </c>
      <c r="O446" s="132">
        <v>0</v>
      </c>
      <c r="P446" s="132">
        <v>8.169812054299861E+18</v>
      </c>
    </row>
    <row r="447" spans="4:16" ht="15" customHeight="1" x14ac:dyDescent="0.2">
      <c r="D447" s="130" t="b">
        <v>0</v>
      </c>
      <c r="E447" s="124">
        <v>28</v>
      </c>
      <c r="F447" s="125">
        <v>4</v>
      </c>
      <c r="G447" s="125">
        <v>112</v>
      </c>
      <c r="H447" s="123">
        <v>88</v>
      </c>
      <c r="I447" s="123">
        <v>2605</v>
      </c>
      <c r="J447" s="123">
        <v>19.600000000000001</v>
      </c>
      <c r="K447" s="123">
        <v>82</v>
      </c>
      <c r="L447" s="123" t="s">
        <v>95</v>
      </c>
      <c r="M447" s="123" t="s">
        <v>376</v>
      </c>
      <c r="N447" s="132">
        <v>367</v>
      </c>
      <c r="O447" s="132">
        <v>0</v>
      </c>
      <c r="P447" s="132">
        <v>7.0850133795855872E+18</v>
      </c>
    </row>
    <row r="448" spans="4:16" ht="15" customHeight="1" x14ac:dyDescent="0.2">
      <c r="D448" s="130" t="b">
        <v>0</v>
      </c>
      <c r="E448" s="124">
        <v>27</v>
      </c>
      <c r="F448" s="125">
        <v>4</v>
      </c>
      <c r="G448" s="125">
        <v>112</v>
      </c>
      <c r="H448" s="123">
        <v>88</v>
      </c>
      <c r="I448" s="123">
        <v>2640</v>
      </c>
      <c r="J448" s="123">
        <v>18.600000000000001</v>
      </c>
      <c r="K448" s="123">
        <v>82</v>
      </c>
      <c r="L448" s="123" t="s">
        <v>95</v>
      </c>
      <c r="M448" s="123" t="s">
        <v>377</v>
      </c>
      <c r="N448" s="132">
        <v>368</v>
      </c>
      <c r="O448" s="132">
        <v>0</v>
      </c>
      <c r="P448" s="132">
        <v>4.9106040842867304E+16</v>
      </c>
    </row>
    <row r="449" spans="4:16" ht="15" customHeight="1" x14ac:dyDescent="0.2">
      <c r="D449" s="130" t="b">
        <v>0</v>
      </c>
      <c r="E449" s="124">
        <v>34</v>
      </c>
      <c r="F449" s="125">
        <v>4</v>
      </c>
      <c r="G449" s="125">
        <v>112</v>
      </c>
      <c r="H449" s="123">
        <v>88</v>
      </c>
      <c r="I449" s="123">
        <v>2395</v>
      </c>
      <c r="J449" s="123">
        <v>18</v>
      </c>
      <c r="K449" s="123">
        <v>82</v>
      </c>
      <c r="L449" s="123" t="s">
        <v>95</v>
      </c>
      <c r="M449" s="123" t="s">
        <v>378</v>
      </c>
      <c r="N449" s="132">
        <v>369</v>
      </c>
      <c r="O449" s="132">
        <v>0</v>
      </c>
      <c r="P449" s="132">
        <v>1.8142159286363169E+19</v>
      </c>
    </row>
    <row r="450" spans="4:16" ht="15" customHeight="1" x14ac:dyDescent="0.2">
      <c r="D450" s="130" t="b">
        <v>0</v>
      </c>
      <c r="E450" s="124">
        <v>31</v>
      </c>
      <c r="F450" s="125">
        <v>4</v>
      </c>
      <c r="G450" s="125">
        <v>112</v>
      </c>
      <c r="H450" s="123">
        <v>85</v>
      </c>
      <c r="I450" s="123">
        <v>2575</v>
      </c>
      <c r="J450" s="123">
        <v>16.2</v>
      </c>
      <c r="K450" s="123">
        <v>82</v>
      </c>
      <c r="L450" s="123" t="s">
        <v>95</v>
      </c>
      <c r="M450" s="123" t="s">
        <v>379</v>
      </c>
      <c r="N450" s="132">
        <v>370</v>
      </c>
      <c r="O450" s="132">
        <v>0</v>
      </c>
      <c r="P450" s="132">
        <v>1.5453785559709207E+19</v>
      </c>
    </row>
    <row r="451" spans="4:16" ht="15" customHeight="1" x14ac:dyDescent="0.2">
      <c r="D451" s="130" t="b">
        <v>0</v>
      </c>
      <c r="E451" s="124">
        <v>29</v>
      </c>
      <c r="F451" s="125">
        <v>4</v>
      </c>
      <c r="G451" s="125">
        <v>135</v>
      </c>
      <c r="H451" s="123">
        <v>84</v>
      </c>
      <c r="I451" s="123">
        <v>2525</v>
      </c>
      <c r="J451" s="123">
        <v>16</v>
      </c>
      <c r="K451" s="123">
        <v>82</v>
      </c>
      <c r="L451" s="123" t="s">
        <v>95</v>
      </c>
      <c r="M451" s="123" t="s">
        <v>380</v>
      </c>
      <c r="N451" s="132">
        <v>371</v>
      </c>
      <c r="O451" s="132">
        <v>0</v>
      </c>
      <c r="P451" s="132">
        <v>5.8094996085310044E+18</v>
      </c>
    </row>
    <row r="452" spans="4:16" ht="15" customHeight="1" x14ac:dyDescent="0.2">
      <c r="D452" s="130" t="b">
        <v>0</v>
      </c>
      <c r="E452" s="124">
        <v>27</v>
      </c>
      <c r="F452" s="125">
        <v>4</v>
      </c>
      <c r="G452" s="125">
        <v>151</v>
      </c>
      <c r="H452" s="123">
        <v>90</v>
      </c>
      <c r="I452" s="123">
        <v>2735</v>
      </c>
      <c r="J452" s="123">
        <v>18</v>
      </c>
      <c r="K452" s="123">
        <v>82</v>
      </c>
      <c r="L452" s="123" t="s">
        <v>95</v>
      </c>
      <c r="M452" s="123" t="s">
        <v>333</v>
      </c>
      <c r="N452" s="132">
        <v>372</v>
      </c>
      <c r="O452" s="132">
        <v>0</v>
      </c>
      <c r="P452" s="132">
        <v>7.1651983751183903E+18</v>
      </c>
    </row>
    <row r="453" spans="4:16" ht="15" customHeight="1" x14ac:dyDescent="0.2">
      <c r="D453" s="130" t="b">
        <v>0</v>
      </c>
      <c r="E453" s="124">
        <v>24</v>
      </c>
      <c r="F453" s="125">
        <v>4</v>
      </c>
      <c r="G453" s="125">
        <v>140</v>
      </c>
      <c r="H453" s="123">
        <v>92</v>
      </c>
      <c r="I453" s="123">
        <v>2865</v>
      </c>
      <c r="J453" s="123">
        <v>16.399999999999999</v>
      </c>
      <c r="K453" s="123">
        <v>82</v>
      </c>
      <c r="L453" s="123" t="s">
        <v>95</v>
      </c>
      <c r="M453" s="123" t="s">
        <v>381</v>
      </c>
      <c r="N453" s="132">
        <v>373</v>
      </c>
      <c r="O453" s="132">
        <v>0</v>
      </c>
      <c r="P453" s="132">
        <v>1.7681996773611426E+19</v>
      </c>
    </row>
    <row r="454" spans="4:16" ht="15" customHeight="1" x14ac:dyDescent="0.2">
      <c r="D454" s="130" t="b">
        <v>0</v>
      </c>
      <c r="E454" s="124">
        <v>23</v>
      </c>
      <c r="F454" s="125">
        <v>4</v>
      </c>
      <c r="G454" s="125">
        <v>151</v>
      </c>
      <c r="H454" s="123"/>
      <c r="I454" s="123">
        <v>3035</v>
      </c>
      <c r="J454" s="123">
        <v>20.5</v>
      </c>
      <c r="K454" s="123">
        <v>82</v>
      </c>
      <c r="L454" s="123" t="s">
        <v>95</v>
      </c>
      <c r="M454" s="123" t="s">
        <v>382</v>
      </c>
      <c r="N454" s="132">
        <v>374</v>
      </c>
      <c r="O454" s="132">
        <v>1</v>
      </c>
      <c r="P454" s="132">
        <v>1.4499036827319564E+19</v>
      </c>
    </row>
    <row r="455" spans="4:16" ht="15" customHeight="1" x14ac:dyDescent="0.2">
      <c r="D455" s="130" t="b">
        <v>0</v>
      </c>
      <c r="E455" s="124">
        <v>36</v>
      </c>
      <c r="F455" s="125">
        <v>4</v>
      </c>
      <c r="G455" s="125">
        <v>105</v>
      </c>
      <c r="H455" s="123">
        <v>74</v>
      </c>
      <c r="I455" s="123">
        <v>1980</v>
      </c>
      <c r="J455" s="123">
        <v>15.3</v>
      </c>
      <c r="K455" s="123">
        <v>82</v>
      </c>
      <c r="L455" s="123" t="s">
        <v>117</v>
      </c>
      <c r="M455" s="123" t="s">
        <v>383</v>
      </c>
      <c r="N455" s="132">
        <v>375</v>
      </c>
      <c r="O455" s="132">
        <v>0</v>
      </c>
      <c r="P455" s="132">
        <v>1.7651032170163818E+17</v>
      </c>
    </row>
    <row r="456" spans="4:16" ht="15" customHeight="1" x14ac:dyDescent="0.2">
      <c r="D456" s="130" t="b">
        <v>0</v>
      </c>
      <c r="E456" s="124">
        <v>37</v>
      </c>
      <c r="F456" s="125">
        <v>4</v>
      </c>
      <c r="G456" s="125">
        <v>91</v>
      </c>
      <c r="H456" s="123">
        <v>68</v>
      </c>
      <c r="I456" s="123">
        <v>2025</v>
      </c>
      <c r="J456" s="123">
        <v>18.2</v>
      </c>
      <c r="K456" s="123">
        <v>82</v>
      </c>
      <c r="L456" s="123" t="s">
        <v>111</v>
      </c>
      <c r="M456" s="123" t="s">
        <v>384</v>
      </c>
      <c r="N456" s="132">
        <v>376</v>
      </c>
      <c r="O456" s="132">
        <v>0</v>
      </c>
      <c r="P456" s="132">
        <v>1.3854597456397613E+19</v>
      </c>
    </row>
    <row r="457" spans="4:16" ht="15" customHeight="1" x14ac:dyDescent="0.2">
      <c r="D457" s="130" t="b">
        <v>0</v>
      </c>
      <c r="E457" s="124">
        <v>31</v>
      </c>
      <c r="F457" s="125">
        <v>4</v>
      </c>
      <c r="G457" s="125">
        <v>91</v>
      </c>
      <c r="H457" s="123">
        <v>68</v>
      </c>
      <c r="I457" s="123">
        <v>1970</v>
      </c>
      <c r="J457" s="123">
        <v>17.600000000000001</v>
      </c>
      <c r="K457" s="123">
        <v>82</v>
      </c>
      <c r="L457" s="123" t="s">
        <v>111</v>
      </c>
      <c r="M457" s="123" t="s">
        <v>385</v>
      </c>
      <c r="N457" s="132">
        <v>377</v>
      </c>
      <c r="O457" s="132">
        <v>0</v>
      </c>
      <c r="P457" s="132">
        <v>1.7242788855535466E+19</v>
      </c>
    </row>
    <row r="458" spans="4:16" ht="15" customHeight="1" x14ac:dyDescent="0.2">
      <c r="D458" s="130" t="b">
        <v>0</v>
      </c>
      <c r="E458" s="124">
        <v>38</v>
      </c>
      <c r="F458" s="125">
        <v>4</v>
      </c>
      <c r="G458" s="125">
        <v>105</v>
      </c>
      <c r="H458" s="123">
        <v>63</v>
      </c>
      <c r="I458" s="123">
        <v>2125</v>
      </c>
      <c r="J458" s="123">
        <v>14.7</v>
      </c>
      <c r="K458" s="123">
        <v>82</v>
      </c>
      <c r="L458" s="123" t="s">
        <v>95</v>
      </c>
      <c r="M458" s="123" t="s">
        <v>386</v>
      </c>
      <c r="N458" s="132">
        <v>378</v>
      </c>
      <c r="O458" s="132">
        <v>0</v>
      </c>
      <c r="P458" s="132">
        <v>1.0908230132837839E+19</v>
      </c>
    </row>
    <row r="459" spans="4:16" ht="15" customHeight="1" x14ac:dyDescent="0.2">
      <c r="D459" s="130" t="b">
        <v>0</v>
      </c>
      <c r="E459" s="124">
        <v>36</v>
      </c>
      <c r="F459" s="125">
        <v>4</v>
      </c>
      <c r="G459" s="125">
        <v>98</v>
      </c>
      <c r="H459" s="123">
        <v>70</v>
      </c>
      <c r="I459" s="123">
        <v>2125</v>
      </c>
      <c r="J459" s="123">
        <v>17.3</v>
      </c>
      <c r="K459" s="123">
        <v>82</v>
      </c>
      <c r="L459" s="123" t="s">
        <v>95</v>
      </c>
      <c r="M459" s="123" t="s">
        <v>387</v>
      </c>
      <c r="N459" s="132">
        <v>379</v>
      </c>
      <c r="O459" s="132">
        <v>0</v>
      </c>
      <c r="P459" s="132">
        <v>4.5755915361931653E+18</v>
      </c>
    </row>
    <row r="460" spans="4:16" ht="15" customHeight="1" x14ac:dyDescent="0.2">
      <c r="D460" s="130" t="b">
        <v>0</v>
      </c>
      <c r="E460" s="124">
        <v>36</v>
      </c>
      <c r="F460" s="125">
        <v>4</v>
      </c>
      <c r="G460" s="125">
        <v>120</v>
      </c>
      <c r="H460" s="123">
        <v>88</v>
      </c>
      <c r="I460" s="123">
        <v>2160</v>
      </c>
      <c r="J460" s="123">
        <v>14.5</v>
      </c>
      <c r="K460" s="123">
        <v>82</v>
      </c>
      <c r="L460" s="123" t="s">
        <v>111</v>
      </c>
      <c r="M460" s="123" t="s">
        <v>388</v>
      </c>
      <c r="N460" s="132">
        <v>380</v>
      </c>
      <c r="O460" s="132">
        <v>0</v>
      </c>
      <c r="P460" s="132">
        <v>1.0046573623663063E+19</v>
      </c>
    </row>
    <row r="461" spans="4:16" ht="15" customHeight="1" x14ac:dyDescent="0.2">
      <c r="D461" s="130" t="b">
        <v>0</v>
      </c>
      <c r="E461" s="124">
        <v>36</v>
      </c>
      <c r="F461" s="125">
        <v>4</v>
      </c>
      <c r="G461" s="125">
        <v>107</v>
      </c>
      <c r="H461" s="123">
        <v>75</v>
      </c>
      <c r="I461" s="123">
        <v>2205</v>
      </c>
      <c r="J461" s="123">
        <v>14.5</v>
      </c>
      <c r="K461" s="123">
        <v>82</v>
      </c>
      <c r="L461" s="123" t="s">
        <v>111</v>
      </c>
      <c r="M461" s="123" t="s">
        <v>353</v>
      </c>
      <c r="N461" s="132">
        <v>381</v>
      </c>
      <c r="O461" s="132">
        <v>0</v>
      </c>
      <c r="P461" s="132">
        <v>9.950789991375489E+18</v>
      </c>
    </row>
    <row r="462" spans="4:16" ht="15" customHeight="1" x14ac:dyDescent="0.2">
      <c r="D462" s="130" t="b">
        <v>0</v>
      </c>
      <c r="E462" s="124">
        <v>34</v>
      </c>
      <c r="F462" s="125">
        <v>4</v>
      </c>
      <c r="G462" s="125">
        <v>108</v>
      </c>
      <c r="H462" s="123">
        <v>70</v>
      </c>
      <c r="I462" s="123">
        <v>2245</v>
      </c>
      <c r="J462" s="123">
        <v>16.899999999999999</v>
      </c>
      <c r="K462" s="123">
        <v>82</v>
      </c>
      <c r="L462" s="123" t="s">
        <v>111</v>
      </c>
      <c r="M462" s="123" t="s">
        <v>229</v>
      </c>
      <c r="N462" s="132">
        <v>382</v>
      </c>
      <c r="O462" s="132">
        <v>0</v>
      </c>
      <c r="P462" s="132">
        <v>1.1774038162142933E+19</v>
      </c>
    </row>
    <row r="463" spans="4:16" ht="15" customHeight="1" x14ac:dyDescent="0.2">
      <c r="D463" s="130" t="b">
        <v>0</v>
      </c>
      <c r="E463" s="124">
        <v>38</v>
      </c>
      <c r="F463" s="125">
        <v>4</v>
      </c>
      <c r="G463" s="125">
        <v>91</v>
      </c>
      <c r="H463" s="123">
        <v>67</v>
      </c>
      <c r="I463" s="123">
        <v>1965</v>
      </c>
      <c r="J463" s="123">
        <v>15</v>
      </c>
      <c r="K463" s="123">
        <v>82</v>
      </c>
      <c r="L463" s="123" t="s">
        <v>111</v>
      </c>
      <c r="M463" s="123" t="s">
        <v>216</v>
      </c>
      <c r="N463" s="132">
        <v>383</v>
      </c>
      <c r="O463" s="132">
        <v>0</v>
      </c>
      <c r="P463" s="132">
        <v>7.3667382092434504E+18</v>
      </c>
    </row>
    <row r="464" spans="4:16" ht="15" customHeight="1" x14ac:dyDescent="0.2">
      <c r="D464" s="130" t="b">
        <v>0</v>
      </c>
      <c r="E464" s="124">
        <v>32</v>
      </c>
      <c r="F464" s="125">
        <v>4</v>
      </c>
      <c r="G464" s="125">
        <v>91</v>
      </c>
      <c r="H464" s="123">
        <v>67</v>
      </c>
      <c r="I464" s="123">
        <v>1965</v>
      </c>
      <c r="J464" s="123">
        <v>15.7</v>
      </c>
      <c r="K464" s="123">
        <v>82</v>
      </c>
      <c r="L464" s="123" t="s">
        <v>111</v>
      </c>
      <c r="M464" s="123" t="s">
        <v>389</v>
      </c>
      <c r="N464" s="132">
        <v>384</v>
      </c>
      <c r="O464" s="132">
        <v>0</v>
      </c>
      <c r="P464" s="132">
        <v>9.0712116112563077E+18</v>
      </c>
    </row>
    <row r="465" spans="4:16" ht="15" customHeight="1" x14ac:dyDescent="0.2">
      <c r="D465" s="130" t="b">
        <v>0</v>
      </c>
      <c r="E465" s="124">
        <v>38</v>
      </c>
      <c r="F465" s="125">
        <v>4</v>
      </c>
      <c r="G465" s="125">
        <v>91</v>
      </c>
      <c r="H465" s="123">
        <v>67</v>
      </c>
      <c r="I465" s="123">
        <v>1995</v>
      </c>
      <c r="J465" s="123">
        <v>16.2</v>
      </c>
      <c r="K465" s="123">
        <v>82</v>
      </c>
      <c r="L465" s="123" t="s">
        <v>111</v>
      </c>
      <c r="M465" s="123" t="s">
        <v>390</v>
      </c>
      <c r="N465" s="132">
        <v>385</v>
      </c>
      <c r="O465" s="132">
        <v>0</v>
      </c>
      <c r="P465" s="132">
        <v>1.0470029583566295E+19</v>
      </c>
    </row>
    <row r="466" spans="4:16" ht="15" customHeight="1" x14ac:dyDescent="0.2">
      <c r="D466" s="130" t="b">
        <v>0</v>
      </c>
      <c r="E466" s="124">
        <v>25</v>
      </c>
      <c r="F466" s="125">
        <v>6</v>
      </c>
      <c r="G466" s="125">
        <v>181</v>
      </c>
      <c r="H466" s="123">
        <v>110</v>
      </c>
      <c r="I466" s="123">
        <v>2945</v>
      </c>
      <c r="J466" s="123">
        <v>16.399999999999999</v>
      </c>
      <c r="K466" s="123">
        <v>82</v>
      </c>
      <c r="L466" s="123" t="s">
        <v>95</v>
      </c>
      <c r="M466" s="123" t="s">
        <v>391</v>
      </c>
      <c r="N466" s="132">
        <v>386</v>
      </c>
      <c r="O466" s="132">
        <v>0</v>
      </c>
      <c r="P466" s="132">
        <v>5.6710955342071726E+18</v>
      </c>
    </row>
    <row r="467" spans="4:16" ht="15" customHeight="1" x14ac:dyDescent="0.2">
      <c r="D467" s="130" t="b">
        <v>0</v>
      </c>
      <c r="E467" s="124">
        <v>38</v>
      </c>
      <c r="F467" s="125">
        <v>6</v>
      </c>
      <c r="G467" s="125">
        <v>262</v>
      </c>
      <c r="H467" s="123">
        <v>85</v>
      </c>
      <c r="I467" s="123">
        <v>3015</v>
      </c>
      <c r="J467" s="123">
        <v>17</v>
      </c>
      <c r="K467" s="123">
        <v>82</v>
      </c>
      <c r="L467" s="123" t="s">
        <v>95</v>
      </c>
      <c r="M467" s="123" t="s">
        <v>392</v>
      </c>
      <c r="N467" s="132">
        <v>387</v>
      </c>
      <c r="O467" s="132">
        <v>0</v>
      </c>
      <c r="P467" s="132">
        <v>1.4007606442400571E+19</v>
      </c>
    </row>
    <row r="468" spans="4:16" ht="15" customHeight="1" x14ac:dyDescent="0.2">
      <c r="D468" s="130" t="b">
        <v>0</v>
      </c>
      <c r="E468" s="124">
        <v>26</v>
      </c>
      <c r="F468" s="125">
        <v>4</v>
      </c>
      <c r="G468" s="125">
        <v>156</v>
      </c>
      <c r="H468" s="123">
        <v>92</v>
      </c>
      <c r="I468" s="123">
        <v>2585</v>
      </c>
      <c r="J468" s="123">
        <v>14.5</v>
      </c>
      <c r="K468" s="123">
        <v>82</v>
      </c>
      <c r="L468" s="123" t="s">
        <v>95</v>
      </c>
      <c r="M468" s="123" t="s">
        <v>393</v>
      </c>
      <c r="N468" s="132">
        <v>388</v>
      </c>
      <c r="O468" s="132">
        <v>0</v>
      </c>
      <c r="P468" s="132">
        <v>7.6795655357528996E+18</v>
      </c>
    </row>
    <row r="469" spans="4:16" ht="15" customHeight="1" x14ac:dyDescent="0.2">
      <c r="D469" s="130" t="b">
        <v>0</v>
      </c>
      <c r="E469" s="124">
        <v>22</v>
      </c>
      <c r="F469" s="125">
        <v>6</v>
      </c>
      <c r="G469" s="125">
        <v>232</v>
      </c>
      <c r="H469" s="123">
        <v>112</v>
      </c>
      <c r="I469" s="123">
        <v>2835</v>
      </c>
      <c r="J469" s="123">
        <v>14.7</v>
      </c>
      <c r="K469" s="123">
        <v>82</v>
      </c>
      <c r="L469" s="123" t="s">
        <v>95</v>
      </c>
      <c r="M469" s="123" t="s">
        <v>394</v>
      </c>
      <c r="N469" s="132">
        <v>389</v>
      </c>
      <c r="O469" s="132">
        <v>0</v>
      </c>
      <c r="P469" s="132">
        <v>1.0863918576049463E+19</v>
      </c>
    </row>
    <row r="470" spans="4:16" ht="15" customHeight="1" x14ac:dyDescent="0.2">
      <c r="D470" s="130" t="b">
        <v>0</v>
      </c>
      <c r="E470" s="124">
        <v>32</v>
      </c>
      <c r="F470" s="125">
        <v>4</v>
      </c>
      <c r="G470" s="125">
        <v>144</v>
      </c>
      <c r="H470" s="123">
        <v>96</v>
      </c>
      <c r="I470" s="123">
        <v>2665</v>
      </c>
      <c r="J470" s="123">
        <v>13.9</v>
      </c>
      <c r="K470" s="123">
        <v>82</v>
      </c>
      <c r="L470" s="123" t="s">
        <v>111</v>
      </c>
      <c r="M470" s="123" t="s">
        <v>395</v>
      </c>
      <c r="N470" s="132">
        <v>390</v>
      </c>
      <c r="O470" s="132">
        <v>0</v>
      </c>
      <c r="P470" s="132">
        <v>1.7442284443253383E+19</v>
      </c>
    </row>
    <row r="471" spans="4:16" ht="15" customHeight="1" x14ac:dyDescent="0.2">
      <c r="D471" s="130" t="b">
        <v>0</v>
      </c>
      <c r="E471" s="124">
        <v>36</v>
      </c>
      <c r="F471" s="125">
        <v>4</v>
      </c>
      <c r="G471" s="125">
        <v>135</v>
      </c>
      <c r="H471" s="123">
        <v>84</v>
      </c>
      <c r="I471" s="123">
        <v>2370</v>
      </c>
      <c r="J471" s="123">
        <v>13</v>
      </c>
      <c r="K471" s="123">
        <v>82</v>
      </c>
      <c r="L471" s="123" t="s">
        <v>95</v>
      </c>
      <c r="M471" s="123" t="s">
        <v>396</v>
      </c>
      <c r="N471" s="132">
        <v>391</v>
      </c>
      <c r="O471" s="132">
        <v>0</v>
      </c>
      <c r="P471" s="132">
        <v>1.1839706673258452E+18</v>
      </c>
    </row>
    <row r="472" spans="4:16" ht="15" customHeight="1" x14ac:dyDescent="0.2">
      <c r="D472" s="130" t="b">
        <v>0</v>
      </c>
      <c r="E472" s="124">
        <v>27</v>
      </c>
      <c r="F472" s="125">
        <v>4</v>
      </c>
      <c r="G472" s="125">
        <v>151</v>
      </c>
      <c r="H472" s="123">
        <v>90</v>
      </c>
      <c r="I472" s="123">
        <v>2950</v>
      </c>
      <c r="J472" s="123">
        <v>17.3</v>
      </c>
      <c r="K472" s="123">
        <v>82</v>
      </c>
      <c r="L472" s="123" t="s">
        <v>95</v>
      </c>
      <c r="M472" s="123" t="s">
        <v>397</v>
      </c>
      <c r="N472" s="132">
        <v>392</v>
      </c>
      <c r="O472" s="132">
        <v>0</v>
      </c>
      <c r="P472" s="132">
        <v>1.2189913690355745E+19</v>
      </c>
    </row>
    <row r="473" spans="4:16" ht="15" customHeight="1" x14ac:dyDescent="0.2">
      <c r="D473" s="130" t="b">
        <v>0</v>
      </c>
      <c r="E473" s="124">
        <v>27</v>
      </c>
      <c r="F473" s="125">
        <v>4</v>
      </c>
      <c r="G473" s="125">
        <v>140</v>
      </c>
      <c r="H473" s="123">
        <v>86</v>
      </c>
      <c r="I473" s="123">
        <v>2790</v>
      </c>
      <c r="J473" s="123">
        <v>15.6</v>
      </c>
      <c r="K473" s="123">
        <v>82</v>
      </c>
      <c r="L473" s="123" t="s">
        <v>95</v>
      </c>
      <c r="M473" s="123" t="s">
        <v>398</v>
      </c>
      <c r="N473" s="132">
        <v>393</v>
      </c>
      <c r="O473" s="132">
        <v>0</v>
      </c>
      <c r="P473" s="132">
        <v>1.4440500958915906E+19</v>
      </c>
    </row>
    <row r="474" spans="4:16" ht="15" customHeight="1" x14ac:dyDescent="0.2">
      <c r="D474" s="130" t="b">
        <v>0</v>
      </c>
      <c r="E474" s="124">
        <v>44</v>
      </c>
      <c r="F474" s="125">
        <v>4</v>
      </c>
      <c r="G474" s="125">
        <v>97</v>
      </c>
      <c r="H474" s="123">
        <v>52</v>
      </c>
      <c r="I474" s="123">
        <v>2130</v>
      </c>
      <c r="J474" s="123">
        <v>24.6</v>
      </c>
      <c r="K474" s="123">
        <v>82</v>
      </c>
      <c r="L474" s="123" t="s">
        <v>117</v>
      </c>
      <c r="M474" s="123" t="s">
        <v>399</v>
      </c>
      <c r="N474" s="132">
        <v>394</v>
      </c>
      <c r="O474" s="132">
        <v>0</v>
      </c>
      <c r="P474" s="132">
        <v>2.5427461167243482E+17</v>
      </c>
    </row>
    <row r="475" spans="4:16" ht="15" customHeight="1" x14ac:dyDescent="0.2">
      <c r="D475" s="130" t="b">
        <v>0</v>
      </c>
      <c r="E475" s="124">
        <v>32</v>
      </c>
      <c r="F475" s="125">
        <v>4</v>
      </c>
      <c r="G475" s="125">
        <v>135</v>
      </c>
      <c r="H475" s="123">
        <v>84</v>
      </c>
      <c r="I475" s="123">
        <v>2295</v>
      </c>
      <c r="J475" s="123">
        <v>11.6</v>
      </c>
      <c r="K475" s="123">
        <v>82</v>
      </c>
      <c r="L475" s="123" t="s">
        <v>95</v>
      </c>
      <c r="M475" s="123" t="s">
        <v>400</v>
      </c>
      <c r="N475" s="132">
        <v>395</v>
      </c>
      <c r="O475" s="132">
        <v>0</v>
      </c>
      <c r="P475" s="132">
        <v>4.6126355476757446E+17</v>
      </c>
    </row>
    <row r="476" spans="4:16" ht="15" customHeight="1" x14ac:dyDescent="0.2">
      <c r="D476" s="130" t="b">
        <v>0</v>
      </c>
      <c r="E476" s="124">
        <v>28</v>
      </c>
      <c r="F476" s="125">
        <v>4</v>
      </c>
      <c r="G476" s="125">
        <v>120</v>
      </c>
      <c r="H476" s="123">
        <v>79</v>
      </c>
      <c r="I476" s="123">
        <v>2625</v>
      </c>
      <c r="J476" s="123">
        <v>18.600000000000001</v>
      </c>
      <c r="K476" s="123">
        <v>82</v>
      </c>
      <c r="L476" s="123" t="s">
        <v>95</v>
      </c>
      <c r="M476" s="123" t="s">
        <v>401</v>
      </c>
      <c r="N476" s="132">
        <v>396</v>
      </c>
      <c r="O476" s="132">
        <v>0</v>
      </c>
      <c r="P476" s="132">
        <v>9.2352955539439964E+18</v>
      </c>
    </row>
    <row r="477" spans="4:16" ht="15" customHeight="1" x14ac:dyDescent="0.2">
      <c r="D477" s="131" t="b">
        <v>0</v>
      </c>
      <c r="E477" s="126">
        <v>31</v>
      </c>
      <c r="F477" s="127">
        <v>4</v>
      </c>
      <c r="G477" s="127">
        <v>119</v>
      </c>
      <c r="H477" s="123">
        <v>82</v>
      </c>
      <c r="I477" s="123">
        <v>2720</v>
      </c>
      <c r="J477" s="123">
        <v>19.399999999999999</v>
      </c>
      <c r="K477" s="123">
        <v>82</v>
      </c>
      <c r="L477" s="123" t="s">
        <v>95</v>
      </c>
      <c r="M477" s="123" t="s">
        <v>402</v>
      </c>
      <c r="N477" s="132">
        <v>397</v>
      </c>
      <c r="O477" s="132">
        <v>0</v>
      </c>
      <c r="P477" s="132">
        <v>1.3352883514034444E+19</v>
      </c>
    </row>
  </sheetData>
  <mergeCells count="1">
    <mergeCell ref="E7:F7"/>
  </mergeCells>
  <phoneticPr fontId="33" type="noConversion"/>
  <conditionalFormatting sqref="E23:G30 E36:G40 E46:G54">
    <cfRule type="cellIs" dxfId="237" priority="22" operator="equal">
      <formula>0</formula>
    </cfRule>
  </conditionalFormatting>
  <conditionalFormatting sqref="D80:D477">
    <cfRule type="cellIs" dxfId="236" priority="21" operator="notEqual">
      <formula>FALSE</formula>
    </cfRule>
  </conditionalFormatting>
  <conditionalFormatting sqref="E17:M17">
    <cfRule type="cellIs" dxfId="23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4" priority="16"/>
  </conditionalFormatting>
  <conditionalFormatting sqref="E15:M15">
    <cfRule type="cellIs" dxfId="233" priority="14" operator="notEqual">
      <formula>"Definition"</formula>
    </cfRule>
  </conditionalFormatting>
  <conditionalFormatting sqref="E7">
    <cfRule type="cellIs" dxfId="232" priority="13" operator="notEqual">
      <formula>"Dataset Description"</formula>
    </cfRule>
  </conditionalFormatting>
  <conditionalFormatting sqref="E58:G65">
    <cfRule type="cellIs" dxfId="23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164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1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398</v>
      </c>
      <c r="AA5" s="6"/>
    </row>
    <row r="6" spans="1:27" ht="15" customHeight="1" x14ac:dyDescent="0.2">
      <c r="B6" s="30" t="s">
        <v>53</v>
      </c>
      <c r="C6" s="29">
        <v>9</v>
      </c>
    </row>
    <row r="7" spans="1:27" ht="15" customHeight="1" x14ac:dyDescent="0.2">
      <c r="B7" s="30" t="s">
        <v>12</v>
      </c>
      <c r="C7" s="29" t="s">
        <v>91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1.6750418760469012E-3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92</v>
      </c>
      <c r="F12" s="48">
        <v>0.324120603015075</v>
      </c>
      <c r="G12" s="48">
        <v>0</v>
      </c>
      <c r="H12" s="48">
        <v>7.9783502054725799E-2</v>
      </c>
      <c r="I12" s="45">
        <v>3184</v>
      </c>
      <c r="J12" s="45">
        <v>129</v>
      </c>
      <c r="K12" s="45">
        <v>398</v>
      </c>
      <c r="L12" s="46">
        <v>1</v>
      </c>
      <c r="M12" s="45">
        <v>0</v>
      </c>
      <c r="N12" s="47">
        <v>23.5145728643216</v>
      </c>
      <c r="O12" s="47">
        <v>23</v>
      </c>
      <c r="P12" s="47">
        <v>13</v>
      </c>
      <c r="Q12" s="47">
        <v>7.8159843125657797</v>
      </c>
      <c r="R12" s="47">
        <v>61.089610774274398</v>
      </c>
      <c r="S12" s="47">
        <v>9</v>
      </c>
      <c r="T12" s="47">
        <v>13</v>
      </c>
      <c r="U12" s="47">
        <v>17.5</v>
      </c>
      <c r="V12" s="47">
        <v>23</v>
      </c>
      <c r="W12" s="47">
        <v>29</v>
      </c>
      <c r="X12" s="47">
        <v>37.029999999999902</v>
      </c>
      <c r="Y12" s="47">
        <v>46.6</v>
      </c>
      <c r="Z12" s="47">
        <v>37.6</v>
      </c>
      <c r="AA12" s="47">
        <v>11.5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93</v>
      </c>
      <c r="F13" s="108">
        <v>1.25628140703517E-2</v>
      </c>
      <c r="G13" s="108">
        <v>0</v>
      </c>
      <c r="H13" s="108">
        <v>7.9783502054725799E-2</v>
      </c>
      <c r="I13" s="109">
        <v>3184</v>
      </c>
      <c r="J13" s="109">
        <v>5</v>
      </c>
      <c r="K13" s="109">
        <v>398</v>
      </c>
      <c r="L13" s="110">
        <v>1</v>
      </c>
      <c r="M13" s="109">
        <v>0</v>
      </c>
      <c r="N13" s="111">
        <v>5.45477386934673</v>
      </c>
      <c r="O13" s="111">
        <v>4</v>
      </c>
      <c r="P13" s="111">
        <v>4</v>
      </c>
      <c r="Q13" s="111">
        <v>1.7010042445332101</v>
      </c>
      <c r="R13" s="111">
        <v>2.8934154399200001</v>
      </c>
      <c r="S13" s="111">
        <v>3</v>
      </c>
      <c r="T13" s="111">
        <v>4</v>
      </c>
      <c r="U13" s="111">
        <v>4</v>
      </c>
      <c r="V13" s="111">
        <v>4</v>
      </c>
      <c r="W13" s="111">
        <v>8</v>
      </c>
      <c r="X13" s="111">
        <v>8</v>
      </c>
      <c r="Y13" s="111">
        <v>8</v>
      </c>
      <c r="Z13" s="111">
        <v>5</v>
      </c>
      <c r="AA13" s="111">
        <v>4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92</v>
      </c>
      <c r="F14" s="108">
        <v>0.20603015075376799</v>
      </c>
      <c r="G14" s="108">
        <v>0</v>
      </c>
      <c r="H14" s="108">
        <v>7.9783502054725799E-2</v>
      </c>
      <c r="I14" s="109">
        <v>3184</v>
      </c>
      <c r="J14" s="109">
        <v>82</v>
      </c>
      <c r="K14" s="109">
        <v>398</v>
      </c>
      <c r="L14" s="110">
        <v>1</v>
      </c>
      <c r="M14" s="109">
        <v>0</v>
      </c>
      <c r="N14" s="111">
        <v>193.42587939698399</v>
      </c>
      <c r="O14" s="111">
        <v>148.5</v>
      </c>
      <c r="P14" s="111">
        <v>97</v>
      </c>
      <c r="Q14" s="111">
        <v>104.269838171195</v>
      </c>
      <c r="R14" s="111">
        <v>10872.1991522473</v>
      </c>
      <c r="S14" s="111">
        <v>68</v>
      </c>
      <c r="T14" s="111">
        <v>85</v>
      </c>
      <c r="U14" s="111">
        <v>104.25</v>
      </c>
      <c r="V14" s="111">
        <v>148.5</v>
      </c>
      <c r="W14" s="111">
        <v>262</v>
      </c>
      <c r="X14" s="111">
        <v>400</v>
      </c>
      <c r="Y14" s="111">
        <v>455</v>
      </c>
      <c r="Z14" s="111">
        <v>387</v>
      </c>
      <c r="AA14" s="111">
        <v>157.75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92</v>
      </c>
      <c r="F15" s="108">
        <v>0.233668341708542</v>
      </c>
      <c r="G15" s="108">
        <v>1.5075376884422099E-2</v>
      </c>
      <c r="H15" s="108">
        <v>7.9783502054725799E-2</v>
      </c>
      <c r="I15" s="109">
        <v>3184</v>
      </c>
      <c r="J15" s="109">
        <v>93</v>
      </c>
      <c r="K15" s="109">
        <v>392</v>
      </c>
      <c r="L15" s="110">
        <v>0.98492462311557705</v>
      </c>
      <c r="M15" s="109">
        <v>6</v>
      </c>
      <c r="N15" s="111">
        <v>104.46938775510201</v>
      </c>
      <c r="O15" s="111">
        <v>93.5</v>
      </c>
      <c r="P15" s="111">
        <v>150</v>
      </c>
      <c r="Q15" s="111">
        <v>38.491159932828403</v>
      </c>
      <c r="R15" s="111">
        <v>1481.5693929745801</v>
      </c>
      <c r="S15" s="111">
        <v>46</v>
      </c>
      <c r="T15" s="111">
        <v>60.55</v>
      </c>
      <c r="U15" s="111">
        <v>75</v>
      </c>
      <c r="V15" s="111">
        <v>93.5</v>
      </c>
      <c r="W15" s="111">
        <v>126</v>
      </c>
      <c r="X15" s="111">
        <v>180</v>
      </c>
      <c r="Y15" s="111">
        <v>230</v>
      </c>
      <c r="Z15" s="111">
        <v>184</v>
      </c>
      <c r="AA15" s="111">
        <v>51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93</v>
      </c>
      <c r="F16" s="108">
        <v>0.88190954773869301</v>
      </c>
      <c r="G16" s="108">
        <v>0</v>
      </c>
      <c r="H16" s="108">
        <v>7.9783502054725799E-2</v>
      </c>
      <c r="I16" s="109">
        <v>3184</v>
      </c>
      <c r="J16" s="109">
        <v>351</v>
      </c>
      <c r="K16" s="109">
        <v>398</v>
      </c>
      <c r="L16" s="110">
        <v>1</v>
      </c>
      <c r="M16" s="109">
        <v>0</v>
      </c>
      <c r="N16" s="111">
        <v>2970.4246231155698</v>
      </c>
      <c r="O16" s="111">
        <v>2803.5</v>
      </c>
      <c r="P16" s="111">
        <v>1985</v>
      </c>
      <c r="Q16" s="111">
        <v>846.841774197326</v>
      </c>
      <c r="R16" s="111">
        <v>717140.99052567605</v>
      </c>
      <c r="S16" s="111">
        <v>1613</v>
      </c>
      <c r="T16" s="111">
        <v>1923.5</v>
      </c>
      <c r="U16" s="111">
        <v>2223.75</v>
      </c>
      <c r="V16" s="111">
        <v>2803.5</v>
      </c>
      <c r="W16" s="111">
        <v>3608</v>
      </c>
      <c r="X16" s="111">
        <v>4464</v>
      </c>
      <c r="Y16" s="111">
        <v>5140</v>
      </c>
      <c r="Z16" s="111">
        <v>3527</v>
      </c>
      <c r="AA16" s="111">
        <v>1384.25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92</v>
      </c>
      <c r="F17" s="108">
        <v>0.23869346733668301</v>
      </c>
      <c r="G17" s="108">
        <v>0</v>
      </c>
      <c r="H17" s="108">
        <v>7.9783502054725799E-2</v>
      </c>
      <c r="I17" s="109">
        <v>3184</v>
      </c>
      <c r="J17" s="109">
        <v>95</v>
      </c>
      <c r="K17" s="109">
        <v>398</v>
      </c>
      <c r="L17" s="110">
        <v>1</v>
      </c>
      <c r="M17" s="109">
        <v>0</v>
      </c>
      <c r="N17" s="111">
        <v>15.5680904522613</v>
      </c>
      <c r="O17" s="111">
        <v>15.5</v>
      </c>
      <c r="P17" s="111">
        <v>14.5</v>
      </c>
      <c r="Q17" s="111">
        <v>2.7576889298126699</v>
      </c>
      <c r="R17" s="111">
        <v>7.6048482336113796</v>
      </c>
      <c r="S17" s="111">
        <v>8</v>
      </c>
      <c r="T17" s="111">
        <v>11.285</v>
      </c>
      <c r="U17" s="111">
        <v>13.824999999999999</v>
      </c>
      <c r="V17" s="111">
        <v>15.5</v>
      </c>
      <c r="W17" s="111">
        <v>17.175000000000001</v>
      </c>
      <c r="X17" s="111">
        <v>20.4149999999999</v>
      </c>
      <c r="Y17" s="111">
        <v>24.8</v>
      </c>
      <c r="Z17" s="111">
        <v>16.8</v>
      </c>
      <c r="AA17" s="111">
        <v>3.3499999999999899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93</v>
      </c>
      <c r="F18" s="108">
        <v>3.2663316582914499E-2</v>
      </c>
      <c r="G18" s="108">
        <v>0</v>
      </c>
      <c r="H18" s="108">
        <v>7.9783502054725799E-2</v>
      </c>
      <c r="I18" s="109">
        <v>3184</v>
      </c>
      <c r="J18" s="109">
        <v>13</v>
      </c>
      <c r="K18" s="109">
        <v>398</v>
      </c>
      <c r="L18" s="110">
        <v>1</v>
      </c>
      <c r="M18" s="109">
        <v>0</v>
      </c>
      <c r="N18" s="111">
        <v>76.010050251256203</v>
      </c>
      <c r="O18" s="111">
        <v>76</v>
      </c>
      <c r="P18" s="111">
        <v>73</v>
      </c>
      <c r="Q18" s="111">
        <v>3.69762664673262</v>
      </c>
      <c r="R18" s="111">
        <v>13.672442818627101</v>
      </c>
      <c r="S18" s="111">
        <v>70</v>
      </c>
      <c r="T18" s="111">
        <v>70</v>
      </c>
      <c r="U18" s="111">
        <v>73</v>
      </c>
      <c r="V18" s="111">
        <v>76</v>
      </c>
      <c r="W18" s="111">
        <v>79</v>
      </c>
      <c r="X18" s="111">
        <v>82</v>
      </c>
      <c r="Y18" s="111">
        <v>82</v>
      </c>
      <c r="Z18" s="111">
        <v>12</v>
      </c>
      <c r="AA18" s="111">
        <v>6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94</v>
      </c>
      <c r="F19" s="108">
        <v>7.5376884422110497E-3</v>
      </c>
      <c r="G19" s="108">
        <v>0</v>
      </c>
      <c r="H19" s="108">
        <v>0.120176405733186</v>
      </c>
      <c r="I19" s="109">
        <v>4796</v>
      </c>
      <c r="J19" s="109">
        <v>3</v>
      </c>
      <c r="K19" s="109">
        <v>398</v>
      </c>
      <c r="L19" s="110">
        <v>1</v>
      </c>
      <c r="M19" s="109">
        <v>0</v>
      </c>
      <c r="N19" s="111"/>
      <c r="O19" s="111"/>
      <c r="P19" s="111" t="s">
        <v>95</v>
      </c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</row>
    <row r="20" spans="2:27" ht="15" customHeight="1" x14ac:dyDescent="0.2">
      <c r="B20" s="112" t="s">
        <v>88</v>
      </c>
      <c r="C20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14" t="s">
        <v>94</v>
      </c>
      <c r="F20" s="115">
        <v>0.766331658291457</v>
      </c>
      <c r="G20" s="115">
        <v>0</v>
      </c>
      <c r="H20" s="115">
        <v>0.241555577829006</v>
      </c>
      <c r="I20" s="116">
        <v>9640</v>
      </c>
      <c r="J20" s="116">
        <v>305</v>
      </c>
      <c r="K20" s="116">
        <v>398</v>
      </c>
      <c r="L20" s="117">
        <v>1</v>
      </c>
      <c r="M20" s="116">
        <v>0</v>
      </c>
      <c r="N20" s="118"/>
      <c r="O20" s="118"/>
      <c r="P20" s="118" t="s">
        <v>96</v>
      </c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9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3.1640625" bestFit="1" customWidth="1"/>
    <col min="5" max="5" width="16.6640625" bestFit="1" customWidth="1"/>
    <col min="6" max="6" width="13.83203125" bestFit="1" customWidth="1"/>
    <col min="7" max="7" width="11.5" bestFit="1" customWidth="1"/>
    <col min="8" max="9" width="13.83203125" bestFit="1" customWidth="1"/>
    <col min="10" max="10" width="10.6640625" customWidth="1"/>
    <col min="11" max="11" width="10.5" bestFit="1" customWidth="1"/>
    <col min="12" max="14" width="13.83203125" customWidth="1"/>
    <col min="15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Mpg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6" t="s">
        <v>47</v>
      </c>
      <c r="M9" s="136" t="s">
        <v>48</v>
      </c>
      <c r="N9" s="136" t="s">
        <v>52</v>
      </c>
    </row>
    <row r="10" spans="1:17" ht="15" customHeight="1" x14ac:dyDescent="0.2">
      <c r="C10" s="133">
        <v>9</v>
      </c>
      <c r="D10" s="5"/>
      <c r="E10" s="5"/>
      <c r="F10" s="5"/>
      <c r="G10" s="5"/>
      <c r="H10" s="5"/>
      <c r="I10" s="5"/>
      <c r="J10" s="5"/>
      <c r="K10" s="5"/>
      <c r="L10" s="137">
        <v>0</v>
      </c>
      <c r="M10" s="138">
        <v>0</v>
      </c>
      <c r="N10" s="139">
        <v>2.5125628140703518E-3</v>
      </c>
    </row>
    <row r="11" spans="1:17" ht="15" customHeight="1" x14ac:dyDescent="0.2">
      <c r="C11" s="133">
        <v>10</v>
      </c>
      <c r="D11" s="5"/>
      <c r="E11" s="5"/>
      <c r="F11" s="5"/>
      <c r="G11" s="5"/>
      <c r="H11" s="5"/>
      <c r="I11" s="5"/>
      <c r="J11" s="5"/>
      <c r="K11" s="5"/>
      <c r="L11" s="137">
        <v>0</v>
      </c>
      <c r="M11" s="138">
        <v>0</v>
      </c>
      <c r="N11" s="139">
        <v>5.0251256281407036E-3</v>
      </c>
    </row>
    <row r="12" spans="1:17" ht="15" customHeight="1" x14ac:dyDescent="0.2">
      <c r="C12" s="133">
        <v>11</v>
      </c>
      <c r="D12" s="5"/>
      <c r="E12" s="5"/>
      <c r="F12" s="5"/>
      <c r="G12" s="5"/>
      <c r="H12" s="5"/>
      <c r="I12" s="5"/>
      <c r="J12" s="5"/>
      <c r="K12" s="5"/>
      <c r="L12" s="137">
        <v>0</v>
      </c>
      <c r="M12" s="138">
        <v>0</v>
      </c>
      <c r="N12" s="139">
        <v>1.0050251256281407E-2</v>
      </c>
    </row>
    <row r="13" spans="1:17" ht="15" customHeight="1" x14ac:dyDescent="0.2">
      <c r="C13" s="133">
        <v>12</v>
      </c>
      <c r="D13" s="5"/>
      <c r="E13" s="5"/>
      <c r="F13" s="5"/>
      <c r="G13" s="5"/>
      <c r="H13" s="5"/>
      <c r="I13" s="5"/>
      <c r="J13" s="5"/>
      <c r="K13" s="5"/>
      <c r="L13" s="137">
        <v>0</v>
      </c>
      <c r="M13" s="138">
        <v>0</v>
      </c>
      <c r="N13" s="139">
        <v>1.507537688442211E-2</v>
      </c>
    </row>
    <row r="14" spans="1:17" ht="15" customHeight="1" x14ac:dyDescent="0.2">
      <c r="C14" s="133">
        <v>13</v>
      </c>
      <c r="D14" s="5"/>
      <c r="E14" s="5"/>
      <c r="F14" s="5"/>
      <c r="G14" s="5"/>
      <c r="H14" s="5"/>
      <c r="I14" s="5"/>
      <c r="J14" s="5"/>
      <c r="K14" s="5"/>
      <c r="L14" s="137">
        <v>0</v>
      </c>
      <c r="M14" s="138">
        <v>0</v>
      </c>
      <c r="N14" s="139">
        <v>5.0251256281407038E-2</v>
      </c>
    </row>
    <row r="15" spans="1:17" ht="15" customHeight="1" x14ac:dyDescent="0.2">
      <c r="C15" s="133">
        <v>14</v>
      </c>
      <c r="D15" s="5"/>
      <c r="E15" s="5"/>
      <c r="F15" s="5"/>
      <c r="G15" s="5"/>
      <c r="H15" s="5"/>
      <c r="I15" s="5"/>
      <c r="J15" s="5"/>
      <c r="K15" s="5"/>
      <c r="L15" s="137">
        <v>0</v>
      </c>
      <c r="M15" s="138">
        <v>0</v>
      </c>
      <c r="N15" s="139">
        <v>4.7738693467336682E-2</v>
      </c>
    </row>
    <row r="16" spans="1:17" ht="15" customHeight="1" x14ac:dyDescent="0.2">
      <c r="C16" s="133">
        <v>14.5</v>
      </c>
      <c r="D16" s="5"/>
      <c r="E16" s="5"/>
      <c r="F16" s="5"/>
      <c r="G16" s="5"/>
      <c r="H16" s="5"/>
      <c r="I16" s="5"/>
      <c r="J16" s="5"/>
      <c r="K16" s="5"/>
      <c r="L16" s="137">
        <v>0</v>
      </c>
      <c r="M16" s="138">
        <v>0</v>
      </c>
      <c r="N16" s="139">
        <v>2.5125628140703518E-3</v>
      </c>
    </row>
    <row r="17" spans="3:14" ht="15" customHeight="1" x14ac:dyDescent="0.2">
      <c r="C17" s="133">
        <v>15</v>
      </c>
      <c r="D17" s="5"/>
      <c r="E17" s="5"/>
      <c r="F17" s="5"/>
      <c r="G17" s="5"/>
      <c r="H17" s="5"/>
      <c r="I17" s="5"/>
      <c r="J17" s="5"/>
      <c r="K17" s="5"/>
      <c r="L17" s="137">
        <v>0</v>
      </c>
      <c r="M17" s="138">
        <v>0</v>
      </c>
      <c r="N17" s="139">
        <v>4.0201005025125629E-2</v>
      </c>
    </row>
    <row r="18" spans="3:14" ht="15" customHeight="1" x14ac:dyDescent="0.2">
      <c r="C18" s="133">
        <v>15.5</v>
      </c>
      <c r="D18" s="5"/>
      <c r="E18" s="5"/>
      <c r="F18" s="5"/>
      <c r="G18" s="5"/>
      <c r="H18" s="5"/>
      <c r="I18" s="5"/>
      <c r="J18" s="5"/>
      <c r="K18" s="5"/>
      <c r="L18" s="137">
        <v>0</v>
      </c>
      <c r="M18" s="138">
        <v>0</v>
      </c>
      <c r="N18" s="139">
        <v>1.2562814070351759E-2</v>
      </c>
    </row>
    <row r="19" spans="3:14" ht="15" customHeight="1" x14ac:dyDescent="0.2">
      <c r="C19" s="133">
        <v>16</v>
      </c>
      <c r="D19" s="5"/>
      <c r="E19" s="5"/>
      <c r="F19" s="5"/>
      <c r="G19" s="5"/>
      <c r="H19" s="5"/>
      <c r="I19" s="5"/>
      <c r="J19" s="5"/>
      <c r="K19" s="5"/>
      <c r="L19" s="137">
        <v>0</v>
      </c>
      <c r="M19" s="138">
        <v>0</v>
      </c>
      <c r="N19" s="139">
        <v>3.2663316582914576E-2</v>
      </c>
    </row>
    <row r="20" spans="3:14" ht="15" customHeight="1" x14ac:dyDescent="0.2">
      <c r="C20" s="133">
        <v>16.2</v>
      </c>
      <c r="D20" s="5"/>
      <c r="E20" s="5"/>
      <c r="F20" s="5"/>
      <c r="G20" s="5"/>
      <c r="H20" s="5"/>
      <c r="I20" s="5"/>
      <c r="J20" s="5"/>
      <c r="K20" s="5"/>
      <c r="L20" s="137">
        <v>0</v>
      </c>
      <c r="M20" s="138">
        <v>0</v>
      </c>
      <c r="N20" s="139">
        <v>2.5125628140703518E-3</v>
      </c>
    </row>
    <row r="21" spans="3:14" ht="15" customHeight="1" x14ac:dyDescent="0.2">
      <c r="C21" s="133">
        <v>16.5</v>
      </c>
      <c r="D21" s="5"/>
      <c r="E21" s="5"/>
      <c r="F21" s="5"/>
      <c r="G21" s="5"/>
      <c r="H21" s="5"/>
      <c r="I21" s="5"/>
      <c r="J21" s="5"/>
      <c r="K21" s="5"/>
      <c r="L21" s="137">
        <v>0</v>
      </c>
      <c r="M21" s="138">
        <v>0</v>
      </c>
      <c r="N21" s="139">
        <v>7.537688442211055E-3</v>
      </c>
    </row>
    <row r="22" spans="3:14" ht="15" customHeight="1" x14ac:dyDescent="0.2">
      <c r="C22" s="133">
        <v>16.899999999999999</v>
      </c>
      <c r="D22" s="5"/>
      <c r="E22" s="5"/>
      <c r="F22" s="5"/>
      <c r="G22" s="5"/>
      <c r="H22" s="5"/>
      <c r="I22" s="5"/>
      <c r="J22" s="5"/>
      <c r="K22" s="5"/>
      <c r="L22" s="137">
        <v>0</v>
      </c>
      <c r="M22" s="138">
        <v>0</v>
      </c>
      <c r="N22" s="139">
        <v>2.5125628140703518E-3</v>
      </c>
    </row>
    <row r="23" spans="3:14" ht="15" customHeight="1" x14ac:dyDescent="0.2">
      <c r="C23" s="133">
        <v>17</v>
      </c>
      <c r="D23" s="5"/>
      <c r="E23" s="5"/>
      <c r="F23" s="5"/>
      <c r="G23" s="5"/>
      <c r="H23" s="5"/>
      <c r="I23" s="5"/>
      <c r="J23" s="5"/>
      <c r="K23" s="5"/>
      <c r="L23" s="137">
        <v>0</v>
      </c>
      <c r="M23" s="138">
        <v>0</v>
      </c>
      <c r="N23" s="139">
        <v>1.7587939698492462E-2</v>
      </c>
    </row>
    <row r="24" spans="3:14" ht="15" customHeight="1" x14ac:dyDescent="0.2">
      <c r="C24" s="133">
        <v>17.5</v>
      </c>
      <c r="D24" s="5"/>
      <c r="E24" s="5"/>
      <c r="F24" s="5"/>
      <c r="G24" s="5"/>
      <c r="H24" s="5"/>
      <c r="I24" s="5"/>
      <c r="J24" s="5"/>
      <c r="K24" s="5"/>
      <c r="L24" s="137">
        <v>0</v>
      </c>
      <c r="M24" s="138">
        <v>0</v>
      </c>
      <c r="N24" s="139">
        <v>1.2562814070351759E-2</v>
      </c>
    </row>
    <row r="25" spans="3:14" ht="15" customHeight="1" x14ac:dyDescent="0.2">
      <c r="C25" s="133">
        <v>17.600000000000001</v>
      </c>
      <c r="D25" s="5"/>
      <c r="E25" s="5"/>
      <c r="F25" s="5"/>
      <c r="G25" s="5"/>
      <c r="H25" s="5"/>
      <c r="I25" s="5"/>
      <c r="J25" s="5"/>
      <c r="K25" s="5"/>
      <c r="L25" s="137">
        <v>0</v>
      </c>
      <c r="M25" s="138">
        <v>0</v>
      </c>
      <c r="N25" s="139">
        <v>5.0251256281407036E-3</v>
      </c>
    </row>
    <row r="26" spans="3:14" ht="15" customHeight="1" x14ac:dyDescent="0.2">
      <c r="C26" s="133">
        <v>17.7</v>
      </c>
      <c r="D26" s="5"/>
      <c r="E26" s="5"/>
      <c r="F26" s="5"/>
      <c r="G26" s="5"/>
      <c r="H26" s="5"/>
      <c r="I26" s="5"/>
      <c r="J26" s="5"/>
      <c r="K26" s="5"/>
      <c r="L26" s="137">
        <v>0</v>
      </c>
      <c r="M26" s="138">
        <v>0</v>
      </c>
      <c r="N26" s="139">
        <v>2.5125628140703518E-3</v>
      </c>
    </row>
    <row r="27" spans="3:14" ht="15" customHeight="1" x14ac:dyDescent="0.2">
      <c r="C27" s="133">
        <v>18</v>
      </c>
      <c r="D27" s="5"/>
      <c r="E27" s="5"/>
      <c r="F27" s="5"/>
      <c r="G27" s="5"/>
      <c r="H27" s="5"/>
      <c r="I27" s="5"/>
      <c r="J27" s="5"/>
      <c r="K27" s="5"/>
      <c r="L27" s="137">
        <v>0</v>
      </c>
      <c r="M27" s="138">
        <v>0</v>
      </c>
      <c r="N27" s="139">
        <v>4.2713567839195977E-2</v>
      </c>
    </row>
    <row r="28" spans="3:14" ht="15" customHeight="1" x14ac:dyDescent="0.2">
      <c r="C28" s="133">
        <v>18.100000000000001</v>
      </c>
      <c r="D28" s="5"/>
      <c r="E28" s="5"/>
      <c r="F28" s="5"/>
      <c r="G28" s="5"/>
      <c r="H28" s="5"/>
      <c r="I28" s="5"/>
      <c r="J28" s="5"/>
      <c r="K28" s="5"/>
      <c r="L28" s="137">
        <v>0</v>
      </c>
      <c r="M28" s="138">
        <v>0</v>
      </c>
      <c r="N28" s="139">
        <v>5.0251256281407036E-3</v>
      </c>
    </row>
    <row r="29" spans="3:14" ht="15" customHeight="1" x14ac:dyDescent="0.2">
      <c r="C29" s="133">
        <v>18.2</v>
      </c>
      <c r="D29" s="5"/>
      <c r="E29" s="5"/>
      <c r="F29" s="5"/>
      <c r="G29" s="5"/>
      <c r="H29" s="5"/>
      <c r="I29" s="5"/>
      <c r="J29" s="5"/>
      <c r="K29" s="5"/>
      <c r="L29" s="137">
        <v>0</v>
      </c>
      <c r="M29" s="138">
        <v>0</v>
      </c>
      <c r="N29" s="139">
        <v>2.5125628140703518E-3</v>
      </c>
    </row>
    <row r="30" spans="3:14" ht="15" customHeight="1" x14ac:dyDescent="0.2">
      <c r="C30" s="133">
        <v>18.5</v>
      </c>
      <c r="D30" s="5"/>
      <c r="E30" s="5"/>
      <c r="F30" s="5"/>
      <c r="G30" s="5"/>
      <c r="H30" s="5"/>
      <c r="I30" s="5"/>
      <c r="J30" s="5"/>
      <c r="K30" s="5"/>
      <c r="L30" s="137">
        <v>0</v>
      </c>
      <c r="M30" s="138">
        <v>0</v>
      </c>
      <c r="N30" s="139">
        <v>7.537688442211055E-3</v>
      </c>
    </row>
    <row r="31" spans="3:14" ht="15" customHeight="1" x14ac:dyDescent="0.2">
      <c r="C31" s="133">
        <v>18.600000000000001</v>
      </c>
      <c r="D31" s="5"/>
      <c r="E31" s="5"/>
      <c r="F31" s="5"/>
      <c r="G31" s="5"/>
      <c r="H31" s="5"/>
      <c r="I31" s="5"/>
      <c r="J31" s="5"/>
      <c r="K31" s="5"/>
      <c r="L31" s="137">
        <v>0</v>
      </c>
      <c r="M31" s="138">
        <v>0</v>
      </c>
      <c r="N31" s="139">
        <v>2.5125628140703518E-3</v>
      </c>
    </row>
    <row r="32" spans="3:14" ht="15" customHeight="1" x14ac:dyDescent="0.2">
      <c r="C32" s="133">
        <v>19</v>
      </c>
      <c r="D32" s="5"/>
      <c r="E32" s="5"/>
      <c r="F32" s="5"/>
      <c r="G32" s="5"/>
      <c r="H32" s="5"/>
      <c r="I32" s="5"/>
      <c r="J32" s="5"/>
      <c r="K32" s="5"/>
      <c r="L32" s="137">
        <v>0</v>
      </c>
      <c r="M32" s="138">
        <v>0</v>
      </c>
      <c r="N32" s="139">
        <v>3.015075376884422E-2</v>
      </c>
    </row>
    <row r="33" spans="3:14" ht="15" customHeight="1" x14ac:dyDescent="0.2">
      <c r="C33" s="133">
        <v>19.100000000000001</v>
      </c>
      <c r="D33" s="5"/>
      <c r="E33" s="5"/>
      <c r="F33" s="5"/>
      <c r="G33" s="5"/>
      <c r="H33" s="5"/>
      <c r="I33" s="5"/>
      <c r="J33" s="5"/>
      <c r="K33" s="5"/>
      <c r="L33" s="137">
        <v>0</v>
      </c>
      <c r="M33" s="138">
        <v>0</v>
      </c>
      <c r="N33" s="139">
        <v>2.5125628140703518E-3</v>
      </c>
    </row>
    <row r="34" spans="3:14" ht="15" customHeight="1" x14ac:dyDescent="0.2">
      <c r="C34" s="133">
        <v>19.2</v>
      </c>
      <c r="D34" s="5"/>
      <c r="E34" s="5"/>
      <c r="F34" s="5"/>
      <c r="G34" s="5"/>
      <c r="H34" s="5"/>
      <c r="I34" s="5"/>
      <c r="J34" s="5"/>
      <c r="K34" s="5"/>
      <c r="L34" s="137">
        <v>0</v>
      </c>
      <c r="M34" s="138">
        <v>0</v>
      </c>
      <c r="N34" s="139">
        <v>7.537688442211055E-3</v>
      </c>
    </row>
    <row r="35" spans="3:14" ht="15" customHeight="1" x14ac:dyDescent="0.2">
      <c r="C35" s="133">
        <v>19.399999999999999</v>
      </c>
      <c r="D35" s="5"/>
      <c r="E35" s="5"/>
      <c r="F35" s="5"/>
      <c r="G35" s="5"/>
      <c r="H35" s="5"/>
      <c r="I35" s="5"/>
      <c r="J35" s="5"/>
      <c r="K35" s="5"/>
      <c r="L35" s="137">
        <v>0</v>
      </c>
      <c r="M35" s="138">
        <v>0</v>
      </c>
      <c r="N35" s="139">
        <v>5.0251256281407036E-3</v>
      </c>
    </row>
    <row r="36" spans="3:14" ht="15" customHeight="1" x14ac:dyDescent="0.2">
      <c r="C36" s="133">
        <v>19.8</v>
      </c>
      <c r="D36" s="5"/>
      <c r="E36" s="5"/>
      <c r="F36" s="5"/>
      <c r="G36" s="5"/>
      <c r="H36" s="5"/>
      <c r="I36" s="5"/>
      <c r="J36" s="5"/>
      <c r="K36" s="5"/>
      <c r="L36" s="137">
        <v>0</v>
      </c>
      <c r="M36" s="138">
        <v>0</v>
      </c>
      <c r="N36" s="139">
        <v>2.5125628140703518E-3</v>
      </c>
    </row>
    <row r="37" spans="3:14" ht="15" customHeight="1" x14ac:dyDescent="0.2">
      <c r="C37" s="133">
        <v>19.899999999999999</v>
      </c>
      <c r="D37" s="5"/>
      <c r="E37" s="5"/>
      <c r="F37" s="5"/>
      <c r="G37" s="5"/>
      <c r="H37" s="5"/>
      <c r="I37" s="5"/>
      <c r="J37" s="5"/>
      <c r="K37" s="5"/>
      <c r="L37" s="137">
        <v>0</v>
      </c>
      <c r="M37" s="138">
        <v>0</v>
      </c>
      <c r="N37" s="139">
        <v>2.5125628140703518E-3</v>
      </c>
    </row>
    <row r="38" spans="3:14" ht="15" customHeight="1" x14ac:dyDescent="0.2">
      <c r="C38" s="133">
        <v>20</v>
      </c>
      <c r="D38" s="5"/>
      <c r="E38" s="5"/>
      <c r="F38" s="5"/>
      <c r="G38" s="5"/>
      <c r="H38" s="5"/>
      <c r="I38" s="5"/>
      <c r="J38" s="5"/>
      <c r="K38" s="5"/>
      <c r="L38" s="137">
        <v>0</v>
      </c>
      <c r="M38" s="138">
        <v>0</v>
      </c>
      <c r="N38" s="139">
        <v>2.2613065326633167E-2</v>
      </c>
    </row>
    <row r="39" spans="3:14" ht="15" customHeight="1" x14ac:dyDescent="0.2">
      <c r="C39" s="133">
        <v>20.2</v>
      </c>
      <c r="D39" s="5"/>
      <c r="E39" s="5"/>
      <c r="F39" s="5"/>
      <c r="G39" s="5"/>
      <c r="H39" s="5"/>
      <c r="I39" s="5"/>
      <c r="J39" s="5"/>
      <c r="K39" s="5"/>
      <c r="L39" s="137">
        <v>0</v>
      </c>
      <c r="M39" s="138">
        <v>0</v>
      </c>
      <c r="N39" s="139">
        <v>1.0050251256281407E-2</v>
      </c>
    </row>
    <row r="40" spans="3:14" ht="15" customHeight="1" x14ac:dyDescent="0.2">
      <c r="C40" s="133">
        <v>20.3</v>
      </c>
      <c r="D40" s="5"/>
      <c r="E40" s="5"/>
      <c r="F40" s="5"/>
      <c r="G40" s="5"/>
      <c r="H40" s="5"/>
      <c r="I40" s="5"/>
      <c r="J40" s="5"/>
      <c r="K40" s="5"/>
      <c r="L40" s="137">
        <v>0</v>
      </c>
      <c r="M40" s="138">
        <v>0</v>
      </c>
      <c r="N40" s="139">
        <v>2.5125628140703518E-3</v>
      </c>
    </row>
    <row r="41" spans="3:14" ht="15" customHeight="1" x14ac:dyDescent="0.2">
      <c r="C41" s="133">
        <v>20.5</v>
      </c>
      <c r="D41" s="5"/>
      <c r="E41" s="5"/>
      <c r="F41" s="5"/>
      <c r="G41" s="5"/>
      <c r="H41" s="5"/>
      <c r="I41" s="5"/>
      <c r="J41" s="5"/>
      <c r="K41" s="5"/>
      <c r="L41" s="137">
        <v>0</v>
      </c>
      <c r="M41" s="138">
        <v>0</v>
      </c>
      <c r="N41" s="139">
        <v>7.537688442211055E-3</v>
      </c>
    </row>
    <row r="42" spans="3:14" ht="15" customHeight="1" x14ac:dyDescent="0.2">
      <c r="C42" s="133">
        <v>20.6</v>
      </c>
      <c r="D42" s="5"/>
      <c r="E42" s="5"/>
      <c r="F42" s="5"/>
      <c r="G42" s="5"/>
      <c r="H42" s="5"/>
      <c r="I42" s="5"/>
      <c r="J42" s="5"/>
      <c r="K42" s="5"/>
      <c r="L42" s="137">
        <v>0</v>
      </c>
      <c r="M42" s="138">
        <v>0</v>
      </c>
      <c r="N42" s="139">
        <v>5.0251256281407036E-3</v>
      </c>
    </row>
    <row r="43" spans="3:14" ht="15" customHeight="1" x14ac:dyDescent="0.2">
      <c r="C43" s="133">
        <v>20.8</v>
      </c>
      <c r="D43" s="5"/>
      <c r="E43" s="5"/>
      <c r="F43" s="5"/>
      <c r="G43" s="5"/>
      <c r="H43" s="5"/>
      <c r="I43" s="5"/>
      <c r="J43" s="5"/>
      <c r="K43" s="5"/>
      <c r="L43" s="137">
        <v>0</v>
      </c>
      <c r="M43" s="138">
        <v>0</v>
      </c>
      <c r="N43" s="139">
        <v>2.5125628140703518E-3</v>
      </c>
    </row>
    <row r="44" spans="3:14" ht="15" customHeight="1" x14ac:dyDescent="0.2">
      <c r="C44" s="133">
        <v>21</v>
      </c>
      <c r="D44" s="5"/>
      <c r="E44" s="5"/>
      <c r="F44" s="5"/>
      <c r="G44" s="5"/>
      <c r="H44" s="5"/>
      <c r="I44" s="5"/>
      <c r="J44" s="5"/>
      <c r="K44" s="5"/>
      <c r="L44" s="137">
        <v>0.125</v>
      </c>
      <c r="M44" s="138">
        <v>0.16666666666666666</v>
      </c>
      <c r="N44" s="139">
        <v>2.0100502512562814E-2</v>
      </c>
    </row>
    <row r="45" spans="3:14" ht="15" customHeight="1" x14ac:dyDescent="0.2">
      <c r="C45" s="133">
        <v>21.1</v>
      </c>
      <c r="D45" s="5"/>
      <c r="E45" s="5"/>
      <c r="F45" s="5"/>
      <c r="G45" s="5"/>
      <c r="H45" s="5"/>
      <c r="I45" s="5"/>
      <c r="J45" s="5"/>
      <c r="K45" s="5"/>
      <c r="L45" s="137">
        <v>0</v>
      </c>
      <c r="M45" s="138">
        <v>0</v>
      </c>
      <c r="N45" s="139">
        <v>2.5125628140703518E-3</v>
      </c>
    </row>
    <row r="46" spans="3:14" ht="15" customHeight="1" x14ac:dyDescent="0.2">
      <c r="C46" s="133">
        <v>21.5</v>
      </c>
      <c r="D46" s="5"/>
      <c r="E46" s="5"/>
      <c r="F46" s="5"/>
      <c r="G46" s="5"/>
      <c r="H46" s="5"/>
      <c r="I46" s="5"/>
      <c r="J46" s="5"/>
      <c r="K46" s="5"/>
      <c r="L46" s="137">
        <v>0</v>
      </c>
      <c r="M46" s="138">
        <v>0</v>
      </c>
      <c r="N46" s="139">
        <v>7.537688442211055E-3</v>
      </c>
    </row>
    <row r="47" spans="3:14" ht="15" customHeight="1" x14ac:dyDescent="0.2">
      <c r="C47" s="133">
        <v>21.6</v>
      </c>
      <c r="D47" s="5"/>
      <c r="E47" s="5"/>
      <c r="F47" s="5"/>
      <c r="G47" s="5"/>
      <c r="H47" s="5"/>
      <c r="I47" s="5"/>
      <c r="J47" s="5"/>
      <c r="K47" s="5"/>
      <c r="L47" s="137">
        <v>0</v>
      </c>
      <c r="M47" s="138">
        <v>0</v>
      </c>
      <c r="N47" s="139">
        <v>2.5125628140703518E-3</v>
      </c>
    </row>
    <row r="48" spans="3:14" ht="15" customHeight="1" x14ac:dyDescent="0.2">
      <c r="C48" s="133">
        <v>22</v>
      </c>
      <c r="D48" s="5"/>
      <c r="E48" s="5"/>
      <c r="F48" s="5"/>
      <c r="G48" s="5"/>
      <c r="H48" s="5"/>
      <c r="I48" s="5"/>
      <c r="J48" s="5"/>
      <c r="K48" s="5"/>
      <c r="L48" s="137">
        <v>0</v>
      </c>
      <c r="M48" s="138">
        <v>0</v>
      </c>
      <c r="N48" s="139">
        <v>2.5125628140703519E-2</v>
      </c>
    </row>
    <row r="49" spans="3:14" ht="15" customHeight="1" x14ac:dyDescent="0.2">
      <c r="C49" s="133">
        <v>22.3</v>
      </c>
      <c r="D49" s="5"/>
      <c r="E49" s="5"/>
      <c r="F49" s="5"/>
      <c r="G49" s="5"/>
      <c r="H49" s="5"/>
      <c r="I49" s="5"/>
      <c r="J49" s="5"/>
      <c r="K49" s="5"/>
      <c r="L49" s="137">
        <v>0</v>
      </c>
      <c r="M49" s="138">
        <v>0</v>
      </c>
      <c r="N49" s="139">
        <v>2.5125628140703518E-3</v>
      </c>
    </row>
    <row r="50" spans="3:14" ht="15" customHeight="1" x14ac:dyDescent="0.2">
      <c r="C50" s="133">
        <v>22.4</v>
      </c>
      <c r="D50" s="5"/>
      <c r="E50" s="5"/>
      <c r="F50" s="5"/>
      <c r="G50" s="5"/>
      <c r="H50" s="5"/>
      <c r="I50" s="5"/>
      <c r="J50" s="5"/>
      <c r="K50" s="5"/>
      <c r="L50" s="137">
        <v>0</v>
      </c>
      <c r="M50" s="138">
        <v>0</v>
      </c>
      <c r="N50" s="139">
        <v>2.5125628140703518E-3</v>
      </c>
    </row>
    <row r="51" spans="3:14" ht="15" customHeight="1" x14ac:dyDescent="0.2">
      <c r="C51" s="133">
        <v>22.5</v>
      </c>
      <c r="D51" s="5"/>
      <c r="E51" s="5"/>
      <c r="F51" s="5"/>
      <c r="G51" s="5"/>
      <c r="H51" s="5"/>
      <c r="I51" s="5"/>
      <c r="J51" s="5"/>
      <c r="K51" s="5"/>
      <c r="L51" s="137">
        <v>0</v>
      </c>
      <c r="M51" s="138">
        <v>0</v>
      </c>
      <c r="N51" s="139">
        <v>2.5125628140703518E-3</v>
      </c>
    </row>
    <row r="52" spans="3:14" ht="15" customHeight="1" x14ac:dyDescent="0.2">
      <c r="C52" s="133">
        <v>23</v>
      </c>
      <c r="D52" s="5"/>
      <c r="E52" s="5"/>
      <c r="F52" s="5"/>
      <c r="G52" s="5"/>
      <c r="H52" s="5"/>
      <c r="I52" s="5"/>
      <c r="J52" s="5"/>
      <c r="K52" s="5"/>
      <c r="L52" s="137">
        <v>0.1</v>
      </c>
      <c r="M52" s="138">
        <v>0.16666666666666666</v>
      </c>
      <c r="N52" s="139">
        <v>2.5125628140703519E-2</v>
      </c>
    </row>
    <row r="53" spans="3:14" ht="15" customHeight="1" x14ac:dyDescent="0.2">
      <c r="C53" s="133">
        <v>23.2</v>
      </c>
      <c r="D53" s="5"/>
      <c r="E53" s="5"/>
      <c r="F53" s="5"/>
      <c r="G53" s="5"/>
      <c r="H53" s="5"/>
      <c r="I53" s="5"/>
      <c r="J53" s="5"/>
      <c r="K53" s="5"/>
      <c r="L53" s="137">
        <v>0</v>
      </c>
      <c r="M53" s="138">
        <v>0</v>
      </c>
      <c r="N53" s="139">
        <v>2.5125628140703518E-3</v>
      </c>
    </row>
    <row r="54" spans="3:14" ht="15" customHeight="1" x14ac:dyDescent="0.2">
      <c r="C54" s="133">
        <v>23.5</v>
      </c>
      <c r="D54" s="5"/>
      <c r="E54" s="5"/>
      <c r="F54" s="5"/>
      <c r="G54" s="5"/>
      <c r="H54" s="5"/>
      <c r="I54" s="5"/>
      <c r="J54" s="5"/>
      <c r="K54" s="5"/>
      <c r="L54" s="137">
        <v>0</v>
      </c>
      <c r="M54" s="138">
        <v>0</v>
      </c>
      <c r="N54" s="139">
        <v>2.5125628140703518E-3</v>
      </c>
    </row>
    <row r="55" spans="3:14" ht="15" customHeight="1" x14ac:dyDescent="0.2">
      <c r="C55" s="133">
        <v>23.6</v>
      </c>
      <c r="D55" s="5"/>
      <c r="E55" s="5"/>
      <c r="F55" s="5"/>
      <c r="G55" s="5"/>
      <c r="H55" s="5"/>
      <c r="I55" s="5"/>
      <c r="J55" s="5"/>
      <c r="K55" s="5"/>
      <c r="L55" s="137">
        <v>1</v>
      </c>
      <c r="M55" s="138">
        <v>0.16666666666666666</v>
      </c>
      <c r="N55" s="139">
        <v>2.5125628140703518E-3</v>
      </c>
    </row>
    <row r="56" spans="3:14" ht="15" customHeight="1" x14ac:dyDescent="0.2">
      <c r="C56" s="133">
        <v>23.7</v>
      </c>
      <c r="D56" s="5"/>
      <c r="E56" s="5"/>
      <c r="F56" s="5"/>
      <c r="G56" s="5"/>
      <c r="H56" s="5"/>
      <c r="I56" s="5"/>
      <c r="J56" s="5"/>
      <c r="K56" s="5"/>
      <c r="L56" s="137">
        <v>0</v>
      </c>
      <c r="M56" s="138">
        <v>0</v>
      </c>
      <c r="N56" s="139">
        <v>2.5125628140703518E-3</v>
      </c>
    </row>
    <row r="57" spans="3:14" ht="15" customHeight="1" x14ac:dyDescent="0.2">
      <c r="C57" s="133">
        <v>23.8</v>
      </c>
      <c r="D57" s="5"/>
      <c r="E57" s="5"/>
      <c r="F57" s="5"/>
      <c r="G57" s="5"/>
      <c r="H57" s="5"/>
      <c r="I57" s="5"/>
      <c r="J57" s="5"/>
      <c r="K57" s="5"/>
      <c r="L57" s="137">
        <v>0</v>
      </c>
      <c r="M57" s="138">
        <v>0</v>
      </c>
      <c r="N57" s="139">
        <v>2.5125628140703518E-3</v>
      </c>
    </row>
    <row r="58" spans="3:14" ht="15" customHeight="1" x14ac:dyDescent="0.2">
      <c r="C58" s="133">
        <v>23.9</v>
      </c>
      <c r="D58" s="5"/>
      <c r="E58" s="5"/>
      <c r="F58" s="5"/>
      <c r="G58" s="5"/>
      <c r="H58" s="5"/>
      <c r="I58" s="5"/>
      <c r="J58" s="5"/>
      <c r="K58" s="5"/>
      <c r="L58" s="137">
        <v>0</v>
      </c>
      <c r="M58" s="138">
        <v>0</v>
      </c>
      <c r="N58" s="139">
        <v>5.0251256281407036E-3</v>
      </c>
    </row>
    <row r="59" spans="3:14" ht="15" customHeight="1" x14ac:dyDescent="0.2">
      <c r="C59" s="133">
        <v>24</v>
      </c>
      <c r="D59" s="5"/>
      <c r="E59" s="5"/>
      <c r="F59" s="5"/>
      <c r="G59" s="5"/>
      <c r="H59" s="5"/>
      <c r="I59" s="5"/>
      <c r="J59" s="5"/>
      <c r="K59" s="5"/>
      <c r="L59" s="137">
        <v>0</v>
      </c>
      <c r="M59" s="138">
        <v>0</v>
      </c>
      <c r="N59" s="139">
        <v>2.7638190954773871E-2</v>
      </c>
    </row>
    <row r="60" spans="3:14" ht="15" customHeight="1" x14ac:dyDescent="0.2">
      <c r="C60" s="133">
        <v>24.2</v>
      </c>
      <c r="D60" s="5"/>
      <c r="E60" s="5"/>
      <c r="F60" s="5"/>
      <c r="G60" s="5"/>
      <c r="H60" s="5"/>
      <c r="I60" s="5"/>
      <c r="J60" s="5"/>
      <c r="K60" s="5"/>
      <c r="L60" s="137">
        <v>0</v>
      </c>
      <c r="M60" s="138">
        <v>0</v>
      </c>
      <c r="N60" s="139">
        <v>2.5125628140703518E-3</v>
      </c>
    </row>
    <row r="61" spans="3:14" ht="15" customHeight="1" x14ac:dyDescent="0.2">
      <c r="C61" s="133">
        <v>24.3</v>
      </c>
      <c r="D61" s="5"/>
      <c r="E61" s="5"/>
      <c r="F61" s="5"/>
      <c r="G61" s="5"/>
      <c r="H61" s="5"/>
      <c r="I61" s="5"/>
      <c r="J61" s="5"/>
      <c r="K61" s="5"/>
      <c r="L61" s="137">
        <v>0</v>
      </c>
      <c r="M61" s="138">
        <v>0</v>
      </c>
      <c r="N61" s="139">
        <v>2.5125628140703518E-3</v>
      </c>
    </row>
    <row r="62" spans="3:14" ht="15" customHeight="1" x14ac:dyDescent="0.2">
      <c r="C62" s="133">
        <v>24.5</v>
      </c>
      <c r="D62" s="5"/>
      <c r="E62" s="5"/>
      <c r="F62" s="5"/>
      <c r="G62" s="5"/>
      <c r="H62" s="5"/>
      <c r="I62" s="5"/>
      <c r="J62" s="5"/>
      <c r="K62" s="5"/>
      <c r="L62" s="137">
        <v>0</v>
      </c>
      <c r="M62" s="138">
        <v>0</v>
      </c>
      <c r="N62" s="139">
        <v>5.0251256281407036E-3</v>
      </c>
    </row>
    <row r="63" spans="3:14" ht="15" customHeight="1" x14ac:dyDescent="0.2">
      <c r="C63" s="133">
        <v>25</v>
      </c>
      <c r="D63" s="5"/>
      <c r="E63" s="5"/>
      <c r="F63" s="5"/>
      <c r="G63" s="5"/>
      <c r="H63" s="5"/>
      <c r="I63" s="5"/>
      <c r="J63" s="5"/>
      <c r="K63" s="5"/>
      <c r="L63" s="137">
        <v>9.0909090909090912E-2</v>
      </c>
      <c r="M63" s="138">
        <v>0.16666666666666666</v>
      </c>
      <c r="N63" s="139">
        <v>2.7638190954773871E-2</v>
      </c>
    </row>
    <row r="64" spans="3:14" ht="15" customHeight="1" x14ac:dyDescent="0.2">
      <c r="C64" s="133">
        <v>25.1</v>
      </c>
      <c r="D64" s="5"/>
      <c r="E64" s="5"/>
      <c r="F64" s="5"/>
      <c r="G64" s="5"/>
      <c r="H64" s="5"/>
      <c r="I64" s="5"/>
      <c r="J64" s="5"/>
      <c r="K64" s="5"/>
      <c r="L64" s="137">
        <v>0</v>
      </c>
      <c r="M64" s="138">
        <v>0</v>
      </c>
      <c r="N64" s="139">
        <v>2.5125628140703518E-3</v>
      </c>
    </row>
    <row r="65" spans="3:14" ht="15" customHeight="1" x14ac:dyDescent="0.2">
      <c r="C65" s="133">
        <v>25.4</v>
      </c>
      <c r="D65" s="5"/>
      <c r="E65" s="5"/>
      <c r="F65" s="5"/>
      <c r="G65" s="5"/>
      <c r="H65" s="5"/>
      <c r="I65" s="5"/>
      <c r="J65" s="5"/>
      <c r="K65" s="5"/>
      <c r="L65" s="137">
        <v>0</v>
      </c>
      <c r="M65" s="138">
        <v>0</v>
      </c>
      <c r="N65" s="139">
        <v>5.0251256281407036E-3</v>
      </c>
    </row>
    <row r="66" spans="3:14" ht="15" customHeight="1" x14ac:dyDescent="0.2">
      <c r="C66" s="133">
        <v>25.5</v>
      </c>
      <c r="D66" s="5"/>
      <c r="E66" s="5"/>
      <c r="F66" s="5"/>
      <c r="G66" s="5"/>
      <c r="H66" s="5"/>
      <c r="I66" s="5"/>
      <c r="J66" s="5"/>
      <c r="K66" s="5"/>
      <c r="L66" s="137">
        <v>0</v>
      </c>
      <c r="M66" s="138">
        <v>0</v>
      </c>
      <c r="N66" s="139">
        <v>5.0251256281407036E-3</v>
      </c>
    </row>
    <row r="67" spans="3:14" ht="15" customHeight="1" x14ac:dyDescent="0.2">
      <c r="C67" s="133">
        <v>25.8</v>
      </c>
      <c r="D67" s="5"/>
      <c r="E67" s="5"/>
      <c r="F67" s="5"/>
      <c r="G67" s="5"/>
      <c r="H67" s="5"/>
      <c r="I67" s="5"/>
      <c r="J67" s="5"/>
      <c r="K67" s="5"/>
      <c r="L67" s="137">
        <v>0</v>
      </c>
      <c r="M67" s="138">
        <v>0</v>
      </c>
      <c r="N67" s="139">
        <v>2.5125628140703518E-3</v>
      </c>
    </row>
    <row r="68" spans="3:14" ht="15" customHeight="1" x14ac:dyDescent="0.2">
      <c r="C68" s="133">
        <v>26</v>
      </c>
      <c r="D68" s="5"/>
      <c r="E68" s="5"/>
      <c r="F68" s="5"/>
      <c r="G68" s="5"/>
      <c r="H68" s="5"/>
      <c r="I68" s="5"/>
      <c r="J68" s="5"/>
      <c r="K68" s="5"/>
      <c r="L68" s="137">
        <v>0</v>
      </c>
      <c r="M68" s="138">
        <v>0</v>
      </c>
      <c r="N68" s="139">
        <v>3.5175879396984924E-2</v>
      </c>
    </row>
    <row r="69" spans="3:14" ht="15" customHeight="1" x14ac:dyDescent="0.2">
      <c r="C69" s="133">
        <v>26.4</v>
      </c>
      <c r="D69" s="5"/>
      <c r="E69" s="5"/>
      <c r="F69" s="5"/>
      <c r="G69" s="5"/>
      <c r="H69" s="5"/>
      <c r="I69" s="5"/>
      <c r="J69" s="5"/>
      <c r="K69" s="5"/>
      <c r="L69" s="137">
        <v>0</v>
      </c>
      <c r="M69" s="138">
        <v>0</v>
      </c>
      <c r="N69" s="139">
        <v>2.5125628140703518E-3</v>
      </c>
    </row>
    <row r="70" spans="3:14" ht="15" customHeight="1" x14ac:dyDescent="0.2">
      <c r="C70" s="133">
        <v>26.5</v>
      </c>
      <c r="D70" s="5"/>
      <c r="E70" s="5"/>
      <c r="F70" s="5"/>
      <c r="G70" s="5"/>
      <c r="H70" s="5"/>
      <c r="I70" s="5"/>
      <c r="J70" s="5"/>
      <c r="K70" s="5"/>
      <c r="L70" s="137">
        <v>0</v>
      </c>
      <c r="M70" s="138">
        <v>0</v>
      </c>
      <c r="N70" s="139">
        <v>2.5125628140703518E-3</v>
      </c>
    </row>
    <row r="71" spans="3:14" ht="15" customHeight="1" x14ac:dyDescent="0.2">
      <c r="C71" s="133">
        <v>26.6</v>
      </c>
      <c r="D71" s="5"/>
      <c r="E71" s="5"/>
      <c r="F71" s="5"/>
      <c r="G71" s="5"/>
      <c r="H71" s="5"/>
      <c r="I71" s="5"/>
      <c r="J71" s="5"/>
      <c r="K71" s="5"/>
      <c r="L71" s="137">
        <v>0</v>
      </c>
      <c r="M71" s="138">
        <v>0</v>
      </c>
      <c r="N71" s="139">
        <v>5.0251256281407036E-3</v>
      </c>
    </row>
    <row r="72" spans="3:14" ht="15" customHeight="1" x14ac:dyDescent="0.2">
      <c r="C72" s="133">
        <v>26.8</v>
      </c>
      <c r="D72" s="5"/>
      <c r="E72" s="5"/>
      <c r="F72" s="5"/>
      <c r="G72" s="5"/>
      <c r="H72" s="5"/>
      <c r="I72" s="5"/>
      <c r="J72" s="5"/>
      <c r="K72" s="5"/>
      <c r="L72" s="137">
        <v>0</v>
      </c>
      <c r="M72" s="138">
        <v>0</v>
      </c>
      <c r="N72" s="139">
        <v>2.5125628140703518E-3</v>
      </c>
    </row>
    <row r="73" spans="3:14" ht="15" customHeight="1" x14ac:dyDescent="0.2">
      <c r="C73" s="133">
        <v>27</v>
      </c>
      <c r="D73" s="5"/>
      <c r="E73" s="5"/>
      <c r="F73" s="5"/>
      <c r="G73" s="5"/>
      <c r="H73" s="5"/>
      <c r="I73" s="5"/>
      <c r="J73" s="5"/>
      <c r="K73" s="5"/>
      <c r="L73" s="137">
        <v>0</v>
      </c>
      <c r="M73" s="138">
        <v>0</v>
      </c>
      <c r="N73" s="139">
        <v>2.2613065326633167E-2</v>
      </c>
    </row>
    <row r="74" spans="3:14" ht="15" customHeight="1" x14ac:dyDescent="0.2">
      <c r="C74" s="133">
        <v>27.2</v>
      </c>
      <c r="D74" s="5"/>
      <c r="E74" s="5"/>
      <c r="F74" s="5"/>
      <c r="G74" s="5"/>
      <c r="H74" s="5"/>
      <c r="I74" s="5"/>
      <c r="J74" s="5"/>
      <c r="K74" s="5"/>
      <c r="L74" s="137">
        <v>0</v>
      </c>
      <c r="M74" s="138">
        <v>0</v>
      </c>
      <c r="N74" s="139">
        <v>7.537688442211055E-3</v>
      </c>
    </row>
    <row r="75" spans="3:14" ht="15" customHeight="1" x14ac:dyDescent="0.2">
      <c r="C75" s="133">
        <v>27.4</v>
      </c>
      <c r="D75" s="5"/>
      <c r="E75" s="5"/>
      <c r="F75" s="5"/>
      <c r="G75" s="5"/>
      <c r="H75" s="5"/>
      <c r="I75" s="5"/>
      <c r="J75" s="5"/>
      <c r="K75" s="5"/>
      <c r="L75" s="137">
        <v>0</v>
      </c>
      <c r="M75" s="138">
        <v>0</v>
      </c>
      <c r="N75" s="139">
        <v>2.5125628140703518E-3</v>
      </c>
    </row>
    <row r="76" spans="3:14" ht="15" customHeight="1" x14ac:dyDescent="0.2">
      <c r="C76" s="133">
        <v>27.5</v>
      </c>
      <c r="D76" s="5"/>
      <c r="E76" s="5"/>
      <c r="F76" s="5"/>
      <c r="G76" s="5"/>
      <c r="H76" s="5"/>
      <c r="I76" s="5"/>
      <c r="J76" s="5"/>
      <c r="K76" s="5"/>
      <c r="L76" s="137">
        <v>0</v>
      </c>
      <c r="M76" s="138">
        <v>0</v>
      </c>
      <c r="N76" s="139">
        <v>2.5125628140703518E-3</v>
      </c>
    </row>
    <row r="77" spans="3:14" ht="15" customHeight="1" x14ac:dyDescent="0.2">
      <c r="C77" s="133">
        <v>27.9</v>
      </c>
      <c r="D77" s="5"/>
      <c r="E77" s="5"/>
      <c r="F77" s="5"/>
      <c r="G77" s="5"/>
      <c r="H77" s="5"/>
      <c r="I77" s="5"/>
      <c r="J77" s="5"/>
      <c r="K77" s="5"/>
      <c r="L77" s="137">
        <v>0</v>
      </c>
      <c r="M77" s="138">
        <v>0</v>
      </c>
      <c r="N77" s="139">
        <v>2.5125628140703518E-3</v>
      </c>
    </row>
    <row r="78" spans="3:14" ht="15" customHeight="1" x14ac:dyDescent="0.2">
      <c r="C78" s="133">
        <v>28</v>
      </c>
      <c r="D78" s="5"/>
      <c r="E78" s="5"/>
      <c r="F78" s="5"/>
      <c r="G78" s="5"/>
      <c r="H78" s="5"/>
      <c r="I78" s="5"/>
      <c r="J78" s="5"/>
      <c r="K78" s="5"/>
      <c r="L78" s="137">
        <v>0</v>
      </c>
      <c r="M78" s="138">
        <v>0</v>
      </c>
      <c r="N78" s="139">
        <v>2.5125628140703519E-2</v>
      </c>
    </row>
    <row r="79" spans="3:14" ht="15" customHeight="1" x14ac:dyDescent="0.2">
      <c r="C79" s="133">
        <v>28.1</v>
      </c>
      <c r="D79" s="5"/>
      <c r="E79" s="5"/>
      <c r="F79" s="5"/>
      <c r="G79" s="5"/>
      <c r="H79" s="5"/>
      <c r="I79" s="5"/>
      <c r="J79" s="5"/>
      <c r="K79" s="5"/>
      <c r="L79" s="137">
        <v>0</v>
      </c>
      <c r="M79" s="138">
        <v>0</v>
      </c>
      <c r="N79" s="139">
        <v>2.5125628140703518E-3</v>
      </c>
    </row>
    <row r="80" spans="3:14" ht="15" customHeight="1" x14ac:dyDescent="0.2">
      <c r="C80" s="133">
        <v>28.4</v>
      </c>
      <c r="D80" s="5"/>
      <c r="E80" s="5"/>
      <c r="F80" s="5"/>
      <c r="G80" s="5"/>
      <c r="H80" s="5"/>
      <c r="I80" s="5"/>
      <c r="J80" s="5"/>
      <c r="K80" s="5"/>
      <c r="L80" s="137">
        <v>0</v>
      </c>
      <c r="M80" s="138">
        <v>0</v>
      </c>
      <c r="N80" s="139">
        <v>2.5125628140703518E-3</v>
      </c>
    </row>
    <row r="81" spans="3:14" ht="15" customHeight="1" x14ac:dyDescent="0.2">
      <c r="C81" s="133">
        <v>28.8</v>
      </c>
      <c r="D81" s="5"/>
      <c r="E81" s="5"/>
      <c r="F81" s="5"/>
      <c r="G81" s="5"/>
      <c r="H81" s="5"/>
      <c r="I81" s="5"/>
      <c r="J81" s="5"/>
      <c r="K81" s="5"/>
      <c r="L81" s="137">
        <v>0</v>
      </c>
      <c r="M81" s="138">
        <v>0</v>
      </c>
      <c r="N81" s="139">
        <v>2.5125628140703518E-3</v>
      </c>
    </row>
    <row r="82" spans="3:14" ht="15" customHeight="1" x14ac:dyDescent="0.2">
      <c r="C82" s="133">
        <v>29</v>
      </c>
      <c r="D82" s="5"/>
      <c r="E82" s="5"/>
      <c r="F82" s="5"/>
      <c r="G82" s="5"/>
      <c r="H82" s="5"/>
      <c r="I82" s="5"/>
      <c r="J82" s="5"/>
      <c r="K82" s="5"/>
      <c r="L82" s="137">
        <v>0</v>
      </c>
      <c r="M82" s="138">
        <v>0</v>
      </c>
      <c r="N82" s="139">
        <v>2.0100502512562814E-2</v>
      </c>
    </row>
    <row r="83" spans="3:14" ht="15" customHeight="1" x14ac:dyDescent="0.2">
      <c r="C83" s="133">
        <v>29.5</v>
      </c>
      <c r="D83" s="5"/>
      <c r="E83" s="5"/>
      <c r="F83" s="5"/>
      <c r="G83" s="5"/>
      <c r="H83" s="5"/>
      <c r="I83" s="5"/>
      <c r="J83" s="5"/>
      <c r="K83" s="5"/>
      <c r="L83" s="137">
        <v>0</v>
      </c>
      <c r="M83" s="138">
        <v>0</v>
      </c>
      <c r="N83" s="139">
        <v>5.0251256281407036E-3</v>
      </c>
    </row>
    <row r="84" spans="3:14" ht="15" customHeight="1" x14ac:dyDescent="0.2">
      <c r="C84" s="133">
        <v>29.8</v>
      </c>
      <c r="D84" s="5"/>
      <c r="E84" s="5"/>
      <c r="F84" s="5"/>
      <c r="G84" s="5"/>
      <c r="H84" s="5"/>
      <c r="I84" s="5"/>
      <c r="J84" s="5"/>
      <c r="K84" s="5"/>
      <c r="L84" s="137">
        <v>0</v>
      </c>
      <c r="M84" s="138">
        <v>0</v>
      </c>
      <c r="N84" s="139">
        <v>5.0251256281407036E-3</v>
      </c>
    </row>
    <row r="85" spans="3:14" ht="15" customHeight="1" x14ac:dyDescent="0.2">
      <c r="C85" s="133">
        <v>29.9</v>
      </c>
      <c r="D85" s="5"/>
      <c r="E85" s="5"/>
      <c r="F85" s="5"/>
      <c r="G85" s="5"/>
      <c r="H85" s="5"/>
      <c r="I85" s="5"/>
      <c r="J85" s="5"/>
      <c r="K85" s="5"/>
      <c r="L85" s="137">
        <v>0</v>
      </c>
      <c r="M85" s="138">
        <v>0</v>
      </c>
      <c r="N85" s="139">
        <v>2.5125628140703518E-3</v>
      </c>
    </row>
    <row r="86" spans="3:14" ht="15" customHeight="1" x14ac:dyDescent="0.2">
      <c r="C86" s="133">
        <v>30</v>
      </c>
      <c r="D86" s="5"/>
      <c r="E86" s="5"/>
      <c r="F86" s="5"/>
      <c r="G86" s="5"/>
      <c r="H86" s="5"/>
      <c r="I86" s="5"/>
      <c r="J86" s="5"/>
      <c r="K86" s="5"/>
      <c r="L86" s="137">
        <v>0</v>
      </c>
      <c r="M86" s="138">
        <v>0</v>
      </c>
      <c r="N86" s="139">
        <v>1.7587939698492462E-2</v>
      </c>
    </row>
    <row r="87" spans="3:14" ht="15" customHeight="1" x14ac:dyDescent="0.2">
      <c r="C87" s="133">
        <v>30.5</v>
      </c>
      <c r="D87" s="5"/>
      <c r="E87" s="5"/>
      <c r="F87" s="5"/>
      <c r="G87" s="5"/>
      <c r="H87" s="5"/>
      <c r="I87" s="5"/>
      <c r="J87" s="5"/>
      <c r="K87" s="5"/>
      <c r="L87" s="137">
        <v>0</v>
      </c>
      <c r="M87" s="138">
        <v>0</v>
      </c>
      <c r="N87" s="139">
        <v>5.0251256281407036E-3</v>
      </c>
    </row>
    <row r="88" spans="3:14" ht="15" customHeight="1" x14ac:dyDescent="0.2">
      <c r="C88" s="133">
        <v>30.7</v>
      </c>
      <c r="D88" s="5"/>
      <c r="E88" s="5"/>
      <c r="F88" s="5"/>
      <c r="G88" s="5"/>
      <c r="H88" s="5"/>
      <c r="I88" s="5"/>
      <c r="J88" s="5"/>
      <c r="K88" s="5"/>
      <c r="L88" s="137">
        <v>0</v>
      </c>
      <c r="M88" s="138">
        <v>0</v>
      </c>
      <c r="N88" s="139">
        <v>2.5125628140703518E-3</v>
      </c>
    </row>
    <row r="89" spans="3:14" ht="15" customHeight="1" x14ac:dyDescent="0.2">
      <c r="C89" s="133">
        <v>30.9</v>
      </c>
      <c r="D89" s="5"/>
      <c r="E89" s="5"/>
      <c r="F89" s="5"/>
      <c r="G89" s="5"/>
      <c r="H89" s="5"/>
      <c r="I89" s="5"/>
      <c r="J89" s="5"/>
      <c r="K89" s="5"/>
      <c r="L89" s="137">
        <v>0</v>
      </c>
      <c r="M89" s="138">
        <v>0</v>
      </c>
      <c r="N89" s="139">
        <v>2.5125628140703518E-3</v>
      </c>
    </row>
    <row r="90" spans="3:14" ht="15" customHeight="1" x14ac:dyDescent="0.2">
      <c r="C90" s="133">
        <v>31</v>
      </c>
      <c r="D90" s="5"/>
      <c r="E90" s="5"/>
      <c r="F90" s="5"/>
      <c r="G90" s="5"/>
      <c r="H90" s="5"/>
      <c r="I90" s="5"/>
      <c r="J90" s="5"/>
      <c r="K90" s="5"/>
      <c r="L90" s="137">
        <v>0</v>
      </c>
      <c r="M90" s="138">
        <v>0</v>
      </c>
      <c r="N90" s="139">
        <v>1.7587939698492462E-2</v>
      </c>
    </row>
    <row r="91" spans="3:14" ht="15" customHeight="1" x14ac:dyDescent="0.2">
      <c r="C91" s="133">
        <v>31.3</v>
      </c>
      <c r="D91" s="5"/>
      <c r="E91" s="5"/>
      <c r="F91" s="5"/>
      <c r="G91" s="5"/>
      <c r="H91" s="5"/>
      <c r="I91" s="5"/>
      <c r="J91" s="5"/>
      <c r="K91" s="5"/>
      <c r="L91" s="137">
        <v>0</v>
      </c>
      <c r="M91" s="138">
        <v>0</v>
      </c>
      <c r="N91" s="139">
        <v>2.5125628140703518E-3</v>
      </c>
    </row>
    <row r="92" spans="3:14" ht="15" customHeight="1" x14ac:dyDescent="0.2">
      <c r="C92" s="133">
        <v>31.5</v>
      </c>
      <c r="D92" s="5"/>
      <c r="E92" s="5"/>
      <c r="F92" s="5"/>
      <c r="G92" s="5"/>
      <c r="H92" s="5"/>
      <c r="I92" s="5"/>
      <c r="J92" s="5"/>
      <c r="K92" s="5"/>
      <c r="L92" s="137">
        <v>0</v>
      </c>
      <c r="M92" s="138">
        <v>0</v>
      </c>
      <c r="N92" s="139">
        <v>5.0251256281407036E-3</v>
      </c>
    </row>
    <row r="93" spans="3:14" ht="15" customHeight="1" x14ac:dyDescent="0.2">
      <c r="C93" s="133">
        <v>31.6</v>
      </c>
      <c r="D93" s="5"/>
      <c r="E93" s="5"/>
      <c r="F93" s="5"/>
      <c r="G93" s="5"/>
      <c r="H93" s="5"/>
      <c r="I93" s="5"/>
      <c r="J93" s="5"/>
      <c r="K93" s="5"/>
      <c r="L93" s="137">
        <v>0</v>
      </c>
      <c r="M93" s="138">
        <v>0</v>
      </c>
      <c r="N93" s="139">
        <v>2.5125628140703518E-3</v>
      </c>
    </row>
    <row r="94" spans="3:14" ht="15" customHeight="1" x14ac:dyDescent="0.2">
      <c r="C94" s="133">
        <v>31.8</v>
      </c>
      <c r="D94" s="5"/>
      <c r="E94" s="5"/>
      <c r="F94" s="5"/>
      <c r="G94" s="5"/>
      <c r="H94" s="5"/>
      <c r="I94" s="5"/>
      <c r="J94" s="5"/>
      <c r="K94" s="5"/>
      <c r="L94" s="137">
        <v>0</v>
      </c>
      <c r="M94" s="138">
        <v>0</v>
      </c>
      <c r="N94" s="139">
        <v>2.5125628140703518E-3</v>
      </c>
    </row>
    <row r="95" spans="3:14" ht="15" customHeight="1" x14ac:dyDescent="0.2">
      <c r="C95" s="133">
        <v>31.9</v>
      </c>
      <c r="D95" s="5"/>
      <c r="E95" s="5"/>
      <c r="F95" s="5"/>
      <c r="G95" s="5"/>
      <c r="H95" s="5"/>
      <c r="I95" s="5"/>
      <c r="J95" s="5"/>
      <c r="K95" s="5"/>
      <c r="L95" s="137">
        <v>0</v>
      </c>
      <c r="M95" s="138">
        <v>0</v>
      </c>
      <c r="N95" s="139">
        <v>2.5125628140703518E-3</v>
      </c>
    </row>
    <row r="96" spans="3:14" ht="15" customHeight="1" x14ac:dyDescent="0.2">
      <c r="C96" s="133">
        <v>32</v>
      </c>
      <c r="D96" s="5"/>
      <c r="E96" s="5"/>
      <c r="F96" s="5"/>
      <c r="G96" s="5"/>
      <c r="H96" s="5"/>
      <c r="I96" s="5"/>
      <c r="J96" s="5"/>
      <c r="K96" s="5"/>
      <c r="L96" s="137">
        <v>0</v>
      </c>
      <c r="M96" s="138">
        <v>0</v>
      </c>
      <c r="N96" s="139">
        <v>1.507537688442211E-2</v>
      </c>
    </row>
    <row r="97" spans="3:14" ht="15" customHeight="1" x14ac:dyDescent="0.2">
      <c r="C97" s="133">
        <v>32.1</v>
      </c>
      <c r="D97" s="5"/>
      <c r="E97" s="5"/>
      <c r="F97" s="5"/>
      <c r="G97" s="5"/>
      <c r="H97" s="5"/>
      <c r="I97" s="5"/>
      <c r="J97" s="5"/>
      <c r="K97" s="5"/>
      <c r="L97" s="137">
        <v>0</v>
      </c>
      <c r="M97" s="138">
        <v>0</v>
      </c>
      <c r="N97" s="139">
        <v>2.5125628140703518E-3</v>
      </c>
    </row>
    <row r="98" spans="3:14" ht="15" customHeight="1" x14ac:dyDescent="0.2">
      <c r="C98" s="133">
        <v>32.200000000000003</v>
      </c>
      <c r="D98" s="5"/>
      <c r="E98" s="5"/>
      <c r="F98" s="5"/>
      <c r="G98" s="5"/>
      <c r="H98" s="5"/>
      <c r="I98" s="5"/>
      <c r="J98" s="5"/>
      <c r="K98" s="5"/>
      <c r="L98" s="137">
        <v>0</v>
      </c>
      <c r="M98" s="138">
        <v>0</v>
      </c>
      <c r="N98" s="139">
        <v>2.5125628140703518E-3</v>
      </c>
    </row>
    <row r="99" spans="3:14" ht="15" customHeight="1" x14ac:dyDescent="0.2">
      <c r="C99" s="133">
        <v>32.299999999999997</v>
      </c>
      <c r="D99" s="5"/>
      <c r="E99" s="5"/>
      <c r="F99" s="5"/>
      <c r="G99" s="5"/>
      <c r="H99" s="5"/>
      <c r="I99" s="5"/>
      <c r="J99" s="5"/>
      <c r="K99" s="5"/>
      <c r="L99" s="137">
        <v>0</v>
      </c>
      <c r="M99" s="138">
        <v>0</v>
      </c>
      <c r="N99" s="139">
        <v>2.5125628140703518E-3</v>
      </c>
    </row>
    <row r="100" spans="3:14" ht="15" customHeight="1" x14ac:dyDescent="0.2">
      <c r="C100" s="133">
        <v>32.4</v>
      </c>
      <c r="D100" s="5"/>
      <c r="E100" s="5"/>
      <c r="F100" s="5"/>
      <c r="G100" s="5"/>
      <c r="H100" s="5"/>
      <c r="I100" s="5"/>
      <c r="J100" s="5"/>
      <c r="K100" s="5"/>
      <c r="L100" s="137">
        <v>0</v>
      </c>
      <c r="M100" s="138">
        <v>0</v>
      </c>
      <c r="N100" s="139">
        <v>5.0251256281407036E-3</v>
      </c>
    </row>
    <row r="101" spans="3:14" ht="15" customHeight="1" x14ac:dyDescent="0.2">
      <c r="C101" s="133">
        <v>32.700000000000003</v>
      </c>
      <c r="D101" s="5"/>
      <c r="E101" s="5"/>
      <c r="F101" s="5"/>
      <c r="G101" s="5"/>
      <c r="H101" s="5"/>
      <c r="I101" s="5"/>
      <c r="J101" s="5"/>
      <c r="K101" s="5"/>
      <c r="L101" s="137">
        <v>0</v>
      </c>
      <c r="M101" s="138">
        <v>0</v>
      </c>
      <c r="N101" s="139">
        <v>2.5125628140703518E-3</v>
      </c>
    </row>
    <row r="102" spans="3:14" ht="15" customHeight="1" x14ac:dyDescent="0.2">
      <c r="C102" s="133">
        <v>32.799999999999997</v>
      </c>
      <c r="D102" s="5"/>
      <c r="E102" s="5"/>
      <c r="F102" s="5"/>
      <c r="G102" s="5"/>
      <c r="H102" s="5"/>
      <c r="I102" s="5"/>
      <c r="J102" s="5"/>
      <c r="K102" s="5"/>
      <c r="L102" s="137">
        <v>0</v>
      </c>
      <c r="M102" s="138">
        <v>0</v>
      </c>
      <c r="N102" s="139">
        <v>2.5125628140703518E-3</v>
      </c>
    </row>
    <row r="103" spans="3:14" ht="15" customHeight="1" x14ac:dyDescent="0.2">
      <c r="C103" s="133">
        <v>32.9</v>
      </c>
      <c r="D103" s="5"/>
      <c r="E103" s="5"/>
      <c r="F103" s="5"/>
      <c r="G103" s="5"/>
      <c r="H103" s="5"/>
      <c r="I103" s="5"/>
      <c r="J103" s="5"/>
      <c r="K103" s="5"/>
      <c r="L103" s="137">
        <v>0</v>
      </c>
      <c r="M103" s="138">
        <v>0</v>
      </c>
      <c r="N103" s="139">
        <v>2.5125628140703518E-3</v>
      </c>
    </row>
    <row r="104" spans="3:14" ht="15" customHeight="1" x14ac:dyDescent="0.2">
      <c r="C104" s="133">
        <v>33</v>
      </c>
      <c r="D104" s="5"/>
      <c r="E104" s="5"/>
      <c r="F104" s="5"/>
      <c r="G104" s="5"/>
      <c r="H104" s="5"/>
      <c r="I104" s="5"/>
      <c r="J104" s="5"/>
      <c r="K104" s="5"/>
      <c r="L104" s="137">
        <v>0</v>
      </c>
      <c r="M104" s="138">
        <v>0</v>
      </c>
      <c r="N104" s="139">
        <v>7.537688442211055E-3</v>
      </c>
    </row>
    <row r="105" spans="3:14" ht="15" customHeight="1" x14ac:dyDescent="0.2">
      <c r="C105" s="133">
        <v>33.5</v>
      </c>
      <c r="D105" s="5"/>
      <c r="E105" s="5"/>
      <c r="F105" s="5"/>
      <c r="G105" s="5"/>
      <c r="H105" s="5"/>
      <c r="I105" s="5"/>
      <c r="J105" s="5"/>
      <c r="K105" s="5"/>
      <c r="L105" s="137">
        <v>0</v>
      </c>
      <c r="M105" s="138">
        <v>0</v>
      </c>
      <c r="N105" s="139">
        <v>7.537688442211055E-3</v>
      </c>
    </row>
    <row r="106" spans="3:14" ht="15" customHeight="1" x14ac:dyDescent="0.2">
      <c r="C106" s="133">
        <v>33.700000000000003</v>
      </c>
      <c r="D106" s="5"/>
      <c r="E106" s="5"/>
      <c r="F106" s="5"/>
      <c r="G106" s="5"/>
      <c r="H106" s="5"/>
      <c r="I106" s="5"/>
      <c r="J106" s="5"/>
      <c r="K106" s="5"/>
      <c r="L106" s="137">
        <v>0</v>
      </c>
      <c r="M106" s="138">
        <v>0</v>
      </c>
      <c r="N106" s="139">
        <v>2.5125628140703518E-3</v>
      </c>
    </row>
    <row r="107" spans="3:14" ht="15" customHeight="1" x14ac:dyDescent="0.2">
      <c r="C107" s="133">
        <v>33.799999999999997</v>
      </c>
      <c r="D107" s="5"/>
      <c r="E107" s="5"/>
      <c r="F107" s="5"/>
      <c r="G107" s="5"/>
      <c r="H107" s="5"/>
      <c r="I107" s="5"/>
      <c r="J107" s="5"/>
      <c r="K107" s="5"/>
      <c r="L107" s="137">
        <v>0</v>
      </c>
      <c r="M107" s="138">
        <v>0</v>
      </c>
      <c r="N107" s="139">
        <v>2.5125628140703518E-3</v>
      </c>
    </row>
    <row r="108" spans="3:14" ht="15" customHeight="1" x14ac:dyDescent="0.2">
      <c r="C108" s="133">
        <v>34</v>
      </c>
      <c r="D108" s="5"/>
      <c r="E108" s="5"/>
      <c r="F108" s="5"/>
      <c r="G108" s="5"/>
      <c r="H108" s="5"/>
      <c r="I108" s="5"/>
      <c r="J108" s="5"/>
      <c r="K108" s="5"/>
      <c r="L108" s="137">
        <v>0</v>
      </c>
      <c r="M108" s="138">
        <v>0</v>
      </c>
      <c r="N108" s="139">
        <v>5.0251256281407036E-3</v>
      </c>
    </row>
    <row r="109" spans="3:14" ht="15" customHeight="1" x14ac:dyDescent="0.2">
      <c r="C109" s="133">
        <v>34.1</v>
      </c>
      <c r="D109" s="5"/>
      <c r="E109" s="5"/>
      <c r="F109" s="5"/>
      <c r="G109" s="5"/>
      <c r="H109" s="5"/>
      <c r="I109" s="5"/>
      <c r="J109" s="5"/>
      <c r="K109" s="5"/>
      <c r="L109" s="137">
        <v>0</v>
      </c>
      <c r="M109" s="138">
        <v>0</v>
      </c>
      <c r="N109" s="139">
        <v>5.0251256281407036E-3</v>
      </c>
    </row>
    <row r="110" spans="3:14" ht="15" customHeight="1" x14ac:dyDescent="0.2">
      <c r="C110" s="133">
        <v>34.200000000000003</v>
      </c>
      <c r="D110" s="5"/>
      <c r="E110" s="5"/>
      <c r="F110" s="5"/>
      <c r="G110" s="5"/>
      <c r="H110" s="5"/>
      <c r="I110" s="5"/>
      <c r="J110" s="5"/>
      <c r="K110" s="5"/>
      <c r="L110" s="137">
        <v>0</v>
      </c>
      <c r="M110" s="138">
        <v>0</v>
      </c>
      <c r="N110" s="139">
        <v>2.5125628140703518E-3</v>
      </c>
    </row>
    <row r="111" spans="3:14" ht="15" customHeight="1" x14ac:dyDescent="0.2">
      <c r="C111" s="133">
        <v>34.299999999999997</v>
      </c>
      <c r="D111" s="5"/>
      <c r="E111" s="5"/>
      <c r="F111" s="5"/>
      <c r="G111" s="5"/>
      <c r="H111" s="5"/>
      <c r="I111" s="5"/>
      <c r="J111" s="5"/>
      <c r="K111" s="5"/>
      <c r="L111" s="137">
        <v>0</v>
      </c>
      <c r="M111" s="138">
        <v>0</v>
      </c>
      <c r="N111" s="139">
        <v>2.5125628140703518E-3</v>
      </c>
    </row>
    <row r="112" spans="3:14" ht="15" customHeight="1" x14ac:dyDescent="0.2">
      <c r="C112" s="133">
        <v>34.4</v>
      </c>
      <c r="D112" s="5"/>
      <c r="E112" s="5"/>
      <c r="F112" s="5"/>
      <c r="G112" s="5"/>
      <c r="H112" s="5"/>
      <c r="I112" s="5"/>
      <c r="J112" s="5"/>
      <c r="K112" s="5"/>
      <c r="L112" s="137">
        <v>0</v>
      </c>
      <c r="M112" s="138">
        <v>0</v>
      </c>
      <c r="N112" s="139">
        <v>2.5125628140703518E-3</v>
      </c>
    </row>
    <row r="113" spans="3:14" ht="15" customHeight="1" x14ac:dyDescent="0.2">
      <c r="C113" s="133">
        <v>34.5</v>
      </c>
      <c r="D113" s="5"/>
      <c r="E113" s="5"/>
      <c r="F113" s="5"/>
      <c r="G113" s="5"/>
      <c r="H113" s="5"/>
      <c r="I113" s="5"/>
      <c r="J113" s="5"/>
      <c r="K113" s="5"/>
      <c r="L113" s="137">
        <v>0.5</v>
      </c>
      <c r="M113" s="138">
        <v>0.16666666666666666</v>
      </c>
      <c r="N113" s="139">
        <v>5.0251256281407036E-3</v>
      </c>
    </row>
    <row r="114" spans="3:14" ht="15" customHeight="1" x14ac:dyDescent="0.2">
      <c r="C114" s="133">
        <v>34.700000000000003</v>
      </c>
      <c r="D114" s="5"/>
      <c r="E114" s="5"/>
      <c r="F114" s="5"/>
      <c r="G114" s="5"/>
      <c r="H114" s="5"/>
      <c r="I114" s="5"/>
      <c r="J114" s="5"/>
      <c r="K114" s="5"/>
      <c r="L114" s="137">
        <v>0</v>
      </c>
      <c r="M114" s="138">
        <v>0</v>
      </c>
      <c r="N114" s="139">
        <v>2.5125628140703518E-3</v>
      </c>
    </row>
    <row r="115" spans="3:14" ht="15" customHeight="1" x14ac:dyDescent="0.2">
      <c r="C115" s="133">
        <v>35</v>
      </c>
      <c r="D115" s="5"/>
      <c r="E115" s="5"/>
      <c r="F115" s="5"/>
      <c r="G115" s="5"/>
      <c r="H115" s="5"/>
      <c r="I115" s="5"/>
      <c r="J115" s="5"/>
      <c r="K115" s="5"/>
      <c r="L115" s="137">
        <v>0</v>
      </c>
      <c r="M115" s="138">
        <v>0</v>
      </c>
      <c r="N115" s="139">
        <v>5.0251256281407036E-3</v>
      </c>
    </row>
    <row r="116" spans="3:14" ht="15" customHeight="1" x14ac:dyDescent="0.2">
      <c r="C116" s="133">
        <v>35.1</v>
      </c>
      <c r="D116" s="5"/>
      <c r="E116" s="5"/>
      <c r="F116" s="5"/>
      <c r="G116" s="5"/>
      <c r="H116" s="5"/>
      <c r="I116" s="5"/>
      <c r="J116" s="5"/>
      <c r="K116" s="5"/>
      <c r="L116" s="137">
        <v>0</v>
      </c>
      <c r="M116" s="138">
        <v>0</v>
      </c>
      <c r="N116" s="139">
        <v>2.5125628140703518E-3</v>
      </c>
    </row>
    <row r="117" spans="3:14" ht="15" customHeight="1" x14ac:dyDescent="0.2">
      <c r="C117" s="133">
        <v>35.700000000000003</v>
      </c>
      <c r="D117" s="5"/>
      <c r="E117" s="5"/>
      <c r="F117" s="5"/>
      <c r="G117" s="5"/>
      <c r="H117" s="5"/>
      <c r="I117" s="5"/>
      <c r="J117" s="5"/>
      <c r="K117" s="5"/>
      <c r="L117" s="137">
        <v>0</v>
      </c>
      <c r="M117" s="138">
        <v>0</v>
      </c>
      <c r="N117" s="139">
        <v>2.5125628140703518E-3</v>
      </c>
    </row>
    <row r="118" spans="3:14" ht="15" customHeight="1" x14ac:dyDescent="0.2">
      <c r="C118" s="133">
        <v>36</v>
      </c>
      <c r="D118" s="5"/>
      <c r="E118" s="5"/>
      <c r="F118" s="5"/>
      <c r="G118" s="5"/>
      <c r="H118" s="5"/>
      <c r="I118" s="5"/>
      <c r="J118" s="5"/>
      <c r="K118" s="5"/>
      <c r="L118" s="137">
        <v>0</v>
      </c>
      <c r="M118" s="138">
        <v>0</v>
      </c>
      <c r="N118" s="139">
        <v>1.507537688442211E-2</v>
      </c>
    </row>
    <row r="119" spans="3:14" ht="15" customHeight="1" x14ac:dyDescent="0.2">
      <c r="C119" s="133">
        <v>36.1</v>
      </c>
      <c r="D119" s="5"/>
      <c r="E119" s="5"/>
      <c r="F119" s="5"/>
      <c r="G119" s="5"/>
      <c r="H119" s="5"/>
      <c r="I119" s="5"/>
      <c r="J119" s="5"/>
      <c r="K119" s="5"/>
      <c r="L119" s="137">
        <v>0</v>
      </c>
      <c r="M119" s="138">
        <v>0</v>
      </c>
      <c r="N119" s="139">
        <v>5.0251256281407036E-3</v>
      </c>
    </row>
    <row r="120" spans="3:14" ht="15" customHeight="1" x14ac:dyDescent="0.2">
      <c r="C120" s="133">
        <v>36.4</v>
      </c>
      <c r="D120" s="5"/>
      <c r="E120" s="5"/>
      <c r="F120" s="5"/>
      <c r="G120" s="5"/>
      <c r="H120" s="5"/>
      <c r="I120" s="5"/>
      <c r="J120" s="5"/>
      <c r="K120" s="5"/>
      <c r="L120" s="137">
        <v>0</v>
      </c>
      <c r="M120" s="138">
        <v>0</v>
      </c>
      <c r="N120" s="139">
        <v>2.5125628140703518E-3</v>
      </c>
    </row>
    <row r="121" spans="3:14" ht="15" customHeight="1" x14ac:dyDescent="0.2">
      <c r="C121" s="133">
        <v>37</v>
      </c>
      <c r="D121" s="5"/>
      <c r="E121" s="5"/>
      <c r="F121" s="5"/>
      <c r="G121" s="5"/>
      <c r="H121" s="5"/>
      <c r="I121" s="5"/>
      <c r="J121" s="5"/>
      <c r="K121" s="5"/>
      <c r="L121" s="137">
        <v>0</v>
      </c>
      <c r="M121" s="138">
        <v>0</v>
      </c>
      <c r="N121" s="139">
        <v>7.537688442211055E-3</v>
      </c>
    </row>
    <row r="122" spans="3:14" ht="15" customHeight="1" x14ac:dyDescent="0.2">
      <c r="C122" s="133">
        <v>37.200000000000003</v>
      </c>
      <c r="D122" s="5"/>
      <c r="E122" s="5"/>
      <c r="F122" s="5"/>
      <c r="G122" s="5"/>
      <c r="H122" s="5"/>
      <c r="I122" s="5"/>
      <c r="J122" s="5"/>
      <c r="K122" s="5"/>
      <c r="L122" s="137">
        <v>0</v>
      </c>
      <c r="M122" s="138">
        <v>0</v>
      </c>
      <c r="N122" s="139">
        <v>2.5125628140703518E-3</v>
      </c>
    </row>
    <row r="123" spans="3:14" ht="15" customHeight="1" x14ac:dyDescent="0.2">
      <c r="C123" s="133">
        <v>37.299999999999997</v>
      </c>
      <c r="D123" s="5"/>
      <c r="E123" s="5"/>
      <c r="F123" s="5"/>
      <c r="G123" s="5"/>
      <c r="H123" s="5"/>
      <c r="I123" s="5"/>
      <c r="J123" s="5"/>
      <c r="K123" s="5"/>
      <c r="L123" s="137">
        <v>0</v>
      </c>
      <c r="M123" s="138">
        <v>0</v>
      </c>
      <c r="N123" s="139">
        <v>2.5125628140703518E-3</v>
      </c>
    </row>
    <row r="124" spans="3:14" ht="15" customHeight="1" x14ac:dyDescent="0.2">
      <c r="C124" s="133">
        <v>37.700000000000003</v>
      </c>
      <c r="D124" s="5"/>
      <c r="E124" s="5"/>
      <c r="F124" s="5"/>
      <c r="G124" s="5"/>
      <c r="H124" s="5"/>
      <c r="I124" s="5"/>
      <c r="J124" s="5"/>
      <c r="K124" s="5"/>
      <c r="L124" s="137">
        <v>0</v>
      </c>
      <c r="M124" s="138">
        <v>0</v>
      </c>
      <c r="N124" s="139">
        <v>2.5125628140703518E-3</v>
      </c>
    </row>
    <row r="125" spans="3:14" ht="15" customHeight="1" x14ac:dyDescent="0.2">
      <c r="C125" s="133">
        <v>38</v>
      </c>
      <c r="D125" s="5"/>
      <c r="E125" s="5"/>
      <c r="F125" s="5"/>
      <c r="G125" s="5"/>
      <c r="H125" s="5"/>
      <c r="I125" s="5"/>
      <c r="J125" s="5"/>
      <c r="K125" s="5"/>
      <c r="L125" s="137">
        <v>0</v>
      </c>
      <c r="M125" s="138">
        <v>0</v>
      </c>
      <c r="N125" s="139">
        <v>1.0050251256281407E-2</v>
      </c>
    </row>
    <row r="126" spans="3:14" ht="15" customHeight="1" x14ac:dyDescent="0.2">
      <c r="C126" s="133">
        <v>38.1</v>
      </c>
      <c r="D126" s="5"/>
      <c r="E126" s="5"/>
      <c r="F126" s="5"/>
      <c r="G126" s="5"/>
      <c r="H126" s="5"/>
      <c r="I126" s="5"/>
      <c r="J126" s="5"/>
      <c r="K126" s="5"/>
      <c r="L126" s="137">
        <v>0</v>
      </c>
      <c r="M126" s="138">
        <v>0</v>
      </c>
      <c r="N126" s="139">
        <v>2.5125628140703518E-3</v>
      </c>
    </row>
    <row r="127" spans="3:14" ht="15" customHeight="1" x14ac:dyDescent="0.2">
      <c r="C127" s="133">
        <v>39</v>
      </c>
      <c r="D127" s="5"/>
      <c r="E127" s="5"/>
      <c r="F127" s="5"/>
      <c r="G127" s="5"/>
      <c r="H127" s="5"/>
      <c r="I127" s="5"/>
      <c r="J127" s="5"/>
      <c r="K127" s="5"/>
      <c r="L127" s="137">
        <v>0</v>
      </c>
      <c r="M127" s="138">
        <v>0</v>
      </c>
      <c r="N127" s="139">
        <v>2.5125628140703518E-3</v>
      </c>
    </row>
    <row r="128" spans="3:14" ht="15" customHeight="1" x14ac:dyDescent="0.2">
      <c r="C128" s="133">
        <v>39.1</v>
      </c>
      <c r="D128" s="5"/>
      <c r="E128" s="5"/>
      <c r="F128" s="5"/>
      <c r="G128" s="5"/>
      <c r="H128" s="5"/>
      <c r="I128" s="5"/>
      <c r="J128" s="5"/>
      <c r="K128" s="5"/>
      <c r="L128" s="137">
        <v>0</v>
      </c>
      <c r="M128" s="138">
        <v>0</v>
      </c>
      <c r="N128" s="139">
        <v>2.5125628140703518E-3</v>
      </c>
    </row>
    <row r="129" spans="3:14" ht="15" customHeight="1" x14ac:dyDescent="0.2">
      <c r="C129" s="133">
        <v>39.4</v>
      </c>
      <c r="D129" s="5"/>
      <c r="E129" s="5"/>
      <c r="F129" s="5"/>
      <c r="G129" s="5"/>
      <c r="H129" s="5"/>
      <c r="I129" s="5"/>
      <c r="J129" s="5"/>
      <c r="K129" s="5"/>
      <c r="L129" s="137">
        <v>0</v>
      </c>
      <c r="M129" s="138">
        <v>0</v>
      </c>
      <c r="N129" s="139">
        <v>2.5125628140703518E-3</v>
      </c>
    </row>
    <row r="130" spans="3:14" ht="15" customHeight="1" x14ac:dyDescent="0.2">
      <c r="C130" s="133">
        <v>40.799999999999997</v>
      </c>
      <c r="D130" s="5"/>
      <c r="E130" s="5"/>
      <c r="F130" s="5"/>
      <c r="G130" s="5"/>
      <c r="H130" s="5"/>
      <c r="I130" s="5"/>
      <c r="J130" s="5"/>
      <c r="K130" s="5"/>
      <c r="L130" s="137">
        <v>0</v>
      </c>
      <c r="M130" s="138">
        <v>0</v>
      </c>
      <c r="N130" s="139">
        <v>2.5125628140703518E-3</v>
      </c>
    </row>
    <row r="131" spans="3:14" ht="15" customHeight="1" x14ac:dyDescent="0.2">
      <c r="C131" s="133">
        <v>40.9</v>
      </c>
      <c r="D131" s="5"/>
      <c r="E131" s="5"/>
      <c r="F131" s="5"/>
      <c r="G131" s="5"/>
      <c r="H131" s="5"/>
      <c r="I131" s="5"/>
      <c r="J131" s="5"/>
      <c r="K131" s="5"/>
      <c r="L131" s="137">
        <v>1</v>
      </c>
      <c r="M131" s="138">
        <v>0.16666666666666666</v>
      </c>
      <c r="N131" s="139">
        <v>2.5125628140703518E-3</v>
      </c>
    </row>
    <row r="132" spans="3:14" ht="15" customHeight="1" x14ac:dyDescent="0.2">
      <c r="C132" s="133">
        <v>41.5</v>
      </c>
      <c r="D132" s="5"/>
      <c r="E132" s="5"/>
      <c r="F132" s="5"/>
      <c r="G132" s="5"/>
      <c r="H132" s="5"/>
      <c r="I132" s="5"/>
      <c r="J132" s="5"/>
      <c r="K132" s="5"/>
      <c r="L132" s="137">
        <v>0</v>
      </c>
      <c r="M132" s="138">
        <v>0</v>
      </c>
      <c r="N132" s="139">
        <v>2.5125628140703518E-3</v>
      </c>
    </row>
    <row r="133" spans="3:14" ht="15" customHeight="1" x14ac:dyDescent="0.2">
      <c r="C133" s="133">
        <v>43.1</v>
      </c>
      <c r="D133" s="5"/>
      <c r="E133" s="5"/>
      <c r="F133" s="5"/>
      <c r="G133" s="5"/>
      <c r="H133" s="5"/>
      <c r="I133" s="5"/>
      <c r="J133" s="5"/>
      <c r="K133" s="5"/>
      <c r="L133" s="137">
        <v>0</v>
      </c>
      <c r="M133" s="138">
        <v>0</v>
      </c>
      <c r="N133" s="139">
        <v>2.5125628140703518E-3</v>
      </c>
    </row>
    <row r="134" spans="3:14" ht="15" customHeight="1" x14ac:dyDescent="0.2">
      <c r="C134" s="133">
        <v>43.4</v>
      </c>
      <c r="D134" s="5"/>
      <c r="E134" s="5"/>
      <c r="F134" s="5"/>
      <c r="G134" s="5"/>
      <c r="H134" s="5"/>
      <c r="I134" s="5"/>
      <c r="J134" s="5"/>
      <c r="K134" s="5"/>
      <c r="L134" s="137">
        <v>0</v>
      </c>
      <c r="M134" s="138">
        <v>0</v>
      </c>
      <c r="N134" s="139">
        <v>2.5125628140703518E-3</v>
      </c>
    </row>
    <row r="135" spans="3:14" ht="15" customHeight="1" x14ac:dyDescent="0.2">
      <c r="C135" s="133">
        <v>44</v>
      </c>
      <c r="D135" s="5"/>
      <c r="E135" s="5"/>
      <c r="F135" s="5"/>
      <c r="G135" s="5"/>
      <c r="H135" s="5"/>
      <c r="I135" s="5"/>
      <c r="J135" s="5"/>
      <c r="K135" s="5"/>
      <c r="L135" s="137">
        <v>0</v>
      </c>
      <c r="M135" s="138">
        <v>0</v>
      </c>
      <c r="N135" s="139">
        <v>2.5125628140703518E-3</v>
      </c>
    </row>
    <row r="136" spans="3:14" ht="15" customHeight="1" x14ac:dyDescent="0.2">
      <c r="C136" s="133">
        <v>44.3</v>
      </c>
      <c r="D136" s="5"/>
      <c r="E136" s="5"/>
      <c r="F136" s="5"/>
      <c r="G136" s="5"/>
      <c r="H136" s="5"/>
      <c r="I136" s="5"/>
      <c r="J136" s="5"/>
      <c r="K136" s="5"/>
      <c r="L136" s="137">
        <v>0</v>
      </c>
      <c r="M136" s="138">
        <v>0</v>
      </c>
      <c r="N136" s="139">
        <v>2.5125628140703518E-3</v>
      </c>
    </row>
    <row r="137" spans="3:14" ht="15" customHeight="1" x14ac:dyDescent="0.2">
      <c r="C137" s="133">
        <v>44.6</v>
      </c>
      <c r="D137" s="5"/>
      <c r="E137" s="5"/>
      <c r="F137" s="5"/>
      <c r="G137" s="5"/>
      <c r="H137" s="5"/>
      <c r="I137" s="5"/>
      <c r="J137" s="5"/>
      <c r="K137" s="5"/>
      <c r="L137" s="137">
        <v>0</v>
      </c>
      <c r="M137" s="138">
        <v>0</v>
      </c>
      <c r="N137" s="139">
        <v>2.5125628140703518E-3</v>
      </c>
    </row>
    <row r="138" spans="3:14" ht="15" customHeight="1" x14ac:dyDescent="0.2">
      <c r="C138" s="133">
        <v>46.6</v>
      </c>
      <c r="D138" s="5"/>
      <c r="E138" s="5"/>
      <c r="F138" s="5"/>
      <c r="G138" s="5"/>
      <c r="H138" s="5"/>
      <c r="I138" s="5"/>
      <c r="J138" s="5"/>
      <c r="K138" s="5"/>
      <c r="L138" s="137">
        <v>0</v>
      </c>
      <c r="M138" s="138">
        <v>0</v>
      </c>
      <c r="N138" s="139">
        <v>2.5125628140703518E-3</v>
      </c>
    </row>
    <row r="139" spans="3:14" ht="15" customHeight="1" x14ac:dyDescent="0.2">
      <c r="C139" s="133" t="s">
        <v>403</v>
      </c>
      <c r="D139" s="5"/>
      <c r="E139" s="5"/>
      <c r="F139" s="5"/>
      <c r="G139" s="5"/>
      <c r="H139" s="5"/>
      <c r="I139" s="5"/>
      <c r="J139" s="5"/>
      <c r="K139" s="5"/>
      <c r="L139" s="137">
        <v>1.507537688442211E-2</v>
      </c>
      <c r="M139" s="138">
        <v>1</v>
      </c>
      <c r="N139" s="139">
        <v>1</v>
      </c>
    </row>
  </sheetData>
  <conditionalFormatting pivot="1" sqref="L10:L1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404</v>
      </c>
      <c r="D9" s="72" t="s">
        <v>405</v>
      </c>
      <c r="F9" s="82" t="s">
        <v>88</v>
      </c>
      <c r="G9" s="85" t="s">
        <v>79</v>
      </c>
      <c r="H9" s="69"/>
      <c r="I9" s="83" t="s">
        <v>441</v>
      </c>
      <c r="J9" s="84" t="s">
        <v>442</v>
      </c>
      <c r="K9" s="69"/>
      <c r="L9" s="60"/>
    </row>
    <row r="10" spans="2:12" ht="15" hidden="1" customHeight="1" outlineLevel="1" x14ac:dyDescent="0.2">
      <c r="C10" s="71" t="s">
        <v>406</v>
      </c>
      <c r="D10" s="72" t="s">
        <v>407</v>
      </c>
      <c r="F10" s="71" t="s">
        <v>429</v>
      </c>
      <c r="G10" s="86" t="s">
        <v>430</v>
      </c>
      <c r="H10" s="69"/>
      <c r="I10" s="83"/>
      <c r="J10" s="84"/>
      <c r="K10" s="69"/>
    </row>
    <row r="11" spans="2:12" ht="15" hidden="1" customHeight="1" outlineLevel="1" x14ac:dyDescent="0.2">
      <c r="C11" s="71" t="s">
        <v>408</v>
      </c>
      <c r="D11" s="72">
        <v>16</v>
      </c>
      <c r="F11" s="71" t="s">
        <v>431</v>
      </c>
      <c r="G11" s="140" t="s">
        <v>432</v>
      </c>
    </row>
    <row r="12" spans="2:12" ht="15" hidden="1" customHeight="1" outlineLevel="1" x14ac:dyDescent="0.2">
      <c r="C12" s="71" t="s">
        <v>409</v>
      </c>
      <c r="D12" s="72" t="b">
        <v>0</v>
      </c>
      <c r="F12" s="71" t="s">
        <v>433</v>
      </c>
      <c r="G12" s="140" t="s">
        <v>432</v>
      </c>
    </row>
    <row r="13" spans="2:12" ht="15" hidden="1" customHeight="1" outlineLevel="1" x14ac:dyDescent="0.2">
      <c r="C13" s="71" t="s">
        <v>410</v>
      </c>
      <c r="D13" s="72" t="b">
        <v>1</v>
      </c>
      <c r="F13" s="71" t="s">
        <v>434</v>
      </c>
      <c r="G13" s="140" t="b">
        <v>0</v>
      </c>
    </row>
    <row r="14" spans="2:12" ht="15" hidden="1" customHeight="1" outlineLevel="1" x14ac:dyDescent="0.2">
      <c r="C14" s="71" t="s">
        <v>411</v>
      </c>
      <c r="D14" s="72" t="s">
        <v>412</v>
      </c>
      <c r="F14" s="71" t="s">
        <v>435</v>
      </c>
      <c r="G14" s="140" t="b">
        <v>1</v>
      </c>
    </row>
    <row r="15" spans="2:12" ht="15" hidden="1" customHeight="1" outlineLevel="1" x14ac:dyDescent="0.2">
      <c r="C15" s="71" t="s">
        <v>413</v>
      </c>
      <c r="D15" s="72" t="s">
        <v>414</v>
      </c>
      <c r="F15" s="71" t="s">
        <v>436</v>
      </c>
      <c r="G15" s="140" t="s">
        <v>437</v>
      </c>
    </row>
    <row r="16" spans="2:12" ht="15" hidden="1" customHeight="1" outlineLevel="1" x14ac:dyDescent="0.2">
      <c r="C16" s="71" t="s">
        <v>415</v>
      </c>
      <c r="D16" s="72" t="s">
        <v>416</v>
      </c>
      <c r="F16" s="71" t="s">
        <v>438</v>
      </c>
      <c r="G16" s="140" t="b">
        <v>0</v>
      </c>
    </row>
    <row r="17" spans="2:25" ht="15" hidden="1" customHeight="1" outlineLevel="1" x14ac:dyDescent="0.2">
      <c r="C17" s="71" t="s">
        <v>417</v>
      </c>
      <c r="D17" s="72" t="s">
        <v>418</v>
      </c>
      <c r="F17" s="71" t="s">
        <v>439</v>
      </c>
      <c r="G17" s="140" t="b">
        <v>0</v>
      </c>
    </row>
    <row r="18" spans="2:25" ht="15" hidden="1" customHeight="1" outlineLevel="1" x14ac:dyDescent="0.2">
      <c r="C18" s="71" t="s">
        <v>419</v>
      </c>
      <c r="D18" s="72" t="s">
        <v>420</v>
      </c>
      <c r="F18" s="71" t="s">
        <v>440</v>
      </c>
      <c r="G18" s="140" t="b">
        <v>0</v>
      </c>
    </row>
    <row r="19" spans="2:25" ht="15" hidden="1" customHeight="1" outlineLevel="1" x14ac:dyDescent="0.2">
      <c r="B19" s="61"/>
      <c r="C19" s="71" t="s">
        <v>421</v>
      </c>
      <c r="D19" s="72" t="s">
        <v>422</v>
      </c>
      <c r="F19" s="87" t="s">
        <v>409</v>
      </c>
      <c r="G19" s="141" t="b">
        <v>0</v>
      </c>
    </row>
    <row r="20" spans="2:25" ht="15" hidden="1" customHeight="1" outlineLevel="1" x14ac:dyDescent="0.2">
      <c r="C20" s="71" t="s">
        <v>423</v>
      </c>
      <c r="D20" s="72" t="s">
        <v>424</v>
      </c>
    </row>
    <row r="21" spans="2:25" ht="15" hidden="1" customHeight="1" outlineLevel="1" x14ac:dyDescent="0.2">
      <c r="C21" s="71" t="s">
        <v>425</v>
      </c>
      <c r="D21" s="72" t="s">
        <v>426</v>
      </c>
    </row>
    <row r="22" spans="2:25" ht="15" hidden="1" customHeight="1" outlineLevel="1" x14ac:dyDescent="0.2">
      <c r="C22" s="71" t="s">
        <v>427</v>
      </c>
      <c r="D22" s="72">
        <v>187</v>
      </c>
      <c r="K22" s="69"/>
    </row>
    <row r="23" spans="2:25" ht="15" hidden="1" customHeight="1" outlineLevel="1" x14ac:dyDescent="0.2">
      <c r="C23" s="87" t="s">
        <v>428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1.4591217041015625E-4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9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398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51.976625919342041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3.5631859302520752</v>
      </c>
      <c r="E35" s="88">
        <v>6.855337226041848E-2</v>
      </c>
    </row>
    <row r="36" spans="2:5" ht="15" customHeight="1" x14ac:dyDescent="0.2">
      <c r="C36" s="80" t="s">
        <v>443</v>
      </c>
      <c r="D36" s="90">
        <v>11.941050291061401</v>
      </c>
      <c r="E36" s="88">
        <v>0.22973801586761411</v>
      </c>
    </row>
    <row r="37" spans="2:5" ht="15" customHeight="1" x14ac:dyDescent="0.2">
      <c r="C37" s="80" t="s">
        <v>444</v>
      </c>
      <c r="D37" s="90">
        <v>5.4180417060852051</v>
      </c>
      <c r="E37" s="88">
        <v>0.10423958706343894</v>
      </c>
    </row>
    <row r="38" spans="2:5" ht="15" customHeight="1" x14ac:dyDescent="0.2">
      <c r="C38" s="80" t="s">
        <v>445</v>
      </c>
      <c r="D38" s="90">
        <v>5.1986520290374756</v>
      </c>
      <c r="E38" s="88">
        <v>0.10001867283242602</v>
      </c>
    </row>
    <row r="39" spans="2:5" ht="15" customHeight="1" x14ac:dyDescent="0.2">
      <c r="C39" s="80" t="s">
        <v>73</v>
      </c>
      <c r="D39" s="90">
        <v>4.4843900203704834</v>
      </c>
      <c r="E39" s="88">
        <v>8.6276737853422963E-2</v>
      </c>
    </row>
    <row r="40" spans="2:5" ht="15" customHeight="1" x14ac:dyDescent="0.2">
      <c r="C40" s="80" t="s">
        <v>74</v>
      </c>
      <c r="D40" s="90">
        <v>14.081351041793823</v>
      </c>
      <c r="E40" s="88">
        <v>0.27091600573013946</v>
      </c>
    </row>
    <row r="41" spans="2:5" ht="15" customHeight="1" x14ac:dyDescent="0.2">
      <c r="C41" s="81" t="s">
        <v>446</v>
      </c>
      <c r="D41" s="91">
        <v>6.1250500679016113</v>
      </c>
      <c r="E41" s="89">
        <v>0.11784196661016103</v>
      </c>
    </row>
    <row r="42" spans="2:5" ht="15" customHeight="1" x14ac:dyDescent="0.2">
      <c r="C42" s="142" t="s">
        <v>75</v>
      </c>
      <c r="D42" s="91">
        <v>1.1648850440979004</v>
      </c>
      <c r="E42" s="89">
        <v>2.2411628141725384E-2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2026-06-09T01:02:10Z</dcterms:modified>
</cp:coreProperties>
</file>