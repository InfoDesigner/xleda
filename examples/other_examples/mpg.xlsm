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47C6EB8E-0D2D-42E0-AE05-E89EB30598CE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Blanks" sheetId="10" r:id="rId3"/>
    <sheet name="Pivot" sheetId="11" r:id="rId4"/>
    <sheet name="SinglePlot" sheetId="7" state="hidden" r:id="rId5"/>
    <sheet name="MultiplePlots" sheetId="8" state="hidden" r:id="rId6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aultWarn" localSheetId="2">Blanks!$C$7</definedName>
    <definedName name="DefaultWarn" localSheetId="3">Pivot!$C$7</definedName>
    <definedName name="Definitions">'Field Analysis'!$D$7:$L$7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List1">'Field Analysis'!$D$57:$L$57</definedName>
    <definedName name="FieldList2">'Field Analysis'!$D$58:$L$58</definedName>
    <definedName name="FieldList3">'Field Analysis'!$D$59:$L$59</definedName>
    <definedName name="FieldList4">'Field Analysis'!$D$60:$L$60</definedName>
    <definedName name="FieldList5">'Field Analysis'!$D$61:$L$61</definedName>
    <definedName name="FieldList6">'Field Analysis'!$D$62:$L$62</definedName>
    <definedName name="FieldList7">'Field Analysis'!$D$63:$L$63</definedName>
    <definedName name="FieldList8">'Field Analysis'!$D$64:$L$64</definedName>
    <definedName name="FieldLists">'Field Analysis'!$C$57:$L$64</definedName>
    <definedName name="FieldRange">'Field Analysis'!$D$78:$L$78</definedName>
    <definedName name="FormatRange">'Field Analysis'!$F:$F</definedName>
    <definedName name="Headers">'Field Analysis'!$D$11:$L$11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Analysis'!$D$9:$L$9</definedName>
    <definedName name="Percentiles">'Field Analysis'!$D$45:$D$54</definedName>
    <definedName name="RecordHashes">'Field Analysis'!$N$79:$N$476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2">Blanks!$B$4:$Q$4</definedName>
    <definedName name="Theme" localSheetId="1">'Field Analysis'!$B$11:$F$11,LightHeader</definedName>
    <definedName name="Theme" localSheetId="5">MultiplePlots!$B$6:$P$6</definedName>
    <definedName name="Theme" localSheetId="0">tbl_Overview[#Headers]</definedName>
    <definedName name="Theme" localSheetId="3">Pivot!$B$4:$Q$4</definedName>
    <definedName name="Theme" localSheetId="4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 iterateDelta="1E-4"/>
  <pivotCaches>
    <pivotCache cacheId="12" r:id="rId7"/>
  </pivotCaches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D18" i="9"/>
  <c r="D19" i="9"/>
  <c r="C11" i="9"/>
  <c r="C12" i="9"/>
  <c r="C13" i="9"/>
  <c r="C14" i="9"/>
  <c r="C15" i="9"/>
  <c r="C16" i="9"/>
  <c r="C17" i="9"/>
  <c r="C18" i="9"/>
  <c r="C19" i="9"/>
  <c r="D76" i="3" a="1"/>
  <c r="D76" i="3" s="1"/>
  <c r="C76" i="3"/>
  <c r="C2" i="11"/>
  <c r="C2" i="10"/>
  <c r="D68" i="3"/>
  <c r="D69" i="3"/>
  <c r="D70" i="3"/>
  <c r="D71" i="3"/>
  <c r="D72" i="3"/>
  <c r="D73" i="3"/>
  <c r="D74" i="3" a="1"/>
  <c r="D74" i="3" s="1"/>
  <c r="D75" i="3" a="1"/>
  <c r="D75" i="3" s="1"/>
  <c r="C73" i="3" l="1"/>
  <c r="C74" i="3"/>
  <c r="C75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<sst xmlns="http://schemas.openxmlformats.org/spreadsheetml/2006/main" count="972" uniqueCount="378">
  <si>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</si>
  <si>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</si>
  <si>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</si>
  <si>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</si>
  <si>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</si>
  <si>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</si>
  <si>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</si>
  <si>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</si>
  <si>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</si>
  <si>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</si>
  <si>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</si>
  <si>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</si>
  <si>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</si>
  <si>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</si>
  <si>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</si>
  <si>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</si>
  <si>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</si>
  <si>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</si>
  <si>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</si>
  <si>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</si>
  <si>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</si>
  <si>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</si>
  <si>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</si>
  <si>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</si>
  <si>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</si>
  <si>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</si>
  <si>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</si>
  <si>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</si>
  <si>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</si>
  <si>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</si>
  <si>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</si>
  <si>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</si>
  <si>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</si>
  <si>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</si>
  <si>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</si>
  <si>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</si>
  <si>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</si>
  <si>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</si>
  <si>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</si>
  <si>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</si>
  <si>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</si>
  <si>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</si>
  <si>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</si>
  <si>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</si>
  <si>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</si>
  <si>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</si>
  <si>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</si>
  <si>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</si>
  <si>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</si>
  <si>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</si>
  <si>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</si>
  <si>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</si>
  <si>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Has Blank %</t>
  </si>
  <si>
    <t>% of Total Blanks</t>
  </si>
  <si>
    <t>HasBlank</t>
  </si>
  <si>
    <t>mpg</t>
  </si>
  <si>
    <t>cylinders</t>
  </si>
  <si>
    <t>displacement</t>
  </si>
  <si>
    <t>horsepower</t>
  </si>
  <si>
    <t>weight</t>
  </si>
  <si>
    <t>acceleration</t>
  </si>
  <si>
    <t>model_year</t>
  </si>
  <si>
    <t>origin</t>
  </si>
  <si>
    <t>name</t>
  </si>
  <si>
    <t>Record Hash</t>
  </si>
  <si>
    <t>36,756 bytes</t>
  </si>
  <si>
    <t>float64</t>
  </si>
  <si>
    <t>int64</t>
  </si>
  <si>
    <t>str</t>
  </si>
  <si>
    <t>usa</t>
  </si>
  <si>
    <t>ford pinto</t>
  </si>
  <si>
    <t>chevrolet chevelle malibu</t>
  </si>
  <si>
    <t>buick skylark 320</t>
  </si>
  <si>
    <t>plymouth satellite</t>
  </si>
  <si>
    <t>amc rebel sst</t>
  </si>
  <si>
    <t>ford torino</t>
  </si>
  <si>
    <t>ford galaxie 500</t>
  </si>
  <si>
    <t>chevrolet impala</t>
  </si>
  <si>
    <t>plymouth fury iii</t>
  </si>
  <si>
    <t>pontiac catalina</t>
  </si>
  <si>
    <t>amc ambassador dpl</t>
  </si>
  <si>
    <t>dodge challenger se</t>
  </si>
  <si>
    <t>plymouth 'cuda 340</t>
  </si>
  <si>
    <t>chevrolet monte carlo</t>
  </si>
  <si>
    <t>buick estate wagon (sw)</t>
  </si>
  <si>
    <t>japan</t>
  </si>
  <si>
    <t>toyota corona mark ii</t>
  </si>
  <si>
    <t>plymouth duster</t>
  </si>
  <si>
    <t>amc hornet</t>
  </si>
  <si>
    <t>ford maverick</t>
  </si>
  <si>
    <t>datsun pl510</t>
  </si>
  <si>
    <t>europe</t>
  </si>
  <si>
    <t>volkswagen 1131 deluxe sedan</t>
  </si>
  <si>
    <t>peugeot 504</t>
  </si>
  <si>
    <t>audi 100 ls</t>
  </si>
  <si>
    <t>saab 99e</t>
  </si>
  <si>
    <t>bmw 2002</t>
  </si>
  <si>
    <t>amc gremlin</t>
  </si>
  <si>
    <t>ford f250</t>
  </si>
  <si>
    <t>chevy c20</t>
  </si>
  <si>
    <t>dodge d200</t>
  </si>
  <si>
    <t>hi 1200d</t>
  </si>
  <si>
    <t>chevrolet vega 2300</t>
  </si>
  <si>
    <t>toyota corona</t>
  </si>
  <si>
    <t>plymouth satellite custom</t>
  </si>
  <si>
    <t>ford torino 500</t>
  </si>
  <si>
    <t>amc matador</t>
  </si>
  <si>
    <t>pontiac catalina brougham</t>
  </si>
  <si>
    <t>dodge monaco (sw)</t>
  </si>
  <si>
    <t>ford country squire (sw)</t>
  </si>
  <si>
    <t>pontiac safari (sw)</t>
  </si>
  <si>
    <t>amc hornet sportabout (sw)</t>
  </si>
  <si>
    <t>chevrolet vega (sw)</t>
  </si>
  <si>
    <t>pontiac firebird</t>
  </si>
  <si>
    <t>ford mustang</t>
  </si>
  <si>
    <t>mercury capri 2000</t>
  </si>
  <si>
    <t>opel 1900</t>
  </si>
  <si>
    <t>peugeot 304</t>
  </si>
  <si>
    <t>fiat 124b</t>
  </si>
  <si>
    <t>toyota corolla 1200</t>
  </si>
  <si>
    <t>datsun 1200</t>
  </si>
  <si>
    <t>volkswagen model 111</t>
  </si>
  <si>
    <t>plymouth cricket</t>
  </si>
  <si>
    <t>toyota corona hardtop</t>
  </si>
  <si>
    <t>dodge colt hardtop</t>
  </si>
  <si>
    <t>volkswagen type 3</t>
  </si>
  <si>
    <t>chevrolet vega</t>
  </si>
  <si>
    <t>ford pinto runabout</t>
  </si>
  <si>
    <t>amc ambassador sst</t>
  </si>
  <si>
    <t>mercury marquis</t>
  </si>
  <si>
    <t>buick lesabre custom</t>
  </si>
  <si>
    <t>oldsmobile delta 88 royale</t>
  </si>
  <si>
    <t>chrysler newport royal</t>
  </si>
  <si>
    <t>mazda rx2 coupe</t>
  </si>
  <si>
    <t>amc matador (sw)</t>
  </si>
  <si>
    <t>chevrolet chevelle concours (sw)</t>
  </si>
  <si>
    <t>ford gran torino (sw)</t>
  </si>
  <si>
    <t>plymouth satellite custom (sw)</t>
  </si>
  <si>
    <t>volvo 145e (sw)</t>
  </si>
  <si>
    <t>volkswagen 411 (sw)</t>
  </si>
  <si>
    <t>peugeot 504 (sw)</t>
  </si>
  <si>
    <t>renault 12 (sw)</t>
  </si>
  <si>
    <t>ford pinto (sw)</t>
  </si>
  <si>
    <t>datsun 510 (sw)</t>
  </si>
  <si>
    <t>toyouta corona mark ii (sw)</t>
  </si>
  <si>
    <t>dodge colt (sw)</t>
  </si>
  <si>
    <t>toyota corolla 1600 (sw)</t>
  </si>
  <si>
    <t>buick century 350</t>
  </si>
  <si>
    <t>chevrolet malibu</t>
  </si>
  <si>
    <t>ford gran torino</t>
  </si>
  <si>
    <t>dodge coronet custom</t>
  </si>
  <si>
    <t>mercury marquis brougham</t>
  </si>
  <si>
    <t>chevrolet caprice classic</t>
  </si>
  <si>
    <t>ford ltd</t>
  </si>
  <si>
    <t>plymouth fury gran sedan</t>
  </si>
  <si>
    <t>chrysler new yorker brougham</t>
  </si>
  <si>
    <t>buick electra 225 custom</t>
  </si>
  <si>
    <t>amc ambassador brougham</t>
  </si>
  <si>
    <t>plymouth valiant</t>
  </si>
  <si>
    <t>chevrolet nova custom</t>
  </si>
  <si>
    <t>volkswagen super beetle</t>
  </si>
  <si>
    <t>ford country</t>
  </si>
  <si>
    <t>plymouth custom suburb</t>
  </si>
  <si>
    <t>oldsmobile vista cruiser</t>
  </si>
  <si>
    <t>toyota carina</t>
  </si>
  <si>
    <t>datsun 610</t>
  </si>
  <si>
    <t>maxda rx3</t>
  </si>
  <si>
    <t>mercury capri v6</t>
  </si>
  <si>
    <t>fiat 124 sport coupe</t>
  </si>
  <si>
    <t>chevrolet monte carlo s</t>
  </si>
  <si>
    <t>pontiac grand prix</t>
  </si>
  <si>
    <t>fiat 128</t>
  </si>
  <si>
    <t>opel manta</t>
  </si>
  <si>
    <t>audi 100ls</t>
  </si>
  <si>
    <t>volvo 144ea</t>
  </si>
  <si>
    <t>dodge dart custom</t>
  </si>
  <si>
    <t>saab 99le</t>
  </si>
  <si>
    <t>toyota mark ii</t>
  </si>
  <si>
    <t>oldsmobile omega</t>
  </si>
  <si>
    <t>chevrolet nova</t>
  </si>
  <si>
    <t>datsun b210</t>
  </si>
  <si>
    <t>chevrolet chevelle malibu classic</t>
  </si>
  <si>
    <t>plymouth satellite sebring</t>
  </si>
  <si>
    <t>buick century luxus (sw)</t>
  </si>
  <si>
    <t>dodge coronet custom (sw)</t>
  </si>
  <si>
    <t>audi fox</t>
  </si>
  <si>
    <t>volkswagen dasher</t>
  </si>
  <si>
    <t>datsun 710</t>
  </si>
  <si>
    <t>dodge colt</t>
  </si>
  <si>
    <t>fiat 124 tc</t>
  </si>
  <si>
    <t>honda civic</t>
  </si>
  <si>
    <t>subaru</t>
  </si>
  <si>
    <t>fiat x1.9</t>
  </si>
  <si>
    <t>plymouth valiant custom</t>
  </si>
  <si>
    <t>mercury monarch</t>
  </si>
  <si>
    <t>chevrolet bel air</t>
  </si>
  <si>
    <t>plymouth grand fury</t>
  </si>
  <si>
    <t>buick century</t>
  </si>
  <si>
    <t>chevroelt chevelle malibu</t>
  </si>
  <si>
    <t>plymouth fury</t>
  </si>
  <si>
    <t>buick skyhawk</t>
  </si>
  <si>
    <t>chevrolet monza 2+2</t>
  </si>
  <si>
    <t>ford mustang ii</t>
  </si>
  <si>
    <t>toyota corolla</t>
  </si>
  <si>
    <t>pontiac astro</t>
  </si>
  <si>
    <t>volkswagen rabbit</t>
  </si>
  <si>
    <t>amc pacer</t>
  </si>
  <si>
    <t>volvo 244dl</t>
  </si>
  <si>
    <t>honda civic cvcc</t>
  </si>
  <si>
    <t>fiat 131</t>
  </si>
  <si>
    <t>capri ii</t>
  </si>
  <si>
    <t>renault 12tl</t>
  </si>
  <si>
    <t>dodge coronet brougham</t>
  </si>
  <si>
    <t>chevrolet chevette</t>
  </si>
  <si>
    <t>chevrolet woody</t>
  </si>
  <si>
    <t>vw rabbit</t>
  </si>
  <si>
    <t>dodge aspen se</t>
  </si>
  <si>
    <t>ford granada ghia</t>
  </si>
  <si>
    <t>pontiac ventura sj</t>
  </si>
  <si>
    <t>amc pacer d/l</t>
  </si>
  <si>
    <t>datsun b-210</t>
  </si>
  <si>
    <t>volvo 245</t>
  </si>
  <si>
    <t>plymouth volare premier v8</t>
  </si>
  <si>
    <t>mercedes-benz 280s</t>
  </si>
  <si>
    <t>cadillac seville</t>
  </si>
  <si>
    <t>chevy c10</t>
  </si>
  <si>
    <t>ford f108</t>
  </si>
  <si>
    <t>dodge d100</t>
  </si>
  <si>
    <t>honda accord cvcc</t>
  </si>
  <si>
    <t>buick opel isuzu deluxe</t>
  </si>
  <si>
    <t>renault 5 gtl</t>
  </si>
  <si>
    <t>plymouth arrow gs</t>
  </si>
  <si>
    <t>datsun f-10 hatchback</t>
  </si>
  <si>
    <t>oldsmobile cutlass supreme</t>
  </si>
  <si>
    <t>dodge monaco brougham</t>
  </si>
  <si>
    <t>mercury cougar brougham</t>
  </si>
  <si>
    <t>chevrolet concours</t>
  </si>
  <si>
    <t>buick skylark</t>
  </si>
  <si>
    <t>plymouth volare custom</t>
  </si>
  <si>
    <t>ford granada</t>
  </si>
  <si>
    <t>pontiac grand prix lj</t>
  </si>
  <si>
    <t>chevrolet monte carlo landau</t>
  </si>
  <si>
    <t>chrysler cordoba</t>
  </si>
  <si>
    <t>ford thunderbird</t>
  </si>
  <si>
    <t>volkswagen rabbit custom</t>
  </si>
  <si>
    <t>pontiac sunbird coupe</t>
  </si>
  <si>
    <t>toyota corolla liftback</t>
  </si>
  <si>
    <t>ford mustang ii 2+2</t>
  </si>
  <si>
    <t>dodge colt m/m</t>
  </si>
  <si>
    <t>subaru dl</t>
  </si>
  <si>
    <t>datsun 810</t>
  </si>
  <si>
    <t>bmw 320i</t>
  </si>
  <si>
    <t>mazda rx-4</t>
  </si>
  <si>
    <t>volkswagen rabbit custom diesel</t>
  </si>
  <si>
    <t>ford fiesta</t>
  </si>
  <si>
    <t>mazda glc deluxe</t>
  </si>
  <si>
    <t>datsun b210 gx</t>
  </si>
  <si>
    <t>oldsmobile cutlass salon brougham</t>
  </si>
  <si>
    <t>dodge diplomat</t>
  </si>
  <si>
    <t>mercury monarch ghia</t>
  </si>
  <si>
    <t>pontiac phoenix lj</t>
  </si>
  <si>
    <t>ford fairmont (auto)</t>
  </si>
  <si>
    <t>ford fairmont (man)</t>
  </si>
  <si>
    <t>plymouth volare</t>
  </si>
  <si>
    <t>amc concord</t>
  </si>
  <si>
    <t>buick century special</t>
  </si>
  <si>
    <t>mercury zephyr</t>
  </si>
  <si>
    <t>dodge aspen</t>
  </si>
  <si>
    <t>amc concord d/l</t>
  </si>
  <si>
    <t>buick regal sport coupe (turbo)</t>
  </si>
  <si>
    <t>ford futura</t>
  </si>
  <si>
    <t>dodge magnum xe</t>
  </si>
  <si>
    <t>datsun 510</t>
  </si>
  <si>
    <t>dodge omni</t>
  </si>
  <si>
    <t>toyota celica gt liftback</t>
  </si>
  <si>
    <t>plymouth sapporo</t>
  </si>
  <si>
    <t>oldsmobile starfire sx</t>
  </si>
  <si>
    <t>datsun 200-sx</t>
  </si>
  <si>
    <t>audi 5000</t>
  </si>
  <si>
    <t>volvo 264gl</t>
  </si>
  <si>
    <t>saab 99gle</t>
  </si>
  <si>
    <t>peugeot 604sl</t>
  </si>
  <si>
    <t>volkswagen scirocco</t>
  </si>
  <si>
    <t>honda accord lx</t>
  </si>
  <si>
    <t>pontiac lemans v6</t>
  </si>
  <si>
    <t>mercury zephyr 6</t>
  </si>
  <si>
    <t>ford fairmont 4</t>
  </si>
  <si>
    <t>amc concord dl 6</t>
  </si>
  <si>
    <t>dodge aspen 6</t>
  </si>
  <si>
    <t>ford ltd landau</t>
  </si>
  <si>
    <t>mercury grand marquis</t>
  </si>
  <si>
    <t>dodge st. regis</t>
  </si>
  <si>
    <t>chevrolet malibu classic (sw)</t>
  </si>
  <si>
    <t>chrysler lebaron town @ country (sw)</t>
  </si>
  <si>
    <t>vw rabbit custom</t>
  </si>
  <si>
    <t>maxda glc deluxe</t>
  </si>
  <si>
    <t>dodge colt hatchback custom</t>
  </si>
  <si>
    <t>amc spirit dl</t>
  </si>
  <si>
    <t>mercedes benz 300d</t>
  </si>
  <si>
    <t>cadillac eldorado</t>
  </si>
  <si>
    <t>plymouth horizon</t>
  </si>
  <si>
    <t>plymouth horizon tc3</t>
  </si>
  <si>
    <t>datsun 210</t>
  </si>
  <si>
    <t>fiat strada custom</t>
  </si>
  <si>
    <t>buick skylark limited</t>
  </si>
  <si>
    <t>chevrolet citation</t>
  </si>
  <si>
    <t>oldsmobile omega brougham</t>
  </si>
  <si>
    <t>pontiac phoenix</t>
  </si>
  <si>
    <t>toyota corolla tercel</t>
  </si>
  <si>
    <t>datsun 310</t>
  </si>
  <si>
    <t>ford fairmont</t>
  </si>
  <si>
    <t>audi 4000</t>
  </si>
  <si>
    <t>toyota corona liftback</t>
  </si>
  <si>
    <t>mazda 626</t>
  </si>
  <si>
    <t>datsun 510 hatchback</t>
  </si>
  <si>
    <t>mazda glc</t>
  </si>
  <si>
    <t>vw rabbit c (diesel)</t>
  </si>
  <si>
    <t>vw dasher (diesel)</t>
  </si>
  <si>
    <t>audi 5000s (diesel)</t>
  </si>
  <si>
    <t>mercedes-benz 240d</t>
  </si>
  <si>
    <t>honda civic 1500 gl</t>
  </si>
  <si>
    <t>renault lecar deluxe</t>
  </si>
  <si>
    <t>vokswagen rabbit</t>
  </si>
  <si>
    <t>datsun 280-zx</t>
  </si>
  <si>
    <t>mazda rx-7 gs</t>
  </si>
  <si>
    <t>triumph tr7 coupe</t>
  </si>
  <si>
    <t>ford mustang cobra</t>
  </si>
  <si>
    <t>honda accord</t>
  </si>
  <si>
    <t>plymouth reliant</t>
  </si>
  <si>
    <t>dodge aries wagon (sw)</t>
  </si>
  <si>
    <t>toyota starlet</t>
  </si>
  <si>
    <t>plymouth champ</t>
  </si>
  <si>
    <t>honda civic 1300</t>
  </si>
  <si>
    <t>datsun 210 mpg</t>
  </si>
  <si>
    <t>toyota tercel</t>
  </si>
  <si>
    <t>mazda glc 4</t>
  </si>
  <si>
    <t>plymouth horizon 4</t>
  </si>
  <si>
    <t>ford escort 4w</t>
  </si>
  <si>
    <t>ford escort 2h</t>
  </si>
  <si>
    <t>volkswagen jetta</t>
  </si>
  <si>
    <t>renault 18i</t>
  </si>
  <si>
    <t>honda prelude</t>
  </si>
  <si>
    <t>datsun 200sx</t>
  </si>
  <si>
    <t>peugeot 505s turbo diesel</t>
  </si>
  <si>
    <t>volvo diesel</t>
  </si>
  <si>
    <t>toyota cressida</t>
  </si>
  <si>
    <t>datsun 810 maxima</t>
  </si>
  <si>
    <t>oldsmobile cutlass ls</t>
  </si>
  <si>
    <t>ford granada gl</t>
  </si>
  <si>
    <t>chrysler lebaron salon</t>
  </si>
  <si>
    <t>chevrolet cavalier</t>
  </si>
  <si>
    <t>chevrolet cavalier wagon</t>
  </si>
  <si>
    <t>chevrolet cavalier 2-door</t>
  </si>
  <si>
    <t>pontiac j2000 se hatchback</t>
  </si>
  <si>
    <t>dodge aries se</t>
  </si>
  <si>
    <t>ford fairmont futura</t>
  </si>
  <si>
    <t>amc concord dl</t>
  </si>
  <si>
    <t>volkswagen rabbit l</t>
  </si>
  <si>
    <t>mazda glc custom l</t>
  </si>
  <si>
    <t>mazda glc custom</t>
  </si>
  <si>
    <t>plymouth horizon miser</t>
  </si>
  <si>
    <t>mercury lynx l</t>
  </si>
  <si>
    <t>nissan stanza xe</t>
  </si>
  <si>
    <t>honda civic (auto)</t>
  </si>
  <si>
    <t>datsun 310 gx</t>
  </si>
  <si>
    <t>buick century limited</t>
  </si>
  <si>
    <t>oldsmobile cutlass ciera (diesel)</t>
  </si>
  <si>
    <t>chrysler lebaron medallion</t>
  </si>
  <si>
    <t>ford granada l</t>
  </si>
  <si>
    <t>toyota celica gt</t>
  </si>
  <si>
    <t>dodge charger 2.2</t>
  </si>
  <si>
    <t>chevrolet camaro</t>
  </si>
  <si>
    <t>ford mustang gl</t>
  </si>
  <si>
    <t>vw pickup</t>
  </si>
  <si>
    <t>dodge rampage</t>
  </si>
  <si>
    <t>ford ranger</t>
  </si>
  <si>
    <t>chevy s-10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</si>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</sst>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3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3D4F6D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43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32" fillId="2" borderId="0" xfId="0" applyFont="1"/>
    <xf numFmtId="0" fontId="0" fillId="2" borderId="0" xfId="0" applyAlignment="1">
      <alignment horizontal="center" vertical="center" wrapText="1"/>
    </xf>
    <xf numFmtId="164" fontId="0" fillId="2" borderId="0" xfId="0" applyNumberFormat="1" applyAlignment="1">
      <alignment horizontal="center" vertical="center"/>
    </xf>
    <xf numFmtId="0" fontId="26" fillId="2" borderId="0" xfId="1" applyFont="1" applyBorder="1" applyAlignment="1">
      <alignment horizontal="left" vertical="center"/>
    </xf>
    <xf numFmtId="0" fontId="2" fillId="2" borderId="0" xfId="1" applyBorder="1"/>
    <xf numFmtId="0" fontId="31" fillId="2" borderId="0" xfId="5" applyBorder="1" applyAlignment="1">
      <alignment horizontal="right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0" fillId="9" borderId="0" xfId="0" applyFill="1"/>
    <xf numFmtId="0" fontId="25" fillId="9" borderId="0" xfId="1" applyFont="1" applyFill="1" applyBorder="1" applyAlignment="1">
      <alignment vertical="center" wrapTex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164" fontId="3" fillId="5" borderId="19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2" fillId="3" borderId="0" xfId="1" applyNumberFormat="1" applyFill="1"/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164" fontId="3" fillId="5" borderId="0" xfId="0" applyNumberFormat="1" applyFont="1" applyFill="1" applyAlignment="1">
      <alignment horizontal="center" vertical="center" wrapText="1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395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3D4F6D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alignment vertical="center"/>
    </dxf>
    <dxf>
      <alignment vertical="center"/>
    </dxf>
    <dxf>
      <alignment vertical="center"/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fill>
        <patternFill patternType="solid">
          <fgColor indexed="64"/>
          <bgColor theme="1" tint="4.9989318521683403E-2"/>
        </patternFill>
      </fill>
    </dxf>
    <dxf>
      <numFmt numFmtId="0" formatCode="General"/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strike val="0"/>
        <color theme="0"/>
      </font>
      <fill>
        <patternFill patternType="solid">
          <fgColor theme="1"/>
          <bgColor theme="1" tint="0.14996795556505021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4.9989318521683403E-2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color theme="0" tint="-0.14999847407452621"/>
      </font>
      <fill>
        <patternFill patternType="solid">
          <fgColor theme="0" tint="-0.44999542222357858"/>
          <bgColor theme="1" tint="-0.24994659260841701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TableStyleDarker" defaultPivotStyle="PivotStyleMedium4">
    <tableStyle name="DarkPivot" table="0" count="3" xr9:uid="{00874257-2B66-4E68-882B-4B15201D4B3B}">
      <tableStyleElement type="wholeTable" dxfId="394"/>
      <tableStyleElement type="headerRow" dxfId="393"/>
      <tableStyleElement type="totalRow" dxfId="392"/>
    </tableStyle>
    <tableStyle name="TableStyleDarker" pivot="0" count="2" xr9:uid="{6808BEA3-E65F-4F4F-A6CC-D0226D87DD56}">
      <tableStyleElement type="wholeTable" dxfId="391"/>
      <tableStyleElement type="headerRow" dxfId="390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mpg">
          <a:extLst>
            <a:ext uri="{FF2B5EF4-FFF2-40B4-BE49-F238E27FC236}">
              <a16:creationId xmlns:a16="http://schemas.microsoft.com/office/drawing/2014/main" id="{48DA2582-1948-050B-3037-3369A104E2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histogram_mpg">
          <a:extLst>
            <a:ext uri="{FF2B5EF4-FFF2-40B4-BE49-F238E27FC236}">
              <a16:creationId xmlns:a16="http://schemas.microsoft.com/office/drawing/2014/main" id="{AAE5E656-7B7F-B42E-AF81-443538FBC1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composition_cylinders">
          <a:extLst>
            <a:ext uri="{FF2B5EF4-FFF2-40B4-BE49-F238E27FC236}">
              <a16:creationId xmlns:a16="http://schemas.microsoft.com/office/drawing/2014/main" id="{B5B24701-5C2C-CE1E-92BD-376E45A8BD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7" name="histogram_cylinders">
          <a:extLst>
            <a:ext uri="{FF2B5EF4-FFF2-40B4-BE49-F238E27FC236}">
              <a16:creationId xmlns:a16="http://schemas.microsoft.com/office/drawing/2014/main" id="{F726E9C3-D473-BF92-D1A9-B4FE3ECCCF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9" name="composition_displacement">
          <a:extLst>
            <a:ext uri="{FF2B5EF4-FFF2-40B4-BE49-F238E27FC236}">
              <a16:creationId xmlns:a16="http://schemas.microsoft.com/office/drawing/2014/main" id="{0F44DD59-75B7-EE88-0A01-438238EA4A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40</xdr:row>
      <xdr:rowOff>95250</xdr:rowOff>
    </xdr:from>
    <xdr:to>
      <xdr:col>5</xdr:col>
      <xdr:colOff>1809750</xdr:colOff>
      <xdr:row>40</xdr:row>
      <xdr:rowOff>1809750</xdr:rowOff>
    </xdr:to>
    <xdr:pic>
      <xdr:nvPicPr>
        <xdr:cNvPr id="21" name="histogram_displacement">
          <a:extLst>
            <a:ext uri="{FF2B5EF4-FFF2-40B4-BE49-F238E27FC236}">
              <a16:creationId xmlns:a16="http://schemas.microsoft.com/office/drawing/2014/main" id="{F39E8EAC-184B-E5E5-0BE3-0E5FA0559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06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3" name="composition_horsepower">
          <a:extLst>
            <a:ext uri="{FF2B5EF4-FFF2-40B4-BE49-F238E27FC236}">
              <a16:creationId xmlns:a16="http://schemas.microsoft.com/office/drawing/2014/main" id="{39785851-CBDE-1248-64E9-E136E7E464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5" name="histogram_horsepower">
          <a:extLst>
            <a:ext uri="{FF2B5EF4-FFF2-40B4-BE49-F238E27FC236}">
              <a16:creationId xmlns:a16="http://schemas.microsoft.com/office/drawing/2014/main" id="{2E4CEF1B-735D-6BE7-9BE0-877A5B78AA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97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7" name="composition_weight">
          <a:extLst>
            <a:ext uri="{FF2B5EF4-FFF2-40B4-BE49-F238E27FC236}">
              <a16:creationId xmlns:a16="http://schemas.microsoft.com/office/drawing/2014/main" id="{2490AABF-3763-CE5C-DD56-8961E59E32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9" name="histogram_weight">
          <a:extLst>
            <a:ext uri="{FF2B5EF4-FFF2-40B4-BE49-F238E27FC236}">
              <a16:creationId xmlns:a16="http://schemas.microsoft.com/office/drawing/2014/main" id="{909FAFB7-E0E8-D700-5F42-F1282581B8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87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31" name="composition_acceleration">
          <a:extLst>
            <a:ext uri="{FF2B5EF4-FFF2-40B4-BE49-F238E27FC236}">
              <a16:creationId xmlns:a16="http://schemas.microsoft.com/office/drawing/2014/main" id="{6009B67D-6A00-2626-C222-919E29FA3E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78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40</xdr:row>
      <xdr:rowOff>95250</xdr:rowOff>
    </xdr:from>
    <xdr:to>
      <xdr:col>8</xdr:col>
      <xdr:colOff>1809750</xdr:colOff>
      <xdr:row>40</xdr:row>
      <xdr:rowOff>1809750</xdr:rowOff>
    </xdr:to>
    <xdr:pic>
      <xdr:nvPicPr>
        <xdr:cNvPr id="33" name="histogram_acceleration">
          <a:extLst>
            <a:ext uri="{FF2B5EF4-FFF2-40B4-BE49-F238E27FC236}">
              <a16:creationId xmlns:a16="http://schemas.microsoft.com/office/drawing/2014/main" id="{B8043F58-FED7-9B6A-D7A9-C5926DEAA8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178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30</xdr:row>
      <xdr:rowOff>95250</xdr:rowOff>
    </xdr:from>
    <xdr:to>
      <xdr:col>9</xdr:col>
      <xdr:colOff>1809750</xdr:colOff>
      <xdr:row>30</xdr:row>
      <xdr:rowOff>1809750</xdr:rowOff>
    </xdr:to>
    <xdr:pic>
      <xdr:nvPicPr>
        <xdr:cNvPr id="35" name="composition_model_year">
          <a:extLst>
            <a:ext uri="{FF2B5EF4-FFF2-40B4-BE49-F238E27FC236}">
              <a16:creationId xmlns:a16="http://schemas.microsoft.com/office/drawing/2014/main" id="{906F2FA4-A340-299B-2464-F28E51714B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368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40</xdr:row>
      <xdr:rowOff>95250</xdr:rowOff>
    </xdr:from>
    <xdr:to>
      <xdr:col>9</xdr:col>
      <xdr:colOff>1809750</xdr:colOff>
      <xdr:row>40</xdr:row>
      <xdr:rowOff>1809750</xdr:rowOff>
    </xdr:to>
    <xdr:pic>
      <xdr:nvPicPr>
        <xdr:cNvPr id="37" name="histogram_model_year">
          <a:extLst>
            <a:ext uri="{FF2B5EF4-FFF2-40B4-BE49-F238E27FC236}">
              <a16:creationId xmlns:a16="http://schemas.microsoft.com/office/drawing/2014/main" id="{5E9721B6-58F1-238C-0B16-82955A7582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368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30</xdr:row>
      <xdr:rowOff>95250</xdr:rowOff>
    </xdr:from>
    <xdr:to>
      <xdr:col>10</xdr:col>
      <xdr:colOff>1809750</xdr:colOff>
      <xdr:row>30</xdr:row>
      <xdr:rowOff>1809750</xdr:rowOff>
    </xdr:to>
    <xdr:pic>
      <xdr:nvPicPr>
        <xdr:cNvPr id="39" name="composition_origin">
          <a:extLst>
            <a:ext uri="{FF2B5EF4-FFF2-40B4-BE49-F238E27FC236}">
              <a16:creationId xmlns:a16="http://schemas.microsoft.com/office/drawing/2014/main" id="{9FF372F1-BDF9-5A39-15F2-7186691338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559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30</xdr:row>
      <xdr:rowOff>95250</xdr:rowOff>
    </xdr:from>
    <xdr:to>
      <xdr:col>11</xdr:col>
      <xdr:colOff>1809750</xdr:colOff>
      <xdr:row>30</xdr:row>
      <xdr:rowOff>1809750</xdr:rowOff>
    </xdr:to>
    <xdr:pic>
      <xdr:nvPicPr>
        <xdr:cNvPr id="41" name="composition_name">
          <a:extLst>
            <a:ext uri="{FF2B5EF4-FFF2-40B4-BE49-F238E27FC236}">
              <a16:creationId xmlns:a16="http://schemas.microsoft.com/office/drawing/2014/main" id="{E0631A13-228B-7AE0-1BB2-BFE86B83B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749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12</xdr:col>
      <xdr:colOff>30481</xdr:colOff>
      <xdr:row>30</xdr:row>
      <xdr:rowOff>95250</xdr:rowOff>
    </xdr:from>
    <xdr:to>
      <xdr:col>12</xdr:col>
      <xdr:colOff>579121</xdr:colOff>
      <xdr:row>30</xdr:row>
      <xdr:rowOff>1809750</xdr:rowOff>
    </xdr:to>
    <xdr:pic>
      <xdr:nvPicPr>
        <xdr:cNvPr id="43" name="composition_HasBlank">
          <a:extLst>
            <a:ext uri="{FF2B5EF4-FFF2-40B4-BE49-F238E27FC236}">
              <a16:creationId xmlns:a16="http://schemas.microsoft.com/office/drawing/2014/main" id="{7F2B860A-5B63-60B4-B2A4-F54B942594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9339561" y="2122170"/>
          <a:ext cx="548640" cy="1714500"/>
        </a:xfrm>
        <a:prstGeom prst="rect">
          <a:avLst/>
        </a:prstGeom>
      </xdr:spPr>
    </xdr:pic>
    <xdr:clientData/>
  </xdr:twoCellAnchor>
  <xdr:twoCellAnchor>
    <xdr:from>
      <xdr:col>12</xdr:col>
      <xdr:colOff>30481</xdr:colOff>
      <xdr:row>40</xdr:row>
      <xdr:rowOff>95250</xdr:rowOff>
    </xdr:from>
    <xdr:to>
      <xdr:col>12</xdr:col>
      <xdr:colOff>579121</xdr:colOff>
      <xdr:row>40</xdr:row>
      <xdr:rowOff>1809750</xdr:rowOff>
    </xdr:to>
    <xdr:pic>
      <xdr:nvPicPr>
        <xdr:cNvPr id="45" name="histogram_HasBlank">
          <a:extLst>
            <a:ext uri="{FF2B5EF4-FFF2-40B4-BE49-F238E27FC236}">
              <a16:creationId xmlns:a16="http://schemas.microsoft.com/office/drawing/2014/main" id="{7E696309-98FD-E877-EE04-42161251E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9339561" y="4339590"/>
          <a:ext cx="548640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66.996234837963" createdVersion="8" refreshedVersion="8" minRefreshableVersion="3" recordCount="398" xr:uid="{9CA2673A-A870-437E-AB9F-91D8276FD930}">
  <cacheSource type="worksheet">
    <worksheetSource name="tbl_SourceData"/>
  </cacheSource>
  <cacheFields count="12">
    <cacheField name="Record List" numFmtId="0">
      <sharedItems/>
    </cacheField>
    <cacheField name="mpg" numFmtId="0">
      <sharedItems containsSemiMixedTypes="0" containsString="0" containsNumber="1" minValue="9" maxValue="46.6" count="129">
        <n v="18"/>
        <n v="15"/>
        <n v="16"/>
        <n v="17"/>
        <n v="14"/>
        <n v="24"/>
        <n v="22"/>
        <n v="21"/>
        <n v="27"/>
        <n v="26"/>
        <n v="25"/>
        <n v="10"/>
        <n v="11"/>
        <n v="9"/>
        <n v="28"/>
        <n v="19"/>
        <n v="12"/>
        <n v="13"/>
        <n v="23"/>
        <n v="30"/>
        <n v="31"/>
        <n v="35"/>
        <n v="20"/>
        <n v="29"/>
        <n v="32"/>
        <n v="33"/>
        <n v="17.5"/>
        <n v="15.5"/>
        <n v="14.5"/>
        <n v="22.5"/>
        <n v="24.5"/>
        <n v="18.5"/>
        <n v="29.5"/>
        <n v="26.5"/>
        <n v="16.5"/>
        <n v="31.5"/>
        <n v="36"/>
        <n v="25.5"/>
        <n v="33.5"/>
        <n v="20.5"/>
        <n v="30.5"/>
        <n v="21.5"/>
        <n v="43.1"/>
        <n v="36.1"/>
        <n v="32.799999999999997"/>
        <n v="39.4"/>
        <n v="19.899999999999999"/>
        <n v="19.399999999999999"/>
        <n v="20.2"/>
        <n v="19.2"/>
        <n v="25.1"/>
        <n v="20.6"/>
        <n v="20.8"/>
        <n v="18.600000000000001"/>
        <n v="18.100000000000001"/>
        <n v="17.7"/>
        <n v="27.5"/>
        <n v="27.2"/>
        <n v="30.9"/>
        <n v="21.1"/>
        <n v="23.2"/>
        <n v="23.8"/>
        <n v="23.9"/>
        <n v="20.3"/>
        <n v="21.6"/>
        <n v="16.2"/>
        <n v="19.8"/>
        <n v="22.3"/>
        <n v="17.600000000000001"/>
        <n v="18.2"/>
        <n v="16.899999999999999"/>
        <n v="31.9"/>
        <n v="34.1"/>
        <n v="35.700000000000003"/>
        <n v="27.4"/>
        <n v="25.4"/>
        <n v="34.200000000000003"/>
        <n v="34.5"/>
        <n v="31.8"/>
        <n v="37.299999999999997"/>
        <n v="28.4"/>
        <n v="28.8"/>
        <n v="26.8"/>
        <n v="41.5"/>
        <n v="38.1"/>
        <n v="32.1"/>
        <n v="37.200000000000003"/>
        <n v="26.4"/>
        <n v="24.3"/>
        <n v="19.100000000000001"/>
        <n v="34.299999999999997"/>
        <n v="29.8"/>
        <n v="31.3"/>
        <n v="37"/>
        <n v="32.200000000000003"/>
        <n v="46.6"/>
        <n v="27.9"/>
        <n v="40.799999999999997"/>
        <n v="44.3"/>
        <n v="43.4"/>
        <n v="36.4"/>
        <n v="44.6"/>
        <n v="40.9"/>
        <n v="33.799999999999997"/>
        <n v="32.700000000000003"/>
        <n v="23.7"/>
        <n v="23.6"/>
        <n v="32.4"/>
        <n v="26.6"/>
        <n v="25.8"/>
        <n v="23.5"/>
        <n v="39.1"/>
        <n v="39"/>
        <n v="35.1"/>
        <n v="32.299999999999997"/>
        <n v="37.700000000000003"/>
        <n v="34.700000000000003"/>
        <n v="34.4"/>
        <n v="29.9"/>
        <n v="33.700000000000003"/>
        <n v="32.9"/>
        <n v="31.6"/>
        <n v="28.1"/>
        <n v="30.7"/>
        <n v="24.2"/>
        <n v="22.4"/>
        <n v="34"/>
        <n v="38"/>
        <n v="44"/>
      </sharedItems>
    </cacheField>
    <cacheField name="cylinders" numFmtId="0">
      <sharedItems containsSemiMixedTypes="0" containsString="0" containsNumber="1" containsInteger="1" minValue="3" maxValue="8" count="5">
        <n v="8"/>
        <n v="4"/>
        <n v="6"/>
        <n v="3"/>
        <n v="5"/>
      </sharedItems>
    </cacheField>
    <cacheField name="displacement" numFmtId="0">
      <sharedItems containsSemiMixedTypes="0" containsString="0" containsNumber="1" minValue="68" maxValue="455" count="82">
        <n v="307"/>
        <n v="350"/>
        <n v="318"/>
        <n v="304"/>
        <n v="302"/>
        <n v="429"/>
        <n v="454"/>
        <n v="440"/>
        <n v="455"/>
        <n v="390"/>
        <n v="383"/>
        <n v="340"/>
        <n v="400"/>
        <n v="113"/>
        <n v="198"/>
        <n v="199"/>
        <n v="200"/>
        <n v="97"/>
        <n v="110"/>
        <n v="107"/>
        <n v="104"/>
        <n v="121"/>
        <n v="360"/>
        <n v="140"/>
        <n v="98"/>
        <n v="232"/>
        <n v="225"/>
        <n v="250"/>
        <n v="351"/>
        <n v="258"/>
        <n v="122"/>
        <n v="116"/>
        <n v="79"/>
        <n v="88"/>
        <n v="71"/>
        <n v="72"/>
        <n v="91"/>
        <n v="97.5"/>
        <n v="70"/>
        <n v="120"/>
        <n v="96"/>
        <n v="108"/>
        <n v="155"/>
        <n v="68"/>
        <n v="114"/>
        <n v="156"/>
        <n v="76"/>
        <n v="83"/>
        <n v="90"/>
        <n v="231"/>
        <n v="262"/>
        <n v="134"/>
        <n v="119"/>
        <n v="171"/>
        <n v="115"/>
        <n v="101"/>
        <n v="305"/>
        <n v="85"/>
        <n v="130"/>
        <n v="168"/>
        <n v="111"/>
        <n v="260"/>
        <n v="151"/>
        <n v="146"/>
        <n v="80"/>
        <n v="78"/>
        <n v="105"/>
        <n v="131"/>
        <n v="163"/>
        <n v="89"/>
        <n v="267"/>
        <n v="86"/>
        <n v="183"/>
        <n v="141"/>
        <n v="173"/>
        <n v="135"/>
        <n v="81"/>
        <n v="100"/>
        <n v="145"/>
        <n v="112"/>
        <n v="181"/>
        <n v="144"/>
      </sharedItems>
    </cacheField>
    <cacheField name="horsepower" numFmtId="0">
      <sharedItems containsString="0" containsBlank="1" containsNumber="1" containsInteger="1" minValue="46" maxValue="230" count="94">
        <n v="130"/>
        <n v="165"/>
        <n v="150"/>
        <n v="140"/>
        <n v="198"/>
        <n v="220"/>
        <n v="215"/>
        <n v="225"/>
        <n v="190"/>
        <n v="170"/>
        <n v="160"/>
        <n v="95"/>
        <n v="97"/>
        <n v="85"/>
        <n v="88"/>
        <n v="46"/>
        <n v="87"/>
        <n v="90"/>
        <n v="113"/>
        <n v="200"/>
        <n v="210"/>
        <n v="193"/>
        <m/>
        <n v="100"/>
        <n v="105"/>
        <n v="175"/>
        <n v="153"/>
        <n v="180"/>
        <n v="110"/>
        <n v="72"/>
        <n v="86"/>
        <n v="70"/>
        <n v="76"/>
        <n v="65"/>
        <n v="69"/>
        <n v="60"/>
        <n v="80"/>
        <n v="54"/>
        <n v="208"/>
        <n v="155"/>
        <n v="112"/>
        <n v="92"/>
        <n v="145"/>
        <n v="137"/>
        <n v="158"/>
        <n v="167"/>
        <n v="94"/>
        <n v="107"/>
        <n v="230"/>
        <n v="49"/>
        <n v="75"/>
        <n v="91"/>
        <n v="122"/>
        <n v="67"/>
        <n v="83"/>
        <n v="78"/>
        <n v="52"/>
        <n v="61"/>
        <n v="93"/>
        <n v="148"/>
        <n v="129"/>
        <n v="96"/>
        <n v="71"/>
        <n v="98"/>
        <n v="115"/>
        <n v="53"/>
        <n v="81"/>
        <n v="79"/>
        <n v="120"/>
        <n v="152"/>
        <n v="102"/>
        <n v="108"/>
        <n v="68"/>
        <n v="58"/>
        <n v="149"/>
        <n v="89"/>
        <n v="63"/>
        <n v="48"/>
        <n v="66"/>
        <n v="139"/>
        <n v="103"/>
        <n v="125"/>
        <n v="133"/>
        <n v="138"/>
        <n v="135"/>
        <n v="142"/>
        <n v="77"/>
        <n v="62"/>
        <n v="132"/>
        <n v="84"/>
        <n v="64"/>
        <n v="74"/>
        <n v="116"/>
        <n v="82"/>
      </sharedItems>
    </cacheField>
    <cacheField name="weight" numFmtId="0">
      <sharedItems containsSemiMixedTypes="0" containsString="0" containsNumber="1" containsInteger="1" minValue="1613" maxValue="5140" count="351">
        <n v="3504"/>
        <n v="3693"/>
        <n v="3436"/>
        <n v="3433"/>
        <n v="3449"/>
        <n v="4341"/>
        <n v="4354"/>
        <n v="4312"/>
        <n v="4425"/>
        <n v="3850"/>
        <n v="3563"/>
        <n v="3609"/>
        <n v="3761"/>
        <n v="3086"/>
        <n v="2372"/>
        <n v="2833"/>
        <n v="2774"/>
        <n v="2587"/>
        <n v="2130"/>
        <n v="1835"/>
        <n v="2672"/>
        <n v="2430"/>
        <n v="2375"/>
        <n v="2234"/>
        <n v="2648"/>
        <n v="4615"/>
        <n v="4376"/>
        <n v="4382"/>
        <n v="4732"/>
        <n v="2264"/>
        <n v="2228"/>
        <n v="2046"/>
        <n v="2634"/>
        <n v="3439"/>
        <n v="3329"/>
        <n v="3302"/>
        <n v="3288"/>
        <n v="4209"/>
        <n v="4464"/>
        <n v="4154"/>
        <n v="4096"/>
        <n v="4955"/>
        <n v="4746"/>
        <n v="5140"/>
        <n v="2962"/>
        <n v="2408"/>
        <n v="3282"/>
        <n v="3139"/>
        <n v="2220"/>
        <n v="2123"/>
        <n v="2074"/>
        <n v="2065"/>
        <n v="1773"/>
        <n v="1613"/>
        <n v="1834"/>
        <n v="1955"/>
        <n v="2278"/>
        <n v="2126"/>
        <n v="2254"/>
        <n v="2226"/>
        <n v="4274"/>
        <n v="4385"/>
        <n v="4135"/>
        <n v="4129"/>
        <n v="3672"/>
        <n v="4633"/>
        <n v="4502"/>
        <n v="4456"/>
        <n v="4422"/>
        <n v="2330"/>
        <n v="3892"/>
        <n v="4098"/>
        <n v="4294"/>
        <n v="4077"/>
        <n v="2933"/>
        <n v="2511"/>
        <n v="2979"/>
        <n v="2189"/>
        <n v="2395"/>
        <n v="2288"/>
        <n v="2506"/>
        <n v="2164"/>
        <n v="2100"/>
        <n v="4100"/>
        <n v="3988"/>
        <n v="4042"/>
        <n v="3777"/>
        <n v="4952"/>
        <n v="4363"/>
        <n v="4237"/>
        <n v="4735"/>
        <n v="4951"/>
        <n v="3821"/>
        <n v="3121"/>
        <n v="3278"/>
        <n v="2945"/>
        <n v="3021"/>
        <n v="2904"/>
        <n v="1950"/>
        <n v="4997"/>
        <n v="4906"/>
        <n v="4654"/>
        <n v="4499"/>
        <n v="2789"/>
        <n v="2279"/>
        <n v="2401"/>
        <n v="2379"/>
        <n v="2124"/>
        <n v="2310"/>
        <n v="2472"/>
        <n v="2265"/>
        <n v="4082"/>
        <n v="4278"/>
        <n v="1867"/>
        <n v="2158"/>
        <n v="2582"/>
        <n v="2868"/>
        <n v="3399"/>
        <n v="2660"/>
        <n v="2807"/>
        <n v="3664"/>
        <n v="3102"/>
        <n v="2875"/>
        <n v="2901"/>
        <n v="3336"/>
        <n v="2451"/>
        <n v="1836"/>
        <n v="2542"/>
        <n v="3781"/>
        <n v="3632"/>
        <n v="3613"/>
        <n v="4141"/>
        <n v="4699"/>
        <n v="4457"/>
        <n v="4638"/>
        <n v="4257"/>
        <n v="2219"/>
        <n v="1963"/>
        <n v="2300"/>
        <n v="1649"/>
        <n v="2003"/>
        <n v="2125"/>
        <n v="2108"/>
        <n v="2246"/>
        <n v="2489"/>
        <n v="2391"/>
        <n v="2000"/>
        <n v="3264"/>
        <n v="3459"/>
        <n v="3432"/>
        <n v="3158"/>
        <n v="4668"/>
        <n v="4440"/>
        <n v="4498"/>
        <n v="4657"/>
        <n v="3907"/>
        <n v="3897"/>
        <n v="3730"/>
        <n v="3785"/>
        <n v="3039"/>
        <n v="3221"/>
        <n v="3169"/>
        <n v="2171"/>
        <n v="2639"/>
        <n v="2914"/>
        <n v="2592"/>
        <n v="2702"/>
        <n v="2223"/>
        <n v="2545"/>
        <n v="2984"/>
        <n v="1937"/>
        <n v="3211"/>
        <n v="2694"/>
        <n v="2957"/>
        <n v="2671"/>
        <n v="1795"/>
        <n v="2464"/>
        <n v="2572"/>
        <n v="2255"/>
        <n v="2202"/>
        <n v="4215"/>
        <n v="4190"/>
        <n v="3962"/>
        <n v="3233"/>
        <n v="3353"/>
        <n v="3012"/>
        <n v="3085"/>
        <n v="2035"/>
        <n v="3651"/>
        <n v="3574"/>
        <n v="3645"/>
        <n v="3193"/>
        <n v="1825"/>
        <n v="1990"/>
        <n v="2155"/>
        <n v="2565"/>
        <n v="3150"/>
        <n v="3940"/>
        <n v="3270"/>
        <n v="2930"/>
        <n v="3820"/>
        <n v="4380"/>
        <n v="4055"/>
        <n v="3870"/>
        <n v="3755"/>
        <n v="2045"/>
        <n v="1945"/>
        <n v="3880"/>
        <n v="4060"/>
        <n v="4140"/>
        <n v="4295"/>
        <n v="3520"/>
        <n v="3425"/>
        <n v="3630"/>
        <n v="3525"/>
        <n v="4220"/>
        <n v="4165"/>
        <n v="4325"/>
        <n v="4335"/>
        <n v="1940"/>
        <n v="2740"/>
        <n v="2755"/>
        <n v="2051"/>
        <n v="2075"/>
        <n v="1985"/>
        <n v="2190"/>
        <n v="2815"/>
        <n v="2600"/>
        <n v="2720"/>
        <n v="1800"/>
        <n v="2070"/>
        <n v="3365"/>
        <n v="3735"/>
        <n v="3570"/>
        <n v="3535"/>
        <n v="3155"/>
        <n v="2965"/>
        <n v="3430"/>
        <n v="3210"/>
        <n v="3380"/>
        <n v="3070"/>
        <n v="3620"/>
        <n v="3410"/>
        <n v="3445"/>
        <n v="3205"/>
        <n v="4080"/>
        <n v="2560"/>
        <n v="2230"/>
        <n v="2515"/>
        <n v="2745"/>
        <n v="2855"/>
        <n v="2405"/>
        <n v="2830"/>
        <n v="3140"/>
        <n v="2795"/>
        <n v="2135"/>
        <n v="3245"/>
        <n v="2990"/>
        <n v="2890"/>
        <n v="3265"/>
        <n v="3360"/>
        <n v="3840"/>
        <n v="3725"/>
        <n v="3955"/>
        <n v="3830"/>
        <n v="4360"/>
        <n v="4054"/>
        <n v="3605"/>
        <n v="1925"/>
        <n v="1975"/>
        <n v="1915"/>
        <n v="2670"/>
        <n v="3530"/>
        <n v="3900"/>
        <n v="3190"/>
        <n v="3420"/>
        <n v="2200"/>
        <n v="2150"/>
        <n v="2020"/>
        <n v="2595"/>
        <n v="2700"/>
        <n v="2556"/>
        <n v="2144"/>
        <n v="1968"/>
        <n v="2120"/>
        <n v="2019"/>
        <n v="2678"/>
        <n v="2870"/>
        <n v="3003"/>
        <n v="3381"/>
        <n v="2188"/>
        <n v="2711"/>
        <n v="2434"/>
        <n v="2110"/>
        <n v="2800"/>
        <n v="2085"/>
        <n v="2335"/>
        <n v="2950"/>
        <n v="3250"/>
        <n v="1850"/>
        <n v="2145"/>
        <n v="1845"/>
        <n v="2910"/>
        <n v="2420"/>
        <n v="2500"/>
        <n v="2905"/>
        <n v="2290"/>
        <n v="2490"/>
        <n v="2635"/>
        <n v="2620"/>
        <n v="2725"/>
        <n v="2385"/>
        <n v="1755"/>
        <n v="1875"/>
        <n v="1760"/>
        <n v="2050"/>
        <n v="2215"/>
        <n v="2380"/>
        <n v="2320"/>
        <n v="2210"/>
        <n v="2350"/>
        <n v="2615"/>
        <n v="3230"/>
        <n v="3160"/>
        <n v="2900"/>
        <n v="3415"/>
        <n v="3060"/>
        <n v="3465"/>
        <n v="2605"/>
        <n v="2640"/>
        <n v="2575"/>
        <n v="2525"/>
        <n v="2735"/>
        <n v="2865"/>
        <n v="3035"/>
        <n v="1980"/>
        <n v="2025"/>
        <n v="1970"/>
        <n v="2160"/>
        <n v="2205"/>
        <n v="2245"/>
        <n v="1965"/>
        <n v="1995"/>
        <n v="3015"/>
        <n v="2585"/>
        <n v="2835"/>
        <n v="2665"/>
        <n v="2370"/>
        <n v="2790"/>
        <n v="2295"/>
        <n v="2625"/>
      </sharedItems>
    </cacheField>
    <cacheField name="acceleration" numFmtId="0">
      <sharedItems containsSemiMixedTypes="0" containsString="0" containsNumber="1" minValue="8" maxValue="24.8" count="95">
        <n v="12"/>
        <n v="11.5"/>
        <n v="11"/>
        <n v="10.5"/>
        <n v="10"/>
        <n v="9"/>
        <n v="8.5"/>
        <n v="8"/>
        <n v="9.5"/>
        <n v="15"/>
        <n v="15.5"/>
        <n v="16"/>
        <n v="14.5"/>
        <n v="20.5"/>
        <n v="17.5"/>
        <n v="12.5"/>
        <n v="14"/>
        <n v="13.5"/>
        <n v="18.5"/>
        <n v="19"/>
        <n v="13"/>
        <n v="19.5"/>
        <n v="18"/>
        <n v="17"/>
        <n v="23.5"/>
        <n v="16.5"/>
        <n v="21"/>
        <n v="16.899999999999999"/>
        <n v="14.9"/>
        <n v="17.7"/>
        <n v="15.3"/>
        <n v="13.9"/>
        <n v="12.8"/>
        <n v="15.4"/>
        <n v="17.600000000000001"/>
        <n v="22.2"/>
        <n v="22.1"/>
        <n v="14.2"/>
        <n v="17.399999999999999"/>
        <n v="16.2"/>
        <n v="17.8"/>
        <n v="12.2"/>
        <n v="16.399999999999999"/>
        <n v="13.6"/>
        <n v="15.7"/>
        <n v="13.2"/>
        <n v="21.9"/>
        <n v="16.7"/>
        <n v="12.1"/>
        <n v="14.8"/>
        <n v="18.600000000000001"/>
        <n v="16.8"/>
        <n v="13.7"/>
        <n v="11.1"/>
        <n v="11.4"/>
        <n v="18.2"/>
        <n v="15.8"/>
        <n v="15.9"/>
        <n v="14.1"/>
        <n v="21.5"/>
        <n v="14.4"/>
        <n v="19.399999999999999"/>
        <n v="19.2"/>
        <n v="17.2"/>
        <n v="18.7"/>
        <n v="15.1"/>
        <n v="13.4"/>
        <n v="11.2"/>
        <n v="14.7"/>
        <n v="16.600000000000001"/>
        <n v="17.3"/>
        <n v="15.2"/>
        <n v="14.3"/>
        <n v="20.100000000000001"/>
        <n v="24.8"/>
        <n v="11.3"/>
        <n v="12.9"/>
        <n v="18.8"/>
        <n v="18.100000000000001"/>
        <n v="17.899999999999999"/>
        <n v="21.7"/>
        <n v="23.7"/>
        <n v="19.899999999999999"/>
        <n v="21.8"/>
        <n v="13.8"/>
        <n v="12.6"/>
        <n v="16.100000000000001"/>
        <n v="20.7"/>
        <n v="18.3"/>
        <n v="20.399999999999999"/>
        <n v="19.600000000000001"/>
        <n v="17.100000000000001"/>
        <n v="15.6"/>
        <n v="24.6"/>
        <n v="11.6"/>
      </sharedItems>
    </cacheField>
    <cacheField name="model_year" numFmtId="0">
      <sharedItems containsSemiMixedTypes="0" containsString="0" containsNumber="1" containsInteger="1" minValue="70" maxValue="82" count="13">
        <n v="70"/>
        <n v="71"/>
        <n v="72"/>
        <n v="73"/>
        <n v="74"/>
        <n v="75"/>
        <n v="76"/>
        <n v="77"/>
        <n v="78"/>
        <n v="79"/>
        <n v="80"/>
        <n v="81"/>
        <n v="82"/>
      </sharedItems>
    </cacheField>
    <cacheField name="origin" numFmtId="0">
      <sharedItems count="3">
        <s v="usa"/>
        <s v="japan"/>
        <s v="europe"/>
      </sharedItems>
    </cacheField>
    <cacheField name="name" numFmtId="0">
      <sharedItems count="305">
        <s v="chevrolet chevelle malibu"/>
        <s v="buick skylark 320"/>
        <s v="plymouth satellite"/>
        <s v="amc rebel sst"/>
        <s v="ford torino"/>
        <s v="ford galaxie 500"/>
        <s v="chevrolet impala"/>
        <s v="plymouth fury iii"/>
        <s v="pontiac catalina"/>
        <s v="amc ambassador dpl"/>
        <s v="dodge challenger se"/>
        <s v="plymouth 'cuda 340"/>
        <s v="chevrolet monte carlo"/>
        <s v="buick estate wagon (sw)"/>
        <s v="toyota corona mark ii"/>
        <s v="plymouth duster"/>
        <s v="amc hornet"/>
        <s v="ford maverick"/>
        <s v="datsun pl510"/>
        <s v="volkswagen 1131 deluxe sedan"/>
        <s v="peugeot 504"/>
        <s v="audi 100 ls"/>
        <s v="saab 99e"/>
        <s v="bmw 2002"/>
        <s v="amc gremlin"/>
        <s v="ford f250"/>
        <s v="chevy c20"/>
        <s v="dodge d200"/>
        <s v="hi 1200d"/>
        <s v="chevrolet vega 2300"/>
        <s v="toyota corona"/>
        <s v="ford pinto"/>
        <s v="plymouth satellite custom"/>
        <s v="ford torino 500"/>
        <s v="amc matador"/>
        <s v="pontiac catalina brougham"/>
        <s v="dodge monaco (sw)"/>
        <s v="ford country squire (sw)"/>
        <s v="pontiac safari (sw)"/>
        <s v="amc hornet sportabout (sw)"/>
        <s v="chevrolet vega (sw)"/>
        <s v="pontiac firebird"/>
        <s v="ford mustang"/>
        <s v="mercury capri 2000"/>
        <s v="opel 1900"/>
        <s v="peugeot 304"/>
        <s v="fiat 124b"/>
        <s v="toyota corolla 1200"/>
        <s v="datsun 1200"/>
        <s v="volkswagen model 111"/>
        <s v="plymouth cricket"/>
        <s v="toyota corona hardtop"/>
        <s v="dodge colt hardtop"/>
        <s v="volkswagen type 3"/>
        <s v="chevrolet vega"/>
        <s v="ford pinto runabout"/>
        <s v="amc ambassador sst"/>
        <s v="mercury marquis"/>
        <s v="buick lesabre custom"/>
        <s v="oldsmobile delta 88 royale"/>
        <s v="chrysler newport royal"/>
        <s v="mazda rx2 coupe"/>
        <s v="amc matador (sw)"/>
        <s v="chevrolet chevelle concours (sw)"/>
        <s v="ford gran torino (sw)"/>
        <s v="plymouth satellite custom (sw)"/>
        <s v="volvo 145e (sw)"/>
        <s v="volkswagen 411 (sw)"/>
        <s v="peugeot 504 (sw)"/>
        <s v="renault 12 (sw)"/>
        <s v="ford pinto (sw)"/>
        <s v="datsun 510 (sw)"/>
        <s v="toyouta corona mark ii (sw)"/>
        <s v="dodge colt (sw)"/>
        <s v="toyota corolla 1600 (sw)"/>
        <s v="buick century 350"/>
        <s v="chevrolet malibu"/>
        <s v="ford gran torino"/>
        <s v="dodge coronet custom"/>
        <s v="mercury marquis brougham"/>
        <s v="chevrolet caprice classic"/>
        <s v="ford ltd"/>
        <s v="plymouth fury gran sedan"/>
        <s v="chrysler new yorker brougham"/>
        <s v="buick electra 225 custom"/>
        <s v="amc ambassador brougham"/>
        <s v="plymouth valiant"/>
        <s v="chevrolet nova custom"/>
        <s v="volkswagen super beetle"/>
        <s v="ford country"/>
        <s v="plymouth custom suburb"/>
        <s v="oldsmobile vista cruiser"/>
        <s v="toyota carina"/>
        <s v="datsun 610"/>
        <s v="maxda rx3"/>
        <s v="mercury capri v6"/>
        <s v="fiat 124 sport coupe"/>
        <s v="chevrolet monte carlo s"/>
        <s v="pontiac grand prix"/>
        <s v="fiat 128"/>
        <s v="opel manta"/>
        <s v="audi 100ls"/>
        <s v="volvo 144ea"/>
        <s v="dodge dart custom"/>
        <s v="saab 99le"/>
        <s v="toyota mark ii"/>
        <s v="oldsmobile omega"/>
        <s v="chevrolet nova"/>
        <s v="datsun b210"/>
        <s v="chevrolet chevelle malibu classic"/>
        <s v="plymouth satellite sebring"/>
        <s v="buick century luxus (sw)"/>
        <s v="dodge coronet custom (sw)"/>
        <s v="audi fox"/>
        <s v="volkswagen dasher"/>
        <s v="datsun 710"/>
        <s v="dodge colt"/>
        <s v="fiat 124 tc"/>
        <s v="honda civic"/>
        <s v="subaru"/>
        <s v="fiat x1.9"/>
        <s v="plymouth valiant custom"/>
        <s v="mercury monarch"/>
        <s v="chevrolet bel air"/>
        <s v="plymouth grand fury"/>
        <s v="buick century"/>
        <s v="chevroelt chevelle malibu"/>
        <s v="plymouth fury"/>
        <s v="buick skyhawk"/>
        <s v="chevrolet monza 2+2"/>
        <s v="ford mustang ii"/>
        <s v="toyota corolla"/>
        <s v="pontiac astro"/>
        <s v="volkswagen rabbit"/>
        <s v="amc pacer"/>
        <s v="volvo 244dl"/>
        <s v="honda civic cvcc"/>
        <s v="fiat 131"/>
        <s v="capri ii"/>
        <s v="renault 12tl"/>
        <s v="dodge coronet brougham"/>
        <s v="chevrolet chevette"/>
        <s v="chevrolet woody"/>
        <s v="vw rabbit"/>
        <s v="dodge aspen se"/>
        <s v="ford granada ghia"/>
        <s v="pontiac ventura sj"/>
        <s v="amc pacer d/l"/>
        <s v="datsun b-210"/>
        <s v="volvo 245"/>
        <s v="plymouth volare premier v8"/>
        <s v="mercedes-benz 280s"/>
        <s v="cadillac seville"/>
        <s v="chevy c10"/>
        <s v="ford f108"/>
        <s v="dodge d100"/>
        <s v="honda accord cvcc"/>
        <s v="buick opel isuzu deluxe"/>
        <s v="renault 5 gtl"/>
        <s v="plymouth arrow gs"/>
        <s v="datsun f-10 hatchback"/>
        <s v="oldsmobile cutlass supreme"/>
        <s v="dodge monaco brougham"/>
        <s v="mercury cougar brougham"/>
        <s v="chevrolet concours"/>
        <s v="buick skylark"/>
        <s v="plymouth volare custom"/>
        <s v="ford granada"/>
        <s v="pontiac grand prix lj"/>
        <s v="chevrolet monte carlo landau"/>
        <s v="chrysler cordoba"/>
        <s v="ford thunderbird"/>
        <s v="volkswagen rabbit custom"/>
        <s v="pontiac sunbird coupe"/>
        <s v="toyota corolla liftback"/>
        <s v="ford mustang ii 2+2"/>
        <s v="dodge colt m/m"/>
        <s v="subaru dl"/>
        <s v="datsun 810"/>
        <s v="bmw 320i"/>
        <s v="mazda rx-4"/>
        <s v="volkswagen rabbit custom diesel"/>
        <s v="ford fiesta"/>
        <s v="mazda glc deluxe"/>
        <s v="datsun b210 gx"/>
        <s v="oldsmobile cutlass salon brougham"/>
        <s v="dodge diplomat"/>
        <s v="mercury monarch ghia"/>
        <s v="pontiac phoenix lj"/>
        <s v="ford fairmont (auto)"/>
        <s v="ford fairmont (man)"/>
        <s v="plymouth volare"/>
        <s v="amc concord"/>
        <s v="buick century special"/>
        <s v="mercury zephyr"/>
        <s v="dodge aspen"/>
        <s v="amc concord d/l"/>
        <s v="buick regal sport coupe (turbo)"/>
        <s v="ford futura"/>
        <s v="dodge magnum xe"/>
        <s v="datsun 510"/>
        <s v="dodge omni"/>
        <s v="toyota celica gt liftback"/>
        <s v="plymouth sapporo"/>
        <s v="oldsmobile starfire sx"/>
        <s v="datsun 200-sx"/>
        <s v="audi 5000"/>
        <s v="volvo 264gl"/>
        <s v="saab 99gle"/>
        <s v="peugeot 604sl"/>
        <s v="volkswagen scirocco"/>
        <s v="honda accord lx"/>
        <s v="pontiac lemans v6"/>
        <s v="mercury zephyr 6"/>
        <s v="ford fairmont 4"/>
        <s v="amc concord dl 6"/>
        <s v="dodge aspen 6"/>
        <s v="ford ltd landau"/>
        <s v="mercury grand marquis"/>
        <s v="dodge st. regis"/>
        <s v="chevrolet malibu classic (sw)"/>
        <s v="chrysler lebaron town @ country (sw)"/>
        <s v="vw rabbit custom"/>
        <s v="maxda glc deluxe"/>
        <s v="dodge colt hatchback custom"/>
        <s v="amc spirit dl"/>
        <s v="mercedes benz 300d"/>
        <s v="cadillac eldorado"/>
        <s v="plymouth horizon"/>
        <s v="plymouth horizon tc3"/>
        <s v="datsun 210"/>
        <s v="fiat strada custom"/>
        <s v="buick skylark limited"/>
        <s v="chevrolet citation"/>
        <s v="oldsmobile omega brougham"/>
        <s v="pontiac phoenix"/>
        <s v="toyota corolla tercel"/>
        <s v="datsun 310"/>
        <s v="ford fairmont"/>
        <s v="audi 4000"/>
        <s v="toyota corona liftback"/>
        <s v="mazda 626"/>
        <s v="datsun 510 hatchback"/>
        <s v="mazda glc"/>
        <s v="vw rabbit c (diesel)"/>
        <s v="vw dasher (diesel)"/>
        <s v="audi 5000s (diesel)"/>
        <s v="mercedes-benz 240d"/>
        <s v="honda civic 1500 gl"/>
        <s v="renault lecar deluxe"/>
        <s v="vokswagen rabbit"/>
        <s v="datsun 280-zx"/>
        <s v="mazda rx-7 gs"/>
        <s v="triumph tr7 coupe"/>
        <s v="ford mustang cobra"/>
        <s v="honda accord"/>
        <s v="plymouth reliant"/>
        <s v="dodge aries wagon (sw)"/>
        <s v="toyota starlet"/>
        <s v="plymouth champ"/>
        <s v="honda civic 1300"/>
        <s v="datsun 210 mpg"/>
        <s v="toyota tercel"/>
        <s v="mazda glc 4"/>
        <s v="plymouth horizon 4"/>
        <s v="ford escort 4w"/>
        <s v="ford escort 2h"/>
        <s v="volkswagen jetta"/>
        <s v="renault 18i"/>
        <s v="honda prelude"/>
        <s v="datsun 200sx"/>
        <s v="peugeot 505s turbo diesel"/>
        <s v="volvo diesel"/>
        <s v="toyota cressida"/>
        <s v="datsun 810 maxima"/>
        <s v="oldsmobile cutlass ls"/>
        <s v="ford granada gl"/>
        <s v="chrysler lebaron salon"/>
        <s v="chevrolet cavalier"/>
        <s v="chevrolet cavalier wagon"/>
        <s v="chevrolet cavalier 2-door"/>
        <s v="pontiac j2000 se hatchback"/>
        <s v="dodge aries se"/>
        <s v="ford fairmont futura"/>
        <s v="amc concord dl"/>
        <s v="volkswagen rabbit l"/>
        <s v="mazda glc custom l"/>
        <s v="mazda glc custom"/>
        <s v="plymouth horizon miser"/>
        <s v="mercury lynx l"/>
        <s v="nissan stanza xe"/>
        <s v="honda civic (auto)"/>
        <s v="datsun 310 gx"/>
        <s v="buick century limited"/>
        <s v="oldsmobile cutlass ciera (diesel)"/>
        <s v="chrysler lebaron medallion"/>
        <s v="ford granada l"/>
        <s v="toyota celica gt"/>
        <s v="dodge charger 2.2"/>
        <s v="chevrolet camaro"/>
        <s v="ford mustang gl"/>
        <s v="vw pickup"/>
        <s v="dodge rampage"/>
        <s v="ford ranger"/>
        <s v="chevy s-10"/>
      </sharedItems>
    </cacheField>
    <cacheField name="HasBlank" numFmtId="0">
      <sharedItems containsSemiMixedTypes="0" containsString="0" containsNumber="1" containsInteger="1" minValue="0" maxValue="1"/>
    </cacheField>
    <cacheField name="Record Hash" numFmtId="0">
      <sharedItems containsSemiMixedTypes="0" containsString="0" containsNumber="1" containsInteger="1" minValue="3.43124186450377E+16" maxValue="1.84390174633868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8">
  <r>
    <b v="0"/>
    <x v="0"/>
    <x v="0"/>
    <x v="0"/>
    <x v="0"/>
    <x v="0"/>
    <x v="0"/>
    <x v="0"/>
    <x v="0"/>
    <x v="0"/>
    <n v="0"/>
    <n v="8.4248097103370998E+18"/>
  </r>
  <r>
    <b v="0"/>
    <x v="1"/>
    <x v="0"/>
    <x v="1"/>
    <x v="1"/>
    <x v="1"/>
    <x v="1"/>
    <x v="0"/>
    <x v="0"/>
    <x v="1"/>
    <n v="0"/>
    <n v="2.10198990942814E+18"/>
  </r>
  <r>
    <b v="0"/>
    <x v="0"/>
    <x v="0"/>
    <x v="2"/>
    <x v="2"/>
    <x v="2"/>
    <x v="2"/>
    <x v="0"/>
    <x v="0"/>
    <x v="2"/>
    <n v="0"/>
    <n v="6.2755333812898396E+18"/>
  </r>
  <r>
    <b v="0"/>
    <x v="2"/>
    <x v="0"/>
    <x v="3"/>
    <x v="2"/>
    <x v="3"/>
    <x v="0"/>
    <x v="0"/>
    <x v="0"/>
    <x v="3"/>
    <n v="0"/>
    <n v="1.35221845387619E+19"/>
  </r>
  <r>
    <b v="0"/>
    <x v="3"/>
    <x v="0"/>
    <x v="4"/>
    <x v="3"/>
    <x v="4"/>
    <x v="3"/>
    <x v="0"/>
    <x v="0"/>
    <x v="4"/>
    <n v="0"/>
    <n v="1.1188445182320501E+19"/>
  </r>
  <r>
    <b v="0"/>
    <x v="1"/>
    <x v="0"/>
    <x v="5"/>
    <x v="4"/>
    <x v="5"/>
    <x v="4"/>
    <x v="0"/>
    <x v="0"/>
    <x v="5"/>
    <n v="0"/>
    <n v="6.0824012230181601E+18"/>
  </r>
  <r>
    <b v="0"/>
    <x v="4"/>
    <x v="0"/>
    <x v="6"/>
    <x v="5"/>
    <x v="6"/>
    <x v="5"/>
    <x v="0"/>
    <x v="0"/>
    <x v="6"/>
    <n v="0"/>
    <n v="4.4712479514802601E+18"/>
  </r>
  <r>
    <b v="0"/>
    <x v="4"/>
    <x v="0"/>
    <x v="7"/>
    <x v="6"/>
    <x v="7"/>
    <x v="6"/>
    <x v="0"/>
    <x v="0"/>
    <x v="7"/>
    <n v="0"/>
    <n v="7.3649658198283397E+18"/>
  </r>
  <r>
    <b v="0"/>
    <x v="4"/>
    <x v="0"/>
    <x v="8"/>
    <x v="7"/>
    <x v="8"/>
    <x v="4"/>
    <x v="0"/>
    <x v="0"/>
    <x v="8"/>
    <n v="0"/>
    <n v="1.40704921538798E+19"/>
  </r>
  <r>
    <b v="0"/>
    <x v="1"/>
    <x v="0"/>
    <x v="9"/>
    <x v="8"/>
    <x v="9"/>
    <x v="6"/>
    <x v="0"/>
    <x v="0"/>
    <x v="9"/>
    <n v="0"/>
    <n v="1.45952863663329E+18"/>
  </r>
  <r>
    <b v="0"/>
    <x v="1"/>
    <x v="0"/>
    <x v="10"/>
    <x v="9"/>
    <x v="10"/>
    <x v="4"/>
    <x v="0"/>
    <x v="0"/>
    <x v="10"/>
    <n v="0"/>
    <n v="5.8643600446436403E+18"/>
  </r>
  <r>
    <b v="0"/>
    <x v="4"/>
    <x v="0"/>
    <x v="11"/>
    <x v="10"/>
    <x v="11"/>
    <x v="7"/>
    <x v="0"/>
    <x v="0"/>
    <x v="11"/>
    <n v="0"/>
    <n v="1.43934949984228E+19"/>
  </r>
  <r>
    <b v="0"/>
    <x v="1"/>
    <x v="0"/>
    <x v="12"/>
    <x v="2"/>
    <x v="12"/>
    <x v="8"/>
    <x v="0"/>
    <x v="0"/>
    <x v="12"/>
    <n v="0"/>
    <n v="1.49030430669213E+19"/>
  </r>
  <r>
    <b v="0"/>
    <x v="4"/>
    <x v="0"/>
    <x v="8"/>
    <x v="7"/>
    <x v="13"/>
    <x v="4"/>
    <x v="0"/>
    <x v="0"/>
    <x v="13"/>
    <n v="0"/>
    <n v="6.6556173055442002E+18"/>
  </r>
  <r>
    <b v="0"/>
    <x v="5"/>
    <x v="1"/>
    <x v="13"/>
    <x v="11"/>
    <x v="14"/>
    <x v="9"/>
    <x v="0"/>
    <x v="1"/>
    <x v="14"/>
    <n v="0"/>
    <n v="1.0392147893042E+19"/>
  </r>
  <r>
    <b v="0"/>
    <x v="6"/>
    <x v="2"/>
    <x v="14"/>
    <x v="11"/>
    <x v="15"/>
    <x v="10"/>
    <x v="0"/>
    <x v="0"/>
    <x v="15"/>
    <n v="0"/>
    <n v="2.78255329549363E+18"/>
  </r>
  <r>
    <b v="0"/>
    <x v="0"/>
    <x v="2"/>
    <x v="15"/>
    <x v="12"/>
    <x v="16"/>
    <x v="10"/>
    <x v="0"/>
    <x v="0"/>
    <x v="16"/>
    <n v="0"/>
    <n v="3.9147425929085798E+18"/>
  </r>
  <r>
    <b v="0"/>
    <x v="7"/>
    <x v="2"/>
    <x v="16"/>
    <x v="13"/>
    <x v="17"/>
    <x v="11"/>
    <x v="0"/>
    <x v="0"/>
    <x v="17"/>
    <n v="0"/>
    <n v="6.4323197693275003E+18"/>
  </r>
  <r>
    <b v="0"/>
    <x v="8"/>
    <x v="1"/>
    <x v="17"/>
    <x v="14"/>
    <x v="18"/>
    <x v="12"/>
    <x v="0"/>
    <x v="1"/>
    <x v="18"/>
    <n v="0"/>
    <n v="1.00140037705559E+19"/>
  </r>
  <r>
    <b v="0"/>
    <x v="9"/>
    <x v="1"/>
    <x v="17"/>
    <x v="15"/>
    <x v="19"/>
    <x v="13"/>
    <x v="0"/>
    <x v="2"/>
    <x v="19"/>
    <n v="0"/>
    <n v="5.0027793061062001E+18"/>
  </r>
  <r>
    <b v="0"/>
    <x v="10"/>
    <x v="1"/>
    <x v="18"/>
    <x v="16"/>
    <x v="20"/>
    <x v="14"/>
    <x v="0"/>
    <x v="2"/>
    <x v="20"/>
    <n v="0"/>
    <n v="3.98129040686799E+18"/>
  </r>
  <r>
    <b v="0"/>
    <x v="5"/>
    <x v="1"/>
    <x v="19"/>
    <x v="17"/>
    <x v="21"/>
    <x v="12"/>
    <x v="0"/>
    <x v="2"/>
    <x v="21"/>
    <n v="0"/>
    <n v="5.0729505785585603E+18"/>
  </r>
  <r>
    <b v="0"/>
    <x v="10"/>
    <x v="1"/>
    <x v="20"/>
    <x v="11"/>
    <x v="22"/>
    <x v="14"/>
    <x v="0"/>
    <x v="2"/>
    <x v="22"/>
    <n v="0"/>
    <n v="1.10845430870465E+19"/>
  </r>
  <r>
    <b v="0"/>
    <x v="9"/>
    <x v="1"/>
    <x v="21"/>
    <x v="18"/>
    <x v="23"/>
    <x v="15"/>
    <x v="0"/>
    <x v="2"/>
    <x v="23"/>
    <n v="0"/>
    <n v="8.9707203426695895E+18"/>
  </r>
  <r>
    <b v="0"/>
    <x v="7"/>
    <x v="2"/>
    <x v="15"/>
    <x v="17"/>
    <x v="24"/>
    <x v="9"/>
    <x v="0"/>
    <x v="0"/>
    <x v="24"/>
    <n v="0"/>
    <n v="1.5542192949840501E+19"/>
  </r>
  <r>
    <b v="0"/>
    <x v="11"/>
    <x v="0"/>
    <x v="22"/>
    <x v="6"/>
    <x v="25"/>
    <x v="16"/>
    <x v="0"/>
    <x v="0"/>
    <x v="25"/>
    <n v="0"/>
    <n v="5.3585220090209597E+18"/>
  </r>
  <r>
    <b v="0"/>
    <x v="11"/>
    <x v="0"/>
    <x v="0"/>
    <x v="19"/>
    <x v="26"/>
    <x v="9"/>
    <x v="0"/>
    <x v="0"/>
    <x v="26"/>
    <n v="0"/>
    <n v="1.6435007433648599E+19"/>
  </r>
  <r>
    <b v="0"/>
    <x v="12"/>
    <x v="0"/>
    <x v="2"/>
    <x v="20"/>
    <x v="27"/>
    <x v="17"/>
    <x v="0"/>
    <x v="0"/>
    <x v="27"/>
    <n v="0"/>
    <n v="6.62923824539938E+18"/>
  </r>
  <r>
    <b v="0"/>
    <x v="13"/>
    <x v="0"/>
    <x v="3"/>
    <x v="21"/>
    <x v="28"/>
    <x v="18"/>
    <x v="0"/>
    <x v="0"/>
    <x v="28"/>
    <n v="0"/>
    <n v="1.67697851534975E+19"/>
  </r>
  <r>
    <b v="0"/>
    <x v="8"/>
    <x v="1"/>
    <x v="17"/>
    <x v="14"/>
    <x v="18"/>
    <x v="12"/>
    <x v="1"/>
    <x v="1"/>
    <x v="18"/>
    <n v="0"/>
    <n v="9.4004885661463491E+18"/>
  </r>
  <r>
    <b v="0"/>
    <x v="14"/>
    <x v="1"/>
    <x v="23"/>
    <x v="17"/>
    <x v="29"/>
    <x v="10"/>
    <x v="1"/>
    <x v="0"/>
    <x v="29"/>
    <n v="0"/>
    <n v="6.8953151131406397E+18"/>
  </r>
  <r>
    <b v="0"/>
    <x v="10"/>
    <x v="1"/>
    <x v="13"/>
    <x v="11"/>
    <x v="30"/>
    <x v="16"/>
    <x v="1"/>
    <x v="1"/>
    <x v="30"/>
    <n v="0"/>
    <n v="2.4501189413904599E+18"/>
  </r>
  <r>
    <b v="0"/>
    <x v="10"/>
    <x v="1"/>
    <x v="24"/>
    <x v="22"/>
    <x v="31"/>
    <x v="19"/>
    <x v="1"/>
    <x v="0"/>
    <x v="31"/>
    <n v="1"/>
    <n v="7.6135125973815798E+18"/>
  </r>
  <r>
    <b v="0"/>
    <x v="15"/>
    <x v="2"/>
    <x v="25"/>
    <x v="23"/>
    <x v="32"/>
    <x v="20"/>
    <x v="1"/>
    <x v="0"/>
    <x v="24"/>
    <n v="0"/>
    <n v="8.6827947192414597E+18"/>
  </r>
  <r>
    <b v="0"/>
    <x v="2"/>
    <x v="2"/>
    <x v="26"/>
    <x v="24"/>
    <x v="33"/>
    <x v="10"/>
    <x v="1"/>
    <x v="0"/>
    <x v="32"/>
    <n v="0"/>
    <n v="2.26021584479308E+17"/>
  </r>
  <r>
    <b v="0"/>
    <x v="3"/>
    <x v="2"/>
    <x v="27"/>
    <x v="23"/>
    <x v="34"/>
    <x v="10"/>
    <x v="1"/>
    <x v="0"/>
    <x v="0"/>
    <n v="0"/>
    <n v="5.2820909956741499E+18"/>
  </r>
  <r>
    <b v="0"/>
    <x v="15"/>
    <x v="2"/>
    <x v="27"/>
    <x v="14"/>
    <x v="35"/>
    <x v="10"/>
    <x v="1"/>
    <x v="0"/>
    <x v="33"/>
    <n v="0"/>
    <n v="1.3953491196494299E+19"/>
  </r>
  <r>
    <b v="0"/>
    <x v="0"/>
    <x v="2"/>
    <x v="25"/>
    <x v="23"/>
    <x v="36"/>
    <x v="10"/>
    <x v="1"/>
    <x v="0"/>
    <x v="34"/>
    <n v="0"/>
    <n v="8.8864532462505697E+18"/>
  </r>
  <r>
    <b v="0"/>
    <x v="4"/>
    <x v="0"/>
    <x v="1"/>
    <x v="1"/>
    <x v="37"/>
    <x v="0"/>
    <x v="1"/>
    <x v="0"/>
    <x v="6"/>
    <n v="0"/>
    <n v="1.59927556204138E+19"/>
  </r>
  <r>
    <b v="0"/>
    <x v="4"/>
    <x v="0"/>
    <x v="12"/>
    <x v="25"/>
    <x v="38"/>
    <x v="1"/>
    <x v="1"/>
    <x v="0"/>
    <x v="35"/>
    <n v="0"/>
    <n v="1.0254934384960999E+19"/>
  </r>
  <r>
    <b v="0"/>
    <x v="4"/>
    <x v="0"/>
    <x v="28"/>
    <x v="26"/>
    <x v="39"/>
    <x v="17"/>
    <x v="1"/>
    <x v="0"/>
    <x v="5"/>
    <n v="0"/>
    <n v="9.3242362378613696E+17"/>
  </r>
  <r>
    <b v="0"/>
    <x v="4"/>
    <x v="0"/>
    <x v="2"/>
    <x v="2"/>
    <x v="40"/>
    <x v="20"/>
    <x v="1"/>
    <x v="0"/>
    <x v="7"/>
    <n v="0"/>
    <n v="6.7288459705767803E+18"/>
  </r>
  <r>
    <b v="0"/>
    <x v="16"/>
    <x v="0"/>
    <x v="10"/>
    <x v="27"/>
    <x v="41"/>
    <x v="1"/>
    <x v="1"/>
    <x v="0"/>
    <x v="36"/>
    <n v="0"/>
    <n v="4.4505558858131901E+18"/>
  </r>
  <r>
    <b v="0"/>
    <x v="17"/>
    <x v="0"/>
    <x v="12"/>
    <x v="9"/>
    <x v="42"/>
    <x v="0"/>
    <x v="1"/>
    <x v="0"/>
    <x v="37"/>
    <n v="0"/>
    <n v="7.2538490449918198E+18"/>
  </r>
  <r>
    <b v="0"/>
    <x v="17"/>
    <x v="0"/>
    <x v="12"/>
    <x v="25"/>
    <x v="43"/>
    <x v="0"/>
    <x v="1"/>
    <x v="0"/>
    <x v="38"/>
    <n v="0"/>
    <n v="1.79625460335482E+19"/>
  </r>
  <r>
    <b v="0"/>
    <x v="0"/>
    <x v="2"/>
    <x v="29"/>
    <x v="28"/>
    <x v="44"/>
    <x v="17"/>
    <x v="1"/>
    <x v="0"/>
    <x v="39"/>
    <n v="0"/>
    <n v="1.2913314102278101E+19"/>
  </r>
  <r>
    <b v="0"/>
    <x v="6"/>
    <x v="1"/>
    <x v="23"/>
    <x v="29"/>
    <x v="45"/>
    <x v="19"/>
    <x v="1"/>
    <x v="0"/>
    <x v="40"/>
    <n v="0"/>
    <n v="7.56600483329583E+18"/>
  </r>
  <r>
    <b v="0"/>
    <x v="15"/>
    <x v="2"/>
    <x v="27"/>
    <x v="23"/>
    <x v="46"/>
    <x v="9"/>
    <x v="1"/>
    <x v="0"/>
    <x v="41"/>
    <n v="0"/>
    <n v="1.07066755441839E+19"/>
  </r>
  <r>
    <b v="0"/>
    <x v="0"/>
    <x v="2"/>
    <x v="27"/>
    <x v="14"/>
    <x v="47"/>
    <x v="12"/>
    <x v="1"/>
    <x v="0"/>
    <x v="42"/>
    <n v="0"/>
    <n v="5.1924818878860001E+18"/>
  </r>
  <r>
    <b v="0"/>
    <x v="18"/>
    <x v="1"/>
    <x v="30"/>
    <x v="30"/>
    <x v="48"/>
    <x v="16"/>
    <x v="1"/>
    <x v="0"/>
    <x v="43"/>
    <n v="0"/>
    <n v="1.3277572776951699E+19"/>
  </r>
  <r>
    <b v="0"/>
    <x v="14"/>
    <x v="1"/>
    <x v="31"/>
    <x v="17"/>
    <x v="49"/>
    <x v="16"/>
    <x v="1"/>
    <x v="2"/>
    <x v="44"/>
    <n v="0"/>
    <n v="1.1074388715599901E+19"/>
  </r>
  <r>
    <b v="0"/>
    <x v="19"/>
    <x v="1"/>
    <x v="32"/>
    <x v="31"/>
    <x v="50"/>
    <x v="21"/>
    <x v="1"/>
    <x v="2"/>
    <x v="45"/>
    <n v="0"/>
    <n v="1.01816488423353E+19"/>
  </r>
  <r>
    <b v="0"/>
    <x v="19"/>
    <x v="1"/>
    <x v="33"/>
    <x v="32"/>
    <x v="51"/>
    <x v="12"/>
    <x v="1"/>
    <x v="2"/>
    <x v="46"/>
    <n v="0"/>
    <n v="3.2811550558686602E+18"/>
  </r>
  <r>
    <b v="0"/>
    <x v="20"/>
    <x v="1"/>
    <x v="34"/>
    <x v="33"/>
    <x v="52"/>
    <x v="19"/>
    <x v="1"/>
    <x v="1"/>
    <x v="47"/>
    <n v="0"/>
    <n v="1.7336385104217801E+19"/>
  </r>
  <r>
    <b v="0"/>
    <x v="21"/>
    <x v="1"/>
    <x v="35"/>
    <x v="34"/>
    <x v="53"/>
    <x v="22"/>
    <x v="1"/>
    <x v="1"/>
    <x v="48"/>
    <n v="0"/>
    <n v="1.22502142626369E+19"/>
  </r>
  <r>
    <b v="0"/>
    <x v="8"/>
    <x v="1"/>
    <x v="17"/>
    <x v="35"/>
    <x v="54"/>
    <x v="19"/>
    <x v="1"/>
    <x v="2"/>
    <x v="49"/>
    <n v="0"/>
    <n v="1.5959225348860899E+19"/>
  </r>
  <r>
    <b v="0"/>
    <x v="9"/>
    <x v="1"/>
    <x v="36"/>
    <x v="31"/>
    <x v="55"/>
    <x v="13"/>
    <x v="1"/>
    <x v="0"/>
    <x v="50"/>
    <n v="0"/>
    <n v="1.7411559050286701E+19"/>
  </r>
  <r>
    <b v="0"/>
    <x v="5"/>
    <x v="1"/>
    <x v="13"/>
    <x v="11"/>
    <x v="56"/>
    <x v="10"/>
    <x v="2"/>
    <x v="1"/>
    <x v="51"/>
    <n v="0"/>
    <n v="1.8132871325521601E+19"/>
  </r>
  <r>
    <b v="0"/>
    <x v="10"/>
    <x v="1"/>
    <x v="37"/>
    <x v="36"/>
    <x v="57"/>
    <x v="23"/>
    <x v="2"/>
    <x v="0"/>
    <x v="52"/>
    <n v="0"/>
    <n v="1.07140893326087E+19"/>
  </r>
  <r>
    <b v="0"/>
    <x v="18"/>
    <x v="1"/>
    <x v="17"/>
    <x v="37"/>
    <x v="58"/>
    <x v="24"/>
    <x v="2"/>
    <x v="2"/>
    <x v="53"/>
    <n v="0"/>
    <n v="6.4301981156796698E+17"/>
  </r>
  <r>
    <b v="0"/>
    <x v="22"/>
    <x v="1"/>
    <x v="23"/>
    <x v="17"/>
    <x v="45"/>
    <x v="21"/>
    <x v="2"/>
    <x v="0"/>
    <x v="54"/>
    <n v="0"/>
    <n v="1.6011066358721901E+19"/>
  </r>
  <r>
    <b v="0"/>
    <x v="7"/>
    <x v="1"/>
    <x v="30"/>
    <x v="30"/>
    <x v="59"/>
    <x v="25"/>
    <x v="2"/>
    <x v="0"/>
    <x v="55"/>
    <n v="0"/>
    <n v="1.6832203426790799E+19"/>
  </r>
  <r>
    <b v="0"/>
    <x v="17"/>
    <x v="0"/>
    <x v="1"/>
    <x v="1"/>
    <x v="60"/>
    <x v="0"/>
    <x v="2"/>
    <x v="0"/>
    <x v="6"/>
    <n v="0"/>
    <n v="4.53961981979725E+18"/>
  </r>
  <r>
    <b v="0"/>
    <x v="4"/>
    <x v="0"/>
    <x v="12"/>
    <x v="25"/>
    <x v="61"/>
    <x v="0"/>
    <x v="2"/>
    <x v="0"/>
    <x v="8"/>
    <n v="0"/>
    <n v="1.6211288435666201E+19"/>
  </r>
  <r>
    <b v="0"/>
    <x v="1"/>
    <x v="0"/>
    <x v="2"/>
    <x v="2"/>
    <x v="62"/>
    <x v="17"/>
    <x v="2"/>
    <x v="0"/>
    <x v="7"/>
    <n v="0"/>
    <n v="1.48839876647634E+18"/>
  </r>
  <r>
    <b v="0"/>
    <x v="4"/>
    <x v="0"/>
    <x v="28"/>
    <x v="26"/>
    <x v="63"/>
    <x v="20"/>
    <x v="2"/>
    <x v="0"/>
    <x v="5"/>
    <n v="0"/>
    <n v="1.60358360583226E+19"/>
  </r>
  <r>
    <b v="0"/>
    <x v="3"/>
    <x v="0"/>
    <x v="3"/>
    <x v="2"/>
    <x v="64"/>
    <x v="1"/>
    <x v="2"/>
    <x v="0"/>
    <x v="56"/>
    <n v="0"/>
    <n v="5.7426695592469504E+18"/>
  </r>
  <r>
    <b v="0"/>
    <x v="12"/>
    <x v="0"/>
    <x v="5"/>
    <x v="38"/>
    <x v="65"/>
    <x v="2"/>
    <x v="2"/>
    <x v="0"/>
    <x v="57"/>
    <n v="0"/>
    <n v="5.1159948315334298E+18"/>
  </r>
  <r>
    <b v="0"/>
    <x v="17"/>
    <x v="0"/>
    <x v="1"/>
    <x v="39"/>
    <x v="66"/>
    <x v="17"/>
    <x v="2"/>
    <x v="0"/>
    <x v="58"/>
    <n v="0"/>
    <n v="1.9909612268306801E+18"/>
  </r>
  <r>
    <b v="0"/>
    <x v="16"/>
    <x v="0"/>
    <x v="1"/>
    <x v="10"/>
    <x v="67"/>
    <x v="17"/>
    <x v="2"/>
    <x v="0"/>
    <x v="59"/>
    <n v="0"/>
    <n v="1.06005019243624E+19"/>
  </r>
  <r>
    <b v="0"/>
    <x v="17"/>
    <x v="0"/>
    <x v="12"/>
    <x v="8"/>
    <x v="68"/>
    <x v="15"/>
    <x v="2"/>
    <x v="0"/>
    <x v="60"/>
    <n v="0"/>
    <n v="5.3651853022959302E+17"/>
  </r>
  <r>
    <b v="0"/>
    <x v="15"/>
    <x v="3"/>
    <x v="38"/>
    <x v="12"/>
    <x v="69"/>
    <x v="17"/>
    <x v="2"/>
    <x v="1"/>
    <x v="61"/>
    <n v="0"/>
    <n v="7.5031258433233203E+18"/>
  </r>
  <r>
    <b v="0"/>
    <x v="1"/>
    <x v="0"/>
    <x v="3"/>
    <x v="2"/>
    <x v="70"/>
    <x v="15"/>
    <x v="2"/>
    <x v="0"/>
    <x v="62"/>
    <n v="0"/>
    <n v="1.54974621642561E+19"/>
  </r>
  <r>
    <b v="0"/>
    <x v="17"/>
    <x v="0"/>
    <x v="0"/>
    <x v="0"/>
    <x v="71"/>
    <x v="16"/>
    <x v="2"/>
    <x v="0"/>
    <x v="63"/>
    <n v="0"/>
    <n v="1.0370877805157599E+19"/>
  </r>
  <r>
    <b v="0"/>
    <x v="17"/>
    <x v="0"/>
    <x v="4"/>
    <x v="3"/>
    <x v="72"/>
    <x v="11"/>
    <x v="2"/>
    <x v="0"/>
    <x v="64"/>
    <n v="0"/>
    <n v="4.7487442529724396E+18"/>
  </r>
  <r>
    <b v="0"/>
    <x v="4"/>
    <x v="0"/>
    <x v="2"/>
    <x v="2"/>
    <x v="73"/>
    <x v="16"/>
    <x v="2"/>
    <x v="0"/>
    <x v="65"/>
    <n v="0"/>
    <n v="1.3404466700053299E+19"/>
  </r>
  <r>
    <b v="0"/>
    <x v="0"/>
    <x v="1"/>
    <x v="21"/>
    <x v="40"/>
    <x v="74"/>
    <x v="12"/>
    <x v="2"/>
    <x v="2"/>
    <x v="66"/>
    <n v="0"/>
    <n v="1.1420513159091499E+19"/>
  </r>
  <r>
    <b v="0"/>
    <x v="6"/>
    <x v="1"/>
    <x v="21"/>
    <x v="32"/>
    <x v="75"/>
    <x v="22"/>
    <x v="2"/>
    <x v="2"/>
    <x v="67"/>
    <n v="0"/>
    <n v="1.58306176340241E+19"/>
  </r>
  <r>
    <b v="0"/>
    <x v="7"/>
    <x v="1"/>
    <x v="39"/>
    <x v="16"/>
    <x v="76"/>
    <x v="21"/>
    <x v="2"/>
    <x v="2"/>
    <x v="68"/>
    <n v="0"/>
    <n v="1.1020321892835299E+19"/>
  </r>
  <r>
    <b v="0"/>
    <x v="9"/>
    <x v="1"/>
    <x v="40"/>
    <x v="34"/>
    <x v="77"/>
    <x v="22"/>
    <x v="2"/>
    <x v="2"/>
    <x v="69"/>
    <n v="0"/>
    <n v="1.17840032358703E+19"/>
  </r>
  <r>
    <b v="0"/>
    <x v="6"/>
    <x v="1"/>
    <x v="30"/>
    <x v="30"/>
    <x v="78"/>
    <x v="11"/>
    <x v="2"/>
    <x v="0"/>
    <x v="70"/>
    <n v="0"/>
    <n v="2.1731594565414799E+18"/>
  </r>
  <r>
    <b v="0"/>
    <x v="14"/>
    <x v="1"/>
    <x v="17"/>
    <x v="41"/>
    <x v="79"/>
    <x v="23"/>
    <x v="2"/>
    <x v="1"/>
    <x v="71"/>
    <n v="0"/>
    <n v="8.41554085524527E+18"/>
  </r>
  <r>
    <b v="0"/>
    <x v="18"/>
    <x v="1"/>
    <x v="39"/>
    <x v="12"/>
    <x v="80"/>
    <x v="12"/>
    <x v="2"/>
    <x v="1"/>
    <x v="72"/>
    <n v="0"/>
    <n v="8.5874921297418496E+18"/>
  </r>
  <r>
    <b v="0"/>
    <x v="14"/>
    <x v="1"/>
    <x v="24"/>
    <x v="36"/>
    <x v="81"/>
    <x v="9"/>
    <x v="2"/>
    <x v="0"/>
    <x v="73"/>
    <n v="0"/>
    <n v="3.0696274765966198E+18"/>
  </r>
  <r>
    <b v="0"/>
    <x v="8"/>
    <x v="1"/>
    <x v="17"/>
    <x v="14"/>
    <x v="82"/>
    <x v="25"/>
    <x v="2"/>
    <x v="1"/>
    <x v="74"/>
    <n v="0"/>
    <n v="1.29648011531288E+19"/>
  </r>
  <r>
    <b v="0"/>
    <x v="17"/>
    <x v="0"/>
    <x v="1"/>
    <x v="25"/>
    <x v="83"/>
    <x v="20"/>
    <x v="3"/>
    <x v="0"/>
    <x v="75"/>
    <n v="0"/>
    <n v="2.9870757776238899E+18"/>
  </r>
  <r>
    <b v="0"/>
    <x v="4"/>
    <x v="0"/>
    <x v="3"/>
    <x v="2"/>
    <x v="64"/>
    <x v="1"/>
    <x v="3"/>
    <x v="0"/>
    <x v="34"/>
    <n v="0"/>
    <n v="2.5438844465708701E+17"/>
  </r>
  <r>
    <b v="0"/>
    <x v="17"/>
    <x v="0"/>
    <x v="1"/>
    <x v="42"/>
    <x v="84"/>
    <x v="20"/>
    <x v="3"/>
    <x v="0"/>
    <x v="76"/>
    <n v="0"/>
    <n v="5.8890254953798605E+18"/>
  </r>
  <r>
    <b v="0"/>
    <x v="4"/>
    <x v="0"/>
    <x v="4"/>
    <x v="43"/>
    <x v="85"/>
    <x v="12"/>
    <x v="3"/>
    <x v="0"/>
    <x v="77"/>
    <n v="0"/>
    <n v="1.5517262347102501E+19"/>
  </r>
  <r>
    <b v="0"/>
    <x v="1"/>
    <x v="0"/>
    <x v="2"/>
    <x v="2"/>
    <x v="86"/>
    <x v="15"/>
    <x v="3"/>
    <x v="0"/>
    <x v="78"/>
    <n v="0"/>
    <n v="1.6161578972950901E+19"/>
  </r>
  <r>
    <b v="0"/>
    <x v="16"/>
    <x v="0"/>
    <x v="5"/>
    <x v="4"/>
    <x v="87"/>
    <x v="1"/>
    <x v="3"/>
    <x v="0"/>
    <x v="79"/>
    <n v="0"/>
    <n v="1.3302429845471001E+19"/>
  </r>
  <r>
    <b v="0"/>
    <x v="17"/>
    <x v="0"/>
    <x v="12"/>
    <x v="2"/>
    <x v="38"/>
    <x v="0"/>
    <x v="3"/>
    <x v="0"/>
    <x v="80"/>
    <n v="0"/>
    <n v="1.7715802020918499E+19"/>
  </r>
  <r>
    <b v="0"/>
    <x v="17"/>
    <x v="0"/>
    <x v="28"/>
    <x v="44"/>
    <x v="88"/>
    <x v="20"/>
    <x v="3"/>
    <x v="0"/>
    <x v="81"/>
    <n v="0"/>
    <n v="1.6954825793588001E+19"/>
  </r>
  <r>
    <b v="0"/>
    <x v="4"/>
    <x v="0"/>
    <x v="2"/>
    <x v="2"/>
    <x v="89"/>
    <x v="12"/>
    <x v="3"/>
    <x v="0"/>
    <x v="82"/>
    <n v="0"/>
    <n v="1.54951721440053E+19"/>
  </r>
  <r>
    <b v="0"/>
    <x v="17"/>
    <x v="0"/>
    <x v="7"/>
    <x v="6"/>
    <x v="90"/>
    <x v="2"/>
    <x v="3"/>
    <x v="0"/>
    <x v="83"/>
    <n v="0"/>
    <n v="1.2976567862418201E+19"/>
  </r>
  <r>
    <b v="0"/>
    <x v="16"/>
    <x v="0"/>
    <x v="8"/>
    <x v="7"/>
    <x v="91"/>
    <x v="2"/>
    <x v="3"/>
    <x v="0"/>
    <x v="84"/>
    <n v="0"/>
    <n v="7.8403173206140897E+18"/>
  </r>
  <r>
    <b v="0"/>
    <x v="17"/>
    <x v="0"/>
    <x v="22"/>
    <x v="25"/>
    <x v="92"/>
    <x v="2"/>
    <x v="3"/>
    <x v="0"/>
    <x v="85"/>
    <n v="0"/>
    <n v="9.4458907007900099E+18"/>
  </r>
  <r>
    <b v="0"/>
    <x v="0"/>
    <x v="2"/>
    <x v="26"/>
    <x v="24"/>
    <x v="93"/>
    <x v="25"/>
    <x v="3"/>
    <x v="0"/>
    <x v="86"/>
    <n v="0"/>
    <n v="1.7085847795289201E+19"/>
  </r>
  <r>
    <b v="0"/>
    <x v="2"/>
    <x v="2"/>
    <x v="27"/>
    <x v="23"/>
    <x v="94"/>
    <x v="22"/>
    <x v="3"/>
    <x v="0"/>
    <x v="87"/>
    <n v="0"/>
    <n v="3.20528994157999E+18"/>
  </r>
  <r>
    <b v="0"/>
    <x v="0"/>
    <x v="2"/>
    <x v="25"/>
    <x v="23"/>
    <x v="95"/>
    <x v="11"/>
    <x v="3"/>
    <x v="0"/>
    <x v="16"/>
    <n v="0"/>
    <n v="1.5709431706168901E+18"/>
  </r>
  <r>
    <b v="0"/>
    <x v="0"/>
    <x v="2"/>
    <x v="27"/>
    <x v="14"/>
    <x v="96"/>
    <x v="25"/>
    <x v="3"/>
    <x v="0"/>
    <x v="17"/>
    <n v="0"/>
    <n v="9.8498208360280105E+18"/>
  </r>
  <r>
    <b v="0"/>
    <x v="18"/>
    <x v="2"/>
    <x v="14"/>
    <x v="11"/>
    <x v="97"/>
    <x v="11"/>
    <x v="3"/>
    <x v="0"/>
    <x v="15"/>
    <n v="0"/>
    <n v="1.19909995823517E+19"/>
  </r>
  <r>
    <b v="0"/>
    <x v="9"/>
    <x v="1"/>
    <x v="17"/>
    <x v="15"/>
    <x v="98"/>
    <x v="26"/>
    <x v="3"/>
    <x v="2"/>
    <x v="88"/>
    <n v="0"/>
    <n v="3.6718929752849101E+18"/>
  </r>
  <r>
    <b v="0"/>
    <x v="12"/>
    <x v="0"/>
    <x v="12"/>
    <x v="2"/>
    <x v="99"/>
    <x v="16"/>
    <x v="3"/>
    <x v="0"/>
    <x v="6"/>
    <n v="0"/>
    <n v="3.2320032362904801E+18"/>
  </r>
  <r>
    <b v="0"/>
    <x v="16"/>
    <x v="0"/>
    <x v="12"/>
    <x v="45"/>
    <x v="100"/>
    <x v="15"/>
    <x v="3"/>
    <x v="0"/>
    <x v="89"/>
    <n v="0"/>
    <n v="1.6383166978475801E+19"/>
  </r>
  <r>
    <b v="0"/>
    <x v="17"/>
    <x v="0"/>
    <x v="22"/>
    <x v="9"/>
    <x v="101"/>
    <x v="20"/>
    <x v="3"/>
    <x v="0"/>
    <x v="90"/>
    <n v="0"/>
    <n v="1.4330344922773801E+19"/>
  </r>
  <r>
    <b v="0"/>
    <x v="16"/>
    <x v="0"/>
    <x v="1"/>
    <x v="27"/>
    <x v="102"/>
    <x v="15"/>
    <x v="3"/>
    <x v="0"/>
    <x v="91"/>
    <n v="0"/>
    <n v="4.16178385769246E+18"/>
  </r>
  <r>
    <b v="0"/>
    <x v="0"/>
    <x v="2"/>
    <x v="25"/>
    <x v="23"/>
    <x v="103"/>
    <x v="9"/>
    <x v="3"/>
    <x v="0"/>
    <x v="24"/>
    <n v="0"/>
    <n v="4.1275063456364902E+18"/>
  </r>
  <r>
    <b v="0"/>
    <x v="22"/>
    <x v="1"/>
    <x v="17"/>
    <x v="14"/>
    <x v="104"/>
    <x v="19"/>
    <x v="3"/>
    <x v="1"/>
    <x v="92"/>
    <n v="0"/>
    <n v="2.3485818873010002E+18"/>
  </r>
  <r>
    <b v="0"/>
    <x v="7"/>
    <x v="1"/>
    <x v="23"/>
    <x v="29"/>
    <x v="105"/>
    <x v="21"/>
    <x v="3"/>
    <x v="0"/>
    <x v="54"/>
    <n v="0"/>
    <n v="1.34998298542388E+19"/>
  </r>
  <r>
    <b v="0"/>
    <x v="6"/>
    <x v="1"/>
    <x v="41"/>
    <x v="46"/>
    <x v="106"/>
    <x v="25"/>
    <x v="3"/>
    <x v="1"/>
    <x v="93"/>
    <n v="0"/>
    <n v="3.7287420475365499E+18"/>
  </r>
  <r>
    <b v="0"/>
    <x v="0"/>
    <x v="3"/>
    <x v="38"/>
    <x v="17"/>
    <x v="107"/>
    <x v="17"/>
    <x v="3"/>
    <x v="1"/>
    <x v="94"/>
    <n v="0"/>
    <n v="1.2573292852600799E+19"/>
  </r>
  <r>
    <b v="0"/>
    <x v="15"/>
    <x v="1"/>
    <x v="30"/>
    <x v="13"/>
    <x v="108"/>
    <x v="18"/>
    <x v="3"/>
    <x v="0"/>
    <x v="31"/>
    <n v="0"/>
    <n v="1.4164419532522899E+19"/>
  </r>
  <r>
    <b v="0"/>
    <x v="7"/>
    <x v="2"/>
    <x v="42"/>
    <x v="47"/>
    <x v="109"/>
    <x v="16"/>
    <x v="3"/>
    <x v="0"/>
    <x v="95"/>
    <n v="0"/>
    <n v="1.53985545340283E+19"/>
  </r>
  <r>
    <b v="0"/>
    <x v="9"/>
    <x v="1"/>
    <x v="24"/>
    <x v="17"/>
    <x v="110"/>
    <x v="10"/>
    <x v="3"/>
    <x v="2"/>
    <x v="96"/>
    <n v="0"/>
    <n v="2.13664875977251E+18"/>
  </r>
  <r>
    <b v="0"/>
    <x v="1"/>
    <x v="0"/>
    <x v="1"/>
    <x v="42"/>
    <x v="111"/>
    <x v="20"/>
    <x v="3"/>
    <x v="0"/>
    <x v="97"/>
    <n v="0"/>
    <n v="1.8361797348491801E+19"/>
  </r>
  <r>
    <b v="0"/>
    <x v="2"/>
    <x v="0"/>
    <x v="12"/>
    <x v="48"/>
    <x v="112"/>
    <x v="8"/>
    <x v="3"/>
    <x v="0"/>
    <x v="98"/>
    <n v="0"/>
    <n v="1.43780127084353E+19"/>
  </r>
  <r>
    <b v="0"/>
    <x v="23"/>
    <x v="1"/>
    <x v="43"/>
    <x v="49"/>
    <x v="113"/>
    <x v="21"/>
    <x v="3"/>
    <x v="2"/>
    <x v="99"/>
    <n v="0"/>
    <n v="1.9396897642304602E+17"/>
  </r>
  <r>
    <b v="0"/>
    <x v="5"/>
    <x v="1"/>
    <x v="31"/>
    <x v="50"/>
    <x v="114"/>
    <x v="10"/>
    <x v="3"/>
    <x v="2"/>
    <x v="100"/>
    <n v="0"/>
    <n v="1.66396283169577E+19"/>
  </r>
  <r>
    <b v="0"/>
    <x v="22"/>
    <x v="1"/>
    <x v="44"/>
    <x v="51"/>
    <x v="115"/>
    <x v="16"/>
    <x v="3"/>
    <x v="2"/>
    <x v="101"/>
    <n v="0"/>
    <n v="1.63223497526814E+19"/>
  </r>
  <r>
    <b v="0"/>
    <x v="15"/>
    <x v="1"/>
    <x v="21"/>
    <x v="40"/>
    <x v="116"/>
    <x v="10"/>
    <x v="3"/>
    <x v="2"/>
    <x v="102"/>
    <n v="0"/>
    <n v="1.5716730794949401E+19"/>
  </r>
  <r>
    <b v="0"/>
    <x v="1"/>
    <x v="0"/>
    <x v="2"/>
    <x v="2"/>
    <x v="117"/>
    <x v="2"/>
    <x v="3"/>
    <x v="0"/>
    <x v="103"/>
    <n v="0"/>
    <n v="5.9044381154495201E+18"/>
  </r>
  <r>
    <b v="0"/>
    <x v="5"/>
    <x v="1"/>
    <x v="21"/>
    <x v="28"/>
    <x v="118"/>
    <x v="16"/>
    <x v="3"/>
    <x v="2"/>
    <x v="104"/>
    <n v="0"/>
    <n v="1.6597733131855999E+19"/>
  </r>
  <r>
    <b v="0"/>
    <x v="22"/>
    <x v="2"/>
    <x v="45"/>
    <x v="52"/>
    <x v="119"/>
    <x v="17"/>
    <x v="3"/>
    <x v="1"/>
    <x v="105"/>
    <n v="0"/>
    <n v="1.28331440330455E+19"/>
  </r>
  <r>
    <b v="0"/>
    <x v="12"/>
    <x v="0"/>
    <x v="1"/>
    <x v="27"/>
    <x v="120"/>
    <x v="2"/>
    <x v="3"/>
    <x v="0"/>
    <x v="106"/>
    <n v="0"/>
    <n v="1.60827277978746E+19"/>
  </r>
  <r>
    <b v="0"/>
    <x v="22"/>
    <x v="2"/>
    <x v="14"/>
    <x v="11"/>
    <x v="121"/>
    <x v="25"/>
    <x v="4"/>
    <x v="0"/>
    <x v="15"/>
    <n v="0"/>
    <n v="1.13592344021469E+19"/>
  </r>
  <r>
    <b v="0"/>
    <x v="7"/>
    <x v="2"/>
    <x v="16"/>
    <x v="22"/>
    <x v="122"/>
    <x v="23"/>
    <x v="4"/>
    <x v="0"/>
    <x v="17"/>
    <n v="1"/>
    <n v="9.6135857228376105E+18"/>
  </r>
  <r>
    <b v="0"/>
    <x v="15"/>
    <x v="2"/>
    <x v="25"/>
    <x v="23"/>
    <x v="123"/>
    <x v="11"/>
    <x v="4"/>
    <x v="0"/>
    <x v="16"/>
    <n v="0"/>
    <n v="1.1808438735795599E+19"/>
  </r>
  <r>
    <b v="0"/>
    <x v="1"/>
    <x v="2"/>
    <x v="27"/>
    <x v="23"/>
    <x v="124"/>
    <x v="23"/>
    <x v="4"/>
    <x v="0"/>
    <x v="107"/>
    <n v="0"/>
    <n v="1.4950200384393501E+19"/>
  </r>
  <r>
    <b v="0"/>
    <x v="20"/>
    <x v="1"/>
    <x v="32"/>
    <x v="53"/>
    <x v="98"/>
    <x v="19"/>
    <x v="4"/>
    <x v="1"/>
    <x v="108"/>
    <n v="0"/>
    <n v="8.4919704117953802E+18"/>
  </r>
  <r>
    <b v="0"/>
    <x v="9"/>
    <x v="1"/>
    <x v="30"/>
    <x v="36"/>
    <x v="125"/>
    <x v="25"/>
    <x v="4"/>
    <x v="0"/>
    <x v="31"/>
    <n v="0"/>
    <n v="6.0549010424676598E+18"/>
  </r>
  <r>
    <b v="0"/>
    <x v="24"/>
    <x v="1"/>
    <x v="34"/>
    <x v="33"/>
    <x v="126"/>
    <x v="26"/>
    <x v="4"/>
    <x v="1"/>
    <x v="47"/>
    <n v="0"/>
    <n v="1.00939560227397E+18"/>
  </r>
  <r>
    <b v="0"/>
    <x v="10"/>
    <x v="1"/>
    <x v="23"/>
    <x v="50"/>
    <x v="127"/>
    <x v="23"/>
    <x v="4"/>
    <x v="0"/>
    <x v="54"/>
    <n v="0"/>
    <n v="1.37342917771578E+19"/>
  </r>
  <r>
    <b v="0"/>
    <x v="2"/>
    <x v="2"/>
    <x v="27"/>
    <x v="23"/>
    <x v="128"/>
    <x v="23"/>
    <x v="4"/>
    <x v="0"/>
    <x v="109"/>
    <n v="0"/>
    <n v="2.3963815842105001E+18"/>
  </r>
  <r>
    <b v="0"/>
    <x v="2"/>
    <x v="2"/>
    <x v="29"/>
    <x v="28"/>
    <x v="129"/>
    <x v="22"/>
    <x v="4"/>
    <x v="0"/>
    <x v="34"/>
    <n v="0"/>
    <n v="1.1304139118078501E+19"/>
  </r>
  <r>
    <b v="0"/>
    <x v="0"/>
    <x v="2"/>
    <x v="26"/>
    <x v="24"/>
    <x v="130"/>
    <x v="25"/>
    <x v="4"/>
    <x v="0"/>
    <x v="110"/>
    <n v="0"/>
    <n v="1.1125344720726001E+18"/>
  </r>
  <r>
    <b v="0"/>
    <x v="2"/>
    <x v="0"/>
    <x v="4"/>
    <x v="3"/>
    <x v="131"/>
    <x v="16"/>
    <x v="4"/>
    <x v="0"/>
    <x v="77"/>
    <n v="0"/>
    <n v="8.4771743701713705E+18"/>
  </r>
  <r>
    <b v="0"/>
    <x v="17"/>
    <x v="0"/>
    <x v="1"/>
    <x v="2"/>
    <x v="132"/>
    <x v="12"/>
    <x v="4"/>
    <x v="0"/>
    <x v="111"/>
    <n v="0"/>
    <n v="1.6200254319284699E+19"/>
  </r>
  <r>
    <b v="0"/>
    <x v="4"/>
    <x v="0"/>
    <x v="2"/>
    <x v="2"/>
    <x v="133"/>
    <x v="17"/>
    <x v="4"/>
    <x v="0"/>
    <x v="112"/>
    <n v="0"/>
    <n v="1.2456995809277399E+19"/>
  </r>
  <r>
    <b v="0"/>
    <x v="4"/>
    <x v="0"/>
    <x v="4"/>
    <x v="3"/>
    <x v="134"/>
    <x v="11"/>
    <x v="4"/>
    <x v="0"/>
    <x v="64"/>
    <n v="0"/>
    <n v="1.16269889462807E+19"/>
  </r>
  <r>
    <b v="0"/>
    <x v="4"/>
    <x v="0"/>
    <x v="3"/>
    <x v="2"/>
    <x v="135"/>
    <x v="10"/>
    <x v="4"/>
    <x v="0"/>
    <x v="62"/>
    <n v="0"/>
    <n v="8.59381655202654E+18"/>
  </r>
  <r>
    <b v="0"/>
    <x v="23"/>
    <x v="1"/>
    <x v="24"/>
    <x v="54"/>
    <x v="136"/>
    <x v="25"/>
    <x v="4"/>
    <x v="2"/>
    <x v="113"/>
    <n v="0"/>
    <n v="1.7400017005098899E+19"/>
  </r>
  <r>
    <b v="0"/>
    <x v="9"/>
    <x v="1"/>
    <x v="32"/>
    <x v="53"/>
    <x v="137"/>
    <x v="10"/>
    <x v="4"/>
    <x v="2"/>
    <x v="114"/>
    <n v="0"/>
    <n v="1.4884703059587701E+19"/>
  </r>
  <r>
    <b v="0"/>
    <x v="9"/>
    <x v="1"/>
    <x v="17"/>
    <x v="55"/>
    <x v="138"/>
    <x v="12"/>
    <x v="4"/>
    <x v="2"/>
    <x v="100"/>
    <n v="0"/>
    <n v="1.7330818774252501E+19"/>
  </r>
  <r>
    <b v="0"/>
    <x v="20"/>
    <x v="1"/>
    <x v="46"/>
    <x v="56"/>
    <x v="139"/>
    <x v="25"/>
    <x v="4"/>
    <x v="1"/>
    <x v="30"/>
    <n v="0"/>
    <n v="1.38640896895186E+19"/>
  </r>
  <r>
    <b v="0"/>
    <x v="24"/>
    <x v="1"/>
    <x v="47"/>
    <x v="57"/>
    <x v="140"/>
    <x v="19"/>
    <x v="4"/>
    <x v="1"/>
    <x v="115"/>
    <n v="0"/>
    <n v="1.09358870417339E+19"/>
  </r>
  <r>
    <b v="0"/>
    <x v="14"/>
    <x v="1"/>
    <x v="48"/>
    <x v="50"/>
    <x v="141"/>
    <x v="12"/>
    <x v="4"/>
    <x v="0"/>
    <x v="116"/>
    <n v="0"/>
    <n v="7.6860677475656499E+18"/>
  </r>
  <r>
    <b v="0"/>
    <x v="5"/>
    <x v="1"/>
    <x v="48"/>
    <x v="50"/>
    <x v="142"/>
    <x v="10"/>
    <x v="4"/>
    <x v="2"/>
    <x v="99"/>
    <n v="0"/>
    <n v="1.82348104796922E+19"/>
  </r>
  <r>
    <b v="0"/>
    <x v="9"/>
    <x v="1"/>
    <x v="31"/>
    <x v="50"/>
    <x v="143"/>
    <x v="16"/>
    <x v="4"/>
    <x v="2"/>
    <x v="117"/>
    <n v="0"/>
    <n v="1.32066137643649E+19"/>
  </r>
  <r>
    <b v="0"/>
    <x v="5"/>
    <x v="1"/>
    <x v="39"/>
    <x v="12"/>
    <x v="144"/>
    <x v="9"/>
    <x v="4"/>
    <x v="1"/>
    <x v="118"/>
    <n v="0"/>
    <n v="5.1735069272152105E+18"/>
  </r>
  <r>
    <b v="0"/>
    <x v="9"/>
    <x v="1"/>
    <x v="41"/>
    <x v="58"/>
    <x v="145"/>
    <x v="10"/>
    <x v="4"/>
    <x v="1"/>
    <x v="119"/>
    <n v="0"/>
    <n v="1.2557308677809299E+19"/>
  </r>
  <r>
    <b v="0"/>
    <x v="20"/>
    <x v="1"/>
    <x v="32"/>
    <x v="53"/>
    <x v="146"/>
    <x v="11"/>
    <x v="4"/>
    <x v="2"/>
    <x v="120"/>
    <n v="0"/>
    <n v="1.80336050192482E+19"/>
  </r>
  <r>
    <b v="0"/>
    <x v="15"/>
    <x v="2"/>
    <x v="26"/>
    <x v="11"/>
    <x v="147"/>
    <x v="11"/>
    <x v="5"/>
    <x v="0"/>
    <x v="121"/>
    <n v="0"/>
    <n v="1.4069459813669501E+19"/>
  </r>
  <r>
    <b v="0"/>
    <x v="0"/>
    <x v="2"/>
    <x v="27"/>
    <x v="24"/>
    <x v="148"/>
    <x v="11"/>
    <x v="5"/>
    <x v="0"/>
    <x v="107"/>
    <n v="0"/>
    <n v="8.23093094386462E+18"/>
  </r>
  <r>
    <b v="0"/>
    <x v="1"/>
    <x v="2"/>
    <x v="27"/>
    <x v="29"/>
    <x v="149"/>
    <x v="26"/>
    <x v="5"/>
    <x v="0"/>
    <x v="122"/>
    <n v="0"/>
    <n v="6.8353309937583401E+18"/>
  </r>
  <r>
    <b v="0"/>
    <x v="1"/>
    <x v="2"/>
    <x v="27"/>
    <x v="29"/>
    <x v="150"/>
    <x v="21"/>
    <x v="5"/>
    <x v="0"/>
    <x v="17"/>
    <n v="0"/>
    <n v="8.7675300294666004E+18"/>
  </r>
  <r>
    <b v="0"/>
    <x v="2"/>
    <x v="0"/>
    <x v="12"/>
    <x v="9"/>
    <x v="151"/>
    <x v="1"/>
    <x v="5"/>
    <x v="0"/>
    <x v="8"/>
    <n v="0"/>
    <n v="1.25655878212113E+19"/>
  </r>
  <r>
    <b v="0"/>
    <x v="1"/>
    <x v="0"/>
    <x v="1"/>
    <x v="42"/>
    <x v="152"/>
    <x v="16"/>
    <x v="5"/>
    <x v="0"/>
    <x v="123"/>
    <n v="0"/>
    <n v="1.0384810664878201E+19"/>
  </r>
  <r>
    <b v="0"/>
    <x v="2"/>
    <x v="0"/>
    <x v="2"/>
    <x v="2"/>
    <x v="153"/>
    <x v="12"/>
    <x v="5"/>
    <x v="0"/>
    <x v="124"/>
    <n v="0"/>
    <n v="1.42794830696214E+19"/>
  </r>
  <r>
    <b v="0"/>
    <x v="4"/>
    <x v="0"/>
    <x v="28"/>
    <x v="59"/>
    <x v="154"/>
    <x v="17"/>
    <x v="5"/>
    <x v="0"/>
    <x v="81"/>
    <n v="0"/>
    <n v="1.57171532883217E+19"/>
  </r>
  <r>
    <b v="0"/>
    <x v="3"/>
    <x v="2"/>
    <x v="49"/>
    <x v="28"/>
    <x v="155"/>
    <x v="26"/>
    <x v="5"/>
    <x v="0"/>
    <x v="125"/>
    <n v="0"/>
    <n v="3.2112361092765998E+18"/>
  </r>
  <r>
    <b v="0"/>
    <x v="2"/>
    <x v="2"/>
    <x v="27"/>
    <x v="24"/>
    <x v="156"/>
    <x v="18"/>
    <x v="5"/>
    <x v="0"/>
    <x v="126"/>
    <n v="0"/>
    <n v="5.8674340042642504E+18"/>
  </r>
  <r>
    <b v="0"/>
    <x v="1"/>
    <x v="2"/>
    <x v="29"/>
    <x v="28"/>
    <x v="157"/>
    <x v="19"/>
    <x v="5"/>
    <x v="0"/>
    <x v="34"/>
    <n v="0"/>
    <n v="3.83985425564147E+18"/>
  </r>
  <r>
    <b v="0"/>
    <x v="0"/>
    <x v="2"/>
    <x v="26"/>
    <x v="11"/>
    <x v="158"/>
    <x v="19"/>
    <x v="5"/>
    <x v="0"/>
    <x v="127"/>
    <n v="0"/>
    <n v="1.1648722964718899E+19"/>
  </r>
  <r>
    <b v="0"/>
    <x v="7"/>
    <x v="2"/>
    <x v="49"/>
    <x v="28"/>
    <x v="159"/>
    <x v="9"/>
    <x v="5"/>
    <x v="0"/>
    <x v="128"/>
    <n v="0"/>
    <n v="1.3885106306057099E+19"/>
  </r>
  <r>
    <b v="0"/>
    <x v="22"/>
    <x v="0"/>
    <x v="50"/>
    <x v="28"/>
    <x v="160"/>
    <x v="17"/>
    <x v="5"/>
    <x v="0"/>
    <x v="129"/>
    <n v="0"/>
    <n v="5.0049144230048102E+18"/>
  </r>
  <r>
    <b v="0"/>
    <x v="17"/>
    <x v="0"/>
    <x v="4"/>
    <x v="60"/>
    <x v="161"/>
    <x v="0"/>
    <x v="5"/>
    <x v="0"/>
    <x v="130"/>
    <n v="0"/>
    <n v="1.1264238684129901E+19"/>
  </r>
  <r>
    <b v="0"/>
    <x v="23"/>
    <x v="1"/>
    <x v="17"/>
    <x v="50"/>
    <x v="162"/>
    <x v="11"/>
    <x v="5"/>
    <x v="1"/>
    <x v="131"/>
    <n v="0"/>
    <n v="1.3160278423509201E+19"/>
  </r>
  <r>
    <b v="0"/>
    <x v="18"/>
    <x v="1"/>
    <x v="23"/>
    <x v="54"/>
    <x v="163"/>
    <x v="23"/>
    <x v="5"/>
    <x v="0"/>
    <x v="31"/>
    <n v="0"/>
    <n v="1.38511205964457E+19"/>
  </r>
  <r>
    <b v="0"/>
    <x v="22"/>
    <x v="2"/>
    <x v="25"/>
    <x v="23"/>
    <x v="164"/>
    <x v="11"/>
    <x v="5"/>
    <x v="0"/>
    <x v="24"/>
    <n v="0"/>
    <n v="2.6004826323719199E+18"/>
  </r>
  <r>
    <b v="0"/>
    <x v="18"/>
    <x v="1"/>
    <x v="23"/>
    <x v="55"/>
    <x v="165"/>
    <x v="18"/>
    <x v="5"/>
    <x v="0"/>
    <x v="132"/>
    <n v="0"/>
    <n v="2.4004244595209298E+18"/>
  </r>
  <r>
    <b v="0"/>
    <x v="5"/>
    <x v="1"/>
    <x v="51"/>
    <x v="61"/>
    <x v="166"/>
    <x v="17"/>
    <x v="5"/>
    <x v="1"/>
    <x v="30"/>
    <n v="0"/>
    <n v="7.2982139240622397E+18"/>
  </r>
  <r>
    <b v="0"/>
    <x v="10"/>
    <x v="1"/>
    <x v="48"/>
    <x v="62"/>
    <x v="167"/>
    <x v="25"/>
    <x v="5"/>
    <x v="2"/>
    <x v="114"/>
    <n v="0"/>
    <n v="2.4610149957920799E+18"/>
  </r>
  <r>
    <b v="0"/>
    <x v="5"/>
    <x v="1"/>
    <x v="52"/>
    <x v="12"/>
    <x v="168"/>
    <x v="23"/>
    <x v="5"/>
    <x v="1"/>
    <x v="115"/>
    <n v="0"/>
    <n v="9.8159743552227697E+18"/>
  </r>
  <r>
    <b v="0"/>
    <x v="0"/>
    <x v="2"/>
    <x v="53"/>
    <x v="12"/>
    <x v="169"/>
    <x v="12"/>
    <x v="5"/>
    <x v="0"/>
    <x v="31"/>
    <n v="0"/>
    <n v="1.5848850295358599E+19"/>
  </r>
  <r>
    <b v="0"/>
    <x v="23"/>
    <x v="1"/>
    <x v="48"/>
    <x v="31"/>
    <x v="170"/>
    <x v="16"/>
    <x v="5"/>
    <x v="2"/>
    <x v="133"/>
    <n v="0"/>
    <n v="2.84292787702788E+17"/>
  </r>
  <r>
    <b v="0"/>
    <x v="15"/>
    <x v="2"/>
    <x v="25"/>
    <x v="17"/>
    <x v="171"/>
    <x v="23"/>
    <x v="5"/>
    <x v="0"/>
    <x v="134"/>
    <n v="0"/>
    <n v="7.5108638024813005E+18"/>
  </r>
  <r>
    <b v="0"/>
    <x v="18"/>
    <x v="1"/>
    <x v="54"/>
    <x v="11"/>
    <x v="172"/>
    <x v="9"/>
    <x v="5"/>
    <x v="2"/>
    <x v="101"/>
    <n v="0"/>
    <n v="1.8364329212164101E+18"/>
  </r>
  <r>
    <b v="0"/>
    <x v="18"/>
    <x v="1"/>
    <x v="39"/>
    <x v="14"/>
    <x v="173"/>
    <x v="23"/>
    <x v="5"/>
    <x v="2"/>
    <x v="20"/>
    <n v="0"/>
    <n v="1.02553381976733E+19"/>
  </r>
  <r>
    <b v="0"/>
    <x v="6"/>
    <x v="1"/>
    <x v="21"/>
    <x v="63"/>
    <x v="95"/>
    <x v="12"/>
    <x v="5"/>
    <x v="2"/>
    <x v="135"/>
    <n v="0"/>
    <n v="3.1872155586540201E+18"/>
  </r>
  <r>
    <b v="0"/>
    <x v="10"/>
    <x v="1"/>
    <x v="21"/>
    <x v="64"/>
    <x v="174"/>
    <x v="17"/>
    <x v="5"/>
    <x v="2"/>
    <x v="104"/>
    <n v="0"/>
    <n v="1.6560033579295601E+19"/>
  </r>
  <r>
    <b v="0"/>
    <x v="25"/>
    <x v="1"/>
    <x v="36"/>
    <x v="65"/>
    <x v="175"/>
    <x v="14"/>
    <x v="5"/>
    <x v="1"/>
    <x v="136"/>
    <n v="0"/>
    <n v="5.8575156215197297E+18"/>
  </r>
  <r>
    <b v="0"/>
    <x v="14"/>
    <x v="1"/>
    <x v="19"/>
    <x v="30"/>
    <x v="176"/>
    <x v="10"/>
    <x v="6"/>
    <x v="2"/>
    <x v="137"/>
    <n v="0"/>
    <n v="1.7010257194969999E+19"/>
  </r>
  <r>
    <b v="0"/>
    <x v="10"/>
    <x v="1"/>
    <x v="31"/>
    <x v="66"/>
    <x v="48"/>
    <x v="27"/>
    <x v="6"/>
    <x v="2"/>
    <x v="44"/>
    <n v="0"/>
    <n v="1.51077902759244E+17"/>
  </r>
  <r>
    <b v="0"/>
    <x v="10"/>
    <x v="1"/>
    <x v="23"/>
    <x v="41"/>
    <x v="177"/>
    <x v="28"/>
    <x v="6"/>
    <x v="0"/>
    <x v="138"/>
    <n v="0"/>
    <n v="1.3751834902133101E+19"/>
  </r>
  <r>
    <b v="0"/>
    <x v="9"/>
    <x v="1"/>
    <x v="24"/>
    <x v="67"/>
    <x v="178"/>
    <x v="29"/>
    <x v="6"/>
    <x v="0"/>
    <x v="116"/>
    <n v="0"/>
    <n v="1.5368025735844399E+19"/>
  </r>
  <r>
    <b v="0"/>
    <x v="8"/>
    <x v="1"/>
    <x v="55"/>
    <x v="54"/>
    <x v="179"/>
    <x v="30"/>
    <x v="6"/>
    <x v="2"/>
    <x v="139"/>
    <n v="0"/>
    <n v="1.08894113608285E+19"/>
  </r>
  <r>
    <b v="0"/>
    <x v="26"/>
    <x v="0"/>
    <x v="56"/>
    <x v="3"/>
    <x v="180"/>
    <x v="20"/>
    <x v="6"/>
    <x v="0"/>
    <x v="109"/>
    <n v="0"/>
    <n v="9.2391596972233196E+18"/>
  </r>
  <r>
    <b v="0"/>
    <x v="2"/>
    <x v="0"/>
    <x v="2"/>
    <x v="2"/>
    <x v="181"/>
    <x v="20"/>
    <x v="6"/>
    <x v="0"/>
    <x v="140"/>
    <n v="0"/>
    <n v="6.7469831145041395E+17"/>
  </r>
  <r>
    <b v="0"/>
    <x v="27"/>
    <x v="0"/>
    <x v="3"/>
    <x v="68"/>
    <x v="182"/>
    <x v="31"/>
    <x v="6"/>
    <x v="0"/>
    <x v="34"/>
    <n v="0"/>
    <n v="1.0936224139032001E+19"/>
  </r>
  <r>
    <b v="0"/>
    <x v="28"/>
    <x v="0"/>
    <x v="28"/>
    <x v="69"/>
    <x v="180"/>
    <x v="32"/>
    <x v="6"/>
    <x v="0"/>
    <x v="77"/>
    <n v="0"/>
    <n v="7.7532774845005896E+18"/>
  </r>
  <r>
    <b v="0"/>
    <x v="6"/>
    <x v="2"/>
    <x v="26"/>
    <x v="23"/>
    <x v="183"/>
    <x v="33"/>
    <x v="6"/>
    <x v="0"/>
    <x v="86"/>
    <n v="0"/>
    <n v="1.55891401487051E+19"/>
  </r>
  <r>
    <b v="0"/>
    <x v="6"/>
    <x v="2"/>
    <x v="27"/>
    <x v="24"/>
    <x v="184"/>
    <x v="12"/>
    <x v="6"/>
    <x v="0"/>
    <x v="107"/>
    <n v="0"/>
    <n v="1.56263540187201E+19"/>
  </r>
  <r>
    <b v="0"/>
    <x v="5"/>
    <x v="2"/>
    <x v="16"/>
    <x v="66"/>
    <x v="185"/>
    <x v="34"/>
    <x v="6"/>
    <x v="0"/>
    <x v="17"/>
    <n v="0"/>
    <n v="1.6192589922734201E+19"/>
  </r>
  <r>
    <b v="0"/>
    <x v="29"/>
    <x v="2"/>
    <x v="25"/>
    <x v="17"/>
    <x v="186"/>
    <x v="34"/>
    <x v="6"/>
    <x v="0"/>
    <x v="16"/>
    <n v="0"/>
    <n v="8.8645841621117696E+17"/>
  </r>
  <r>
    <b v="0"/>
    <x v="23"/>
    <x v="1"/>
    <x v="57"/>
    <x v="56"/>
    <x v="187"/>
    <x v="35"/>
    <x v="6"/>
    <x v="0"/>
    <x v="141"/>
    <n v="0"/>
    <n v="3.67002761141933E+18"/>
  </r>
  <r>
    <b v="0"/>
    <x v="30"/>
    <x v="1"/>
    <x v="24"/>
    <x v="35"/>
    <x v="81"/>
    <x v="36"/>
    <x v="6"/>
    <x v="0"/>
    <x v="142"/>
    <n v="0"/>
    <n v="4.6080901993573202E+18"/>
  </r>
  <r>
    <b v="0"/>
    <x v="23"/>
    <x v="1"/>
    <x v="48"/>
    <x v="31"/>
    <x v="170"/>
    <x v="37"/>
    <x v="6"/>
    <x v="2"/>
    <x v="143"/>
    <n v="0"/>
    <n v="1.60764245091676E+19"/>
  </r>
  <r>
    <b v="0"/>
    <x v="25"/>
    <x v="1"/>
    <x v="36"/>
    <x v="65"/>
    <x v="175"/>
    <x v="38"/>
    <x v="6"/>
    <x v="1"/>
    <x v="118"/>
    <n v="0"/>
    <n v="1.76075714286308E+19"/>
  </r>
  <r>
    <b v="0"/>
    <x v="22"/>
    <x v="2"/>
    <x v="26"/>
    <x v="23"/>
    <x v="188"/>
    <x v="29"/>
    <x v="6"/>
    <x v="0"/>
    <x v="144"/>
    <n v="0"/>
    <n v="1.1741022547093801E+19"/>
  </r>
  <r>
    <b v="0"/>
    <x v="0"/>
    <x v="2"/>
    <x v="27"/>
    <x v="55"/>
    <x v="189"/>
    <x v="26"/>
    <x v="6"/>
    <x v="0"/>
    <x v="145"/>
    <n v="0"/>
    <n v="1.1463230004949899E+19"/>
  </r>
  <r>
    <b v="0"/>
    <x v="31"/>
    <x v="2"/>
    <x v="27"/>
    <x v="28"/>
    <x v="190"/>
    <x v="39"/>
    <x v="6"/>
    <x v="0"/>
    <x v="146"/>
    <n v="0"/>
    <n v="8.5761458839778601E+18"/>
  </r>
  <r>
    <b v="0"/>
    <x v="26"/>
    <x v="2"/>
    <x v="29"/>
    <x v="11"/>
    <x v="191"/>
    <x v="40"/>
    <x v="6"/>
    <x v="0"/>
    <x v="147"/>
    <n v="0"/>
    <n v="1.67297535753075E+19"/>
  </r>
  <r>
    <b v="0"/>
    <x v="32"/>
    <x v="1"/>
    <x v="17"/>
    <x v="62"/>
    <x v="192"/>
    <x v="41"/>
    <x v="6"/>
    <x v="2"/>
    <x v="133"/>
    <n v="0"/>
    <n v="5.0893339215528796E+18"/>
  </r>
  <r>
    <b v="0"/>
    <x v="24"/>
    <x v="1"/>
    <x v="57"/>
    <x v="31"/>
    <x v="193"/>
    <x v="23"/>
    <x v="6"/>
    <x v="1"/>
    <x v="148"/>
    <n v="0"/>
    <n v="1.66391704768669E+18"/>
  </r>
  <r>
    <b v="0"/>
    <x v="14"/>
    <x v="1"/>
    <x v="17"/>
    <x v="50"/>
    <x v="194"/>
    <x v="42"/>
    <x v="6"/>
    <x v="1"/>
    <x v="131"/>
    <n v="0"/>
    <n v="1.2493369444752501E+19"/>
  </r>
  <r>
    <b v="0"/>
    <x v="33"/>
    <x v="1"/>
    <x v="23"/>
    <x v="29"/>
    <x v="195"/>
    <x v="43"/>
    <x v="6"/>
    <x v="0"/>
    <x v="31"/>
    <n v="0"/>
    <n v="1.53442641941398E+19"/>
  </r>
  <r>
    <b v="0"/>
    <x v="22"/>
    <x v="1"/>
    <x v="58"/>
    <x v="70"/>
    <x v="196"/>
    <x v="44"/>
    <x v="6"/>
    <x v="2"/>
    <x v="149"/>
    <n v="0"/>
    <n v="1.0541339891004401E+18"/>
  </r>
  <r>
    <b v="0"/>
    <x v="17"/>
    <x v="0"/>
    <x v="2"/>
    <x v="2"/>
    <x v="197"/>
    <x v="45"/>
    <x v="6"/>
    <x v="0"/>
    <x v="150"/>
    <n v="0"/>
    <n v="1.60456218352076E+19"/>
  </r>
  <r>
    <b v="0"/>
    <x v="15"/>
    <x v="1"/>
    <x v="39"/>
    <x v="14"/>
    <x v="198"/>
    <x v="46"/>
    <x v="6"/>
    <x v="2"/>
    <x v="20"/>
    <n v="0"/>
    <n v="1.63506150676531E+19"/>
  </r>
  <r>
    <b v="0"/>
    <x v="15"/>
    <x v="2"/>
    <x v="45"/>
    <x v="71"/>
    <x v="199"/>
    <x v="10"/>
    <x v="6"/>
    <x v="1"/>
    <x v="105"/>
    <n v="0"/>
    <n v="2.1291702825232799E+18"/>
  </r>
  <r>
    <b v="0"/>
    <x v="34"/>
    <x v="2"/>
    <x v="59"/>
    <x v="68"/>
    <x v="200"/>
    <x v="47"/>
    <x v="6"/>
    <x v="2"/>
    <x v="151"/>
    <n v="0"/>
    <n v="2.2238820033666199E+18"/>
  </r>
  <r>
    <b v="0"/>
    <x v="34"/>
    <x v="0"/>
    <x v="1"/>
    <x v="27"/>
    <x v="201"/>
    <x v="48"/>
    <x v="6"/>
    <x v="0"/>
    <x v="152"/>
    <n v="0"/>
    <n v="4.11363334415123E+18"/>
  </r>
  <r>
    <b v="0"/>
    <x v="17"/>
    <x v="0"/>
    <x v="1"/>
    <x v="42"/>
    <x v="202"/>
    <x v="0"/>
    <x v="6"/>
    <x v="0"/>
    <x v="153"/>
    <n v="0"/>
    <n v="7.1657111007069299E+17"/>
  </r>
  <r>
    <b v="0"/>
    <x v="17"/>
    <x v="0"/>
    <x v="4"/>
    <x v="0"/>
    <x v="203"/>
    <x v="9"/>
    <x v="6"/>
    <x v="0"/>
    <x v="154"/>
    <n v="0"/>
    <n v="1.1168916908656501E+19"/>
  </r>
  <r>
    <b v="0"/>
    <x v="17"/>
    <x v="0"/>
    <x v="2"/>
    <x v="2"/>
    <x v="204"/>
    <x v="16"/>
    <x v="6"/>
    <x v="0"/>
    <x v="155"/>
    <n v="0"/>
    <n v="1.8253702253139401E+19"/>
  </r>
  <r>
    <b v="0"/>
    <x v="35"/>
    <x v="1"/>
    <x v="24"/>
    <x v="72"/>
    <x v="205"/>
    <x v="18"/>
    <x v="7"/>
    <x v="1"/>
    <x v="156"/>
    <n v="0"/>
    <n v="1.0233777705035399E+19"/>
  </r>
  <r>
    <b v="0"/>
    <x v="19"/>
    <x v="1"/>
    <x v="60"/>
    <x v="36"/>
    <x v="194"/>
    <x v="49"/>
    <x v="7"/>
    <x v="0"/>
    <x v="157"/>
    <n v="0"/>
    <n v="1.4994464270329301E+19"/>
  </r>
  <r>
    <b v="0"/>
    <x v="36"/>
    <x v="1"/>
    <x v="32"/>
    <x v="73"/>
    <x v="192"/>
    <x v="50"/>
    <x v="7"/>
    <x v="2"/>
    <x v="158"/>
    <n v="0"/>
    <n v="4.8512595640450304E+18"/>
  </r>
  <r>
    <b v="0"/>
    <x v="37"/>
    <x v="1"/>
    <x v="30"/>
    <x v="61"/>
    <x v="138"/>
    <x v="10"/>
    <x v="7"/>
    <x v="0"/>
    <x v="159"/>
    <n v="0"/>
    <n v="1.7923226456748301E+18"/>
  </r>
  <r>
    <b v="0"/>
    <x v="38"/>
    <x v="1"/>
    <x v="57"/>
    <x v="31"/>
    <x v="206"/>
    <x v="51"/>
    <x v="7"/>
    <x v="1"/>
    <x v="160"/>
    <n v="0"/>
    <n v="3.43124186450377E+16"/>
  </r>
  <r>
    <b v="0"/>
    <x v="26"/>
    <x v="0"/>
    <x v="56"/>
    <x v="42"/>
    <x v="207"/>
    <x v="15"/>
    <x v="7"/>
    <x v="0"/>
    <x v="80"/>
    <n v="0"/>
    <n v="3.7878470156016399E+18"/>
  </r>
  <r>
    <b v="0"/>
    <x v="3"/>
    <x v="0"/>
    <x v="61"/>
    <x v="28"/>
    <x v="208"/>
    <x v="19"/>
    <x v="7"/>
    <x v="0"/>
    <x v="161"/>
    <n v="0"/>
    <n v="1.08449138667188E+19"/>
  </r>
  <r>
    <b v="0"/>
    <x v="27"/>
    <x v="0"/>
    <x v="2"/>
    <x v="42"/>
    <x v="209"/>
    <x v="52"/>
    <x v="7"/>
    <x v="0"/>
    <x v="162"/>
    <n v="0"/>
    <n v="1.4534140463875701E+19"/>
  </r>
  <r>
    <b v="0"/>
    <x v="1"/>
    <x v="0"/>
    <x v="4"/>
    <x v="0"/>
    <x v="210"/>
    <x v="28"/>
    <x v="7"/>
    <x v="0"/>
    <x v="163"/>
    <n v="0"/>
    <n v="1.3941258401493899E+19"/>
  </r>
  <r>
    <b v="0"/>
    <x v="26"/>
    <x v="2"/>
    <x v="27"/>
    <x v="28"/>
    <x v="211"/>
    <x v="42"/>
    <x v="7"/>
    <x v="0"/>
    <x v="164"/>
    <n v="0"/>
    <n v="1.3907321937455499E+19"/>
  </r>
  <r>
    <b v="0"/>
    <x v="39"/>
    <x v="2"/>
    <x v="49"/>
    <x v="24"/>
    <x v="212"/>
    <x v="27"/>
    <x v="7"/>
    <x v="0"/>
    <x v="165"/>
    <n v="0"/>
    <n v="1.2633461504095101E+19"/>
  </r>
  <r>
    <b v="0"/>
    <x v="15"/>
    <x v="2"/>
    <x v="26"/>
    <x v="23"/>
    <x v="213"/>
    <x v="29"/>
    <x v="7"/>
    <x v="0"/>
    <x v="166"/>
    <n v="0"/>
    <n v="1.6580545208239499E+19"/>
  </r>
  <r>
    <b v="0"/>
    <x v="31"/>
    <x v="2"/>
    <x v="27"/>
    <x v="63"/>
    <x v="214"/>
    <x v="19"/>
    <x v="7"/>
    <x v="0"/>
    <x v="167"/>
    <n v="0"/>
    <n v="1.08478257122188E+19"/>
  </r>
  <r>
    <b v="0"/>
    <x v="2"/>
    <x v="0"/>
    <x v="12"/>
    <x v="27"/>
    <x v="215"/>
    <x v="53"/>
    <x v="7"/>
    <x v="0"/>
    <x v="168"/>
    <n v="0"/>
    <n v="1.26487986712937E+19"/>
  </r>
  <r>
    <b v="0"/>
    <x v="27"/>
    <x v="0"/>
    <x v="1"/>
    <x v="9"/>
    <x v="216"/>
    <x v="54"/>
    <x v="7"/>
    <x v="0"/>
    <x v="169"/>
    <n v="0"/>
    <n v="1.7689895834414399E+19"/>
  </r>
  <r>
    <b v="0"/>
    <x v="27"/>
    <x v="0"/>
    <x v="12"/>
    <x v="8"/>
    <x v="217"/>
    <x v="41"/>
    <x v="7"/>
    <x v="0"/>
    <x v="170"/>
    <n v="0"/>
    <n v="9.8555692238003405E+18"/>
  </r>
  <r>
    <b v="0"/>
    <x v="2"/>
    <x v="0"/>
    <x v="28"/>
    <x v="74"/>
    <x v="218"/>
    <x v="12"/>
    <x v="7"/>
    <x v="0"/>
    <x v="171"/>
    <n v="0"/>
    <n v="1.40128332303289E+19"/>
  </r>
  <r>
    <b v="0"/>
    <x v="23"/>
    <x v="1"/>
    <x v="17"/>
    <x v="55"/>
    <x v="219"/>
    <x v="12"/>
    <x v="7"/>
    <x v="2"/>
    <x v="172"/>
    <n v="0"/>
    <n v="3.2097419660101699E+18"/>
  </r>
  <r>
    <b v="0"/>
    <x v="30"/>
    <x v="1"/>
    <x v="62"/>
    <x v="14"/>
    <x v="220"/>
    <x v="11"/>
    <x v="7"/>
    <x v="0"/>
    <x v="173"/>
    <n v="0"/>
    <n v="1.4851122783748901E+19"/>
  </r>
  <r>
    <b v="0"/>
    <x v="9"/>
    <x v="1"/>
    <x v="17"/>
    <x v="50"/>
    <x v="110"/>
    <x v="55"/>
    <x v="7"/>
    <x v="1"/>
    <x v="174"/>
    <n v="0"/>
    <n v="1.38403179522584E+19"/>
  </r>
  <r>
    <b v="0"/>
    <x v="37"/>
    <x v="1"/>
    <x v="23"/>
    <x v="75"/>
    <x v="221"/>
    <x v="56"/>
    <x v="7"/>
    <x v="0"/>
    <x v="175"/>
    <n v="0"/>
    <n v="1.2168963755970601E+19"/>
  </r>
  <r>
    <b v="0"/>
    <x v="40"/>
    <x v="1"/>
    <x v="24"/>
    <x v="76"/>
    <x v="222"/>
    <x v="23"/>
    <x v="7"/>
    <x v="0"/>
    <x v="141"/>
    <n v="0"/>
    <n v="8.2598934142173399E+18"/>
  </r>
  <r>
    <b v="0"/>
    <x v="38"/>
    <x v="1"/>
    <x v="24"/>
    <x v="54"/>
    <x v="223"/>
    <x v="57"/>
    <x v="7"/>
    <x v="0"/>
    <x v="176"/>
    <n v="0"/>
    <n v="1.4516566520199999E+19"/>
  </r>
  <r>
    <b v="0"/>
    <x v="19"/>
    <x v="1"/>
    <x v="17"/>
    <x v="53"/>
    <x v="224"/>
    <x v="42"/>
    <x v="7"/>
    <x v="1"/>
    <x v="177"/>
    <n v="0"/>
    <n v="9.6380172293094892E+18"/>
  </r>
  <r>
    <b v="0"/>
    <x v="40"/>
    <x v="1"/>
    <x v="17"/>
    <x v="55"/>
    <x v="225"/>
    <x v="58"/>
    <x v="7"/>
    <x v="2"/>
    <x v="114"/>
    <n v="0"/>
    <n v="3.71797251434242E+18"/>
  </r>
  <r>
    <b v="0"/>
    <x v="6"/>
    <x v="2"/>
    <x v="63"/>
    <x v="12"/>
    <x v="226"/>
    <x v="12"/>
    <x v="7"/>
    <x v="1"/>
    <x v="178"/>
    <n v="0"/>
    <n v="6.1441885261571799E+18"/>
  </r>
  <r>
    <b v="0"/>
    <x v="41"/>
    <x v="1"/>
    <x v="21"/>
    <x v="28"/>
    <x v="227"/>
    <x v="32"/>
    <x v="7"/>
    <x v="2"/>
    <x v="179"/>
    <n v="0"/>
    <n v="1.31590515935378E+19"/>
  </r>
  <r>
    <b v="0"/>
    <x v="41"/>
    <x v="3"/>
    <x v="64"/>
    <x v="28"/>
    <x v="228"/>
    <x v="17"/>
    <x v="7"/>
    <x v="1"/>
    <x v="180"/>
    <n v="0"/>
    <n v="9.1367153684465398E+18"/>
  </r>
  <r>
    <b v="0"/>
    <x v="42"/>
    <x v="1"/>
    <x v="48"/>
    <x v="77"/>
    <x v="224"/>
    <x v="59"/>
    <x v="8"/>
    <x v="2"/>
    <x v="181"/>
    <n v="0"/>
    <n v="8.5319655493192397E+18"/>
  </r>
  <r>
    <b v="0"/>
    <x v="43"/>
    <x v="1"/>
    <x v="24"/>
    <x v="78"/>
    <x v="229"/>
    <x v="60"/>
    <x v="8"/>
    <x v="0"/>
    <x v="182"/>
    <n v="0"/>
    <n v="2.76543487429822E+18"/>
  </r>
  <r>
    <b v="0"/>
    <x v="44"/>
    <x v="1"/>
    <x v="65"/>
    <x v="56"/>
    <x v="224"/>
    <x v="61"/>
    <x v="8"/>
    <x v="1"/>
    <x v="183"/>
    <n v="0"/>
    <n v="1.6735706942218899E+19"/>
  </r>
  <r>
    <b v="0"/>
    <x v="45"/>
    <x v="1"/>
    <x v="57"/>
    <x v="31"/>
    <x v="230"/>
    <x v="50"/>
    <x v="8"/>
    <x v="1"/>
    <x v="184"/>
    <n v="0"/>
    <n v="1.5514200753371501E+19"/>
  </r>
  <r>
    <b v="0"/>
    <x v="43"/>
    <x v="1"/>
    <x v="36"/>
    <x v="35"/>
    <x v="229"/>
    <x v="42"/>
    <x v="8"/>
    <x v="1"/>
    <x v="136"/>
    <n v="0"/>
    <n v="5.70542931686912E+18"/>
  </r>
  <r>
    <b v="0"/>
    <x v="46"/>
    <x v="0"/>
    <x v="61"/>
    <x v="28"/>
    <x v="231"/>
    <x v="10"/>
    <x v="8"/>
    <x v="0"/>
    <x v="185"/>
    <n v="0"/>
    <n v="7.76416892308945E+18"/>
  </r>
  <r>
    <b v="0"/>
    <x v="47"/>
    <x v="0"/>
    <x v="2"/>
    <x v="3"/>
    <x v="232"/>
    <x v="45"/>
    <x v="8"/>
    <x v="0"/>
    <x v="186"/>
    <n v="0"/>
    <n v="7.5259577851472804E+18"/>
  </r>
  <r>
    <b v="0"/>
    <x v="48"/>
    <x v="0"/>
    <x v="4"/>
    <x v="79"/>
    <x v="233"/>
    <x v="32"/>
    <x v="8"/>
    <x v="0"/>
    <x v="187"/>
    <n v="0"/>
    <n v="1.5346487119701801E+19"/>
  </r>
  <r>
    <b v="0"/>
    <x v="49"/>
    <x v="2"/>
    <x v="49"/>
    <x v="24"/>
    <x v="234"/>
    <x v="62"/>
    <x v="8"/>
    <x v="0"/>
    <x v="188"/>
    <n v="0"/>
    <n v="4.0321587493350999E+18"/>
  </r>
  <r>
    <b v="0"/>
    <x v="39"/>
    <x v="2"/>
    <x v="16"/>
    <x v="11"/>
    <x v="235"/>
    <x v="55"/>
    <x v="8"/>
    <x v="0"/>
    <x v="76"/>
    <n v="0"/>
    <n v="1.4151431447383501E+19"/>
  </r>
  <r>
    <b v="0"/>
    <x v="48"/>
    <x v="2"/>
    <x v="16"/>
    <x v="13"/>
    <x v="236"/>
    <x v="56"/>
    <x v="8"/>
    <x v="0"/>
    <x v="189"/>
    <n v="0"/>
    <n v="7.6169985378401597E+18"/>
  </r>
  <r>
    <b v="0"/>
    <x v="50"/>
    <x v="1"/>
    <x v="23"/>
    <x v="14"/>
    <x v="228"/>
    <x v="33"/>
    <x v="8"/>
    <x v="0"/>
    <x v="190"/>
    <n v="0"/>
    <n v="3.5130397519129902E+18"/>
  </r>
  <r>
    <b v="0"/>
    <x v="39"/>
    <x v="2"/>
    <x v="26"/>
    <x v="23"/>
    <x v="237"/>
    <x v="63"/>
    <x v="8"/>
    <x v="0"/>
    <x v="191"/>
    <n v="0"/>
    <n v="1.8275039705332699E+19"/>
  </r>
  <r>
    <b v="0"/>
    <x v="47"/>
    <x v="2"/>
    <x v="25"/>
    <x v="17"/>
    <x v="238"/>
    <x v="63"/>
    <x v="8"/>
    <x v="0"/>
    <x v="192"/>
    <n v="0"/>
    <n v="8.00892472673728E+18"/>
  </r>
  <r>
    <b v="0"/>
    <x v="51"/>
    <x v="2"/>
    <x v="49"/>
    <x v="24"/>
    <x v="239"/>
    <x v="56"/>
    <x v="8"/>
    <x v="0"/>
    <x v="193"/>
    <n v="0"/>
    <n v="1.0434667968723599E+19"/>
  </r>
  <r>
    <b v="0"/>
    <x v="52"/>
    <x v="2"/>
    <x v="16"/>
    <x v="13"/>
    <x v="240"/>
    <x v="47"/>
    <x v="8"/>
    <x v="0"/>
    <x v="194"/>
    <n v="0"/>
    <n v="5.8317388775901102E+18"/>
  </r>
  <r>
    <b v="0"/>
    <x v="53"/>
    <x v="2"/>
    <x v="26"/>
    <x v="28"/>
    <x v="241"/>
    <x v="64"/>
    <x v="8"/>
    <x v="0"/>
    <x v="195"/>
    <n v="0"/>
    <n v="6.8033271939694203E+18"/>
  </r>
  <r>
    <b v="0"/>
    <x v="54"/>
    <x v="2"/>
    <x v="29"/>
    <x v="68"/>
    <x v="242"/>
    <x v="65"/>
    <x v="8"/>
    <x v="0"/>
    <x v="196"/>
    <n v="0"/>
    <n v="4.2391885397864499E+18"/>
  </r>
  <r>
    <b v="0"/>
    <x v="49"/>
    <x v="0"/>
    <x v="56"/>
    <x v="42"/>
    <x v="212"/>
    <x v="45"/>
    <x v="8"/>
    <x v="0"/>
    <x v="169"/>
    <n v="0"/>
    <n v="9.5290382237180498E+18"/>
  </r>
  <r>
    <b v="0"/>
    <x v="55"/>
    <x v="2"/>
    <x v="49"/>
    <x v="1"/>
    <x v="243"/>
    <x v="66"/>
    <x v="8"/>
    <x v="0"/>
    <x v="197"/>
    <n v="0"/>
    <n v="7.4959400205243802E+18"/>
  </r>
  <r>
    <b v="0"/>
    <x v="54"/>
    <x v="0"/>
    <x v="4"/>
    <x v="79"/>
    <x v="244"/>
    <x v="67"/>
    <x v="8"/>
    <x v="0"/>
    <x v="198"/>
    <n v="0"/>
    <n v="1.4579958670213401E+19"/>
  </r>
  <r>
    <b v="0"/>
    <x v="26"/>
    <x v="0"/>
    <x v="2"/>
    <x v="3"/>
    <x v="245"/>
    <x v="52"/>
    <x v="8"/>
    <x v="0"/>
    <x v="199"/>
    <n v="0"/>
    <n v="2.87036469277024E+18"/>
  </r>
  <r>
    <b v="0"/>
    <x v="19"/>
    <x v="1"/>
    <x v="24"/>
    <x v="72"/>
    <x v="194"/>
    <x v="25"/>
    <x v="8"/>
    <x v="0"/>
    <x v="141"/>
    <n v="0"/>
    <n v="1.84390174633868E+19"/>
  </r>
  <r>
    <b v="0"/>
    <x v="56"/>
    <x v="1"/>
    <x v="51"/>
    <x v="11"/>
    <x v="246"/>
    <x v="37"/>
    <x v="8"/>
    <x v="1"/>
    <x v="30"/>
    <n v="0"/>
    <n v="1.1352164475044E+19"/>
  </r>
  <r>
    <b v="0"/>
    <x v="57"/>
    <x v="1"/>
    <x v="52"/>
    <x v="12"/>
    <x v="138"/>
    <x v="68"/>
    <x v="8"/>
    <x v="1"/>
    <x v="200"/>
    <n v="0"/>
    <n v="1.1111921457179001E+19"/>
  </r>
  <r>
    <b v="0"/>
    <x v="58"/>
    <x v="1"/>
    <x v="66"/>
    <x v="50"/>
    <x v="247"/>
    <x v="12"/>
    <x v="8"/>
    <x v="0"/>
    <x v="201"/>
    <n v="0"/>
    <n v="6.31821648168845E+18"/>
  </r>
  <r>
    <b v="0"/>
    <x v="59"/>
    <x v="1"/>
    <x v="51"/>
    <x v="11"/>
    <x v="248"/>
    <x v="49"/>
    <x v="8"/>
    <x v="1"/>
    <x v="202"/>
    <n v="0"/>
    <n v="5.7190630881737997E+17"/>
  </r>
  <r>
    <b v="0"/>
    <x v="60"/>
    <x v="1"/>
    <x v="45"/>
    <x v="24"/>
    <x v="249"/>
    <x v="47"/>
    <x v="8"/>
    <x v="0"/>
    <x v="203"/>
    <n v="0"/>
    <n v="3.9597653477426601E+18"/>
  </r>
  <r>
    <b v="0"/>
    <x v="61"/>
    <x v="1"/>
    <x v="62"/>
    <x v="13"/>
    <x v="250"/>
    <x v="34"/>
    <x v="8"/>
    <x v="0"/>
    <x v="204"/>
    <n v="0"/>
    <n v="9.6428387122446602E+18"/>
  </r>
  <r>
    <b v="0"/>
    <x v="62"/>
    <x v="1"/>
    <x v="52"/>
    <x v="12"/>
    <x v="251"/>
    <x v="28"/>
    <x v="8"/>
    <x v="1"/>
    <x v="205"/>
    <n v="0"/>
    <n v="8.8308586369410898E+18"/>
  </r>
  <r>
    <b v="0"/>
    <x v="63"/>
    <x v="4"/>
    <x v="67"/>
    <x v="80"/>
    <x v="252"/>
    <x v="57"/>
    <x v="8"/>
    <x v="2"/>
    <x v="206"/>
    <n v="0"/>
    <n v="3.7618352598826701E+17"/>
  </r>
  <r>
    <b v="0"/>
    <x v="3"/>
    <x v="2"/>
    <x v="68"/>
    <x v="81"/>
    <x v="253"/>
    <x v="43"/>
    <x v="8"/>
    <x v="2"/>
    <x v="207"/>
    <n v="0"/>
    <n v="1.78181745482438E+19"/>
  </r>
  <r>
    <b v="0"/>
    <x v="64"/>
    <x v="1"/>
    <x v="21"/>
    <x v="64"/>
    <x v="254"/>
    <x v="44"/>
    <x v="8"/>
    <x v="2"/>
    <x v="208"/>
    <n v="0"/>
    <n v="5.8069295402143396E+18"/>
  </r>
  <r>
    <b v="0"/>
    <x v="65"/>
    <x v="2"/>
    <x v="68"/>
    <x v="82"/>
    <x v="242"/>
    <x v="56"/>
    <x v="8"/>
    <x v="2"/>
    <x v="209"/>
    <n v="0"/>
    <n v="1.67275143796939E+19"/>
  </r>
  <r>
    <b v="0"/>
    <x v="35"/>
    <x v="1"/>
    <x v="69"/>
    <x v="62"/>
    <x v="193"/>
    <x v="28"/>
    <x v="8"/>
    <x v="2"/>
    <x v="210"/>
    <n v="0"/>
    <n v="2.3718087258588902E+18"/>
  </r>
  <r>
    <b v="0"/>
    <x v="32"/>
    <x v="1"/>
    <x v="24"/>
    <x v="72"/>
    <x v="255"/>
    <x v="69"/>
    <x v="8"/>
    <x v="1"/>
    <x v="211"/>
    <n v="0"/>
    <n v="7.9649491895812698E+17"/>
  </r>
  <r>
    <b v="0"/>
    <x v="41"/>
    <x v="2"/>
    <x v="49"/>
    <x v="64"/>
    <x v="256"/>
    <x v="33"/>
    <x v="9"/>
    <x v="0"/>
    <x v="212"/>
    <n v="0"/>
    <n v="4.8941968577276703E+18"/>
  </r>
  <r>
    <b v="0"/>
    <x v="66"/>
    <x v="2"/>
    <x v="16"/>
    <x v="13"/>
    <x v="257"/>
    <x v="55"/>
    <x v="9"/>
    <x v="0"/>
    <x v="213"/>
    <n v="0"/>
    <n v="1.7529196653753899E+19"/>
  </r>
  <r>
    <b v="0"/>
    <x v="67"/>
    <x v="1"/>
    <x v="23"/>
    <x v="14"/>
    <x v="258"/>
    <x v="70"/>
    <x v="9"/>
    <x v="0"/>
    <x v="214"/>
    <n v="0"/>
    <n v="1.79947137884254E+19"/>
  </r>
  <r>
    <b v="0"/>
    <x v="48"/>
    <x v="2"/>
    <x v="25"/>
    <x v="17"/>
    <x v="259"/>
    <x v="55"/>
    <x v="9"/>
    <x v="0"/>
    <x v="215"/>
    <n v="0"/>
    <n v="2.3809037480214702E+18"/>
  </r>
  <r>
    <b v="0"/>
    <x v="51"/>
    <x v="2"/>
    <x v="26"/>
    <x v="28"/>
    <x v="260"/>
    <x v="69"/>
    <x v="9"/>
    <x v="0"/>
    <x v="216"/>
    <n v="0"/>
    <n v="1.6827912517361799E+19"/>
  </r>
  <r>
    <b v="0"/>
    <x v="3"/>
    <x v="0"/>
    <x v="56"/>
    <x v="0"/>
    <x v="261"/>
    <x v="33"/>
    <x v="9"/>
    <x v="0"/>
    <x v="80"/>
    <n v="0"/>
    <n v="3.5762074453509299E+18"/>
  </r>
  <r>
    <b v="0"/>
    <x v="68"/>
    <x v="0"/>
    <x v="4"/>
    <x v="60"/>
    <x v="262"/>
    <x v="66"/>
    <x v="9"/>
    <x v="0"/>
    <x v="217"/>
    <n v="0"/>
    <n v="6.1555499885930895E+18"/>
  </r>
  <r>
    <b v="0"/>
    <x v="34"/>
    <x v="0"/>
    <x v="28"/>
    <x v="83"/>
    <x v="263"/>
    <x v="45"/>
    <x v="9"/>
    <x v="0"/>
    <x v="218"/>
    <n v="0"/>
    <n v="1.81350849543326E+19"/>
  </r>
  <r>
    <b v="0"/>
    <x v="69"/>
    <x v="0"/>
    <x v="2"/>
    <x v="84"/>
    <x v="264"/>
    <x v="71"/>
    <x v="9"/>
    <x v="0"/>
    <x v="219"/>
    <n v="0"/>
    <n v="6.2587641534415002E+18"/>
  </r>
  <r>
    <b v="0"/>
    <x v="70"/>
    <x v="0"/>
    <x v="1"/>
    <x v="39"/>
    <x v="265"/>
    <x v="28"/>
    <x v="9"/>
    <x v="0"/>
    <x v="13"/>
    <n v="0"/>
    <n v="2.8471683532888899E+18"/>
  </r>
  <r>
    <b v="0"/>
    <x v="27"/>
    <x v="0"/>
    <x v="28"/>
    <x v="85"/>
    <x v="266"/>
    <x v="72"/>
    <x v="9"/>
    <x v="0"/>
    <x v="37"/>
    <n v="0"/>
    <n v="8.0116805595410698E+18"/>
  </r>
  <r>
    <b v="0"/>
    <x v="49"/>
    <x v="0"/>
    <x v="70"/>
    <x v="81"/>
    <x v="267"/>
    <x v="9"/>
    <x v="9"/>
    <x v="0"/>
    <x v="220"/>
    <n v="0"/>
    <n v="4.8141841416036598E+18"/>
  </r>
  <r>
    <b v="0"/>
    <x v="31"/>
    <x v="0"/>
    <x v="22"/>
    <x v="2"/>
    <x v="197"/>
    <x v="20"/>
    <x v="9"/>
    <x v="0"/>
    <x v="221"/>
    <n v="0"/>
    <n v="8.9344161482018601E+18"/>
  </r>
  <r>
    <b v="0"/>
    <x v="71"/>
    <x v="1"/>
    <x v="69"/>
    <x v="62"/>
    <x v="268"/>
    <x v="16"/>
    <x v="9"/>
    <x v="2"/>
    <x v="222"/>
    <n v="0"/>
    <n v="3.2978107971052201E+18"/>
  </r>
  <r>
    <b v="0"/>
    <x v="72"/>
    <x v="1"/>
    <x v="71"/>
    <x v="33"/>
    <x v="269"/>
    <x v="71"/>
    <x v="9"/>
    <x v="1"/>
    <x v="223"/>
    <n v="0"/>
    <n v="2.0857210516577101E+18"/>
  </r>
  <r>
    <b v="0"/>
    <x v="73"/>
    <x v="1"/>
    <x v="24"/>
    <x v="36"/>
    <x v="270"/>
    <x v="60"/>
    <x v="9"/>
    <x v="0"/>
    <x v="224"/>
    <n v="0"/>
    <n v="7.9379654373644401E+18"/>
  </r>
  <r>
    <b v="0"/>
    <x v="74"/>
    <x v="1"/>
    <x v="21"/>
    <x v="36"/>
    <x v="271"/>
    <x v="9"/>
    <x v="9"/>
    <x v="0"/>
    <x v="225"/>
    <n v="0"/>
    <n v="9.62998422927966E+18"/>
  </r>
  <r>
    <b v="0"/>
    <x v="75"/>
    <x v="4"/>
    <x v="72"/>
    <x v="86"/>
    <x v="272"/>
    <x v="73"/>
    <x v="9"/>
    <x v="2"/>
    <x v="226"/>
    <n v="0"/>
    <n v="3.1697902612344602E+18"/>
  </r>
  <r>
    <b v="0"/>
    <x v="18"/>
    <x v="0"/>
    <x v="1"/>
    <x v="81"/>
    <x v="273"/>
    <x v="38"/>
    <x v="9"/>
    <x v="0"/>
    <x v="227"/>
    <n v="0"/>
    <n v="1.1803404474356799E+19"/>
  </r>
  <r>
    <b v="0"/>
    <x v="57"/>
    <x v="1"/>
    <x v="73"/>
    <x v="62"/>
    <x v="274"/>
    <x v="74"/>
    <x v="9"/>
    <x v="2"/>
    <x v="20"/>
    <n v="0"/>
    <n v="7.0794237089292902E+18"/>
  </r>
  <r>
    <b v="0"/>
    <x v="62"/>
    <x v="0"/>
    <x v="61"/>
    <x v="17"/>
    <x v="275"/>
    <x v="35"/>
    <x v="9"/>
    <x v="0"/>
    <x v="185"/>
    <n v="0"/>
    <n v="1.4812839938624E+19"/>
  </r>
  <r>
    <b v="0"/>
    <x v="76"/>
    <x v="1"/>
    <x v="66"/>
    <x v="31"/>
    <x v="276"/>
    <x v="45"/>
    <x v="9"/>
    <x v="0"/>
    <x v="228"/>
    <n v="0"/>
    <n v="1.0799871295208499E+19"/>
  </r>
  <r>
    <b v="0"/>
    <x v="77"/>
    <x v="1"/>
    <x v="66"/>
    <x v="31"/>
    <x v="277"/>
    <x v="28"/>
    <x v="9"/>
    <x v="0"/>
    <x v="229"/>
    <n v="0"/>
    <n v="8.5770413891223603E+18"/>
  </r>
  <r>
    <b v="0"/>
    <x v="78"/>
    <x v="1"/>
    <x v="57"/>
    <x v="33"/>
    <x v="278"/>
    <x v="62"/>
    <x v="9"/>
    <x v="1"/>
    <x v="230"/>
    <n v="0"/>
    <n v="1.4142674013183701E+19"/>
  </r>
  <r>
    <b v="0"/>
    <x v="79"/>
    <x v="1"/>
    <x v="36"/>
    <x v="34"/>
    <x v="18"/>
    <x v="68"/>
    <x v="9"/>
    <x v="2"/>
    <x v="231"/>
    <n v="0"/>
    <n v="6.7297375728967795E+17"/>
  </r>
  <r>
    <b v="0"/>
    <x v="80"/>
    <x v="1"/>
    <x v="62"/>
    <x v="17"/>
    <x v="271"/>
    <x v="11"/>
    <x v="9"/>
    <x v="0"/>
    <x v="232"/>
    <n v="0"/>
    <n v="1.1322292215027499E+19"/>
  </r>
  <r>
    <b v="0"/>
    <x v="81"/>
    <x v="2"/>
    <x v="74"/>
    <x v="64"/>
    <x v="279"/>
    <x v="75"/>
    <x v="9"/>
    <x v="0"/>
    <x v="233"/>
    <n v="0"/>
    <n v="1.70902702866945E+19"/>
  </r>
  <r>
    <b v="0"/>
    <x v="82"/>
    <x v="2"/>
    <x v="74"/>
    <x v="64"/>
    <x v="280"/>
    <x v="76"/>
    <x v="9"/>
    <x v="0"/>
    <x v="234"/>
    <n v="0"/>
    <n v="5.3676119755329495E+18"/>
  </r>
  <r>
    <b v="0"/>
    <x v="38"/>
    <x v="1"/>
    <x v="62"/>
    <x v="17"/>
    <x v="281"/>
    <x v="45"/>
    <x v="9"/>
    <x v="0"/>
    <x v="235"/>
    <n v="0"/>
    <n v="8.35564415156369E+18"/>
  </r>
  <r>
    <b v="0"/>
    <x v="83"/>
    <x v="1"/>
    <x v="24"/>
    <x v="32"/>
    <x v="282"/>
    <x v="68"/>
    <x v="10"/>
    <x v="2"/>
    <x v="143"/>
    <n v="0"/>
    <n v="6.16762870264768E+18"/>
  </r>
  <r>
    <b v="0"/>
    <x v="84"/>
    <x v="1"/>
    <x v="69"/>
    <x v="35"/>
    <x v="283"/>
    <x v="77"/>
    <x v="10"/>
    <x v="1"/>
    <x v="236"/>
    <n v="0"/>
    <n v="1.6609169922935199E+18"/>
  </r>
  <r>
    <b v="0"/>
    <x v="85"/>
    <x v="1"/>
    <x v="24"/>
    <x v="31"/>
    <x v="284"/>
    <x v="10"/>
    <x v="10"/>
    <x v="0"/>
    <x v="141"/>
    <n v="0"/>
    <n v="1.1497351540324999E+19"/>
  </r>
  <r>
    <b v="0"/>
    <x v="86"/>
    <x v="1"/>
    <x v="71"/>
    <x v="33"/>
    <x v="285"/>
    <x v="42"/>
    <x v="10"/>
    <x v="1"/>
    <x v="237"/>
    <n v="0"/>
    <n v="9.3386586410556498E+18"/>
  </r>
  <r>
    <b v="0"/>
    <x v="14"/>
    <x v="1"/>
    <x v="62"/>
    <x v="17"/>
    <x v="286"/>
    <x v="25"/>
    <x v="10"/>
    <x v="0"/>
    <x v="233"/>
    <n v="0"/>
    <n v="8.9507029560006902E+18"/>
  </r>
  <r>
    <b v="0"/>
    <x v="87"/>
    <x v="1"/>
    <x v="23"/>
    <x v="14"/>
    <x v="287"/>
    <x v="78"/>
    <x v="10"/>
    <x v="0"/>
    <x v="238"/>
    <n v="0"/>
    <n v="1.80163384803363E+19"/>
  </r>
  <r>
    <b v="0"/>
    <x v="88"/>
    <x v="1"/>
    <x v="62"/>
    <x v="17"/>
    <x v="288"/>
    <x v="73"/>
    <x v="10"/>
    <x v="0"/>
    <x v="192"/>
    <n v="0"/>
    <n v="8.8435233426259599E+18"/>
  </r>
  <r>
    <b v="0"/>
    <x v="89"/>
    <x v="2"/>
    <x v="26"/>
    <x v="17"/>
    <x v="289"/>
    <x v="64"/>
    <x v="10"/>
    <x v="0"/>
    <x v="195"/>
    <n v="0"/>
    <n v="1.1701282727554601E+19"/>
  </r>
  <r>
    <b v="0"/>
    <x v="90"/>
    <x v="1"/>
    <x v="17"/>
    <x v="55"/>
    <x v="290"/>
    <x v="56"/>
    <x v="10"/>
    <x v="2"/>
    <x v="239"/>
    <n v="0"/>
    <n v="8.87819740565999E+18"/>
  </r>
  <r>
    <b v="0"/>
    <x v="91"/>
    <x v="1"/>
    <x v="51"/>
    <x v="17"/>
    <x v="291"/>
    <x v="10"/>
    <x v="10"/>
    <x v="1"/>
    <x v="240"/>
    <n v="0"/>
    <n v="1.1949761346477601E+19"/>
  </r>
  <r>
    <b v="0"/>
    <x v="92"/>
    <x v="1"/>
    <x v="39"/>
    <x v="50"/>
    <x v="127"/>
    <x v="14"/>
    <x v="10"/>
    <x v="1"/>
    <x v="241"/>
    <n v="0"/>
    <n v="1.6516262661246501E+19"/>
  </r>
  <r>
    <b v="0"/>
    <x v="93"/>
    <x v="1"/>
    <x v="52"/>
    <x v="41"/>
    <x v="292"/>
    <x v="9"/>
    <x v="10"/>
    <x v="1"/>
    <x v="242"/>
    <n v="0"/>
    <n v="1.45176700294899E+19"/>
  </r>
  <r>
    <b v="0"/>
    <x v="94"/>
    <x v="1"/>
    <x v="41"/>
    <x v="50"/>
    <x v="110"/>
    <x v="71"/>
    <x v="10"/>
    <x v="1"/>
    <x v="131"/>
    <n v="0"/>
    <n v="1.07437887715666E+19"/>
  </r>
  <r>
    <b v="0"/>
    <x v="95"/>
    <x v="1"/>
    <x v="71"/>
    <x v="33"/>
    <x v="293"/>
    <x v="79"/>
    <x v="10"/>
    <x v="1"/>
    <x v="243"/>
    <n v="0"/>
    <n v="1.6203479134072801E+18"/>
  </r>
  <r>
    <b v="0"/>
    <x v="96"/>
    <x v="1"/>
    <x v="45"/>
    <x v="24"/>
    <x v="294"/>
    <x v="60"/>
    <x v="10"/>
    <x v="0"/>
    <x v="116"/>
    <n v="0"/>
    <n v="1.20677112229923E+19"/>
  </r>
  <r>
    <b v="0"/>
    <x v="97"/>
    <x v="1"/>
    <x v="57"/>
    <x v="33"/>
    <x v="293"/>
    <x v="62"/>
    <x v="10"/>
    <x v="1"/>
    <x v="230"/>
    <n v="0"/>
    <n v="2.2827025583298501E+18"/>
  </r>
  <r>
    <b v="0"/>
    <x v="98"/>
    <x v="1"/>
    <x v="48"/>
    <x v="77"/>
    <x v="295"/>
    <x v="80"/>
    <x v="10"/>
    <x v="2"/>
    <x v="244"/>
    <n v="0"/>
    <n v="6.4441502279856497E+18"/>
  </r>
  <r>
    <b v="0"/>
    <x v="99"/>
    <x v="1"/>
    <x v="48"/>
    <x v="77"/>
    <x v="296"/>
    <x v="81"/>
    <x v="10"/>
    <x v="2"/>
    <x v="245"/>
    <n v="0"/>
    <n v="4.6107720064933898E+18"/>
  </r>
  <r>
    <b v="0"/>
    <x v="100"/>
    <x v="4"/>
    <x v="21"/>
    <x v="53"/>
    <x v="297"/>
    <x v="82"/>
    <x v="10"/>
    <x v="2"/>
    <x v="246"/>
    <n v="0"/>
    <n v="2.6762971706971402E+18"/>
  </r>
  <r>
    <b v="0"/>
    <x v="19"/>
    <x v="1"/>
    <x v="63"/>
    <x v="53"/>
    <x v="298"/>
    <x v="83"/>
    <x v="10"/>
    <x v="2"/>
    <x v="247"/>
    <n v="0"/>
    <n v="1.5452565343677E+19"/>
  </r>
  <r>
    <b v="0"/>
    <x v="101"/>
    <x v="1"/>
    <x v="36"/>
    <x v="53"/>
    <x v="299"/>
    <x v="84"/>
    <x v="10"/>
    <x v="1"/>
    <x v="248"/>
    <n v="0"/>
    <n v="8.0904825979858698E+18"/>
  </r>
  <r>
    <b v="0"/>
    <x v="102"/>
    <x v="1"/>
    <x v="57"/>
    <x v="22"/>
    <x v="19"/>
    <x v="70"/>
    <x v="10"/>
    <x v="2"/>
    <x v="249"/>
    <n v="1"/>
    <n v="3.6597527020867302E+18"/>
  </r>
  <r>
    <b v="0"/>
    <x v="103"/>
    <x v="1"/>
    <x v="17"/>
    <x v="53"/>
    <x v="300"/>
    <x v="22"/>
    <x v="10"/>
    <x v="1"/>
    <x v="177"/>
    <n v="0"/>
    <n v="8.3174794785923502E+18"/>
  </r>
  <r>
    <b v="0"/>
    <x v="91"/>
    <x v="1"/>
    <x v="69"/>
    <x v="87"/>
    <x v="301"/>
    <x v="30"/>
    <x v="10"/>
    <x v="2"/>
    <x v="250"/>
    <n v="0"/>
    <n v="3.0115033758018202E+18"/>
  </r>
  <r>
    <b v="0"/>
    <x v="104"/>
    <x v="2"/>
    <x v="59"/>
    <x v="88"/>
    <x v="302"/>
    <x v="54"/>
    <x v="10"/>
    <x v="1"/>
    <x v="251"/>
    <n v="0"/>
    <n v="3.2237311284739799E+18"/>
  </r>
  <r>
    <b v="0"/>
    <x v="105"/>
    <x v="3"/>
    <x v="38"/>
    <x v="23"/>
    <x v="303"/>
    <x v="15"/>
    <x v="10"/>
    <x v="1"/>
    <x v="252"/>
    <n v="0"/>
    <n v="1.8378479064615501E+18"/>
  </r>
  <r>
    <b v="0"/>
    <x v="21"/>
    <x v="1"/>
    <x v="30"/>
    <x v="14"/>
    <x v="304"/>
    <x v="65"/>
    <x v="10"/>
    <x v="2"/>
    <x v="253"/>
    <n v="0"/>
    <n v="1.2223288561744699E+19"/>
  </r>
  <r>
    <b v="0"/>
    <x v="106"/>
    <x v="1"/>
    <x v="23"/>
    <x v="22"/>
    <x v="305"/>
    <x v="72"/>
    <x v="10"/>
    <x v="0"/>
    <x v="254"/>
    <n v="1"/>
    <n v="1.1360748183183901E+19"/>
  </r>
  <r>
    <b v="0"/>
    <x v="107"/>
    <x v="1"/>
    <x v="19"/>
    <x v="29"/>
    <x v="306"/>
    <x v="23"/>
    <x v="10"/>
    <x v="1"/>
    <x v="255"/>
    <n v="0"/>
    <n v="6.5613119949126605E+18"/>
  </r>
  <r>
    <b v="0"/>
    <x v="57"/>
    <x v="1"/>
    <x v="75"/>
    <x v="89"/>
    <x v="307"/>
    <x v="44"/>
    <x v="11"/>
    <x v="0"/>
    <x v="256"/>
    <n v="0"/>
    <n v="1.03161373945339E+18"/>
  </r>
  <r>
    <b v="0"/>
    <x v="108"/>
    <x v="1"/>
    <x v="62"/>
    <x v="89"/>
    <x v="308"/>
    <x v="42"/>
    <x v="11"/>
    <x v="0"/>
    <x v="165"/>
    <n v="0"/>
    <n v="1.02071319038359E+19"/>
  </r>
  <r>
    <b v="0"/>
    <x v="109"/>
    <x v="1"/>
    <x v="45"/>
    <x v="41"/>
    <x v="309"/>
    <x v="60"/>
    <x v="11"/>
    <x v="0"/>
    <x v="257"/>
    <n v="0"/>
    <n v="1.0829269554705101E+19"/>
  </r>
  <r>
    <b v="0"/>
    <x v="110"/>
    <x v="2"/>
    <x v="74"/>
    <x v="28"/>
    <x v="310"/>
    <x v="85"/>
    <x v="11"/>
    <x v="0"/>
    <x v="233"/>
    <n v="0"/>
    <n v="3.9500142947084498E+18"/>
  </r>
  <r>
    <b v="0"/>
    <x v="19"/>
    <x v="1"/>
    <x v="75"/>
    <x v="89"/>
    <x v="311"/>
    <x v="76"/>
    <x v="11"/>
    <x v="0"/>
    <x v="256"/>
    <n v="0"/>
    <n v="1.47316332011484E+19"/>
  </r>
  <r>
    <b v="0"/>
    <x v="111"/>
    <x v="1"/>
    <x v="32"/>
    <x v="73"/>
    <x v="312"/>
    <x v="27"/>
    <x v="11"/>
    <x v="1"/>
    <x v="258"/>
    <n v="0"/>
    <n v="1.8148640045662599E+19"/>
  </r>
  <r>
    <b v="0"/>
    <x v="112"/>
    <x v="1"/>
    <x v="71"/>
    <x v="90"/>
    <x v="313"/>
    <x v="42"/>
    <x v="11"/>
    <x v="0"/>
    <x v="259"/>
    <n v="0"/>
    <n v="1.6832946407587799E+18"/>
  </r>
  <r>
    <b v="0"/>
    <x v="113"/>
    <x v="1"/>
    <x v="76"/>
    <x v="35"/>
    <x v="314"/>
    <x v="86"/>
    <x v="11"/>
    <x v="1"/>
    <x v="260"/>
    <n v="0"/>
    <n v="1.7195611593687699E+19"/>
  </r>
  <r>
    <b v="0"/>
    <x v="114"/>
    <x v="1"/>
    <x v="17"/>
    <x v="53"/>
    <x v="51"/>
    <x v="40"/>
    <x v="11"/>
    <x v="1"/>
    <x v="119"/>
    <n v="0"/>
    <n v="2.8145423952215101E+18"/>
  </r>
  <r>
    <b v="0"/>
    <x v="93"/>
    <x v="1"/>
    <x v="57"/>
    <x v="33"/>
    <x v="269"/>
    <x v="61"/>
    <x v="11"/>
    <x v="1"/>
    <x v="261"/>
    <n v="0"/>
    <n v="1.84622191998096E+18"/>
  </r>
  <r>
    <b v="0"/>
    <x v="115"/>
    <x v="1"/>
    <x v="69"/>
    <x v="87"/>
    <x v="315"/>
    <x v="70"/>
    <x v="11"/>
    <x v="1"/>
    <x v="262"/>
    <n v="0"/>
    <n v="3.1461358615096998E+17"/>
  </r>
  <r>
    <b v="0"/>
    <x v="72"/>
    <x v="1"/>
    <x v="36"/>
    <x v="72"/>
    <x v="224"/>
    <x v="11"/>
    <x v="11"/>
    <x v="1"/>
    <x v="263"/>
    <n v="0"/>
    <n v="1.35720485914508E+19"/>
  </r>
  <r>
    <b v="0"/>
    <x v="116"/>
    <x v="1"/>
    <x v="66"/>
    <x v="76"/>
    <x v="316"/>
    <x v="28"/>
    <x v="11"/>
    <x v="0"/>
    <x v="264"/>
    <n v="0"/>
    <n v="4.8646253742050598E+17"/>
  </r>
  <r>
    <b v="0"/>
    <x v="117"/>
    <x v="1"/>
    <x v="24"/>
    <x v="33"/>
    <x v="205"/>
    <x v="39"/>
    <x v="11"/>
    <x v="0"/>
    <x v="265"/>
    <n v="0"/>
    <n v="6.6260757644951695E+18"/>
  </r>
  <r>
    <b v="0"/>
    <x v="118"/>
    <x v="1"/>
    <x v="24"/>
    <x v="33"/>
    <x v="317"/>
    <x v="87"/>
    <x v="11"/>
    <x v="0"/>
    <x v="266"/>
    <n v="0"/>
    <n v="1.0472064571288101E+19"/>
  </r>
  <r>
    <b v="0"/>
    <x v="25"/>
    <x v="1"/>
    <x v="66"/>
    <x v="91"/>
    <x v="225"/>
    <x v="37"/>
    <x v="11"/>
    <x v="2"/>
    <x v="267"/>
    <n v="0"/>
    <n v="5.3595149799196703E+18"/>
  </r>
  <r>
    <b v="0"/>
    <x v="77"/>
    <x v="1"/>
    <x v="77"/>
    <x v="22"/>
    <x v="318"/>
    <x v="56"/>
    <x v="11"/>
    <x v="2"/>
    <x v="268"/>
    <n v="1"/>
    <n v="9.3686051012473303E+18"/>
  </r>
  <r>
    <b v="0"/>
    <x v="119"/>
    <x v="1"/>
    <x v="19"/>
    <x v="50"/>
    <x v="319"/>
    <x v="60"/>
    <x v="11"/>
    <x v="1"/>
    <x v="269"/>
    <n v="0"/>
    <n v="9.3121393370414694E+18"/>
  </r>
  <r>
    <b v="0"/>
    <x v="107"/>
    <x v="1"/>
    <x v="41"/>
    <x v="50"/>
    <x v="320"/>
    <x v="51"/>
    <x v="11"/>
    <x v="1"/>
    <x v="131"/>
    <n v="0"/>
    <n v="7.8949607417194995E+17"/>
  </r>
  <r>
    <b v="0"/>
    <x v="120"/>
    <x v="1"/>
    <x v="52"/>
    <x v="23"/>
    <x v="321"/>
    <x v="49"/>
    <x v="11"/>
    <x v="1"/>
    <x v="270"/>
    <n v="0"/>
    <n v="1.66642838594321E+19"/>
  </r>
  <r>
    <b v="0"/>
    <x v="121"/>
    <x v="1"/>
    <x v="39"/>
    <x v="91"/>
    <x v="308"/>
    <x v="88"/>
    <x v="11"/>
    <x v="1"/>
    <x v="241"/>
    <n v="0"/>
    <n v="7.39002377664674E+18"/>
  </r>
  <r>
    <b v="0"/>
    <x v="122"/>
    <x v="1"/>
    <x v="73"/>
    <x v="36"/>
    <x v="322"/>
    <x v="89"/>
    <x v="11"/>
    <x v="2"/>
    <x v="271"/>
    <n v="0"/>
    <n v="1.72476023721832E+19"/>
  </r>
  <r>
    <b v="0"/>
    <x v="123"/>
    <x v="2"/>
    <x v="78"/>
    <x v="32"/>
    <x v="323"/>
    <x v="90"/>
    <x v="11"/>
    <x v="2"/>
    <x v="272"/>
    <n v="0"/>
    <n v="7.4280629970100398E+18"/>
  </r>
  <r>
    <b v="0"/>
    <x v="75"/>
    <x v="2"/>
    <x v="59"/>
    <x v="92"/>
    <x v="324"/>
    <x v="85"/>
    <x v="11"/>
    <x v="1"/>
    <x v="273"/>
    <n v="0"/>
    <n v="1.2859146214207199E+19"/>
  </r>
  <r>
    <b v="0"/>
    <x v="124"/>
    <x v="2"/>
    <x v="63"/>
    <x v="68"/>
    <x v="199"/>
    <x v="84"/>
    <x v="11"/>
    <x v="1"/>
    <x v="274"/>
    <n v="0"/>
    <n v="4.7254945060088105E+18"/>
  </r>
  <r>
    <b v="0"/>
    <x v="125"/>
    <x v="2"/>
    <x v="49"/>
    <x v="28"/>
    <x v="325"/>
    <x v="56"/>
    <x v="11"/>
    <x v="0"/>
    <x v="125"/>
    <n v="0"/>
    <n v="1.06007457899072E+19"/>
  </r>
  <r>
    <b v="0"/>
    <x v="108"/>
    <x v="0"/>
    <x v="1"/>
    <x v="24"/>
    <x v="262"/>
    <x v="19"/>
    <x v="11"/>
    <x v="0"/>
    <x v="275"/>
    <n v="0"/>
    <n v="1.71634819052672E+19"/>
  </r>
  <r>
    <b v="0"/>
    <x v="48"/>
    <x v="2"/>
    <x v="16"/>
    <x v="14"/>
    <x v="326"/>
    <x v="91"/>
    <x v="11"/>
    <x v="0"/>
    <x v="276"/>
    <n v="0"/>
    <n v="4.2460087783812902E+17"/>
  </r>
  <r>
    <b v="0"/>
    <x v="68"/>
    <x v="2"/>
    <x v="26"/>
    <x v="13"/>
    <x v="327"/>
    <x v="69"/>
    <x v="11"/>
    <x v="0"/>
    <x v="277"/>
    <n v="0"/>
    <n v="1.16981784274123E+19"/>
  </r>
  <r>
    <b v="0"/>
    <x v="14"/>
    <x v="1"/>
    <x v="79"/>
    <x v="14"/>
    <x v="328"/>
    <x v="90"/>
    <x v="12"/>
    <x v="0"/>
    <x v="278"/>
    <n v="0"/>
    <n v="3.3951735166553201E+18"/>
  </r>
  <r>
    <b v="0"/>
    <x v="8"/>
    <x v="1"/>
    <x v="79"/>
    <x v="14"/>
    <x v="329"/>
    <x v="50"/>
    <x v="12"/>
    <x v="0"/>
    <x v="279"/>
    <n v="0"/>
    <n v="1.0499839896992899E+19"/>
  </r>
  <r>
    <b v="0"/>
    <x v="126"/>
    <x v="1"/>
    <x v="79"/>
    <x v="14"/>
    <x v="78"/>
    <x v="22"/>
    <x v="12"/>
    <x v="0"/>
    <x v="280"/>
    <n v="0"/>
    <n v="9.8055667866008699E+18"/>
  </r>
  <r>
    <b v="0"/>
    <x v="20"/>
    <x v="1"/>
    <x v="79"/>
    <x v="13"/>
    <x v="330"/>
    <x v="39"/>
    <x v="12"/>
    <x v="0"/>
    <x v="281"/>
    <n v="0"/>
    <n v="2.61301798590131E+18"/>
  </r>
  <r>
    <b v="0"/>
    <x v="23"/>
    <x v="1"/>
    <x v="75"/>
    <x v="89"/>
    <x v="331"/>
    <x v="11"/>
    <x v="12"/>
    <x v="0"/>
    <x v="282"/>
    <n v="0"/>
    <n v="1.7443528271883399E+19"/>
  </r>
  <r>
    <b v="0"/>
    <x v="8"/>
    <x v="1"/>
    <x v="62"/>
    <x v="17"/>
    <x v="332"/>
    <x v="22"/>
    <x v="12"/>
    <x v="0"/>
    <x v="235"/>
    <n v="0"/>
    <n v="1.17136840029364E+19"/>
  </r>
  <r>
    <b v="0"/>
    <x v="5"/>
    <x v="1"/>
    <x v="23"/>
    <x v="41"/>
    <x v="333"/>
    <x v="42"/>
    <x v="12"/>
    <x v="0"/>
    <x v="283"/>
    <n v="0"/>
    <n v="9.9869097376126403E+18"/>
  </r>
  <r>
    <b v="0"/>
    <x v="18"/>
    <x v="1"/>
    <x v="62"/>
    <x v="22"/>
    <x v="334"/>
    <x v="13"/>
    <x v="12"/>
    <x v="0"/>
    <x v="284"/>
    <n v="1"/>
    <n v="8.4034914585431101E+18"/>
  </r>
  <r>
    <b v="0"/>
    <x v="36"/>
    <x v="1"/>
    <x v="66"/>
    <x v="91"/>
    <x v="335"/>
    <x v="30"/>
    <x v="12"/>
    <x v="2"/>
    <x v="285"/>
    <n v="0"/>
    <n v="1.7838402447727401E+19"/>
  </r>
  <r>
    <b v="0"/>
    <x v="93"/>
    <x v="1"/>
    <x v="36"/>
    <x v="72"/>
    <x v="336"/>
    <x v="55"/>
    <x v="12"/>
    <x v="1"/>
    <x v="286"/>
    <n v="0"/>
    <n v="2.9216900356763899E+18"/>
  </r>
  <r>
    <b v="0"/>
    <x v="20"/>
    <x v="1"/>
    <x v="36"/>
    <x v="72"/>
    <x v="337"/>
    <x v="34"/>
    <x v="12"/>
    <x v="1"/>
    <x v="287"/>
    <n v="0"/>
    <n v="1.12270107638918E+18"/>
  </r>
  <r>
    <b v="0"/>
    <x v="127"/>
    <x v="1"/>
    <x v="66"/>
    <x v="76"/>
    <x v="141"/>
    <x v="68"/>
    <x v="12"/>
    <x v="0"/>
    <x v="288"/>
    <n v="0"/>
    <n v="1.15360585974936E+19"/>
  </r>
  <r>
    <b v="0"/>
    <x v="36"/>
    <x v="1"/>
    <x v="24"/>
    <x v="31"/>
    <x v="141"/>
    <x v="70"/>
    <x v="12"/>
    <x v="0"/>
    <x v="289"/>
    <n v="0"/>
    <n v="9.0006089297547494E+17"/>
  </r>
  <r>
    <b v="0"/>
    <x v="36"/>
    <x v="1"/>
    <x v="39"/>
    <x v="14"/>
    <x v="338"/>
    <x v="12"/>
    <x v="12"/>
    <x v="1"/>
    <x v="290"/>
    <n v="0"/>
    <n v="1.82477461548871E+19"/>
  </r>
  <r>
    <b v="0"/>
    <x v="36"/>
    <x v="1"/>
    <x v="19"/>
    <x v="50"/>
    <x v="339"/>
    <x v="12"/>
    <x v="12"/>
    <x v="1"/>
    <x v="255"/>
    <n v="0"/>
    <n v="1.54161646539265E+19"/>
  </r>
  <r>
    <b v="0"/>
    <x v="126"/>
    <x v="1"/>
    <x v="41"/>
    <x v="31"/>
    <x v="340"/>
    <x v="27"/>
    <x v="12"/>
    <x v="1"/>
    <x v="131"/>
    <n v="0"/>
    <n v="1.28425594355509E+19"/>
  </r>
  <r>
    <b v="0"/>
    <x v="127"/>
    <x v="1"/>
    <x v="36"/>
    <x v="53"/>
    <x v="341"/>
    <x v="9"/>
    <x v="12"/>
    <x v="1"/>
    <x v="118"/>
    <n v="0"/>
    <n v="3.4179910471866301E+18"/>
  </r>
  <r>
    <b v="0"/>
    <x v="24"/>
    <x v="1"/>
    <x v="36"/>
    <x v="53"/>
    <x v="341"/>
    <x v="44"/>
    <x v="12"/>
    <x v="1"/>
    <x v="291"/>
    <n v="0"/>
    <n v="6.9504532816640604E+18"/>
  </r>
  <r>
    <b v="0"/>
    <x v="127"/>
    <x v="1"/>
    <x v="36"/>
    <x v="53"/>
    <x v="342"/>
    <x v="39"/>
    <x v="12"/>
    <x v="1"/>
    <x v="292"/>
    <n v="0"/>
    <n v="1.5758193962296601E+19"/>
  </r>
  <r>
    <b v="0"/>
    <x v="10"/>
    <x v="2"/>
    <x v="80"/>
    <x v="28"/>
    <x v="95"/>
    <x v="42"/>
    <x v="12"/>
    <x v="0"/>
    <x v="293"/>
    <n v="0"/>
    <n v="1.6968200371476799E+19"/>
  </r>
  <r>
    <b v="0"/>
    <x v="127"/>
    <x v="2"/>
    <x v="50"/>
    <x v="13"/>
    <x v="343"/>
    <x v="23"/>
    <x v="12"/>
    <x v="0"/>
    <x v="294"/>
    <n v="0"/>
    <n v="2.3045451132901701E+18"/>
  </r>
  <r>
    <b v="0"/>
    <x v="9"/>
    <x v="1"/>
    <x v="45"/>
    <x v="41"/>
    <x v="344"/>
    <x v="12"/>
    <x v="12"/>
    <x v="0"/>
    <x v="295"/>
    <n v="0"/>
    <n v="7.4587011908518001E+18"/>
  </r>
  <r>
    <b v="0"/>
    <x v="6"/>
    <x v="2"/>
    <x v="25"/>
    <x v="40"/>
    <x v="345"/>
    <x v="68"/>
    <x v="12"/>
    <x v="0"/>
    <x v="296"/>
    <n v="0"/>
    <n v="1.4890838456336099E+19"/>
  </r>
  <r>
    <b v="0"/>
    <x v="24"/>
    <x v="1"/>
    <x v="81"/>
    <x v="61"/>
    <x v="346"/>
    <x v="31"/>
    <x v="12"/>
    <x v="1"/>
    <x v="297"/>
    <n v="0"/>
    <n v="1.4968121354348301E+18"/>
  </r>
  <r>
    <b v="0"/>
    <x v="36"/>
    <x v="1"/>
    <x v="75"/>
    <x v="89"/>
    <x v="347"/>
    <x v="20"/>
    <x v="12"/>
    <x v="0"/>
    <x v="298"/>
    <n v="0"/>
    <n v="1.4094218914840101E+19"/>
  </r>
  <r>
    <b v="0"/>
    <x v="8"/>
    <x v="1"/>
    <x v="62"/>
    <x v="17"/>
    <x v="297"/>
    <x v="70"/>
    <x v="12"/>
    <x v="0"/>
    <x v="299"/>
    <n v="0"/>
    <n v="6.3369566955222702E+18"/>
  </r>
  <r>
    <b v="0"/>
    <x v="8"/>
    <x v="1"/>
    <x v="23"/>
    <x v="30"/>
    <x v="348"/>
    <x v="92"/>
    <x v="12"/>
    <x v="0"/>
    <x v="300"/>
    <n v="0"/>
    <n v="3.3743880024474301E+18"/>
  </r>
  <r>
    <b v="0"/>
    <x v="128"/>
    <x v="1"/>
    <x v="17"/>
    <x v="56"/>
    <x v="18"/>
    <x v="93"/>
    <x v="12"/>
    <x v="2"/>
    <x v="301"/>
    <n v="0"/>
    <n v="1.7058276946353701E+19"/>
  </r>
  <r>
    <b v="0"/>
    <x v="24"/>
    <x v="1"/>
    <x v="75"/>
    <x v="89"/>
    <x v="349"/>
    <x v="94"/>
    <x v="12"/>
    <x v="0"/>
    <x v="302"/>
    <n v="0"/>
    <n v="1.4529105427803E+18"/>
  </r>
  <r>
    <b v="0"/>
    <x v="14"/>
    <x v="1"/>
    <x v="39"/>
    <x v="67"/>
    <x v="350"/>
    <x v="50"/>
    <x v="12"/>
    <x v="0"/>
    <x v="303"/>
    <n v="0"/>
    <n v="1.3981937972519899E+19"/>
  </r>
  <r>
    <b v="0"/>
    <x v="20"/>
    <x v="1"/>
    <x v="52"/>
    <x v="93"/>
    <x v="228"/>
    <x v="61"/>
    <x v="12"/>
    <x v="0"/>
    <x v="304"/>
    <n v="0"/>
    <n v="1.0372100450335601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9F398E-8445-4064-A568-BE7C41919A12}" name="pvt_Blanks" cacheId="12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8:M138" firstHeaderRow="0" firstDataRow="1" firstDataCol="9"/>
  <pivotFields count="12">
    <pivotField compact="0" outline="0" showAll="0"/>
    <pivotField axis="axisRow" compact="0" outline="0" showAll="0" defaultSubtotal="0">
      <items count="129">
        <item sd="0" x="13"/>
        <item sd="0" x="11"/>
        <item sd="0" x="12"/>
        <item sd="0" x="16"/>
        <item sd="0" x="17"/>
        <item sd="0" x="4"/>
        <item sd="0" x="28"/>
        <item sd="0" x="1"/>
        <item sd="0" x="27"/>
        <item sd="0" x="2"/>
        <item sd="0" x="65"/>
        <item sd="0" x="34"/>
        <item sd="0" x="70"/>
        <item sd="0" x="3"/>
        <item sd="0" x="26"/>
        <item sd="0" x="68"/>
        <item sd="0" x="55"/>
        <item sd="0" x="0"/>
        <item sd="0" x="54"/>
        <item sd="0" x="69"/>
        <item sd="0" x="31"/>
        <item sd="0" x="53"/>
        <item sd="0" x="15"/>
        <item sd="0" x="89"/>
        <item sd="0" x="49"/>
        <item sd="0" x="47"/>
        <item sd="0" x="66"/>
        <item sd="0" x="46"/>
        <item sd="0" x="22"/>
        <item sd="0" x="48"/>
        <item sd="0" x="63"/>
        <item sd="0" x="39"/>
        <item sd="0" x="51"/>
        <item sd="0" x="52"/>
        <item sd="0" x="7"/>
        <item sd="0" x="59"/>
        <item sd="0" x="41"/>
        <item sd="0" x="64"/>
        <item sd="0" x="6"/>
        <item sd="0" x="67"/>
        <item sd="0" x="125"/>
        <item sd="0" x="29"/>
        <item sd="0" x="18"/>
        <item sd="0" x="60"/>
        <item sd="0" x="110"/>
        <item sd="0" x="106"/>
        <item sd="0" x="105"/>
        <item sd="0" x="61"/>
        <item sd="0" x="62"/>
        <item sd="0" x="5"/>
        <item sd="0" x="124"/>
        <item sd="0" x="88"/>
        <item sd="0" x="30"/>
        <item sd="0" x="10"/>
        <item sd="0" x="50"/>
        <item sd="0" x="75"/>
        <item sd="0" x="37"/>
        <item sd="0" x="109"/>
        <item sd="0" x="9"/>
        <item sd="0" x="87"/>
        <item sd="0" x="33"/>
        <item sd="0" x="108"/>
        <item sd="0" x="82"/>
        <item sd="0" x="8"/>
        <item sd="0" x="57"/>
        <item sd="0" x="74"/>
        <item sd="0" x="56"/>
        <item sd="0" x="96"/>
        <item sd="0" x="14"/>
        <item sd="0" x="122"/>
        <item sd="0" x="80"/>
        <item sd="0" x="81"/>
        <item sd="0" x="23"/>
        <item sd="0" x="32"/>
        <item sd="0" x="91"/>
        <item sd="0" x="118"/>
        <item sd="0" x="19"/>
        <item sd="0" x="40"/>
        <item sd="0" x="123"/>
        <item sd="0" x="58"/>
        <item sd="0" x="20"/>
        <item sd="0" x="92"/>
        <item sd="0" x="35"/>
        <item sd="0" x="121"/>
        <item sd="0" x="78"/>
        <item sd="0" x="71"/>
        <item sd="0" x="24"/>
        <item sd="0" x="85"/>
        <item sd="0" x="94"/>
        <item sd="0" x="114"/>
        <item sd="0" x="107"/>
        <item sd="0" x="104"/>
        <item sd="0" x="44"/>
        <item sd="0" x="120"/>
        <item sd="0" x="25"/>
        <item sd="0" x="38"/>
        <item sd="0" x="119"/>
        <item sd="0" x="103"/>
        <item sd="0" x="126"/>
        <item sd="0" x="72"/>
        <item sd="0" x="76"/>
        <item sd="0" x="90"/>
        <item sd="0" x="117"/>
        <item sd="0" x="77"/>
        <item sd="0" x="116"/>
        <item sd="0" x="21"/>
        <item sd="0" x="113"/>
        <item sd="0" x="73"/>
        <item sd="0" x="36"/>
        <item sd="0" x="43"/>
        <item sd="0" x="100"/>
        <item sd="0" x="93"/>
        <item sd="0" x="86"/>
        <item sd="0" x="79"/>
        <item sd="0" x="115"/>
        <item sd="0" x="127"/>
        <item sd="0" x="84"/>
        <item sd="0" x="112"/>
        <item sd="0" x="111"/>
        <item sd="0" x="45"/>
        <item sd="0" x="97"/>
        <item sd="0" x="102"/>
        <item sd="0" x="83"/>
        <item sd="0" x="42"/>
        <item sd="0" x="99"/>
        <item sd="0" x="128"/>
        <item sd="0" x="98"/>
        <item sd="0" x="101"/>
        <item sd="0" x="95"/>
      </items>
    </pivotField>
    <pivotField axis="axisRow" compact="0" outline="0" showAll="0" defaultSubtotal="0">
      <items count="5">
        <item sd="0" x="3"/>
        <item sd="0" x="1"/>
        <item sd="0" x="4"/>
        <item sd="0" x="2"/>
        <item sd="0" x="0"/>
      </items>
    </pivotField>
    <pivotField axis="axisRow" compact="0" outline="0" showAll="0" defaultSubtotal="0">
      <items count="82">
        <item sd="0" x="43"/>
        <item sd="0" x="38"/>
        <item sd="0" x="34"/>
        <item sd="0" x="35"/>
        <item sd="0" x="46"/>
        <item sd="0" x="65"/>
        <item sd="0" x="32"/>
        <item sd="0" x="64"/>
        <item sd="0" x="76"/>
        <item sd="0" x="47"/>
        <item sd="0" x="57"/>
        <item sd="0" x="71"/>
        <item sd="0" x="33"/>
        <item sd="0" x="69"/>
        <item sd="0" x="48"/>
        <item sd="0" x="36"/>
        <item sd="0" x="40"/>
        <item sd="0" x="17"/>
        <item sd="0" x="37"/>
        <item sd="0" x="24"/>
        <item sd="0" x="77"/>
        <item sd="0" x="55"/>
        <item sd="0" x="20"/>
        <item sd="0" x="66"/>
        <item sd="0" x="19"/>
        <item sd="0" x="41"/>
        <item sd="0" x="18"/>
        <item sd="0" x="60"/>
        <item sd="0" x="79"/>
        <item sd="0" x="13"/>
        <item sd="0" x="44"/>
        <item sd="0" x="54"/>
        <item sd="0" x="31"/>
        <item sd="0" x="52"/>
        <item sd="0" x="39"/>
        <item sd="0" x="21"/>
        <item sd="0" x="30"/>
        <item sd="0" x="58"/>
        <item sd="0" x="67"/>
        <item sd="0" x="51"/>
        <item sd="0" x="75"/>
        <item sd="0" x="23"/>
        <item sd="0" x="73"/>
        <item sd="0" x="81"/>
        <item sd="0" x="78"/>
        <item sd="0" x="63"/>
        <item sd="0" x="62"/>
        <item sd="0" x="42"/>
        <item sd="0" x="45"/>
        <item sd="0" x="68"/>
        <item sd="0" x="59"/>
        <item sd="0" x="53"/>
        <item sd="0" x="74"/>
        <item sd="0" x="80"/>
        <item sd="0" x="72"/>
        <item sd="0" x="14"/>
        <item sd="0" x="15"/>
        <item sd="0" x="16"/>
        <item sd="0" x="26"/>
        <item sd="0" x="49"/>
        <item sd="0" x="25"/>
        <item sd="0" x="27"/>
        <item sd="0" x="29"/>
        <item sd="0" x="61"/>
        <item sd="0" x="50"/>
        <item sd="0" x="70"/>
        <item sd="0" x="4"/>
        <item sd="0" x="3"/>
        <item sd="0" x="56"/>
        <item sd="0" x="0"/>
        <item sd="0" x="2"/>
        <item sd="0" x="11"/>
        <item sd="0" x="1"/>
        <item sd="0" x="28"/>
        <item sd="0" x="22"/>
        <item sd="0" x="10"/>
        <item sd="0" x="9"/>
        <item sd="0" x="12"/>
        <item sd="0" x="5"/>
        <item sd="0" x="7"/>
        <item sd="0" x="6"/>
        <item sd="0" x="8"/>
      </items>
    </pivotField>
    <pivotField axis="axisRow" compact="0" outline="0" showAll="0" defaultSubtotal="0">
      <items count="94">
        <item sd="0" x="15"/>
        <item sd="0" x="77"/>
        <item sd="0" x="49"/>
        <item sd="0" x="56"/>
        <item sd="0" x="65"/>
        <item sd="0" x="37"/>
        <item sd="0" x="73"/>
        <item sd="0" x="35"/>
        <item sd="0" x="57"/>
        <item sd="0" x="87"/>
        <item sd="0" x="76"/>
        <item sd="0" x="90"/>
        <item sd="0" x="33"/>
        <item sd="0" x="78"/>
        <item sd="0" x="53"/>
        <item sd="0" x="72"/>
        <item sd="0" x="34"/>
        <item sd="0" x="31"/>
        <item sd="0" x="62"/>
        <item sd="0" x="29"/>
        <item sd="0" x="91"/>
        <item sd="0" x="50"/>
        <item sd="0" x="32"/>
        <item sd="0" x="86"/>
        <item sd="0" x="55"/>
        <item sd="0" x="67"/>
        <item sd="0" x="36"/>
        <item sd="0" x="66"/>
        <item sd="0" x="93"/>
        <item sd="0" x="54"/>
        <item sd="0" x="89"/>
        <item sd="0" x="13"/>
        <item sd="0" x="30"/>
        <item sd="0" x="16"/>
        <item sd="0" x="14"/>
        <item sd="0" x="75"/>
        <item sd="0" x="17"/>
        <item sd="0" x="51"/>
        <item sd="0" x="41"/>
        <item sd="0" x="58"/>
        <item sd="0" x="46"/>
        <item sd="0" x="11"/>
        <item sd="0" x="61"/>
        <item sd="0" x="12"/>
        <item sd="0" x="63"/>
        <item sd="0" x="23"/>
        <item sd="0" x="70"/>
        <item sd="0" x="80"/>
        <item sd="0" x="24"/>
        <item sd="0" x="47"/>
        <item sd="0" x="71"/>
        <item sd="0" x="28"/>
        <item sd="0" x="40"/>
        <item sd="0" x="18"/>
        <item sd="0" x="64"/>
        <item sd="0" x="92"/>
        <item sd="0" x="68"/>
        <item sd="0" x="52"/>
        <item sd="0" x="81"/>
        <item sd="0" x="60"/>
        <item sd="0" x="0"/>
        <item sd="0" x="88"/>
        <item sd="0" x="82"/>
        <item sd="0" x="84"/>
        <item sd="0" x="43"/>
        <item sd="0" x="83"/>
        <item sd="0" x="79"/>
        <item sd="0" x="3"/>
        <item sd="0" x="85"/>
        <item sd="0" x="42"/>
        <item sd="0" x="59"/>
        <item sd="0" x="74"/>
        <item sd="0" x="2"/>
        <item sd="0" x="69"/>
        <item sd="0" x="26"/>
        <item sd="0" x="39"/>
        <item sd="0" x="44"/>
        <item sd="0" x="10"/>
        <item sd="0" x="1"/>
        <item sd="0" x="45"/>
        <item sd="0" x="9"/>
        <item sd="0" x="25"/>
        <item sd="0" x="27"/>
        <item sd="0" x="8"/>
        <item sd="0" x="21"/>
        <item sd="0" x="4"/>
        <item sd="0" x="19"/>
        <item sd="0" x="38"/>
        <item sd="0" x="20"/>
        <item sd="0" x="6"/>
        <item sd="0" x="5"/>
        <item sd="0" x="7"/>
        <item sd="0" x="48"/>
        <item sd="0" x="22"/>
      </items>
    </pivotField>
    <pivotField axis="axisRow" compact="0" outline="0" showAll="0" defaultSubtotal="0">
      <items count="351">
        <item sd="0" x="53"/>
        <item sd="0" x="139"/>
        <item sd="0" x="312"/>
        <item sd="0" x="314"/>
        <item sd="0" x="52"/>
        <item sd="0" x="175"/>
        <item sd="0" x="229"/>
        <item sd="0" x="192"/>
        <item sd="0" x="54"/>
        <item sd="0" x="19"/>
        <item sd="0" x="126"/>
        <item sd="0" x="301"/>
        <item sd="0" x="299"/>
        <item sd="0" x="113"/>
        <item sd="0" x="313"/>
        <item sd="0" x="270"/>
        <item sd="0" x="268"/>
        <item sd="0" x="170"/>
        <item sd="0" x="219"/>
        <item sd="0" x="206"/>
        <item sd="0" x="98"/>
        <item sd="0" x="55"/>
        <item sd="0" x="137"/>
        <item sd="0" x="341"/>
        <item sd="0" x="283"/>
        <item sd="0" x="337"/>
        <item sd="0" x="269"/>
        <item sd="0" x="335"/>
        <item sd="0" x="224"/>
        <item sd="0" x="193"/>
        <item sd="0" x="342"/>
        <item sd="0" x="146"/>
        <item sd="0" x="140"/>
        <item sd="0" x="285"/>
        <item sd="0" x="278"/>
        <item sd="0" x="336"/>
        <item sd="0" x="187"/>
        <item sd="0" x="205"/>
        <item sd="0" x="31"/>
        <item sd="0" x="315"/>
        <item sd="0" x="222"/>
        <item sd="0" x="51"/>
        <item sd="0" x="230"/>
        <item sd="0" x="50"/>
        <item sd="0" x="223"/>
        <item sd="0" x="295"/>
        <item sd="0" x="82"/>
        <item sd="0" x="142"/>
        <item sd="0" x="293"/>
        <item sd="0" x="284"/>
        <item sd="0" x="49"/>
        <item sd="0" x="107"/>
        <item sd="0" x="141"/>
        <item sd="0" x="57"/>
        <item sd="0" x="18"/>
        <item sd="0" x="255"/>
        <item sd="0" x="282"/>
        <item sd="0" x="300"/>
        <item sd="0" x="277"/>
        <item sd="0" x="194"/>
        <item sd="0" x="114"/>
        <item sd="0" x="338"/>
        <item sd="0" x="81"/>
        <item sd="0" x="162"/>
        <item sd="0" x="290"/>
        <item sd="0" x="77"/>
        <item sd="0" x="225"/>
        <item sd="0" x="276"/>
        <item sd="0" x="179"/>
        <item sd="0" x="339"/>
        <item sd="0" x="319"/>
        <item sd="0" x="316"/>
        <item sd="0" x="136"/>
        <item sd="0" x="48"/>
        <item sd="0" x="167"/>
        <item sd="0" x="59"/>
        <item sd="0" x="30"/>
        <item sd="0" x="247"/>
        <item sd="0" x="23"/>
        <item sd="0" x="340"/>
        <item sd="0" x="143"/>
        <item sd="0" x="58"/>
        <item sd="0" x="178"/>
        <item sd="0" x="29"/>
        <item sd="0" x="110"/>
        <item sd="0" x="56"/>
        <item sd="0" x="104"/>
        <item sd="0" x="79"/>
        <item sd="0" x="306"/>
        <item sd="0" x="349"/>
        <item sd="0" x="138"/>
        <item sd="0" x="108"/>
        <item sd="0" x="318"/>
        <item sd="0" x="69"/>
        <item sd="0" x="296"/>
        <item sd="0" x="320"/>
        <item sd="0" x="347"/>
        <item sd="0" x="14"/>
        <item sd="0" x="22"/>
        <item sd="0" x="106"/>
        <item sd="0" x="317"/>
        <item sd="0" x="311"/>
        <item sd="0" x="145"/>
        <item sd="0" x="78"/>
        <item sd="0" x="105"/>
        <item sd="0" x="251"/>
        <item sd="0" x="45"/>
        <item sd="0" x="303"/>
        <item sd="0" x="21"/>
        <item sd="0" x="292"/>
        <item sd="0" x="125"/>
        <item sd="0" x="176"/>
        <item sd="0" x="109"/>
        <item sd="0" x="144"/>
        <item sd="0" x="307"/>
        <item sd="0" x="304"/>
        <item sd="0" x="80"/>
        <item sd="0" x="75"/>
        <item sd="0" x="248"/>
        <item sd="0" x="331"/>
        <item sd="0" x="127"/>
        <item sd="0" x="168"/>
        <item sd="0" x="281"/>
        <item sd="0" x="246"/>
        <item sd="0" x="195"/>
        <item sd="0" x="177"/>
        <item sd="0" x="330"/>
        <item sd="0" x="115"/>
        <item sd="0" x="344"/>
        <item sd="0" x="17"/>
        <item sd="0" x="165"/>
        <item sd="0" x="279"/>
        <item sd="0" x="227"/>
        <item sd="0" x="328"/>
        <item sd="0" x="321"/>
        <item sd="0" x="309"/>
        <item sd="0" x="350"/>
        <item sd="0" x="32"/>
        <item sd="0" x="308"/>
        <item sd="0" x="163"/>
        <item sd="0" x="329"/>
        <item sd="0" x="24"/>
        <item sd="0" x="118"/>
        <item sd="0" x="346"/>
        <item sd="0" x="271"/>
        <item sd="0" x="174"/>
        <item sd="0" x="20"/>
        <item sd="0" x="286"/>
        <item sd="0" x="172"/>
        <item sd="0" x="280"/>
        <item sd="0" x="166"/>
        <item sd="0" x="291"/>
        <item sd="0" x="228"/>
        <item sd="0" x="310"/>
        <item sd="0" x="332"/>
        <item sd="0" x="220"/>
        <item sd="0" x="249"/>
        <item sd="0" x="221"/>
        <item sd="0" x="16"/>
        <item sd="0" x="103"/>
        <item sd="0" x="348"/>
        <item sd="0" x="254"/>
        <item sd="0" x="294"/>
        <item sd="0" x="119"/>
        <item sd="0" x="226"/>
        <item sd="0" x="252"/>
        <item sd="0" x="15"/>
        <item sd="0" x="345"/>
        <item sd="0" x="250"/>
        <item sd="0" x="333"/>
        <item sd="0" x="116"/>
        <item sd="0" x="287"/>
        <item sd="0" x="122"/>
        <item sd="0" x="258"/>
        <item sd="0" x="324"/>
        <item sd="0" x="123"/>
        <item sd="0" x="97"/>
        <item sd="0" x="305"/>
        <item sd="0" x="302"/>
        <item sd="0" x="164"/>
        <item sd="0" x="199"/>
        <item sd="0" x="74"/>
        <item sd="0" x="95"/>
        <item sd="0" x="297"/>
        <item sd="0" x="173"/>
        <item sd="0" x="44"/>
        <item sd="0" x="236"/>
        <item sd="0" x="76"/>
        <item sd="0" x="169"/>
        <item sd="0" x="257"/>
        <item sd="0" x="288"/>
        <item sd="0" x="185"/>
        <item sd="0" x="343"/>
        <item sd="0" x="96"/>
        <item sd="0" x="334"/>
        <item sd="0" x="159"/>
        <item sd="0" x="326"/>
        <item sd="0" x="240"/>
        <item sd="0" x="186"/>
        <item sd="0" x="13"/>
        <item sd="0" x="121"/>
        <item sd="0" x="93"/>
        <item sd="0" x="47"/>
        <item sd="0" x="253"/>
        <item sd="0" x="196"/>
        <item sd="0" x="235"/>
        <item sd="0" x="150"/>
        <item sd="0" x="323"/>
        <item sd="0" x="161"/>
        <item sd="0" x="274"/>
        <item sd="0" x="191"/>
        <item sd="0" x="244"/>
        <item sd="0" x="238"/>
        <item sd="0" x="171"/>
        <item sd="0" x="160"/>
        <item sd="0" x="322"/>
        <item sd="0" x="183"/>
        <item sd="0" x="256"/>
        <item sd="0" x="298"/>
        <item sd="0" x="147"/>
        <item sd="0" x="259"/>
        <item sd="0" x="198"/>
        <item sd="0" x="94"/>
        <item sd="0" x="46"/>
        <item sd="0" x="36"/>
        <item sd="0" x="35"/>
        <item sd="0" x="34"/>
        <item sd="0" x="124"/>
        <item sd="0" x="184"/>
        <item sd="0" x="260"/>
        <item sd="0" x="231"/>
        <item sd="0" x="239"/>
        <item sd="0" x="289"/>
        <item sd="0" x="117"/>
        <item sd="0" x="242"/>
        <item sd="0" x="325"/>
        <item sd="0" x="275"/>
        <item sd="0" x="212"/>
        <item sd="0" x="237"/>
        <item sd="0" x="149"/>
        <item sd="0" x="3"/>
        <item sd="0" x="2"/>
        <item sd="0" x="33"/>
        <item sd="0" x="243"/>
        <item sd="0" x="4"/>
        <item sd="0" x="148"/>
        <item sd="0" x="327"/>
        <item sd="0" x="0"/>
        <item sd="0" x="211"/>
        <item sd="0" x="214"/>
        <item sd="0" x="272"/>
        <item sd="0" x="234"/>
        <item sd="0" x="10"/>
        <item sd="0" x="233"/>
        <item sd="0" x="189"/>
        <item sd="0" x="267"/>
        <item sd="0" x="11"/>
        <item sd="0" x="130"/>
        <item sd="0" x="241"/>
        <item sd="0" x="213"/>
        <item sd="0" x="129"/>
        <item sd="0" x="190"/>
        <item sd="0" x="188"/>
        <item sd="0" x="120"/>
        <item sd="0" x="64"/>
        <item sd="0" x="1"/>
        <item sd="0" x="262"/>
        <item sd="0" x="157"/>
        <item sd="0" x="232"/>
        <item sd="0" x="204"/>
        <item sd="0" x="12"/>
        <item sd="0" x="86"/>
        <item sd="0" x="128"/>
        <item sd="0" x="158"/>
        <item sd="0" x="200"/>
        <item sd="0" x="92"/>
        <item sd="0" x="264"/>
        <item sd="0" x="261"/>
        <item sd="0" x="9"/>
        <item sd="0" x="203"/>
        <item sd="0" x="207"/>
        <item sd="0" x="70"/>
        <item sd="0" x="156"/>
        <item sd="0" x="273"/>
        <item sd="0" x="155"/>
        <item sd="0" x="197"/>
        <item sd="0" x="263"/>
        <item sd="0" x="182"/>
        <item sd="0" x="84"/>
        <item sd="0" x="85"/>
        <item sd="0" x="266"/>
        <item sd="0" x="202"/>
        <item sd="0" x="208"/>
        <item sd="0" x="73"/>
        <item sd="0" x="245"/>
        <item sd="0" x="111"/>
        <item sd="0" x="40"/>
        <item sd="0" x="71"/>
        <item sd="0" x="83"/>
        <item sd="0" x="63"/>
        <item sd="0" x="62"/>
        <item sd="0" x="209"/>
        <item sd="0" x="131"/>
        <item sd="0" x="39"/>
        <item sd="0" x="216"/>
        <item sd="0" x="181"/>
        <item sd="0" x="37"/>
        <item sd="0" x="180"/>
        <item sd="0" x="215"/>
        <item sd="0" x="89"/>
        <item sd="0" x="135"/>
        <item sd="0" x="60"/>
        <item sd="0" x="112"/>
        <item sd="0" x="72"/>
        <item sd="0" x="210"/>
        <item sd="0" x="7"/>
        <item sd="0" x="217"/>
        <item sd="0" x="218"/>
        <item sd="0" x="5"/>
        <item sd="0" x="6"/>
        <item sd="0" x="265"/>
        <item sd="0" x="88"/>
        <item sd="0" x="26"/>
        <item sd="0" x="201"/>
        <item sd="0" x="27"/>
        <item sd="0" x="61"/>
        <item sd="0" x="68"/>
        <item sd="0" x="8"/>
        <item sd="0" x="152"/>
        <item sd="0" x="67"/>
        <item sd="0" x="133"/>
        <item sd="0" x="38"/>
        <item sd="0" x="153"/>
        <item sd="0" x="102"/>
        <item sd="0" x="66"/>
        <item sd="0" x="25"/>
        <item sd="0" x="65"/>
        <item sd="0" x="134"/>
        <item sd="0" x="101"/>
        <item sd="0" x="154"/>
        <item sd="0" x="151"/>
        <item sd="0" x="132"/>
        <item sd="0" x="28"/>
        <item sd="0" x="90"/>
        <item sd="0" x="42"/>
        <item sd="0" x="100"/>
        <item sd="0" x="91"/>
        <item sd="0" x="87"/>
        <item sd="0" x="41"/>
        <item sd="0" x="99"/>
        <item sd="0" x="43"/>
      </items>
    </pivotField>
    <pivotField axis="axisRow" compact="0" outline="0" showAll="0" defaultSubtotal="0">
      <items count="95">
        <item sd="0" x="7"/>
        <item sd="0" x="6"/>
        <item sd="0" x="5"/>
        <item sd="0" x="8"/>
        <item sd="0" x="4"/>
        <item sd="0" x="3"/>
        <item sd="0" x="2"/>
        <item sd="0" x="53"/>
        <item sd="0" x="67"/>
        <item sd="0" x="75"/>
        <item sd="0" x="54"/>
        <item sd="0" x="1"/>
        <item sd="0" x="94"/>
        <item sd="0" x="0"/>
        <item sd="0" x="48"/>
        <item sd="0" x="41"/>
        <item sd="0" x="15"/>
        <item sd="0" x="85"/>
        <item sd="0" x="32"/>
        <item sd="0" x="76"/>
        <item sd="0" x="20"/>
        <item sd="0" x="45"/>
        <item sd="0" x="66"/>
        <item sd="0" x="17"/>
        <item sd="0" x="43"/>
        <item sd="0" x="52"/>
        <item sd="0" x="84"/>
        <item sd="0" x="31"/>
        <item sd="0" x="16"/>
        <item sd="0" x="58"/>
        <item sd="0" x="37"/>
        <item sd="0" x="72"/>
        <item sd="0" x="60"/>
        <item sd="0" x="12"/>
        <item sd="0" x="68"/>
        <item sd="0" x="49"/>
        <item sd="0" x="28"/>
        <item sd="0" x="9"/>
        <item sd="0" x="65"/>
        <item sd="0" x="71"/>
        <item sd="0" x="30"/>
        <item sd="0" x="33"/>
        <item sd="0" x="10"/>
        <item sd="0" x="92"/>
        <item sd="0" x="44"/>
        <item sd="0" x="56"/>
        <item sd="0" x="57"/>
        <item sd="0" x="11"/>
        <item sd="0" x="86"/>
        <item sd="0" x="39"/>
        <item sd="0" x="42"/>
        <item sd="0" x="25"/>
        <item sd="0" x="69"/>
        <item sd="0" x="47"/>
        <item sd="0" x="51"/>
        <item sd="0" x="27"/>
        <item sd="0" x="23"/>
        <item sd="0" x="91"/>
        <item sd="0" x="63"/>
        <item sd="0" x="70"/>
        <item sd="0" x="38"/>
        <item sd="0" x="14"/>
        <item sd="0" x="34"/>
        <item sd="0" x="29"/>
        <item sd="0" x="40"/>
        <item sd="0" x="79"/>
        <item sd="0" x="22"/>
        <item sd="0" x="78"/>
        <item sd="0" x="55"/>
        <item sd="0" x="88"/>
        <item sd="0" x="18"/>
        <item sd="0" x="50"/>
        <item sd="0" x="64"/>
        <item sd="0" x="77"/>
        <item sd="0" x="19"/>
        <item sd="0" x="62"/>
        <item sd="0" x="61"/>
        <item sd="0" x="21"/>
        <item sd="0" x="90"/>
        <item sd="0" x="82"/>
        <item sd="0" x="73"/>
        <item sd="0" x="89"/>
        <item sd="0" x="13"/>
        <item sd="0" x="87"/>
        <item sd="0" x="26"/>
        <item sd="0" x="59"/>
        <item sd="0" x="80"/>
        <item sd="0" x="83"/>
        <item sd="0" x="46"/>
        <item sd="0" x="36"/>
        <item sd="0" x="35"/>
        <item sd="0" x="24"/>
        <item sd="0" x="81"/>
        <item sd="0" x="93"/>
        <item sd="0" x="74"/>
      </items>
    </pivotField>
    <pivotField axis="axisRow" compact="0" outline="0" showAll="0" defaultSubtotal="0">
      <items count="1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</items>
    </pivotField>
    <pivotField axis="axisRow" compact="0" outline="0" showAll="0" defaultSubtotal="0">
      <items count="3">
        <item sd="0" x="2"/>
        <item sd="0" x="1"/>
        <item sd="0" x="0"/>
      </items>
    </pivotField>
    <pivotField axis="axisRow" compact="0" outline="0" showAll="0" defaultSubtotal="0">
      <items count="305">
        <item x="85"/>
        <item x="9"/>
        <item x="56"/>
        <item x="192"/>
        <item x="196"/>
        <item x="284"/>
        <item x="215"/>
        <item x="24"/>
        <item x="16"/>
        <item x="39"/>
        <item x="34"/>
        <item x="62"/>
        <item x="134"/>
        <item x="147"/>
        <item x="3"/>
        <item x="225"/>
        <item x="21"/>
        <item x="101"/>
        <item x="239"/>
        <item x="206"/>
        <item x="246"/>
        <item x="113"/>
        <item x="23"/>
        <item x="179"/>
        <item x="125"/>
        <item x="75"/>
        <item x="293"/>
        <item x="111"/>
        <item x="193"/>
        <item x="84"/>
        <item x="13"/>
        <item x="58"/>
        <item x="157"/>
        <item x="197"/>
        <item x="128"/>
        <item x="165"/>
        <item x="1"/>
        <item x="232"/>
        <item x="227"/>
        <item x="152"/>
        <item x="138"/>
        <item x="126"/>
        <item x="123"/>
        <item x="299"/>
        <item x="80"/>
        <item x="278"/>
        <item x="280"/>
        <item x="279"/>
        <item x="63"/>
        <item x="0"/>
        <item x="109"/>
        <item x="141"/>
        <item x="233"/>
        <item x="164"/>
        <item x="6"/>
        <item x="76"/>
        <item x="220"/>
        <item x="12"/>
        <item x="169"/>
        <item x="97"/>
        <item x="129"/>
        <item x="107"/>
        <item x="87"/>
        <item x="54"/>
        <item x="40"/>
        <item x="29"/>
        <item x="142"/>
        <item x="153"/>
        <item x="26"/>
        <item x="304"/>
        <item x="170"/>
        <item x="295"/>
        <item x="277"/>
        <item x="221"/>
        <item x="83"/>
        <item x="60"/>
        <item x="48"/>
        <item x="270"/>
        <item x="205"/>
        <item x="230"/>
        <item x="261"/>
        <item x="251"/>
        <item x="237"/>
        <item x="292"/>
        <item x="200"/>
        <item x="71"/>
        <item x="242"/>
        <item x="93"/>
        <item x="115"/>
        <item x="178"/>
        <item x="274"/>
        <item x="108"/>
        <item x="148"/>
        <item x="184"/>
        <item x="160"/>
        <item x="18"/>
        <item x="282"/>
        <item x="257"/>
        <item x="195"/>
        <item x="216"/>
        <item x="144"/>
        <item x="10"/>
        <item x="298"/>
        <item x="116"/>
        <item x="73"/>
        <item x="52"/>
        <item x="224"/>
        <item x="176"/>
        <item x="140"/>
        <item x="78"/>
        <item x="112"/>
        <item x="155"/>
        <item x="27"/>
        <item x="103"/>
        <item x="186"/>
        <item x="199"/>
        <item x="36"/>
        <item x="162"/>
        <item x="201"/>
        <item x="302"/>
        <item x="219"/>
        <item x="96"/>
        <item x="117"/>
        <item x="46"/>
        <item x="99"/>
        <item x="137"/>
        <item x="231"/>
        <item x="120"/>
        <item x="89"/>
        <item x="37"/>
        <item x="266"/>
        <item x="265"/>
        <item x="154"/>
        <item x="25"/>
        <item x="238"/>
        <item x="189"/>
        <item x="190"/>
        <item x="214"/>
        <item x="283"/>
        <item x="182"/>
        <item x="198"/>
        <item x="5"/>
        <item x="77"/>
        <item x="64"/>
        <item x="167"/>
        <item x="145"/>
        <item x="276"/>
        <item x="296"/>
        <item x="81"/>
        <item x="217"/>
        <item x="17"/>
        <item x="42"/>
        <item x="254"/>
        <item x="300"/>
        <item x="130"/>
        <item x="175"/>
        <item x="31"/>
        <item x="70"/>
        <item x="55"/>
        <item x="303"/>
        <item x="171"/>
        <item x="4"/>
        <item x="33"/>
        <item x="28"/>
        <item x="255"/>
        <item x="156"/>
        <item x="211"/>
        <item x="118"/>
        <item x="291"/>
        <item x="260"/>
        <item x="248"/>
        <item x="136"/>
        <item x="269"/>
        <item x="223"/>
        <item x="94"/>
        <item x="241"/>
        <item x="243"/>
        <item x="263"/>
        <item x="287"/>
        <item x="286"/>
        <item x="183"/>
        <item x="61"/>
        <item x="180"/>
        <item x="252"/>
        <item x="226"/>
        <item x="247"/>
        <item x="151"/>
        <item x="43"/>
        <item x="95"/>
        <item x="163"/>
        <item x="218"/>
        <item x="289"/>
        <item x="57"/>
        <item x="79"/>
        <item x="122"/>
        <item x="187"/>
        <item x="194"/>
        <item x="213"/>
        <item x="290"/>
        <item x="294"/>
        <item x="275"/>
        <item x="185"/>
        <item x="161"/>
        <item x="59"/>
        <item x="106"/>
        <item x="234"/>
        <item x="204"/>
        <item x="91"/>
        <item x="44"/>
        <item x="100"/>
        <item x="45"/>
        <item x="20"/>
        <item x="68"/>
        <item x="271"/>
        <item x="209"/>
        <item x="159"/>
        <item x="259"/>
        <item x="50"/>
        <item x="11"/>
        <item x="90"/>
        <item x="15"/>
        <item x="127"/>
        <item x="82"/>
        <item x="7"/>
        <item x="124"/>
        <item x="228"/>
        <item x="264"/>
        <item x="288"/>
        <item x="229"/>
        <item x="256"/>
        <item x="203"/>
        <item x="2"/>
        <item x="32"/>
        <item x="65"/>
        <item x="110"/>
        <item x="86"/>
        <item x="121"/>
        <item x="191"/>
        <item x="166"/>
        <item x="150"/>
        <item x="132"/>
        <item x="8"/>
        <item x="35"/>
        <item x="41"/>
        <item x="98"/>
        <item x="168"/>
        <item x="281"/>
        <item x="212"/>
        <item x="235"/>
        <item x="188"/>
        <item x="38"/>
        <item x="173"/>
        <item x="146"/>
        <item x="69"/>
        <item x="139"/>
        <item x="268"/>
        <item x="158"/>
        <item x="249"/>
        <item x="22"/>
        <item x="208"/>
        <item x="104"/>
        <item x="119"/>
        <item x="177"/>
        <item x="92"/>
        <item x="297"/>
        <item x="202"/>
        <item x="131"/>
        <item x="47"/>
        <item x="74"/>
        <item x="174"/>
        <item x="236"/>
        <item x="30"/>
        <item x="51"/>
        <item x="240"/>
        <item x="14"/>
        <item x="273"/>
        <item x="105"/>
        <item x="258"/>
        <item x="262"/>
        <item x="72"/>
        <item x="253"/>
        <item x="250"/>
        <item x="19"/>
        <item x="67"/>
        <item x="114"/>
        <item x="267"/>
        <item x="49"/>
        <item x="133"/>
        <item x="172"/>
        <item x="181"/>
        <item x="285"/>
        <item x="210"/>
        <item x="88"/>
        <item x="53"/>
        <item x="102"/>
        <item x="66"/>
        <item x="135"/>
        <item x="149"/>
        <item x="207"/>
        <item x="272"/>
        <item x="245"/>
        <item x="301"/>
        <item x="143"/>
        <item x="244"/>
        <item x="222"/>
      </items>
    </pivotField>
    <pivotField dataField="1" compact="0" outline="0" showAll="0"/>
    <pivotField compact="0" outline="0" showAll="0"/>
  </pivotFields>
  <rowFields count="9">
    <field x="1"/>
    <field x="2"/>
    <field x="3"/>
    <field x="4"/>
    <field x="5"/>
    <field x="6"/>
    <field x="7"/>
    <field x="8"/>
    <field x="9"/>
  </rowFields>
  <rowItems count="1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 t="grand">
      <x/>
    </i>
  </rowItems>
  <colFields count="1">
    <field x="-2"/>
  </colFields>
  <colItems count="2">
    <i>
      <x/>
    </i>
    <i i="1">
      <x v="1"/>
    </i>
  </colItems>
  <dataFields count="2">
    <dataField name="Has Blank %" fld="10" subtotal="average" baseField="0" baseItem="1" numFmtId="164"/>
    <dataField name="% of Total Blanks" fld="10" showDataAs="percentOfTotal" baseField="0" baseItem="1" numFmtId="164"/>
  </dataFields>
  <formats count="179">
    <format dxfId="349">
      <pivotArea type="all" dataOnly="0" outline="0" fieldPosition="0"/>
    </format>
    <format dxfId="348">
      <pivotArea type="all" dataOnly="0" outline="0" fieldPosition="0"/>
    </format>
    <format dxfId="347">
      <pivotArea dataOnly="0" outline="0" fieldPosition="0">
        <references count="1">
          <reference field="4294967294" count="1">
            <x v="0"/>
          </reference>
        </references>
      </pivotArea>
    </format>
    <format dxfId="346">
      <pivotArea outline="0" fieldPosition="0">
        <references count="1">
          <reference field="4294967294" count="1">
            <x v="0"/>
          </reference>
        </references>
      </pivotArea>
    </format>
    <format dxfId="345">
      <pivotArea outline="0" fieldPosition="0">
        <references count="1">
          <reference field="4294967294" count="1">
            <x v="1"/>
          </reference>
        </references>
      </pivotArea>
    </format>
    <format dxfId="344">
      <pivotArea type="all" dataOnly="0" outline="0" fieldPosition="0"/>
    </format>
    <format dxfId="343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342">
      <pivotArea outline="0" fieldPosition="0">
        <references count="1">
          <reference field="4294967294" count="1" selected="0">
            <x v="1"/>
          </reference>
        </references>
      </pivotArea>
    </format>
    <format dxfId="171">
      <pivotArea field="1" type="button" dataOnly="0" labelOnly="1" outline="0" axis="axisRow" fieldPosition="0"/>
    </format>
    <format dxfId="170">
      <pivotArea field="2" type="button" dataOnly="0" labelOnly="1" outline="0" axis="axisRow" fieldPosition="1"/>
    </format>
    <format dxfId="169">
      <pivotArea field="3" type="button" dataOnly="0" labelOnly="1" outline="0" axis="axisRow" fieldPosition="2"/>
    </format>
    <format dxfId="168">
      <pivotArea field="4" type="button" dataOnly="0" labelOnly="1" outline="0" axis="axisRow" fieldPosition="3"/>
    </format>
    <format dxfId="167">
      <pivotArea field="5" type="button" dataOnly="0" labelOnly="1" outline="0" axis="axisRow" fieldPosition="4"/>
    </format>
    <format dxfId="166">
      <pivotArea field="6" type="button" dataOnly="0" labelOnly="1" outline="0" axis="axisRow" fieldPosition="5"/>
    </format>
    <format dxfId="165">
      <pivotArea field="7" type="button" dataOnly="0" labelOnly="1" outline="0" axis="axisRow" fieldPosition="6"/>
    </format>
    <format dxfId="164">
      <pivotArea field="8" type="button" dataOnly="0" labelOnly="1" outline="0" axis="axisRow" fieldPosition="7"/>
    </format>
    <format dxfId="163">
      <pivotArea field="9" type="button" dataOnly="0" labelOnly="1" outline="0" axis="axisRow" fieldPosition="8"/>
    </format>
    <format dxfId="16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61">
      <pivotArea type="all" dataOnly="0" outline="0" fieldPosition="0"/>
    </format>
    <format dxfId="160">
      <pivotArea outline="0" collapsedLevelsAreSubtotals="1" fieldPosition="0"/>
    </format>
    <format dxfId="159">
      <pivotArea field="2" type="button" dataOnly="0" labelOnly="1" outline="0" axis="axisRow" fieldPosition="1"/>
    </format>
    <format dxfId="158">
      <pivotArea field="3" type="button" dataOnly="0" labelOnly="1" outline="0" axis="axisRow" fieldPosition="2"/>
    </format>
    <format dxfId="157">
      <pivotArea field="4" type="button" dataOnly="0" labelOnly="1" outline="0" axis="axisRow" fieldPosition="3"/>
    </format>
    <format dxfId="156">
      <pivotArea field="5" type="button" dataOnly="0" labelOnly="1" outline="0" axis="axisRow" fieldPosition="4"/>
    </format>
    <format dxfId="155">
      <pivotArea field="6" type="button" dataOnly="0" labelOnly="1" outline="0" axis="axisRow" fieldPosition="5"/>
    </format>
    <format dxfId="154">
      <pivotArea field="7" type="button" dataOnly="0" labelOnly="1" outline="0" axis="axisRow" fieldPosition="6"/>
    </format>
    <format dxfId="153">
      <pivotArea field="8" type="button" dataOnly="0" labelOnly="1" outline="0" axis="axisRow" fieldPosition="7"/>
    </format>
    <format dxfId="152">
      <pivotArea field="9" type="button" dataOnly="0" labelOnly="1" outline="0" axis="axisRow" fieldPosition="8"/>
    </format>
    <format dxfId="151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50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49">
      <pivotArea dataOnly="0" labelOnly="1" outline="0" fieldPosition="0">
        <references count="1">
          <reference field="1" count="29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</reference>
        </references>
      </pivotArea>
    </format>
    <format dxfId="14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47">
      <pivotArea type="all" dataOnly="0" outline="0" fieldPosition="0"/>
    </format>
    <format dxfId="146">
      <pivotArea outline="0" collapsedLevelsAreSubtotals="1" fieldPosition="0"/>
    </format>
    <format dxfId="145">
      <pivotArea field="1" type="button" dataOnly="0" labelOnly="1" outline="0" axis="axisRow" fieldPosition="0"/>
    </format>
    <format dxfId="144">
      <pivotArea field="2" type="button" dataOnly="0" labelOnly="1" outline="0" axis="axisRow" fieldPosition="1"/>
    </format>
    <format dxfId="143">
      <pivotArea field="3" type="button" dataOnly="0" labelOnly="1" outline="0" axis="axisRow" fieldPosition="2"/>
    </format>
    <format dxfId="142">
      <pivotArea field="4" type="button" dataOnly="0" labelOnly="1" outline="0" axis="axisRow" fieldPosition="3"/>
    </format>
    <format dxfId="141">
      <pivotArea field="5" type="button" dataOnly="0" labelOnly="1" outline="0" axis="axisRow" fieldPosition="4"/>
    </format>
    <format dxfId="140">
      <pivotArea field="6" type="button" dataOnly="0" labelOnly="1" outline="0" axis="axisRow" fieldPosition="5"/>
    </format>
    <format dxfId="139">
      <pivotArea field="7" type="button" dataOnly="0" labelOnly="1" outline="0" axis="axisRow" fieldPosition="6"/>
    </format>
    <format dxfId="138">
      <pivotArea field="8" type="button" dataOnly="0" labelOnly="1" outline="0" axis="axisRow" fieldPosition="7"/>
    </format>
    <format dxfId="137">
      <pivotArea field="9" type="button" dataOnly="0" labelOnly="1" outline="0" axis="axisRow" fieldPosition="8"/>
    </format>
    <format dxfId="136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35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34">
      <pivotArea dataOnly="0" labelOnly="1" outline="0" fieldPosition="0">
        <references count="1">
          <reference field="1" count="29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</reference>
        </references>
      </pivotArea>
    </format>
    <format dxfId="133">
      <pivotArea dataOnly="0" labelOnly="1" grandRow="1" outline="0" fieldPosition="0"/>
    </format>
    <format dxfId="13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31">
      <pivotArea field="1" type="button" dataOnly="0" labelOnly="1" outline="0" axis="axisRow" fieldPosition="0"/>
    </format>
    <format dxfId="130">
      <pivotArea dataOnly="0" labelOnly="1" outline="0" fieldPosition="0">
        <references count="1">
          <reference field="1" count="1">
            <x v="0"/>
          </reference>
        </references>
      </pivotArea>
    </format>
    <format dxfId="129">
      <pivotArea dataOnly="0" labelOnly="1" outline="0" fieldPosition="0">
        <references count="1">
          <reference field="1" count="1">
            <x v="1"/>
          </reference>
        </references>
      </pivotArea>
    </format>
    <format dxfId="128">
      <pivotArea dataOnly="0" labelOnly="1" outline="0" fieldPosition="0">
        <references count="1">
          <reference field="1" count="1">
            <x v="2"/>
          </reference>
        </references>
      </pivotArea>
    </format>
    <format dxfId="127">
      <pivotArea dataOnly="0" labelOnly="1" outline="0" fieldPosition="0">
        <references count="1">
          <reference field="1" count="1">
            <x v="3"/>
          </reference>
        </references>
      </pivotArea>
    </format>
    <format dxfId="126">
      <pivotArea dataOnly="0" labelOnly="1" outline="0" fieldPosition="0">
        <references count="1">
          <reference field="1" count="1">
            <x v="4"/>
          </reference>
        </references>
      </pivotArea>
    </format>
    <format dxfId="125">
      <pivotArea dataOnly="0" labelOnly="1" outline="0" fieldPosition="0">
        <references count="1">
          <reference field="1" count="1">
            <x v="5"/>
          </reference>
        </references>
      </pivotArea>
    </format>
    <format dxfId="124">
      <pivotArea dataOnly="0" labelOnly="1" outline="0" fieldPosition="0">
        <references count="1">
          <reference field="1" count="1">
            <x v="6"/>
          </reference>
        </references>
      </pivotArea>
    </format>
    <format dxfId="123">
      <pivotArea dataOnly="0" labelOnly="1" outline="0" fieldPosition="0">
        <references count="1">
          <reference field="1" count="1">
            <x v="7"/>
          </reference>
        </references>
      </pivotArea>
    </format>
    <format dxfId="122">
      <pivotArea dataOnly="0" labelOnly="1" outline="0" fieldPosition="0">
        <references count="1">
          <reference field="1" count="1">
            <x v="8"/>
          </reference>
        </references>
      </pivotArea>
    </format>
    <format dxfId="121">
      <pivotArea dataOnly="0" labelOnly="1" outline="0" fieldPosition="0">
        <references count="1">
          <reference field="1" count="1">
            <x v="9"/>
          </reference>
        </references>
      </pivotArea>
    </format>
    <format dxfId="120">
      <pivotArea dataOnly="0" labelOnly="1" outline="0" fieldPosition="0">
        <references count="1">
          <reference field="1" count="1">
            <x v="10"/>
          </reference>
        </references>
      </pivotArea>
    </format>
    <format dxfId="119">
      <pivotArea dataOnly="0" labelOnly="1" outline="0" fieldPosition="0">
        <references count="1">
          <reference field="1" count="1">
            <x v="11"/>
          </reference>
        </references>
      </pivotArea>
    </format>
    <format dxfId="118">
      <pivotArea dataOnly="0" labelOnly="1" outline="0" fieldPosition="0">
        <references count="1">
          <reference field="1" count="1">
            <x v="12"/>
          </reference>
        </references>
      </pivotArea>
    </format>
    <format dxfId="117">
      <pivotArea dataOnly="0" labelOnly="1" outline="0" fieldPosition="0">
        <references count="1">
          <reference field="1" count="1">
            <x v="13"/>
          </reference>
        </references>
      </pivotArea>
    </format>
    <format dxfId="116">
      <pivotArea dataOnly="0" labelOnly="1" outline="0" fieldPosition="0">
        <references count="1">
          <reference field="1" count="1">
            <x v="14"/>
          </reference>
        </references>
      </pivotArea>
    </format>
    <format dxfId="115">
      <pivotArea dataOnly="0" labelOnly="1" outline="0" fieldPosition="0">
        <references count="1">
          <reference field="1" count="1">
            <x v="15"/>
          </reference>
        </references>
      </pivotArea>
    </format>
    <format dxfId="114">
      <pivotArea dataOnly="0" labelOnly="1" outline="0" fieldPosition="0">
        <references count="1">
          <reference field="1" count="1">
            <x v="16"/>
          </reference>
        </references>
      </pivotArea>
    </format>
    <format dxfId="113">
      <pivotArea dataOnly="0" labelOnly="1" outline="0" fieldPosition="0">
        <references count="1">
          <reference field="1" count="1">
            <x v="17"/>
          </reference>
        </references>
      </pivotArea>
    </format>
    <format dxfId="112">
      <pivotArea dataOnly="0" labelOnly="1" outline="0" fieldPosition="0">
        <references count="1">
          <reference field="1" count="1">
            <x v="18"/>
          </reference>
        </references>
      </pivotArea>
    </format>
    <format dxfId="111">
      <pivotArea dataOnly="0" labelOnly="1" outline="0" fieldPosition="0">
        <references count="1">
          <reference field="1" count="1">
            <x v="19"/>
          </reference>
        </references>
      </pivotArea>
    </format>
    <format dxfId="110">
      <pivotArea dataOnly="0" labelOnly="1" outline="0" fieldPosition="0">
        <references count="1">
          <reference field="1" count="1">
            <x v="20"/>
          </reference>
        </references>
      </pivotArea>
    </format>
    <format dxfId="109">
      <pivotArea dataOnly="0" labelOnly="1" outline="0" fieldPosition="0">
        <references count="1">
          <reference field="1" count="1">
            <x v="21"/>
          </reference>
        </references>
      </pivotArea>
    </format>
    <format dxfId="108">
      <pivotArea dataOnly="0" labelOnly="1" outline="0" fieldPosition="0">
        <references count="1">
          <reference field="1" count="1">
            <x v="22"/>
          </reference>
        </references>
      </pivotArea>
    </format>
    <format dxfId="107">
      <pivotArea dataOnly="0" labelOnly="1" outline="0" fieldPosition="0">
        <references count="1">
          <reference field="1" count="1">
            <x v="23"/>
          </reference>
        </references>
      </pivotArea>
    </format>
    <format dxfId="106">
      <pivotArea dataOnly="0" labelOnly="1" outline="0" fieldPosition="0">
        <references count="1">
          <reference field="1" count="1">
            <x v="24"/>
          </reference>
        </references>
      </pivotArea>
    </format>
    <format dxfId="105">
      <pivotArea dataOnly="0" labelOnly="1" outline="0" fieldPosition="0">
        <references count="1">
          <reference field="1" count="1">
            <x v="25"/>
          </reference>
        </references>
      </pivotArea>
    </format>
    <format dxfId="104">
      <pivotArea dataOnly="0" labelOnly="1" outline="0" fieldPosition="0">
        <references count="1">
          <reference field="1" count="1">
            <x v="26"/>
          </reference>
        </references>
      </pivotArea>
    </format>
    <format dxfId="103">
      <pivotArea dataOnly="0" labelOnly="1" outline="0" fieldPosition="0">
        <references count="1">
          <reference field="1" count="1">
            <x v="27"/>
          </reference>
        </references>
      </pivotArea>
    </format>
    <format dxfId="102">
      <pivotArea dataOnly="0" labelOnly="1" outline="0" fieldPosition="0">
        <references count="1">
          <reference field="1" count="1">
            <x v="28"/>
          </reference>
        </references>
      </pivotArea>
    </format>
    <format dxfId="101">
      <pivotArea dataOnly="0" labelOnly="1" outline="0" fieldPosition="0">
        <references count="1">
          <reference field="1" count="1">
            <x v="29"/>
          </reference>
        </references>
      </pivotArea>
    </format>
    <format dxfId="100">
      <pivotArea dataOnly="0" labelOnly="1" outline="0" fieldPosition="0">
        <references count="1">
          <reference field="1" count="1">
            <x v="30"/>
          </reference>
        </references>
      </pivotArea>
    </format>
    <format dxfId="99">
      <pivotArea dataOnly="0" labelOnly="1" outline="0" fieldPosition="0">
        <references count="1">
          <reference field="1" count="1">
            <x v="31"/>
          </reference>
        </references>
      </pivotArea>
    </format>
    <format dxfId="98">
      <pivotArea dataOnly="0" labelOnly="1" outline="0" fieldPosition="0">
        <references count="1">
          <reference field="1" count="1">
            <x v="32"/>
          </reference>
        </references>
      </pivotArea>
    </format>
    <format dxfId="97">
      <pivotArea dataOnly="0" labelOnly="1" outline="0" fieldPosition="0">
        <references count="1">
          <reference field="1" count="1">
            <x v="33"/>
          </reference>
        </references>
      </pivotArea>
    </format>
    <format dxfId="96">
      <pivotArea dataOnly="0" labelOnly="1" outline="0" fieldPosition="0">
        <references count="1">
          <reference field="1" count="1">
            <x v="34"/>
          </reference>
        </references>
      </pivotArea>
    </format>
    <format dxfId="95">
      <pivotArea dataOnly="0" labelOnly="1" outline="0" fieldPosition="0">
        <references count="1">
          <reference field="1" count="1">
            <x v="35"/>
          </reference>
        </references>
      </pivotArea>
    </format>
    <format dxfId="94">
      <pivotArea dataOnly="0" labelOnly="1" outline="0" fieldPosition="0">
        <references count="1">
          <reference field="1" count="1">
            <x v="36"/>
          </reference>
        </references>
      </pivotArea>
    </format>
    <format dxfId="93">
      <pivotArea dataOnly="0" labelOnly="1" outline="0" fieldPosition="0">
        <references count="1">
          <reference field="1" count="1">
            <x v="37"/>
          </reference>
        </references>
      </pivotArea>
    </format>
    <format dxfId="92">
      <pivotArea dataOnly="0" labelOnly="1" outline="0" fieldPosition="0">
        <references count="1">
          <reference field="1" count="1">
            <x v="38"/>
          </reference>
        </references>
      </pivotArea>
    </format>
    <format dxfId="91">
      <pivotArea dataOnly="0" labelOnly="1" outline="0" fieldPosition="0">
        <references count="1">
          <reference field="1" count="1">
            <x v="39"/>
          </reference>
        </references>
      </pivotArea>
    </format>
    <format dxfId="90">
      <pivotArea dataOnly="0" labelOnly="1" outline="0" fieldPosition="0">
        <references count="1">
          <reference field="1" count="1">
            <x v="40"/>
          </reference>
        </references>
      </pivotArea>
    </format>
    <format dxfId="89">
      <pivotArea dataOnly="0" labelOnly="1" outline="0" fieldPosition="0">
        <references count="1">
          <reference field="1" count="1">
            <x v="41"/>
          </reference>
        </references>
      </pivotArea>
    </format>
    <format dxfId="88">
      <pivotArea dataOnly="0" labelOnly="1" outline="0" fieldPosition="0">
        <references count="1">
          <reference field="1" count="1">
            <x v="42"/>
          </reference>
        </references>
      </pivotArea>
    </format>
    <format dxfId="87">
      <pivotArea dataOnly="0" labelOnly="1" outline="0" fieldPosition="0">
        <references count="1">
          <reference field="1" count="1">
            <x v="43"/>
          </reference>
        </references>
      </pivotArea>
    </format>
    <format dxfId="86">
      <pivotArea dataOnly="0" labelOnly="1" outline="0" fieldPosition="0">
        <references count="1">
          <reference field="1" count="1">
            <x v="44"/>
          </reference>
        </references>
      </pivotArea>
    </format>
    <format dxfId="85">
      <pivotArea dataOnly="0" labelOnly="1" outline="0" fieldPosition="0">
        <references count="1">
          <reference field="1" count="1">
            <x v="45"/>
          </reference>
        </references>
      </pivotArea>
    </format>
    <format dxfId="84">
      <pivotArea dataOnly="0" labelOnly="1" outline="0" fieldPosition="0">
        <references count="1">
          <reference field="1" count="1">
            <x v="46"/>
          </reference>
        </references>
      </pivotArea>
    </format>
    <format dxfId="83">
      <pivotArea dataOnly="0" labelOnly="1" outline="0" fieldPosition="0">
        <references count="1">
          <reference field="1" count="1">
            <x v="47"/>
          </reference>
        </references>
      </pivotArea>
    </format>
    <format dxfId="82">
      <pivotArea dataOnly="0" labelOnly="1" outline="0" fieldPosition="0">
        <references count="1">
          <reference field="1" count="1">
            <x v="48"/>
          </reference>
        </references>
      </pivotArea>
    </format>
    <format dxfId="81">
      <pivotArea dataOnly="0" labelOnly="1" outline="0" fieldPosition="0">
        <references count="1">
          <reference field="1" count="1">
            <x v="49"/>
          </reference>
        </references>
      </pivotArea>
    </format>
    <format dxfId="80">
      <pivotArea dataOnly="0" labelOnly="1" outline="0" fieldPosition="0">
        <references count="1">
          <reference field="1" count="1">
            <x v="50"/>
          </reference>
        </references>
      </pivotArea>
    </format>
    <format dxfId="79">
      <pivotArea dataOnly="0" labelOnly="1" outline="0" fieldPosition="0">
        <references count="1">
          <reference field="1" count="1">
            <x v="51"/>
          </reference>
        </references>
      </pivotArea>
    </format>
    <format dxfId="78">
      <pivotArea dataOnly="0" labelOnly="1" outline="0" fieldPosition="0">
        <references count="1">
          <reference field="1" count="1">
            <x v="52"/>
          </reference>
        </references>
      </pivotArea>
    </format>
    <format dxfId="77">
      <pivotArea dataOnly="0" labelOnly="1" outline="0" fieldPosition="0">
        <references count="1">
          <reference field="1" count="1">
            <x v="53"/>
          </reference>
        </references>
      </pivotArea>
    </format>
    <format dxfId="76">
      <pivotArea dataOnly="0" labelOnly="1" outline="0" fieldPosition="0">
        <references count="1">
          <reference field="1" count="1">
            <x v="54"/>
          </reference>
        </references>
      </pivotArea>
    </format>
    <format dxfId="75">
      <pivotArea dataOnly="0" labelOnly="1" outline="0" fieldPosition="0">
        <references count="1">
          <reference field="1" count="1">
            <x v="55"/>
          </reference>
        </references>
      </pivotArea>
    </format>
    <format dxfId="74">
      <pivotArea dataOnly="0" labelOnly="1" outline="0" fieldPosition="0">
        <references count="1">
          <reference field="1" count="1">
            <x v="56"/>
          </reference>
        </references>
      </pivotArea>
    </format>
    <format dxfId="73">
      <pivotArea dataOnly="0" labelOnly="1" outline="0" fieldPosition="0">
        <references count="1">
          <reference field="1" count="1">
            <x v="57"/>
          </reference>
        </references>
      </pivotArea>
    </format>
    <format dxfId="72">
      <pivotArea dataOnly="0" labelOnly="1" outline="0" fieldPosition="0">
        <references count="1">
          <reference field="1" count="1">
            <x v="58"/>
          </reference>
        </references>
      </pivotArea>
    </format>
    <format dxfId="71">
      <pivotArea dataOnly="0" labelOnly="1" outline="0" fieldPosition="0">
        <references count="1">
          <reference field="1" count="1">
            <x v="59"/>
          </reference>
        </references>
      </pivotArea>
    </format>
    <format dxfId="70">
      <pivotArea dataOnly="0" labelOnly="1" outline="0" fieldPosition="0">
        <references count="1">
          <reference field="1" count="1">
            <x v="60"/>
          </reference>
        </references>
      </pivotArea>
    </format>
    <format dxfId="69">
      <pivotArea dataOnly="0" labelOnly="1" outline="0" fieldPosition="0">
        <references count="1">
          <reference field="1" count="1">
            <x v="61"/>
          </reference>
        </references>
      </pivotArea>
    </format>
    <format dxfId="68">
      <pivotArea dataOnly="0" labelOnly="1" outline="0" fieldPosition="0">
        <references count="1">
          <reference field="1" count="1">
            <x v="62"/>
          </reference>
        </references>
      </pivotArea>
    </format>
    <format dxfId="67">
      <pivotArea dataOnly="0" labelOnly="1" outline="0" fieldPosition="0">
        <references count="1">
          <reference field="1" count="1">
            <x v="63"/>
          </reference>
        </references>
      </pivotArea>
    </format>
    <format dxfId="66">
      <pivotArea dataOnly="0" labelOnly="1" outline="0" fieldPosition="0">
        <references count="1">
          <reference field="1" count="1">
            <x v="64"/>
          </reference>
        </references>
      </pivotArea>
    </format>
    <format dxfId="65">
      <pivotArea dataOnly="0" labelOnly="1" outline="0" fieldPosition="0">
        <references count="1">
          <reference field="1" count="1">
            <x v="65"/>
          </reference>
        </references>
      </pivotArea>
    </format>
    <format dxfId="64">
      <pivotArea dataOnly="0" labelOnly="1" outline="0" fieldPosition="0">
        <references count="1">
          <reference field="1" count="1">
            <x v="66"/>
          </reference>
        </references>
      </pivotArea>
    </format>
    <format dxfId="63">
      <pivotArea dataOnly="0" labelOnly="1" outline="0" fieldPosition="0">
        <references count="1">
          <reference field="1" count="1">
            <x v="67"/>
          </reference>
        </references>
      </pivotArea>
    </format>
    <format dxfId="62">
      <pivotArea dataOnly="0" labelOnly="1" outline="0" fieldPosition="0">
        <references count="1">
          <reference field="1" count="1">
            <x v="68"/>
          </reference>
        </references>
      </pivotArea>
    </format>
    <format dxfId="61">
      <pivotArea dataOnly="0" labelOnly="1" outline="0" fieldPosition="0">
        <references count="1">
          <reference field="1" count="1">
            <x v="69"/>
          </reference>
        </references>
      </pivotArea>
    </format>
    <format dxfId="60">
      <pivotArea dataOnly="0" labelOnly="1" outline="0" fieldPosition="0">
        <references count="1">
          <reference field="1" count="1">
            <x v="70"/>
          </reference>
        </references>
      </pivotArea>
    </format>
    <format dxfId="59">
      <pivotArea dataOnly="0" labelOnly="1" outline="0" fieldPosition="0">
        <references count="1">
          <reference field="1" count="1">
            <x v="71"/>
          </reference>
        </references>
      </pivotArea>
    </format>
    <format dxfId="58">
      <pivotArea dataOnly="0" labelOnly="1" outline="0" fieldPosition="0">
        <references count="1">
          <reference field="1" count="1">
            <x v="72"/>
          </reference>
        </references>
      </pivotArea>
    </format>
    <format dxfId="57">
      <pivotArea dataOnly="0" labelOnly="1" outline="0" fieldPosition="0">
        <references count="1">
          <reference field="1" count="1">
            <x v="73"/>
          </reference>
        </references>
      </pivotArea>
    </format>
    <format dxfId="56">
      <pivotArea dataOnly="0" labelOnly="1" outline="0" fieldPosition="0">
        <references count="1">
          <reference field="1" count="1">
            <x v="74"/>
          </reference>
        </references>
      </pivotArea>
    </format>
    <format dxfId="55">
      <pivotArea dataOnly="0" labelOnly="1" outline="0" fieldPosition="0">
        <references count="1">
          <reference field="1" count="1">
            <x v="75"/>
          </reference>
        </references>
      </pivotArea>
    </format>
    <format dxfId="54">
      <pivotArea dataOnly="0" labelOnly="1" outline="0" fieldPosition="0">
        <references count="1">
          <reference field="1" count="1">
            <x v="76"/>
          </reference>
        </references>
      </pivotArea>
    </format>
    <format dxfId="53">
      <pivotArea dataOnly="0" labelOnly="1" outline="0" fieldPosition="0">
        <references count="1">
          <reference field="1" count="1">
            <x v="77"/>
          </reference>
        </references>
      </pivotArea>
    </format>
    <format dxfId="52">
      <pivotArea dataOnly="0" labelOnly="1" outline="0" fieldPosition="0">
        <references count="1">
          <reference field="1" count="1">
            <x v="78"/>
          </reference>
        </references>
      </pivotArea>
    </format>
    <format dxfId="51">
      <pivotArea dataOnly="0" labelOnly="1" outline="0" fieldPosition="0">
        <references count="1">
          <reference field="1" count="1">
            <x v="79"/>
          </reference>
        </references>
      </pivotArea>
    </format>
    <format dxfId="50">
      <pivotArea dataOnly="0" labelOnly="1" outline="0" fieldPosition="0">
        <references count="1">
          <reference field="1" count="1">
            <x v="80"/>
          </reference>
        </references>
      </pivotArea>
    </format>
    <format dxfId="49">
      <pivotArea dataOnly="0" labelOnly="1" outline="0" fieldPosition="0">
        <references count="1">
          <reference field="1" count="1">
            <x v="81"/>
          </reference>
        </references>
      </pivotArea>
    </format>
    <format dxfId="48">
      <pivotArea dataOnly="0" labelOnly="1" outline="0" fieldPosition="0">
        <references count="1">
          <reference field="1" count="1">
            <x v="82"/>
          </reference>
        </references>
      </pivotArea>
    </format>
    <format dxfId="47">
      <pivotArea dataOnly="0" labelOnly="1" outline="0" fieldPosition="0">
        <references count="1">
          <reference field="1" count="1">
            <x v="83"/>
          </reference>
        </references>
      </pivotArea>
    </format>
    <format dxfId="46">
      <pivotArea dataOnly="0" labelOnly="1" outline="0" fieldPosition="0">
        <references count="1">
          <reference field="1" count="1">
            <x v="84"/>
          </reference>
        </references>
      </pivotArea>
    </format>
    <format dxfId="45">
      <pivotArea dataOnly="0" labelOnly="1" outline="0" fieldPosition="0">
        <references count="1">
          <reference field="1" count="1">
            <x v="85"/>
          </reference>
        </references>
      </pivotArea>
    </format>
    <format dxfId="44">
      <pivotArea dataOnly="0" labelOnly="1" outline="0" fieldPosition="0">
        <references count="1">
          <reference field="1" count="1">
            <x v="86"/>
          </reference>
        </references>
      </pivotArea>
    </format>
    <format dxfId="43">
      <pivotArea dataOnly="0" labelOnly="1" outline="0" fieldPosition="0">
        <references count="1">
          <reference field="1" count="1">
            <x v="87"/>
          </reference>
        </references>
      </pivotArea>
    </format>
    <format dxfId="42">
      <pivotArea dataOnly="0" labelOnly="1" outline="0" fieldPosition="0">
        <references count="1">
          <reference field="1" count="1">
            <x v="88"/>
          </reference>
        </references>
      </pivotArea>
    </format>
    <format dxfId="41">
      <pivotArea dataOnly="0" labelOnly="1" outline="0" fieldPosition="0">
        <references count="1">
          <reference field="1" count="1">
            <x v="89"/>
          </reference>
        </references>
      </pivotArea>
    </format>
    <format dxfId="40">
      <pivotArea dataOnly="0" labelOnly="1" outline="0" fieldPosition="0">
        <references count="1">
          <reference field="1" count="1">
            <x v="90"/>
          </reference>
        </references>
      </pivotArea>
    </format>
    <format dxfId="39">
      <pivotArea dataOnly="0" labelOnly="1" outline="0" fieldPosition="0">
        <references count="1">
          <reference field="1" count="1">
            <x v="91"/>
          </reference>
        </references>
      </pivotArea>
    </format>
    <format dxfId="38">
      <pivotArea dataOnly="0" labelOnly="1" outline="0" fieldPosition="0">
        <references count="1">
          <reference field="1" count="1">
            <x v="92"/>
          </reference>
        </references>
      </pivotArea>
    </format>
    <format dxfId="37">
      <pivotArea dataOnly="0" labelOnly="1" outline="0" fieldPosition="0">
        <references count="1">
          <reference field="1" count="1">
            <x v="93"/>
          </reference>
        </references>
      </pivotArea>
    </format>
    <format dxfId="36">
      <pivotArea dataOnly="0" labelOnly="1" outline="0" fieldPosition="0">
        <references count="1">
          <reference field="1" count="1">
            <x v="94"/>
          </reference>
        </references>
      </pivotArea>
    </format>
    <format dxfId="35">
      <pivotArea dataOnly="0" labelOnly="1" outline="0" fieldPosition="0">
        <references count="1">
          <reference field="1" count="1">
            <x v="95"/>
          </reference>
        </references>
      </pivotArea>
    </format>
    <format dxfId="34">
      <pivotArea dataOnly="0" labelOnly="1" outline="0" fieldPosition="0">
        <references count="1">
          <reference field="1" count="1">
            <x v="96"/>
          </reference>
        </references>
      </pivotArea>
    </format>
    <format dxfId="33">
      <pivotArea dataOnly="0" labelOnly="1" outline="0" fieldPosition="0">
        <references count="1">
          <reference field="1" count="1">
            <x v="97"/>
          </reference>
        </references>
      </pivotArea>
    </format>
    <format dxfId="32">
      <pivotArea dataOnly="0" labelOnly="1" outline="0" fieldPosition="0">
        <references count="1">
          <reference field="1" count="1">
            <x v="98"/>
          </reference>
        </references>
      </pivotArea>
    </format>
    <format dxfId="31">
      <pivotArea dataOnly="0" labelOnly="1" outline="0" fieldPosition="0">
        <references count="1">
          <reference field="1" count="1">
            <x v="99"/>
          </reference>
        </references>
      </pivotArea>
    </format>
    <format dxfId="30">
      <pivotArea dataOnly="0" labelOnly="1" outline="0" fieldPosition="0">
        <references count="1">
          <reference field="1" count="1">
            <x v="100"/>
          </reference>
        </references>
      </pivotArea>
    </format>
    <format dxfId="29">
      <pivotArea dataOnly="0" labelOnly="1" outline="0" fieldPosition="0">
        <references count="1">
          <reference field="1" count="1">
            <x v="101"/>
          </reference>
        </references>
      </pivotArea>
    </format>
    <format dxfId="28">
      <pivotArea dataOnly="0" labelOnly="1" outline="0" fieldPosition="0">
        <references count="1">
          <reference field="1" count="1">
            <x v="102"/>
          </reference>
        </references>
      </pivotArea>
    </format>
    <format dxfId="27">
      <pivotArea dataOnly="0" labelOnly="1" outline="0" fieldPosition="0">
        <references count="1">
          <reference field="1" count="1">
            <x v="103"/>
          </reference>
        </references>
      </pivotArea>
    </format>
    <format dxfId="26">
      <pivotArea dataOnly="0" labelOnly="1" outline="0" fieldPosition="0">
        <references count="1">
          <reference field="1" count="1">
            <x v="104"/>
          </reference>
        </references>
      </pivotArea>
    </format>
    <format dxfId="25">
      <pivotArea dataOnly="0" labelOnly="1" outline="0" fieldPosition="0">
        <references count="1">
          <reference field="1" count="1">
            <x v="105"/>
          </reference>
        </references>
      </pivotArea>
    </format>
    <format dxfId="24">
      <pivotArea dataOnly="0" labelOnly="1" outline="0" fieldPosition="0">
        <references count="1">
          <reference field="1" count="1">
            <x v="106"/>
          </reference>
        </references>
      </pivotArea>
    </format>
    <format dxfId="23">
      <pivotArea dataOnly="0" labelOnly="1" outline="0" fieldPosition="0">
        <references count="1">
          <reference field="1" count="1">
            <x v="107"/>
          </reference>
        </references>
      </pivotArea>
    </format>
    <format dxfId="22">
      <pivotArea dataOnly="0" labelOnly="1" outline="0" fieldPosition="0">
        <references count="1">
          <reference field="1" count="1">
            <x v="108"/>
          </reference>
        </references>
      </pivotArea>
    </format>
    <format dxfId="21">
      <pivotArea dataOnly="0" labelOnly="1" outline="0" fieldPosition="0">
        <references count="1">
          <reference field="1" count="1">
            <x v="109"/>
          </reference>
        </references>
      </pivotArea>
    </format>
    <format dxfId="20">
      <pivotArea dataOnly="0" labelOnly="1" outline="0" fieldPosition="0">
        <references count="1">
          <reference field="1" count="1">
            <x v="110"/>
          </reference>
        </references>
      </pivotArea>
    </format>
    <format dxfId="19">
      <pivotArea dataOnly="0" labelOnly="1" outline="0" fieldPosition="0">
        <references count="1">
          <reference field="1" count="1">
            <x v="111"/>
          </reference>
        </references>
      </pivotArea>
    </format>
    <format dxfId="18">
      <pivotArea dataOnly="0" labelOnly="1" outline="0" fieldPosition="0">
        <references count="1">
          <reference field="1" count="1">
            <x v="112"/>
          </reference>
        </references>
      </pivotArea>
    </format>
    <format dxfId="17">
      <pivotArea dataOnly="0" labelOnly="1" outline="0" fieldPosition="0">
        <references count="1">
          <reference field="1" count="1">
            <x v="113"/>
          </reference>
        </references>
      </pivotArea>
    </format>
    <format dxfId="16">
      <pivotArea dataOnly="0" labelOnly="1" outline="0" fieldPosition="0">
        <references count="1">
          <reference field="1" count="1">
            <x v="114"/>
          </reference>
        </references>
      </pivotArea>
    </format>
    <format dxfId="15">
      <pivotArea dataOnly="0" labelOnly="1" outline="0" fieldPosition="0">
        <references count="1">
          <reference field="1" count="1">
            <x v="115"/>
          </reference>
        </references>
      </pivotArea>
    </format>
    <format dxfId="14">
      <pivotArea dataOnly="0" labelOnly="1" outline="0" fieldPosition="0">
        <references count="1">
          <reference field="1" count="1">
            <x v="116"/>
          </reference>
        </references>
      </pivotArea>
    </format>
    <format dxfId="13">
      <pivotArea dataOnly="0" labelOnly="1" outline="0" fieldPosition="0">
        <references count="1">
          <reference field="1" count="1">
            <x v="117"/>
          </reference>
        </references>
      </pivotArea>
    </format>
    <format dxfId="12">
      <pivotArea dataOnly="0" labelOnly="1" outline="0" fieldPosition="0">
        <references count="1">
          <reference field="1" count="1">
            <x v="118"/>
          </reference>
        </references>
      </pivotArea>
    </format>
    <format dxfId="11">
      <pivotArea dataOnly="0" labelOnly="1" outline="0" fieldPosition="0">
        <references count="1">
          <reference field="1" count="1">
            <x v="119"/>
          </reference>
        </references>
      </pivotArea>
    </format>
    <format dxfId="10">
      <pivotArea dataOnly="0" labelOnly="1" outline="0" fieldPosition="0">
        <references count="1">
          <reference field="1" count="1">
            <x v="120"/>
          </reference>
        </references>
      </pivotArea>
    </format>
    <format dxfId="9">
      <pivotArea dataOnly="0" labelOnly="1" outline="0" fieldPosition="0">
        <references count="1">
          <reference field="1" count="1">
            <x v="121"/>
          </reference>
        </references>
      </pivotArea>
    </format>
    <format dxfId="8">
      <pivotArea dataOnly="0" labelOnly="1" outline="0" fieldPosition="0">
        <references count="1">
          <reference field="1" count="1">
            <x v="122"/>
          </reference>
        </references>
      </pivotArea>
    </format>
    <format dxfId="7">
      <pivotArea dataOnly="0" labelOnly="1" outline="0" fieldPosition="0">
        <references count="1">
          <reference field="1" count="1">
            <x v="123"/>
          </reference>
        </references>
      </pivotArea>
    </format>
    <format dxfId="6">
      <pivotArea dataOnly="0" labelOnly="1" outline="0" fieldPosition="0">
        <references count="1">
          <reference field="1" count="1">
            <x v="124"/>
          </reference>
        </references>
      </pivotArea>
    </format>
    <format dxfId="5">
      <pivotArea dataOnly="0" labelOnly="1" outline="0" fieldPosition="0">
        <references count="1">
          <reference field="1" count="1">
            <x v="125"/>
          </reference>
        </references>
      </pivotArea>
    </format>
    <format dxfId="4">
      <pivotArea dataOnly="0" labelOnly="1" outline="0" fieldPosition="0">
        <references count="1">
          <reference field="1" count="1">
            <x v="126"/>
          </reference>
        </references>
      </pivotArea>
    </format>
    <format dxfId="3">
      <pivotArea dataOnly="0" labelOnly="1" outline="0" fieldPosition="0">
        <references count="1">
          <reference field="1" count="1">
            <x v="127"/>
          </reference>
        </references>
      </pivotArea>
    </format>
    <format dxfId="2">
      <pivotArea dataOnly="0" labelOnly="1" outline="0" fieldPosition="0">
        <references count="1">
          <reference field="1" count="1">
            <x v="128"/>
          </reference>
        </references>
      </pivotArea>
    </format>
    <format dxfId="1">
      <pivotArea dataOnly="0" labelOnly="1" grandRow="1" outline="0" fieldPosition="0"/>
    </format>
  </formats>
  <conditionalFormats count="2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208037-CF07-4ED7-802D-5BAA60F99DB9}" name="pvt_Pivot" cacheId="12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C8:K138" firstHeaderRow="1" firstDataRow="1" firstDataCol="9"/>
  <pivotFields count="12">
    <pivotField compact="0" outline="0" showAll="0"/>
    <pivotField axis="axisRow" compact="0" outline="0" showAll="0" defaultSubtotal="0">
      <items count="129">
        <item sd="0" x="13"/>
        <item sd="0" x="11"/>
        <item sd="0" x="12"/>
        <item sd="0" x="16"/>
        <item sd="0" x="17"/>
        <item sd="0" x="4"/>
        <item sd="0" x="28"/>
        <item sd="0" x="1"/>
        <item sd="0" x="27"/>
        <item sd="0" x="2"/>
        <item sd="0" x="65"/>
        <item sd="0" x="34"/>
        <item sd="0" x="70"/>
        <item sd="0" x="3"/>
        <item sd="0" x="26"/>
        <item sd="0" x="68"/>
        <item sd="0" x="55"/>
        <item sd="0" x="0"/>
        <item sd="0" x="54"/>
        <item sd="0" x="69"/>
        <item sd="0" x="31"/>
        <item sd="0" x="53"/>
        <item sd="0" x="15"/>
        <item sd="0" x="89"/>
        <item sd="0" x="49"/>
        <item sd="0" x="47"/>
        <item sd="0" x="66"/>
        <item sd="0" x="46"/>
        <item sd="0" x="22"/>
        <item sd="0" x="48"/>
        <item sd="0" x="63"/>
        <item sd="0" x="39"/>
        <item sd="0" x="51"/>
        <item sd="0" x="52"/>
        <item sd="0" x="7"/>
        <item sd="0" x="59"/>
        <item sd="0" x="41"/>
        <item sd="0" x="64"/>
        <item sd="0" x="6"/>
        <item sd="0" x="67"/>
        <item sd="0" x="125"/>
        <item sd="0" x="29"/>
        <item sd="0" x="18"/>
        <item sd="0" x="60"/>
        <item sd="0" x="110"/>
        <item sd="0" x="106"/>
        <item sd="0" x="105"/>
        <item sd="0" x="61"/>
        <item sd="0" x="62"/>
        <item sd="0" x="5"/>
        <item sd="0" x="124"/>
        <item sd="0" x="88"/>
        <item sd="0" x="30"/>
        <item sd="0" x="10"/>
        <item sd="0" x="50"/>
        <item sd="0" x="75"/>
        <item sd="0" x="37"/>
        <item sd="0" x="109"/>
        <item sd="0" x="9"/>
        <item sd="0" x="87"/>
        <item sd="0" x="33"/>
        <item sd="0" x="108"/>
        <item sd="0" x="82"/>
        <item sd="0" x="8"/>
        <item sd="0" x="57"/>
        <item sd="0" x="74"/>
        <item sd="0" x="56"/>
        <item sd="0" x="96"/>
        <item sd="0" x="14"/>
        <item sd="0" x="122"/>
        <item sd="0" x="80"/>
        <item sd="0" x="81"/>
        <item sd="0" x="23"/>
        <item sd="0" x="32"/>
        <item sd="0" x="91"/>
        <item sd="0" x="118"/>
        <item sd="0" x="19"/>
        <item sd="0" x="40"/>
        <item sd="0" x="123"/>
        <item sd="0" x="58"/>
        <item sd="0" x="20"/>
        <item sd="0" x="92"/>
        <item sd="0" x="35"/>
        <item sd="0" x="121"/>
        <item sd="0" x="78"/>
        <item sd="0" x="71"/>
        <item sd="0" x="24"/>
        <item sd="0" x="85"/>
        <item sd="0" x="94"/>
        <item sd="0" x="114"/>
        <item sd="0" x="107"/>
        <item sd="0" x="104"/>
        <item sd="0" x="44"/>
        <item sd="0" x="120"/>
        <item sd="0" x="25"/>
        <item sd="0" x="38"/>
        <item sd="0" x="119"/>
        <item sd="0" x="103"/>
        <item sd="0" x="126"/>
        <item sd="0" x="72"/>
        <item sd="0" x="76"/>
        <item sd="0" x="90"/>
        <item sd="0" x="117"/>
        <item sd="0" x="77"/>
        <item sd="0" x="116"/>
        <item sd="0" x="21"/>
        <item sd="0" x="113"/>
        <item sd="0" x="73"/>
        <item sd="0" x="36"/>
        <item sd="0" x="43"/>
        <item sd="0" x="100"/>
        <item sd="0" x="93"/>
        <item sd="0" x="86"/>
        <item sd="0" x="79"/>
        <item sd="0" x="115"/>
        <item sd="0" x="127"/>
        <item sd="0" x="84"/>
        <item sd="0" x="112"/>
        <item sd="0" x="111"/>
        <item sd="0" x="45"/>
        <item sd="0" x="97"/>
        <item sd="0" x="102"/>
        <item sd="0" x="83"/>
        <item sd="0" x="42"/>
        <item sd="0" x="99"/>
        <item sd="0" x="128"/>
        <item sd="0" x="98"/>
        <item sd="0" x="101"/>
        <item sd="0" x="95"/>
      </items>
    </pivotField>
    <pivotField axis="axisRow" compact="0" outline="0" showAll="0" defaultSubtotal="0">
      <items count="5">
        <item sd="0" x="3"/>
        <item sd="0" x="1"/>
        <item sd="0" x="4"/>
        <item sd="0" x="2"/>
        <item sd="0" x="0"/>
      </items>
    </pivotField>
    <pivotField axis="axisRow" compact="0" outline="0" showAll="0" defaultSubtotal="0">
      <items count="82">
        <item sd="0" x="43"/>
        <item sd="0" x="38"/>
        <item sd="0" x="34"/>
        <item sd="0" x="35"/>
        <item sd="0" x="46"/>
        <item sd="0" x="65"/>
        <item sd="0" x="32"/>
        <item sd="0" x="64"/>
        <item sd="0" x="76"/>
        <item sd="0" x="47"/>
        <item sd="0" x="57"/>
        <item sd="0" x="71"/>
        <item sd="0" x="33"/>
        <item sd="0" x="69"/>
        <item sd="0" x="48"/>
        <item sd="0" x="36"/>
        <item sd="0" x="40"/>
        <item sd="0" x="17"/>
        <item sd="0" x="37"/>
        <item sd="0" x="24"/>
        <item sd="0" x="77"/>
        <item sd="0" x="55"/>
        <item sd="0" x="20"/>
        <item sd="0" x="66"/>
        <item sd="0" x="19"/>
        <item sd="0" x="41"/>
        <item sd="0" x="18"/>
        <item sd="0" x="60"/>
        <item sd="0" x="79"/>
        <item sd="0" x="13"/>
        <item sd="0" x="44"/>
        <item sd="0" x="54"/>
        <item sd="0" x="31"/>
        <item sd="0" x="52"/>
        <item sd="0" x="39"/>
        <item sd="0" x="21"/>
        <item sd="0" x="30"/>
        <item sd="0" x="58"/>
        <item sd="0" x="67"/>
        <item sd="0" x="51"/>
        <item sd="0" x="75"/>
        <item sd="0" x="23"/>
        <item sd="0" x="73"/>
        <item sd="0" x="81"/>
        <item sd="0" x="78"/>
        <item sd="0" x="63"/>
        <item sd="0" x="62"/>
        <item sd="0" x="42"/>
        <item sd="0" x="45"/>
        <item sd="0" x="68"/>
        <item sd="0" x="59"/>
        <item sd="0" x="53"/>
        <item sd="0" x="74"/>
        <item sd="0" x="80"/>
        <item sd="0" x="72"/>
        <item sd="0" x="14"/>
        <item sd="0" x="15"/>
        <item sd="0" x="16"/>
        <item sd="0" x="26"/>
        <item sd="0" x="49"/>
        <item sd="0" x="25"/>
        <item sd="0" x="27"/>
        <item sd="0" x="29"/>
        <item sd="0" x="61"/>
        <item sd="0" x="50"/>
        <item sd="0" x="70"/>
        <item sd="0" x="4"/>
        <item sd="0" x="3"/>
        <item sd="0" x="56"/>
        <item sd="0" x="0"/>
        <item sd="0" x="2"/>
        <item sd="0" x="11"/>
        <item sd="0" x="1"/>
        <item sd="0" x="28"/>
        <item sd="0" x="22"/>
        <item sd="0" x="10"/>
        <item sd="0" x="9"/>
        <item sd="0" x="12"/>
        <item sd="0" x="5"/>
        <item sd="0" x="7"/>
        <item sd="0" x="6"/>
        <item sd="0" x="8"/>
      </items>
    </pivotField>
    <pivotField axis="axisRow" compact="0" outline="0" showAll="0" defaultSubtotal="0">
      <items count="94">
        <item sd="0" x="15"/>
        <item sd="0" x="77"/>
        <item sd="0" x="49"/>
        <item sd="0" x="56"/>
        <item sd="0" x="65"/>
        <item sd="0" x="37"/>
        <item sd="0" x="73"/>
        <item sd="0" x="35"/>
        <item sd="0" x="57"/>
        <item sd="0" x="87"/>
        <item sd="0" x="76"/>
        <item sd="0" x="90"/>
        <item sd="0" x="33"/>
        <item sd="0" x="78"/>
        <item sd="0" x="53"/>
        <item sd="0" x="72"/>
        <item sd="0" x="34"/>
        <item sd="0" x="31"/>
        <item sd="0" x="62"/>
        <item sd="0" x="29"/>
        <item sd="0" x="91"/>
        <item sd="0" x="50"/>
        <item sd="0" x="32"/>
        <item sd="0" x="86"/>
        <item sd="0" x="55"/>
        <item sd="0" x="67"/>
        <item sd="0" x="36"/>
        <item sd="0" x="66"/>
        <item sd="0" x="93"/>
        <item sd="0" x="54"/>
        <item sd="0" x="89"/>
        <item sd="0" x="13"/>
        <item sd="0" x="30"/>
        <item sd="0" x="16"/>
        <item sd="0" x="14"/>
        <item sd="0" x="75"/>
        <item sd="0" x="17"/>
        <item sd="0" x="51"/>
        <item sd="0" x="41"/>
        <item sd="0" x="58"/>
        <item sd="0" x="46"/>
        <item sd="0" x="11"/>
        <item sd="0" x="61"/>
        <item sd="0" x="12"/>
        <item sd="0" x="63"/>
        <item sd="0" x="23"/>
        <item sd="0" x="70"/>
        <item sd="0" x="80"/>
        <item sd="0" x="24"/>
        <item sd="0" x="47"/>
        <item sd="0" x="71"/>
        <item sd="0" x="28"/>
        <item sd="0" x="40"/>
        <item sd="0" x="18"/>
        <item sd="0" x="64"/>
        <item sd="0" x="92"/>
        <item sd="0" x="68"/>
        <item sd="0" x="52"/>
        <item sd="0" x="81"/>
        <item sd="0" x="60"/>
        <item sd="0" x="0"/>
        <item sd="0" x="88"/>
        <item sd="0" x="82"/>
        <item sd="0" x="84"/>
        <item sd="0" x="43"/>
        <item sd="0" x="83"/>
        <item sd="0" x="79"/>
        <item sd="0" x="3"/>
        <item sd="0" x="85"/>
        <item sd="0" x="42"/>
        <item sd="0" x="59"/>
        <item sd="0" x="74"/>
        <item sd="0" x="2"/>
        <item sd="0" x="69"/>
        <item sd="0" x="26"/>
        <item sd="0" x="39"/>
        <item sd="0" x="44"/>
        <item sd="0" x="10"/>
        <item sd="0" x="1"/>
        <item sd="0" x="45"/>
        <item sd="0" x="9"/>
        <item sd="0" x="25"/>
        <item sd="0" x="27"/>
        <item sd="0" x="8"/>
        <item sd="0" x="21"/>
        <item sd="0" x="4"/>
        <item sd="0" x="19"/>
        <item sd="0" x="38"/>
        <item sd="0" x="20"/>
        <item sd="0" x="6"/>
        <item sd="0" x="5"/>
        <item sd="0" x="7"/>
        <item sd="0" x="48"/>
        <item sd="0" x="22"/>
      </items>
    </pivotField>
    <pivotField axis="axisRow" compact="0" outline="0" showAll="0" defaultSubtotal="0">
      <items count="351">
        <item sd="0" x="53"/>
        <item sd="0" x="139"/>
        <item sd="0" x="312"/>
        <item sd="0" x="314"/>
        <item sd="0" x="52"/>
        <item sd="0" x="175"/>
        <item sd="0" x="229"/>
        <item sd="0" x="192"/>
        <item sd="0" x="54"/>
        <item sd="0" x="19"/>
        <item sd="0" x="126"/>
        <item sd="0" x="301"/>
        <item sd="0" x="299"/>
        <item sd="0" x="113"/>
        <item sd="0" x="313"/>
        <item sd="0" x="270"/>
        <item sd="0" x="268"/>
        <item sd="0" x="170"/>
        <item sd="0" x="219"/>
        <item sd="0" x="206"/>
        <item sd="0" x="98"/>
        <item sd="0" x="55"/>
        <item sd="0" x="137"/>
        <item sd="0" x="341"/>
        <item sd="0" x="283"/>
        <item sd="0" x="337"/>
        <item sd="0" x="269"/>
        <item sd="0" x="335"/>
        <item sd="0" x="224"/>
        <item sd="0" x="193"/>
        <item sd="0" x="342"/>
        <item sd="0" x="146"/>
        <item sd="0" x="140"/>
        <item sd="0" x="285"/>
        <item sd="0" x="278"/>
        <item sd="0" x="336"/>
        <item sd="0" x="187"/>
        <item sd="0" x="205"/>
        <item sd="0" x="31"/>
        <item sd="0" x="315"/>
        <item sd="0" x="222"/>
        <item sd="0" x="51"/>
        <item sd="0" x="230"/>
        <item sd="0" x="50"/>
        <item sd="0" x="223"/>
        <item sd="0" x="295"/>
        <item sd="0" x="82"/>
        <item sd="0" x="142"/>
        <item sd="0" x="293"/>
        <item sd="0" x="284"/>
        <item sd="0" x="49"/>
        <item sd="0" x="107"/>
        <item sd="0" x="141"/>
        <item sd="0" x="57"/>
        <item sd="0" x="18"/>
        <item sd="0" x="255"/>
        <item sd="0" x="282"/>
        <item sd="0" x="300"/>
        <item sd="0" x="277"/>
        <item sd="0" x="194"/>
        <item sd="0" x="114"/>
        <item sd="0" x="338"/>
        <item sd="0" x="81"/>
        <item sd="0" x="162"/>
        <item sd="0" x="290"/>
        <item sd="0" x="77"/>
        <item sd="0" x="225"/>
        <item sd="0" x="276"/>
        <item sd="0" x="179"/>
        <item sd="0" x="339"/>
        <item sd="0" x="319"/>
        <item sd="0" x="316"/>
        <item sd="0" x="136"/>
        <item sd="0" x="48"/>
        <item sd="0" x="167"/>
        <item sd="0" x="59"/>
        <item sd="0" x="30"/>
        <item sd="0" x="247"/>
        <item sd="0" x="23"/>
        <item sd="0" x="340"/>
        <item sd="0" x="143"/>
        <item sd="0" x="58"/>
        <item sd="0" x="178"/>
        <item sd="0" x="29"/>
        <item sd="0" x="110"/>
        <item sd="0" x="56"/>
        <item sd="0" x="104"/>
        <item sd="0" x="79"/>
        <item sd="0" x="306"/>
        <item sd="0" x="349"/>
        <item sd="0" x="138"/>
        <item sd="0" x="108"/>
        <item sd="0" x="318"/>
        <item sd="0" x="69"/>
        <item sd="0" x="296"/>
        <item sd="0" x="320"/>
        <item sd="0" x="347"/>
        <item sd="0" x="14"/>
        <item sd="0" x="22"/>
        <item sd="0" x="106"/>
        <item sd="0" x="317"/>
        <item sd="0" x="311"/>
        <item sd="0" x="145"/>
        <item sd="0" x="78"/>
        <item sd="0" x="105"/>
        <item sd="0" x="251"/>
        <item sd="0" x="45"/>
        <item sd="0" x="303"/>
        <item sd="0" x="21"/>
        <item sd="0" x="292"/>
        <item sd="0" x="125"/>
        <item sd="0" x="176"/>
        <item sd="0" x="109"/>
        <item sd="0" x="144"/>
        <item sd="0" x="307"/>
        <item sd="0" x="304"/>
        <item sd="0" x="80"/>
        <item sd="0" x="75"/>
        <item sd="0" x="248"/>
        <item sd="0" x="331"/>
        <item sd="0" x="127"/>
        <item sd="0" x="168"/>
        <item sd="0" x="281"/>
        <item sd="0" x="246"/>
        <item sd="0" x="195"/>
        <item sd="0" x="177"/>
        <item sd="0" x="330"/>
        <item sd="0" x="115"/>
        <item sd="0" x="344"/>
        <item sd="0" x="17"/>
        <item sd="0" x="165"/>
        <item sd="0" x="279"/>
        <item sd="0" x="227"/>
        <item sd="0" x="328"/>
        <item sd="0" x="321"/>
        <item sd="0" x="309"/>
        <item sd="0" x="350"/>
        <item sd="0" x="32"/>
        <item sd="0" x="308"/>
        <item sd="0" x="163"/>
        <item sd="0" x="329"/>
        <item sd="0" x="24"/>
        <item sd="0" x="118"/>
        <item sd="0" x="346"/>
        <item sd="0" x="271"/>
        <item sd="0" x="174"/>
        <item sd="0" x="20"/>
        <item sd="0" x="286"/>
        <item sd="0" x="172"/>
        <item sd="0" x="280"/>
        <item sd="0" x="166"/>
        <item sd="0" x="291"/>
        <item sd="0" x="228"/>
        <item sd="0" x="310"/>
        <item sd="0" x="332"/>
        <item sd="0" x="220"/>
        <item sd="0" x="249"/>
        <item sd="0" x="221"/>
        <item sd="0" x="16"/>
        <item sd="0" x="103"/>
        <item sd="0" x="348"/>
        <item sd="0" x="254"/>
        <item sd="0" x="294"/>
        <item sd="0" x="119"/>
        <item sd="0" x="226"/>
        <item sd="0" x="252"/>
        <item sd="0" x="15"/>
        <item sd="0" x="345"/>
        <item sd="0" x="250"/>
        <item sd="0" x="333"/>
        <item sd="0" x="116"/>
        <item sd="0" x="287"/>
        <item sd="0" x="122"/>
        <item sd="0" x="258"/>
        <item sd="0" x="324"/>
        <item sd="0" x="123"/>
        <item sd="0" x="97"/>
        <item sd="0" x="305"/>
        <item sd="0" x="302"/>
        <item sd="0" x="164"/>
        <item sd="0" x="199"/>
        <item sd="0" x="74"/>
        <item sd="0" x="95"/>
        <item sd="0" x="297"/>
        <item sd="0" x="173"/>
        <item sd="0" x="44"/>
        <item sd="0" x="236"/>
        <item sd="0" x="76"/>
        <item sd="0" x="169"/>
        <item sd="0" x="257"/>
        <item sd="0" x="288"/>
        <item sd="0" x="185"/>
        <item sd="0" x="343"/>
        <item sd="0" x="96"/>
        <item sd="0" x="334"/>
        <item sd="0" x="159"/>
        <item sd="0" x="326"/>
        <item sd="0" x="240"/>
        <item sd="0" x="186"/>
        <item sd="0" x="13"/>
        <item sd="0" x="121"/>
        <item sd="0" x="93"/>
        <item sd="0" x="47"/>
        <item sd="0" x="253"/>
        <item sd="0" x="196"/>
        <item sd="0" x="235"/>
        <item sd="0" x="150"/>
        <item sd="0" x="323"/>
        <item sd="0" x="161"/>
        <item sd="0" x="274"/>
        <item sd="0" x="191"/>
        <item sd="0" x="244"/>
        <item sd="0" x="238"/>
        <item sd="0" x="171"/>
        <item sd="0" x="160"/>
        <item sd="0" x="322"/>
        <item sd="0" x="183"/>
        <item sd="0" x="256"/>
        <item sd="0" x="298"/>
        <item sd="0" x="147"/>
        <item sd="0" x="259"/>
        <item sd="0" x="198"/>
        <item sd="0" x="94"/>
        <item sd="0" x="46"/>
        <item sd="0" x="36"/>
        <item sd="0" x="35"/>
        <item sd="0" x="34"/>
        <item sd="0" x="124"/>
        <item sd="0" x="184"/>
        <item sd="0" x="260"/>
        <item sd="0" x="231"/>
        <item sd="0" x="239"/>
        <item sd="0" x="289"/>
        <item sd="0" x="117"/>
        <item sd="0" x="242"/>
        <item sd="0" x="325"/>
        <item sd="0" x="275"/>
        <item sd="0" x="212"/>
        <item sd="0" x="237"/>
        <item sd="0" x="149"/>
        <item sd="0" x="3"/>
        <item sd="0" x="2"/>
        <item sd="0" x="33"/>
        <item sd="0" x="243"/>
        <item sd="0" x="4"/>
        <item sd="0" x="148"/>
        <item sd="0" x="327"/>
        <item sd="0" x="0"/>
        <item sd="0" x="211"/>
        <item sd="0" x="214"/>
        <item sd="0" x="272"/>
        <item sd="0" x="234"/>
        <item sd="0" x="10"/>
        <item sd="0" x="233"/>
        <item sd="0" x="189"/>
        <item sd="0" x="267"/>
        <item sd="0" x="11"/>
        <item sd="0" x="130"/>
        <item sd="0" x="241"/>
        <item sd="0" x="213"/>
        <item sd="0" x="129"/>
        <item sd="0" x="190"/>
        <item sd="0" x="188"/>
        <item sd="0" x="120"/>
        <item sd="0" x="64"/>
        <item sd="0" x="1"/>
        <item sd="0" x="262"/>
        <item sd="0" x="157"/>
        <item sd="0" x="232"/>
        <item sd="0" x="204"/>
        <item sd="0" x="12"/>
        <item sd="0" x="86"/>
        <item sd="0" x="128"/>
        <item sd="0" x="158"/>
        <item sd="0" x="200"/>
        <item sd="0" x="92"/>
        <item sd="0" x="264"/>
        <item sd="0" x="261"/>
        <item sd="0" x="9"/>
        <item sd="0" x="203"/>
        <item sd="0" x="207"/>
        <item sd="0" x="70"/>
        <item sd="0" x="156"/>
        <item sd="0" x="273"/>
        <item sd="0" x="155"/>
        <item sd="0" x="197"/>
        <item sd="0" x="263"/>
        <item sd="0" x="182"/>
        <item sd="0" x="84"/>
        <item sd="0" x="85"/>
        <item sd="0" x="266"/>
        <item sd="0" x="202"/>
        <item sd="0" x="208"/>
        <item sd="0" x="73"/>
        <item sd="0" x="245"/>
        <item sd="0" x="111"/>
        <item sd="0" x="40"/>
        <item sd="0" x="71"/>
        <item sd="0" x="83"/>
        <item sd="0" x="63"/>
        <item sd="0" x="62"/>
        <item sd="0" x="209"/>
        <item sd="0" x="131"/>
        <item sd="0" x="39"/>
        <item sd="0" x="216"/>
        <item sd="0" x="181"/>
        <item sd="0" x="37"/>
        <item sd="0" x="180"/>
        <item sd="0" x="215"/>
        <item sd="0" x="89"/>
        <item sd="0" x="135"/>
        <item sd="0" x="60"/>
        <item sd="0" x="112"/>
        <item sd="0" x="72"/>
        <item sd="0" x="210"/>
        <item sd="0" x="7"/>
        <item sd="0" x="217"/>
        <item sd="0" x="218"/>
        <item sd="0" x="5"/>
        <item sd="0" x="6"/>
        <item sd="0" x="265"/>
        <item sd="0" x="88"/>
        <item sd="0" x="26"/>
        <item sd="0" x="201"/>
        <item sd="0" x="27"/>
        <item sd="0" x="61"/>
        <item sd="0" x="68"/>
        <item sd="0" x="8"/>
        <item sd="0" x="152"/>
        <item sd="0" x="67"/>
        <item sd="0" x="133"/>
        <item sd="0" x="38"/>
        <item sd="0" x="153"/>
        <item sd="0" x="102"/>
        <item sd="0" x="66"/>
        <item sd="0" x="25"/>
        <item sd="0" x="65"/>
        <item sd="0" x="134"/>
        <item sd="0" x="101"/>
        <item sd="0" x="154"/>
        <item sd="0" x="151"/>
        <item sd="0" x="132"/>
        <item sd="0" x="28"/>
        <item sd="0" x="90"/>
        <item sd="0" x="42"/>
        <item sd="0" x="100"/>
        <item sd="0" x="91"/>
        <item sd="0" x="87"/>
        <item sd="0" x="41"/>
        <item sd="0" x="99"/>
        <item sd="0" x="43"/>
      </items>
    </pivotField>
    <pivotField axis="axisRow" compact="0" outline="0" showAll="0" defaultSubtotal="0">
      <items count="95">
        <item sd="0" x="7"/>
        <item sd="0" x="6"/>
        <item sd="0" x="5"/>
        <item sd="0" x="8"/>
        <item sd="0" x="4"/>
        <item sd="0" x="3"/>
        <item sd="0" x="2"/>
        <item sd="0" x="53"/>
        <item sd="0" x="67"/>
        <item sd="0" x="75"/>
        <item sd="0" x="54"/>
        <item sd="0" x="1"/>
        <item sd="0" x="94"/>
        <item sd="0" x="0"/>
        <item sd="0" x="48"/>
        <item sd="0" x="41"/>
        <item sd="0" x="15"/>
        <item sd="0" x="85"/>
        <item sd="0" x="32"/>
        <item sd="0" x="76"/>
        <item sd="0" x="20"/>
        <item sd="0" x="45"/>
        <item sd="0" x="66"/>
        <item sd="0" x="17"/>
        <item sd="0" x="43"/>
        <item sd="0" x="52"/>
        <item sd="0" x="84"/>
        <item sd="0" x="31"/>
        <item sd="0" x="16"/>
        <item sd="0" x="58"/>
        <item sd="0" x="37"/>
        <item sd="0" x="72"/>
        <item sd="0" x="60"/>
        <item sd="0" x="12"/>
        <item sd="0" x="68"/>
        <item sd="0" x="49"/>
        <item sd="0" x="28"/>
        <item sd="0" x="9"/>
        <item sd="0" x="65"/>
        <item sd="0" x="71"/>
        <item sd="0" x="30"/>
        <item sd="0" x="33"/>
        <item sd="0" x="10"/>
        <item sd="0" x="92"/>
        <item sd="0" x="44"/>
        <item sd="0" x="56"/>
        <item sd="0" x="57"/>
        <item sd="0" x="11"/>
        <item sd="0" x="86"/>
        <item sd="0" x="39"/>
        <item sd="0" x="42"/>
        <item sd="0" x="25"/>
        <item sd="0" x="69"/>
        <item sd="0" x="47"/>
        <item sd="0" x="51"/>
        <item sd="0" x="27"/>
        <item sd="0" x="23"/>
        <item sd="0" x="91"/>
        <item sd="0" x="63"/>
        <item sd="0" x="70"/>
        <item sd="0" x="38"/>
        <item sd="0" x="14"/>
        <item sd="0" x="34"/>
        <item sd="0" x="29"/>
        <item sd="0" x="40"/>
        <item sd="0" x="79"/>
        <item sd="0" x="22"/>
        <item sd="0" x="78"/>
        <item sd="0" x="55"/>
        <item sd="0" x="88"/>
        <item sd="0" x="18"/>
        <item sd="0" x="50"/>
        <item sd="0" x="64"/>
        <item sd="0" x="77"/>
        <item sd="0" x="19"/>
        <item sd="0" x="62"/>
        <item sd="0" x="61"/>
        <item sd="0" x="21"/>
        <item sd="0" x="90"/>
        <item sd="0" x="82"/>
        <item sd="0" x="73"/>
        <item sd="0" x="89"/>
        <item sd="0" x="13"/>
        <item sd="0" x="87"/>
        <item sd="0" x="26"/>
        <item sd="0" x="59"/>
        <item sd="0" x="80"/>
        <item sd="0" x="83"/>
        <item sd="0" x="46"/>
        <item sd="0" x="36"/>
        <item sd="0" x="35"/>
        <item sd="0" x="24"/>
        <item sd="0" x="81"/>
        <item sd="0" x="93"/>
        <item sd="0" x="74"/>
      </items>
    </pivotField>
    <pivotField axis="axisRow" compact="0" outline="0" showAll="0" defaultSubtotal="0">
      <items count="1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</items>
    </pivotField>
    <pivotField axis="axisRow" compact="0" outline="0" showAll="0" defaultSubtotal="0">
      <items count="3">
        <item sd="0" x="2"/>
        <item sd="0" x="1"/>
        <item sd="0" x="0"/>
      </items>
    </pivotField>
    <pivotField axis="axisRow" compact="0" outline="0" showAll="0" defaultSubtotal="0">
      <items count="305">
        <item x="85"/>
        <item x="9"/>
        <item x="56"/>
        <item x="192"/>
        <item x="196"/>
        <item x="284"/>
        <item x="215"/>
        <item x="24"/>
        <item x="16"/>
        <item x="39"/>
        <item x="34"/>
        <item x="62"/>
        <item x="134"/>
        <item x="147"/>
        <item x="3"/>
        <item x="225"/>
        <item x="21"/>
        <item x="101"/>
        <item x="239"/>
        <item x="206"/>
        <item x="246"/>
        <item x="113"/>
        <item x="23"/>
        <item x="179"/>
        <item x="125"/>
        <item x="75"/>
        <item x="293"/>
        <item x="111"/>
        <item x="193"/>
        <item x="84"/>
        <item x="13"/>
        <item x="58"/>
        <item x="157"/>
        <item x="197"/>
        <item x="128"/>
        <item x="165"/>
        <item x="1"/>
        <item x="232"/>
        <item x="227"/>
        <item x="152"/>
        <item x="138"/>
        <item x="126"/>
        <item x="123"/>
        <item x="299"/>
        <item x="80"/>
        <item x="278"/>
        <item x="280"/>
        <item x="279"/>
        <item x="63"/>
        <item x="0"/>
        <item x="109"/>
        <item x="141"/>
        <item x="233"/>
        <item x="164"/>
        <item x="6"/>
        <item x="76"/>
        <item x="220"/>
        <item x="12"/>
        <item x="169"/>
        <item x="97"/>
        <item x="129"/>
        <item x="107"/>
        <item x="87"/>
        <item x="54"/>
        <item x="40"/>
        <item x="29"/>
        <item x="142"/>
        <item x="153"/>
        <item x="26"/>
        <item x="304"/>
        <item x="170"/>
        <item x="295"/>
        <item x="277"/>
        <item x="221"/>
        <item x="83"/>
        <item x="60"/>
        <item x="48"/>
        <item x="270"/>
        <item x="205"/>
        <item x="230"/>
        <item x="261"/>
        <item x="251"/>
        <item x="237"/>
        <item x="292"/>
        <item x="200"/>
        <item x="71"/>
        <item x="242"/>
        <item x="93"/>
        <item x="115"/>
        <item x="178"/>
        <item x="274"/>
        <item x="108"/>
        <item x="148"/>
        <item x="184"/>
        <item x="160"/>
        <item x="18"/>
        <item x="282"/>
        <item x="257"/>
        <item x="195"/>
        <item x="216"/>
        <item x="144"/>
        <item x="10"/>
        <item x="298"/>
        <item x="116"/>
        <item x="73"/>
        <item x="52"/>
        <item x="224"/>
        <item x="176"/>
        <item x="140"/>
        <item x="78"/>
        <item x="112"/>
        <item x="155"/>
        <item x="27"/>
        <item x="103"/>
        <item x="186"/>
        <item x="199"/>
        <item x="36"/>
        <item x="162"/>
        <item x="201"/>
        <item x="302"/>
        <item x="219"/>
        <item x="96"/>
        <item x="117"/>
        <item x="46"/>
        <item x="99"/>
        <item x="137"/>
        <item x="231"/>
        <item x="120"/>
        <item x="89"/>
        <item x="37"/>
        <item x="266"/>
        <item x="265"/>
        <item x="154"/>
        <item x="25"/>
        <item x="238"/>
        <item x="189"/>
        <item x="190"/>
        <item x="214"/>
        <item x="283"/>
        <item x="182"/>
        <item x="198"/>
        <item x="5"/>
        <item x="77"/>
        <item x="64"/>
        <item x="167"/>
        <item x="145"/>
        <item x="276"/>
        <item x="296"/>
        <item x="81"/>
        <item x="217"/>
        <item x="17"/>
        <item x="42"/>
        <item x="254"/>
        <item x="300"/>
        <item x="130"/>
        <item x="175"/>
        <item x="31"/>
        <item x="70"/>
        <item x="55"/>
        <item x="303"/>
        <item x="171"/>
        <item x="4"/>
        <item x="33"/>
        <item x="28"/>
        <item x="255"/>
        <item x="156"/>
        <item x="211"/>
        <item x="118"/>
        <item x="291"/>
        <item x="260"/>
        <item x="248"/>
        <item x="136"/>
        <item x="269"/>
        <item x="223"/>
        <item x="94"/>
        <item x="241"/>
        <item x="243"/>
        <item x="263"/>
        <item x="287"/>
        <item x="286"/>
        <item x="183"/>
        <item x="61"/>
        <item x="180"/>
        <item x="252"/>
        <item x="226"/>
        <item x="247"/>
        <item x="151"/>
        <item x="43"/>
        <item x="95"/>
        <item x="163"/>
        <item x="218"/>
        <item x="289"/>
        <item x="57"/>
        <item x="79"/>
        <item x="122"/>
        <item x="187"/>
        <item x="194"/>
        <item x="213"/>
        <item x="290"/>
        <item x="294"/>
        <item x="275"/>
        <item x="185"/>
        <item x="161"/>
        <item x="59"/>
        <item x="106"/>
        <item x="234"/>
        <item x="204"/>
        <item x="91"/>
        <item x="44"/>
        <item x="100"/>
        <item x="45"/>
        <item x="20"/>
        <item x="68"/>
        <item x="271"/>
        <item x="209"/>
        <item x="159"/>
        <item x="259"/>
        <item x="50"/>
        <item x="11"/>
        <item x="90"/>
        <item x="15"/>
        <item x="127"/>
        <item x="82"/>
        <item x="7"/>
        <item x="124"/>
        <item x="228"/>
        <item x="264"/>
        <item x="288"/>
        <item x="229"/>
        <item x="256"/>
        <item x="203"/>
        <item x="2"/>
        <item x="32"/>
        <item x="65"/>
        <item x="110"/>
        <item x="86"/>
        <item x="121"/>
        <item x="191"/>
        <item x="166"/>
        <item x="150"/>
        <item x="132"/>
        <item x="8"/>
        <item x="35"/>
        <item x="41"/>
        <item x="98"/>
        <item x="168"/>
        <item x="281"/>
        <item x="212"/>
        <item x="235"/>
        <item x="188"/>
        <item x="38"/>
        <item x="173"/>
        <item x="146"/>
        <item x="69"/>
        <item x="139"/>
        <item x="268"/>
        <item x="158"/>
        <item x="249"/>
        <item x="22"/>
        <item x="208"/>
        <item x="104"/>
        <item x="119"/>
        <item x="177"/>
        <item x="92"/>
        <item x="297"/>
        <item x="202"/>
        <item x="131"/>
        <item x="47"/>
        <item x="74"/>
        <item x="174"/>
        <item x="236"/>
        <item x="30"/>
        <item x="51"/>
        <item x="240"/>
        <item x="14"/>
        <item x="273"/>
        <item x="105"/>
        <item x="258"/>
        <item x="262"/>
        <item x="72"/>
        <item x="253"/>
        <item x="250"/>
        <item x="19"/>
        <item x="67"/>
        <item x="114"/>
        <item x="267"/>
        <item x="49"/>
        <item x="133"/>
        <item x="172"/>
        <item x="181"/>
        <item x="285"/>
        <item x="210"/>
        <item x="88"/>
        <item x="53"/>
        <item x="102"/>
        <item x="66"/>
        <item x="135"/>
        <item x="149"/>
        <item x="207"/>
        <item x="272"/>
        <item x="245"/>
        <item x="301"/>
        <item x="143"/>
        <item x="244"/>
        <item x="222"/>
      </items>
    </pivotField>
    <pivotField compact="0" outline="0" showAll="0"/>
    <pivotField compact="0" outline="0" showAll="0"/>
  </pivotFields>
  <rowFields count="9">
    <field x="1"/>
    <field x="2"/>
    <field x="3"/>
    <field x="4"/>
    <field x="5"/>
    <field x="6"/>
    <field x="7"/>
    <field x="8"/>
    <field x="9"/>
  </rowFields>
  <rowItems count="1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 t="grand">
      <x/>
    </i>
  </rowItems>
  <colItems count="1">
    <i/>
  </colItems>
  <formats count="155">
    <format dxfId="341">
      <pivotArea type="all" dataOnly="0" outline="0" fieldPosition="0"/>
    </format>
    <format dxfId="340">
      <pivotArea outline="0" collapsedLevelsAreSubtotals="1" fieldPosition="0"/>
    </format>
    <format dxfId="339">
      <pivotArea dataOnly="0" labelOnly="1" grandRow="1" outline="0" fieldPosition="0"/>
    </format>
    <format dxfId="323">
      <pivotArea field="1" type="button" dataOnly="0" labelOnly="1" outline="0" axis="axisRow" fieldPosition="0"/>
    </format>
    <format dxfId="322">
      <pivotArea field="2" type="button" dataOnly="0" labelOnly="1" outline="0" axis="axisRow" fieldPosition="1"/>
    </format>
    <format dxfId="321">
      <pivotArea field="3" type="button" dataOnly="0" labelOnly="1" outline="0" axis="axisRow" fieldPosition="2"/>
    </format>
    <format dxfId="320">
      <pivotArea field="4" type="button" dataOnly="0" labelOnly="1" outline="0" axis="axisRow" fieldPosition="3"/>
    </format>
    <format dxfId="319">
      <pivotArea field="5" type="button" dataOnly="0" labelOnly="1" outline="0" axis="axisRow" fieldPosition="4"/>
    </format>
    <format dxfId="318">
      <pivotArea field="6" type="button" dataOnly="0" labelOnly="1" outline="0" axis="axisRow" fieldPosition="5"/>
    </format>
    <format dxfId="317">
      <pivotArea field="7" type="button" dataOnly="0" labelOnly="1" outline="0" axis="axisRow" fieldPosition="6"/>
    </format>
    <format dxfId="316">
      <pivotArea field="8" type="button" dataOnly="0" labelOnly="1" outline="0" axis="axisRow" fieldPosition="7"/>
    </format>
    <format dxfId="315">
      <pivotArea field="9" type="button" dataOnly="0" labelOnly="1" outline="0" axis="axisRow" fieldPosition="8"/>
    </format>
    <format dxfId="314">
      <pivotArea type="all" dataOnly="0" outline="0" fieldPosition="0"/>
    </format>
    <format dxfId="313">
      <pivotArea field="2" type="button" dataOnly="0" labelOnly="1" outline="0" axis="axisRow" fieldPosition="1"/>
    </format>
    <format dxfId="312">
      <pivotArea field="3" type="button" dataOnly="0" labelOnly="1" outline="0" axis="axisRow" fieldPosition="2"/>
    </format>
    <format dxfId="311">
      <pivotArea field="4" type="button" dataOnly="0" labelOnly="1" outline="0" axis="axisRow" fieldPosition="3"/>
    </format>
    <format dxfId="310">
      <pivotArea field="5" type="button" dataOnly="0" labelOnly="1" outline="0" axis="axisRow" fieldPosition="4"/>
    </format>
    <format dxfId="309">
      <pivotArea field="6" type="button" dataOnly="0" labelOnly="1" outline="0" axis="axisRow" fieldPosition="5"/>
    </format>
    <format dxfId="308">
      <pivotArea field="7" type="button" dataOnly="0" labelOnly="1" outline="0" axis="axisRow" fieldPosition="6"/>
    </format>
    <format dxfId="307">
      <pivotArea field="8" type="button" dataOnly="0" labelOnly="1" outline="0" axis="axisRow" fieldPosition="7"/>
    </format>
    <format dxfId="306">
      <pivotArea field="9" type="button" dataOnly="0" labelOnly="1" outline="0" axis="axisRow" fieldPosition="8"/>
    </format>
    <format dxfId="305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304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303">
      <pivotArea dataOnly="0" labelOnly="1" outline="0" fieldPosition="0">
        <references count="1">
          <reference field="1" count="29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</reference>
        </references>
      </pivotArea>
    </format>
    <format dxfId="302">
      <pivotArea field="1" type="button" dataOnly="0" labelOnly="1" outline="0" axis="axisRow" fieldPosition="0"/>
    </format>
    <format dxfId="301">
      <pivotArea dataOnly="0" labelOnly="1" outline="0" fieldPosition="0">
        <references count="1">
          <reference field="1" count="1">
            <x v="0"/>
          </reference>
        </references>
      </pivotArea>
    </format>
    <format dxfId="300">
      <pivotArea dataOnly="0" labelOnly="1" outline="0" fieldPosition="0">
        <references count="1">
          <reference field="1" count="1">
            <x v="1"/>
          </reference>
        </references>
      </pivotArea>
    </format>
    <format dxfId="299">
      <pivotArea dataOnly="0" labelOnly="1" outline="0" fieldPosition="0">
        <references count="1">
          <reference field="1" count="1">
            <x v="2"/>
          </reference>
        </references>
      </pivotArea>
    </format>
    <format dxfId="298">
      <pivotArea dataOnly="0" labelOnly="1" outline="0" fieldPosition="0">
        <references count="1">
          <reference field="1" count="1">
            <x v="3"/>
          </reference>
        </references>
      </pivotArea>
    </format>
    <format dxfId="297">
      <pivotArea dataOnly="0" labelOnly="1" outline="0" fieldPosition="0">
        <references count="1">
          <reference field="1" count="1">
            <x v="4"/>
          </reference>
        </references>
      </pivotArea>
    </format>
    <format dxfId="296">
      <pivotArea dataOnly="0" labelOnly="1" outline="0" fieldPosition="0">
        <references count="1">
          <reference field="1" count="1">
            <x v="5"/>
          </reference>
        </references>
      </pivotArea>
    </format>
    <format dxfId="295">
      <pivotArea dataOnly="0" labelOnly="1" outline="0" fieldPosition="0">
        <references count="1">
          <reference field="1" count="1">
            <x v="6"/>
          </reference>
        </references>
      </pivotArea>
    </format>
    <format dxfId="294">
      <pivotArea dataOnly="0" labelOnly="1" outline="0" fieldPosition="0">
        <references count="1">
          <reference field="1" count="1">
            <x v="7"/>
          </reference>
        </references>
      </pivotArea>
    </format>
    <format dxfId="293">
      <pivotArea dataOnly="0" labelOnly="1" outline="0" fieldPosition="0">
        <references count="1">
          <reference field="1" count="1">
            <x v="8"/>
          </reference>
        </references>
      </pivotArea>
    </format>
    <format dxfId="292">
      <pivotArea dataOnly="0" labelOnly="1" outline="0" fieldPosition="0">
        <references count="1">
          <reference field="1" count="1">
            <x v="9"/>
          </reference>
        </references>
      </pivotArea>
    </format>
    <format dxfId="291">
      <pivotArea dataOnly="0" labelOnly="1" outline="0" fieldPosition="0">
        <references count="1">
          <reference field="1" count="1">
            <x v="10"/>
          </reference>
        </references>
      </pivotArea>
    </format>
    <format dxfId="290">
      <pivotArea dataOnly="0" labelOnly="1" outline="0" fieldPosition="0">
        <references count="1">
          <reference field="1" count="1">
            <x v="11"/>
          </reference>
        </references>
      </pivotArea>
    </format>
    <format dxfId="289">
      <pivotArea dataOnly="0" labelOnly="1" outline="0" fieldPosition="0">
        <references count="1">
          <reference field="1" count="1">
            <x v="12"/>
          </reference>
        </references>
      </pivotArea>
    </format>
    <format dxfId="288">
      <pivotArea dataOnly="0" labelOnly="1" outline="0" fieldPosition="0">
        <references count="1">
          <reference field="1" count="1">
            <x v="13"/>
          </reference>
        </references>
      </pivotArea>
    </format>
    <format dxfId="287">
      <pivotArea dataOnly="0" labelOnly="1" outline="0" fieldPosition="0">
        <references count="1">
          <reference field="1" count="1">
            <x v="14"/>
          </reference>
        </references>
      </pivotArea>
    </format>
    <format dxfId="286">
      <pivotArea dataOnly="0" labelOnly="1" outline="0" fieldPosition="0">
        <references count="1">
          <reference field="1" count="1">
            <x v="15"/>
          </reference>
        </references>
      </pivotArea>
    </format>
    <format dxfId="285">
      <pivotArea dataOnly="0" labelOnly="1" outline="0" fieldPosition="0">
        <references count="1">
          <reference field="1" count="1">
            <x v="16"/>
          </reference>
        </references>
      </pivotArea>
    </format>
    <format dxfId="284">
      <pivotArea dataOnly="0" labelOnly="1" outline="0" fieldPosition="0">
        <references count="1">
          <reference field="1" count="1">
            <x v="17"/>
          </reference>
        </references>
      </pivotArea>
    </format>
    <format dxfId="283">
      <pivotArea dataOnly="0" labelOnly="1" outline="0" fieldPosition="0">
        <references count="1">
          <reference field="1" count="1">
            <x v="18"/>
          </reference>
        </references>
      </pivotArea>
    </format>
    <format dxfId="282">
      <pivotArea dataOnly="0" labelOnly="1" outline="0" fieldPosition="0">
        <references count="1">
          <reference field="1" count="1">
            <x v="19"/>
          </reference>
        </references>
      </pivotArea>
    </format>
    <format dxfId="281">
      <pivotArea dataOnly="0" labelOnly="1" outline="0" fieldPosition="0">
        <references count="1">
          <reference field="1" count="1">
            <x v="20"/>
          </reference>
        </references>
      </pivotArea>
    </format>
    <format dxfId="280">
      <pivotArea dataOnly="0" labelOnly="1" outline="0" fieldPosition="0">
        <references count="1">
          <reference field="1" count="1">
            <x v="21"/>
          </reference>
        </references>
      </pivotArea>
    </format>
    <format dxfId="279">
      <pivotArea dataOnly="0" labelOnly="1" outline="0" fieldPosition="0">
        <references count="1">
          <reference field="1" count="1">
            <x v="22"/>
          </reference>
        </references>
      </pivotArea>
    </format>
    <format dxfId="278">
      <pivotArea dataOnly="0" labelOnly="1" outline="0" fieldPosition="0">
        <references count="1">
          <reference field="1" count="1">
            <x v="23"/>
          </reference>
        </references>
      </pivotArea>
    </format>
    <format dxfId="277">
      <pivotArea dataOnly="0" labelOnly="1" outline="0" fieldPosition="0">
        <references count="1">
          <reference field="1" count="1">
            <x v="24"/>
          </reference>
        </references>
      </pivotArea>
    </format>
    <format dxfId="276">
      <pivotArea dataOnly="0" labelOnly="1" outline="0" fieldPosition="0">
        <references count="1">
          <reference field="1" count="1">
            <x v="25"/>
          </reference>
        </references>
      </pivotArea>
    </format>
    <format dxfId="275">
      <pivotArea dataOnly="0" labelOnly="1" outline="0" fieldPosition="0">
        <references count="1">
          <reference field="1" count="1">
            <x v="26"/>
          </reference>
        </references>
      </pivotArea>
    </format>
    <format dxfId="274">
      <pivotArea dataOnly="0" labelOnly="1" outline="0" fieldPosition="0">
        <references count="1">
          <reference field="1" count="1">
            <x v="27"/>
          </reference>
        </references>
      </pivotArea>
    </format>
    <format dxfId="273">
      <pivotArea dataOnly="0" labelOnly="1" outline="0" fieldPosition="0">
        <references count="1">
          <reference field="1" count="1">
            <x v="28"/>
          </reference>
        </references>
      </pivotArea>
    </format>
    <format dxfId="272">
      <pivotArea dataOnly="0" labelOnly="1" outline="0" fieldPosition="0">
        <references count="1">
          <reference field="1" count="1">
            <x v="29"/>
          </reference>
        </references>
      </pivotArea>
    </format>
    <format dxfId="271">
      <pivotArea dataOnly="0" labelOnly="1" outline="0" fieldPosition="0">
        <references count="1">
          <reference field="1" count="1">
            <x v="30"/>
          </reference>
        </references>
      </pivotArea>
    </format>
    <format dxfId="270">
      <pivotArea dataOnly="0" labelOnly="1" outline="0" fieldPosition="0">
        <references count="1">
          <reference field="1" count="1">
            <x v="31"/>
          </reference>
        </references>
      </pivotArea>
    </format>
    <format dxfId="269">
      <pivotArea dataOnly="0" labelOnly="1" outline="0" fieldPosition="0">
        <references count="1">
          <reference field="1" count="1">
            <x v="32"/>
          </reference>
        </references>
      </pivotArea>
    </format>
    <format dxfId="268">
      <pivotArea dataOnly="0" labelOnly="1" outline="0" fieldPosition="0">
        <references count="1">
          <reference field="1" count="1">
            <x v="33"/>
          </reference>
        </references>
      </pivotArea>
    </format>
    <format dxfId="267">
      <pivotArea dataOnly="0" labelOnly="1" outline="0" fieldPosition="0">
        <references count="1">
          <reference field="1" count="1">
            <x v="34"/>
          </reference>
        </references>
      </pivotArea>
    </format>
    <format dxfId="266">
      <pivotArea dataOnly="0" labelOnly="1" outline="0" fieldPosition="0">
        <references count="1">
          <reference field="1" count="1">
            <x v="35"/>
          </reference>
        </references>
      </pivotArea>
    </format>
    <format dxfId="265">
      <pivotArea dataOnly="0" labelOnly="1" outline="0" fieldPosition="0">
        <references count="1">
          <reference field="1" count="1">
            <x v="36"/>
          </reference>
        </references>
      </pivotArea>
    </format>
    <format dxfId="264">
      <pivotArea dataOnly="0" labelOnly="1" outline="0" fieldPosition="0">
        <references count="1">
          <reference field="1" count="1">
            <x v="37"/>
          </reference>
        </references>
      </pivotArea>
    </format>
    <format dxfId="263">
      <pivotArea dataOnly="0" labelOnly="1" outline="0" fieldPosition="0">
        <references count="1">
          <reference field="1" count="1">
            <x v="38"/>
          </reference>
        </references>
      </pivotArea>
    </format>
    <format dxfId="262">
      <pivotArea dataOnly="0" labelOnly="1" outline="0" fieldPosition="0">
        <references count="1">
          <reference field="1" count="1">
            <x v="39"/>
          </reference>
        </references>
      </pivotArea>
    </format>
    <format dxfId="261">
      <pivotArea dataOnly="0" labelOnly="1" outline="0" fieldPosition="0">
        <references count="1">
          <reference field="1" count="1">
            <x v="40"/>
          </reference>
        </references>
      </pivotArea>
    </format>
    <format dxfId="260">
      <pivotArea dataOnly="0" labelOnly="1" outline="0" fieldPosition="0">
        <references count="1">
          <reference field="1" count="1">
            <x v="41"/>
          </reference>
        </references>
      </pivotArea>
    </format>
    <format dxfId="259">
      <pivotArea dataOnly="0" labelOnly="1" outline="0" fieldPosition="0">
        <references count="1">
          <reference field="1" count="1">
            <x v="42"/>
          </reference>
        </references>
      </pivotArea>
    </format>
    <format dxfId="258">
      <pivotArea dataOnly="0" labelOnly="1" outline="0" fieldPosition="0">
        <references count="1">
          <reference field="1" count="1">
            <x v="43"/>
          </reference>
        </references>
      </pivotArea>
    </format>
    <format dxfId="257">
      <pivotArea dataOnly="0" labelOnly="1" outline="0" fieldPosition="0">
        <references count="1">
          <reference field="1" count="1">
            <x v="44"/>
          </reference>
        </references>
      </pivotArea>
    </format>
    <format dxfId="256">
      <pivotArea dataOnly="0" labelOnly="1" outline="0" fieldPosition="0">
        <references count="1">
          <reference field="1" count="1">
            <x v="45"/>
          </reference>
        </references>
      </pivotArea>
    </format>
    <format dxfId="255">
      <pivotArea dataOnly="0" labelOnly="1" outline="0" fieldPosition="0">
        <references count="1">
          <reference field="1" count="1">
            <x v="46"/>
          </reference>
        </references>
      </pivotArea>
    </format>
    <format dxfId="254">
      <pivotArea dataOnly="0" labelOnly="1" outline="0" fieldPosition="0">
        <references count="1">
          <reference field="1" count="1">
            <x v="47"/>
          </reference>
        </references>
      </pivotArea>
    </format>
    <format dxfId="253">
      <pivotArea dataOnly="0" labelOnly="1" outline="0" fieldPosition="0">
        <references count="1">
          <reference field="1" count="1">
            <x v="48"/>
          </reference>
        </references>
      </pivotArea>
    </format>
    <format dxfId="252">
      <pivotArea dataOnly="0" labelOnly="1" outline="0" fieldPosition="0">
        <references count="1">
          <reference field="1" count="1">
            <x v="49"/>
          </reference>
        </references>
      </pivotArea>
    </format>
    <format dxfId="251">
      <pivotArea dataOnly="0" labelOnly="1" outline="0" fieldPosition="0">
        <references count="1">
          <reference field="1" count="1">
            <x v="50"/>
          </reference>
        </references>
      </pivotArea>
    </format>
    <format dxfId="250">
      <pivotArea dataOnly="0" labelOnly="1" outline="0" fieldPosition="0">
        <references count="1">
          <reference field="1" count="1">
            <x v="51"/>
          </reference>
        </references>
      </pivotArea>
    </format>
    <format dxfId="249">
      <pivotArea dataOnly="0" labelOnly="1" outline="0" fieldPosition="0">
        <references count="1">
          <reference field="1" count="1">
            <x v="52"/>
          </reference>
        </references>
      </pivotArea>
    </format>
    <format dxfId="248">
      <pivotArea dataOnly="0" labelOnly="1" outline="0" fieldPosition="0">
        <references count="1">
          <reference field="1" count="1">
            <x v="53"/>
          </reference>
        </references>
      </pivotArea>
    </format>
    <format dxfId="247">
      <pivotArea dataOnly="0" labelOnly="1" outline="0" fieldPosition="0">
        <references count="1">
          <reference field="1" count="1">
            <x v="54"/>
          </reference>
        </references>
      </pivotArea>
    </format>
    <format dxfId="246">
      <pivotArea dataOnly="0" labelOnly="1" outline="0" fieldPosition="0">
        <references count="1">
          <reference field="1" count="1">
            <x v="55"/>
          </reference>
        </references>
      </pivotArea>
    </format>
    <format dxfId="245">
      <pivotArea dataOnly="0" labelOnly="1" outline="0" fieldPosition="0">
        <references count="1">
          <reference field="1" count="1">
            <x v="56"/>
          </reference>
        </references>
      </pivotArea>
    </format>
    <format dxfId="244">
      <pivotArea dataOnly="0" labelOnly="1" outline="0" fieldPosition="0">
        <references count="1">
          <reference field="1" count="1">
            <x v="57"/>
          </reference>
        </references>
      </pivotArea>
    </format>
    <format dxfId="243">
      <pivotArea dataOnly="0" labelOnly="1" outline="0" fieldPosition="0">
        <references count="1">
          <reference field="1" count="1">
            <x v="58"/>
          </reference>
        </references>
      </pivotArea>
    </format>
    <format dxfId="242">
      <pivotArea dataOnly="0" labelOnly="1" outline="0" fieldPosition="0">
        <references count="1">
          <reference field="1" count="1">
            <x v="59"/>
          </reference>
        </references>
      </pivotArea>
    </format>
    <format dxfId="241">
      <pivotArea dataOnly="0" labelOnly="1" outline="0" fieldPosition="0">
        <references count="1">
          <reference field="1" count="1">
            <x v="60"/>
          </reference>
        </references>
      </pivotArea>
    </format>
    <format dxfId="240">
      <pivotArea dataOnly="0" labelOnly="1" outline="0" fieldPosition="0">
        <references count="1">
          <reference field="1" count="1">
            <x v="61"/>
          </reference>
        </references>
      </pivotArea>
    </format>
    <format dxfId="239">
      <pivotArea dataOnly="0" labelOnly="1" outline="0" fieldPosition="0">
        <references count="1">
          <reference field="1" count="1">
            <x v="62"/>
          </reference>
        </references>
      </pivotArea>
    </format>
    <format dxfId="238">
      <pivotArea dataOnly="0" labelOnly="1" outline="0" fieldPosition="0">
        <references count="1">
          <reference field="1" count="1">
            <x v="63"/>
          </reference>
        </references>
      </pivotArea>
    </format>
    <format dxfId="237">
      <pivotArea dataOnly="0" labelOnly="1" outline="0" fieldPosition="0">
        <references count="1">
          <reference field="1" count="1">
            <x v="64"/>
          </reference>
        </references>
      </pivotArea>
    </format>
    <format dxfId="236">
      <pivotArea dataOnly="0" labelOnly="1" outline="0" fieldPosition="0">
        <references count="1">
          <reference field="1" count="1">
            <x v="65"/>
          </reference>
        </references>
      </pivotArea>
    </format>
    <format dxfId="235">
      <pivotArea dataOnly="0" labelOnly="1" outline="0" fieldPosition="0">
        <references count="1">
          <reference field="1" count="1">
            <x v="66"/>
          </reference>
        </references>
      </pivotArea>
    </format>
    <format dxfId="234">
      <pivotArea dataOnly="0" labelOnly="1" outline="0" fieldPosition="0">
        <references count="1">
          <reference field="1" count="1">
            <x v="67"/>
          </reference>
        </references>
      </pivotArea>
    </format>
    <format dxfId="233">
      <pivotArea dataOnly="0" labelOnly="1" outline="0" fieldPosition="0">
        <references count="1">
          <reference field="1" count="1">
            <x v="68"/>
          </reference>
        </references>
      </pivotArea>
    </format>
    <format dxfId="232">
      <pivotArea dataOnly="0" labelOnly="1" outline="0" fieldPosition="0">
        <references count="1">
          <reference field="1" count="1">
            <x v="69"/>
          </reference>
        </references>
      </pivotArea>
    </format>
    <format dxfId="231">
      <pivotArea dataOnly="0" labelOnly="1" outline="0" fieldPosition="0">
        <references count="1">
          <reference field="1" count="1">
            <x v="70"/>
          </reference>
        </references>
      </pivotArea>
    </format>
    <format dxfId="230">
      <pivotArea dataOnly="0" labelOnly="1" outline="0" fieldPosition="0">
        <references count="1">
          <reference field="1" count="1">
            <x v="71"/>
          </reference>
        </references>
      </pivotArea>
    </format>
    <format dxfId="229">
      <pivotArea dataOnly="0" labelOnly="1" outline="0" fieldPosition="0">
        <references count="1">
          <reference field="1" count="1">
            <x v="72"/>
          </reference>
        </references>
      </pivotArea>
    </format>
    <format dxfId="228">
      <pivotArea dataOnly="0" labelOnly="1" outline="0" fieldPosition="0">
        <references count="1">
          <reference field="1" count="1">
            <x v="73"/>
          </reference>
        </references>
      </pivotArea>
    </format>
    <format dxfId="227">
      <pivotArea dataOnly="0" labelOnly="1" outline="0" fieldPosition="0">
        <references count="1">
          <reference field="1" count="1">
            <x v="74"/>
          </reference>
        </references>
      </pivotArea>
    </format>
    <format dxfId="226">
      <pivotArea dataOnly="0" labelOnly="1" outline="0" fieldPosition="0">
        <references count="1">
          <reference field="1" count="1">
            <x v="75"/>
          </reference>
        </references>
      </pivotArea>
    </format>
    <format dxfId="225">
      <pivotArea dataOnly="0" labelOnly="1" outline="0" fieldPosition="0">
        <references count="1">
          <reference field="1" count="1">
            <x v="76"/>
          </reference>
        </references>
      </pivotArea>
    </format>
    <format dxfId="224">
      <pivotArea dataOnly="0" labelOnly="1" outline="0" fieldPosition="0">
        <references count="1">
          <reference field="1" count="1">
            <x v="77"/>
          </reference>
        </references>
      </pivotArea>
    </format>
    <format dxfId="223">
      <pivotArea dataOnly="0" labelOnly="1" outline="0" fieldPosition="0">
        <references count="1">
          <reference field="1" count="1">
            <x v="78"/>
          </reference>
        </references>
      </pivotArea>
    </format>
    <format dxfId="222">
      <pivotArea dataOnly="0" labelOnly="1" outline="0" fieldPosition="0">
        <references count="1">
          <reference field="1" count="1">
            <x v="79"/>
          </reference>
        </references>
      </pivotArea>
    </format>
    <format dxfId="221">
      <pivotArea dataOnly="0" labelOnly="1" outline="0" fieldPosition="0">
        <references count="1">
          <reference field="1" count="1">
            <x v="80"/>
          </reference>
        </references>
      </pivotArea>
    </format>
    <format dxfId="220">
      <pivotArea dataOnly="0" labelOnly="1" outline="0" fieldPosition="0">
        <references count="1">
          <reference field="1" count="1">
            <x v="81"/>
          </reference>
        </references>
      </pivotArea>
    </format>
    <format dxfId="219">
      <pivotArea dataOnly="0" labelOnly="1" outline="0" fieldPosition="0">
        <references count="1">
          <reference field="1" count="1">
            <x v="82"/>
          </reference>
        </references>
      </pivotArea>
    </format>
    <format dxfId="218">
      <pivotArea dataOnly="0" labelOnly="1" outline="0" fieldPosition="0">
        <references count="1">
          <reference field="1" count="1">
            <x v="83"/>
          </reference>
        </references>
      </pivotArea>
    </format>
    <format dxfId="217">
      <pivotArea dataOnly="0" labelOnly="1" outline="0" fieldPosition="0">
        <references count="1">
          <reference field="1" count="1">
            <x v="84"/>
          </reference>
        </references>
      </pivotArea>
    </format>
    <format dxfId="216">
      <pivotArea dataOnly="0" labelOnly="1" outline="0" fieldPosition="0">
        <references count="1">
          <reference field="1" count="1">
            <x v="85"/>
          </reference>
        </references>
      </pivotArea>
    </format>
    <format dxfId="215">
      <pivotArea dataOnly="0" labelOnly="1" outline="0" fieldPosition="0">
        <references count="1">
          <reference field="1" count="1">
            <x v="86"/>
          </reference>
        </references>
      </pivotArea>
    </format>
    <format dxfId="214">
      <pivotArea dataOnly="0" labelOnly="1" outline="0" fieldPosition="0">
        <references count="1">
          <reference field="1" count="1">
            <x v="87"/>
          </reference>
        </references>
      </pivotArea>
    </format>
    <format dxfId="213">
      <pivotArea dataOnly="0" labelOnly="1" outline="0" fieldPosition="0">
        <references count="1">
          <reference field="1" count="1">
            <x v="88"/>
          </reference>
        </references>
      </pivotArea>
    </format>
    <format dxfId="212">
      <pivotArea dataOnly="0" labelOnly="1" outline="0" fieldPosition="0">
        <references count="1">
          <reference field="1" count="1">
            <x v="89"/>
          </reference>
        </references>
      </pivotArea>
    </format>
    <format dxfId="211">
      <pivotArea dataOnly="0" labelOnly="1" outline="0" fieldPosition="0">
        <references count="1">
          <reference field="1" count="1">
            <x v="90"/>
          </reference>
        </references>
      </pivotArea>
    </format>
    <format dxfId="210">
      <pivotArea dataOnly="0" labelOnly="1" outline="0" fieldPosition="0">
        <references count="1">
          <reference field="1" count="1">
            <x v="91"/>
          </reference>
        </references>
      </pivotArea>
    </format>
    <format dxfId="209">
      <pivotArea dataOnly="0" labelOnly="1" outline="0" fieldPosition="0">
        <references count="1">
          <reference field="1" count="1">
            <x v="92"/>
          </reference>
        </references>
      </pivotArea>
    </format>
    <format dxfId="208">
      <pivotArea dataOnly="0" labelOnly="1" outline="0" fieldPosition="0">
        <references count="1">
          <reference field="1" count="1">
            <x v="93"/>
          </reference>
        </references>
      </pivotArea>
    </format>
    <format dxfId="207">
      <pivotArea dataOnly="0" labelOnly="1" outline="0" fieldPosition="0">
        <references count="1">
          <reference field="1" count="1">
            <x v="94"/>
          </reference>
        </references>
      </pivotArea>
    </format>
    <format dxfId="206">
      <pivotArea dataOnly="0" labelOnly="1" outline="0" fieldPosition="0">
        <references count="1">
          <reference field="1" count="1">
            <x v="95"/>
          </reference>
        </references>
      </pivotArea>
    </format>
    <format dxfId="205">
      <pivotArea dataOnly="0" labelOnly="1" outline="0" fieldPosition="0">
        <references count="1">
          <reference field="1" count="1">
            <x v="96"/>
          </reference>
        </references>
      </pivotArea>
    </format>
    <format dxfId="204">
      <pivotArea dataOnly="0" labelOnly="1" outline="0" fieldPosition="0">
        <references count="1">
          <reference field="1" count="1">
            <x v="97"/>
          </reference>
        </references>
      </pivotArea>
    </format>
    <format dxfId="203">
      <pivotArea dataOnly="0" labelOnly="1" outline="0" fieldPosition="0">
        <references count="1">
          <reference field="1" count="1">
            <x v="98"/>
          </reference>
        </references>
      </pivotArea>
    </format>
    <format dxfId="202">
      <pivotArea dataOnly="0" labelOnly="1" outline="0" fieldPosition="0">
        <references count="1">
          <reference field="1" count="1">
            <x v="99"/>
          </reference>
        </references>
      </pivotArea>
    </format>
    <format dxfId="201">
      <pivotArea dataOnly="0" labelOnly="1" outline="0" fieldPosition="0">
        <references count="1">
          <reference field="1" count="1">
            <x v="100"/>
          </reference>
        </references>
      </pivotArea>
    </format>
    <format dxfId="200">
      <pivotArea dataOnly="0" labelOnly="1" outline="0" fieldPosition="0">
        <references count="1">
          <reference field="1" count="1">
            <x v="101"/>
          </reference>
        </references>
      </pivotArea>
    </format>
    <format dxfId="199">
      <pivotArea dataOnly="0" labelOnly="1" outline="0" fieldPosition="0">
        <references count="1">
          <reference field="1" count="1">
            <x v="102"/>
          </reference>
        </references>
      </pivotArea>
    </format>
    <format dxfId="198">
      <pivotArea dataOnly="0" labelOnly="1" outline="0" fieldPosition="0">
        <references count="1">
          <reference field="1" count="1">
            <x v="103"/>
          </reference>
        </references>
      </pivotArea>
    </format>
    <format dxfId="197">
      <pivotArea dataOnly="0" labelOnly="1" outline="0" fieldPosition="0">
        <references count="1">
          <reference field="1" count="1">
            <x v="104"/>
          </reference>
        </references>
      </pivotArea>
    </format>
    <format dxfId="196">
      <pivotArea dataOnly="0" labelOnly="1" outline="0" fieldPosition="0">
        <references count="1">
          <reference field="1" count="1">
            <x v="105"/>
          </reference>
        </references>
      </pivotArea>
    </format>
    <format dxfId="195">
      <pivotArea dataOnly="0" labelOnly="1" outline="0" fieldPosition="0">
        <references count="1">
          <reference field="1" count="1">
            <x v="106"/>
          </reference>
        </references>
      </pivotArea>
    </format>
    <format dxfId="194">
      <pivotArea dataOnly="0" labelOnly="1" outline="0" fieldPosition="0">
        <references count="1">
          <reference field="1" count="1">
            <x v="107"/>
          </reference>
        </references>
      </pivotArea>
    </format>
    <format dxfId="193">
      <pivotArea dataOnly="0" labelOnly="1" outline="0" fieldPosition="0">
        <references count="1">
          <reference field="1" count="1">
            <x v="108"/>
          </reference>
        </references>
      </pivotArea>
    </format>
    <format dxfId="192">
      <pivotArea dataOnly="0" labelOnly="1" outline="0" fieldPosition="0">
        <references count="1">
          <reference field="1" count="1">
            <x v="109"/>
          </reference>
        </references>
      </pivotArea>
    </format>
    <format dxfId="191">
      <pivotArea dataOnly="0" labelOnly="1" outline="0" fieldPosition="0">
        <references count="1">
          <reference field="1" count="1">
            <x v="110"/>
          </reference>
        </references>
      </pivotArea>
    </format>
    <format dxfId="190">
      <pivotArea dataOnly="0" labelOnly="1" outline="0" fieldPosition="0">
        <references count="1">
          <reference field="1" count="1">
            <x v="111"/>
          </reference>
        </references>
      </pivotArea>
    </format>
    <format dxfId="189">
      <pivotArea dataOnly="0" labelOnly="1" outline="0" fieldPosition="0">
        <references count="1">
          <reference field="1" count="1">
            <x v="112"/>
          </reference>
        </references>
      </pivotArea>
    </format>
    <format dxfId="188">
      <pivotArea dataOnly="0" labelOnly="1" outline="0" fieldPosition="0">
        <references count="1">
          <reference field="1" count="1">
            <x v="113"/>
          </reference>
        </references>
      </pivotArea>
    </format>
    <format dxfId="187">
      <pivotArea dataOnly="0" labelOnly="1" outline="0" fieldPosition="0">
        <references count="1">
          <reference field="1" count="1">
            <x v="114"/>
          </reference>
        </references>
      </pivotArea>
    </format>
    <format dxfId="186">
      <pivotArea dataOnly="0" labelOnly="1" outline="0" fieldPosition="0">
        <references count="1">
          <reference field="1" count="1">
            <x v="115"/>
          </reference>
        </references>
      </pivotArea>
    </format>
    <format dxfId="185">
      <pivotArea dataOnly="0" labelOnly="1" outline="0" fieldPosition="0">
        <references count="1">
          <reference field="1" count="1">
            <x v="116"/>
          </reference>
        </references>
      </pivotArea>
    </format>
    <format dxfId="184">
      <pivotArea dataOnly="0" labelOnly="1" outline="0" fieldPosition="0">
        <references count="1">
          <reference field="1" count="1">
            <x v="117"/>
          </reference>
        </references>
      </pivotArea>
    </format>
    <format dxfId="183">
      <pivotArea dataOnly="0" labelOnly="1" outline="0" fieldPosition="0">
        <references count="1">
          <reference field="1" count="1">
            <x v="118"/>
          </reference>
        </references>
      </pivotArea>
    </format>
    <format dxfId="182">
      <pivotArea dataOnly="0" labelOnly="1" outline="0" fieldPosition="0">
        <references count="1">
          <reference field="1" count="1">
            <x v="119"/>
          </reference>
        </references>
      </pivotArea>
    </format>
    <format dxfId="181">
      <pivotArea dataOnly="0" labelOnly="1" outline="0" fieldPosition="0">
        <references count="1">
          <reference field="1" count="1">
            <x v="120"/>
          </reference>
        </references>
      </pivotArea>
    </format>
    <format dxfId="180">
      <pivotArea dataOnly="0" labelOnly="1" outline="0" fieldPosition="0">
        <references count="1">
          <reference field="1" count="1">
            <x v="121"/>
          </reference>
        </references>
      </pivotArea>
    </format>
    <format dxfId="179">
      <pivotArea dataOnly="0" labelOnly="1" outline="0" fieldPosition="0">
        <references count="1">
          <reference field="1" count="1">
            <x v="122"/>
          </reference>
        </references>
      </pivotArea>
    </format>
    <format dxfId="178">
      <pivotArea dataOnly="0" labelOnly="1" outline="0" fieldPosition="0">
        <references count="1">
          <reference field="1" count="1">
            <x v="123"/>
          </reference>
        </references>
      </pivotArea>
    </format>
    <format dxfId="177">
      <pivotArea dataOnly="0" labelOnly="1" outline="0" fieldPosition="0">
        <references count="1">
          <reference field="1" count="1">
            <x v="124"/>
          </reference>
        </references>
      </pivotArea>
    </format>
    <format dxfId="176">
      <pivotArea dataOnly="0" labelOnly="1" outline="0" fieldPosition="0">
        <references count="1">
          <reference field="1" count="1">
            <x v="125"/>
          </reference>
        </references>
      </pivotArea>
    </format>
    <format dxfId="175">
      <pivotArea dataOnly="0" labelOnly="1" outline="0" fieldPosition="0">
        <references count="1">
          <reference field="1" count="1">
            <x v="126"/>
          </reference>
        </references>
      </pivotArea>
    </format>
    <format dxfId="174">
      <pivotArea dataOnly="0" labelOnly="1" outline="0" fieldPosition="0">
        <references count="1">
          <reference field="1" count="1">
            <x v="127"/>
          </reference>
        </references>
      </pivotArea>
    </format>
    <format dxfId="173">
      <pivotArea dataOnly="0" labelOnly="1" outline="0" fieldPosition="0">
        <references count="1">
          <reference field="1" count="1">
            <x v="128"/>
          </reference>
        </references>
      </pivotArea>
    </format>
    <format dxfId="172">
      <pivotArea dataOnly="0" labelOnly="1" grandRow="1" outline="0" fieldPosition="0"/>
    </format>
  </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9" totalsRowShown="0" headerRowDxfId="338" dataDxfId="388" headerRowBorderDxfId="389" headerRowCellStyle="Normal 2">
  <autoFilter ref="B10:AA19" xr:uid="{7EC467B7-DE9E-48DF-95B5-2995F1F6DE8F}"/>
  <tableColumns count="26">
    <tableColumn id="1" xr3:uid="{CDAE6949-9186-42E8-AEBE-1928381A0155}" name="Field" dataDxfId="387" dataCellStyle="Normal 2"/>
    <tableColumn id="2" xr3:uid="{24D139B7-BFC8-4DD9-8DE4-2245810E04F3}" name="Definition" dataDxfId="334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333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386"/>
    <tableColumn id="8" xr3:uid="{30CDB1E0-924C-48B4-82F4-9B3E3228BE95}" name="Distinct %" dataDxfId="385"/>
    <tableColumn id="12" xr3:uid="{03824906-BEA5-4B63-A981-21F959B6439E}" name="Missing %" dataDxfId="384" dataCellStyle="Percent 2"/>
    <tableColumn id="6" xr3:uid="{8DFFE5A0-8676-4576-AB4D-97E8B31EC097}" name="Memory Usage %" dataDxfId="383" dataCellStyle="Percent 2"/>
    <tableColumn id="5" xr3:uid="{DD50C3DA-F4A8-40F0-AFBD-DBF916650F7E}" name="Memory Usage" dataDxfId="382"/>
    <tableColumn id="7" xr3:uid="{A0CD56D0-07EF-46CA-BC46-D54CD5E746C7}" name="Distinct" dataDxfId="381"/>
    <tableColumn id="9" xr3:uid="{1C848176-6AC1-44A6-9B3B-F1C9E8BC32EA}" name="Count" dataDxfId="380"/>
    <tableColumn id="10" xr3:uid="{6C6E6A37-4969-459F-AC39-2193366810E2}" name="Count %" dataDxfId="379"/>
    <tableColumn id="11" xr3:uid="{CD47252D-0307-4513-AF7C-13CC4AA1FCD9}" name="Missing" dataDxfId="378"/>
    <tableColumn id="13" xr3:uid="{2B45F7F8-CE35-48A6-BB27-9684B5D7936D}" name="Mean" dataDxfId="377"/>
    <tableColumn id="14" xr3:uid="{293386E4-1FA6-4340-9DC6-54CC26209C0A}" name="Median" dataDxfId="376"/>
    <tableColumn id="15" xr3:uid="{29252F5E-4163-4D62-89FC-FF85F6C4755C}" name="Mode" dataDxfId="375"/>
    <tableColumn id="16" xr3:uid="{69FFA3C1-FD1E-4395-AF2E-177FDFCDE62A}" name="Standard Deviation" dataDxfId="374"/>
    <tableColumn id="17" xr3:uid="{2AAB37E9-8AE2-4771-B92B-C04BFABA0B4E}" name="Variance" dataDxfId="373"/>
    <tableColumn id="18" xr3:uid="{07151E41-6633-4A65-A7E1-091F027DEF95}" name="Min" dataDxfId="372"/>
    <tableColumn id="19" xr3:uid="{41A1FD5D-4E5C-45B3-A0C7-1820F89F417F}" name="5%" dataDxfId="371"/>
    <tableColumn id="20" xr3:uid="{50D70984-5A2E-4A19-9F2B-5DA0502339BC}" name="25%" dataDxfId="370"/>
    <tableColumn id="21" xr3:uid="{75FF5489-8FC0-4894-83BC-802076BF1066}" name="50%" dataDxfId="369"/>
    <tableColumn id="22" xr3:uid="{B7FA20A8-EE17-470E-93AD-54011230C113}" name="75%" dataDxfId="368"/>
    <tableColumn id="23" xr3:uid="{378BE758-7A3F-4C04-A75B-FE899B1B0BAD}" name="95%" dataDxfId="367"/>
    <tableColumn id="24" xr3:uid="{818594E7-DC84-4229-81F6-97C1E2E93633}" name="Max" dataDxfId="366"/>
    <tableColumn id="25" xr3:uid="{D8116583-A886-47C1-85E2-D28AD96194AD}" name="Range" dataDxfId="365"/>
    <tableColumn id="26" xr3:uid="{D061AC6A-EAB2-461F-8AB8-E743DC68E666}" name="IQR" dataDxfId="364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N476" totalsRowShown="0" headerRowDxfId="354" dataDxfId="353">
  <autoFilter ref="C78:N476" xr:uid="{DB263373-2B4F-4302-9CF6-5012CE3F1A47}"/>
  <tableColumns count="12">
    <tableColumn id="1" xr3:uid="{B87F6371-B38F-4AA9-8A9B-F1D62600E38F}" name="Record List" dataDxfId="324" dataCellStyle="Normal 2"/>
    <tableColumn id="2" xr3:uid="{55547D6A-0C4F-44F3-8DA7-D9918F9ECA79}" name="mpg" dataDxfId="352"/>
    <tableColumn id="8" xr3:uid="{5CEA6B82-08F7-4BBF-BE74-DD211F1E2384}" name="cylinders" dataDxfId="351"/>
    <tableColumn id="3" xr3:uid="{6C0B3232-D5C0-4185-AF99-A47484E561D2}" name="displacement" dataDxfId="350"/>
    <tableColumn id="4" xr3:uid="{C992205A-65D7-4C9A-8ACC-87FFAE60E056}" name="horsepower" dataDxfId="332"/>
    <tableColumn id="5" xr3:uid="{3141BF1B-D9CD-45B5-80E9-B382A92E9BBC}" name="weight" dataDxfId="331"/>
    <tableColumn id="6" xr3:uid="{E59F98C5-6154-4E7C-9781-7D170457CE0F}" name="acceleration" dataDxfId="330"/>
    <tableColumn id="7" xr3:uid="{DBFC8DE0-C0B6-4D9F-96E6-2A55577F70B4}" name="model_year" dataDxfId="329"/>
    <tableColumn id="9" xr3:uid="{CEA7BBA9-60BC-4C89-A02E-8DD1288634D5}" name="origin" dataDxfId="328"/>
    <tableColumn id="10" xr3:uid="{74447B44-745B-4CF8-A18A-D72B8D85D191}" name="name" dataDxfId="327"/>
    <tableColumn id="11" xr3:uid="{56014FBD-696A-436F-B986-A7D46727F59E}" name="HasBlank" dataDxfId="326"/>
    <tableColumn id="12" xr3:uid="{DC6ABCEB-3591-437A-AC9A-D48B5A955D49}" name="Record Hash" dataDxfId="325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9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3" t="str">
        <f>Name</f>
        <v>mpg</v>
      </c>
      <c r="C2"/>
      <c r="AA2" s="97"/>
    </row>
    <row r="3" spans="2:27" ht="10.050000000000001" customHeight="1">
      <c r="B3"/>
      <c r="C3"/>
      <c r="AA3" s="98"/>
    </row>
    <row r="4" spans="2:27">
      <c r="B4" s="82" t="s">
        <v>25</v>
      </c>
      <c r="C4" s="46">
        <v>398</v>
      </c>
      <c r="AA4" s="99"/>
    </row>
    <row r="5" spans="2:27">
      <c r="B5" s="82" t="s">
        <v>26</v>
      </c>
      <c r="C5" s="47">
        <v>9</v>
      </c>
    </row>
    <row r="6" spans="2:27">
      <c r="B6" s="84" t="s">
        <v>4</v>
      </c>
      <c r="C6" s="47" t="s">
        <v>65</v>
      </c>
      <c r="F6" s="44"/>
    </row>
    <row r="7" spans="2:27">
      <c r="B7" s="80" t="s">
        <v>7</v>
      </c>
      <c r="C7" s="43">
        <v>1</v>
      </c>
    </row>
    <row r="8" spans="2:27">
      <c r="B8" s="84" t="s">
        <v>10</v>
      </c>
      <c r="C8" s="45">
        <v>1.6750418760469012E-3</v>
      </c>
      <c r="D8" s="42"/>
    </row>
    <row r="9" spans="2:27" ht="24" customHeight="1">
      <c r="B9"/>
      <c r="C9"/>
    </row>
    <row r="10" spans="2:27" ht="34.950000000000003" customHeight="1">
      <c r="B10" s="113" t="s">
        <v>27</v>
      </c>
      <c r="C10" s="114" t="s">
        <v>28</v>
      </c>
      <c r="D10" s="114" t="s">
        <v>29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31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32</v>
      </c>
      <c r="U10" s="116" t="s">
        <v>33</v>
      </c>
      <c r="V10" s="116" t="s">
        <v>34</v>
      </c>
      <c r="W10" s="116" t="s">
        <v>35</v>
      </c>
      <c r="X10" s="116" t="s">
        <v>36</v>
      </c>
      <c r="Y10" s="115" t="s">
        <v>17</v>
      </c>
      <c r="Z10" s="115" t="s">
        <v>18</v>
      </c>
      <c r="AA10" s="115" t="s">
        <v>19</v>
      </c>
    </row>
    <row r="11" spans="2:27">
      <c r="B11" s="57" t="s">
        <v>55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89" t="s">
        <v>66</v>
      </c>
      <c r="F11" s="49">
        <v>0.324120603015075</v>
      </c>
      <c r="G11" s="50">
        <v>0</v>
      </c>
      <c r="H11" s="49">
        <v>7.9783502054725799E-2</v>
      </c>
      <c r="I11" s="51">
        <v>3184</v>
      </c>
      <c r="J11" s="51">
        <v>129</v>
      </c>
      <c r="K11" s="51">
        <v>398</v>
      </c>
      <c r="L11" s="52">
        <v>1</v>
      </c>
      <c r="M11" s="51">
        <v>0</v>
      </c>
      <c r="N11" s="53">
        <v>23.5145728643216</v>
      </c>
      <c r="O11" s="53">
        <v>23</v>
      </c>
      <c r="P11" s="53">
        <v>13</v>
      </c>
      <c r="Q11" s="53">
        <v>7.8159843125657797</v>
      </c>
      <c r="R11" s="53">
        <v>61.089610774274398</v>
      </c>
      <c r="S11" s="53">
        <v>9</v>
      </c>
      <c r="T11" s="53">
        <v>13</v>
      </c>
      <c r="U11" s="53">
        <v>17.5</v>
      </c>
      <c r="V11" s="53">
        <v>23</v>
      </c>
      <c r="W11" s="53">
        <v>29</v>
      </c>
      <c r="X11" s="53">
        <v>37.029999999999902</v>
      </c>
      <c r="Y11" s="53">
        <v>46.6</v>
      </c>
      <c r="Z11" s="53">
        <v>37.6</v>
      </c>
      <c r="AA11" s="53">
        <v>11.5</v>
      </c>
    </row>
    <row r="12" spans="2:27">
      <c r="B12" s="123" t="s">
        <v>56</v>
      </c>
      <c r="C12" s="124" t="str">
        <f>IF(INDEX(Definitions,1,MATCH(tbl_Overview[[#This Row],[Field]],Headers,0))="Definition","",INDEX(Definitions,1,MATCH(tbl_Overview[[#This Row],[Field]],Headers,0)))</f>
        <v/>
      </c>
      <c r="D12" s="125" t="str">
        <f>IF(INDEX(Notes,1,MATCH(tbl_Overview[[#This Row],[Field]],Headers,0))="Notes","",INDEX(Notes,1,MATCH(tbl_Overview[[#This Row],[Field]],Headers,0)))</f>
        <v/>
      </c>
      <c r="E12" s="89" t="s">
        <v>67</v>
      </c>
      <c r="F12" s="52">
        <v>1.25628140703517E-2</v>
      </c>
      <c r="G12" s="126">
        <v>0</v>
      </c>
      <c r="H12" s="127">
        <v>7.9783502054725799E-2</v>
      </c>
      <c r="I12" s="51">
        <v>3184</v>
      </c>
      <c r="J12" s="51">
        <v>5</v>
      </c>
      <c r="K12" s="51">
        <v>398</v>
      </c>
      <c r="L12" s="52">
        <v>1</v>
      </c>
      <c r="M12" s="51">
        <v>0</v>
      </c>
      <c r="N12" s="53">
        <v>5.45477386934673</v>
      </c>
      <c r="O12" s="53">
        <v>4</v>
      </c>
      <c r="P12" s="53">
        <v>4</v>
      </c>
      <c r="Q12" s="53">
        <v>1.7010042445332101</v>
      </c>
      <c r="R12" s="53">
        <v>2.8934154399200001</v>
      </c>
      <c r="S12" s="53">
        <v>3</v>
      </c>
      <c r="T12" s="53">
        <v>4</v>
      </c>
      <c r="U12" s="53">
        <v>4</v>
      </c>
      <c r="V12" s="53">
        <v>4</v>
      </c>
      <c r="W12" s="53">
        <v>8</v>
      </c>
      <c r="X12" s="53">
        <v>8</v>
      </c>
      <c r="Y12" s="53">
        <v>8</v>
      </c>
      <c r="Z12" s="53">
        <v>5</v>
      </c>
      <c r="AA12" s="53">
        <v>4</v>
      </c>
    </row>
    <row r="13" spans="2:27">
      <c r="B13" s="123" t="s">
        <v>57</v>
      </c>
      <c r="C13" s="124" t="str">
        <f>IF(INDEX(Definitions,1,MATCH(tbl_Overview[[#This Row],[Field]],Headers,0))="Definition","",INDEX(Definitions,1,MATCH(tbl_Overview[[#This Row],[Field]],Headers,0)))</f>
        <v/>
      </c>
      <c r="D13" s="125" t="str">
        <f>IF(INDEX(Notes,1,MATCH(tbl_Overview[[#This Row],[Field]],Headers,0))="Notes","",INDEX(Notes,1,MATCH(tbl_Overview[[#This Row],[Field]],Headers,0)))</f>
        <v/>
      </c>
      <c r="E13" s="89" t="s">
        <v>66</v>
      </c>
      <c r="F13" s="52">
        <v>0.20603015075376799</v>
      </c>
      <c r="G13" s="126">
        <v>0</v>
      </c>
      <c r="H13" s="127">
        <v>7.9783502054725799E-2</v>
      </c>
      <c r="I13" s="51">
        <v>3184</v>
      </c>
      <c r="J13" s="51">
        <v>82</v>
      </c>
      <c r="K13" s="51">
        <v>398</v>
      </c>
      <c r="L13" s="52">
        <v>1</v>
      </c>
      <c r="M13" s="51">
        <v>0</v>
      </c>
      <c r="N13" s="53">
        <v>193.42587939698399</v>
      </c>
      <c r="O13" s="53">
        <v>148.5</v>
      </c>
      <c r="P13" s="53">
        <v>97</v>
      </c>
      <c r="Q13" s="53">
        <v>104.269838171195</v>
      </c>
      <c r="R13" s="53">
        <v>10872.1991522473</v>
      </c>
      <c r="S13" s="53">
        <v>68</v>
      </c>
      <c r="T13" s="53">
        <v>85</v>
      </c>
      <c r="U13" s="53">
        <v>104.25</v>
      </c>
      <c r="V13" s="53">
        <v>148.5</v>
      </c>
      <c r="W13" s="53">
        <v>262</v>
      </c>
      <c r="X13" s="53">
        <v>400</v>
      </c>
      <c r="Y13" s="53">
        <v>455</v>
      </c>
      <c r="Z13" s="53">
        <v>387</v>
      </c>
      <c r="AA13" s="53">
        <v>157.75</v>
      </c>
    </row>
    <row r="14" spans="2:27">
      <c r="B14" s="123" t="s">
        <v>58</v>
      </c>
      <c r="C14" s="124" t="str">
        <f>IF(INDEX(Definitions,1,MATCH(tbl_Overview[[#This Row],[Field]],Headers,0))="Definition","",INDEX(Definitions,1,MATCH(tbl_Overview[[#This Row],[Field]],Headers,0)))</f>
        <v/>
      </c>
      <c r="D14" s="125" t="str">
        <f>IF(INDEX(Notes,1,MATCH(tbl_Overview[[#This Row],[Field]],Headers,0))="Notes","",INDEX(Notes,1,MATCH(tbl_Overview[[#This Row],[Field]],Headers,0)))</f>
        <v/>
      </c>
      <c r="E14" s="89" t="s">
        <v>66</v>
      </c>
      <c r="F14" s="52">
        <v>0.233668341708542</v>
      </c>
      <c r="G14" s="126">
        <v>1.5075376884422099E-2</v>
      </c>
      <c r="H14" s="127">
        <v>7.9783502054725799E-2</v>
      </c>
      <c r="I14" s="51">
        <v>3184</v>
      </c>
      <c r="J14" s="51">
        <v>93</v>
      </c>
      <c r="K14" s="51">
        <v>392</v>
      </c>
      <c r="L14" s="52">
        <v>0.98492462311557705</v>
      </c>
      <c r="M14" s="51">
        <v>6</v>
      </c>
      <c r="N14" s="53">
        <v>104.46938775510201</v>
      </c>
      <c r="O14" s="53">
        <v>93.5</v>
      </c>
      <c r="P14" s="53">
        <v>150</v>
      </c>
      <c r="Q14" s="53">
        <v>38.491159932828403</v>
      </c>
      <c r="R14" s="53">
        <v>1481.5693929745801</v>
      </c>
      <c r="S14" s="53">
        <v>46</v>
      </c>
      <c r="T14" s="53">
        <v>60.55</v>
      </c>
      <c r="U14" s="53">
        <v>75</v>
      </c>
      <c r="V14" s="53">
        <v>93.5</v>
      </c>
      <c r="W14" s="53">
        <v>126</v>
      </c>
      <c r="X14" s="53">
        <v>180</v>
      </c>
      <c r="Y14" s="53">
        <v>230</v>
      </c>
      <c r="Z14" s="53">
        <v>184</v>
      </c>
      <c r="AA14" s="53">
        <v>51</v>
      </c>
    </row>
    <row r="15" spans="2:27">
      <c r="B15" s="123" t="s">
        <v>59</v>
      </c>
      <c r="C15" s="124" t="str">
        <f>IF(INDEX(Definitions,1,MATCH(tbl_Overview[[#This Row],[Field]],Headers,0))="Definition","",INDEX(Definitions,1,MATCH(tbl_Overview[[#This Row],[Field]],Headers,0)))</f>
        <v/>
      </c>
      <c r="D15" s="125" t="str">
        <f>IF(INDEX(Notes,1,MATCH(tbl_Overview[[#This Row],[Field]],Headers,0))="Notes","",INDEX(Notes,1,MATCH(tbl_Overview[[#This Row],[Field]],Headers,0)))</f>
        <v/>
      </c>
      <c r="E15" s="89" t="s">
        <v>67</v>
      </c>
      <c r="F15" s="52">
        <v>0.88190954773869301</v>
      </c>
      <c r="G15" s="126">
        <v>0</v>
      </c>
      <c r="H15" s="127">
        <v>7.9783502054725799E-2</v>
      </c>
      <c r="I15" s="51">
        <v>3184</v>
      </c>
      <c r="J15" s="51">
        <v>351</v>
      </c>
      <c r="K15" s="51">
        <v>398</v>
      </c>
      <c r="L15" s="52">
        <v>1</v>
      </c>
      <c r="M15" s="51">
        <v>0</v>
      </c>
      <c r="N15" s="53">
        <v>2970.4246231155698</v>
      </c>
      <c r="O15" s="53">
        <v>2803.5</v>
      </c>
      <c r="P15" s="53">
        <v>1985</v>
      </c>
      <c r="Q15" s="53">
        <v>846.841774197326</v>
      </c>
      <c r="R15" s="53">
        <v>717140.99052567605</v>
      </c>
      <c r="S15" s="53">
        <v>1613</v>
      </c>
      <c r="T15" s="53">
        <v>1923.5</v>
      </c>
      <c r="U15" s="53">
        <v>2223.75</v>
      </c>
      <c r="V15" s="53">
        <v>2803.5</v>
      </c>
      <c r="W15" s="53">
        <v>3608</v>
      </c>
      <c r="X15" s="53">
        <v>4464</v>
      </c>
      <c r="Y15" s="53">
        <v>5140</v>
      </c>
      <c r="Z15" s="53">
        <v>3527</v>
      </c>
      <c r="AA15" s="53">
        <v>1384.25</v>
      </c>
    </row>
    <row r="16" spans="2:27">
      <c r="B16" s="123" t="s">
        <v>60</v>
      </c>
      <c r="C16" s="124" t="str">
        <f>IF(INDEX(Definitions,1,MATCH(tbl_Overview[[#This Row],[Field]],Headers,0))="Definition","",INDEX(Definitions,1,MATCH(tbl_Overview[[#This Row],[Field]],Headers,0)))</f>
        <v/>
      </c>
      <c r="D16" s="125" t="str">
        <f>IF(INDEX(Notes,1,MATCH(tbl_Overview[[#This Row],[Field]],Headers,0))="Notes","",INDEX(Notes,1,MATCH(tbl_Overview[[#This Row],[Field]],Headers,0)))</f>
        <v/>
      </c>
      <c r="E16" s="89" t="s">
        <v>66</v>
      </c>
      <c r="F16" s="52">
        <v>0.23869346733668301</v>
      </c>
      <c r="G16" s="126">
        <v>0</v>
      </c>
      <c r="H16" s="127">
        <v>7.9783502054725799E-2</v>
      </c>
      <c r="I16" s="51">
        <v>3184</v>
      </c>
      <c r="J16" s="51">
        <v>95</v>
      </c>
      <c r="K16" s="51">
        <v>398</v>
      </c>
      <c r="L16" s="52">
        <v>1</v>
      </c>
      <c r="M16" s="51">
        <v>0</v>
      </c>
      <c r="N16" s="53">
        <v>15.5680904522613</v>
      </c>
      <c r="O16" s="53">
        <v>15.5</v>
      </c>
      <c r="P16" s="53">
        <v>14.5</v>
      </c>
      <c r="Q16" s="53">
        <v>2.7576889298126699</v>
      </c>
      <c r="R16" s="53">
        <v>7.6048482336113796</v>
      </c>
      <c r="S16" s="53">
        <v>8</v>
      </c>
      <c r="T16" s="53">
        <v>11.285</v>
      </c>
      <c r="U16" s="53">
        <v>13.824999999999999</v>
      </c>
      <c r="V16" s="53">
        <v>15.5</v>
      </c>
      <c r="W16" s="53">
        <v>17.175000000000001</v>
      </c>
      <c r="X16" s="53">
        <v>20.4149999999999</v>
      </c>
      <c r="Y16" s="53">
        <v>24.8</v>
      </c>
      <c r="Z16" s="53">
        <v>16.8</v>
      </c>
      <c r="AA16" s="53">
        <v>3.3499999999999899</v>
      </c>
    </row>
    <row r="17" spans="2:27">
      <c r="B17" s="123" t="s">
        <v>61</v>
      </c>
      <c r="C17" s="124" t="str">
        <f>IF(INDEX(Definitions,1,MATCH(tbl_Overview[[#This Row],[Field]],Headers,0))="Definition","",INDEX(Definitions,1,MATCH(tbl_Overview[[#This Row],[Field]],Headers,0)))</f>
        <v/>
      </c>
      <c r="D17" s="125" t="str">
        <f>IF(INDEX(Notes,1,MATCH(tbl_Overview[[#This Row],[Field]],Headers,0))="Notes","",INDEX(Notes,1,MATCH(tbl_Overview[[#This Row],[Field]],Headers,0)))</f>
        <v/>
      </c>
      <c r="E17" s="89" t="s">
        <v>67</v>
      </c>
      <c r="F17" s="52">
        <v>3.2663316582914499E-2</v>
      </c>
      <c r="G17" s="126">
        <v>0</v>
      </c>
      <c r="H17" s="127">
        <v>7.9783502054725799E-2</v>
      </c>
      <c r="I17" s="51">
        <v>3184</v>
      </c>
      <c r="J17" s="51">
        <v>13</v>
      </c>
      <c r="K17" s="51">
        <v>398</v>
      </c>
      <c r="L17" s="52">
        <v>1</v>
      </c>
      <c r="M17" s="51">
        <v>0</v>
      </c>
      <c r="N17" s="53">
        <v>76.010050251256203</v>
      </c>
      <c r="O17" s="53">
        <v>76</v>
      </c>
      <c r="P17" s="53">
        <v>73</v>
      </c>
      <c r="Q17" s="53">
        <v>3.69762664673262</v>
      </c>
      <c r="R17" s="53">
        <v>13.672442818627101</v>
      </c>
      <c r="S17" s="53">
        <v>70</v>
      </c>
      <c r="T17" s="53">
        <v>70</v>
      </c>
      <c r="U17" s="53">
        <v>73</v>
      </c>
      <c r="V17" s="53">
        <v>76</v>
      </c>
      <c r="W17" s="53">
        <v>79</v>
      </c>
      <c r="X17" s="53">
        <v>82</v>
      </c>
      <c r="Y17" s="53">
        <v>82</v>
      </c>
      <c r="Z17" s="53">
        <v>12</v>
      </c>
      <c r="AA17" s="53">
        <v>6</v>
      </c>
    </row>
    <row r="18" spans="2:27">
      <c r="B18" s="123" t="s">
        <v>62</v>
      </c>
      <c r="C18" s="124" t="str">
        <f>IF(INDEX(Definitions,1,MATCH(tbl_Overview[[#This Row],[Field]],Headers,0))="Definition","",INDEX(Definitions,1,MATCH(tbl_Overview[[#This Row],[Field]],Headers,0)))</f>
        <v/>
      </c>
      <c r="D18" s="125" t="str">
        <f>IF(INDEX(Notes,1,MATCH(tbl_Overview[[#This Row],[Field]],Headers,0))="Notes","",INDEX(Notes,1,MATCH(tbl_Overview[[#This Row],[Field]],Headers,0)))</f>
        <v/>
      </c>
      <c r="E18" s="89" t="s">
        <v>68</v>
      </c>
      <c r="F18" s="52">
        <v>7.5376884422110497E-3</v>
      </c>
      <c r="G18" s="126">
        <v>0</v>
      </c>
      <c r="H18" s="127">
        <v>0.120176405733186</v>
      </c>
      <c r="I18" s="51">
        <v>4796</v>
      </c>
      <c r="J18" s="51">
        <v>3</v>
      </c>
      <c r="K18" s="51">
        <v>398</v>
      </c>
      <c r="L18" s="52">
        <v>1</v>
      </c>
      <c r="M18" s="51">
        <v>0</v>
      </c>
      <c r="N18" s="53"/>
      <c r="O18" s="53"/>
      <c r="P18" s="53" t="s">
        <v>69</v>
      </c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</row>
    <row r="19" spans="2:27">
      <c r="B19" s="128" t="s">
        <v>63</v>
      </c>
      <c r="C19" s="129" t="str">
        <f>IF(INDEX(Definitions,1,MATCH(tbl_Overview[[#This Row],[Field]],Headers,0))="Definition","",INDEX(Definitions,1,MATCH(tbl_Overview[[#This Row],[Field]],Headers,0)))</f>
        <v/>
      </c>
      <c r="D19" s="130" t="str">
        <f>IF(INDEX(Notes,1,MATCH(tbl_Overview[[#This Row],[Field]],Headers,0))="Notes","",INDEX(Notes,1,MATCH(tbl_Overview[[#This Row],[Field]],Headers,0)))</f>
        <v/>
      </c>
      <c r="E19" s="131" t="s">
        <v>68</v>
      </c>
      <c r="F19" s="132">
        <v>0.766331658291457</v>
      </c>
      <c r="G19" s="133">
        <v>0</v>
      </c>
      <c r="H19" s="134">
        <v>0.241555577829006</v>
      </c>
      <c r="I19" s="135">
        <v>9640</v>
      </c>
      <c r="J19" s="135">
        <v>305</v>
      </c>
      <c r="K19" s="135">
        <v>398</v>
      </c>
      <c r="L19" s="132">
        <v>1</v>
      </c>
      <c r="M19" s="135">
        <v>0</v>
      </c>
      <c r="N19" s="136"/>
      <c r="O19" s="136"/>
      <c r="P19" s="136" t="s">
        <v>70</v>
      </c>
      <c r="Q19" s="136"/>
      <c r="R19" s="136"/>
      <c r="S19" s="136"/>
      <c r="T19" s="136"/>
      <c r="U19" s="136"/>
      <c r="V19" s="136"/>
      <c r="W19" s="136"/>
      <c r="X19" s="136"/>
      <c r="Y19" s="136"/>
      <c r="Z19" s="136"/>
      <c r="AA19" s="136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9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476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3" customWidth="1"/>
    <col min="3" max="3" width="25.77734375" style="6" customWidth="1"/>
    <col min="4" max="12" width="27.77734375" style="1" customWidth="1"/>
    <col min="13" max="14" width="15.77734375" customWidth="1"/>
  </cols>
  <sheetData>
    <row r="1" spans="1:14" ht="31.8" hidden="1" customHeight="1">
      <c r="A1" s="38"/>
      <c r="B1" s="38"/>
      <c r="C1" s="39" t="s">
        <v>38</v>
      </c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</row>
    <row r="2" spans="1:14" ht="10.050000000000001" customHeight="1">
      <c r="A2" s="59"/>
      <c r="B2" s="101"/>
      <c r="C2" s="59"/>
      <c r="D2"/>
      <c r="E2"/>
    </row>
    <row r="3" spans="1:14" ht="36.6" customHeight="1">
      <c r="A3" s="61"/>
      <c r="B3" s="100" t="s">
        <v>0</v>
      </c>
      <c r="C3" s="73" t="s">
        <v>55</v>
      </c>
      <c r="D3"/>
      <c r="E3"/>
      <c r="F3" s="92"/>
      <c r="G3" s="92"/>
      <c r="H3" s="92"/>
      <c r="I3" s="92"/>
      <c r="J3" s="92"/>
      <c r="K3" s="92"/>
      <c r="L3" s="92"/>
    </row>
    <row r="4" spans="1:14" ht="4.95" customHeight="1">
      <c r="A4" s="59"/>
      <c r="B4" s="101"/>
      <c r="C4" s="59"/>
      <c r="D4"/>
      <c r="E4"/>
      <c r="F4" s="91"/>
      <c r="G4" s="91"/>
      <c r="H4" s="91"/>
      <c r="I4" s="91"/>
      <c r="J4" s="91"/>
      <c r="K4" s="91"/>
      <c r="L4" s="91"/>
    </row>
    <row r="5" spans="1:14" ht="19.95" customHeight="1">
      <c r="A5" s="61"/>
      <c r="B5" s="72" t="s">
        <v>0</v>
      </c>
      <c r="C5" s="74" t="s">
        <v>29</v>
      </c>
      <c r="D5"/>
      <c r="E5"/>
      <c r="F5" s="93"/>
      <c r="G5" s="93"/>
      <c r="H5" s="93"/>
      <c r="I5" s="93"/>
      <c r="J5" s="93"/>
      <c r="K5" s="93"/>
      <c r="L5" s="93"/>
    </row>
    <row r="6" spans="1:14" ht="4.95" customHeight="1">
      <c r="A6" s="30"/>
      <c r="B6" s="67"/>
      <c r="C6" s="68"/>
      <c r="D6" s="61"/>
      <c r="E6" s="61"/>
      <c r="F6" s="61"/>
      <c r="G6" s="61"/>
      <c r="H6" s="61"/>
      <c r="I6" s="61"/>
      <c r="J6" s="61"/>
      <c r="K6" s="61"/>
      <c r="L6" s="61"/>
    </row>
    <row r="7" spans="1:14" ht="37.799999999999997" hidden="1" customHeight="1" outlineLevel="1">
      <c r="A7" s="30"/>
      <c r="B7" s="67"/>
      <c r="C7" s="69" t="s">
        <v>37</v>
      </c>
      <c r="D7" s="66" t="s">
        <v>28</v>
      </c>
      <c r="E7" s="66" t="s">
        <v>28</v>
      </c>
      <c r="F7" s="66" t="s">
        <v>28</v>
      </c>
      <c r="G7" s="66" t="s">
        <v>28</v>
      </c>
      <c r="H7" s="66" t="s">
        <v>28</v>
      </c>
      <c r="I7" s="66" t="s">
        <v>28</v>
      </c>
      <c r="J7" s="66" t="s">
        <v>28</v>
      </c>
      <c r="K7" s="66" t="s">
        <v>28</v>
      </c>
      <c r="L7" s="66" t="s">
        <v>28</v>
      </c>
    </row>
    <row r="8" spans="1:14" ht="10.050000000000001" hidden="1" customHeight="1" outlineLevel="1">
      <c r="A8" s="58"/>
      <c r="B8" s="70"/>
      <c r="C8" s="58"/>
      <c r="D8" s="59"/>
      <c r="E8" s="59"/>
      <c r="F8" s="59"/>
      <c r="G8" s="59"/>
      <c r="H8" s="59"/>
      <c r="I8" s="59"/>
      <c r="J8" s="59"/>
      <c r="K8" s="59"/>
      <c r="L8" s="59"/>
    </row>
    <row r="9" spans="1:14" ht="37.799999999999997" hidden="1" customHeight="1" outlineLevel="1">
      <c r="A9" s="30"/>
      <c r="B9" s="102"/>
      <c r="C9" s="69" t="s">
        <v>1</v>
      </c>
      <c r="D9" s="66" t="s">
        <v>1</v>
      </c>
      <c r="E9" s="66" t="s">
        <v>1</v>
      </c>
      <c r="F9" s="66" t="s">
        <v>1</v>
      </c>
      <c r="G9" s="66" t="s">
        <v>1</v>
      </c>
      <c r="H9" s="66" t="s">
        <v>1</v>
      </c>
      <c r="I9" s="66" t="s">
        <v>1</v>
      </c>
      <c r="J9" s="66" t="s">
        <v>1</v>
      </c>
      <c r="K9" s="66" t="s">
        <v>1</v>
      </c>
      <c r="L9" s="66" t="s">
        <v>1</v>
      </c>
    </row>
    <row r="10" spans="1:14" ht="4.95" hidden="1" customHeight="1" outlineLevel="1">
      <c r="B10" s="28"/>
      <c r="C10" s="3"/>
      <c r="D10" s="54"/>
      <c r="E10" s="54"/>
      <c r="F10" s="54"/>
      <c r="G10" s="54"/>
      <c r="H10" s="54"/>
      <c r="I10" s="54"/>
      <c r="J10" s="54"/>
      <c r="K10" s="54"/>
      <c r="L10" s="54"/>
    </row>
    <row r="11" spans="1:14" s="88" customFormat="1" ht="30" customHeight="1" collapsed="1">
      <c r="A11" s="5"/>
      <c r="B11" s="117"/>
      <c r="C11" s="118" t="s">
        <v>2</v>
      </c>
      <c r="D11" s="119" t="s">
        <v>55</v>
      </c>
      <c r="E11" s="119" t="s">
        <v>56</v>
      </c>
      <c r="F11" s="119" t="s">
        <v>57</v>
      </c>
      <c r="G11" s="119" t="s">
        <v>58</v>
      </c>
      <c r="H11" s="119" t="s">
        <v>59</v>
      </c>
      <c r="I11" s="119" t="s">
        <v>60</v>
      </c>
      <c r="J11" s="119" t="s">
        <v>61</v>
      </c>
      <c r="K11" s="119" t="s">
        <v>62</v>
      </c>
      <c r="L11" s="119" t="s">
        <v>63</v>
      </c>
      <c r="M11" s="88" t="s">
        <v>54</v>
      </c>
      <c r="N11" s="88" t="s">
        <v>64</v>
      </c>
    </row>
    <row r="12" spans="1:14" ht="4.95" customHeight="1">
      <c r="A12"/>
      <c r="C12"/>
      <c r="D12"/>
      <c r="E12"/>
      <c r="F12"/>
      <c r="G12"/>
      <c r="H12"/>
      <c r="I12"/>
      <c r="J12"/>
      <c r="K12"/>
      <c r="L12"/>
    </row>
    <row r="13" spans="1:14" ht="19.95" customHeight="1" outlineLevel="1">
      <c r="A13" s="61"/>
      <c r="B13" s="72" t="s">
        <v>0</v>
      </c>
      <c r="C13" s="74" t="s">
        <v>51</v>
      </c>
      <c r="D13" s="60"/>
      <c r="E13" s="60"/>
      <c r="F13" s="60"/>
      <c r="G13" s="60"/>
      <c r="H13" s="60"/>
      <c r="I13" s="60"/>
      <c r="J13" s="60"/>
      <c r="K13" s="60"/>
      <c r="L13" s="60"/>
    </row>
    <row r="14" spans="1:14" ht="4.95" customHeight="1" outlineLevel="1">
      <c r="A14" s="61"/>
      <c r="B14" s="63"/>
      <c r="C14" s="64"/>
      <c r="D14" s="61"/>
      <c r="E14" s="60"/>
      <c r="F14" s="60"/>
      <c r="G14" s="60"/>
      <c r="H14" s="60"/>
      <c r="I14" s="60"/>
      <c r="J14" s="60"/>
      <c r="K14" s="60"/>
      <c r="L14" s="60"/>
    </row>
    <row r="15" spans="1:14" ht="84.6" hidden="1" customHeight="1" outlineLevel="2">
      <c r="A15" s="61"/>
      <c r="B15" s="63"/>
      <c r="C15" s="71"/>
      <c r="D15" s="111" t="s">
        <v>24</v>
      </c>
      <c r="E15" s="112"/>
      <c r="F15" s="60"/>
      <c r="G15" s="60"/>
      <c r="H15" s="60"/>
      <c r="I15" s="60"/>
      <c r="J15" s="60"/>
      <c r="K15" s="60"/>
      <c r="L15" s="60"/>
    </row>
    <row r="16" spans="1:14" ht="10.050000000000001" hidden="1" customHeight="1" outlineLevel="2">
      <c r="A16" s="61"/>
      <c r="B16" s="63"/>
      <c r="C16" s="65"/>
      <c r="D16" s="62"/>
      <c r="E16" s="61"/>
      <c r="F16" s="61"/>
      <c r="G16" s="61"/>
      <c r="H16" s="61"/>
      <c r="I16" s="61"/>
      <c r="J16" s="61"/>
      <c r="K16" s="61"/>
      <c r="L16" s="61"/>
    </row>
    <row r="17" spans="1:12" hidden="1" outlineLevel="2">
      <c r="A17" s="61"/>
      <c r="B17" s="63"/>
      <c r="C17" s="85" t="s">
        <v>25</v>
      </c>
      <c r="D17" s="87">
        <v>398</v>
      </c>
      <c r="E17" s="44"/>
      <c r="F17" s="44"/>
      <c r="G17" s="44"/>
      <c r="H17" s="44"/>
      <c r="I17" s="44"/>
      <c r="J17" s="44"/>
      <c r="K17" s="44"/>
      <c r="L17" s="44"/>
    </row>
    <row r="18" spans="1:12" hidden="1" outlineLevel="2">
      <c r="A18" s="61"/>
      <c r="B18" s="63"/>
      <c r="C18" s="85" t="s">
        <v>45</v>
      </c>
      <c r="D18" s="87">
        <v>9</v>
      </c>
      <c r="E18" s="44"/>
      <c r="F18" s="44"/>
      <c r="G18" s="44"/>
      <c r="H18" s="44"/>
      <c r="I18" s="44"/>
      <c r="J18" s="44"/>
      <c r="K18" s="44"/>
      <c r="L18" s="44"/>
    </row>
    <row r="19" spans="1:12" ht="4.95" hidden="1" customHeight="1" outlineLevel="2">
      <c r="A19" s="61"/>
      <c r="B19" s="63"/>
      <c r="C19" s="65"/>
      <c r="D19" s="62"/>
      <c r="E19"/>
      <c r="F19"/>
      <c r="G19"/>
      <c r="H19"/>
      <c r="I19"/>
      <c r="J19"/>
      <c r="K19"/>
      <c r="L19"/>
    </row>
    <row r="20" spans="1:12" ht="19.95" customHeight="1" outlineLevel="1" collapsed="1">
      <c r="B20" s="72" t="s">
        <v>0</v>
      </c>
      <c r="C20" s="74" t="s">
        <v>50</v>
      </c>
      <c r="D20" s="86"/>
      <c r="E20"/>
      <c r="F20"/>
      <c r="G20"/>
      <c r="H20"/>
      <c r="I20" s="142"/>
      <c r="J20"/>
      <c r="K20"/>
      <c r="L20"/>
    </row>
    <row r="21" spans="1:12" ht="4.95" customHeight="1" outlineLevel="1">
      <c r="B21" s="9"/>
      <c r="C21" s="33"/>
      <c r="D21" s="33"/>
      <c r="E21" s="33"/>
      <c r="F21" s="33"/>
      <c r="G21" s="33"/>
      <c r="H21" s="33"/>
      <c r="I21" s="33"/>
      <c r="J21" s="33"/>
      <c r="K21" s="33"/>
      <c r="L21" s="33"/>
    </row>
    <row r="22" spans="1:12" ht="14.4" hidden="1" customHeight="1" outlineLevel="2">
      <c r="A22" s="34"/>
      <c r="B22" s="35"/>
      <c r="C22" s="82" t="s">
        <v>3</v>
      </c>
      <c r="D22" s="11" t="s">
        <v>66</v>
      </c>
      <c r="E22" s="11" t="s">
        <v>67</v>
      </c>
      <c r="F22" s="11" t="s">
        <v>66</v>
      </c>
      <c r="G22" s="11" t="s">
        <v>66</v>
      </c>
      <c r="H22" s="11" t="s">
        <v>67</v>
      </c>
      <c r="I22" s="11" t="s">
        <v>66</v>
      </c>
      <c r="J22" s="11" t="s">
        <v>67</v>
      </c>
      <c r="K22" s="11" t="s">
        <v>68</v>
      </c>
      <c r="L22" s="11" t="s">
        <v>68</v>
      </c>
    </row>
    <row r="23" spans="1:12" ht="14.4" hidden="1" customHeight="1" outlineLevel="2">
      <c r="A23" s="34"/>
      <c r="B23" s="36"/>
      <c r="C23" s="80" t="s">
        <v>7</v>
      </c>
      <c r="D23" s="37">
        <v>0.324120603015075</v>
      </c>
      <c r="E23" s="37">
        <v>1.25628140703517E-2</v>
      </c>
      <c r="F23" s="37">
        <v>0.20603015075376799</v>
      </c>
      <c r="G23" s="37">
        <v>0.233668341708542</v>
      </c>
      <c r="H23" s="37">
        <v>0.88190954773869301</v>
      </c>
      <c r="I23" s="37">
        <v>0.23869346733668301</v>
      </c>
      <c r="J23" s="37">
        <v>3.2663316582914499E-2</v>
      </c>
      <c r="K23" s="37">
        <v>7.5376884422110497E-3</v>
      </c>
      <c r="L23" s="37">
        <v>0.766331658291457</v>
      </c>
    </row>
    <row r="24" spans="1:12" ht="14.4" hidden="1" customHeight="1" outlineLevel="2">
      <c r="A24" s="34"/>
      <c r="B24" s="36"/>
      <c r="C24" s="80" t="s">
        <v>10</v>
      </c>
      <c r="D24" s="37">
        <v>0</v>
      </c>
      <c r="E24" s="37">
        <v>0</v>
      </c>
      <c r="F24" s="37">
        <v>0</v>
      </c>
      <c r="G24" s="37">
        <v>1.5075376884422099E-2</v>
      </c>
      <c r="H24" s="37">
        <v>0</v>
      </c>
      <c r="I24" s="37">
        <v>0</v>
      </c>
      <c r="J24" s="37">
        <v>0</v>
      </c>
      <c r="K24" s="37">
        <v>0</v>
      </c>
      <c r="L24" s="37">
        <v>0</v>
      </c>
    </row>
    <row r="25" spans="1:12" ht="14.4" hidden="1" customHeight="1" outlineLevel="2">
      <c r="B25" s="12"/>
      <c r="C25" s="84" t="s">
        <v>5</v>
      </c>
      <c r="D25" s="37">
        <v>7.9783502054725799E-2</v>
      </c>
      <c r="E25" s="37">
        <v>7.9783502054725799E-2</v>
      </c>
      <c r="F25" s="37">
        <v>7.9783502054725799E-2</v>
      </c>
      <c r="G25" s="37">
        <v>7.9783502054725799E-2</v>
      </c>
      <c r="H25" s="37">
        <v>7.9783502054725799E-2</v>
      </c>
      <c r="I25" s="37">
        <v>7.9783502054725799E-2</v>
      </c>
      <c r="J25" s="37">
        <v>7.9783502054725799E-2</v>
      </c>
      <c r="K25" s="37">
        <v>0.120176405733186</v>
      </c>
      <c r="L25" s="37">
        <v>0.241555577829006</v>
      </c>
    </row>
    <row r="26" spans="1:12" ht="14.4" hidden="1" customHeight="1" outlineLevel="2">
      <c r="B26" s="12"/>
      <c r="C26" s="80" t="s">
        <v>4</v>
      </c>
      <c r="D26" s="11">
        <v>3184</v>
      </c>
      <c r="E26" s="11">
        <v>3184</v>
      </c>
      <c r="F26" s="11">
        <v>3184</v>
      </c>
      <c r="G26" s="11">
        <v>3184</v>
      </c>
      <c r="H26" s="11">
        <v>3184</v>
      </c>
      <c r="I26" s="11">
        <v>3184</v>
      </c>
      <c r="J26" s="11">
        <v>3184</v>
      </c>
      <c r="K26" s="11">
        <v>4796</v>
      </c>
      <c r="L26" s="11">
        <v>9640</v>
      </c>
    </row>
    <row r="27" spans="1:12" ht="14.4" hidden="1" customHeight="1" outlineLevel="2">
      <c r="B27" s="12"/>
      <c r="C27" s="80" t="s">
        <v>6</v>
      </c>
      <c r="D27" s="11">
        <v>129</v>
      </c>
      <c r="E27" s="11">
        <v>5</v>
      </c>
      <c r="F27" s="11">
        <v>82</v>
      </c>
      <c r="G27" s="11">
        <v>93</v>
      </c>
      <c r="H27" s="11">
        <v>351</v>
      </c>
      <c r="I27" s="11">
        <v>95</v>
      </c>
      <c r="J27" s="11">
        <v>13</v>
      </c>
      <c r="K27" s="11">
        <v>3</v>
      </c>
      <c r="L27" s="11">
        <v>305</v>
      </c>
    </row>
    <row r="28" spans="1:12" ht="14.4" hidden="1" customHeight="1" outlineLevel="2">
      <c r="B28" s="12"/>
      <c r="C28" s="80" t="s">
        <v>8</v>
      </c>
      <c r="D28" s="11">
        <v>398</v>
      </c>
      <c r="E28" s="11">
        <v>398</v>
      </c>
      <c r="F28" s="11">
        <v>398</v>
      </c>
      <c r="G28" s="11">
        <v>392</v>
      </c>
      <c r="H28" s="11">
        <v>398</v>
      </c>
      <c r="I28" s="11">
        <v>398</v>
      </c>
      <c r="J28" s="11">
        <v>398</v>
      </c>
      <c r="K28" s="11">
        <v>398</v>
      </c>
      <c r="L28" s="11">
        <v>398</v>
      </c>
    </row>
    <row r="29" spans="1:12" ht="14.4" hidden="1" customHeight="1" outlineLevel="2">
      <c r="B29" s="12"/>
      <c r="C29" s="84" t="s">
        <v>9</v>
      </c>
      <c r="D29" s="13">
        <v>0</v>
      </c>
      <c r="E29" s="13">
        <v>0</v>
      </c>
      <c r="F29" s="13">
        <v>0</v>
      </c>
      <c r="G29" s="13">
        <v>6</v>
      </c>
      <c r="H29" s="13">
        <v>0</v>
      </c>
      <c r="I29" s="13">
        <v>0</v>
      </c>
      <c r="J29" s="13">
        <v>0</v>
      </c>
      <c r="K29" s="13">
        <v>0</v>
      </c>
      <c r="L29" s="13">
        <v>0</v>
      </c>
    </row>
    <row r="30" spans="1:12" ht="4.95" hidden="1" customHeight="1" outlineLevel="2">
      <c r="B30" s="9"/>
      <c r="D30" s="6"/>
      <c r="E30" s="6"/>
      <c r="F30" s="6"/>
      <c r="G30" s="6"/>
      <c r="H30" s="6"/>
      <c r="I30" s="6"/>
      <c r="J30" s="6"/>
      <c r="K30" s="6"/>
      <c r="L30" s="6"/>
    </row>
    <row r="31" spans="1:12" ht="150" hidden="1" customHeight="1" outlineLevel="2">
      <c r="B31" s="19"/>
      <c r="C31" s="15"/>
      <c r="D31" s="16"/>
      <c r="E31" s="16"/>
      <c r="F31" s="16"/>
      <c r="G31" s="16"/>
      <c r="H31" s="16"/>
      <c r="I31" s="16"/>
      <c r="J31" s="16"/>
      <c r="K31" s="16"/>
      <c r="L31" s="16"/>
    </row>
    <row r="32" spans="1:12" ht="4.95" hidden="1" customHeight="1" outlineLevel="2">
      <c r="B32" s="9"/>
      <c r="D32" s="6"/>
      <c r="E32" s="6"/>
      <c r="F32" s="6"/>
      <c r="G32" s="6"/>
      <c r="H32" s="6"/>
      <c r="I32" s="6"/>
      <c r="J32" s="6"/>
      <c r="K32" s="6"/>
      <c r="L32" s="6"/>
    </row>
    <row r="33" spans="1:12" ht="19.95" customHeight="1" outlineLevel="1" collapsed="1">
      <c r="B33" s="72" t="s">
        <v>0</v>
      </c>
      <c r="C33" s="74" t="s">
        <v>49</v>
      </c>
      <c r="D33" s="6"/>
      <c r="E33" s="6"/>
      <c r="F33" s="6"/>
      <c r="G33" s="6"/>
      <c r="H33" s="6"/>
      <c r="I33" s="6"/>
      <c r="J33" s="6"/>
      <c r="K33" s="6"/>
      <c r="L33" s="6"/>
    </row>
    <row r="34" spans="1:12" ht="4.95" customHeight="1" outlineLevel="1">
      <c r="A34" s="18"/>
      <c r="B34" s="19"/>
      <c r="C34" s="20"/>
      <c r="D34" s="6"/>
      <c r="E34" s="6"/>
      <c r="F34" s="6"/>
      <c r="G34" s="6"/>
      <c r="H34" s="6"/>
      <c r="I34" s="6"/>
      <c r="J34" s="6"/>
      <c r="K34" s="6"/>
      <c r="L34" s="6"/>
    </row>
    <row r="35" spans="1:12" ht="14.4" hidden="1" customHeight="1" outlineLevel="2">
      <c r="B35" s="10"/>
      <c r="C35" s="82" t="s">
        <v>11</v>
      </c>
      <c r="D35" s="21">
        <v>23.5145728643216</v>
      </c>
      <c r="E35" s="21">
        <v>5.45477386934673</v>
      </c>
      <c r="F35" s="21">
        <v>193.42587939698399</v>
      </c>
      <c r="G35" s="21">
        <v>104.46938775510201</v>
      </c>
      <c r="H35" s="21">
        <v>2970.4246231155698</v>
      </c>
      <c r="I35" s="21">
        <v>15.5680904522613</v>
      </c>
      <c r="J35" s="21">
        <v>76.010050251256203</v>
      </c>
      <c r="K35" s="21"/>
      <c r="L35" s="21"/>
    </row>
    <row r="36" spans="1:12" ht="14.4" hidden="1" customHeight="1" outlineLevel="2">
      <c r="B36" s="12"/>
      <c r="C36" s="83" t="s">
        <v>12</v>
      </c>
      <c r="D36" s="22">
        <v>23</v>
      </c>
      <c r="E36" s="22">
        <v>4</v>
      </c>
      <c r="F36" s="22">
        <v>148.5</v>
      </c>
      <c r="G36" s="22">
        <v>93.5</v>
      </c>
      <c r="H36" s="22">
        <v>2803.5</v>
      </c>
      <c r="I36" s="22">
        <v>15.5</v>
      </c>
      <c r="J36" s="22">
        <v>76</v>
      </c>
      <c r="K36" s="22"/>
      <c r="L36" s="22"/>
    </row>
    <row r="37" spans="1:12" ht="14.4" hidden="1" customHeight="1" outlineLevel="2">
      <c r="B37" s="12"/>
      <c r="C37" s="80" t="s">
        <v>13</v>
      </c>
      <c r="D37" s="13">
        <v>13</v>
      </c>
      <c r="E37" s="13">
        <v>4</v>
      </c>
      <c r="F37" s="13">
        <v>97</v>
      </c>
      <c r="G37" s="13">
        <v>150</v>
      </c>
      <c r="H37" s="13">
        <v>1985</v>
      </c>
      <c r="I37" s="13">
        <v>14.5</v>
      </c>
      <c r="J37" s="13">
        <v>73</v>
      </c>
      <c r="K37" s="13" t="s">
        <v>69</v>
      </c>
      <c r="L37" s="13" t="s">
        <v>70</v>
      </c>
    </row>
    <row r="38" spans="1:12" ht="14.4" hidden="1" customHeight="1" outlineLevel="2">
      <c r="B38" s="12"/>
      <c r="C38" s="83" t="s">
        <v>14</v>
      </c>
      <c r="D38" s="23">
        <v>7.8159843125657797</v>
      </c>
      <c r="E38" s="23">
        <v>1.7010042445332101</v>
      </c>
      <c r="F38" s="23">
        <v>104.269838171195</v>
      </c>
      <c r="G38" s="23">
        <v>38.491159932828403</v>
      </c>
      <c r="H38" s="23">
        <v>846.841774197326</v>
      </c>
      <c r="I38" s="23">
        <v>2.7576889298126699</v>
      </c>
      <c r="J38" s="23">
        <v>3.69762664673262</v>
      </c>
      <c r="K38" s="23"/>
      <c r="L38" s="23"/>
    </row>
    <row r="39" spans="1:12" ht="14.4" hidden="1" customHeight="1" outlineLevel="2">
      <c r="B39" s="12"/>
      <c r="C39" s="84" t="s">
        <v>15</v>
      </c>
      <c r="D39" s="21">
        <v>61.089610774274398</v>
      </c>
      <c r="E39" s="21">
        <v>2.8934154399200001</v>
      </c>
      <c r="F39" s="21">
        <v>10872.1991522473</v>
      </c>
      <c r="G39" s="21">
        <v>1481.5693929745801</v>
      </c>
      <c r="H39" s="21">
        <v>717140.99052567605</v>
      </c>
      <c r="I39" s="21">
        <v>7.6048482336113796</v>
      </c>
      <c r="J39" s="21">
        <v>13.672442818627101</v>
      </c>
      <c r="K39" s="21"/>
      <c r="L39" s="21"/>
    </row>
    <row r="40" spans="1:12" ht="4.95" hidden="1" customHeight="1" outlineLevel="2">
      <c r="B40" s="9"/>
      <c r="D40" s="6"/>
      <c r="E40" s="6"/>
      <c r="F40" s="6"/>
      <c r="G40" s="6"/>
      <c r="H40" s="6"/>
      <c r="I40" s="6"/>
      <c r="J40" s="6"/>
      <c r="K40" s="6"/>
      <c r="L40" s="6"/>
    </row>
    <row r="41" spans="1:12" ht="150" hidden="1" customHeight="1" outlineLevel="2">
      <c r="A41" s="18"/>
      <c r="B41" s="19"/>
      <c r="C41" s="15"/>
      <c r="D41" s="16"/>
      <c r="E41" s="16"/>
      <c r="F41" s="16"/>
      <c r="G41" s="16"/>
      <c r="H41" s="16"/>
      <c r="I41" s="16"/>
      <c r="J41" s="16"/>
      <c r="K41" s="16"/>
      <c r="L41" s="16"/>
    </row>
    <row r="42" spans="1:12" ht="4.95" hidden="1" customHeight="1" outlineLevel="2">
      <c r="A42" s="18"/>
      <c r="B42" s="19"/>
      <c r="C42" s="24"/>
      <c r="D42" s="6"/>
      <c r="E42" s="6"/>
      <c r="F42" s="6"/>
      <c r="G42" s="6"/>
      <c r="H42" s="6"/>
      <c r="I42" s="6"/>
      <c r="J42" s="6"/>
      <c r="K42" s="6"/>
      <c r="L42" s="6"/>
    </row>
    <row r="43" spans="1:12" ht="19.95" customHeight="1" outlineLevel="1" collapsed="1">
      <c r="B43" s="72" t="s">
        <v>0</v>
      </c>
      <c r="C43" s="74" t="s">
        <v>48</v>
      </c>
      <c r="D43" s="6"/>
      <c r="E43" s="6"/>
      <c r="F43" s="6"/>
      <c r="G43" s="6"/>
      <c r="H43" s="6"/>
      <c r="I43" s="6"/>
      <c r="J43" s="6"/>
      <c r="K43" s="6"/>
      <c r="L43" s="6"/>
    </row>
    <row r="44" spans="1:12" ht="4.95" customHeight="1" outlineLevel="1">
      <c r="A44" s="18"/>
      <c r="B44" s="19"/>
      <c r="C44" s="20"/>
      <c r="D44" s="6"/>
      <c r="E44" s="6"/>
      <c r="F44" s="6"/>
      <c r="G44" s="6"/>
      <c r="H44" s="6"/>
      <c r="I44" s="6"/>
      <c r="J44" s="6"/>
      <c r="K44" s="6"/>
      <c r="L44" s="6"/>
    </row>
    <row r="45" spans="1:12" ht="14.4" hidden="1" customHeight="1" outlineLevel="2">
      <c r="B45" s="10"/>
      <c r="C45" s="77" t="s">
        <v>16</v>
      </c>
      <c r="D45" s="23">
        <v>9</v>
      </c>
      <c r="E45" s="23">
        <v>3</v>
      </c>
      <c r="F45" s="23">
        <v>68</v>
      </c>
      <c r="G45" s="23">
        <v>46</v>
      </c>
      <c r="H45" s="23">
        <v>1613</v>
      </c>
      <c r="I45" s="23">
        <v>8</v>
      </c>
      <c r="J45" s="23">
        <v>70</v>
      </c>
      <c r="K45" s="23"/>
      <c r="L45" s="23"/>
    </row>
    <row r="46" spans="1:12" ht="14.4" hidden="1" customHeight="1" outlineLevel="2">
      <c r="B46" s="9"/>
      <c r="C46" s="78">
        <v>0.05</v>
      </c>
      <c r="D46" s="21">
        <v>13</v>
      </c>
      <c r="E46" s="21">
        <v>4</v>
      </c>
      <c r="F46" s="21">
        <v>85</v>
      </c>
      <c r="G46" s="21">
        <v>60.55</v>
      </c>
      <c r="H46" s="21">
        <v>1923.5</v>
      </c>
      <c r="I46" s="21">
        <v>11.285</v>
      </c>
      <c r="J46" s="21">
        <v>70</v>
      </c>
      <c r="K46" s="21"/>
      <c r="L46" s="21"/>
    </row>
    <row r="47" spans="1:12" ht="14.4" hidden="1" customHeight="1" outlineLevel="2">
      <c r="B47" s="9"/>
      <c r="C47" s="79">
        <v>0.25</v>
      </c>
      <c r="D47" s="23">
        <v>17.5</v>
      </c>
      <c r="E47" s="23">
        <v>4</v>
      </c>
      <c r="F47" s="23">
        <v>104.25</v>
      </c>
      <c r="G47" s="23">
        <v>75</v>
      </c>
      <c r="H47" s="23">
        <v>2223.75</v>
      </c>
      <c r="I47" s="23">
        <v>13.824999999999999</v>
      </c>
      <c r="J47" s="23">
        <v>73</v>
      </c>
      <c r="K47" s="23"/>
      <c r="L47" s="23"/>
    </row>
    <row r="48" spans="1:12" ht="14.4" hidden="1" customHeight="1" outlineLevel="2">
      <c r="B48" s="9"/>
      <c r="C48" s="78">
        <v>0.5</v>
      </c>
      <c r="D48" s="21">
        <v>23</v>
      </c>
      <c r="E48" s="21">
        <v>4</v>
      </c>
      <c r="F48" s="21">
        <v>148.5</v>
      </c>
      <c r="G48" s="21">
        <v>93.5</v>
      </c>
      <c r="H48" s="21">
        <v>2803.5</v>
      </c>
      <c r="I48" s="21">
        <v>15.5</v>
      </c>
      <c r="J48" s="21">
        <v>76</v>
      </c>
      <c r="K48" s="21"/>
      <c r="L48" s="21"/>
    </row>
    <row r="49" spans="1:12" ht="14.4" hidden="1" customHeight="1" outlineLevel="2">
      <c r="B49" s="9"/>
      <c r="C49" s="79">
        <v>0.75</v>
      </c>
      <c r="D49" s="23">
        <v>29</v>
      </c>
      <c r="E49" s="23">
        <v>8</v>
      </c>
      <c r="F49" s="23">
        <v>262</v>
      </c>
      <c r="G49" s="23">
        <v>126</v>
      </c>
      <c r="H49" s="23">
        <v>3608</v>
      </c>
      <c r="I49" s="23">
        <v>17.175000000000001</v>
      </c>
      <c r="J49" s="23">
        <v>79</v>
      </c>
      <c r="K49" s="23"/>
      <c r="L49" s="23"/>
    </row>
    <row r="50" spans="1:12" ht="14.4" hidden="1" customHeight="1" outlineLevel="2">
      <c r="B50" s="9"/>
      <c r="C50" s="78">
        <v>0.95</v>
      </c>
      <c r="D50" s="21">
        <v>37.029999999999902</v>
      </c>
      <c r="E50" s="21">
        <v>8</v>
      </c>
      <c r="F50" s="21">
        <v>400</v>
      </c>
      <c r="G50" s="21">
        <v>180</v>
      </c>
      <c r="H50" s="21">
        <v>4464</v>
      </c>
      <c r="I50" s="21">
        <v>20.4149999999999</v>
      </c>
      <c r="J50" s="21">
        <v>82</v>
      </c>
      <c r="K50" s="21"/>
      <c r="L50" s="21"/>
    </row>
    <row r="51" spans="1:12" ht="14.4" hidden="1" customHeight="1" outlineLevel="2">
      <c r="B51" s="9"/>
      <c r="C51" s="79" t="s">
        <v>17</v>
      </c>
      <c r="D51" s="23">
        <v>46.6</v>
      </c>
      <c r="E51" s="23">
        <v>8</v>
      </c>
      <c r="F51" s="23">
        <v>455</v>
      </c>
      <c r="G51" s="23">
        <v>230</v>
      </c>
      <c r="H51" s="23">
        <v>5140</v>
      </c>
      <c r="I51" s="23">
        <v>24.8</v>
      </c>
      <c r="J51" s="23">
        <v>82</v>
      </c>
      <c r="K51" s="23"/>
      <c r="L51" s="23"/>
    </row>
    <row r="52" spans="1:12" ht="14.4" hidden="1" customHeight="1" outlineLevel="2">
      <c r="B52" s="9"/>
      <c r="C52" s="80" t="s">
        <v>18</v>
      </c>
      <c r="D52" s="21">
        <v>37.6</v>
      </c>
      <c r="E52" s="21">
        <v>5</v>
      </c>
      <c r="F52" s="21">
        <v>387</v>
      </c>
      <c r="G52" s="21">
        <v>184</v>
      </c>
      <c r="H52" s="21">
        <v>3527</v>
      </c>
      <c r="I52" s="21">
        <v>16.8</v>
      </c>
      <c r="J52" s="21">
        <v>12</v>
      </c>
      <c r="K52" s="21"/>
      <c r="L52" s="21"/>
    </row>
    <row r="53" spans="1:12" ht="14.4" hidden="1" customHeight="1" outlineLevel="2">
      <c r="B53" s="9"/>
      <c r="C53" s="81" t="s">
        <v>19</v>
      </c>
      <c r="D53" s="23">
        <v>11.5</v>
      </c>
      <c r="E53" s="23">
        <v>4</v>
      </c>
      <c r="F53" s="23">
        <v>157.75</v>
      </c>
      <c r="G53" s="23">
        <v>51</v>
      </c>
      <c r="H53" s="23">
        <v>1384.25</v>
      </c>
      <c r="I53" s="23">
        <v>3.3499999999999899</v>
      </c>
      <c r="J53" s="23">
        <v>6</v>
      </c>
      <c r="K53" s="23"/>
      <c r="L53" s="23"/>
    </row>
    <row r="54" spans="1:12" ht="4.95" hidden="1" customHeight="1" outlineLevel="2">
      <c r="B54" s="9"/>
      <c r="D54" s="6"/>
      <c r="E54" s="6"/>
      <c r="F54" s="6"/>
      <c r="G54" s="6"/>
      <c r="H54" s="6"/>
      <c r="I54" s="6"/>
      <c r="J54" s="6"/>
      <c r="K54" s="6"/>
      <c r="L54" s="6"/>
    </row>
    <row r="55" spans="1:12" ht="19.95" customHeight="1" outlineLevel="1" collapsed="1">
      <c r="A55" s="28"/>
      <c r="B55" s="72" t="s">
        <v>0</v>
      </c>
      <c r="C55" s="74" t="s">
        <v>47</v>
      </c>
      <c r="D55" s="6"/>
      <c r="E55" s="6"/>
      <c r="F55" s="6"/>
      <c r="G55" s="6"/>
      <c r="H55" s="6"/>
      <c r="I55" s="6"/>
      <c r="J55" s="6"/>
      <c r="K55" s="6"/>
      <c r="L55" s="6"/>
    </row>
    <row r="56" spans="1:12" ht="4.95" customHeight="1" outlineLevel="1">
      <c r="A56" s="28"/>
      <c r="B56" s="19"/>
      <c r="D56" s="6"/>
      <c r="E56" s="6"/>
      <c r="F56" s="6"/>
      <c r="G56" s="6"/>
      <c r="H56" s="6"/>
      <c r="I56" s="6"/>
      <c r="J56" s="6"/>
      <c r="K56" s="6"/>
      <c r="L56" s="6"/>
    </row>
    <row r="57" spans="1:12" ht="14.4" hidden="1" customHeight="1" outlineLevel="2">
      <c r="A57" s="28"/>
      <c r="B57" s="28"/>
      <c r="C57" s="75" t="s">
        <v>39</v>
      </c>
      <c r="D57" s="56" t="b">
        <v>0</v>
      </c>
      <c r="E57" s="56" t="b">
        <v>0</v>
      </c>
      <c r="F57" s="56" t="b">
        <v>0</v>
      </c>
      <c r="G57" s="56" t="b">
        <v>0</v>
      </c>
      <c r="H57" s="56" t="b">
        <v>0</v>
      </c>
      <c r="I57" s="56" t="b">
        <v>0</v>
      </c>
      <c r="J57" s="56" t="b">
        <v>0</v>
      </c>
      <c r="K57" s="56" t="b">
        <v>0</v>
      </c>
      <c r="L57" s="56" t="b">
        <v>0</v>
      </c>
    </row>
    <row r="58" spans="1:12" ht="14.4" hidden="1" customHeight="1" outlineLevel="2">
      <c r="A58" s="28"/>
      <c r="B58" s="28"/>
      <c r="C58" s="75" t="s">
        <v>40</v>
      </c>
      <c r="D58" s="56" t="b">
        <v>0</v>
      </c>
      <c r="E58" s="56" t="b">
        <v>0</v>
      </c>
      <c r="F58" s="56" t="b">
        <v>0</v>
      </c>
      <c r="G58" s="56" t="b">
        <v>0</v>
      </c>
      <c r="H58" s="56" t="b">
        <v>0</v>
      </c>
      <c r="I58" s="56" t="b">
        <v>0</v>
      </c>
      <c r="J58" s="56" t="b">
        <v>0</v>
      </c>
      <c r="K58" s="56" t="b">
        <v>0</v>
      </c>
      <c r="L58" s="56" t="b">
        <v>0</v>
      </c>
    </row>
    <row r="59" spans="1:12" ht="14.4" hidden="1" customHeight="1" outlineLevel="2">
      <c r="A59" s="28"/>
      <c r="B59" s="28"/>
      <c r="C59" s="75" t="s">
        <v>41</v>
      </c>
      <c r="D59" s="56" t="b">
        <v>0</v>
      </c>
      <c r="E59" s="56" t="b">
        <v>0</v>
      </c>
      <c r="F59" s="56" t="b">
        <v>0</v>
      </c>
      <c r="G59" s="56" t="b">
        <v>0</v>
      </c>
      <c r="H59" s="56" t="b">
        <v>0</v>
      </c>
      <c r="I59" s="56" t="b">
        <v>0</v>
      </c>
      <c r="J59" s="56" t="b">
        <v>0</v>
      </c>
      <c r="K59" s="56" t="b">
        <v>0</v>
      </c>
      <c r="L59" s="56" t="b">
        <v>0</v>
      </c>
    </row>
    <row r="60" spans="1:12" ht="14.4" hidden="1" customHeight="1" outlineLevel="2">
      <c r="A60" s="28"/>
      <c r="B60" s="28"/>
      <c r="C60" s="75" t="s">
        <v>42</v>
      </c>
      <c r="D60" s="56" t="b">
        <v>0</v>
      </c>
      <c r="E60" s="56" t="b">
        <v>0</v>
      </c>
      <c r="F60" s="56" t="b">
        <v>0</v>
      </c>
      <c r="G60" s="56" t="b">
        <v>0</v>
      </c>
      <c r="H60" s="56" t="b">
        <v>0</v>
      </c>
      <c r="I60" s="56" t="b">
        <v>0</v>
      </c>
      <c r="J60" s="56" t="b">
        <v>0</v>
      </c>
      <c r="K60" s="56" t="b">
        <v>0</v>
      </c>
      <c r="L60" s="56" t="b">
        <v>0</v>
      </c>
    </row>
    <row r="61" spans="1:12" ht="14.4" hidden="1" customHeight="1" outlineLevel="2">
      <c r="A61" s="28"/>
      <c r="B61" s="28"/>
      <c r="C61" s="75" t="s">
        <v>43</v>
      </c>
      <c r="D61" s="56" t="b">
        <v>0</v>
      </c>
      <c r="E61" s="56" t="b">
        <v>0</v>
      </c>
      <c r="F61" s="56" t="b">
        <v>0</v>
      </c>
      <c r="G61" s="56" t="b">
        <v>0</v>
      </c>
      <c r="H61" s="56" t="b">
        <v>0</v>
      </c>
      <c r="I61" s="56" t="b">
        <v>0</v>
      </c>
      <c r="J61" s="56" t="b">
        <v>0</v>
      </c>
      <c r="K61" s="56" t="b">
        <v>0</v>
      </c>
      <c r="L61" s="56" t="b">
        <v>0</v>
      </c>
    </row>
    <row r="62" spans="1:12" ht="14.4" hidden="1" customHeight="1" outlineLevel="2">
      <c r="A62" s="28"/>
      <c r="B62" s="28"/>
      <c r="C62" s="75" t="s">
        <v>44</v>
      </c>
      <c r="D62" s="56" t="b">
        <v>0</v>
      </c>
      <c r="E62" s="56" t="b">
        <v>0</v>
      </c>
      <c r="F62" s="56" t="b">
        <v>0</v>
      </c>
      <c r="G62" s="56" t="b">
        <v>0</v>
      </c>
      <c r="H62" s="56" t="b">
        <v>0</v>
      </c>
      <c r="I62" s="56" t="b">
        <v>0</v>
      </c>
      <c r="J62" s="56" t="b">
        <v>0</v>
      </c>
      <c r="K62" s="56" t="b">
        <v>0</v>
      </c>
      <c r="L62" s="56" t="b">
        <v>0</v>
      </c>
    </row>
    <row r="63" spans="1:12" ht="14.4" hidden="1" customHeight="1" outlineLevel="2">
      <c r="A63" s="28"/>
      <c r="B63" s="28"/>
      <c r="C63" s="75" t="s">
        <v>21</v>
      </c>
      <c r="D63" s="56" t="b">
        <v>0</v>
      </c>
      <c r="E63" s="56" t="b">
        <v>0</v>
      </c>
      <c r="F63" s="56" t="b">
        <v>0</v>
      </c>
      <c r="G63" s="56" t="b">
        <v>0</v>
      </c>
      <c r="H63" s="56" t="b">
        <v>0</v>
      </c>
      <c r="I63" s="56" t="b">
        <v>0</v>
      </c>
      <c r="J63" s="56" t="b">
        <v>0</v>
      </c>
      <c r="K63" s="56" t="b">
        <v>0</v>
      </c>
      <c r="L63" s="56" t="b">
        <v>0</v>
      </c>
    </row>
    <row r="64" spans="1:12" ht="14.4" hidden="1" customHeight="1" outlineLevel="2">
      <c r="B64" s="28"/>
      <c r="C64" s="76" t="s">
        <v>22</v>
      </c>
      <c r="D64" s="56" t="b">
        <v>0</v>
      </c>
      <c r="E64" s="56" t="b">
        <v>0</v>
      </c>
      <c r="F64" s="56" t="b">
        <v>0</v>
      </c>
      <c r="G64" s="56" t="b">
        <v>0</v>
      </c>
      <c r="H64" s="56" t="b">
        <v>0</v>
      </c>
      <c r="I64" s="56" t="b">
        <v>0</v>
      </c>
      <c r="J64" s="56" t="b">
        <v>0</v>
      </c>
      <c r="K64" s="56" t="b">
        <v>0</v>
      </c>
      <c r="L64" s="56" t="b">
        <v>0</v>
      </c>
    </row>
    <row r="65" spans="1:14" ht="4.95" hidden="1" customHeight="1" outlineLevel="2">
      <c r="B65" s="19"/>
      <c r="D65" s="6"/>
      <c r="E65" s="6"/>
      <c r="F65" s="6"/>
      <c r="G65" s="6"/>
      <c r="H65" s="6"/>
      <c r="I65" s="6"/>
      <c r="J65" s="6"/>
      <c r="K65" s="6"/>
      <c r="L65" s="6"/>
    </row>
    <row r="66" spans="1:14" ht="19.95" customHeight="1" outlineLevel="1" collapsed="1">
      <c r="A66" s="28"/>
      <c r="B66" s="72" t="s">
        <v>0</v>
      </c>
      <c r="C66" s="74" t="s">
        <v>46</v>
      </c>
      <c r="D66" s="6"/>
      <c r="E66" s="6"/>
      <c r="F66" s="6"/>
      <c r="G66" s="6"/>
      <c r="H66" s="6"/>
      <c r="I66" s="6"/>
      <c r="J66" s="6"/>
      <c r="K66" s="6"/>
      <c r="L66" s="6"/>
    </row>
    <row r="67" spans="1:14" ht="4.95" customHeight="1">
      <c r="A67" s="28"/>
      <c r="B67" s="7"/>
      <c r="C67" s="8"/>
      <c r="D67" s="6"/>
      <c r="E67" s="6"/>
      <c r="F67" s="6"/>
      <c r="G67" s="6"/>
      <c r="H67" s="6"/>
      <c r="I67" s="6"/>
      <c r="J67" s="6"/>
      <c r="K67" s="6"/>
      <c r="L67" s="6"/>
    </row>
    <row r="68" spans="1:14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14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14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14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14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14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14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14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14" ht="14.4" hidden="1" customHeight="1" outlineLevel="2">
      <c r="B76" s="104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4" ht="4.95" hidden="1" customHeight="1" outlineLevel="2">
      <c r="B77" s="19"/>
      <c r="C77" s="25"/>
      <c r="D77" s="26"/>
      <c r="E77" s="26"/>
      <c r="F77" s="26"/>
      <c r="G77" s="26"/>
      <c r="H77" s="26"/>
      <c r="I77" s="26"/>
      <c r="J77" s="26"/>
      <c r="K77" s="26"/>
      <c r="L77" s="26"/>
    </row>
    <row r="78" spans="1:14" ht="30" customHeight="1" collapsed="1">
      <c r="C78" s="120" t="s">
        <v>20</v>
      </c>
      <c r="D78" s="27" t="s">
        <v>55</v>
      </c>
      <c r="E78" s="27" t="s">
        <v>56</v>
      </c>
      <c r="F78" s="27" t="s">
        <v>57</v>
      </c>
      <c r="G78" s="27" t="s">
        <v>58</v>
      </c>
      <c r="H78" s="27" t="s">
        <v>59</v>
      </c>
      <c r="I78" s="27" t="s">
        <v>60</v>
      </c>
      <c r="J78" s="27" t="s">
        <v>61</v>
      </c>
      <c r="K78" s="27" t="s">
        <v>62</v>
      </c>
      <c r="L78" s="27" t="s">
        <v>63</v>
      </c>
      <c r="M78" s="120" t="s">
        <v>54</v>
      </c>
      <c r="N78" s="120" t="s">
        <v>64</v>
      </c>
    </row>
    <row r="79" spans="1:14">
      <c r="C79" s="29" t="b">
        <v>0</v>
      </c>
      <c r="D79" s="30">
        <v>18</v>
      </c>
      <c r="E79" s="30">
        <v>8</v>
      </c>
      <c r="F79" s="30">
        <v>307</v>
      </c>
      <c r="G79" s="30">
        <v>130</v>
      </c>
      <c r="H79" s="30">
        <v>3504</v>
      </c>
      <c r="I79" s="30">
        <v>12</v>
      </c>
      <c r="J79" s="30">
        <v>70</v>
      </c>
      <c r="K79" s="30" t="s">
        <v>69</v>
      </c>
      <c r="L79" s="30" t="s">
        <v>71</v>
      </c>
      <c r="M79" s="58">
        <v>0</v>
      </c>
      <c r="N79" s="58">
        <v>8.4248097103370998E+18</v>
      </c>
    </row>
    <row r="80" spans="1:14">
      <c r="C80" s="29" t="b">
        <v>0</v>
      </c>
      <c r="D80" s="30">
        <v>15</v>
      </c>
      <c r="E80" s="30">
        <v>8</v>
      </c>
      <c r="F80" s="30">
        <v>350</v>
      </c>
      <c r="G80" s="30">
        <v>165</v>
      </c>
      <c r="H80" s="30">
        <v>3693</v>
      </c>
      <c r="I80" s="30">
        <v>11.5</v>
      </c>
      <c r="J80" s="30">
        <v>70</v>
      </c>
      <c r="K80" s="30" t="s">
        <v>69</v>
      </c>
      <c r="L80" s="30" t="s">
        <v>72</v>
      </c>
      <c r="M80" s="58">
        <v>0</v>
      </c>
      <c r="N80" s="58">
        <v>2.10198990942814E+18</v>
      </c>
    </row>
    <row r="81" spans="3:14">
      <c r="C81" s="29" t="b">
        <v>0</v>
      </c>
      <c r="D81" s="30">
        <v>18</v>
      </c>
      <c r="E81" s="137">
        <v>8</v>
      </c>
      <c r="F81" s="30">
        <v>318</v>
      </c>
      <c r="G81" s="30">
        <v>150</v>
      </c>
      <c r="H81" s="30">
        <v>3436</v>
      </c>
      <c r="I81" s="30">
        <v>11</v>
      </c>
      <c r="J81" s="30">
        <v>70</v>
      </c>
      <c r="K81" s="30" t="s">
        <v>69</v>
      </c>
      <c r="L81" s="30" t="s">
        <v>73</v>
      </c>
      <c r="M81" s="58">
        <v>0</v>
      </c>
      <c r="N81" s="58">
        <v>6.2755333812898396E+18</v>
      </c>
    </row>
    <row r="82" spans="3:14">
      <c r="C82" s="29" t="b">
        <v>0</v>
      </c>
      <c r="D82" s="30">
        <v>16</v>
      </c>
      <c r="E82" s="137">
        <v>8</v>
      </c>
      <c r="F82" s="30">
        <v>304</v>
      </c>
      <c r="G82" s="30">
        <v>150</v>
      </c>
      <c r="H82" s="30">
        <v>3433</v>
      </c>
      <c r="I82" s="30">
        <v>12</v>
      </c>
      <c r="J82" s="30">
        <v>70</v>
      </c>
      <c r="K82" s="30" t="s">
        <v>69</v>
      </c>
      <c r="L82" s="30" t="s">
        <v>74</v>
      </c>
      <c r="M82" s="58">
        <v>0</v>
      </c>
      <c r="N82" s="58">
        <v>1.35221845387619E+19</v>
      </c>
    </row>
    <row r="83" spans="3:14">
      <c r="C83" s="29" t="b">
        <v>0</v>
      </c>
      <c r="D83" s="30">
        <v>17</v>
      </c>
      <c r="E83" s="137">
        <v>8</v>
      </c>
      <c r="F83" s="30">
        <v>302</v>
      </c>
      <c r="G83" s="30">
        <v>140</v>
      </c>
      <c r="H83" s="30">
        <v>3449</v>
      </c>
      <c r="I83" s="30">
        <v>10.5</v>
      </c>
      <c r="J83" s="30">
        <v>70</v>
      </c>
      <c r="K83" s="30" t="s">
        <v>69</v>
      </c>
      <c r="L83" s="30" t="s">
        <v>75</v>
      </c>
      <c r="M83" s="58">
        <v>0</v>
      </c>
      <c r="N83" s="58">
        <v>1.1188445182320501E+19</v>
      </c>
    </row>
    <row r="84" spans="3:14">
      <c r="C84" s="29" t="b">
        <v>0</v>
      </c>
      <c r="D84" s="30">
        <v>15</v>
      </c>
      <c r="E84" s="137">
        <v>8</v>
      </c>
      <c r="F84" s="30">
        <v>429</v>
      </c>
      <c r="G84" s="30">
        <v>198</v>
      </c>
      <c r="H84" s="30">
        <v>4341</v>
      </c>
      <c r="I84" s="30">
        <v>10</v>
      </c>
      <c r="J84" s="30">
        <v>70</v>
      </c>
      <c r="K84" s="30" t="s">
        <v>69</v>
      </c>
      <c r="L84" s="30" t="s">
        <v>76</v>
      </c>
      <c r="M84" s="58">
        <v>0</v>
      </c>
      <c r="N84" s="58">
        <v>6.0824012230181601E+18</v>
      </c>
    </row>
    <row r="85" spans="3:14">
      <c r="C85" s="29" t="b">
        <v>0</v>
      </c>
      <c r="D85" s="30">
        <v>14</v>
      </c>
      <c r="E85" s="137">
        <v>8</v>
      </c>
      <c r="F85" s="30">
        <v>454</v>
      </c>
      <c r="G85" s="30">
        <v>220</v>
      </c>
      <c r="H85" s="30">
        <v>4354</v>
      </c>
      <c r="I85" s="30">
        <v>9</v>
      </c>
      <c r="J85" s="30">
        <v>70</v>
      </c>
      <c r="K85" s="30" t="s">
        <v>69</v>
      </c>
      <c r="L85" s="30" t="s">
        <v>77</v>
      </c>
      <c r="M85" s="58">
        <v>0</v>
      </c>
      <c r="N85" s="58">
        <v>4.4712479514802601E+18</v>
      </c>
    </row>
    <row r="86" spans="3:14">
      <c r="C86" s="29" t="b">
        <v>0</v>
      </c>
      <c r="D86" s="30">
        <v>14</v>
      </c>
      <c r="E86" s="137">
        <v>8</v>
      </c>
      <c r="F86" s="30">
        <v>440</v>
      </c>
      <c r="G86" s="30">
        <v>215</v>
      </c>
      <c r="H86" s="30">
        <v>4312</v>
      </c>
      <c r="I86" s="30">
        <v>8.5</v>
      </c>
      <c r="J86" s="30">
        <v>70</v>
      </c>
      <c r="K86" s="30" t="s">
        <v>69</v>
      </c>
      <c r="L86" s="30" t="s">
        <v>78</v>
      </c>
      <c r="M86" s="58">
        <v>0</v>
      </c>
      <c r="N86" s="58">
        <v>7.3649658198283397E+18</v>
      </c>
    </row>
    <row r="87" spans="3:14">
      <c r="C87" s="29" t="b">
        <v>0</v>
      </c>
      <c r="D87" s="30">
        <v>14</v>
      </c>
      <c r="E87" s="137">
        <v>8</v>
      </c>
      <c r="F87" s="30">
        <v>455</v>
      </c>
      <c r="G87" s="30">
        <v>225</v>
      </c>
      <c r="H87" s="30">
        <v>4425</v>
      </c>
      <c r="I87" s="30">
        <v>10</v>
      </c>
      <c r="J87" s="30">
        <v>70</v>
      </c>
      <c r="K87" s="30" t="s">
        <v>69</v>
      </c>
      <c r="L87" s="30" t="s">
        <v>79</v>
      </c>
      <c r="M87" s="58">
        <v>0</v>
      </c>
      <c r="N87" s="58">
        <v>1.40704921538798E+19</v>
      </c>
    </row>
    <row r="88" spans="3:14">
      <c r="C88" s="29" t="b">
        <v>0</v>
      </c>
      <c r="D88" s="30">
        <v>15</v>
      </c>
      <c r="E88" s="137">
        <v>8</v>
      </c>
      <c r="F88" s="30">
        <v>390</v>
      </c>
      <c r="G88" s="30">
        <v>190</v>
      </c>
      <c r="H88" s="30">
        <v>3850</v>
      </c>
      <c r="I88" s="30">
        <v>8.5</v>
      </c>
      <c r="J88" s="30">
        <v>70</v>
      </c>
      <c r="K88" s="30" t="s">
        <v>69</v>
      </c>
      <c r="L88" s="30" t="s">
        <v>80</v>
      </c>
      <c r="M88" s="58">
        <v>0</v>
      </c>
      <c r="N88" s="58">
        <v>1.45952863663329E+18</v>
      </c>
    </row>
    <row r="89" spans="3:14">
      <c r="C89" s="29" t="b">
        <v>0</v>
      </c>
      <c r="D89" s="30">
        <v>15</v>
      </c>
      <c r="E89" s="137">
        <v>8</v>
      </c>
      <c r="F89" s="30">
        <v>383</v>
      </c>
      <c r="G89" s="30">
        <v>170</v>
      </c>
      <c r="H89" s="30">
        <v>3563</v>
      </c>
      <c r="I89" s="30">
        <v>10</v>
      </c>
      <c r="J89" s="30">
        <v>70</v>
      </c>
      <c r="K89" s="30" t="s">
        <v>69</v>
      </c>
      <c r="L89" s="30" t="s">
        <v>81</v>
      </c>
      <c r="M89" s="58">
        <v>0</v>
      </c>
      <c r="N89" s="58">
        <v>5.8643600446436403E+18</v>
      </c>
    </row>
    <row r="90" spans="3:14">
      <c r="C90" s="29" t="b">
        <v>0</v>
      </c>
      <c r="D90" s="30">
        <v>14</v>
      </c>
      <c r="E90" s="137">
        <v>8</v>
      </c>
      <c r="F90" s="30">
        <v>340</v>
      </c>
      <c r="G90" s="30">
        <v>160</v>
      </c>
      <c r="H90" s="30">
        <v>3609</v>
      </c>
      <c r="I90" s="30">
        <v>8</v>
      </c>
      <c r="J90" s="30">
        <v>70</v>
      </c>
      <c r="K90" s="30" t="s">
        <v>69</v>
      </c>
      <c r="L90" s="30" t="s">
        <v>82</v>
      </c>
      <c r="M90" s="58">
        <v>0</v>
      </c>
      <c r="N90" s="58">
        <v>1.43934949984228E+19</v>
      </c>
    </row>
    <row r="91" spans="3:14">
      <c r="C91" s="29" t="b">
        <v>0</v>
      </c>
      <c r="D91" s="30">
        <v>15</v>
      </c>
      <c r="E91" s="137">
        <v>8</v>
      </c>
      <c r="F91" s="30">
        <v>400</v>
      </c>
      <c r="G91" s="30">
        <v>150</v>
      </c>
      <c r="H91" s="30">
        <v>3761</v>
      </c>
      <c r="I91" s="30">
        <v>9.5</v>
      </c>
      <c r="J91" s="30">
        <v>70</v>
      </c>
      <c r="K91" s="30" t="s">
        <v>69</v>
      </c>
      <c r="L91" s="30" t="s">
        <v>83</v>
      </c>
      <c r="M91" s="58">
        <v>0</v>
      </c>
      <c r="N91" s="58">
        <v>1.49030430669213E+19</v>
      </c>
    </row>
    <row r="92" spans="3:14">
      <c r="C92" s="29" t="b">
        <v>0</v>
      </c>
      <c r="D92" s="30">
        <v>14</v>
      </c>
      <c r="E92" s="137">
        <v>8</v>
      </c>
      <c r="F92" s="30">
        <v>455</v>
      </c>
      <c r="G92" s="30">
        <v>225</v>
      </c>
      <c r="H92" s="30">
        <v>3086</v>
      </c>
      <c r="I92" s="30">
        <v>10</v>
      </c>
      <c r="J92" s="30">
        <v>70</v>
      </c>
      <c r="K92" s="30" t="s">
        <v>69</v>
      </c>
      <c r="L92" s="30" t="s">
        <v>84</v>
      </c>
      <c r="M92" s="58">
        <v>0</v>
      </c>
      <c r="N92" s="58">
        <v>6.6556173055442002E+18</v>
      </c>
    </row>
    <row r="93" spans="3:14">
      <c r="C93" s="29" t="b">
        <v>0</v>
      </c>
      <c r="D93" s="30">
        <v>24</v>
      </c>
      <c r="E93" s="137">
        <v>4</v>
      </c>
      <c r="F93" s="30">
        <v>113</v>
      </c>
      <c r="G93" s="30">
        <v>95</v>
      </c>
      <c r="H93" s="30">
        <v>2372</v>
      </c>
      <c r="I93" s="30">
        <v>15</v>
      </c>
      <c r="J93" s="30">
        <v>70</v>
      </c>
      <c r="K93" s="30" t="s">
        <v>85</v>
      </c>
      <c r="L93" s="30" t="s">
        <v>86</v>
      </c>
      <c r="M93" s="58">
        <v>0</v>
      </c>
      <c r="N93" s="58">
        <v>1.0392147893042E+19</v>
      </c>
    </row>
    <row r="94" spans="3:14">
      <c r="C94" s="29" t="b">
        <v>0</v>
      </c>
      <c r="D94" s="30">
        <v>22</v>
      </c>
      <c r="E94" s="137">
        <v>6</v>
      </c>
      <c r="F94" s="30">
        <v>198</v>
      </c>
      <c r="G94" s="30">
        <v>95</v>
      </c>
      <c r="H94" s="30">
        <v>2833</v>
      </c>
      <c r="I94" s="30">
        <v>15.5</v>
      </c>
      <c r="J94" s="30">
        <v>70</v>
      </c>
      <c r="K94" s="30" t="s">
        <v>69</v>
      </c>
      <c r="L94" s="30" t="s">
        <v>87</v>
      </c>
      <c r="M94" s="58">
        <v>0</v>
      </c>
      <c r="N94" s="58">
        <v>2.78255329549363E+18</v>
      </c>
    </row>
    <row r="95" spans="3:14">
      <c r="C95" s="29" t="b">
        <v>0</v>
      </c>
      <c r="D95" s="30">
        <v>18</v>
      </c>
      <c r="E95" s="137">
        <v>6</v>
      </c>
      <c r="F95" s="30">
        <v>199</v>
      </c>
      <c r="G95" s="30">
        <v>97</v>
      </c>
      <c r="H95" s="30">
        <v>2774</v>
      </c>
      <c r="I95" s="30">
        <v>15.5</v>
      </c>
      <c r="J95" s="30">
        <v>70</v>
      </c>
      <c r="K95" s="30" t="s">
        <v>69</v>
      </c>
      <c r="L95" s="30" t="s">
        <v>88</v>
      </c>
      <c r="M95" s="58">
        <v>0</v>
      </c>
      <c r="N95" s="58">
        <v>3.9147425929085798E+18</v>
      </c>
    </row>
    <row r="96" spans="3:14">
      <c r="C96" s="29" t="b">
        <v>0</v>
      </c>
      <c r="D96" s="30">
        <v>21</v>
      </c>
      <c r="E96" s="137">
        <v>6</v>
      </c>
      <c r="F96" s="30">
        <v>200</v>
      </c>
      <c r="G96" s="30">
        <v>85</v>
      </c>
      <c r="H96" s="30">
        <v>2587</v>
      </c>
      <c r="I96" s="30">
        <v>16</v>
      </c>
      <c r="J96" s="30">
        <v>70</v>
      </c>
      <c r="K96" s="30" t="s">
        <v>69</v>
      </c>
      <c r="L96" s="30" t="s">
        <v>89</v>
      </c>
      <c r="M96" s="58">
        <v>0</v>
      </c>
      <c r="N96" s="58">
        <v>6.4323197693275003E+18</v>
      </c>
    </row>
    <row r="97" spans="3:14">
      <c r="C97" s="29" t="b">
        <v>0</v>
      </c>
      <c r="D97" s="30">
        <v>27</v>
      </c>
      <c r="E97" s="137">
        <v>4</v>
      </c>
      <c r="F97" s="30">
        <v>97</v>
      </c>
      <c r="G97" s="30">
        <v>88</v>
      </c>
      <c r="H97" s="30">
        <v>2130</v>
      </c>
      <c r="I97" s="30">
        <v>14.5</v>
      </c>
      <c r="J97" s="30">
        <v>70</v>
      </c>
      <c r="K97" s="30" t="s">
        <v>85</v>
      </c>
      <c r="L97" s="30" t="s">
        <v>90</v>
      </c>
      <c r="M97" s="58">
        <v>0</v>
      </c>
      <c r="N97" s="58">
        <v>1.00140037705559E+19</v>
      </c>
    </row>
    <row r="98" spans="3:14">
      <c r="C98" s="29" t="b">
        <v>0</v>
      </c>
      <c r="D98" s="30">
        <v>26</v>
      </c>
      <c r="E98" s="137">
        <v>4</v>
      </c>
      <c r="F98" s="30">
        <v>97</v>
      </c>
      <c r="G98" s="30">
        <v>46</v>
      </c>
      <c r="H98" s="30">
        <v>1835</v>
      </c>
      <c r="I98" s="30">
        <v>20.5</v>
      </c>
      <c r="J98" s="30">
        <v>70</v>
      </c>
      <c r="K98" s="30" t="s">
        <v>91</v>
      </c>
      <c r="L98" s="30" t="s">
        <v>92</v>
      </c>
      <c r="M98" s="58">
        <v>0</v>
      </c>
      <c r="N98" s="58">
        <v>5.0027793061062001E+18</v>
      </c>
    </row>
    <row r="99" spans="3:14">
      <c r="C99" s="29" t="b">
        <v>0</v>
      </c>
      <c r="D99" s="30">
        <v>25</v>
      </c>
      <c r="E99" s="137">
        <v>4</v>
      </c>
      <c r="F99" s="30">
        <v>110</v>
      </c>
      <c r="G99" s="30">
        <v>87</v>
      </c>
      <c r="H99" s="30">
        <v>2672</v>
      </c>
      <c r="I99" s="30">
        <v>17.5</v>
      </c>
      <c r="J99" s="30">
        <v>70</v>
      </c>
      <c r="K99" s="30" t="s">
        <v>91</v>
      </c>
      <c r="L99" s="30" t="s">
        <v>93</v>
      </c>
      <c r="M99" s="58">
        <v>0</v>
      </c>
      <c r="N99" s="58">
        <v>3.98129040686799E+18</v>
      </c>
    </row>
    <row r="100" spans="3:14">
      <c r="C100" s="29" t="b">
        <v>0</v>
      </c>
      <c r="D100" s="30">
        <v>24</v>
      </c>
      <c r="E100" s="137">
        <v>4</v>
      </c>
      <c r="F100" s="30">
        <v>107</v>
      </c>
      <c r="G100" s="30">
        <v>90</v>
      </c>
      <c r="H100" s="30">
        <v>2430</v>
      </c>
      <c r="I100" s="30">
        <v>14.5</v>
      </c>
      <c r="J100" s="30">
        <v>70</v>
      </c>
      <c r="K100" s="30" t="s">
        <v>91</v>
      </c>
      <c r="L100" s="30" t="s">
        <v>94</v>
      </c>
      <c r="M100" s="58">
        <v>0</v>
      </c>
      <c r="N100" s="58">
        <v>5.0729505785585603E+18</v>
      </c>
    </row>
    <row r="101" spans="3:14">
      <c r="C101" s="29" t="b">
        <v>0</v>
      </c>
      <c r="D101" s="30">
        <v>25</v>
      </c>
      <c r="E101" s="137">
        <v>4</v>
      </c>
      <c r="F101" s="30">
        <v>104</v>
      </c>
      <c r="G101" s="30">
        <v>95</v>
      </c>
      <c r="H101" s="30">
        <v>2375</v>
      </c>
      <c r="I101" s="30">
        <v>17.5</v>
      </c>
      <c r="J101" s="30">
        <v>70</v>
      </c>
      <c r="K101" s="30" t="s">
        <v>91</v>
      </c>
      <c r="L101" s="30" t="s">
        <v>95</v>
      </c>
      <c r="M101" s="58">
        <v>0</v>
      </c>
      <c r="N101" s="58">
        <v>1.10845430870465E+19</v>
      </c>
    </row>
    <row r="102" spans="3:14">
      <c r="C102" s="29" t="b">
        <v>0</v>
      </c>
      <c r="D102" s="30">
        <v>26</v>
      </c>
      <c r="E102" s="137">
        <v>4</v>
      </c>
      <c r="F102" s="30">
        <v>121</v>
      </c>
      <c r="G102" s="30">
        <v>113</v>
      </c>
      <c r="H102" s="30">
        <v>2234</v>
      </c>
      <c r="I102" s="30">
        <v>12.5</v>
      </c>
      <c r="J102" s="30">
        <v>70</v>
      </c>
      <c r="K102" s="30" t="s">
        <v>91</v>
      </c>
      <c r="L102" s="30" t="s">
        <v>96</v>
      </c>
      <c r="M102" s="58">
        <v>0</v>
      </c>
      <c r="N102" s="58">
        <v>8.9707203426695895E+18</v>
      </c>
    </row>
    <row r="103" spans="3:14">
      <c r="C103" s="29" t="b">
        <v>0</v>
      </c>
      <c r="D103" s="30">
        <v>21</v>
      </c>
      <c r="E103" s="137">
        <v>6</v>
      </c>
      <c r="F103" s="30">
        <v>199</v>
      </c>
      <c r="G103" s="30">
        <v>90</v>
      </c>
      <c r="H103" s="30">
        <v>2648</v>
      </c>
      <c r="I103" s="30">
        <v>15</v>
      </c>
      <c r="J103" s="30">
        <v>70</v>
      </c>
      <c r="K103" s="30" t="s">
        <v>69</v>
      </c>
      <c r="L103" s="30" t="s">
        <v>97</v>
      </c>
      <c r="M103" s="58">
        <v>0</v>
      </c>
      <c r="N103" s="58">
        <v>1.5542192949840501E+19</v>
      </c>
    </row>
    <row r="104" spans="3:14">
      <c r="C104" s="29" t="b">
        <v>0</v>
      </c>
      <c r="D104" s="30">
        <v>10</v>
      </c>
      <c r="E104" s="137">
        <v>8</v>
      </c>
      <c r="F104" s="30">
        <v>360</v>
      </c>
      <c r="G104" s="30">
        <v>215</v>
      </c>
      <c r="H104" s="30">
        <v>4615</v>
      </c>
      <c r="I104" s="30">
        <v>14</v>
      </c>
      <c r="J104" s="30">
        <v>70</v>
      </c>
      <c r="K104" s="30" t="s">
        <v>69</v>
      </c>
      <c r="L104" s="30" t="s">
        <v>98</v>
      </c>
      <c r="M104" s="58">
        <v>0</v>
      </c>
      <c r="N104" s="58">
        <v>5.3585220090209597E+18</v>
      </c>
    </row>
    <row r="105" spans="3:14">
      <c r="C105" s="29" t="b">
        <v>0</v>
      </c>
      <c r="D105" s="30">
        <v>10</v>
      </c>
      <c r="E105" s="137">
        <v>8</v>
      </c>
      <c r="F105" s="30">
        <v>307</v>
      </c>
      <c r="G105" s="30">
        <v>200</v>
      </c>
      <c r="H105" s="30">
        <v>4376</v>
      </c>
      <c r="I105" s="30">
        <v>15</v>
      </c>
      <c r="J105" s="30">
        <v>70</v>
      </c>
      <c r="K105" s="30" t="s">
        <v>69</v>
      </c>
      <c r="L105" s="30" t="s">
        <v>99</v>
      </c>
      <c r="M105" s="58">
        <v>0</v>
      </c>
      <c r="N105" s="58">
        <v>1.6435007433648599E+19</v>
      </c>
    </row>
    <row r="106" spans="3:14">
      <c r="C106" s="29" t="b">
        <v>0</v>
      </c>
      <c r="D106" s="30">
        <v>11</v>
      </c>
      <c r="E106" s="137">
        <v>8</v>
      </c>
      <c r="F106" s="30">
        <v>318</v>
      </c>
      <c r="G106" s="30">
        <v>210</v>
      </c>
      <c r="H106" s="30">
        <v>4382</v>
      </c>
      <c r="I106" s="30">
        <v>13.5</v>
      </c>
      <c r="J106" s="30">
        <v>70</v>
      </c>
      <c r="K106" s="30" t="s">
        <v>69</v>
      </c>
      <c r="L106" s="30" t="s">
        <v>100</v>
      </c>
      <c r="M106" s="58">
        <v>0</v>
      </c>
      <c r="N106" s="58">
        <v>6.62923824539938E+18</v>
      </c>
    </row>
    <row r="107" spans="3:14">
      <c r="C107" s="29" t="b">
        <v>0</v>
      </c>
      <c r="D107" s="30">
        <v>9</v>
      </c>
      <c r="E107" s="137">
        <v>8</v>
      </c>
      <c r="F107" s="30">
        <v>304</v>
      </c>
      <c r="G107" s="30">
        <v>193</v>
      </c>
      <c r="H107" s="30">
        <v>4732</v>
      </c>
      <c r="I107" s="30">
        <v>18.5</v>
      </c>
      <c r="J107" s="30">
        <v>70</v>
      </c>
      <c r="K107" s="30" t="s">
        <v>69</v>
      </c>
      <c r="L107" s="30" t="s">
        <v>101</v>
      </c>
      <c r="M107" s="58">
        <v>0</v>
      </c>
      <c r="N107" s="58">
        <v>1.67697851534975E+19</v>
      </c>
    </row>
    <row r="108" spans="3:14">
      <c r="C108" s="29" t="b">
        <v>0</v>
      </c>
      <c r="D108" s="30">
        <v>27</v>
      </c>
      <c r="E108" s="137">
        <v>4</v>
      </c>
      <c r="F108" s="30">
        <v>97</v>
      </c>
      <c r="G108" s="30">
        <v>88</v>
      </c>
      <c r="H108" s="30">
        <v>2130</v>
      </c>
      <c r="I108" s="30">
        <v>14.5</v>
      </c>
      <c r="J108" s="30">
        <v>71</v>
      </c>
      <c r="K108" s="30" t="s">
        <v>85</v>
      </c>
      <c r="L108" s="30" t="s">
        <v>90</v>
      </c>
      <c r="M108" s="58">
        <v>0</v>
      </c>
      <c r="N108" s="58">
        <v>9.4004885661463491E+18</v>
      </c>
    </row>
    <row r="109" spans="3:14">
      <c r="C109" s="29" t="b">
        <v>0</v>
      </c>
      <c r="D109" s="30">
        <v>28</v>
      </c>
      <c r="E109" s="137">
        <v>4</v>
      </c>
      <c r="F109" s="30">
        <v>140</v>
      </c>
      <c r="G109" s="30">
        <v>90</v>
      </c>
      <c r="H109" s="30">
        <v>2264</v>
      </c>
      <c r="I109" s="30">
        <v>15.5</v>
      </c>
      <c r="J109" s="30">
        <v>71</v>
      </c>
      <c r="K109" s="30" t="s">
        <v>69</v>
      </c>
      <c r="L109" s="30" t="s">
        <v>102</v>
      </c>
      <c r="M109" s="58">
        <v>0</v>
      </c>
      <c r="N109" s="58">
        <v>6.8953151131406397E+18</v>
      </c>
    </row>
    <row r="110" spans="3:14">
      <c r="C110" s="29" t="b">
        <v>0</v>
      </c>
      <c r="D110" s="30">
        <v>25</v>
      </c>
      <c r="E110" s="137">
        <v>4</v>
      </c>
      <c r="F110" s="30">
        <v>113</v>
      </c>
      <c r="G110" s="30">
        <v>95</v>
      </c>
      <c r="H110" s="30">
        <v>2228</v>
      </c>
      <c r="I110" s="30">
        <v>14</v>
      </c>
      <c r="J110" s="30">
        <v>71</v>
      </c>
      <c r="K110" s="30" t="s">
        <v>85</v>
      </c>
      <c r="L110" s="30" t="s">
        <v>103</v>
      </c>
      <c r="M110" s="58">
        <v>0</v>
      </c>
      <c r="N110" s="58">
        <v>2.4501189413904599E+18</v>
      </c>
    </row>
    <row r="111" spans="3:14">
      <c r="C111" s="29" t="b">
        <v>0</v>
      </c>
      <c r="D111" s="30">
        <v>25</v>
      </c>
      <c r="E111" s="137">
        <v>4</v>
      </c>
      <c r="F111" s="30">
        <v>98</v>
      </c>
      <c r="G111" s="30"/>
      <c r="H111" s="30">
        <v>2046</v>
      </c>
      <c r="I111" s="30">
        <v>19</v>
      </c>
      <c r="J111" s="30">
        <v>71</v>
      </c>
      <c r="K111" s="30" t="s">
        <v>69</v>
      </c>
      <c r="L111" s="30" t="s">
        <v>70</v>
      </c>
      <c r="M111" s="58">
        <v>1</v>
      </c>
      <c r="N111" s="58">
        <v>7.6135125973815798E+18</v>
      </c>
    </row>
    <row r="112" spans="3:14">
      <c r="C112" s="29" t="b">
        <v>0</v>
      </c>
      <c r="D112" s="30">
        <v>19</v>
      </c>
      <c r="E112" s="137">
        <v>6</v>
      </c>
      <c r="F112" s="30">
        <v>232</v>
      </c>
      <c r="G112" s="30">
        <v>100</v>
      </c>
      <c r="H112" s="30">
        <v>2634</v>
      </c>
      <c r="I112" s="30">
        <v>13</v>
      </c>
      <c r="J112" s="30">
        <v>71</v>
      </c>
      <c r="K112" s="30" t="s">
        <v>69</v>
      </c>
      <c r="L112" s="30" t="s">
        <v>97</v>
      </c>
      <c r="M112" s="58">
        <v>0</v>
      </c>
      <c r="N112" s="58">
        <v>8.6827947192414597E+18</v>
      </c>
    </row>
    <row r="113" spans="3:14">
      <c r="C113" s="29" t="b">
        <v>0</v>
      </c>
      <c r="D113" s="30">
        <v>16</v>
      </c>
      <c r="E113" s="137">
        <v>6</v>
      </c>
      <c r="F113" s="30">
        <v>225</v>
      </c>
      <c r="G113" s="30">
        <v>105</v>
      </c>
      <c r="H113" s="30">
        <v>3439</v>
      </c>
      <c r="I113" s="30">
        <v>15.5</v>
      </c>
      <c r="J113" s="30">
        <v>71</v>
      </c>
      <c r="K113" s="30" t="s">
        <v>69</v>
      </c>
      <c r="L113" s="30" t="s">
        <v>104</v>
      </c>
      <c r="M113" s="58">
        <v>0</v>
      </c>
      <c r="N113" s="58">
        <v>2.26021584479308E+17</v>
      </c>
    </row>
    <row r="114" spans="3:14">
      <c r="C114" s="29" t="b">
        <v>0</v>
      </c>
      <c r="D114" s="30">
        <v>17</v>
      </c>
      <c r="E114" s="137">
        <v>6</v>
      </c>
      <c r="F114" s="30">
        <v>250</v>
      </c>
      <c r="G114" s="30">
        <v>100</v>
      </c>
      <c r="H114" s="30">
        <v>3329</v>
      </c>
      <c r="I114" s="30">
        <v>15.5</v>
      </c>
      <c r="J114" s="30">
        <v>71</v>
      </c>
      <c r="K114" s="30" t="s">
        <v>69</v>
      </c>
      <c r="L114" s="30" t="s">
        <v>71</v>
      </c>
      <c r="M114" s="58">
        <v>0</v>
      </c>
      <c r="N114" s="58">
        <v>5.2820909956741499E+18</v>
      </c>
    </row>
    <row r="115" spans="3:14">
      <c r="C115" s="29" t="b">
        <v>0</v>
      </c>
      <c r="D115" s="30">
        <v>19</v>
      </c>
      <c r="E115" s="137">
        <v>6</v>
      </c>
      <c r="F115" s="30">
        <v>250</v>
      </c>
      <c r="G115" s="30">
        <v>88</v>
      </c>
      <c r="H115" s="30">
        <v>3302</v>
      </c>
      <c r="I115" s="30">
        <v>15.5</v>
      </c>
      <c r="J115" s="30">
        <v>71</v>
      </c>
      <c r="K115" s="30" t="s">
        <v>69</v>
      </c>
      <c r="L115" s="30" t="s">
        <v>105</v>
      </c>
      <c r="M115" s="58">
        <v>0</v>
      </c>
      <c r="N115" s="58">
        <v>1.3953491196494299E+19</v>
      </c>
    </row>
    <row r="116" spans="3:14">
      <c r="C116" s="29" t="b">
        <v>0</v>
      </c>
      <c r="D116" s="30">
        <v>18</v>
      </c>
      <c r="E116" s="137">
        <v>6</v>
      </c>
      <c r="F116" s="30">
        <v>232</v>
      </c>
      <c r="G116" s="30">
        <v>100</v>
      </c>
      <c r="H116" s="30">
        <v>3288</v>
      </c>
      <c r="I116" s="30">
        <v>15.5</v>
      </c>
      <c r="J116" s="30">
        <v>71</v>
      </c>
      <c r="K116" s="30" t="s">
        <v>69</v>
      </c>
      <c r="L116" s="30" t="s">
        <v>106</v>
      </c>
      <c r="M116" s="58">
        <v>0</v>
      </c>
      <c r="N116" s="58">
        <v>8.8864532462505697E+18</v>
      </c>
    </row>
    <row r="117" spans="3:14">
      <c r="C117" s="29" t="b">
        <v>0</v>
      </c>
      <c r="D117" s="30">
        <v>14</v>
      </c>
      <c r="E117" s="137">
        <v>8</v>
      </c>
      <c r="F117" s="30">
        <v>350</v>
      </c>
      <c r="G117" s="30">
        <v>165</v>
      </c>
      <c r="H117" s="30">
        <v>4209</v>
      </c>
      <c r="I117" s="30">
        <v>12</v>
      </c>
      <c r="J117" s="30">
        <v>71</v>
      </c>
      <c r="K117" s="30" t="s">
        <v>69</v>
      </c>
      <c r="L117" s="30" t="s">
        <v>77</v>
      </c>
      <c r="M117" s="58">
        <v>0</v>
      </c>
      <c r="N117" s="58">
        <v>1.59927556204138E+19</v>
      </c>
    </row>
    <row r="118" spans="3:14">
      <c r="C118" s="29" t="b">
        <v>0</v>
      </c>
      <c r="D118" s="30">
        <v>14</v>
      </c>
      <c r="E118" s="137">
        <v>8</v>
      </c>
      <c r="F118" s="30">
        <v>400</v>
      </c>
      <c r="G118" s="30">
        <v>175</v>
      </c>
      <c r="H118" s="30">
        <v>4464</v>
      </c>
      <c r="I118" s="30">
        <v>11.5</v>
      </c>
      <c r="J118" s="30">
        <v>71</v>
      </c>
      <c r="K118" s="30" t="s">
        <v>69</v>
      </c>
      <c r="L118" s="30" t="s">
        <v>107</v>
      </c>
      <c r="M118" s="58">
        <v>0</v>
      </c>
      <c r="N118" s="58">
        <v>1.0254934384960999E+19</v>
      </c>
    </row>
    <row r="119" spans="3:14">
      <c r="C119" s="29" t="b">
        <v>0</v>
      </c>
      <c r="D119" s="30">
        <v>14</v>
      </c>
      <c r="E119" s="137">
        <v>8</v>
      </c>
      <c r="F119" s="30">
        <v>351</v>
      </c>
      <c r="G119" s="30">
        <v>153</v>
      </c>
      <c r="H119" s="30">
        <v>4154</v>
      </c>
      <c r="I119" s="30">
        <v>13.5</v>
      </c>
      <c r="J119" s="30">
        <v>71</v>
      </c>
      <c r="K119" s="30" t="s">
        <v>69</v>
      </c>
      <c r="L119" s="30" t="s">
        <v>76</v>
      </c>
      <c r="M119" s="58">
        <v>0</v>
      </c>
      <c r="N119" s="58">
        <v>9.3242362378613696E+17</v>
      </c>
    </row>
    <row r="120" spans="3:14">
      <c r="C120" s="29" t="b">
        <v>0</v>
      </c>
      <c r="D120" s="30">
        <v>14</v>
      </c>
      <c r="E120" s="137">
        <v>8</v>
      </c>
      <c r="F120" s="30">
        <v>318</v>
      </c>
      <c r="G120" s="30">
        <v>150</v>
      </c>
      <c r="H120" s="30">
        <v>4096</v>
      </c>
      <c r="I120" s="30">
        <v>13</v>
      </c>
      <c r="J120" s="30">
        <v>71</v>
      </c>
      <c r="K120" s="30" t="s">
        <v>69</v>
      </c>
      <c r="L120" s="30" t="s">
        <v>78</v>
      </c>
      <c r="M120" s="58">
        <v>0</v>
      </c>
      <c r="N120" s="58">
        <v>6.7288459705767803E+18</v>
      </c>
    </row>
    <row r="121" spans="3:14">
      <c r="C121" s="29" t="b">
        <v>0</v>
      </c>
      <c r="D121" s="30">
        <v>12</v>
      </c>
      <c r="E121" s="137">
        <v>8</v>
      </c>
      <c r="F121" s="30">
        <v>383</v>
      </c>
      <c r="G121" s="30">
        <v>180</v>
      </c>
      <c r="H121" s="30">
        <v>4955</v>
      </c>
      <c r="I121" s="30">
        <v>11.5</v>
      </c>
      <c r="J121" s="30">
        <v>71</v>
      </c>
      <c r="K121" s="30" t="s">
        <v>69</v>
      </c>
      <c r="L121" s="30" t="s">
        <v>108</v>
      </c>
      <c r="M121" s="58">
        <v>0</v>
      </c>
      <c r="N121" s="58">
        <v>4.4505558858131901E+18</v>
      </c>
    </row>
    <row r="122" spans="3:14">
      <c r="C122" s="29" t="b">
        <v>0</v>
      </c>
      <c r="D122" s="30">
        <v>13</v>
      </c>
      <c r="E122" s="137">
        <v>8</v>
      </c>
      <c r="F122" s="30">
        <v>400</v>
      </c>
      <c r="G122" s="30">
        <v>170</v>
      </c>
      <c r="H122" s="30">
        <v>4746</v>
      </c>
      <c r="I122" s="30">
        <v>12</v>
      </c>
      <c r="J122" s="30">
        <v>71</v>
      </c>
      <c r="K122" s="30" t="s">
        <v>69</v>
      </c>
      <c r="L122" s="30" t="s">
        <v>109</v>
      </c>
      <c r="M122" s="58">
        <v>0</v>
      </c>
      <c r="N122" s="58">
        <v>7.2538490449918198E+18</v>
      </c>
    </row>
    <row r="123" spans="3:14">
      <c r="C123" s="29" t="b">
        <v>0</v>
      </c>
      <c r="D123" s="30">
        <v>13</v>
      </c>
      <c r="E123" s="137">
        <v>8</v>
      </c>
      <c r="F123" s="30">
        <v>400</v>
      </c>
      <c r="G123" s="30">
        <v>175</v>
      </c>
      <c r="H123" s="30">
        <v>5140</v>
      </c>
      <c r="I123" s="30">
        <v>12</v>
      </c>
      <c r="J123" s="30">
        <v>71</v>
      </c>
      <c r="K123" s="30" t="s">
        <v>69</v>
      </c>
      <c r="L123" s="30" t="s">
        <v>110</v>
      </c>
      <c r="M123" s="58">
        <v>0</v>
      </c>
      <c r="N123" s="58">
        <v>1.79625460335482E+19</v>
      </c>
    </row>
    <row r="124" spans="3:14">
      <c r="C124" s="29" t="b">
        <v>0</v>
      </c>
      <c r="D124" s="30">
        <v>18</v>
      </c>
      <c r="E124" s="137">
        <v>6</v>
      </c>
      <c r="F124" s="30">
        <v>258</v>
      </c>
      <c r="G124" s="30">
        <v>110</v>
      </c>
      <c r="H124" s="30">
        <v>2962</v>
      </c>
      <c r="I124" s="30">
        <v>13.5</v>
      </c>
      <c r="J124" s="30">
        <v>71</v>
      </c>
      <c r="K124" s="30" t="s">
        <v>69</v>
      </c>
      <c r="L124" s="30" t="s">
        <v>111</v>
      </c>
      <c r="M124" s="58">
        <v>0</v>
      </c>
      <c r="N124" s="58">
        <v>1.2913314102278101E+19</v>
      </c>
    </row>
    <row r="125" spans="3:14">
      <c r="C125" s="29" t="b">
        <v>0</v>
      </c>
      <c r="D125" s="30">
        <v>22</v>
      </c>
      <c r="E125" s="137">
        <v>4</v>
      </c>
      <c r="F125" s="30">
        <v>140</v>
      </c>
      <c r="G125" s="30">
        <v>72</v>
      </c>
      <c r="H125" s="30">
        <v>2408</v>
      </c>
      <c r="I125" s="30">
        <v>19</v>
      </c>
      <c r="J125" s="30">
        <v>71</v>
      </c>
      <c r="K125" s="30" t="s">
        <v>69</v>
      </c>
      <c r="L125" s="30" t="s">
        <v>112</v>
      </c>
      <c r="M125" s="58">
        <v>0</v>
      </c>
      <c r="N125" s="58">
        <v>7.56600483329583E+18</v>
      </c>
    </row>
    <row r="126" spans="3:14">
      <c r="C126" s="29" t="b">
        <v>0</v>
      </c>
      <c r="D126" s="30">
        <v>19</v>
      </c>
      <c r="E126" s="137">
        <v>6</v>
      </c>
      <c r="F126" s="30">
        <v>250</v>
      </c>
      <c r="G126" s="30">
        <v>100</v>
      </c>
      <c r="H126" s="30">
        <v>3282</v>
      </c>
      <c r="I126" s="30">
        <v>15</v>
      </c>
      <c r="J126" s="30">
        <v>71</v>
      </c>
      <c r="K126" s="30" t="s">
        <v>69</v>
      </c>
      <c r="L126" s="30" t="s">
        <v>113</v>
      </c>
      <c r="M126" s="58">
        <v>0</v>
      </c>
      <c r="N126" s="58">
        <v>1.07066755441839E+19</v>
      </c>
    </row>
    <row r="127" spans="3:14">
      <c r="C127" s="29" t="b">
        <v>0</v>
      </c>
      <c r="D127" s="30">
        <v>18</v>
      </c>
      <c r="E127" s="137">
        <v>6</v>
      </c>
      <c r="F127" s="30">
        <v>250</v>
      </c>
      <c r="G127" s="30">
        <v>88</v>
      </c>
      <c r="H127" s="30">
        <v>3139</v>
      </c>
      <c r="I127" s="30">
        <v>14.5</v>
      </c>
      <c r="J127" s="30">
        <v>71</v>
      </c>
      <c r="K127" s="30" t="s">
        <v>69</v>
      </c>
      <c r="L127" s="30" t="s">
        <v>114</v>
      </c>
      <c r="M127" s="58">
        <v>0</v>
      </c>
      <c r="N127" s="58">
        <v>5.1924818878860001E+18</v>
      </c>
    </row>
    <row r="128" spans="3:14">
      <c r="C128" s="29" t="b">
        <v>0</v>
      </c>
      <c r="D128" s="30">
        <v>23</v>
      </c>
      <c r="E128" s="137">
        <v>4</v>
      </c>
      <c r="F128" s="30">
        <v>122</v>
      </c>
      <c r="G128" s="30">
        <v>86</v>
      </c>
      <c r="H128" s="30">
        <v>2220</v>
      </c>
      <c r="I128" s="30">
        <v>14</v>
      </c>
      <c r="J128" s="30">
        <v>71</v>
      </c>
      <c r="K128" s="30" t="s">
        <v>69</v>
      </c>
      <c r="L128" s="30" t="s">
        <v>115</v>
      </c>
      <c r="M128" s="58">
        <v>0</v>
      </c>
      <c r="N128" s="58">
        <v>1.3277572776951699E+19</v>
      </c>
    </row>
    <row r="129" spans="3:14">
      <c r="C129" s="29" t="b">
        <v>0</v>
      </c>
      <c r="D129" s="30">
        <v>28</v>
      </c>
      <c r="E129" s="137">
        <v>4</v>
      </c>
      <c r="F129" s="30">
        <v>116</v>
      </c>
      <c r="G129" s="30">
        <v>90</v>
      </c>
      <c r="H129" s="30">
        <v>2123</v>
      </c>
      <c r="I129" s="30">
        <v>14</v>
      </c>
      <c r="J129" s="30">
        <v>71</v>
      </c>
      <c r="K129" s="30" t="s">
        <v>91</v>
      </c>
      <c r="L129" s="30" t="s">
        <v>116</v>
      </c>
      <c r="M129" s="58">
        <v>0</v>
      </c>
      <c r="N129" s="58">
        <v>1.1074388715599901E+19</v>
      </c>
    </row>
    <row r="130" spans="3:14">
      <c r="C130" s="29" t="b">
        <v>0</v>
      </c>
      <c r="D130" s="30">
        <v>30</v>
      </c>
      <c r="E130" s="137">
        <v>4</v>
      </c>
      <c r="F130" s="30">
        <v>79</v>
      </c>
      <c r="G130" s="30">
        <v>70</v>
      </c>
      <c r="H130" s="30">
        <v>2074</v>
      </c>
      <c r="I130" s="30">
        <v>19.5</v>
      </c>
      <c r="J130" s="30">
        <v>71</v>
      </c>
      <c r="K130" s="30" t="s">
        <v>91</v>
      </c>
      <c r="L130" s="30" t="s">
        <v>117</v>
      </c>
      <c r="M130" s="58">
        <v>0</v>
      </c>
      <c r="N130" s="58">
        <v>1.01816488423353E+19</v>
      </c>
    </row>
    <row r="131" spans="3:14">
      <c r="C131" s="29" t="b">
        <v>0</v>
      </c>
      <c r="D131" s="30">
        <v>30</v>
      </c>
      <c r="E131" s="137">
        <v>4</v>
      </c>
      <c r="F131" s="30">
        <v>88</v>
      </c>
      <c r="G131" s="30">
        <v>76</v>
      </c>
      <c r="H131" s="30">
        <v>2065</v>
      </c>
      <c r="I131" s="30">
        <v>14.5</v>
      </c>
      <c r="J131" s="30">
        <v>71</v>
      </c>
      <c r="K131" s="30" t="s">
        <v>91</v>
      </c>
      <c r="L131" s="30" t="s">
        <v>118</v>
      </c>
      <c r="M131" s="58">
        <v>0</v>
      </c>
      <c r="N131" s="58">
        <v>3.2811550558686602E+18</v>
      </c>
    </row>
    <row r="132" spans="3:14">
      <c r="C132" s="29" t="b">
        <v>0</v>
      </c>
      <c r="D132" s="30">
        <v>31</v>
      </c>
      <c r="E132" s="137">
        <v>4</v>
      </c>
      <c r="F132" s="30">
        <v>71</v>
      </c>
      <c r="G132" s="30">
        <v>65</v>
      </c>
      <c r="H132" s="30">
        <v>1773</v>
      </c>
      <c r="I132" s="30">
        <v>19</v>
      </c>
      <c r="J132" s="30">
        <v>71</v>
      </c>
      <c r="K132" s="30" t="s">
        <v>85</v>
      </c>
      <c r="L132" s="30" t="s">
        <v>119</v>
      </c>
      <c r="M132" s="58">
        <v>0</v>
      </c>
      <c r="N132" s="58">
        <v>1.7336385104217801E+19</v>
      </c>
    </row>
    <row r="133" spans="3:14">
      <c r="C133" s="29" t="b">
        <v>0</v>
      </c>
      <c r="D133" s="30">
        <v>35</v>
      </c>
      <c r="E133" s="137">
        <v>4</v>
      </c>
      <c r="F133" s="30">
        <v>72</v>
      </c>
      <c r="G133" s="30">
        <v>69</v>
      </c>
      <c r="H133" s="30">
        <v>1613</v>
      </c>
      <c r="I133" s="30">
        <v>18</v>
      </c>
      <c r="J133" s="30">
        <v>71</v>
      </c>
      <c r="K133" s="30" t="s">
        <v>85</v>
      </c>
      <c r="L133" s="30" t="s">
        <v>120</v>
      </c>
      <c r="M133" s="58">
        <v>0</v>
      </c>
      <c r="N133" s="58">
        <v>1.22502142626369E+19</v>
      </c>
    </row>
    <row r="134" spans="3:14">
      <c r="C134" s="29" t="b">
        <v>0</v>
      </c>
      <c r="D134" s="30">
        <v>27</v>
      </c>
      <c r="E134" s="137">
        <v>4</v>
      </c>
      <c r="F134" s="30">
        <v>97</v>
      </c>
      <c r="G134" s="30">
        <v>60</v>
      </c>
      <c r="H134" s="30">
        <v>1834</v>
      </c>
      <c r="I134" s="30">
        <v>19</v>
      </c>
      <c r="J134" s="30">
        <v>71</v>
      </c>
      <c r="K134" s="30" t="s">
        <v>91</v>
      </c>
      <c r="L134" s="30" t="s">
        <v>121</v>
      </c>
      <c r="M134" s="58">
        <v>0</v>
      </c>
      <c r="N134" s="58">
        <v>1.5959225348860899E+19</v>
      </c>
    </row>
    <row r="135" spans="3:14">
      <c r="C135" s="29" t="b">
        <v>0</v>
      </c>
      <c r="D135" s="30">
        <v>26</v>
      </c>
      <c r="E135" s="137">
        <v>4</v>
      </c>
      <c r="F135" s="30">
        <v>91</v>
      </c>
      <c r="G135" s="30">
        <v>70</v>
      </c>
      <c r="H135" s="30">
        <v>1955</v>
      </c>
      <c r="I135" s="30">
        <v>20.5</v>
      </c>
      <c r="J135" s="30">
        <v>71</v>
      </c>
      <c r="K135" s="30" t="s">
        <v>69</v>
      </c>
      <c r="L135" s="30" t="s">
        <v>122</v>
      </c>
      <c r="M135" s="58">
        <v>0</v>
      </c>
      <c r="N135" s="58">
        <v>1.7411559050286701E+19</v>
      </c>
    </row>
    <row r="136" spans="3:14">
      <c r="C136" s="29" t="b">
        <v>0</v>
      </c>
      <c r="D136" s="30">
        <v>24</v>
      </c>
      <c r="E136" s="137">
        <v>4</v>
      </c>
      <c r="F136" s="30">
        <v>113</v>
      </c>
      <c r="G136" s="30">
        <v>95</v>
      </c>
      <c r="H136" s="30">
        <v>2278</v>
      </c>
      <c r="I136" s="30">
        <v>15.5</v>
      </c>
      <c r="J136" s="30">
        <v>72</v>
      </c>
      <c r="K136" s="30" t="s">
        <v>85</v>
      </c>
      <c r="L136" s="30" t="s">
        <v>123</v>
      </c>
      <c r="M136" s="58">
        <v>0</v>
      </c>
      <c r="N136" s="58">
        <v>1.8132871325521601E+19</v>
      </c>
    </row>
    <row r="137" spans="3:14">
      <c r="C137" s="29" t="b">
        <v>0</v>
      </c>
      <c r="D137" s="30">
        <v>25</v>
      </c>
      <c r="E137" s="137">
        <v>4</v>
      </c>
      <c r="F137" s="30">
        <v>97.5</v>
      </c>
      <c r="G137" s="30">
        <v>80</v>
      </c>
      <c r="H137" s="30">
        <v>2126</v>
      </c>
      <c r="I137" s="30">
        <v>17</v>
      </c>
      <c r="J137" s="30">
        <v>72</v>
      </c>
      <c r="K137" s="30" t="s">
        <v>69</v>
      </c>
      <c r="L137" s="30" t="s">
        <v>124</v>
      </c>
      <c r="M137" s="58">
        <v>0</v>
      </c>
      <c r="N137" s="58">
        <v>1.07140893326087E+19</v>
      </c>
    </row>
    <row r="138" spans="3:14">
      <c r="C138" s="29" t="b">
        <v>0</v>
      </c>
      <c r="D138" s="30">
        <v>23</v>
      </c>
      <c r="E138" s="137">
        <v>4</v>
      </c>
      <c r="F138" s="30">
        <v>97</v>
      </c>
      <c r="G138" s="30">
        <v>54</v>
      </c>
      <c r="H138" s="30">
        <v>2254</v>
      </c>
      <c r="I138" s="30">
        <v>23.5</v>
      </c>
      <c r="J138" s="30">
        <v>72</v>
      </c>
      <c r="K138" s="30" t="s">
        <v>91</v>
      </c>
      <c r="L138" s="30" t="s">
        <v>125</v>
      </c>
      <c r="M138" s="58">
        <v>0</v>
      </c>
      <c r="N138" s="58">
        <v>6.4301981156796698E+17</v>
      </c>
    </row>
    <row r="139" spans="3:14">
      <c r="C139" s="29" t="b">
        <v>0</v>
      </c>
      <c r="D139" s="30">
        <v>20</v>
      </c>
      <c r="E139" s="137">
        <v>4</v>
      </c>
      <c r="F139" s="30">
        <v>140</v>
      </c>
      <c r="G139" s="30">
        <v>90</v>
      </c>
      <c r="H139" s="30">
        <v>2408</v>
      </c>
      <c r="I139" s="30">
        <v>19.5</v>
      </c>
      <c r="J139" s="30">
        <v>72</v>
      </c>
      <c r="K139" s="30" t="s">
        <v>69</v>
      </c>
      <c r="L139" s="30" t="s">
        <v>126</v>
      </c>
      <c r="M139" s="58">
        <v>0</v>
      </c>
      <c r="N139" s="58">
        <v>1.6011066358721901E+19</v>
      </c>
    </row>
    <row r="140" spans="3:14">
      <c r="C140" s="29" t="b">
        <v>0</v>
      </c>
      <c r="D140" s="30">
        <v>21</v>
      </c>
      <c r="E140" s="137">
        <v>4</v>
      </c>
      <c r="F140" s="30">
        <v>122</v>
      </c>
      <c r="G140" s="30">
        <v>86</v>
      </c>
      <c r="H140" s="30">
        <v>2226</v>
      </c>
      <c r="I140" s="30">
        <v>16.5</v>
      </c>
      <c r="J140" s="30">
        <v>72</v>
      </c>
      <c r="K140" s="30" t="s">
        <v>69</v>
      </c>
      <c r="L140" s="30" t="s">
        <v>127</v>
      </c>
      <c r="M140" s="58">
        <v>0</v>
      </c>
      <c r="N140" s="58">
        <v>1.6832203426790799E+19</v>
      </c>
    </row>
    <row r="141" spans="3:14">
      <c r="C141" s="29" t="b">
        <v>0</v>
      </c>
      <c r="D141" s="30">
        <v>13</v>
      </c>
      <c r="E141" s="137">
        <v>8</v>
      </c>
      <c r="F141" s="30">
        <v>350</v>
      </c>
      <c r="G141" s="30">
        <v>165</v>
      </c>
      <c r="H141" s="30">
        <v>4274</v>
      </c>
      <c r="I141" s="30">
        <v>12</v>
      </c>
      <c r="J141" s="30">
        <v>72</v>
      </c>
      <c r="K141" s="30" t="s">
        <v>69</v>
      </c>
      <c r="L141" s="30" t="s">
        <v>77</v>
      </c>
      <c r="M141" s="58">
        <v>0</v>
      </c>
      <c r="N141" s="58">
        <v>4.53961981979725E+18</v>
      </c>
    </row>
    <row r="142" spans="3:14">
      <c r="C142" s="29" t="b">
        <v>0</v>
      </c>
      <c r="D142" s="30">
        <v>14</v>
      </c>
      <c r="E142" s="137">
        <v>8</v>
      </c>
      <c r="F142" s="30">
        <v>400</v>
      </c>
      <c r="G142" s="30">
        <v>175</v>
      </c>
      <c r="H142" s="30">
        <v>4385</v>
      </c>
      <c r="I142" s="30">
        <v>12</v>
      </c>
      <c r="J142" s="30">
        <v>72</v>
      </c>
      <c r="K142" s="30" t="s">
        <v>69</v>
      </c>
      <c r="L142" s="30" t="s">
        <v>79</v>
      </c>
      <c r="M142" s="58">
        <v>0</v>
      </c>
      <c r="N142" s="58">
        <v>1.6211288435666201E+19</v>
      </c>
    </row>
    <row r="143" spans="3:14">
      <c r="C143" s="29" t="b">
        <v>0</v>
      </c>
      <c r="D143" s="30">
        <v>15</v>
      </c>
      <c r="E143" s="137">
        <v>8</v>
      </c>
      <c r="F143" s="30">
        <v>318</v>
      </c>
      <c r="G143" s="30">
        <v>150</v>
      </c>
      <c r="H143" s="30">
        <v>4135</v>
      </c>
      <c r="I143" s="30">
        <v>13.5</v>
      </c>
      <c r="J143" s="30">
        <v>72</v>
      </c>
      <c r="K143" s="30" t="s">
        <v>69</v>
      </c>
      <c r="L143" s="30" t="s">
        <v>78</v>
      </c>
      <c r="M143" s="58">
        <v>0</v>
      </c>
      <c r="N143" s="58">
        <v>1.48839876647634E+18</v>
      </c>
    </row>
    <row r="144" spans="3:14">
      <c r="C144" s="29" t="b">
        <v>0</v>
      </c>
      <c r="D144" s="30">
        <v>14</v>
      </c>
      <c r="E144" s="137">
        <v>8</v>
      </c>
      <c r="F144" s="30">
        <v>351</v>
      </c>
      <c r="G144" s="30">
        <v>153</v>
      </c>
      <c r="H144" s="30">
        <v>4129</v>
      </c>
      <c r="I144" s="30">
        <v>13</v>
      </c>
      <c r="J144" s="30">
        <v>72</v>
      </c>
      <c r="K144" s="30" t="s">
        <v>69</v>
      </c>
      <c r="L144" s="30" t="s">
        <v>76</v>
      </c>
      <c r="M144" s="58">
        <v>0</v>
      </c>
      <c r="N144" s="58">
        <v>1.60358360583226E+19</v>
      </c>
    </row>
    <row r="145" spans="3:14">
      <c r="C145" s="29" t="b">
        <v>0</v>
      </c>
      <c r="D145" s="30">
        <v>17</v>
      </c>
      <c r="E145" s="137">
        <v>8</v>
      </c>
      <c r="F145" s="30">
        <v>304</v>
      </c>
      <c r="G145" s="30">
        <v>150</v>
      </c>
      <c r="H145" s="30">
        <v>3672</v>
      </c>
      <c r="I145" s="30">
        <v>11.5</v>
      </c>
      <c r="J145" s="30">
        <v>72</v>
      </c>
      <c r="K145" s="30" t="s">
        <v>69</v>
      </c>
      <c r="L145" s="30" t="s">
        <v>128</v>
      </c>
      <c r="M145" s="58">
        <v>0</v>
      </c>
      <c r="N145" s="58">
        <v>5.7426695592469504E+18</v>
      </c>
    </row>
    <row r="146" spans="3:14">
      <c r="C146" s="29" t="b">
        <v>0</v>
      </c>
      <c r="D146" s="30">
        <v>11</v>
      </c>
      <c r="E146" s="137">
        <v>8</v>
      </c>
      <c r="F146" s="30">
        <v>429</v>
      </c>
      <c r="G146" s="30">
        <v>208</v>
      </c>
      <c r="H146" s="30">
        <v>4633</v>
      </c>
      <c r="I146" s="30">
        <v>11</v>
      </c>
      <c r="J146" s="30">
        <v>72</v>
      </c>
      <c r="K146" s="30" t="s">
        <v>69</v>
      </c>
      <c r="L146" s="30" t="s">
        <v>129</v>
      </c>
      <c r="M146" s="58">
        <v>0</v>
      </c>
      <c r="N146" s="58">
        <v>5.1159948315334298E+18</v>
      </c>
    </row>
    <row r="147" spans="3:14">
      <c r="C147" s="29" t="b">
        <v>0</v>
      </c>
      <c r="D147" s="30">
        <v>13</v>
      </c>
      <c r="E147" s="137">
        <v>8</v>
      </c>
      <c r="F147" s="30">
        <v>350</v>
      </c>
      <c r="G147" s="30">
        <v>155</v>
      </c>
      <c r="H147" s="30">
        <v>4502</v>
      </c>
      <c r="I147" s="30">
        <v>13.5</v>
      </c>
      <c r="J147" s="30">
        <v>72</v>
      </c>
      <c r="K147" s="30" t="s">
        <v>69</v>
      </c>
      <c r="L147" s="30" t="s">
        <v>130</v>
      </c>
      <c r="M147" s="58">
        <v>0</v>
      </c>
      <c r="N147" s="58">
        <v>1.9909612268306801E+18</v>
      </c>
    </row>
    <row r="148" spans="3:14">
      <c r="C148" s="29" t="b">
        <v>0</v>
      </c>
      <c r="D148" s="30">
        <v>12</v>
      </c>
      <c r="E148" s="137">
        <v>8</v>
      </c>
      <c r="F148" s="30">
        <v>350</v>
      </c>
      <c r="G148" s="30">
        <v>160</v>
      </c>
      <c r="H148" s="30">
        <v>4456</v>
      </c>
      <c r="I148" s="30">
        <v>13.5</v>
      </c>
      <c r="J148" s="30">
        <v>72</v>
      </c>
      <c r="K148" s="30" t="s">
        <v>69</v>
      </c>
      <c r="L148" s="30" t="s">
        <v>131</v>
      </c>
      <c r="M148" s="58">
        <v>0</v>
      </c>
      <c r="N148" s="58">
        <v>1.06005019243624E+19</v>
      </c>
    </row>
    <row r="149" spans="3:14">
      <c r="C149" s="29" t="b">
        <v>0</v>
      </c>
      <c r="D149" s="30">
        <v>13</v>
      </c>
      <c r="E149" s="137">
        <v>8</v>
      </c>
      <c r="F149" s="30">
        <v>400</v>
      </c>
      <c r="G149" s="30">
        <v>190</v>
      </c>
      <c r="H149" s="30">
        <v>4422</v>
      </c>
      <c r="I149" s="30">
        <v>12.5</v>
      </c>
      <c r="J149" s="30">
        <v>72</v>
      </c>
      <c r="K149" s="30" t="s">
        <v>69</v>
      </c>
      <c r="L149" s="30" t="s">
        <v>132</v>
      </c>
      <c r="M149" s="58">
        <v>0</v>
      </c>
      <c r="N149" s="58">
        <v>5.3651853022959302E+17</v>
      </c>
    </row>
    <row r="150" spans="3:14">
      <c r="C150" s="29" t="b">
        <v>0</v>
      </c>
      <c r="D150" s="30">
        <v>19</v>
      </c>
      <c r="E150" s="137">
        <v>3</v>
      </c>
      <c r="F150" s="30">
        <v>70</v>
      </c>
      <c r="G150" s="30">
        <v>97</v>
      </c>
      <c r="H150" s="30">
        <v>2330</v>
      </c>
      <c r="I150" s="30">
        <v>13.5</v>
      </c>
      <c r="J150" s="30">
        <v>72</v>
      </c>
      <c r="K150" s="30" t="s">
        <v>85</v>
      </c>
      <c r="L150" s="30" t="s">
        <v>133</v>
      </c>
      <c r="M150" s="58">
        <v>0</v>
      </c>
      <c r="N150" s="58">
        <v>7.5031258433233203E+18</v>
      </c>
    </row>
    <row r="151" spans="3:14">
      <c r="C151" s="29" t="b">
        <v>0</v>
      </c>
      <c r="D151" s="30">
        <v>15</v>
      </c>
      <c r="E151" s="137">
        <v>8</v>
      </c>
      <c r="F151" s="30">
        <v>304</v>
      </c>
      <c r="G151" s="30">
        <v>150</v>
      </c>
      <c r="H151" s="30">
        <v>3892</v>
      </c>
      <c r="I151" s="30">
        <v>12.5</v>
      </c>
      <c r="J151" s="30">
        <v>72</v>
      </c>
      <c r="K151" s="30" t="s">
        <v>69</v>
      </c>
      <c r="L151" s="30" t="s">
        <v>134</v>
      </c>
      <c r="M151" s="58">
        <v>0</v>
      </c>
      <c r="N151" s="58">
        <v>1.54974621642561E+19</v>
      </c>
    </row>
    <row r="152" spans="3:14">
      <c r="C152" s="29" t="b">
        <v>0</v>
      </c>
      <c r="D152" s="30">
        <v>13</v>
      </c>
      <c r="E152" s="137">
        <v>8</v>
      </c>
      <c r="F152" s="30">
        <v>307</v>
      </c>
      <c r="G152" s="30">
        <v>130</v>
      </c>
      <c r="H152" s="30">
        <v>4098</v>
      </c>
      <c r="I152" s="30">
        <v>14</v>
      </c>
      <c r="J152" s="30">
        <v>72</v>
      </c>
      <c r="K152" s="30" t="s">
        <v>69</v>
      </c>
      <c r="L152" s="30" t="s">
        <v>135</v>
      </c>
      <c r="M152" s="58">
        <v>0</v>
      </c>
      <c r="N152" s="58">
        <v>1.0370877805157599E+19</v>
      </c>
    </row>
    <row r="153" spans="3:14">
      <c r="C153" s="29" t="b">
        <v>0</v>
      </c>
      <c r="D153" s="30">
        <v>13</v>
      </c>
      <c r="E153" s="137">
        <v>8</v>
      </c>
      <c r="F153" s="30">
        <v>302</v>
      </c>
      <c r="G153" s="30">
        <v>140</v>
      </c>
      <c r="H153" s="30">
        <v>4294</v>
      </c>
      <c r="I153" s="30">
        <v>16</v>
      </c>
      <c r="J153" s="30">
        <v>72</v>
      </c>
      <c r="K153" s="30" t="s">
        <v>69</v>
      </c>
      <c r="L153" s="30" t="s">
        <v>136</v>
      </c>
      <c r="M153" s="58">
        <v>0</v>
      </c>
      <c r="N153" s="58">
        <v>4.7487442529724396E+18</v>
      </c>
    </row>
    <row r="154" spans="3:14">
      <c r="C154" s="29" t="b">
        <v>0</v>
      </c>
      <c r="D154" s="30">
        <v>14</v>
      </c>
      <c r="E154" s="137">
        <v>8</v>
      </c>
      <c r="F154" s="30">
        <v>318</v>
      </c>
      <c r="G154" s="30">
        <v>150</v>
      </c>
      <c r="H154" s="30">
        <v>4077</v>
      </c>
      <c r="I154" s="30">
        <v>14</v>
      </c>
      <c r="J154" s="30">
        <v>72</v>
      </c>
      <c r="K154" s="30" t="s">
        <v>69</v>
      </c>
      <c r="L154" s="30" t="s">
        <v>137</v>
      </c>
      <c r="M154" s="58">
        <v>0</v>
      </c>
      <c r="N154" s="58">
        <v>1.3404466700053299E+19</v>
      </c>
    </row>
    <row r="155" spans="3:14">
      <c r="C155" s="29" t="b">
        <v>0</v>
      </c>
      <c r="D155" s="30">
        <v>18</v>
      </c>
      <c r="E155" s="137">
        <v>4</v>
      </c>
      <c r="F155" s="30">
        <v>121</v>
      </c>
      <c r="G155" s="30">
        <v>112</v>
      </c>
      <c r="H155" s="30">
        <v>2933</v>
      </c>
      <c r="I155" s="30">
        <v>14.5</v>
      </c>
      <c r="J155" s="30">
        <v>72</v>
      </c>
      <c r="K155" s="30" t="s">
        <v>91</v>
      </c>
      <c r="L155" s="30" t="s">
        <v>138</v>
      </c>
      <c r="M155" s="58">
        <v>0</v>
      </c>
      <c r="N155" s="58">
        <v>1.1420513159091499E+19</v>
      </c>
    </row>
    <row r="156" spans="3:14">
      <c r="C156" s="29" t="b">
        <v>0</v>
      </c>
      <c r="D156" s="30">
        <v>22</v>
      </c>
      <c r="E156" s="137">
        <v>4</v>
      </c>
      <c r="F156" s="30">
        <v>121</v>
      </c>
      <c r="G156" s="30">
        <v>76</v>
      </c>
      <c r="H156" s="30">
        <v>2511</v>
      </c>
      <c r="I156" s="30">
        <v>18</v>
      </c>
      <c r="J156" s="30">
        <v>72</v>
      </c>
      <c r="K156" s="30" t="s">
        <v>91</v>
      </c>
      <c r="L156" s="30" t="s">
        <v>139</v>
      </c>
      <c r="M156" s="58">
        <v>0</v>
      </c>
      <c r="N156" s="58">
        <v>1.58306176340241E+19</v>
      </c>
    </row>
    <row r="157" spans="3:14">
      <c r="C157" s="29" t="b">
        <v>0</v>
      </c>
      <c r="D157" s="30">
        <v>21</v>
      </c>
      <c r="E157" s="137">
        <v>4</v>
      </c>
      <c r="F157" s="30">
        <v>120</v>
      </c>
      <c r="G157" s="30">
        <v>87</v>
      </c>
      <c r="H157" s="30">
        <v>2979</v>
      </c>
      <c r="I157" s="30">
        <v>19.5</v>
      </c>
      <c r="J157" s="30">
        <v>72</v>
      </c>
      <c r="K157" s="30" t="s">
        <v>91</v>
      </c>
      <c r="L157" s="30" t="s">
        <v>140</v>
      </c>
      <c r="M157" s="58">
        <v>0</v>
      </c>
      <c r="N157" s="58">
        <v>1.1020321892835299E+19</v>
      </c>
    </row>
    <row r="158" spans="3:14">
      <c r="C158" s="29" t="b">
        <v>0</v>
      </c>
      <c r="D158" s="30">
        <v>26</v>
      </c>
      <c r="E158" s="137">
        <v>4</v>
      </c>
      <c r="F158" s="30">
        <v>96</v>
      </c>
      <c r="G158" s="30">
        <v>69</v>
      </c>
      <c r="H158" s="30">
        <v>2189</v>
      </c>
      <c r="I158" s="30">
        <v>18</v>
      </c>
      <c r="J158" s="30">
        <v>72</v>
      </c>
      <c r="K158" s="30" t="s">
        <v>91</v>
      </c>
      <c r="L158" s="30" t="s">
        <v>141</v>
      </c>
      <c r="M158" s="58">
        <v>0</v>
      </c>
      <c r="N158" s="58">
        <v>1.17840032358703E+19</v>
      </c>
    </row>
    <row r="159" spans="3:14">
      <c r="C159" s="29" t="b">
        <v>0</v>
      </c>
      <c r="D159" s="30">
        <v>22</v>
      </c>
      <c r="E159" s="137">
        <v>4</v>
      </c>
      <c r="F159" s="30">
        <v>122</v>
      </c>
      <c r="G159" s="30">
        <v>86</v>
      </c>
      <c r="H159" s="30">
        <v>2395</v>
      </c>
      <c r="I159" s="30">
        <v>16</v>
      </c>
      <c r="J159" s="30">
        <v>72</v>
      </c>
      <c r="K159" s="30" t="s">
        <v>69</v>
      </c>
      <c r="L159" s="30" t="s">
        <v>142</v>
      </c>
      <c r="M159" s="58">
        <v>0</v>
      </c>
      <c r="N159" s="58">
        <v>2.1731594565414799E+18</v>
      </c>
    </row>
    <row r="160" spans="3:14">
      <c r="C160" s="29" t="b">
        <v>0</v>
      </c>
      <c r="D160" s="30">
        <v>28</v>
      </c>
      <c r="E160" s="137">
        <v>4</v>
      </c>
      <c r="F160" s="30">
        <v>97</v>
      </c>
      <c r="G160" s="30">
        <v>92</v>
      </c>
      <c r="H160" s="30">
        <v>2288</v>
      </c>
      <c r="I160" s="30">
        <v>17</v>
      </c>
      <c r="J160" s="30">
        <v>72</v>
      </c>
      <c r="K160" s="30" t="s">
        <v>85</v>
      </c>
      <c r="L160" s="30" t="s">
        <v>143</v>
      </c>
      <c r="M160" s="58">
        <v>0</v>
      </c>
      <c r="N160" s="58">
        <v>8.41554085524527E+18</v>
      </c>
    </row>
    <row r="161" spans="3:14">
      <c r="C161" s="29" t="b">
        <v>0</v>
      </c>
      <c r="D161" s="30">
        <v>23</v>
      </c>
      <c r="E161" s="137">
        <v>4</v>
      </c>
      <c r="F161" s="30">
        <v>120</v>
      </c>
      <c r="G161" s="30">
        <v>97</v>
      </c>
      <c r="H161" s="30">
        <v>2506</v>
      </c>
      <c r="I161" s="30">
        <v>14.5</v>
      </c>
      <c r="J161" s="30">
        <v>72</v>
      </c>
      <c r="K161" s="30" t="s">
        <v>85</v>
      </c>
      <c r="L161" s="30" t="s">
        <v>144</v>
      </c>
      <c r="M161" s="58">
        <v>0</v>
      </c>
      <c r="N161" s="58">
        <v>8.5874921297418496E+18</v>
      </c>
    </row>
    <row r="162" spans="3:14">
      <c r="C162" s="29" t="b">
        <v>0</v>
      </c>
      <c r="D162" s="30">
        <v>28</v>
      </c>
      <c r="E162" s="137">
        <v>4</v>
      </c>
      <c r="F162" s="30">
        <v>98</v>
      </c>
      <c r="G162" s="30">
        <v>80</v>
      </c>
      <c r="H162" s="30">
        <v>2164</v>
      </c>
      <c r="I162" s="30">
        <v>15</v>
      </c>
      <c r="J162" s="30">
        <v>72</v>
      </c>
      <c r="K162" s="30" t="s">
        <v>69</v>
      </c>
      <c r="L162" s="30" t="s">
        <v>145</v>
      </c>
      <c r="M162" s="58">
        <v>0</v>
      </c>
      <c r="N162" s="58">
        <v>3.0696274765966198E+18</v>
      </c>
    </row>
    <row r="163" spans="3:14">
      <c r="C163" s="29" t="b">
        <v>0</v>
      </c>
      <c r="D163" s="30">
        <v>27</v>
      </c>
      <c r="E163" s="137">
        <v>4</v>
      </c>
      <c r="F163" s="30">
        <v>97</v>
      </c>
      <c r="G163" s="30">
        <v>88</v>
      </c>
      <c r="H163" s="30">
        <v>2100</v>
      </c>
      <c r="I163" s="30">
        <v>16.5</v>
      </c>
      <c r="J163" s="30">
        <v>72</v>
      </c>
      <c r="K163" s="30" t="s">
        <v>85</v>
      </c>
      <c r="L163" s="30" t="s">
        <v>146</v>
      </c>
      <c r="M163" s="58">
        <v>0</v>
      </c>
      <c r="N163" s="58">
        <v>1.29648011531288E+19</v>
      </c>
    </row>
    <row r="164" spans="3:14">
      <c r="C164" s="29" t="b">
        <v>0</v>
      </c>
      <c r="D164" s="30">
        <v>13</v>
      </c>
      <c r="E164" s="137">
        <v>8</v>
      </c>
      <c r="F164" s="30">
        <v>350</v>
      </c>
      <c r="G164" s="30">
        <v>175</v>
      </c>
      <c r="H164" s="30">
        <v>4100</v>
      </c>
      <c r="I164" s="30">
        <v>13</v>
      </c>
      <c r="J164" s="30">
        <v>73</v>
      </c>
      <c r="K164" s="30" t="s">
        <v>69</v>
      </c>
      <c r="L164" s="30" t="s">
        <v>147</v>
      </c>
      <c r="M164" s="58">
        <v>0</v>
      </c>
      <c r="N164" s="58">
        <v>2.9870757776238899E+18</v>
      </c>
    </row>
    <row r="165" spans="3:14">
      <c r="C165" s="29" t="b">
        <v>0</v>
      </c>
      <c r="D165" s="30">
        <v>14</v>
      </c>
      <c r="E165" s="137">
        <v>8</v>
      </c>
      <c r="F165" s="30">
        <v>304</v>
      </c>
      <c r="G165" s="30">
        <v>150</v>
      </c>
      <c r="H165" s="30">
        <v>3672</v>
      </c>
      <c r="I165" s="30">
        <v>11.5</v>
      </c>
      <c r="J165" s="30">
        <v>73</v>
      </c>
      <c r="K165" s="30" t="s">
        <v>69</v>
      </c>
      <c r="L165" s="30" t="s">
        <v>106</v>
      </c>
      <c r="M165" s="58">
        <v>0</v>
      </c>
      <c r="N165" s="58">
        <v>2.5438844465708701E+17</v>
      </c>
    </row>
    <row r="166" spans="3:14">
      <c r="C166" s="29" t="b">
        <v>0</v>
      </c>
      <c r="D166" s="30">
        <v>13</v>
      </c>
      <c r="E166" s="137">
        <v>8</v>
      </c>
      <c r="F166" s="30">
        <v>350</v>
      </c>
      <c r="G166" s="30">
        <v>145</v>
      </c>
      <c r="H166" s="30">
        <v>3988</v>
      </c>
      <c r="I166" s="30">
        <v>13</v>
      </c>
      <c r="J166" s="30">
        <v>73</v>
      </c>
      <c r="K166" s="30" t="s">
        <v>69</v>
      </c>
      <c r="L166" s="30" t="s">
        <v>148</v>
      </c>
      <c r="M166" s="58">
        <v>0</v>
      </c>
      <c r="N166" s="58">
        <v>5.8890254953798605E+18</v>
      </c>
    </row>
    <row r="167" spans="3:14">
      <c r="C167" s="29" t="b">
        <v>0</v>
      </c>
      <c r="D167" s="30">
        <v>14</v>
      </c>
      <c r="E167" s="137">
        <v>8</v>
      </c>
      <c r="F167" s="30">
        <v>302</v>
      </c>
      <c r="G167" s="30">
        <v>137</v>
      </c>
      <c r="H167" s="30">
        <v>4042</v>
      </c>
      <c r="I167" s="30">
        <v>14.5</v>
      </c>
      <c r="J167" s="30">
        <v>73</v>
      </c>
      <c r="K167" s="30" t="s">
        <v>69</v>
      </c>
      <c r="L167" s="30" t="s">
        <v>149</v>
      </c>
      <c r="M167" s="58">
        <v>0</v>
      </c>
      <c r="N167" s="58">
        <v>1.5517262347102501E+19</v>
      </c>
    </row>
    <row r="168" spans="3:14">
      <c r="C168" s="29" t="b">
        <v>0</v>
      </c>
      <c r="D168" s="30">
        <v>15</v>
      </c>
      <c r="E168" s="137">
        <v>8</v>
      </c>
      <c r="F168" s="30">
        <v>318</v>
      </c>
      <c r="G168" s="30">
        <v>150</v>
      </c>
      <c r="H168" s="30">
        <v>3777</v>
      </c>
      <c r="I168" s="30">
        <v>12.5</v>
      </c>
      <c r="J168" s="30">
        <v>73</v>
      </c>
      <c r="K168" s="30" t="s">
        <v>69</v>
      </c>
      <c r="L168" s="30" t="s">
        <v>150</v>
      </c>
      <c r="M168" s="58">
        <v>0</v>
      </c>
      <c r="N168" s="58">
        <v>1.6161578972950901E+19</v>
      </c>
    </row>
    <row r="169" spans="3:14">
      <c r="C169" s="29" t="b">
        <v>0</v>
      </c>
      <c r="D169" s="30">
        <v>12</v>
      </c>
      <c r="E169" s="137">
        <v>8</v>
      </c>
      <c r="F169" s="30">
        <v>429</v>
      </c>
      <c r="G169" s="30">
        <v>198</v>
      </c>
      <c r="H169" s="30">
        <v>4952</v>
      </c>
      <c r="I169" s="30">
        <v>11.5</v>
      </c>
      <c r="J169" s="30">
        <v>73</v>
      </c>
      <c r="K169" s="30" t="s">
        <v>69</v>
      </c>
      <c r="L169" s="30" t="s">
        <v>151</v>
      </c>
      <c r="M169" s="58">
        <v>0</v>
      </c>
      <c r="N169" s="58">
        <v>1.3302429845471001E+19</v>
      </c>
    </row>
    <row r="170" spans="3:14">
      <c r="C170" s="29" t="b">
        <v>0</v>
      </c>
      <c r="D170" s="30">
        <v>13</v>
      </c>
      <c r="E170" s="137">
        <v>8</v>
      </c>
      <c r="F170" s="30">
        <v>400</v>
      </c>
      <c r="G170" s="30">
        <v>150</v>
      </c>
      <c r="H170" s="30">
        <v>4464</v>
      </c>
      <c r="I170" s="30">
        <v>12</v>
      </c>
      <c r="J170" s="30">
        <v>73</v>
      </c>
      <c r="K170" s="30" t="s">
        <v>69</v>
      </c>
      <c r="L170" s="30" t="s">
        <v>152</v>
      </c>
      <c r="M170" s="58">
        <v>0</v>
      </c>
      <c r="N170" s="58">
        <v>1.7715802020918499E+19</v>
      </c>
    </row>
    <row r="171" spans="3:14">
      <c r="C171" s="29" t="b">
        <v>0</v>
      </c>
      <c r="D171" s="30">
        <v>13</v>
      </c>
      <c r="E171" s="137">
        <v>8</v>
      </c>
      <c r="F171" s="30">
        <v>351</v>
      </c>
      <c r="G171" s="30">
        <v>158</v>
      </c>
      <c r="H171" s="30">
        <v>4363</v>
      </c>
      <c r="I171" s="30">
        <v>13</v>
      </c>
      <c r="J171" s="30">
        <v>73</v>
      </c>
      <c r="K171" s="30" t="s">
        <v>69</v>
      </c>
      <c r="L171" s="30" t="s">
        <v>153</v>
      </c>
      <c r="M171" s="58">
        <v>0</v>
      </c>
      <c r="N171" s="58">
        <v>1.6954825793588001E+19</v>
      </c>
    </row>
    <row r="172" spans="3:14">
      <c r="C172" s="29" t="b">
        <v>0</v>
      </c>
      <c r="D172" s="30">
        <v>14</v>
      </c>
      <c r="E172" s="137">
        <v>8</v>
      </c>
      <c r="F172" s="30">
        <v>318</v>
      </c>
      <c r="G172" s="30">
        <v>150</v>
      </c>
      <c r="H172" s="30">
        <v>4237</v>
      </c>
      <c r="I172" s="30">
        <v>14.5</v>
      </c>
      <c r="J172" s="30">
        <v>73</v>
      </c>
      <c r="K172" s="30" t="s">
        <v>69</v>
      </c>
      <c r="L172" s="30" t="s">
        <v>154</v>
      </c>
      <c r="M172" s="58">
        <v>0</v>
      </c>
      <c r="N172" s="58">
        <v>1.54951721440053E+19</v>
      </c>
    </row>
    <row r="173" spans="3:14">
      <c r="C173" s="29" t="b">
        <v>0</v>
      </c>
      <c r="D173" s="30">
        <v>13</v>
      </c>
      <c r="E173" s="137">
        <v>8</v>
      </c>
      <c r="F173" s="30">
        <v>440</v>
      </c>
      <c r="G173" s="30">
        <v>215</v>
      </c>
      <c r="H173" s="30">
        <v>4735</v>
      </c>
      <c r="I173" s="30">
        <v>11</v>
      </c>
      <c r="J173" s="30">
        <v>73</v>
      </c>
      <c r="K173" s="30" t="s">
        <v>69</v>
      </c>
      <c r="L173" s="30" t="s">
        <v>155</v>
      </c>
      <c r="M173" s="58">
        <v>0</v>
      </c>
      <c r="N173" s="58">
        <v>1.2976567862418201E+19</v>
      </c>
    </row>
    <row r="174" spans="3:14">
      <c r="C174" s="29" t="b">
        <v>0</v>
      </c>
      <c r="D174" s="30">
        <v>12</v>
      </c>
      <c r="E174" s="137">
        <v>8</v>
      </c>
      <c r="F174" s="30">
        <v>455</v>
      </c>
      <c r="G174" s="30">
        <v>225</v>
      </c>
      <c r="H174" s="30">
        <v>4951</v>
      </c>
      <c r="I174" s="30">
        <v>11</v>
      </c>
      <c r="J174" s="30">
        <v>73</v>
      </c>
      <c r="K174" s="30" t="s">
        <v>69</v>
      </c>
      <c r="L174" s="30" t="s">
        <v>156</v>
      </c>
      <c r="M174" s="58">
        <v>0</v>
      </c>
      <c r="N174" s="58">
        <v>7.8403173206140897E+18</v>
      </c>
    </row>
    <row r="175" spans="3:14">
      <c r="C175" s="29" t="b">
        <v>0</v>
      </c>
      <c r="D175" s="30">
        <v>13</v>
      </c>
      <c r="E175" s="137">
        <v>8</v>
      </c>
      <c r="F175" s="30">
        <v>360</v>
      </c>
      <c r="G175" s="30">
        <v>175</v>
      </c>
      <c r="H175" s="30">
        <v>3821</v>
      </c>
      <c r="I175" s="30">
        <v>11</v>
      </c>
      <c r="J175" s="30">
        <v>73</v>
      </c>
      <c r="K175" s="30" t="s">
        <v>69</v>
      </c>
      <c r="L175" s="30" t="s">
        <v>157</v>
      </c>
      <c r="M175" s="58">
        <v>0</v>
      </c>
      <c r="N175" s="58">
        <v>9.4458907007900099E+18</v>
      </c>
    </row>
    <row r="176" spans="3:14">
      <c r="C176" s="29" t="b">
        <v>0</v>
      </c>
      <c r="D176" s="30">
        <v>18</v>
      </c>
      <c r="E176" s="137">
        <v>6</v>
      </c>
      <c r="F176" s="30">
        <v>225</v>
      </c>
      <c r="G176" s="30">
        <v>105</v>
      </c>
      <c r="H176" s="30">
        <v>3121</v>
      </c>
      <c r="I176" s="30">
        <v>16.5</v>
      </c>
      <c r="J176" s="30">
        <v>73</v>
      </c>
      <c r="K176" s="30" t="s">
        <v>69</v>
      </c>
      <c r="L176" s="30" t="s">
        <v>158</v>
      </c>
      <c r="M176" s="58">
        <v>0</v>
      </c>
      <c r="N176" s="58">
        <v>1.7085847795289201E+19</v>
      </c>
    </row>
    <row r="177" spans="3:14">
      <c r="C177" s="29" t="b">
        <v>0</v>
      </c>
      <c r="D177" s="30">
        <v>16</v>
      </c>
      <c r="E177" s="137">
        <v>6</v>
      </c>
      <c r="F177" s="30">
        <v>250</v>
      </c>
      <c r="G177" s="30">
        <v>100</v>
      </c>
      <c r="H177" s="30">
        <v>3278</v>
      </c>
      <c r="I177" s="30">
        <v>18</v>
      </c>
      <c r="J177" s="30">
        <v>73</v>
      </c>
      <c r="K177" s="30" t="s">
        <v>69</v>
      </c>
      <c r="L177" s="30" t="s">
        <v>159</v>
      </c>
      <c r="M177" s="58">
        <v>0</v>
      </c>
      <c r="N177" s="58">
        <v>3.20528994157999E+18</v>
      </c>
    </row>
    <row r="178" spans="3:14">
      <c r="C178" s="29" t="b">
        <v>0</v>
      </c>
      <c r="D178" s="30">
        <v>18</v>
      </c>
      <c r="E178" s="137">
        <v>6</v>
      </c>
      <c r="F178" s="30">
        <v>232</v>
      </c>
      <c r="G178" s="30">
        <v>100</v>
      </c>
      <c r="H178" s="30">
        <v>2945</v>
      </c>
      <c r="I178" s="30">
        <v>16</v>
      </c>
      <c r="J178" s="30">
        <v>73</v>
      </c>
      <c r="K178" s="30" t="s">
        <v>69</v>
      </c>
      <c r="L178" s="30" t="s">
        <v>88</v>
      </c>
      <c r="M178" s="58">
        <v>0</v>
      </c>
      <c r="N178" s="58">
        <v>1.5709431706168901E+18</v>
      </c>
    </row>
    <row r="179" spans="3:14">
      <c r="C179" s="29" t="b">
        <v>0</v>
      </c>
      <c r="D179" s="30">
        <v>18</v>
      </c>
      <c r="E179" s="137">
        <v>6</v>
      </c>
      <c r="F179" s="30">
        <v>250</v>
      </c>
      <c r="G179" s="30">
        <v>88</v>
      </c>
      <c r="H179" s="30">
        <v>3021</v>
      </c>
      <c r="I179" s="30">
        <v>16.5</v>
      </c>
      <c r="J179" s="30">
        <v>73</v>
      </c>
      <c r="K179" s="30" t="s">
        <v>69</v>
      </c>
      <c r="L179" s="30" t="s">
        <v>89</v>
      </c>
      <c r="M179" s="58">
        <v>0</v>
      </c>
      <c r="N179" s="58">
        <v>9.8498208360280105E+18</v>
      </c>
    </row>
    <row r="180" spans="3:14">
      <c r="C180" s="29" t="b">
        <v>0</v>
      </c>
      <c r="D180" s="30">
        <v>23</v>
      </c>
      <c r="E180" s="137">
        <v>6</v>
      </c>
      <c r="F180" s="30">
        <v>198</v>
      </c>
      <c r="G180" s="30">
        <v>95</v>
      </c>
      <c r="H180" s="30">
        <v>2904</v>
      </c>
      <c r="I180" s="30">
        <v>16</v>
      </c>
      <c r="J180" s="30">
        <v>73</v>
      </c>
      <c r="K180" s="30" t="s">
        <v>69</v>
      </c>
      <c r="L180" s="30" t="s">
        <v>87</v>
      </c>
      <c r="M180" s="58">
        <v>0</v>
      </c>
      <c r="N180" s="58">
        <v>1.19909995823517E+19</v>
      </c>
    </row>
    <row r="181" spans="3:14">
      <c r="C181" s="29" t="b">
        <v>0</v>
      </c>
      <c r="D181" s="30">
        <v>26</v>
      </c>
      <c r="E181" s="137">
        <v>4</v>
      </c>
      <c r="F181" s="30">
        <v>97</v>
      </c>
      <c r="G181" s="30">
        <v>46</v>
      </c>
      <c r="H181" s="30">
        <v>1950</v>
      </c>
      <c r="I181" s="30">
        <v>21</v>
      </c>
      <c r="J181" s="30">
        <v>73</v>
      </c>
      <c r="K181" s="30" t="s">
        <v>91</v>
      </c>
      <c r="L181" s="30" t="s">
        <v>160</v>
      </c>
      <c r="M181" s="58">
        <v>0</v>
      </c>
      <c r="N181" s="58">
        <v>3.6718929752849101E+18</v>
      </c>
    </row>
    <row r="182" spans="3:14">
      <c r="C182" s="29" t="b">
        <v>0</v>
      </c>
      <c r="D182" s="30">
        <v>11</v>
      </c>
      <c r="E182" s="137">
        <v>8</v>
      </c>
      <c r="F182" s="30">
        <v>400</v>
      </c>
      <c r="G182" s="30">
        <v>150</v>
      </c>
      <c r="H182" s="30">
        <v>4997</v>
      </c>
      <c r="I182" s="30">
        <v>14</v>
      </c>
      <c r="J182" s="30">
        <v>73</v>
      </c>
      <c r="K182" s="30" t="s">
        <v>69</v>
      </c>
      <c r="L182" s="30" t="s">
        <v>77</v>
      </c>
      <c r="M182" s="58">
        <v>0</v>
      </c>
      <c r="N182" s="58">
        <v>3.2320032362904801E+18</v>
      </c>
    </row>
    <row r="183" spans="3:14">
      <c r="C183" s="29" t="b">
        <v>0</v>
      </c>
      <c r="D183" s="30">
        <v>12</v>
      </c>
      <c r="E183" s="137">
        <v>8</v>
      </c>
      <c r="F183" s="30">
        <v>400</v>
      </c>
      <c r="G183" s="30">
        <v>167</v>
      </c>
      <c r="H183" s="30">
        <v>4906</v>
      </c>
      <c r="I183" s="30">
        <v>12.5</v>
      </c>
      <c r="J183" s="30">
        <v>73</v>
      </c>
      <c r="K183" s="30" t="s">
        <v>69</v>
      </c>
      <c r="L183" s="30" t="s">
        <v>161</v>
      </c>
      <c r="M183" s="58">
        <v>0</v>
      </c>
      <c r="N183" s="58">
        <v>1.6383166978475801E+19</v>
      </c>
    </row>
    <row r="184" spans="3:14">
      <c r="C184" s="29" t="b">
        <v>0</v>
      </c>
      <c r="D184" s="30">
        <v>13</v>
      </c>
      <c r="E184" s="137">
        <v>8</v>
      </c>
      <c r="F184" s="30">
        <v>360</v>
      </c>
      <c r="G184" s="30">
        <v>170</v>
      </c>
      <c r="H184" s="30">
        <v>4654</v>
      </c>
      <c r="I184" s="30">
        <v>13</v>
      </c>
      <c r="J184" s="30">
        <v>73</v>
      </c>
      <c r="K184" s="30" t="s">
        <v>69</v>
      </c>
      <c r="L184" s="30" t="s">
        <v>162</v>
      </c>
      <c r="M184" s="58">
        <v>0</v>
      </c>
      <c r="N184" s="58">
        <v>1.4330344922773801E+19</v>
      </c>
    </row>
    <row r="185" spans="3:14">
      <c r="C185" s="29" t="b">
        <v>0</v>
      </c>
      <c r="D185" s="30">
        <v>12</v>
      </c>
      <c r="E185" s="137">
        <v>8</v>
      </c>
      <c r="F185" s="30">
        <v>350</v>
      </c>
      <c r="G185" s="30">
        <v>180</v>
      </c>
      <c r="H185" s="30">
        <v>4499</v>
      </c>
      <c r="I185" s="30">
        <v>12.5</v>
      </c>
      <c r="J185" s="30">
        <v>73</v>
      </c>
      <c r="K185" s="30" t="s">
        <v>69</v>
      </c>
      <c r="L185" s="30" t="s">
        <v>163</v>
      </c>
      <c r="M185" s="58">
        <v>0</v>
      </c>
      <c r="N185" s="58">
        <v>4.16178385769246E+18</v>
      </c>
    </row>
    <row r="186" spans="3:14">
      <c r="C186" s="29" t="b">
        <v>0</v>
      </c>
      <c r="D186" s="30">
        <v>18</v>
      </c>
      <c r="E186" s="137">
        <v>6</v>
      </c>
      <c r="F186" s="30">
        <v>232</v>
      </c>
      <c r="G186" s="30">
        <v>100</v>
      </c>
      <c r="H186" s="30">
        <v>2789</v>
      </c>
      <c r="I186" s="30">
        <v>15</v>
      </c>
      <c r="J186" s="30">
        <v>73</v>
      </c>
      <c r="K186" s="30" t="s">
        <v>69</v>
      </c>
      <c r="L186" s="30" t="s">
        <v>97</v>
      </c>
      <c r="M186" s="58">
        <v>0</v>
      </c>
      <c r="N186" s="58">
        <v>4.1275063456364902E+18</v>
      </c>
    </row>
    <row r="187" spans="3:14">
      <c r="C187" s="29" t="b">
        <v>0</v>
      </c>
      <c r="D187" s="30">
        <v>20</v>
      </c>
      <c r="E187" s="137">
        <v>4</v>
      </c>
      <c r="F187" s="30">
        <v>97</v>
      </c>
      <c r="G187" s="30">
        <v>88</v>
      </c>
      <c r="H187" s="30">
        <v>2279</v>
      </c>
      <c r="I187" s="30">
        <v>19</v>
      </c>
      <c r="J187" s="30">
        <v>73</v>
      </c>
      <c r="K187" s="30" t="s">
        <v>85</v>
      </c>
      <c r="L187" s="30" t="s">
        <v>164</v>
      </c>
      <c r="M187" s="58">
        <v>0</v>
      </c>
      <c r="N187" s="58">
        <v>2.3485818873010002E+18</v>
      </c>
    </row>
    <row r="188" spans="3:14">
      <c r="C188" s="29" t="b">
        <v>0</v>
      </c>
      <c r="D188" s="30">
        <v>21</v>
      </c>
      <c r="E188" s="137">
        <v>4</v>
      </c>
      <c r="F188" s="30">
        <v>140</v>
      </c>
      <c r="G188" s="30">
        <v>72</v>
      </c>
      <c r="H188" s="30">
        <v>2401</v>
      </c>
      <c r="I188" s="30">
        <v>19.5</v>
      </c>
      <c r="J188" s="30">
        <v>73</v>
      </c>
      <c r="K188" s="30" t="s">
        <v>69</v>
      </c>
      <c r="L188" s="30" t="s">
        <v>126</v>
      </c>
      <c r="M188" s="58">
        <v>0</v>
      </c>
      <c r="N188" s="58">
        <v>1.34998298542388E+19</v>
      </c>
    </row>
    <row r="189" spans="3:14">
      <c r="C189" s="29" t="b">
        <v>0</v>
      </c>
      <c r="D189" s="30">
        <v>22</v>
      </c>
      <c r="E189" s="137">
        <v>4</v>
      </c>
      <c r="F189" s="30">
        <v>108</v>
      </c>
      <c r="G189" s="30">
        <v>94</v>
      </c>
      <c r="H189" s="30">
        <v>2379</v>
      </c>
      <c r="I189" s="30">
        <v>16.5</v>
      </c>
      <c r="J189" s="30">
        <v>73</v>
      </c>
      <c r="K189" s="30" t="s">
        <v>85</v>
      </c>
      <c r="L189" s="30" t="s">
        <v>165</v>
      </c>
      <c r="M189" s="58">
        <v>0</v>
      </c>
      <c r="N189" s="58">
        <v>3.7287420475365499E+18</v>
      </c>
    </row>
    <row r="190" spans="3:14">
      <c r="C190" s="29" t="b">
        <v>0</v>
      </c>
      <c r="D190" s="30">
        <v>18</v>
      </c>
      <c r="E190" s="137">
        <v>3</v>
      </c>
      <c r="F190" s="30">
        <v>70</v>
      </c>
      <c r="G190" s="30">
        <v>90</v>
      </c>
      <c r="H190" s="30">
        <v>2124</v>
      </c>
      <c r="I190" s="30">
        <v>13.5</v>
      </c>
      <c r="J190" s="30">
        <v>73</v>
      </c>
      <c r="K190" s="30" t="s">
        <v>85</v>
      </c>
      <c r="L190" s="30" t="s">
        <v>166</v>
      </c>
      <c r="M190" s="58">
        <v>0</v>
      </c>
      <c r="N190" s="58">
        <v>1.2573292852600799E+19</v>
      </c>
    </row>
    <row r="191" spans="3:14">
      <c r="C191" s="29" t="b">
        <v>0</v>
      </c>
      <c r="D191" s="30">
        <v>19</v>
      </c>
      <c r="E191" s="137">
        <v>4</v>
      </c>
      <c r="F191" s="30">
        <v>122</v>
      </c>
      <c r="G191" s="30">
        <v>85</v>
      </c>
      <c r="H191" s="30">
        <v>2310</v>
      </c>
      <c r="I191" s="30">
        <v>18.5</v>
      </c>
      <c r="J191" s="30">
        <v>73</v>
      </c>
      <c r="K191" s="30" t="s">
        <v>69</v>
      </c>
      <c r="L191" s="30" t="s">
        <v>70</v>
      </c>
      <c r="M191" s="58">
        <v>0</v>
      </c>
      <c r="N191" s="58">
        <v>1.4164419532522899E+19</v>
      </c>
    </row>
    <row r="192" spans="3:14">
      <c r="C192" s="29" t="b">
        <v>0</v>
      </c>
      <c r="D192" s="30">
        <v>21</v>
      </c>
      <c r="E192" s="137">
        <v>6</v>
      </c>
      <c r="F192" s="30">
        <v>155</v>
      </c>
      <c r="G192" s="30">
        <v>107</v>
      </c>
      <c r="H192" s="30">
        <v>2472</v>
      </c>
      <c r="I192" s="30">
        <v>14</v>
      </c>
      <c r="J192" s="30">
        <v>73</v>
      </c>
      <c r="K192" s="30" t="s">
        <v>69</v>
      </c>
      <c r="L192" s="30" t="s">
        <v>167</v>
      </c>
      <c r="M192" s="58">
        <v>0</v>
      </c>
      <c r="N192" s="58">
        <v>1.53985545340283E+19</v>
      </c>
    </row>
    <row r="193" spans="3:14">
      <c r="C193" s="29" t="b">
        <v>0</v>
      </c>
      <c r="D193" s="30">
        <v>26</v>
      </c>
      <c r="E193" s="137">
        <v>4</v>
      </c>
      <c r="F193" s="30">
        <v>98</v>
      </c>
      <c r="G193" s="30">
        <v>90</v>
      </c>
      <c r="H193" s="30">
        <v>2265</v>
      </c>
      <c r="I193" s="30">
        <v>15.5</v>
      </c>
      <c r="J193" s="30">
        <v>73</v>
      </c>
      <c r="K193" s="30" t="s">
        <v>91</v>
      </c>
      <c r="L193" s="30" t="s">
        <v>168</v>
      </c>
      <c r="M193" s="58">
        <v>0</v>
      </c>
      <c r="N193" s="58">
        <v>2.13664875977251E+18</v>
      </c>
    </row>
    <row r="194" spans="3:14">
      <c r="C194" s="29" t="b">
        <v>0</v>
      </c>
      <c r="D194" s="30">
        <v>15</v>
      </c>
      <c r="E194" s="137">
        <v>8</v>
      </c>
      <c r="F194" s="30">
        <v>350</v>
      </c>
      <c r="G194" s="30">
        <v>145</v>
      </c>
      <c r="H194" s="30">
        <v>4082</v>
      </c>
      <c r="I194" s="30">
        <v>13</v>
      </c>
      <c r="J194" s="30">
        <v>73</v>
      </c>
      <c r="K194" s="30" t="s">
        <v>69</v>
      </c>
      <c r="L194" s="30" t="s">
        <v>169</v>
      </c>
      <c r="M194" s="58">
        <v>0</v>
      </c>
      <c r="N194" s="58">
        <v>1.8361797348491801E+19</v>
      </c>
    </row>
    <row r="195" spans="3:14">
      <c r="C195" s="29" t="b">
        <v>0</v>
      </c>
      <c r="D195" s="30">
        <v>16</v>
      </c>
      <c r="E195" s="137">
        <v>8</v>
      </c>
      <c r="F195" s="30">
        <v>400</v>
      </c>
      <c r="G195" s="30">
        <v>230</v>
      </c>
      <c r="H195" s="30">
        <v>4278</v>
      </c>
      <c r="I195" s="30">
        <v>9.5</v>
      </c>
      <c r="J195" s="30">
        <v>73</v>
      </c>
      <c r="K195" s="30" t="s">
        <v>69</v>
      </c>
      <c r="L195" s="30" t="s">
        <v>170</v>
      </c>
      <c r="M195" s="58">
        <v>0</v>
      </c>
      <c r="N195" s="58">
        <v>1.43780127084353E+19</v>
      </c>
    </row>
    <row r="196" spans="3:14">
      <c r="C196" s="29" t="b">
        <v>0</v>
      </c>
      <c r="D196" s="30">
        <v>29</v>
      </c>
      <c r="E196" s="137">
        <v>4</v>
      </c>
      <c r="F196" s="30">
        <v>68</v>
      </c>
      <c r="G196" s="30">
        <v>49</v>
      </c>
      <c r="H196" s="30">
        <v>1867</v>
      </c>
      <c r="I196" s="30">
        <v>19.5</v>
      </c>
      <c r="J196" s="30">
        <v>73</v>
      </c>
      <c r="K196" s="30" t="s">
        <v>91</v>
      </c>
      <c r="L196" s="30" t="s">
        <v>171</v>
      </c>
      <c r="M196" s="58">
        <v>0</v>
      </c>
      <c r="N196" s="58">
        <v>1.9396897642304602E+17</v>
      </c>
    </row>
    <row r="197" spans="3:14">
      <c r="C197" s="29" t="b">
        <v>0</v>
      </c>
      <c r="D197" s="30">
        <v>24</v>
      </c>
      <c r="E197" s="137">
        <v>4</v>
      </c>
      <c r="F197" s="30">
        <v>116</v>
      </c>
      <c r="G197" s="30">
        <v>75</v>
      </c>
      <c r="H197" s="30">
        <v>2158</v>
      </c>
      <c r="I197" s="30">
        <v>15.5</v>
      </c>
      <c r="J197" s="30">
        <v>73</v>
      </c>
      <c r="K197" s="30" t="s">
        <v>91</v>
      </c>
      <c r="L197" s="30" t="s">
        <v>172</v>
      </c>
      <c r="M197" s="58">
        <v>0</v>
      </c>
      <c r="N197" s="58">
        <v>1.66396283169577E+19</v>
      </c>
    </row>
    <row r="198" spans="3:14">
      <c r="C198" s="29" t="b">
        <v>0</v>
      </c>
      <c r="D198" s="30">
        <v>20</v>
      </c>
      <c r="E198" s="137">
        <v>4</v>
      </c>
      <c r="F198" s="30">
        <v>114</v>
      </c>
      <c r="G198" s="30">
        <v>91</v>
      </c>
      <c r="H198" s="30">
        <v>2582</v>
      </c>
      <c r="I198" s="30">
        <v>14</v>
      </c>
      <c r="J198" s="30">
        <v>73</v>
      </c>
      <c r="K198" s="30" t="s">
        <v>91</v>
      </c>
      <c r="L198" s="30" t="s">
        <v>173</v>
      </c>
      <c r="M198" s="58">
        <v>0</v>
      </c>
      <c r="N198" s="58">
        <v>1.63223497526814E+19</v>
      </c>
    </row>
    <row r="199" spans="3:14">
      <c r="C199" s="29" t="b">
        <v>0</v>
      </c>
      <c r="D199" s="30">
        <v>19</v>
      </c>
      <c r="E199" s="137">
        <v>4</v>
      </c>
      <c r="F199" s="30">
        <v>121</v>
      </c>
      <c r="G199" s="30">
        <v>112</v>
      </c>
      <c r="H199" s="30">
        <v>2868</v>
      </c>
      <c r="I199" s="30">
        <v>15.5</v>
      </c>
      <c r="J199" s="30">
        <v>73</v>
      </c>
      <c r="K199" s="30" t="s">
        <v>91</v>
      </c>
      <c r="L199" s="30" t="s">
        <v>174</v>
      </c>
      <c r="M199" s="58">
        <v>0</v>
      </c>
      <c r="N199" s="58">
        <v>1.5716730794949401E+19</v>
      </c>
    </row>
    <row r="200" spans="3:14">
      <c r="C200" s="29" t="b">
        <v>0</v>
      </c>
      <c r="D200" s="30">
        <v>15</v>
      </c>
      <c r="E200" s="137">
        <v>8</v>
      </c>
      <c r="F200" s="30">
        <v>318</v>
      </c>
      <c r="G200" s="30">
        <v>150</v>
      </c>
      <c r="H200" s="30">
        <v>3399</v>
      </c>
      <c r="I200" s="30">
        <v>11</v>
      </c>
      <c r="J200" s="30">
        <v>73</v>
      </c>
      <c r="K200" s="30" t="s">
        <v>69</v>
      </c>
      <c r="L200" s="30" t="s">
        <v>175</v>
      </c>
      <c r="M200" s="58">
        <v>0</v>
      </c>
      <c r="N200" s="58">
        <v>5.9044381154495201E+18</v>
      </c>
    </row>
    <row r="201" spans="3:14">
      <c r="C201" s="29" t="b">
        <v>0</v>
      </c>
      <c r="D201" s="30">
        <v>24</v>
      </c>
      <c r="E201" s="137">
        <v>4</v>
      </c>
      <c r="F201" s="30">
        <v>121</v>
      </c>
      <c r="G201" s="30">
        <v>110</v>
      </c>
      <c r="H201" s="30">
        <v>2660</v>
      </c>
      <c r="I201" s="30">
        <v>14</v>
      </c>
      <c r="J201" s="30">
        <v>73</v>
      </c>
      <c r="K201" s="30" t="s">
        <v>91</v>
      </c>
      <c r="L201" s="30" t="s">
        <v>176</v>
      </c>
      <c r="M201" s="58">
        <v>0</v>
      </c>
      <c r="N201" s="58">
        <v>1.6597733131855999E+19</v>
      </c>
    </row>
    <row r="202" spans="3:14">
      <c r="C202" s="29" t="b">
        <v>0</v>
      </c>
      <c r="D202" s="30">
        <v>20</v>
      </c>
      <c r="E202" s="137">
        <v>6</v>
      </c>
      <c r="F202" s="30">
        <v>156</v>
      </c>
      <c r="G202" s="30">
        <v>122</v>
      </c>
      <c r="H202" s="30">
        <v>2807</v>
      </c>
      <c r="I202" s="30">
        <v>13.5</v>
      </c>
      <c r="J202" s="30">
        <v>73</v>
      </c>
      <c r="K202" s="30" t="s">
        <v>85</v>
      </c>
      <c r="L202" s="30" t="s">
        <v>177</v>
      </c>
      <c r="M202" s="58">
        <v>0</v>
      </c>
      <c r="N202" s="58">
        <v>1.28331440330455E+19</v>
      </c>
    </row>
    <row r="203" spans="3:14">
      <c r="C203" s="29" t="b">
        <v>0</v>
      </c>
      <c r="D203" s="30">
        <v>11</v>
      </c>
      <c r="E203" s="137">
        <v>8</v>
      </c>
      <c r="F203" s="30">
        <v>350</v>
      </c>
      <c r="G203" s="30">
        <v>180</v>
      </c>
      <c r="H203" s="30">
        <v>3664</v>
      </c>
      <c r="I203" s="30">
        <v>11</v>
      </c>
      <c r="J203" s="30">
        <v>73</v>
      </c>
      <c r="K203" s="30" t="s">
        <v>69</v>
      </c>
      <c r="L203" s="30" t="s">
        <v>178</v>
      </c>
      <c r="M203" s="58">
        <v>0</v>
      </c>
      <c r="N203" s="58">
        <v>1.60827277978746E+19</v>
      </c>
    </row>
    <row r="204" spans="3:14">
      <c r="C204" s="29" t="b">
        <v>0</v>
      </c>
      <c r="D204" s="30">
        <v>20</v>
      </c>
      <c r="E204" s="137">
        <v>6</v>
      </c>
      <c r="F204" s="30">
        <v>198</v>
      </c>
      <c r="G204" s="30">
        <v>95</v>
      </c>
      <c r="H204" s="30">
        <v>3102</v>
      </c>
      <c r="I204" s="30">
        <v>16.5</v>
      </c>
      <c r="J204" s="30">
        <v>74</v>
      </c>
      <c r="K204" s="30" t="s">
        <v>69</v>
      </c>
      <c r="L204" s="30" t="s">
        <v>87</v>
      </c>
      <c r="M204" s="58">
        <v>0</v>
      </c>
      <c r="N204" s="58">
        <v>1.13592344021469E+19</v>
      </c>
    </row>
    <row r="205" spans="3:14">
      <c r="C205" s="29" t="b">
        <v>0</v>
      </c>
      <c r="D205" s="30">
        <v>21</v>
      </c>
      <c r="E205" s="137">
        <v>6</v>
      </c>
      <c r="F205" s="30">
        <v>200</v>
      </c>
      <c r="G205" s="30"/>
      <c r="H205" s="30">
        <v>2875</v>
      </c>
      <c r="I205" s="30">
        <v>17</v>
      </c>
      <c r="J205" s="30">
        <v>74</v>
      </c>
      <c r="K205" s="30" t="s">
        <v>69</v>
      </c>
      <c r="L205" s="30" t="s">
        <v>89</v>
      </c>
      <c r="M205" s="58">
        <v>1</v>
      </c>
      <c r="N205" s="58">
        <v>9.6135857228376105E+18</v>
      </c>
    </row>
    <row r="206" spans="3:14">
      <c r="C206" s="29" t="b">
        <v>0</v>
      </c>
      <c r="D206" s="30">
        <v>19</v>
      </c>
      <c r="E206" s="137">
        <v>6</v>
      </c>
      <c r="F206" s="30">
        <v>232</v>
      </c>
      <c r="G206" s="30">
        <v>100</v>
      </c>
      <c r="H206" s="30">
        <v>2901</v>
      </c>
      <c r="I206" s="30">
        <v>16</v>
      </c>
      <c r="J206" s="30">
        <v>74</v>
      </c>
      <c r="K206" s="30" t="s">
        <v>69</v>
      </c>
      <c r="L206" s="30" t="s">
        <v>88</v>
      </c>
      <c r="M206" s="58">
        <v>0</v>
      </c>
      <c r="N206" s="58">
        <v>1.1808438735795599E+19</v>
      </c>
    </row>
    <row r="207" spans="3:14">
      <c r="C207" s="29" t="b">
        <v>0</v>
      </c>
      <c r="D207" s="30">
        <v>15</v>
      </c>
      <c r="E207" s="137">
        <v>6</v>
      </c>
      <c r="F207" s="30">
        <v>250</v>
      </c>
      <c r="G207" s="30">
        <v>100</v>
      </c>
      <c r="H207" s="30">
        <v>3336</v>
      </c>
      <c r="I207" s="30">
        <v>17</v>
      </c>
      <c r="J207" s="30">
        <v>74</v>
      </c>
      <c r="K207" s="30" t="s">
        <v>69</v>
      </c>
      <c r="L207" s="30" t="s">
        <v>179</v>
      </c>
      <c r="M207" s="58">
        <v>0</v>
      </c>
      <c r="N207" s="58">
        <v>1.4950200384393501E+19</v>
      </c>
    </row>
    <row r="208" spans="3:14">
      <c r="C208" s="29" t="b">
        <v>0</v>
      </c>
      <c r="D208" s="30">
        <v>31</v>
      </c>
      <c r="E208" s="137">
        <v>4</v>
      </c>
      <c r="F208" s="30">
        <v>79</v>
      </c>
      <c r="G208" s="30">
        <v>67</v>
      </c>
      <c r="H208" s="30">
        <v>1950</v>
      </c>
      <c r="I208" s="30">
        <v>19</v>
      </c>
      <c r="J208" s="30">
        <v>74</v>
      </c>
      <c r="K208" s="30" t="s">
        <v>85</v>
      </c>
      <c r="L208" s="30" t="s">
        <v>180</v>
      </c>
      <c r="M208" s="58">
        <v>0</v>
      </c>
      <c r="N208" s="58">
        <v>8.4919704117953802E+18</v>
      </c>
    </row>
    <row r="209" spans="3:14">
      <c r="C209" s="29" t="b">
        <v>0</v>
      </c>
      <c r="D209" s="30">
        <v>26</v>
      </c>
      <c r="E209" s="137">
        <v>4</v>
      </c>
      <c r="F209" s="30">
        <v>122</v>
      </c>
      <c r="G209" s="30">
        <v>80</v>
      </c>
      <c r="H209" s="30">
        <v>2451</v>
      </c>
      <c r="I209" s="30">
        <v>16.5</v>
      </c>
      <c r="J209" s="30">
        <v>74</v>
      </c>
      <c r="K209" s="30" t="s">
        <v>69</v>
      </c>
      <c r="L209" s="30" t="s">
        <v>70</v>
      </c>
      <c r="M209" s="58">
        <v>0</v>
      </c>
      <c r="N209" s="58">
        <v>6.0549010424676598E+18</v>
      </c>
    </row>
    <row r="210" spans="3:14">
      <c r="C210" s="29" t="b">
        <v>0</v>
      </c>
      <c r="D210" s="30">
        <v>32</v>
      </c>
      <c r="E210" s="137">
        <v>4</v>
      </c>
      <c r="F210" s="30">
        <v>71</v>
      </c>
      <c r="G210" s="30">
        <v>65</v>
      </c>
      <c r="H210" s="30">
        <v>1836</v>
      </c>
      <c r="I210" s="30">
        <v>21</v>
      </c>
      <c r="J210" s="30">
        <v>74</v>
      </c>
      <c r="K210" s="30" t="s">
        <v>85</v>
      </c>
      <c r="L210" s="30" t="s">
        <v>119</v>
      </c>
      <c r="M210" s="58">
        <v>0</v>
      </c>
      <c r="N210" s="58">
        <v>1.00939560227397E+18</v>
      </c>
    </row>
    <row r="211" spans="3:14">
      <c r="C211" s="29" t="b">
        <v>0</v>
      </c>
      <c r="D211" s="30">
        <v>25</v>
      </c>
      <c r="E211" s="137">
        <v>4</v>
      </c>
      <c r="F211" s="30">
        <v>140</v>
      </c>
      <c r="G211" s="30">
        <v>75</v>
      </c>
      <c r="H211" s="30">
        <v>2542</v>
      </c>
      <c r="I211" s="30">
        <v>17</v>
      </c>
      <c r="J211" s="30">
        <v>74</v>
      </c>
      <c r="K211" s="30" t="s">
        <v>69</v>
      </c>
      <c r="L211" s="30" t="s">
        <v>126</v>
      </c>
      <c r="M211" s="58">
        <v>0</v>
      </c>
      <c r="N211" s="58">
        <v>1.37342917771578E+19</v>
      </c>
    </row>
    <row r="212" spans="3:14">
      <c r="C212" s="29" t="b">
        <v>0</v>
      </c>
      <c r="D212" s="30">
        <v>16</v>
      </c>
      <c r="E212" s="137">
        <v>6</v>
      </c>
      <c r="F212" s="30">
        <v>250</v>
      </c>
      <c r="G212" s="30">
        <v>100</v>
      </c>
      <c r="H212" s="30">
        <v>3781</v>
      </c>
      <c r="I212" s="30">
        <v>17</v>
      </c>
      <c r="J212" s="30">
        <v>74</v>
      </c>
      <c r="K212" s="30" t="s">
        <v>69</v>
      </c>
      <c r="L212" s="30" t="s">
        <v>181</v>
      </c>
      <c r="M212" s="58">
        <v>0</v>
      </c>
      <c r="N212" s="58">
        <v>2.3963815842105001E+18</v>
      </c>
    </row>
    <row r="213" spans="3:14">
      <c r="C213" s="29" t="b">
        <v>0</v>
      </c>
      <c r="D213" s="30">
        <v>16</v>
      </c>
      <c r="E213" s="137">
        <v>6</v>
      </c>
      <c r="F213" s="30">
        <v>258</v>
      </c>
      <c r="G213" s="30">
        <v>110</v>
      </c>
      <c r="H213" s="30">
        <v>3632</v>
      </c>
      <c r="I213" s="30">
        <v>18</v>
      </c>
      <c r="J213" s="30">
        <v>74</v>
      </c>
      <c r="K213" s="30" t="s">
        <v>69</v>
      </c>
      <c r="L213" s="30" t="s">
        <v>106</v>
      </c>
      <c r="M213" s="58">
        <v>0</v>
      </c>
      <c r="N213" s="58">
        <v>1.1304139118078501E+19</v>
      </c>
    </row>
    <row r="214" spans="3:14">
      <c r="C214" s="29" t="b">
        <v>0</v>
      </c>
      <c r="D214" s="30">
        <v>18</v>
      </c>
      <c r="E214" s="137">
        <v>6</v>
      </c>
      <c r="F214" s="30">
        <v>225</v>
      </c>
      <c r="G214" s="30">
        <v>105</v>
      </c>
      <c r="H214" s="30">
        <v>3613</v>
      </c>
      <c r="I214" s="30">
        <v>16.5</v>
      </c>
      <c r="J214" s="30">
        <v>74</v>
      </c>
      <c r="K214" s="30" t="s">
        <v>69</v>
      </c>
      <c r="L214" s="30" t="s">
        <v>182</v>
      </c>
      <c r="M214" s="58">
        <v>0</v>
      </c>
      <c r="N214" s="58">
        <v>1.1125344720726001E+18</v>
      </c>
    </row>
    <row r="215" spans="3:14">
      <c r="C215" s="29" t="b">
        <v>0</v>
      </c>
      <c r="D215" s="30">
        <v>16</v>
      </c>
      <c r="E215" s="137">
        <v>8</v>
      </c>
      <c r="F215" s="30">
        <v>302</v>
      </c>
      <c r="G215" s="30">
        <v>140</v>
      </c>
      <c r="H215" s="30">
        <v>4141</v>
      </c>
      <c r="I215" s="30">
        <v>14</v>
      </c>
      <c r="J215" s="30">
        <v>74</v>
      </c>
      <c r="K215" s="30" t="s">
        <v>69</v>
      </c>
      <c r="L215" s="30" t="s">
        <v>149</v>
      </c>
      <c r="M215" s="58">
        <v>0</v>
      </c>
      <c r="N215" s="58">
        <v>8.4771743701713705E+18</v>
      </c>
    </row>
    <row r="216" spans="3:14">
      <c r="C216" s="29" t="b">
        <v>0</v>
      </c>
      <c r="D216" s="30">
        <v>13</v>
      </c>
      <c r="E216" s="137">
        <v>8</v>
      </c>
      <c r="F216" s="30">
        <v>350</v>
      </c>
      <c r="G216" s="30">
        <v>150</v>
      </c>
      <c r="H216" s="30">
        <v>4699</v>
      </c>
      <c r="I216" s="30">
        <v>14.5</v>
      </c>
      <c r="J216" s="30">
        <v>74</v>
      </c>
      <c r="K216" s="30" t="s">
        <v>69</v>
      </c>
      <c r="L216" s="30" t="s">
        <v>183</v>
      </c>
      <c r="M216" s="58">
        <v>0</v>
      </c>
      <c r="N216" s="58">
        <v>1.6200254319284699E+19</v>
      </c>
    </row>
    <row r="217" spans="3:14">
      <c r="C217" s="29" t="b">
        <v>0</v>
      </c>
      <c r="D217" s="30">
        <v>14</v>
      </c>
      <c r="E217" s="137">
        <v>8</v>
      </c>
      <c r="F217" s="30">
        <v>318</v>
      </c>
      <c r="G217" s="30">
        <v>150</v>
      </c>
      <c r="H217" s="30">
        <v>4457</v>
      </c>
      <c r="I217" s="30">
        <v>13.5</v>
      </c>
      <c r="J217" s="30">
        <v>74</v>
      </c>
      <c r="K217" s="30" t="s">
        <v>69</v>
      </c>
      <c r="L217" s="30" t="s">
        <v>184</v>
      </c>
      <c r="M217" s="58">
        <v>0</v>
      </c>
      <c r="N217" s="58">
        <v>1.2456995809277399E+19</v>
      </c>
    </row>
    <row r="218" spans="3:14">
      <c r="C218" s="29" t="b">
        <v>0</v>
      </c>
      <c r="D218" s="30">
        <v>14</v>
      </c>
      <c r="E218" s="137">
        <v>8</v>
      </c>
      <c r="F218" s="30">
        <v>302</v>
      </c>
      <c r="G218" s="30">
        <v>140</v>
      </c>
      <c r="H218" s="30">
        <v>4638</v>
      </c>
      <c r="I218" s="30">
        <v>16</v>
      </c>
      <c r="J218" s="30">
        <v>74</v>
      </c>
      <c r="K218" s="30" t="s">
        <v>69</v>
      </c>
      <c r="L218" s="30" t="s">
        <v>136</v>
      </c>
      <c r="M218" s="58">
        <v>0</v>
      </c>
      <c r="N218" s="58">
        <v>1.16269889462807E+19</v>
      </c>
    </row>
    <row r="219" spans="3:14">
      <c r="C219" s="29" t="b">
        <v>0</v>
      </c>
      <c r="D219" s="30">
        <v>14</v>
      </c>
      <c r="E219" s="137">
        <v>8</v>
      </c>
      <c r="F219" s="30">
        <v>304</v>
      </c>
      <c r="G219" s="30">
        <v>150</v>
      </c>
      <c r="H219" s="30">
        <v>4257</v>
      </c>
      <c r="I219" s="30">
        <v>15.5</v>
      </c>
      <c r="J219" s="30">
        <v>74</v>
      </c>
      <c r="K219" s="30" t="s">
        <v>69</v>
      </c>
      <c r="L219" s="30" t="s">
        <v>134</v>
      </c>
      <c r="M219" s="58">
        <v>0</v>
      </c>
      <c r="N219" s="58">
        <v>8.59381655202654E+18</v>
      </c>
    </row>
    <row r="220" spans="3:14">
      <c r="C220" s="29" t="b">
        <v>0</v>
      </c>
      <c r="D220" s="30">
        <v>29</v>
      </c>
      <c r="E220" s="137">
        <v>4</v>
      </c>
      <c r="F220" s="30">
        <v>98</v>
      </c>
      <c r="G220" s="30">
        <v>83</v>
      </c>
      <c r="H220" s="30">
        <v>2219</v>
      </c>
      <c r="I220" s="30">
        <v>16.5</v>
      </c>
      <c r="J220" s="30">
        <v>74</v>
      </c>
      <c r="K220" s="30" t="s">
        <v>91</v>
      </c>
      <c r="L220" s="30" t="s">
        <v>185</v>
      </c>
      <c r="M220" s="58">
        <v>0</v>
      </c>
      <c r="N220" s="58">
        <v>1.7400017005098899E+19</v>
      </c>
    </row>
    <row r="221" spans="3:14">
      <c r="C221" s="29" t="b">
        <v>0</v>
      </c>
      <c r="D221" s="30">
        <v>26</v>
      </c>
      <c r="E221" s="137">
        <v>4</v>
      </c>
      <c r="F221" s="30">
        <v>79</v>
      </c>
      <c r="G221" s="30">
        <v>67</v>
      </c>
      <c r="H221" s="30">
        <v>1963</v>
      </c>
      <c r="I221" s="30">
        <v>15.5</v>
      </c>
      <c r="J221" s="30">
        <v>74</v>
      </c>
      <c r="K221" s="30" t="s">
        <v>91</v>
      </c>
      <c r="L221" s="30" t="s">
        <v>186</v>
      </c>
      <c r="M221" s="58">
        <v>0</v>
      </c>
      <c r="N221" s="58">
        <v>1.4884703059587701E+19</v>
      </c>
    </row>
    <row r="222" spans="3:14">
      <c r="C222" s="29" t="b">
        <v>0</v>
      </c>
      <c r="D222" s="30">
        <v>26</v>
      </c>
      <c r="E222" s="137">
        <v>4</v>
      </c>
      <c r="F222" s="30">
        <v>97</v>
      </c>
      <c r="G222" s="30">
        <v>78</v>
      </c>
      <c r="H222" s="30">
        <v>2300</v>
      </c>
      <c r="I222" s="30">
        <v>14.5</v>
      </c>
      <c r="J222" s="30">
        <v>74</v>
      </c>
      <c r="K222" s="30" t="s">
        <v>91</v>
      </c>
      <c r="L222" s="30" t="s">
        <v>172</v>
      </c>
      <c r="M222" s="58">
        <v>0</v>
      </c>
      <c r="N222" s="58">
        <v>1.7330818774252501E+19</v>
      </c>
    </row>
    <row r="223" spans="3:14">
      <c r="C223" s="29" t="b">
        <v>0</v>
      </c>
      <c r="D223" s="30">
        <v>31</v>
      </c>
      <c r="E223" s="137">
        <v>4</v>
      </c>
      <c r="F223" s="30">
        <v>76</v>
      </c>
      <c r="G223" s="30">
        <v>52</v>
      </c>
      <c r="H223" s="30">
        <v>1649</v>
      </c>
      <c r="I223" s="30">
        <v>16.5</v>
      </c>
      <c r="J223" s="30">
        <v>74</v>
      </c>
      <c r="K223" s="30" t="s">
        <v>85</v>
      </c>
      <c r="L223" s="30" t="s">
        <v>103</v>
      </c>
      <c r="M223" s="58">
        <v>0</v>
      </c>
      <c r="N223" s="58">
        <v>1.38640896895186E+19</v>
      </c>
    </row>
    <row r="224" spans="3:14">
      <c r="C224" s="29" t="b">
        <v>0</v>
      </c>
      <c r="D224" s="30">
        <v>32</v>
      </c>
      <c r="E224" s="137">
        <v>4</v>
      </c>
      <c r="F224" s="30">
        <v>83</v>
      </c>
      <c r="G224" s="30">
        <v>61</v>
      </c>
      <c r="H224" s="30">
        <v>2003</v>
      </c>
      <c r="I224" s="30">
        <v>19</v>
      </c>
      <c r="J224" s="30">
        <v>74</v>
      </c>
      <c r="K224" s="30" t="s">
        <v>85</v>
      </c>
      <c r="L224" s="30" t="s">
        <v>187</v>
      </c>
      <c r="M224" s="58">
        <v>0</v>
      </c>
      <c r="N224" s="58">
        <v>1.09358870417339E+19</v>
      </c>
    </row>
    <row r="225" spans="3:14">
      <c r="C225" s="29" t="b">
        <v>0</v>
      </c>
      <c r="D225" s="30">
        <v>28</v>
      </c>
      <c r="E225" s="137">
        <v>4</v>
      </c>
      <c r="F225" s="30">
        <v>90</v>
      </c>
      <c r="G225" s="30">
        <v>75</v>
      </c>
      <c r="H225" s="30">
        <v>2125</v>
      </c>
      <c r="I225" s="30">
        <v>14.5</v>
      </c>
      <c r="J225" s="30">
        <v>74</v>
      </c>
      <c r="K225" s="30" t="s">
        <v>69</v>
      </c>
      <c r="L225" s="30" t="s">
        <v>188</v>
      </c>
      <c r="M225" s="58">
        <v>0</v>
      </c>
      <c r="N225" s="58">
        <v>7.6860677475656499E+18</v>
      </c>
    </row>
    <row r="226" spans="3:14">
      <c r="C226" s="29" t="b">
        <v>0</v>
      </c>
      <c r="D226" s="30">
        <v>24</v>
      </c>
      <c r="E226" s="137">
        <v>4</v>
      </c>
      <c r="F226" s="30">
        <v>90</v>
      </c>
      <c r="G226" s="30">
        <v>75</v>
      </c>
      <c r="H226" s="30">
        <v>2108</v>
      </c>
      <c r="I226" s="30">
        <v>15.5</v>
      </c>
      <c r="J226" s="30">
        <v>74</v>
      </c>
      <c r="K226" s="30" t="s">
        <v>91</v>
      </c>
      <c r="L226" s="30" t="s">
        <v>171</v>
      </c>
      <c r="M226" s="58">
        <v>0</v>
      </c>
      <c r="N226" s="58">
        <v>1.82348104796922E+19</v>
      </c>
    </row>
    <row r="227" spans="3:14">
      <c r="C227" s="29" t="b">
        <v>0</v>
      </c>
      <c r="D227" s="30">
        <v>26</v>
      </c>
      <c r="E227" s="137">
        <v>4</v>
      </c>
      <c r="F227" s="30">
        <v>116</v>
      </c>
      <c r="G227" s="30">
        <v>75</v>
      </c>
      <c r="H227" s="30">
        <v>2246</v>
      </c>
      <c r="I227" s="30">
        <v>14</v>
      </c>
      <c r="J227" s="30">
        <v>74</v>
      </c>
      <c r="K227" s="30" t="s">
        <v>91</v>
      </c>
      <c r="L227" s="30" t="s">
        <v>189</v>
      </c>
      <c r="M227" s="58">
        <v>0</v>
      </c>
      <c r="N227" s="58">
        <v>1.32066137643649E+19</v>
      </c>
    </row>
    <row r="228" spans="3:14">
      <c r="C228" s="29" t="b">
        <v>0</v>
      </c>
      <c r="D228" s="30">
        <v>24</v>
      </c>
      <c r="E228" s="137">
        <v>4</v>
      </c>
      <c r="F228" s="30">
        <v>120</v>
      </c>
      <c r="G228" s="30">
        <v>97</v>
      </c>
      <c r="H228" s="30">
        <v>2489</v>
      </c>
      <c r="I228" s="30">
        <v>15</v>
      </c>
      <c r="J228" s="30">
        <v>74</v>
      </c>
      <c r="K228" s="30" t="s">
        <v>85</v>
      </c>
      <c r="L228" s="30" t="s">
        <v>190</v>
      </c>
      <c r="M228" s="58">
        <v>0</v>
      </c>
      <c r="N228" s="58">
        <v>5.1735069272152105E+18</v>
      </c>
    </row>
    <row r="229" spans="3:14">
      <c r="C229" s="29" t="b">
        <v>0</v>
      </c>
      <c r="D229" s="30">
        <v>26</v>
      </c>
      <c r="E229" s="137">
        <v>4</v>
      </c>
      <c r="F229" s="30">
        <v>108</v>
      </c>
      <c r="G229" s="30">
        <v>93</v>
      </c>
      <c r="H229" s="30">
        <v>2391</v>
      </c>
      <c r="I229" s="30">
        <v>15.5</v>
      </c>
      <c r="J229" s="30">
        <v>74</v>
      </c>
      <c r="K229" s="30" t="s">
        <v>85</v>
      </c>
      <c r="L229" s="30" t="s">
        <v>191</v>
      </c>
      <c r="M229" s="58">
        <v>0</v>
      </c>
      <c r="N229" s="58">
        <v>1.2557308677809299E+19</v>
      </c>
    </row>
    <row r="230" spans="3:14">
      <c r="C230" s="29" t="b">
        <v>0</v>
      </c>
      <c r="D230" s="30">
        <v>31</v>
      </c>
      <c r="E230" s="137">
        <v>4</v>
      </c>
      <c r="F230" s="30">
        <v>79</v>
      </c>
      <c r="G230" s="30">
        <v>67</v>
      </c>
      <c r="H230" s="30">
        <v>2000</v>
      </c>
      <c r="I230" s="30">
        <v>16</v>
      </c>
      <c r="J230" s="30">
        <v>74</v>
      </c>
      <c r="K230" s="30" t="s">
        <v>91</v>
      </c>
      <c r="L230" s="30" t="s">
        <v>192</v>
      </c>
      <c r="M230" s="58">
        <v>0</v>
      </c>
      <c r="N230" s="58">
        <v>1.80336050192482E+19</v>
      </c>
    </row>
    <row r="231" spans="3:14">
      <c r="C231" s="29" t="b">
        <v>0</v>
      </c>
      <c r="D231" s="30">
        <v>19</v>
      </c>
      <c r="E231" s="137">
        <v>6</v>
      </c>
      <c r="F231" s="30">
        <v>225</v>
      </c>
      <c r="G231" s="30">
        <v>95</v>
      </c>
      <c r="H231" s="30">
        <v>3264</v>
      </c>
      <c r="I231" s="30">
        <v>16</v>
      </c>
      <c r="J231" s="30">
        <v>75</v>
      </c>
      <c r="K231" s="30" t="s">
        <v>69</v>
      </c>
      <c r="L231" s="30" t="s">
        <v>193</v>
      </c>
      <c r="M231" s="58">
        <v>0</v>
      </c>
      <c r="N231" s="58">
        <v>1.4069459813669501E+19</v>
      </c>
    </row>
    <row r="232" spans="3:14">
      <c r="C232" s="29" t="b">
        <v>0</v>
      </c>
      <c r="D232" s="30">
        <v>18</v>
      </c>
      <c r="E232" s="137">
        <v>6</v>
      </c>
      <c r="F232" s="30">
        <v>250</v>
      </c>
      <c r="G232" s="30">
        <v>105</v>
      </c>
      <c r="H232" s="30">
        <v>3459</v>
      </c>
      <c r="I232" s="30">
        <v>16</v>
      </c>
      <c r="J232" s="30">
        <v>75</v>
      </c>
      <c r="K232" s="30" t="s">
        <v>69</v>
      </c>
      <c r="L232" s="30" t="s">
        <v>179</v>
      </c>
      <c r="M232" s="58">
        <v>0</v>
      </c>
      <c r="N232" s="58">
        <v>8.23093094386462E+18</v>
      </c>
    </row>
    <row r="233" spans="3:14">
      <c r="C233" s="29" t="b">
        <v>0</v>
      </c>
      <c r="D233" s="30">
        <v>15</v>
      </c>
      <c r="E233" s="137">
        <v>6</v>
      </c>
      <c r="F233" s="30">
        <v>250</v>
      </c>
      <c r="G233" s="30">
        <v>72</v>
      </c>
      <c r="H233" s="30">
        <v>3432</v>
      </c>
      <c r="I233" s="30">
        <v>21</v>
      </c>
      <c r="J233" s="30">
        <v>75</v>
      </c>
      <c r="K233" s="30" t="s">
        <v>69</v>
      </c>
      <c r="L233" s="30" t="s">
        <v>194</v>
      </c>
      <c r="M233" s="58">
        <v>0</v>
      </c>
      <c r="N233" s="58">
        <v>6.8353309937583401E+18</v>
      </c>
    </row>
    <row r="234" spans="3:14">
      <c r="C234" s="29" t="b">
        <v>0</v>
      </c>
      <c r="D234" s="30">
        <v>15</v>
      </c>
      <c r="E234" s="137">
        <v>6</v>
      </c>
      <c r="F234" s="30">
        <v>250</v>
      </c>
      <c r="G234" s="30">
        <v>72</v>
      </c>
      <c r="H234" s="30">
        <v>3158</v>
      </c>
      <c r="I234" s="30">
        <v>19.5</v>
      </c>
      <c r="J234" s="30">
        <v>75</v>
      </c>
      <c r="K234" s="30" t="s">
        <v>69</v>
      </c>
      <c r="L234" s="30" t="s">
        <v>89</v>
      </c>
      <c r="M234" s="58">
        <v>0</v>
      </c>
      <c r="N234" s="58">
        <v>8.7675300294666004E+18</v>
      </c>
    </row>
    <row r="235" spans="3:14">
      <c r="C235" s="29" t="b">
        <v>0</v>
      </c>
      <c r="D235" s="30">
        <v>16</v>
      </c>
      <c r="E235" s="137">
        <v>8</v>
      </c>
      <c r="F235" s="30">
        <v>400</v>
      </c>
      <c r="G235" s="30">
        <v>170</v>
      </c>
      <c r="H235" s="30">
        <v>4668</v>
      </c>
      <c r="I235" s="30">
        <v>11.5</v>
      </c>
      <c r="J235" s="30">
        <v>75</v>
      </c>
      <c r="K235" s="30" t="s">
        <v>69</v>
      </c>
      <c r="L235" s="30" t="s">
        <v>79</v>
      </c>
      <c r="M235" s="58">
        <v>0</v>
      </c>
      <c r="N235" s="58">
        <v>1.25655878212113E+19</v>
      </c>
    </row>
    <row r="236" spans="3:14">
      <c r="C236" s="29" t="b">
        <v>0</v>
      </c>
      <c r="D236" s="30">
        <v>15</v>
      </c>
      <c r="E236" s="137">
        <v>8</v>
      </c>
      <c r="F236" s="30">
        <v>350</v>
      </c>
      <c r="G236" s="30">
        <v>145</v>
      </c>
      <c r="H236" s="30">
        <v>4440</v>
      </c>
      <c r="I236" s="30">
        <v>14</v>
      </c>
      <c r="J236" s="30">
        <v>75</v>
      </c>
      <c r="K236" s="30" t="s">
        <v>69</v>
      </c>
      <c r="L236" s="30" t="s">
        <v>195</v>
      </c>
      <c r="M236" s="58">
        <v>0</v>
      </c>
      <c r="N236" s="58">
        <v>1.0384810664878201E+19</v>
      </c>
    </row>
    <row r="237" spans="3:14">
      <c r="C237" s="29" t="b">
        <v>0</v>
      </c>
      <c r="D237" s="30">
        <v>16</v>
      </c>
      <c r="E237" s="137">
        <v>8</v>
      </c>
      <c r="F237" s="30">
        <v>318</v>
      </c>
      <c r="G237" s="30">
        <v>150</v>
      </c>
      <c r="H237" s="30">
        <v>4498</v>
      </c>
      <c r="I237" s="30">
        <v>14.5</v>
      </c>
      <c r="J237" s="30">
        <v>75</v>
      </c>
      <c r="K237" s="30" t="s">
        <v>69</v>
      </c>
      <c r="L237" s="30" t="s">
        <v>196</v>
      </c>
      <c r="M237" s="58">
        <v>0</v>
      </c>
      <c r="N237" s="58">
        <v>1.42794830696214E+19</v>
      </c>
    </row>
    <row r="238" spans="3:14">
      <c r="C238" s="29" t="b">
        <v>0</v>
      </c>
      <c r="D238" s="30">
        <v>14</v>
      </c>
      <c r="E238" s="137">
        <v>8</v>
      </c>
      <c r="F238" s="30">
        <v>351</v>
      </c>
      <c r="G238" s="30">
        <v>148</v>
      </c>
      <c r="H238" s="30">
        <v>4657</v>
      </c>
      <c r="I238" s="30">
        <v>13.5</v>
      </c>
      <c r="J238" s="30">
        <v>75</v>
      </c>
      <c r="K238" s="30" t="s">
        <v>69</v>
      </c>
      <c r="L238" s="30" t="s">
        <v>153</v>
      </c>
      <c r="M238" s="58">
        <v>0</v>
      </c>
      <c r="N238" s="58">
        <v>1.57171532883217E+19</v>
      </c>
    </row>
    <row r="239" spans="3:14">
      <c r="C239" s="29" t="b">
        <v>0</v>
      </c>
      <c r="D239" s="30">
        <v>17</v>
      </c>
      <c r="E239" s="137">
        <v>6</v>
      </c>
      <c r="F239" s="30">
        <v>231</v>
      </c>
      <c r="G239" s="30">
        <v>110</v>
      </c>
      <c r="H239" s="30">
        <v>3907</v>
      </c>
      <c r="I239" s="30">
        <v>21</v>
      </c>
      <c r="J239" s="30">
        <v>75</v>
      </c>
      <c r="K239" s="30" t="s">
        <v>69</v>
      </c>
      <c r="L239" s="30" t="s">
        <v>197</v>
      </c>
      <c r="M239" s="58">
        <v>0</v>
      </c>
      <c r="N239" s="58">
        <v>3.2112361092765998E+18</v>
      </c>
    </row>
    <row r="240" spans="3:14">
      <c r="C240" s="29" t="b">
        <v>0</v>
      </c>
      <c r="D240" s="30">
        <v>16</v>
      </c>
      <c r="E240" s="137">
        <v>6</v>
      </c>
      <c r="F240" s="30">
        <v>250</v>
      </c>
      <c r="G240" s="30">
        <v>105</v>
      </c>
      <c r="H240" s="30">
        <v>3897</v>
      </c>
      <c r="I240" s="30">
        <v>18.5</v>
      </c>
      <c r="J240" s="30">
        <v>75</v>
      </c>
      <c r="K240" s="30" t="s">
        <v>69</v>
      </c>
      <c r="L240" s="30" t="s">
        <v>198</v>
      </c>
      <c r="M240" s="58">
        <v>0</v>
      </c>
      <c r="N240" s="58">
        <v>5.8674340042642504E+18</v>
      </c>
    </row>
    <row r="241" spans="3:14">
      <c r="C241" s="29" t="b">
        <v>0</v>
      </c>
      <c r="D241" s="30">
        <v>15</v>
      </c>
      <c r="E241" s="137">
        <v>6</v>
      </c>
      <c r="F241" s="30">
        <v>258</v>
      </c>
      <c r="G241" s="30">
        <v>110</v>
      </c>
      <c r="H241" s="30">
        <v>3730</v>
      </c>
      <c r="I241" s="30">
        <v>19</v>
      </c>
      <c r="J241" s="30">
        <v>75</v>
      </c>
      <c r="K241" s="30" t="s">
        <v>69</v>
      </c>
      <c r="L241" s="30" t="s">
        <v>106</v>
      </c>
      <c r="M241" s="58">
        <v>0</v>
      </c>
      <c r="N241" s="58">
        <v>3.83985425564147E+18</v>
      </c>
    </row>
    <row r="242" spans="3:14">
      <c r="C242" s="29" t="b">
        <v>0</v>
      </c>
      <c r="D242" s="30">
        <v>18</v>
      </c>
      <c r="E242" s="137">
        <v>6</v>
      </c>
      <c r="F242" s="30">
        <v>225</v>
      </c>
      <c r="G242" s="30">
        <v>95</v>
      </c>
      <c r="H242" s="30">
        <v>3785</v>
      </c>
      <c r="I242" s="30">
        <v>19</v>
      </c>
      <c r="J242" s="30">
        <v>75</v>
      </c>
      <c r="K242" s="30" t="s">
        <v>69</v>
      </c>
      <c r="L242" s="30" t="s">
        <v>199</v>
      </c>
      <c r="M242" s="58">
        <v>0</v>
      </c>
      <c r="N242" s="58">
        <v>1.1648722964718899E+19</v>
      </c>
    </row>
    <row r="243" spans="3:14">
      <c r="C243" s="29" t="b">
        <v>0</v>
      </c>
      <c r="D243" s="30">
        <v>21</v>
      </c>
      <c r="E243" s="137">
        <v>6</v>
      </c>
      <c r="F243" s="30">
        <v>231</v>
      </c>
      <c r="G243" s="30">
        <v>110</v>
      </c>
      <c r="H243" s="30">
        <v>3039</v>
      </c>
      <c r="I243" s="30">
        <v>15</v>
      </c>
      <c r="J243" s="30">
        <v>75</v>
      </c>
      <c r="K243" s="30" t="s">
        <v>69</v>
      </c>
      <c r="L243" s="30" t="s">
        <v>200</v>
      </c>
      <c r="M243" s="58">
        <v>0</v>
      </c>
      <c r="N243" s="58">
        <v>1.3885106306057099E+19</v>
      </c>
    </row>
    <row r="244" spans="3:14">
      <c r="C244" s="29" t="b">
        <v>0</v>
      </c>
      <c r="D244" s="30">
        <v>20</v>
      </c>
      <c r="E244" s="137">
        <v>8</v>
      </c>
      <c r="F244" s="30">
        <v>262</v>
      </c>
      <c r="G244" s="30">
        <v>110</v>
      </c>
      <c r="H244" s="30">
        <v>3221</v>
      </c>
      <c r="I244" s="30">
        <v>13.5</v>
      </c>
      <c r="J244" s="30">
        <v>75</v>
      </c>
      <c r="K244" s="30" t="s">
        <v>69</v>
      </c>
      <c r="L244" s="30" t="s">
        <v>201</v>
      </c>
      <c r="M244" s="58">
        <v>0</v>
      </c>
      <c r="N244" s="58">
        <v>5.0049144230048102E+18</v>
      </c>
    </row>
    <row r="245" spans="3:14">
      <c r="C245" s="29" t="b">
        <v>0</v>
      </c>
      <c r="D245" s="30">
        <v>13</v>
      </c>
      <c r="E245" s="137">
        <v>8</v>
      </c>
      <c r="F245" s="30">
        <v>302</v>
      </c>
      <c r="G245" s="30">
        <v>129</v>
      </c>
      <c r="H245" s="30">
        <v>3169</v>
      </c>
      <c r="I245" s="30">
        <v>12</v>
      </c>
      <c r="J245" s="30">
        <v>75</v>
      </c>
      <c r="K245" s="30" t="s">
        <v>69</v>
      </c>
      <c r="L245" s="30" t="s">
        <v>202</v>
      </c>
      <c r="M245" s="58">
        <v>0</v>
      </c>
      <c r="N245" s="58">
        <v>1.1264238684129901E+19</v>
      </c>
    </row>
    <row r="246" spans="3:14">
      <c r="C246" s="29" t="b">
        <v>0</v>
      </c>
      <c r="D246" s="30">
        <v>29</v>
      </c>
      <c r="E246" s="137">
        <v>4</v>
      </c>
      <c r="F246" s="30">
        <v>97</v>
      </c>
      <c r="G246" s="30">
        <v>75</v>
      </c>
      <c r="H246" s="30">
        <v>2171</v>
      </c>
      <c r="I246" s="30">
        <v>16</v>
      </c>
      <c r="J246" s="30">
        <v>75</v>
      </c>
      <c r="K246" s="30" t="s">
        <v>85</v>
      </c>
      <c r="L246" s="30" t="s">
        <v>203</v>
      </c>
      <c r="M246" s="58">
        <v>0</v>
      </c>
      <c r="N246" s="58">
        <v>1.3160278423509201E+19</v>
      </c>
    </row>
    <row r="247" spans="3:14">
      <c r="C247" s="29" t="b">
        <v>0</v>
      </c>
      <c r="D247" s="30">
        <v>23</v>
      </c>
      <c r="E247" s="137">
        <v>4</v>
      </c>
      <c r="F247" s="30">
        <v>140</v>
      </c>
      <c r="G247" s="30">
        <v>83</v>
      </c>
      <c r="H247" s="30">
        <v>2639</v>
      </c>
      <c r="I247" s="30">
        <v>17</v>
      </c>
      <c r="J247" s="30">
        <v>75</v>
      </c>
      <c r="K247" s="30" t="s">
        <v>69</v>
      </c>
      <c r="L247" s="30" t="s">
        <v>70</v>
      </c>
      <c r="M247" s="58">
        <v>0</v>
      </c>
      <c r="N247" s="58">
        <v>1.38511205964457E+19</v>
      </c>
    </row>
    <row r="248" spans="3:14">
      <c r="C248" s="29" t="b">
        <v>0</v>
      </c>
      <c r="D248" s="30">
        <v>20</v>
      </c>
      <c r="E248" s="137">
        <v>6</v>
      </c>
      <c r="F248" s="30">
        <v>232</v>
      </c>
      <c r="G248" s="30">
        <v>100</v>
      </c>
      <c r="H248" s="30">
        <v>2914</v>
      </c>
      <c r="I248" s="30">
        <v>16</v>
      </c>
      <c r="J248" s="30">
        <v>75</v>
      </c>
      <c r="K248" s="30" t="s">
        <v>69</v>
      </c>
      <c r="L248" s="30" t="s">
        <v>97</v>
      </c>
      <c r="M248" s="58">
        <v>0</v>
      </c>
      <c r="N248" s="58">
        <v>2.6004826323719199E+18</v>
      </c>
    </row>
    <row r="249" spans="3:14">
      <c r="C249" s="29" t="b">
        <v>0</v>
      </c>
      <c r="D249" s="30">
        <v>23</v>
      </c>
      <c r="E249" s="137">
        <v>4</v>
      </c>
      <c r="F249" s="30">
        <v>140</v>
      </c>
      <c r="G249" s="30">
        <v>78</v>
      </c>
      <c r="H249" s="30">
        <v>2592</v>
      </c>
      <c r="I249" s="30">
        <v>18.5</v>
      </c>
      <c r="J249" s="30">
        <v>75</v>
      </c>
      <c r="K249" s="30" t="s">
        <v>69</v>
      </c>
      <c r="L249" s="30" t="s">
        <v>204</v>
      </c>
      <c r="M249" s="58">
        <v>0</v>
      </c>
      <c r="N249" s="58">
        <v>2.4004244595209298E+18</v>
      </c>
    </row>
    <row r="250" spans="3:14">
      <c r="C250" s="29" t="b">
        <v>0</v>
      </c>
      <c r="D250" s="30">
        <v>24</v>
      </c>
      <c r="E250" s="137">
        <v>4</v>
      </c>
      <c r="F250" s="30">
        <v>134</v>
      </c>
      <c r="G250" s="30">
        <v>96</v>
      </c>
      <c r="H250" s="30">
        <v>2702</v>
      </c>
      <c r="I250" s="30">
        <v>13.5</v>
      </c>
      <c r="J250" s="30">
        <v>75</v>
      </c>
      <c r="K250" s="30" t="s">
        <v>85</v>
      </c>
      <c r="L250" s="30" t="s">
        <v>103</v>
      </c>
      <c r="M250" s="58">
        <v>0</v>
      </c>
      <c r="N250" s="58">
        <v>7.2982139240622397E+18</v>
      </c>
    </row>
    <row r="251" spans="3:14">
      <c r="C251" s="29" t="b">
        <v>0</v>
      </c>
      <c r="D251" s="30">
        <v>25</v>
      </c>
      <c r="E251" s="137">
        <v>4</v>
      </c>
      <c r="F251" s="30">
        <v>90</v>
      </c>
      <c r="G251" s="30">
        <v>71</v>
      </c>
      <c r="H251" s="30">
        <v>2223</v>
      </c>
      <c r="I251" s="30">
        <v>16.5</v>
      </c>
      <c r="J251" s="30">
        <v>75</v>
      </c>
      <c r="K251" s="30" t="s">
        <v>91</v>
      </c>
      <c r="L251" s="30" t="s">
        <v>186</v>
      </c>
      <c r="M251" s="58">
        <v>0</v>
      </c>
      <c r="N251" s="58">
        <v>2.4610149957920799E+18</v>
      </c>
    </row>
    <row r="252" spans="3:14">
      <c r="C252" s="29" t="b">
        <v>0</v>
      </c>
      <c r="D252" s="30">
        <v>24</v>
      </c>
      <c r="E252" s="137">
        <v>4</v>
      </c>
      <c r="F252" s="30">
        <v>119</v>
      </c>
      <c r="G252" s="30">
        <v>97</v>
      </c>
      <c r="H252" s="30">
        <v>2545</v>
      </c>
      <c r="I252" s="30">
        <v>17</v>
      </c>
      <c r="J252" s="30">
        <v>75</v>
      </c>
      <c r="K252" s="30" t="s">
        <v>85</v>
      </c>
      <c r="L252" s="30" t="s">
        <v>187</v>
      </c>
      <c r="M252" s="58">
        <v>0</v>
      </c>
      <c r="N252" s="58">
        <v>9.8159743552227697E+18</v>
      </c>
    </row>
    <row r="253" spans="3:14">
      <c r="C253" s="29" t="b">
        <v>0</v>
      </c>
      <c r="D253" s="30">
        <v>18</v>
      </c>
      <c r="E253" s="137">
        <v>6</v>
      </c>
      <c r="F253" s="30">
        <v>171</v>
      </c>
      <c r="G253" s="30">
        <v>97</v>
      </c>
      <c r="H253" s="30">
        <v>2984</v>
      </c>
      <c r="I253" s="30">
        <v>14.5</v>
      </c>
      <c r="J253" s="30">
        <v>75</v>
      </c>
      <c r="K253" s="30" t="s">
        <v>69</v>
      </c>
      <c r="L253" s="30" t="s">
        <v>70</v>
      </c>
      <c r="M253" s="58">
        <v>0</v>
      </c>
      <c r="N253" s="58">
        <v>1.5848850295358599E+19</v>
      </c>
    </row>
    <row r="254" spans="3:14">
      <c r="C254" s="29" t="b">
        <v>0</v>
      </c>
      <c r="D254" s="30">
        <v>29</v>
      </c>
      <c r="E254" s="137">
        <v>4</v>
      </c>
      <c r="F254" s="30">
        <v>90</v>
      </c>
      <c r="G254" s="30">
        <v>70</v>
      </c>
      <c r="H254" s="30">
        <v>1937</v>
      </c>
      <c r="I254" s="30">
        <v>14</v>
      </c>
      <c r="J254" s="30">
        <v>75</v>
      </c>
      <c r="K254" s="30" t="s">
        <v>91</v>
      </c>
      <c r="L254" s="30" t="s">
        <v>205</v>
      </c>
      <c r="M254" s="58">
        <v>0</v>
      </c>
      <c r="N254" s="58">
        <v>2.84292787702788E+17</v>
      </c>
    </row>
    <row r="255" spans="3:14">
      <c r="C255" s="29" t="b">
        <v>0</v>
      </c>
      <c r="D255" s="30">
        <v>19</v>
      </c>
      <c r="E255" s="137">
        <v>6</v>
      </c>
      <c r="F255" s="30">
        <v>232</v>
      </c>
      <c r="G255" s="30">
        <v>90</v>
      </c>
      <c r="H255" s="30">
        <v>3211</v>
      </c>
      <c r="I255" s="30">
        <v>17</v>
      </c>
      <c r="J255" s="30">
        <v>75</v>
      </c>
      <c r="K255" s="30" t="s">
        <v>69</v>
      </c>
      <c r="L255" s="30" t="s">
        <v>206</v>
      </c>
      <c r="M255" s="58">
        <v>0</v>
      </c>
      <c r="N255" s="58">
        <v>7.5108638024813005E+18</v>
      </c>
    </row>
    <row r="256" spans="3:14">
      <c r="C256" s="29" t="b">
        <v>0</v>
      </c>
      <c r="D256" s="30">
        <v>23</v>
      </c>
      <c r="E256" s="137">
        <v>4</v>
      </c>
      <c r="F256" s="30">
        <v>115</v>
      </c>
      <c r="G256" s="30">
        <v>95</v>
      </c>
      <c r="H256" s="30">
        <v>2694</v>
      </c>
      <c r="I256" s="30">
        <v>15</v>
      </c>
      <c r="J256" s="30">
        <v>75</v>
      </c>
      <c r="K256" s="30" t="s">
        <v>91</v>
      </c>
      <c r="L256" s="30" t="s">
        <v>173</v>
      </c>
      <c r="M256" s="58">
        <v>0</v>
      </c>
      <c r="N256" s="58">
        <v>1.8364329212164101E+18</v>
      </c>
    </row>
    <row r="257" spans="3:14">
      <c r="C257" s="29" t="b">
        <v>0</v>
      </c>
      <c r="D257" s="30">
        <v>23</v>
      </c>
      <c r="E257" s="137">
        <v>4</v>
      </c>
      <c r="F257" s="30">
        <v>120</v>
      </c>
      <c r="G257" s="30">
        <v>88</v>
      </c>
      <c r="H257" s="30">
        <v>2957</v>
      </c>
      <c r="I257" s="30">
        <v>17</v>
      </c>
      <c r="J257" s="30">
        <v>75</v>
      </c>
      <c r="K257" s="30" t="s">
        <v>91</v>
      </c>
      <c r="L257" s="30" t="s">
        <v>93</v>
      </c>
      <c r="M257" s="58">
        <v>0</v>
      </c>
      <c r="N257" s="58">
        <v>1.02553381976733E+19</v>
      </c>
    </row>
    <row r="258" spans="3:14">
      <c r="C258" s="29" t="b">
        <v>0</v>
      </c>
      <c r="D258" s="30">
        <v>22</v>
      </c>
      <c r="E258" s="137">
        <v>4</v>
      </c>
      <c r="F258" s="30">
        <v>121</v>
      </c>
      <c r="G258" s="30">
        <v>98</v>
      </c>
      <c r="H258" s="30">
        <v>2945</v>
      </c>
      <c r="I258" s="30">
        <v>14.5</v>
      </c>
      <c r="J258" s="30">
        <v>75</v>
      </c>
      <c r="K258" s="30" t="s">
        <v>91</v>
      </c>
      <c r="L258" s="30" t="s">
        <v>207</v>
      </c>
      <c r="M258" s="58">
        <v>0</v>
      </c>
      <c r="N258" s="58">
        <v>3.1872155586540201E+18</v>
      </c>
    </row>
    <row r="259" spans="3:14">
      <c r="C259" s="29" t="b">
        <v>0</v>
      </c>
      <c r="D259" s="30">
        <v>25</v>
      </c>
      <c r="E259" s="137">
        <v>4</v>
      </c>
      <c r="F259" s="30">
        <v>121</v>
      </c>
      <c r="G259" s="30">
        <v>115</v>
      </c>
      <c r="H259" s="30">
        <v>2671</v>
      </c>
      <c r="I259" s="30">
        <v>13.5</v>
      </c>
      <c r="J259" s="30">
        <v>75</v>
      </c>
      <c r="K259" s="30" t="s">
        <v>91</v>
      </c>
      <c r="L259" s="30" t="s">
        <v>176</v>
      </c>
      <c r="M259" s="58">
        <v>0</v>
      </c>
      <c r="N259" s="58">
        <v>1.6560033579295601E+19</v>
      </c>
    </row>
    <row r="260" spans="3:14">
      <c r="C260" s="29" t="b">
        <v>0</v>
      </c>
      <c r="D260" s="30">
        <v>33</v>
      </c>
      <c r="E260" s="137">
        <v>4</v>
      </c>
      <c r="F260" s="30">
        <v>91</v>
      </c>
      <c r="G260" s="30">
        <v>53</v>
      </c>
      <c r="H260" s="30">
        <v>1795</v>
      </c>
      <c r="I260" s="30">
        <v>17.5</v>
      </c>
      <c r="J260" s="30">
        <v>75</v>
      </c>
      <c r="K260" s="30" t="s">
        <v>85</v>
      </c>
      <c r="L260" s="30" t="s">
        <v>208</v>
      </c>
      <c r="M260" s="58">
        <v>0</v>
      </c>
      <c r="N260" s="58">
        <v>5.8575156215197297E+18</v>
      </c>
    </row>
    <row r="261" spans="3:14">
      <c r="C261" s="29" t="b">
        <v>0</v>
      </c>
      <c r="D261" s="30">
        <v>28</v>
      </c>
      <c r="E261" s="137">
        <v>4</v>
      </c>
      <c r="F261" s="30">
        <v>107</v>
      </c>
      <c r="G261" s="30">
        <v>86</v>
      </c>
      <c r="H261" s="30">
        <v>2464</v>
      </c>
      <c r="I261" s="30">
        <v>15.5</v>
      </c>
      <c r="J261" s="30">
        <v>76</v>
      </c>
      <c r="K261" s="30" t="s">
        <v>91</v>
      </c>
      <c r="L261" s="30" t="s">
        <v>209</v>
      </c>
      <c r="M261" s="58">
        <v>0</v>
      </c>
      <c r="N261" s="58">
        <v>1.7010257194969999E+19</v>
      </c>
    </row>
    <row r="262" spans="3:14">
      <c r="C262" s="29" t="b">
        <v>0</v>
      </c>
      <c r="D262" s="30">
        <v>25</v>
      </c>
      <c r="E262" s="137">
        <v>4</v>
      </c>
      <c r="F262" s="30">
        <v>116</v>
      </c>
      <c r="G262" s="30">
        <v>81</v>
      </c>
      <c r="H262" s="30">
        <v>2220</v>
      </c>
      <c r="I262" s="30">
        <v>16.899999999999999</v>
      </c>
      <c r="J262" s="30">
        <v>76</v>
      </c>
      <c r="K262" s="30" t="s">
        <v>91</v>
      </c>
      <c r="L262" s="30" t="s">
        <v>116</v>
      </c>
      <c r="M262" s="58">
        <v>0</v>
      </c>
      <c r="N262" s="58">
        <v>1.51077902759244E+17</v>
      </c>
    </row>
    <row r="263" spans="3:14">
      <c r="C263" s="29" t="b">
        <v>0</v>
      </c>
      <c r="D263" s="30">
        <v>25</v>
      </c>
      <c r="E263" s="137">
        <v>4</v>
      </c>
      <c r="F263" s="30">
        <v>140</v>
      </c>
      <c r="G263" s="30">
        <v>92</v>
      </c>
      <c r="H263" s="30">
        <v>2572</v>
      </c>
      <c r="I263" s="30">
        <v>14.9</v>
      </c>
      <c r="J263" s="30">
        <v>76</v>
      </c>
      <c r="K263" s="30" t="s">
        <v>69</v>
      </c>
      <c r="L263" s="30" t="s">
        <v>210</v>
      </c>
      <c r="M263" s="58">
        <v>0</v>
      </c>
      <c r="N263" s="58">
        <v>1.3751834902133101E+19</v>
      </c>
    </row>
    <row r="264" spans="3:14">
      <c r="C264" s="29" t="b">
        <v>0</v>
      </c>
      <c r="D264" s="30">
        <v>26</v>
      </c>
      <c r="E264" s="137">
        <v>4</v>
      </c>
      <c r="F264" s="30">
        <v>98</v>
      </c>
      <c r="G264" s="30">
        <v>79</v>
      </c>
      <c r="H264" s="30">
        <v>2255</v>
      </c>
      <c r="I264" s="30">
        <v>17.7</v>
      </c>
      <c r="J264" s="30">
        <v>76</v>
      </c>
      <c r="K264" s="30" t="s">
        <v>69</v>
      </c>
      <c r="L264" s="30" t="s">
        <v>188</v>
      </c>
      <c r="M264" s="58">
        <v>0</v>
      </c>
      <c r="N264" s="58">
        <v>1.5368025735844399E+19</v>
      </c>
    </row>
    <row r="265" spans="3:14">
      <c r="C265" s="29" t="b">
        <v>0</v>
      </c>
      <c r="D265" s="30">
        <v>27</v>
      </c>
      <c r="E265" s="137">
        <v>4</v>
      </c>
      <c r="F265" s="30">
        <v>101</v>
      </c>
      <c r="G265" s="30">
        <v>83</v>
      </c>
      <c r="H265" s="30">
        <v>2202</v>
      </c>
      <c r="I265" s="30">
        <v>15.3</v>
      </c>
      <c r="J265" s="30">
        <v>76</v>
      </c>
      <c r="K265" s="30" t="s">
        <v>91</v>
      </c>
      <c r="L265" s="30" t="s">
        <v>211</v>
      </c>
      <c r="M265" s="58">
        <v>0</v>
      </c>
      <c r="N265" s="58">
        <v>1.08894113608285E+19</v>
      </c>
    </row>
    <row r="266" spans="3:14">
      <c r="C266" s="29" t="b">
        <v>0</v>
      </c>
      <c r="D266" s="30">
        <v>17.5</v>
      </c>
      <c r="E266" s="137">
        <v>8</v>
      </c>
      <c r="F266" s="30">
        <v>305</v>
      </c>
      <c r="G266" s="30">
        <v>140</v>
      </c>
      <c r="H266" s="30">
        <v>4215</v>
      </c>
      <c r="I266" s="30">
        <v>13</v>
      </c>
      <c r="J266" s="30">
        <v>76</v>
      </c>
      <c r="K266" s="30" t="s">
        <v>69</v>
      </c>
      <c r="L266" s="30" t="s">
        <v>181</v>
      </c>
      <c r="M266" s="58">
        <v>0</v>
      </c>
      <c r="N266" s="58">
        <v>9.2391596972233196E+18</v>
      </c>
    </row>
    <row r="267" spans="3:14">
      <c r="C267" s="29" t="b">
        <v>0</v>
      </c>
      <c r="D267" s="30">
        <v>16</v>
      </c>
      <c r="E267" s="137">
        <v>8</v>
      </c>
      <c r="F267" s="30">
        <v>318</v>
      </c>
      <c r="G267" s="30">
        <v>150</v>
      </c>
      <c r="H267" s="30">
        <v>4190</v>
      </c>
      <c r="I267" s="30">
        <v>13</v>
      </c>
      <c r="J267" s="30">
        <v>76</v>
      </c>
      <c r="K267" s="30" t="s">
        <v>69</v>
      </c>
      <c r="L267" s="30" t="s">
        <v>212</v>
      </c>
      <c r="M267" s="58">
        <v>0</v>
      </c>
      <c r="N267" s="58">
        <v>6.7469831145041395E+17</v>
      </c>
    </row>
    <row r="268" spans="3:14">
      <c r="C268" s="29" t="b">
        <v>0</v>
      </c>
      <c r="D268" s="30">
        <v>15.5</v>
      </c>
      <c r="E268" s="137">
        <v>8</v>
      </c>
      <c r="F268" s="30">
        <v>304</v>
      </c>
      <c r="G268" s="30">
        <v>120</v>
      </c>
      <c r="H268" s="30">
        <v>3962</v>
      </c>
      <c r="I268" s="30">
        <v>13.9</v>
      </c>
      <c r="J268" s="30">
        <v>76</v>
      </c>
      <c r="K268" s="30" t="s">
        <v>69</v>
      </c>
      <c r="L268" s="30" t="s">
        <v>106</v>
      </c>
      <c r="M268" s="58">
        <v>0</v>
      </c>
      <c r="N268" s="58">
        <v>1.0936224139032001E+19</v>
      </c>
    </row>
    <row r="269" spans="3:14">
      <c r="C269" s="29" t="b">
        <v>0</v>
      </c>
      <c r="D269" s="30">
        <v>14.5</v>
      </c>
      <c r="E269" s="137">
        <v>8</v>
      </c>
      <c r="F269" s="30">
        <v>351</v>
      </c>
      <c r="G269" s="30">
        <v>152</v>
      </c>
      <c r="H269" s="30">
        <v>4215</v>
      </c>
      <c r="I269" s="30">
        <v>12.8</v>
      </c>
      <c r="J269" s="30">
        <v>76</v>
      </c>
      <c r="K269" s="30" t="s">
        <v>69</v>
      </c>
      <c r="L269" s="30" t="s">
        <v>149</v>
      </c>
      <c r="M269" s="58">
        <v>0</v>
      </c>
      <c r="N269" s="58">
        <v>7.7532774845005896E+18</v>
      </c>
    </row>
    <row r="270" spans="3:14">
      <c r="C270" s="29" t="b">
        <v>0</v>
      </c>
      <c r="D270" s="30">
        <v>22</v>
      </c>
      <c r="E270" s="137">
        <v>6</v>
      </c>
      <c r="F270" s="30">
        <v>225</v>
      </c>
      <c r="G270" s="30">
        <v>100</v>
      </c>
      <c r="H270" s="30">
        <v>3233</v>
      </c>
      <c r="I270" s="30">
        <v>15.4</v>
      </c>
      <c r="J270" s="30">
        <v>76</v>
      </c>
      <c r="K270" s="30" t="s">
        <v>69</v>
      </c>
      <c r="L270" s="30" t="s">
        <v>158</v>
      </c>
      <c r="M270" s="58">
        <v>0</v>
      </c>
      <c r="N270" s="58">
        <v>1.55891401487051E+19</v>
      </c>
    </row>
    <row r="271" spans="3:14">
      <c r="C271" s="29" t="b">
        <v>0</v>
      </c>
      <c r="D271" s="30">
        <v>22</v>
      </c>
      <c r="E271" s="137">
        <v>6</v>
      </c>
      <c r="F271" s="30">
        <v>250</v>
      </c>
      <c r="G271" s="30">
        <v>105</v>
      </c>
      <c r="H271" s="30">
        <v>3353</v>
      </c>
      <c r="I271" s="30">
        <v>14.5</v>
      </c>
      <c r="J271" s="30">
        <v>76</v>
      </c>
      <c r="K271" s="30" t="s">
        <v>69</v>
      </c>
      <c r="L271" s="30" t="s">
        <v>179</v>
      </c>
      <c r="M271" s="58">
        <v>0</v>
      </c>
      <c r="N271" s="58">
        <v>1.56263540187201E+19</v>
      </c>
    </row>
    <row r="272" spans="3:14">
      <c r="C272" s="29" t="b">
        <v>0</v>
      </c>
      <c r="D272" s="30">
        <v>24</v>
      </c>
      <c r="E272" s="137">
        <v>6</v>
      </c>
      <c r="F272" s="30">
        <v>200</v>
      </c>
      <c r="G272" s="30">
        <v>81</v>
      </c>
      <c r="H272" s="30">
        <v>3012</v>
      </c>
      <c r="I272" s="30">
        <v>17.600000000000001</v>
      </c>
      <c r="J272" s="30">
        <v>76</v>
      </c>
      <c r="K272" s="30" t="s">
        <v>69</v>
      </c>
      <c r="L272" s="30" t="s">
        <v>89</v>
      </c>
      <c r="M272" s="58">
        <v>0</v>
      </c>
      <c r="N272" s="58">
        <v>1.6192589922734201E+19</v>
      </c>
    </row>
    <row r="273" spans="3:14">
      <c r="C273" s="29" t="b">
        <v>0</v>
      </c>
      <c r="D273" s="30">
        <v>22.5</v>
      </c>
      <c r="E273" s="137">
        <v>6</v>
      </c>
      <c r="F273" s="30">
        <v>232</v>
      </c>
      <c r="G273" s="30">
        <v>90</v>
      </c>
      <c r="H273" s="30">
        <v>3085</v>
      </c>
      <c r="I273" s="30">
        <v>17.600000000000001</v>
      </c>
      <c r="J273" s="30">
        <v>76</v>
      </c>
      <c r="K273" s="30" t="s">
        <v>69</v>
      </c>
      <c r="L273" s="30" t="s">
        <v>88</v>
      </c>
      <c r="M273" s="58">
        <v>0</v>
      </c>
      <c r="N273" s="58">
        <v>8.8645841621117696E+17</v>
      </c>
    </row>
    <row r="274" spans="3:14">
      <c r="C274" s="29" t="b">
        <v>0</v>
      </c>
      <c r="D274" s="30">
        <v>29</v>
      </c>
      <c r="E274" s="137">
        <v>4</v>
      </c>
      <c r="F274" s="30">
        <v>85</v>
      </c>
      <c r="G274" s="30">
        <v>52</v>
      </c>
      <c r="H274" s="30">
        <v>2035</v>
      </c>
      <c r="I274" s="30">
        <v>22.2</v>
      </c>
      <c r="J274" s="30">
        <v>76</v>
      </c>
      <c r="K274" s="30" t="s">
        <v>69</v>
      </c>
      <c r="L274" s="30" t="s">
        <v>213</v>
      </c>
      <c r="M274" s="58">
        <v>0</v>
      </c>
      <c r="N274" s="58">
        <v>3.67002761141933E+18</v>
      </c>
    </row>
    <row r="275" spans="3:14">
      <c r="C275" s="29" t="b">
        <v>0</v>
      </c>
      <c r="D275" s="30">
        <v>24.5</v>
      </c>
      <c r="E275" s="137">
        <v>4</v>
      </c>
      <c r="F275" s="30">
        <v>98</v>
      </c>
      <c r="G275" s="30">
        <v>60</v>
      </c>
      <c r="H275" s="30">
        <v>2164</v>
      </c>
      <c r="I275" s="30">
        <v>22.1</v>
      </c>
      <c r="J275" s="30">
        <v>76</v>
      </c>
      <c r="K275" s="30" t="s">
        <v>69</v>
      </c>
      <c r="L275" s="30" t="s">
        <v>214</v>
      </c>
      <c r="M275" s="58">
        <v>0</v>
      </c>
      <c r="N275" s="58">
        <v>4.6080901993573202E+18</v>
      </c>
    </row>
    <row r="276" spans="3:14">
      <c r="C276" s="29" t="b">
        <v>0</v>
      </c>
      <c r="D276" s="30">
        <v>29</v>
      </c>
      <c r="E276" s="137">
        <v>4</v>
      </c>
      <c r="F276" s="30">
        <v>90</v>
      </c>
      <c r="G276" s="30">
        <v>70</v>
      </c>
      <c r="H276" s="30">
        <v>1937</v>
      </c>
      <c r="I276" s="30">
        <v>14.2</v>
      </c>
      <c r="J276" s="30">
        <v>76</v>
      </c>
      <c r="K276" s="30" t="s">
        <v>91</v>
      </c>
      <c r="L276" s="30" t="s">
        <v>215</v>
      </c>
      <c r="M276" s="58">
        <v>0</v>
      </c>
      <c r="N276" s="58">
        <v>1.60764245091676E+19</v>
      </c>
    </row>
    <row r="277" spans="3:14">
      <c r="C277" s="29" t="b">
        <v>0</v>
      </c>
      <c r="D277" s="30">
        <v>33</v>
      </c>
      <c r="E277" s="137">
        <v>4</v>
      </c>
      <c r="F277" s="30">
        <v>91</v>
      </c>
      <c r="G277" s="30">
        <v>53</v>
      </c>
      <c r="H277" s="30">
        <v>1795</v>
      </c>
      <c r="I277" s="30">
        <v>17.399999999999999</v>
      </c>
      <c r="J277" s="30">
        <v>76</v>
      </c>
      <c r="K277" s="30" t="s">
        <v>85</v>
      </c>
      <c r="L277" s="30" t="s">
        <v>190</v>
      </c>
      <c r="M277" s="58">
        <v>0</v>
      </c>
      <c r="N277" s="58">
        <v>1.76075714286308E+19</v>
      </c>
    </row>
    <row r="278" spans="3:14">
      <c r="C278" s="29" t="b">
        <v>0</v>
      </c>
      <c r="D278" s="30">
        <v>20</v>
      </c>
      <c r="E278" s="137">
        <v>6</v>
      </c>
      <c r="F278" s="30">
        <v>225</v>
      </c>
      <c r="G278" s="30">
        <v>100</v>
      </c>
      <c r="H278" s="30">
        <v>3651</v>
      </c>
      <c r="I278" s="30">
        <v>17.7</v>
      </c>
      <c r="J278" s="30">
        <v>76</v>
      </c>
      <c r="K278" s="30" t="s">
        <v>69</v>
      </c>
      <c r="L278" s="30" t="s">
        <v>216</v>
      </c>
      <c r="M278" s="58">
        <v>0</v>
      </c>
      <c r="N278" s="58">
        <v>1.1741022547093801E+19</v>
      </c>
    </row>
    <row r="279" spans="3:14">
      <c r="C279" s="29" t="b">
        <v>0</v>
      </c>
      <c r="D279" s="30">
        <v>18</v>
      </c>
      <c r="E279" s="137">
        <v>6</v>
      </c>
      <c r="F279" s="30">
        <v>250</v>
      </c>
      <c r="G279" s="30">
        <v>78</v>
      </c>
      <c r="H279" s="30">
        <v>3574</v>
      </c>
      <c r="I279" s="30">
        <v>21</v>
      </c>
      <c r="J279" s="30">
        <v>76</v>
      </c>
      <c r="K279" s="30" t="s">
        <v>69</v>
      </c>
      <c r="L279" s="30" t="s">
        <v>217</v>
      </c>
      <c r="M279" s="58">
        <v>0</v>
      </c>
      <c r="N279" s="58">
        <v>1.1463230004949899E+19</v>
      </c>
    </row>
    <row r="280" spans="3:14">
      <c r="C280" s="29" t="b">
        <v>0</v>
      </c>
      <c r="D280" s="30">
        <v>18.5</v>
      </c>
      <c r="E280" s="137">
        <v>6</v>
      </c>
      <c r="F280" s="30">
        <v>250</v>
      </c>
      <c r="G280" s="30">
        <v>110</v>
      </c>
      <c r="H280" s="30">
        <v>3645</v>
      </c>
      <c r="I280" s="30">
        <v>16.2</v>
      </c>
      <c r="J280" s="30">
        <v>76</v>
      </c>
      <c r="K280" s="30" t="s">
        <v>69</v>
      </c>
      <c r="L280" s="30" t="s">
        <v>218</v>
      </c>
      <c r="M280" s="58">
        <v>0</v>
      </c>
      <c r="N280" s="58">
        <v>8.5761458839778601E+18</v>
      </c>
    </row>
    <row r="281" spans="3:14">
      <c r="C281" s="29" t="b">
        <v>0</v>
      </c>
      <c r="D281" s="30">
        <v>17.5</v>
      </c>
      <c r="E281" s="137">
        <v>6</v>
      </c>
      <c r="F281" s="30">
        <v>258</v>
      </c>
      <c r="G281" s="30">
        <v>95</v>
      </c>
      <c r="H281" s="30">
        <v>3193</v>
      </c>
      <c r="I281" s="30">
        <v>17.8</v>
      </c>
      <c r="J281" s="30">
        <v>76</v>
      </c>
      <c r="K281" s="30" t="s">
        <v>69</v>
      </c>
      <c r="L281" s="30" t="s">
        <v>219</v>
      </c>
      <c r="M281" s="58">
        <v>0</v>
      </c>
      <c r="N281" s="58">
        <v>1.67297535753075E+19</v>
      </c>
    </row>
    <row r="282" spans="3:14">
      <c r="C282" s="29" t="b">
        <v>0</v>
      </c>
      <c r="D282" s="30">
        <v>29.5</v>
      </c>
      <c r="E282" s="137">
        <v>4</v>
      </c>
      <c r="F282" s="30">
        <v>97</v>
      </c>
      <c r="G282" s="30">
        <v>71</v>
      </c>
      <c r="H282" s="30">
        <v>1825</v>
      </c>
      <c r="I282" s="30">
        <v>12.2</v>
      </c>
      <c r="J282" s="30">
        <v>76</v>
      </c>
      <c r="K282" s="30" t="s">
        <v>91</v>
      </c>
      <c r="L282" s="30" t="s">
        <v>205</v>
      </c>
      <c r="M282" s="58">
        <v>0</v>
      </c>
      <c r="N282" s="58">
        <v>5.0893339215528796E+18</v>
      </c>
    </row>
    <row r="283" spans="3:14">
      <c r="C283" s="29" t="b">
        <v>0</v>
      </c>
      <c r="D283" s="30">
        <v>32</v>
      </c>
      <c r="E283" s="137">
        <v>4</v>
      </c>
      <c r="F283" s="30">
        <v>85</v>
      </c>
      <c r="G283" s="30">
        <v>70</v>
      </c>
      <c r="H283" s="30">
        <v>1990</v>
      </c>
      <c r="I283" s="30">
        <v>17</v>
      </c>
      <c r="J283" s="30">
        <v>76</v>
      </c>
      <c r="K283" s="30" t="s">
        <v>85</v>
      </c>
      <c r="L283" s="30" t="s">
        <v>220</v>
      </c>
      <c r="M283" s="58">
        <v>0</v>
      </c>
      <c r="N283" s="58">
        <v>1.66391704768669E+18</v>
      </c>
    </row>
    <row r="284" spans="3:14">
      <c r="C284" s="29" t="b">
        <v>0</v>
      </c>
      <c r="D284" s="30">
        <v>28</v>
      </c>
      <c r="E284" s="137">
        <v>4</v>
      </c>
      <c r="F284" s="30">
        <v>97</v>
      </c>
      <c r="G284" s="30">
        <v>75</v>
      </c>
      <c r="H284" s="30">
        <v>2155</v>
      </c>
      <c r="I284" s="30">
        <v>16.399999999999999</v>
      </c>
      <c r="J284" s="30">
        <v>76</v>
      </c>
      <c r="K284" s="30" t="s">
        <v>85</v>
      </c>
      <c r="L284" s="30" t="s">
        <v>203</v>
      </c>
      <c r="M284" s="58">
        <v>0</v>
      </c>
      <c r="N284" s="58">
        <v>1.2493369444752501E+19</v>
      </c>
    </row>
    <row r="285" spans="3:14">
      <c r="C285" s="29" t="b">
        <v>0</v>
      </c>
      <c r="D285" s="30">
        <v>26.5</v>
      </c>
      <c r="E285" s="137">
        <v>4</v>
      </c>
      <c r="F285" s="30">
        <v>140</v>
      </c>
      <c r="G285" s="30">
        <v>72</v>
      </c>
      <c r="H285" s="30">
        <v>2565</v>
      </c>
      <c r="I285" s="30">
        <v>13.6</v>
      </c>
      <c r="J285" s="30">
        <v>76</v>
      </c>
      <c r="K285" s="30" t="s">
        <v>69</v>
      </c>
      <c r="L285" s="30" t="s">
        <v>70</v>
      </c>
      <c r="M285" s="58">
        <v>0</v>
      </c>
      <c r="N285" s="58">
        <v>1.53442641941398E+19</v>
      </c>
    </row>
    <row r="286" spans="3:14">
      <c r="C286" s="29" t="b">
        <v>0</v>
      </c>
      <c r="D286" s="30">
        <v>20</v>
      </c>
      <c r="E286" s="137">
        <v>4</v>
      </c>
      <c r="F286" s="30">
        <v>130</v>
      </c>
      <c r="G286" s="30">
        <v>102</v>
      </c>
      <c r="H286" s="30">
        <v>3150</v>
      </c>
      <c r="I286" s="30">
        <v>15.7</v>
      </c>
      <c r="J286" s="30">
        <v>76</v>
      </c>
      <c r="K286" s="30" t="s">
        <v>91</v>
      </c>
      <c r="L286" s="30" t="s">
        <v>221</v>
      </c>
      <c r="M286" s="58">
        <v>0</v>
      </c>
      <c r="N286" s="58">
        <v>1.0541339891004401E+18</v>
      </c>
    </row>
    <row r="287" spans="3:14">
      <c r="C287" s="29" t="b">
        <v>0</v>
      </c>
      <c r="D287" s="30">
        <v>13</v>
      </c>
      <c r="E287" s="137">
        <v>8</v>
      </c>
      <c r="F287" s="30">
        <v>318</v>
      </c>
      <c r="G287" s="30">
        <v>150</v>
      </c>
      <c r="H287" s="30">
        <v>3940</v>
      </c>
      <c r="I287" s="30">
        <v>13.2</v>
      </c>
      <c r="J287" s="30">
        <v>76</v>
      </c>
      <c r="K287" s="30" t="s">
        <v>69</v>
      </c>
      <c r="L287" s="30" t="s">
        <v>222</v>
      </c>
      <c r="M287" s="58">
        <v>0</v>
      </c>
      <c r="N287" s="58">
        <v>1.60456218352076E+19</v>
      </c>
    </row>
    <row r="288" spans="3:14">
      <c r="C288" s="29" t="b">
        <v>0</v>
      </c>
      <c r="D288" s="30">
        <v>19</v>
      </c>
      <c r="E288" s="137">
        <v>4</v>
      </c>
      <c r="F288" s="30">
        <v>120</v>
      </c>
      <c r="G288" s="30">
        <v>88</v>
      </c>
      <c r="H288" s="30">
        <v>3270</v>
      </c>
      <c r="I288" s="30">
        <v>21.9</v>
      </c>
      <c r="J288" s="30">
        <v>76</v>
      </c>
      <c r="K288" s="30" t="s">
        <v>91</v>
      </c>
      <c r="L288" s="30" t="s">
        <v>93</v>
      </c>
      <c r="M288" s="58">
        <v>0</v>
      </c>
      <c r="N288" s="58">
        <v>1.63506150676531E+19</v>
      </c>
    </row>
    <row r="289" spans="3:14">
      <c r="C289" s="29" t="b">
        <v>0</v>
      </c>
      <c r="D289" s="30">
        <v>19</v>
      </c>
      <c r="E289" s="137">
        <v>6</v>
      </c>
      <c r="F289" s="30">
        <v>156</v>
      </c>
      <c r="G289" s="30">
        <v>108</v>
      </c>
      <c r="H289" s="30">
        <v>2930</v>
      </c>
      <c r="I289" s="30">
        <v>15.5</v>
      </c>
      <c r="J289" s="30">
        <v>76</v>
      </c>
      <c r="K289" s="30" t="s">
        <v>85</v>
      </c>
      <c r="L289" s="30" t="s">
        <v>177</v>
      </c>
      <c r="M289" s="58">
        <v>0</v>
      </c>
      <c r="N289" s="58">
        <v>2.1291702825232799E+18</v>
      </c>
    </row>
    <row r="290" spans="3:14">
      <c r="C290" s="29" t="b">
        <v>0</v>
      </c>
      <c r="D290" s="30">
        <v>16.5</v>
      </c>
      <c r="E290" s="137">
        <v>6</v>
      </c>
      <c r="F290" s="30">
        <v>168</v>
      </c>
      <c r="G290" s="30">
        <v>120</v>
      </c>
      <c r="H290" s="30">
        <v>3820</v>
      </c>
      <c r="I290" s="30">
        <v>16.7</v>
      </c>
      <c r="J290" s="30">
        <v>76</v>
      </c>
      <c r="K290" s="30" t="s">
        <v>91</v>
      </c>
      <c r="L290" s="30" t="s">
        <v>223</v>
      </c>
      <c r="M290" s="58">
        <v>0</v>
      </c>
      <c r="N290" s="58">
        <v>2.2238820033666199E+18</v>
      </c>
    </row>
    <row r="291" spans="3:14">
      <c r="C291" s="29" t="b">
        <v>0</v>
      </c>
      <c r="D291" s="30">
        <v>16.5</v>
      </c>
      <c r="E291" s="137">
        <v>8</v>
      </c>
      <c r="F291" s="30">
        <v>350</v>
      </c>
      <c r="G291" s="30">
        <v>180</v>
      </c>
      <c r="H291" s="30">
        <v>4380</v>
      </c>
      <c r="I291" s="30">
        <v>12.1</v>
      </c>
      <c r="J291" s="30">
        <v>76</v>
      </c>
      <c r="K291" s="30" t="s">
        <v>69</v>
      </c>
      <c r="L291" s="30" t="s">
        <v>224</v>
      </c>
      <c r="M291" s="58">
        <v>0</v>
      </c>
      <c r="N291" s="58">
        <v>4.11363334415123E+18</v>
      </c>
    </row>
    <row r="292" spans="3:14">
      <c r="C292" s="29" t="b">
        <v>0</v>
      </c>
      <c r="D292" s="30">
        <v>13</v>
      </c>
      <c r="E292" s="137">
        <v>8</v>
      </c>
      <c r="F292" s="30">
        <v>350</v>
      </c>
      <c r="G292" s="30">
        <v>145</v>
      </c>
      <c r="H292" s="30">
        <v>4055</v>
      </c>
      <c r="I292" s="30">
        <v>12</v>
      </c>
      <c r="J292" s="30">
        <v>76</v>
      </c>
      <c r="K292" s="30" t="s">
        <v>69</v>
      </c>
      <c r="L292" s="30" t="s">
        <v>225</v>
      </c>
      <c r="M292" s="58">
        <v>0</v>
      </c>
      <c r="N292" s="58">
        <v>7.1657111007069299E+17</v>
      </c>
    </row>
    <row r="293" spans="3:14">
      <c r="C293" s="29" t="b">
        <v>0</v>
      </c>
      <c r="D293" s="30">
        <v>13</v>
      </c>
      <c r="E293" s="137">
        <v>8</v>
      </c>
      <c r="F293" s="30">
        <v>302</v>
      </c>
      <c r="G293" s="30">
        <v>130</v>
      </c>
      <c r="H293" s="30">
        <v>3870</v>
      </c>
      <c r="I293" s="30">
        <v>15</v>
      </c>
      <c r="J293" s="30">
        <v>76</v>
      </c>
      <c r="K293" s="30" t="s">
        <v>69</v>
      </c>
      <c r="L293" s="30" t="s">
        <v>226</v>
      </c>
      <c r="M293" s="58">
        <v>0</v>
      </c>
      <c r="N293" s="58">
        <v>1.1168916908656501E+19</v>
      </c>
    </row>
    <row r="294" spans="3:14">
      <c r="C294" s="29" t="b">
        <v>0</v>
      </c>
      <c r="D294" s="30">
        <v>13</v>
      </c>
      <c r="E294" s="137">
        <v>8</v>
      </c>
      <c r="F294" s="30">
        <v>318</v>
      </c>
      <c r="G294" s="30">
        <v>150</v>
      </c>
      <c r="H294" s="30">
        <v>3755</v>
      </c>
      <c r="I294" s="30">
        <v>14</v>
      </c>
      <c r="J294" s="30">
        <v>76</v>
      </c>
      <c r="K294" s="30" t="s">
        <v>69</v>
      </c>
      <c r="L294" s="30" t="s">
        <v>227</v>
      </c>
      <c r="M294" s="58">
        <v>0</v>
      </c>
      <c r="N294" s="58">
        <v>1.8253702253139401E+19</v>
      </c>
    </row>
    <row r="295" spans="3:14">
      <c r="C295" s="29" t="b">
        <v>0</v>
      </c>
      <c r="D295" s="30">
        <v>31.5</v>
      </c>
      <c r="E295" s="137">
        <v>4</v>
      </c>
      <c r="F295" s="30">
        <v>98</v>
      </c>
      <c r="G295" s="30">
        <v>68</v>
      </c>
      <c r="H295" s="30">
        <v>2045</v>
      </c>
      <c r="I295" s="30">
        <v>18.5</v>
      </c>
      <c r="J295" s="30">
        <v>77</v>
      </c>
      <c r="K295" s="30" t="s">
        <v>85</v>
      </c>
      <c r="L295" s="30" t="s">
        <v>228</v>
      </c>
      <c r="M295" s="58">
        <v>0</v>
      </c>
      <c r="N295" s="58">
        <v>1.0233777705035399E+19</v>
      </c>
    </row>
    <row r="296" spans="3:14">
      <c r="C296" s="29" t="b">
        <v>0</v>
      </c>
      <c r="D296" s="30">
        <v>30</v>
      </c>
      <c r="E296" s="137">
        <v>4</v>
      </c>
      <c r="F296" s="30">
        <v>111</v>
      </c>
      <c r="G296" s="30">
        <v>80</v>
      </c>
      <c r="H296" s="30">
        <v>2155</v>
      </c>
      <c r="I296" s="30">
        <v>14.8</v>
      </c>
      <c r="J296" s="30">
        <v>77</v>
      </c>
      <c r="K296" s="30" t="s">
        <v>69</v>
      </c>
      <c r="L296" s="30" t="s">
        <v>229</v>
      </c>
      <c r="M296" s="58">
        <v>0</v>
      </c>
      <c r="N296" s="58">
        <v>1.4994464270329301E+19</v>
      </c>
    </row>
    <row r="297" spans="3:14">
      <c r="C297" s="29" t="b">
        <v>0</v>
      </c>
      <c r="D297" s="30">
        <v>36</v>
      </c>
      <c r="E297" s="137">
        <v>4</v>
      </c>
      <c r="F297" s="30">
        <v>79</v>
      </c>
      <c r="G297" s="30">
        <v>58</v>
      </c>
      <c r="H297" s="30">
        <v>1825</v>
      </c>
      <c r="I297" s="30">
        <v>18.600000000000001</v>
      </c>
      <c r="J297" s="30">
        <v>77</v>
      </c>
      <c r="K297" s="30" t="s">
        <v>91</v>
      </c>
      <c r="L297" s="30" t="s">
        <v>230</v>
      </c>
      <c r="M297" s="58">
        <v>0</v>
      </c>
      <c r="N297" s="58">
        <v>4.8512595640450304E+18</v>
      </c>
    </row>
    <row r="298" spans="3:14">
      <c r="C298" s="29" t="b">
        <v>0</v>
      </c>
      <c r="D298" s="30">
        <v>25.5</v>
      </c>
      <c r="E298" s="137">
        <v>4</v>
      </c>
      <c r="F298" s="30">
        <v>122</v>
      </c>
      <c r="G298" s="30">
        <v>96</v>
      </c>
      <c r="H298" s="30">
        <v>2300</v>
      </c>
      <c r="I298" s="30">
        <v>15.5</v>
      </c>
      <c r="J298" s="30">
        <v>77</v>
      </c>
      <c r="K298" s="30" t="s">
        <v>69</v>
      </c>
      <c r="L298" s="30" t="s">
        <v>231</v>
      </c>
      <c r="M298" s="58">
        <v>0</v>
      </c>
      <c r="N298" s="58">
        <v>1.7923226456748301E+18</v>
      </c>
    </row>
    <row r="299" spans="3:14">
      <c r="C299" s="29" t="b">
        <v>0</v>
      </c>
      <c r="D299" s="30">
        <v>33.5</v>
      </c>
      <c r="E299" s="137">
        <v>4</v>
      </c>
      <c r="F299" s="30">
        <v>85</v>
      </c>
      <c r="G299" s="30">
        <v>70</v>
      </c>
      <c r="H299" s="30">
        <v>1945</v>
      </c>
      <c r="I299" s="30">
        <v>16.8</v>
      </c>
      <c r="J299" s="30">
        <v>77</v>
      </c>
      <c r="K299" s="30" t="s">
        <v>85</v>
      </c>
      <c r="L299" s="30" t="s">
        <v>232</v>
      </c>
      <c r="M299" s="58">
        <v>0</v>
      </c>
      <c r="N299" s="58">
        <v>3.43124186450377E+16</v>
      </c>
    </row>
    <row r="300" spans="3:14">
      <c r="C300" s="29" t="b">
        <v>0</v>
      </c>
      <c r="D300" s="30">
        <v>17.5</v>
      </c>
      <c r="E300" s="137">
        <v>8</v>
      </c>
      <c r="F300" s="30">
        <v>305</v>
      </c>
      <c r="G300" s="30">
        <v>145</v>
      </c>
      <c r="H300" s="30">
        <v>3880</v>
      </c>
      <c r="I300" s="30">
        <v>12.5</v>
      </c>
      <c r="J300" s="30">
        <v>77</v>
      </c>
      <c r="K300" s="30" t="s">
        <v>69</v>
      </c>
      <c r="L300" s="30" t="s">
        <v>152</v>
      </c>
      <c r="M300" s="58">
        <v>0</v>
      </c>
      <c r="N300" s="58">
        <v>3.7878470156016399E+18</v>
      </c>
    </row>
    <row r="301" spans="3:14">
      <c r="C301" s="29" t="b">
        <v>0</v>
      </c>
      <c r="D301" s="30">
        <v>17</v>
      </c>
      <c r="E301" s="137">
        <v>8</v>
      </c>
      <c r="F301" s="30">
        <v>260</v>
      </c>
      <c r="G301" s="30">
        <v>110</v>
      </c>
      <c r="H301" s="30">
        <v>4060</v>
      </c>
      <c r="I301" s="30">
        <v>19</v>
      </c>
      <c r="J301" s="30">
        <v>77</v>
      </c>
      <c r="K301" s="30" t="s">
        <v>69</v>
      </c>
      <c r="L301" s="30" t="s">
        <v>233</v>
      </c>
      <c r="M301" s="58">
        <v>0</v>
      </c>
      <c r="N301" s="58">
        <v>1.08449138667188E+19</v>
      </c>
    </row>
    <row r="302" spans="3:14">
      <c r="C302" s="29" t="b">
        <v>0</v>
      </c>
      <c r="D302" s="30">
        <v>15.5</v>
      </c>
      <c r="E302" s="137">
        <v>8</v>
      </c>
      <c r="F302" s="30">
        <v>318</v>
      </c>
      <c r="G302" s="30">
        <v>145</v>
      </c>
      <c r="H302" s="30">
        <v>4140</v>
      </c>
      <c r="I302" s="30">
        <v>13.7</v>
      </c>
      <c r="J302" s="30">
        <v>77</v>
      </c>
      <c r="K302" s="30" t="s">
        <v>69</v>
      </c>
      <c r="L302" s="30" t="s">
        <v>234</v>
      </c>
      <c r="M302" s="58">
        <v>0</v>
      </c>
      <c r="N302" s="58">
        <v>1.4534140463875701E+19</v>
      </c>
    </row>
    <row r="303" spans="3:14">
      <c r="C303" s="29" t="b">
        <v>0</v>
      </c>
      <c r="D303" s="30">
        <v>15</v>
      </c>
      <c r="E303" s="137">
        <v>8</v>
      </c>
      <c r="F303" s="30">
        <v>302</v>
      </c>
      <c r="G303" s="30">
        <v>130</v>
      </c>
      <c r="H303" s="30">
        <v>4295</v>
      </c>
      <c r="I303" s="30">
        <v>14.9</v>
      </c>
      <c r="J303" s="30">
        <v>77</v>
      </c>
      <c r="K303" s="30" t="s">
        <v>69</v>
      </c>
      <c r="L303" s="30" t="s">
        <v>235</v>
      </c>
      <c r="M303" s="58">
        <v>0</v>
      </c>
      <c r="N303" s="58">
        <v>1.3941258401493899E+19</v>
      </c>
    </row>
    <row r="304" spans="3:14">
      <c r="C304" s="29" t="b">
        <v>0</v>
      </c>
      <c r="D304" s="30">
        <v>17.5</v>
      </c>
      <c r="E304" s="137">
        <v>6</v>
      </c>
      <c r="F304" s="30">
        <v>250</v>
      </c>
      <c r="G304" s="30">
        <v>110</v>
      </c>
      <c r="H304" s="30">
        <v>3520</v>
      </c>
      <c r="I304" s="30">
        <v>16.399999999999999</v>
      </c>
      <c r="J304" s="30">
        <v>77</v>
      </c>
      <c r="K304" s="30" t="s">
        <v>69</v>
      </c>
      <c r="L304" s="30" t="s">
        <v>236</v>
      </c>
      <c r="M304" s="58">
        <v>0</v>
      </c>
      <c r="N304" s="58">
        <v>1.3907321937455499E+19</v>
      </c>
    </row>
    <row r="305" spans="3:14">
      <c r="C305" s="29" t="b">
        <v>0</v>
      </c>
      <c r="D305" s="30">
        <v>20.5</v>
      </c>
      <c r="E305" s="137">
        <v>6</v>
      </c>
      <c r="F305" s="30">
        <v>231</v>
      </c>
      <c r="G305" s="30">
        <v>105</v>
      </c>
      <c r="H305" s="30">
        <v>3425</v>
      </c>
      <c r="I305" s="30">
        <v>16.899999999999999</v>
      </c>
      <c r="J305" s="30">
        <v>77</v>
      </c>
      <c r="K305" s="30" t="s">
        <v>69</v>
      </c>
      <c r="L305" s="30" t="s">
        <v>237</v>
      </c>
      <c r="M305" s="58">
        <v>0</v>
      </c>
      <c r="N305" s="58">
        <v>1.2633461504095101E+19</v>
      </c>
    </row>
    <row r="306" spans="3:14">
      <c r="C306" s="29" t="b">
        <v>0</v>
      </c>
      <c r="D306" s="30">
        <v>19</v>
      </c>
      <c r="E306" s="137">
        <v>6</v>
      </c>
      <c r="F306" s="30">
        <v>225</v>
      </c>
      <c r="G306" s="30">
        <v>100</v>
      </c>
      <c r="H306" s="30">
        <v>3630</v>
      </c>
      <c r="I306" s="30">
        <v>17.7</v>
      </c>
      <c r="J306" s="30">
        <v>77</v>
      </c>
      <c r="K306" s="30" t="s">
        <v>69</v>
      </c>
      <c r="L306" s="30" t="s">
        <v>238</v>
      </c>
      <c r="M306" s="58">
        <v>0</v>
      </c>
      <c r="N306" s="58">
        <v>1.6580545208239499E+19</v>
      </c>
    </row>
    <row r="307" spans="3:14">
      <c r="C307" s="29" t="b">
        <v>0</v>
      </c>
      <c r="D307" s="30">
        <v>18.5</v>
      </c>
      <c r="E307" s="137">
        <v>6</v>
      </c>
      <c r="F307" s="30">
        <v>250</v>
      </c>
      <c r="G307" s="30">
        <v>98</v>
      </c>
      <c r="H307" s="30">
        <v>3525</v>
      </c>
      <c r="I307" s="30">
        <v>19</v>
      </c>
      <c r="J307" s="30">
        <v>77</v>
      </c>
      <c r="K307" s="30" t="s">
        <v>69</v>
      </c>
      <c r="L307" s="30" t="s">
        <v>239</v>
      </c>
      <c r="M307" s="58">
        <v>0</v>
      </c>
      <c r="N307" s="58">
        <v>1.08478257122188E+19</v>
      </c>
    </row>
    <row r="308" spans="3:14">
      <c r="C308" s="29" t="b">
        <v>0</v>
      </c>
      <c r="D308" s="30">
        <v>16</v>
      </c>
      <c r="E308" s="137">
        <v>8</v>
      </c>
      <c r="F308" s="30">
        <v>400</v>
      </c>
      <c r="G308" s="30">
        <v>180</v>
      </c>
      <c r="H308" s="30">
        <v>4220</v>
      </c>
      <c r="I308" s="30">
        <v>11.1</v>
      </c>
      <c r="J308" s="30">
        <v>77</v>
      </c>
      <c r="K308" s="30" t="s">
        <v>69</v>
      </c>
      <c r="L308" s="30" t="s">
        <v>240</v>
      </c>
      <c r="M308" s="58">
        <v>0</v>
      </c>
      <c r="N308" s="58">
        <v>1.26487986712937E+19</v>
      </c>
    </row>
    <row r="309" spans="3:14">
      <c r="C309" s="29" t="b">
        <v>0</v>
      </c>
      <c r="D309" s="30">
        <v>15.5</v>
      </c>
      <c r="E309" s="137">
        <v>8</v>
      </c>
      <c r="F309" s="30">
        <v>350</v>
      </c>
      <c r="G309" s="30">
        <v>170</v>
      </c>
      <c r="H309" s="30">
        <v>4165</v>
      </c>
      <c r="I309" s="30">
        <v>11.4</v>
      </c>
      <c r="J309" s="30">
        <v>77</v>
      </c>
      <c r="K309" s="30" t="s">
        <v>69</v>
      </c>
      <c r="L309" s="30" t="s">
        <v>241</v>
      </c>
      <c r="M309" s="58">
        <v>0</v>
      </c>
      <c r="N309" s="58">
        <v>1.7689895834414399E+19</v>
      </c>
    </row>
    <row r="310" spans="3:14">
      <c r="C310" s="29" t="b">
        <v>0</v>
      </c>
      <c r="D310" s="30">
        <v>15.5</v>
      </c>
      <c r="E310" s="137">
        <v>8</v>
      </c>
      <c r="F310" s="30">
        <v>400</v>
      </c>
      <c r="G310" s="30">
        <v>190</v>
      </c>
      <c r="H310" s="30">
        <v>4325</v>
      </c>
      <c r="I310" s="30">
        <v>12.2</v>
      </c>
      <c r="J310" s="30">
        <v>77</v>
      </c>
      <c r="K310" s="30" t="s">
        <v>69</v>
      </c>
      <c r="L310" s="30" t="s">
        <v>242</v>
      </c>
      <c r="M310" s="58">
        <v>0</v>
      </c>
      <c r="N310" s="58">
        <v>9.8555692238003405E+18</v>
      </c>
    </row>
    <row r="311" spans="3:14">
      <c r="C311" s="29" t="b">
        <v>0</v>
      </c>
      <c r="D311" s="30">
        <v>16</v>
      </c>
      <c r="E311" s="137">
        <v>8</v>
      </c>
      <c r="F311" s="30">
        <v>351</v>
      </c>
      <c r="G311" s="30">
        <v>149</v>
      </c>
      <c r="H311" s="30">
        <v>4335</v>
      </c>
      <c r="I311" s="30">
        <v>14.5</v>
      </c>
      <c r="J311" s="30">
        <v>77</v>
      </c>
      <c r="K311" s="30" t="s">
        <v>69</v>
      </c>
      <c r="L311" s="30" t="s">
        <v>243</v>
      </c>
      <c r="M311" s="58">
        <v>0</v>
      </c>
      <c r="N311" s="58">
        <v>1.40128332303289E+19</v>
      </c>
    </row>
    <row r="312" spans="3:14">
      <c r="C312" s="29" t="b">
        <v>0</v>
      </c>
      <c r="D312" s="30">
        <v>29</v>
      </c>
      <c r="E312" s="137">
        <v>4</v>
      </c>
      <c r="F312" s="30">
        <v>97</v>
      </c>
      <c r="G312" s="30">
        <v>78</v>
      </c>
      <c r="H312" s="30">
        <v>1940</v>
      </c>
      <c r="I312" s="30">
        <v>14.5</v>
      </c>
      <c r="J312" s="30">
        <v>77</v>
      </c>
      <c r="K312" s="30" t="s">
        <v>91</v>
      </c>
      <c r="L312" s="30" t="s">
        <v>244</v>
      </c>
      <c r="M312" s="58">
        <v>0</v>
      </c>
      <c r="N312" s="58">
        <v>3.2097419660101699E+18</v>
      </c>
    </row>
    <row r="313" spans="3:14">
      <c r="C313" s="29" t="b">
        <v>0</v>
      </c>
      <c r="D313" s="30">
        <v>24.5</v>
      </c>
      <c r="E313" s="137">
        <v>4</v>
      </c>
      <c r="F313" s="30">
        <v>151</v>
      </c>
      <c r="G313" s="30">
        <v>88</v>
      </c>
      <c r="H313" s="30">
        <v>2740</v>
      </c>
      <c r="I313" s="30">
        <v>16</v>
      </c>
      <c r="J313" s="30">
        <v>77</v>
      </c>
      <c r="K313" s="30" t="s">
        <v>69</v>
      </c>
      <c r="L313" s="30" t="s">
        <v>245</v>
      </c>
      <c r="M313" s="58">
        <v>0</v>
      </c>
      <c r="N313" s="58">
        <v>1.4851122783748901E+19</v>
      </c>
    </row>
    <row r="314" spans="3:14">
      <c r="C314" s="29" t="b">
        <v>0</v>
      </c>
      <c r="D314" s="30">
        <v>26</v>
      </c>
      <c r="E314" s="137">
        <v>4</v>
      </c>
      <c r="F314" s="30">
        <v>97</v>
      </c>
      <c r="G314" s="30">
        <v>75</v>
      </c>
      <c r="H314" s="30">
        <v>2265</v>
      </c>
      <c r="I314" s="30">
        <v>18.2</v>
      </c>
      <c r="J314" s="30">
        <v>77</v>
      </c>
      <c r="K314" s="30" t="s">
        <v>85</v>
      </c>
      <c r="L314" s="30" t="s">
        <v>246</v>
      </c>
      <c r="M314" s="58">
        <v>0</v>
      </c>
      <c r="N314" s="58">
        <v>1.38403179522584E+19</v>
      </c>
    </row>
    <row r="315" spans="3:14">
      <c r="C315" s="29" t="b">
        <v>0</v>
      </c>
      <c r="D315" s="30">
        <v>25.5</v>
      </c>
      <c r="E315" s="137">
        <v>4</v>
      </c>
      <c r="F315" s="30">
        <v>140</v>
      </c>
      <c r="G315" s="30">
        <v>89</v>
      </c>
      <c r="H315" s="30">
        <v>2755</v>
      </c>
      <c r="I315" s="30">
        <v>15.8</v>
      </c>
      <c r="J315" s="30">
        <v>77</v>
      </c>
      <c r="K315" s="30" t="s">
        <v>69</v>
      </c>
      <c r="L315" s="30" t="s">
        <v>247</v>
      </c>
      <c r="M315" s="58">
        <v>0</v>
      </c>
      <c r="N315" s="58">
        <v>1.2168963755970601E+19</v>
      </c>
    </row>
    <row r="316" spans="3:14">
      <c r="C316" s="29" t="b">
        <v>0</v>
      </c>
      <c r="D316" s="30">
        <v>30.5</v>
      </c>
      <c r="E316" s="137">
        <v>4</v>
      </c>
      <c r="F316" s="30">
        <v>98</v>
      </c>
      <c r="G316" s="30">
        <v>63</v>
      </c>
      <c r="H316" s="30">
        <v>2051</v>
      </c>
      <c r="I316" s="30">
        <v>17</v>
      </c>
      <c r="J316" s="30">
        <v>77</v>
      </c>
      <c r="K316" s="30" t="s">
        <v>69</v>
      </c>
      <c r="L316" s="30" t="s">
        <v>213</v>
      </c>
      <c r="M316" s="58">
        <v>0</v>
      </c>
      <c r="N316" s="58">
        <v>8.2598934142173399E+18</v>
      </c>
    </row>
    <row r="317" spans="3:14">
      <c r="C317" s="29" t="b">
        <v>0</v>
      </c>
      <c r="D317" s="30">
        <v>33.5</v>
      </c>
      <c r="E317" s="137">
        <v>4</v>
      </c>
      <c r="F317" s="30">
        <v>98</v>
      </c>
      <c r="G317" s="30">
        <v>83</v>
      </c>
      <c r="H317" s="30">
        <v>2075</v>
      </c>
      <c r="I317" s="30">
        <v>15.9</v>
      </c>
      <c r="J317" s="30">
        <v>77</v>
      </c>
      <c r="K317" s="30" t="s">
        <v>69</v>
      </c>
      <c r="L317" s="30" t="s">
        <v>248</v>
      </c>
      <c r="M317" s="58">
        <v>0</v>
      </c>
      <c r="N317" s="58">
        <v>1.4516566520199999E+19</v>
      </c>
    </row>
    <row r="318" spans="3:14">
      <c r="C318" s="29" t="b">
        <v>0</v>
      </c>
      <c r="D318" s="30">
        <v>30</v>
      </c>
      <c r="E318" s="137">
        <v>4</v>
      </c>
      <c r="F318" s="30">
        <v>97</v>
      </c>
      <c r="G318" s="30">
        <v>67</v>
      </c>
      <c r="H318" s="30">
        <v>1985</v>
      </c>
      <c r="I318" s="30">
        <v>16.399999999999999</v>
      </c>
      <c r="J318" s="30">
        <v>77</v>
      </c>
      <c r="K318" s="30" t="s">
        <v>85</v>
      </c>
      <c r="L318" s="30" t="s">
        <v>249</v>
      </c>
      <c r="M318" s="58">
        <v>0</v>
      </c>
      <c r="N318" s="58">
        <v>9.6380172293094892E+18</v>
      </c>
    </row>
    <row r="319" spans="3:14">
      <c r="C319" s="29" t="b">
        <v>0</v>
      </c>
      <c r="D319" s="30">
        <v>30.5</v>
      </c>
      <c r="E319" s="137">
        <v>4</v>
      </c>
      <c r="F319" s="30">
        <v>97</v>
      </c>
      <c r="G319" s="30">
        <v>78</v>
      </c>
      <c r="H319" s="30">
        <v>2190</v>
      </c>
      <c r="I319" s="30">
        <v>14.1</v>
      </c>
      <c r="J319" s="30">
        <v>77</v>
      </c>
      <c r="K319" s="30" t="s">
        <v>91</v>
      </c>
      <c r="L319" s="30" t="s">
        <v>186</v>
      </c>
      <c r="M319" s="58">
        <v>0</v>
      </c>
      <c r="N319" s="58">
        <v>3.71797251434242E+18</v>
      </c>
    </row>
    <row r="320" spans="3:14">
      <c r="C320" s="29" t="b">
        <v>0</v>
      </c>
      <c r="D320" s="30">
        <v>22</v>
      </c>
      <c r="E320" s="137">
        <v>6</v>
      </c>
      <c r="F320" s="30">
        <v>146</v>
      </c>
      <c r="G320" s="30">
        <v>97</v>
      </c>
      <c r="H320" s="30">
        <v>2815</v>
      </c>
      <c r="I320" s="30">
        <v>14.5</v>
      </c>
      <c r="J320" s="30">
        <v>77</v>
      </c>
      <c r="K320" s="30" t="s">
        <v>85</v>
      </c>
      <c r="L320" s="30" t="s">
        <v>250</v>
      </c>
      <c r="M320" s="58">
        <v>0</v>
      </c>
      <c r="N320" s="58">
        <v>6.1441885261571799E+18</v>
      </c>
    </row>
    <row r="321" spans="3:14">
      <c r="C321" s="29" t="b">
        <v>0</v>
      </c>
      <c r="D321" s="30">
        <v>21.5</v>
      </c>
      <c r="E321" s="137">
        <v>4</v>
      </c>
      <c r="F321" s="30">
        <v>121</v>
      </c>
      <c r="G321" s="30">
        <v>110</v>
      </c>
      <c r="H321" s="30">
        <v>2600</v>
      </c>
      <c r="I321" s="30">
        <v>12.8</v>
      </c>
      <c r="J321" s="30">
        <v>77</v>
      </c>
      <c r="K321" s="30" t="s">
        <v>91</v>
      </c>
      <c r="L321" s="30" t="s">
        <v>251</v>
      </c>
      <c r="M321" s="58">
        <v>0</v>
      </c>
      <c r="N321" s="58">
        <v>1.31590515935378E+19</v>
      </c>
    </row>
    <row r="322" spans="3:14">
      <c r="C322" s="29" t="b">
        <v>0</v>
      </c>
      <c r="D322" s="30">
        <v>21.5</v>
      </c>
      <c r="E322" s="137">
        <v>3</v>
      </c>
      <c r="F322" s="30">
        <v>80</v>
      </c>
      <c r="G322" s="30">
        <v>110</v>
      </c>
      <c r="H322" s="30">
        <v>2720</v>
      </c>
      <c r="I322" s="30">
        <v>13.5</v>
      </c>
      <c r="J322" s="30">
        <v>77</v>
      </c>
      <c r="K322" s="30" t="s">
        <v>85</v>
      </c>
      <c r="L322" s="30" t="s">
        <v>252</v>
      </c>
      <c r="M322" s="58">
        <v>0</v>
      </c>
      <c r="N322" s="58">
        <v>9.1367153684465398E+18</v>
      </c>
    </row>
    <row r="323" spans="3:14">
      <c r="C323" s="29" t="b">
        <v>0</v>
      </c>
      <c r="D323" s="30">
        <v>43.1</v>
      </c>
      <c r="E323" s="137">
        <v>4</v>
      </c>
      <c r="F323" s="30">
        <v>90</v>
      </c>
      <c r="G323" s="30">
        <v>48</v>
      </c>
      <c r="H323" s="30">
        <v>1985</v>
      </c>
      <c r="I323" s="30">
        <v>21.5</v>
      </c>
      <c r="J323" s="30">
        <v>78</v>
      </c>
      <c r="K323" s="30" t="s">
        <v>91</v>
      </c>
      <c r="L323" s="30" t="s">
        <v>253</v>
      </c>
      <c r="M323" s="58">
        <v>0</v>
      </c>
      <c r="N323" s="58">
        <v>8.5319655493192397E+18</v>
      </c>
    </row>
    <row r="324" spans="3:14">
      <c r="C324" s="29" t="b">
        <v>0</v>
      </c>
      <c r="D324" s="30">
        <v>36.1</v>
      </c>
      <c r="E324" s="137">
        <v>4</v>
      </c>
      <c r="F324" s="30">
        <v>98</v>
      </c>
      <c r="G324" s="30">
        <v>66</v>
      </c>
      <c r="H324" s="30">
        <v>1800</v>
      </c>
      <c r="I324" s="30">
        <v>14.4</v>
      </c>
      <c r="J324" s="30">
        <v>78</v>
      </c>
      <c r="K324" s="30" t="s">
        <v>69</v>
      </c>
      <c r="L324" s="30" t="s">
        <v>254</v>
      </c>
      <c r="M324" s="58">
        <v>0</v>
      </c>
      <c r="N324" s="58">
        <v>2.76543487429822E+18</v>
      </c>
    </row>
    <row r="325" spans="3:14">
      <c r="C325" s="29" t="b">
        <v>0</v>
      </c>
      <c r="D325" s="30">
        <v>32.799999999999997</v>
      </c>
      <c r="E325" s="137">
        <v>4</v>
      </c>
      <c r="F325" s="30">
        <v>78</v>
      </c>
      <c r="G325" s="30">
        <v>52</v>
      </c>
      <c r="H325" s="30">
        <v>1985</v>
      </c>
      <c r="I325" s="30">
        <v>19.399999999999999</v>
      </c>
      <c r="J325" s="30">
        <v>78</v>
      </c>
      <c r="K325" s="30" t="s">
        <v>85</v>
      </c>
      <c r="L325" s="30" t="s">
        <v>255</v>
      </c>
      <c r="M325" s="58">
        <v>0</v>
      </c>
      <c r="N325" s="58">
        <v>1.6735706942218899E+19</v>
      </c>
    </row>
    <row r="326" spans="3:14">
      <c r="C326" s="29" t="b">
        <v>0</v>
      </c>
      <c r="D326" s="30">
        <v>39.4</v>
      </c>
      <c r="E326" s="137">
        <v>4</v>
      </c>
      <c r="F326" s="30">
        <v>85</v>
      </c>
      <c r="G326" s="30">
        <v>70</v>
      </c>
      <c r="H326" s="30">
        <v>2070</v>
      </c>
      <c r="I326" s="30">
        <v>18.600000000000001</v>
      </c>
      <c r="J326" s="30">
        <v>78</v>
      </c>
      <c r="K326" s="30" t="s">
        <v>85</v>
      </c>
      <c r="L326" s="30" t="s">
        <v>256</v>
      </c>
      <c r="M326" s="58">
        <v>0</v>
      </c>
      <c r="N326" s="58">
        <v>1.5514200753371501E+19</v>
      </c>
    </row>
    <row r="327" spans="3:14">
      <c r="C327" s="29" t="b">
        <v>0</v>
      </c>
      <c r="D327" s="30">
        <v>36.1</v>
      </c>
      <c r="E327" s="137">
        <v>4</v>
      </c>
      <c r="F327" s="30">
        <v>91</v>
      </c>
      <c r="G327" s="30">
        <v>60</v>
      </c>
      <c r="H327" s="30">
        <v>1800</v>
      </c>
      <c r="I327" s="30">
        <v>16.399999999999999</v>
      </c>
      <c r="J327" s="30">
        <v>78</v>
      </c>
      <c r="K327" s="30" t="s">
        <v>85</v>
      </c>
      <c r="L327" s="30" t="s">
        <v>208</v>
      </c>
      <c r="M327" s="58">
        <v>0</v>
      </c>
      <c r="N327" s="58">
        <v>5.70542931686912E+18</v>
      </c>
    </row>
    <row r="328" spans="3:14">
      <c r="C328" s="29" t="b">
        <v>0</v>
      </c>
      <c r="D328" s="30">
        <v>19.899999999999999</v>
      </c>
      <c r="E328" s="137">
        <v>8</v>
      </c>
      <c r="F328" s="30">
        <v>260</v>
      </c>
      <c r="G328" s="30">
        <v>110</v>
      </c>
      <c r="H328" s="30">
        <v>3365</v>
      </c>
      <c r="I328" s="30">
        <v>15.5</v>
      </c>
      <c r="J328" s="30">
        <v>78</v>
      </c>
      <c r="K328" s="30" t="s">
        <v>69</v>
      </c>
      <c r="L328" s="30" t="s">
        <v>257</v>
      </c>
      <c r="M328" s="58">
        <v>0</v>
      </c>
      <c r="N328" s="58">
        <v>7.76416892308945E+18</v>
      </c>
    </row>
    <row r="329" spans="3:14">
      <c r="C329" s="29" t="b">
        <v>0</v>
      </c>
      <c r="D329" s="30">
        <v>19.399999999999999</v>
      </c>
      <c r="E329" s="137">
        <v>8</v>
      </c>
      <c r="F329" s="30">
        <v>318</v>
      </c>
      <c r="G329" s="30">
        <v>140</v>
      </c>
      <c r="H329" s="30">
        <v>3735</v>
      </c>
      <c r="I329" s="30">
        <v>13.2</v>
      </c>
      <c r="J329" s="30">
        <v>78</v>
      </c>
      <c r="K329" s="30" t="s">
        <v>69</v>
      </c>
      <c r="L329" s="30" t="s">
        <v>258</v>
      </c>
      <c r="M329" s="58">
        <v>0</v>
      </c>
      <c r="N329" s="58">
        <v>7.5259577851472804E+18</v>
      </c>
    </row>
    <row r="330" spans="3:14">
      <c r="C330" s="29" t="b">
        <v>0</v>
      </c>
      <c r="D330" s="30">
        <v>20.2</v>
      </c>
      <c r="E330" s="137">
        <v>8</v>
      </c>
      <c r="F330" s="30">
        <v>302</v>
      </c>
      <c r="G330" s="30">
        <v>139</v>
      </c>
      <c r="H330" s="30">
        <v>3570</v>
      </c>
      <c r="I330" s="30">
        <v>12.8</v>
      </c>
      <c r="J330" s="30">
        <v>78</v>
      </c>
      <c r="K330" s="30" t="s">
        <v>69</v>
      </c>
      <c r="L330" s="30" t="s">
        <v>259</v>
      </c>
      <c r="M330" s="58">
        <v>0</v>
      </c>
      <c r="N330" s="58">
        <v>1.5346487119701801E+19</v>
      </c>
    </row>
    <row r="331" spans="3:14">
      <c r="C331" s="29" t="b">
        <v>0</v>
      </c>
      <c r="D331" s="30">
        <v>19.2</v>
      </c>
      <c r="E331" s="137">
        <v>6</v>
      </c>
      <c r="F331" s="30">
        <v>231</v>
      </c>
      <c r="G331" s="30">
        <v>105</v>
      </c>
      <c r="H331" s="30">
        <v>3535</v>
      </c>
      <c r="I331" s="30">
        <v>19.2</v>
      </c>
      <c r="J331" s="30">
        <v>78</v>
      </c>
      <c r="K331" s="30" t="s">
        <v>69</v>
      </c>
      <c r="L331" s="30" t="s">
        <v>260</v>
      </c>
      <c r="M331" s="58">
        <v>0</v>
      </c>
      <c r="N331" s="58">
        <v>4.0321587493350999E+18</v>
      </c>
    </row>
    <row r="332" spans="3:14">
      <c r="C332" s="29" t="b">
        <v>0</v>
      </c>
      <c r="D332" s="30">
        <v>20.5</v>
      </c>
      <c r="E332" s="137">
        <v>6</v>
      </c>
      <c r="F332" s="30">
        <v>200</v>
      </c>
      <c r="G332" s="30">
        <v>95</v>
      </c>
      <c r="H332" s="30">
        <v>3155</v>
      </c>
      <c r="I332" s="30">
        <v>18.2</v>
      </c>
      <c r="J332" s="30">
        <v>78</v>
      </c>
      <c r="K332" s="30" t="s">
        <v>69</v>
      </c>
      <c r="L332" s="30" t="s">
        <v>148</v>
      </c>
      <c r="M332" s="58">
        <v>0</v>
      </c>
      <c r="N332" s="58">
        <v>1.4151431447383501E+19</v>
      </c>
    </row>
    <row r="333" spans="3:14">
      <c r="C333" s="29" t="b">
        <v>0</v>
      </c>
      <c r="D333" s="30">
        <v>20.2</v>
      </c>
      <c r="E333" s="137">
        <v>6</v>
      </c>
      <c r="F333" s="30">
        <v>200</v>
      </c>
      <c r="G333" s="30">
        <v>85</v>
      </c>
      <c r="H333" s="30">
        <v>2965</v>
      </c>
      <c r="I333" s="30">
        <v>15.8</v>
      </c>
      <c r="J333" s="30">
        <v>78</v>
      </c>
      <c r="K333" s="30" t="s">
        <v>69</v>
      </c>
      <c r="L333" s="30" t="s">
        <v>261</v>
      </c>
      <c r="M333" s="58">
        <v>0</v>
      </c>
      <c r="N333" s="58">
        <v>7.6169985378401597E+18</v>
      </c>
    </row>
    <row r="334" spans="3:14">
      <c r="C334" s="29" t="b">
        <v>0</v>
      </c>
      <c r="D334" s="30">
        <v>25.1</v>
      </c>
      <c r="E334" s="137">
        <v>4</v>
      </c>
      <c r="F334" s="30">
        <v>140</v>
      </c>
      <c r="G334" s="30">
        <v>88</v>
      </c>
      <c r="H334" s="30">
        <v>2720</v>
      </c>
      <c r="I334" s="30">
        <v>15.4</v>
      </c>
      <c r="J334" s="30">
        <v>78</v>
      </c>
      <c r="K334" s="30" t="s">
        <v>69</v>
      </c>
      <c r="L334" s="30" t="s">
        <v>262</v>
      </c>
      <c r="M334" s="58">
        <v>0</v>
      </c>
      <c r="N334" s="58">
        <v>3.5130397519129902E+18</v>
      </c>
    </row>
    <row r="335" spans="3:14">
      <c r="C335" s="29" t="b">
        <v>0</v>
      </c>
      <c r="D335" s="30">
        <v>20.5</v>
      </c>
      <c r="E335" s="137">
        <v>6</v>
      </c>
      <c r="F335" s="30">
        <v>225</v>
      </c>
      <c r="G335" s="30">
        <v>100</v>
      </c>
      <c r="H335" s="30">
        <v>3430</v>
      </c>
      <c r="I335" s="30">
        <v>17.2</v>
      </c>
      <c r="J335" s="30">
        <v>78</v>
      </c>
      <c r="K335" s="30" t="s">
        <v>69</v>
      </c>
      <c r="L335" s="30" t="s">
        <v>263</v>
      </c>
      <c r="M335" s="58">
        <v>0</v>
      </c>
      <c r="N335" s="58">
        <v>1.8275039705332699E+19</v>
      </c>
    </row>
    <row r="336" spans="3:14">
      <c r="C336" s="29" t="b">
        <v>0</v>
      </c>
      <c r="D336" s="30">
        <v>19.399999999999999</v>
      </c>
      <c r="E336" s="137">
        <v>6</v>
      </c>
      <c r="F336" s="30">
        <v>232</v>
      </c>
      <c r="G336" s="30">
        <v>90</v>
      </c>
      <c r="H336" s="30">
        <v>3210</v>
      </c>
      <c r="I336" s="30">
        <v>17.2</v>
      </c>
      <c r="J336" s="30">
        <v>78</v>
      </c>
      <c r="K336" s="30" t="s">
        <v>69</v>
      </c>
      <c r="L336" s="30" t="s">
        <v>264</v>
      </c>
      <c r="M336" s="58">
        <v>0</v>
      </c>
      <c r="N336" s="58">
        <v>8.00892472673728E+18</v>
      </c>
    </row>
    <row r="337" spans="3:14">
      <c r="C337" s="29" t="b">
        <v>0</v>
      </c>
      <c r="D337" s="30">
        <v>20.6</v>
      </c>
      <c r="E337" s="137">
        <v>6</v>
      </c>
      <c r="F337" s="30">
        <v>231</v>
      </c>
      <c r="G337" s="30">
        <v>105</v>
      </c>
      <c r="H337" s="30">
        <v>3380</v>
      </c>
      <c r="I337" s="30">
        <v>15.8</v>
      </c>
      <c r="J337" s="30">
        <v>78</v>
      </c>
      <c r="K337" s="30" t="s">
        <v>69</v>
      </c>
      <c r="L337" s="30" t="s">
        <v>265</v>
      </c>
      <c r="M337" s="58">
        <v>0</v>
      </c>
      <c r="N337" s="58">
        <v>1.0434667968723599E+19</v>
      </c>
    </row>
    <row r="338" spans="3:14">
      <c r="C338" s="29" t="b">
        <v>0</v>
      </c>
      <c r="D338" s="30">
        <v>20.8</v>
      </c>
      <c r="E338" s="137">
        <v>6</v>
      </c>
      <c r="F338" s="30">
        <v>200</v>
      </c>
      <c r="G338" s="30">
        <v>85</v>
      </c>
      <c r="H338" s="30">
        <v>3070</v>
      </c>
      <c r="I338" s="30">
        <v>16.7</v>
      </c>
      <c r="J338" s="30">
        <v>78</v>
      </c>
      <c r="K338" s="30" t="s">
        <v>69</v>
      </c>
      <c r="L338" s="30" t="s">
        <v>266</v>
      </c>
      <c r="M338" s="58">
        <v>0</v>
      </c>
      <c r="N338" s="58">
        <v>5.8317388775901102E+18</v>
      </c>
    </row>
    <row r="339" spans="3:14">
      <c r="C339" s="29" t="b">
        <v>0</v>
      </c>
      <c r="D339" s="30">
        <v>18.600000000000001</v>
      </c>
      <c r="E339" s="137">
        <v>6</v>
      </c>
      <c r="F339" s="30">
        <v>225</v>
      </c>
      <c r="G339" s="30">
        <v>110</v>
      </c>
      <c r="H339" s="30">
        <v>3620</v>
      </c>
      <c r="I339" s="30">
        <v>18.7</v>
      </c>
      <c r="J339" s="30">
        <v>78</v>
      </c>
      <c r="K339" s="30" t="s">
        <v>69</v>
      </c>
      <c r="L339" s="30" t="s">
        <v>267</v>
      </c>
      <c r="M339" s="58">
        <v>0</v>
      </c>
      <c r="N339" s="58">
        <v>6.8033271939694203E+18</v>
      </c>
    </row>
    <row r="340" spans="3:14">
      <c r="C340" s="29" t="b">
        <v>0</v>
      </c>
      <c r="D340" s="30">
        <v>18.100000000000001</v>
      </c>
      <c r="E340" s="137">
        <v>6</v>
      </c>
      <c r="F340" s="30">
        <v>258</v>
      </c>
      <c r="G340" s="30">
        <v>120</v>
      </c>
      <c r="H340" s="30">
        <v>3410</v>
      </c>
      <c r="I340" s="30">
        <v>15.1</v>
      </c>
      <c r="J340" s="30">
        <v>78</v>
      </c>
      <c r="K340" s="30" t="s">
        <v>69</v>
      </c>
      <c r="L340" s="30" t="s">
        <v>268</v>
      </c>
      <c r="M340" s="58">
        <v>0</v>
      </c>
      <c r="N340" s="58">
        <v>4.2391885397864499E+18</v>
      </c>
    </row>
    <row r="341" spans="3:14">
      <c r="C341" s="29" t="b">
        <v>0</v>
      </c>
      <c r="D341" s="30">
        <v>19.2</v>
      </c>
      <c r="E341" s="137">
        <v>8</v>
      </c>
      <c r="F341" s="30">
        <v>305</v>
      </c>
      <c r="G341" s="30">
        <v>145</v>
      </c>
      <c r="H341" s="30">
        <v>3425</v>
      </c>
      <c r="I341" s="30">
        <v>13.2</v>
      </c>
      <c r="J341" s="30">
        <v>78</v>
      </c>
      <c r="K341" s="30" t="s">
        <v>69</v>
      </c>
      <c r="L341" s="30" t="s">
        <v>241</v>
      </c>
      <c r="M341" s="58">
        <v>0</v>
      </c>
      <c r="N341" s="58">
        <v>9.5290382237180498E+18</v>
      </c>
    </row>
    <row r="342" spans="3:14">
      <c r="C342" s="29" t="b">
        <v>0</v>
      </c>
      <c r="D342" s="30">
        <v>17.7</v>
      </c>
      <c r="E342" s="137">
        <v>6</v>
      </c>
      <c r="F342" s="30">
        <v>231</v>
      </c>
      <c r="G342" s="30">
        <v>165</v>
      </c>
      <c r="H342" s="30">
        <v>3445</v>
      </c>
      <c r="I342" s="30">
        <v>13.4</v>
      </c>
      <c r="J342" s="30">
        <v>78</v>
      </c>
      <c r="K342" s="30" t="s">
        <v>69</v>
      </c>
      <c r="L342" s="30" t="s">
        <v>269</v>
      </c>
      <c r="M342" s="58">
        <v>0</v>
      </c>
      <c r="N342" s="58">
        <v>7.4959400205243802E+18</v>
      </c>
    </row>
    <row r="343" spans="3:14">
      <c r="C343" s="29" t="b">
        <v>0</v>
      </c>
      <c r="D343" s="30">
        <v>18.100000000000001</v>
      </c>
      <c r="E343" s="137">
        <v>8</v>
      </c>
      <c r="F343" s="30">
        <v>302</v>
      </c>
      <c r="G343" s="30">
        <v>139</v>
      </c>
      <c r="H343" s="30">
        <v>3205</v>
      </c>
      <c r="I343" s="30">
        <v>11.2</v>
      </c>
      <c r="J343" s="30">
        <v>78</v>
      </c>
      <c r="K343" s="30" t="s">
        <v>69</v>
      </c>
      <c r="L343" s="30" t="s">
        <v>270</v>
      </c>
      <c r="M343" s="58">
        <v>0</v>
      </c>
      <c r="N343" s="58">
        <v>1.4579958670213401E+19</v>
      </c>
    </row>
    <row r="344" spans="3:14">
      <c r="C344" s="29" t="b">
        <v>0</v>
      </c>
      <c r="D344" s="30">
        <v>17.5</v>
      </c>
      <c r="E344" s="137">
        <v>8</v>
      </c>
      <c r="F344" s="30">
        <v>318</v>
      </c>
      <c r="G344" s="30">
        <v>140</v>
      </c>
      <c r="H344" s="30">
        <v>4080</v>
      </c>
      <c r="I344" s="30">
        <v>13.7</v>
      </c>
      <c r="J344" s="30">
        <v>78</v>
      </c>
      <c r="K344" s="30" t="s">
        <v>69</v>
      </c>
      <c r="L344" s="30" t="s">
        <v>271</v>
      </c>
      <c r="M344" s="58">
        <v>0</v>
      </c>
      <c r="N344" s="58">
        <v>2.87036469277024E+18</v>
      </c>
    </row>
    <row r="345" spans="3:14">
      <c r="C345" s="29" t="b">
        <v>0</v>
      </c>
      <c r="D345" s="30">
        <v>30</v>
      </c>
      <c r="E345" s="137">
        <v>4</v>
      </c>
      <c r="F345" s="30">
        <v>98</v>
      </c>
      <c r="G345" s="30">
        <v>68</v>
      </c>
      <c r="H345" s="30">
        <v>2155</v>
      </c>
      <c r="I345" s="30">
        <v>16.5</v>
      </c>
      <c r="J345" s="30">
        <v>78</v>
      </c>
      <c r="K345" s="30" t="s">
        <v>69</v>
      </c>
      <c r="L345" s="30" t="s">
        <v>213</v>
      </c>
      <c r="M345" s="58">
        <v>0</v>
      </c>
      <c r="N345" s="58">
        <v>1.84390174633868E+19</v>
      </c>
    </row>
    <row r="346" spans="3:14">
      <c r="C346" s="29" t="b">
        <v>0</v>
      </c>
      <c r="D346" s="30">
        <v>27.5</v>
      </c>
      <c r="E346" s="137">
        <v>4</v>
      </c>
      <c r="F346" s="30">
        <v>134</v>
      </c>
      <c r="G346" s="30">
        <v>95</v>
      </c>
      <c r="H346" s="30">
        <v>2560</v>
      </c>
      <c r="I346" s="30">
        <v>14.2</v>
      </c>
      <c r="J346" s="30">
        <v>78</v>
      </c>
      <c r="K346" s="30" t="s">
        <v>85</v>
      </c>
      <c r="L346" s="30" t="s">
        <v>103</v>
      </c>
      <c r="M346" s="58">
        <v>0</v>
      </c>
      <c r="N346" s="58">
        <v>1.1352164475044E+19</v>
      </c>
    </row>
    <row r="347" spans="3:14">
      <c r="C347" s="29" t="b">
        <v>0</v>
      </c>
      <c r="D347" s="30">
        <v>27.2</v>
      </c>
      <c r="E347" s="137">
        <v>4</v>
      </c>
      <c r="F347" s="30">
        <v>119</v>
      </c>
      <c r="G347" s="30">
        <v>97</v>
      </c>
      <c r="H347" s="30">
        <v>2300</v>
      </c>
      <c r="I347" s="30">
        <v>14.7</v>
      </c>
      <c r="J347" s="30">
        <v>78</v>
      </c>
      <c r="K347" s="30" t="s">
        <v>85</v>
      </c>
      <c r="L347" s="30" t="s">
        <v>272</v>
      </c>
      <c r="M347" s="58">
        <v>0</v>
      </c>
      <c r="N347" s="58">
        <v>1.1111921457179001E+19</v>
      </c>
    </row>
    <row r="348" spans="3:14">
      <c r="C348" s="29" t="b">
        <v>0</v>
      </c>
      <c r="D348" s="30">
        <v>30.9</v>
      </c>
      <c r="E348" s="137">
        <v>4</v>
      </c>
      <c r="F348" s="30">
        <v>105</v>
      </c>
      <c r="G348" s="30">
        <v>75</v>
      </c>
      <c r="H348" s="30">
        <v>2230</v>
      </c>
      <c r="I348" s="30">
        <v>14.5</v>
      </c>
      <c r="J348" s="30">
        <v>78</v>
      </c>
      <c r="K348" s="30" t="s">
        <v>69</v>
      </c>
      <c r="L348" s="30" t="s">
        <v>273</v>
      </c>
      <c r="M348" s="58">
        <v>0</v>
      </c>
      <c r="N348" s="58">
        <v>6.31821648168845E+18</v>
      </c>
    </row>
    <row r="349" spans="3:14">
      <c r="C349" s="29" t="b">
        <v>0</v>
      </c>
      <c r="D349" s="30">
        <v>21.1</v>
      </c>
      <c r="E349" s="137">
        <v>4</v>
      </c>
      <c r="F349" s="30">
        <v>134</v>
      </c>
      <c r="G349" s="30">
        <v>95</v>
      </c>
      <c r="H349" s="30">
        <v>2515</v>
      </c>
      <c r="I349" s="30">
        <v>14.8</v>
      </c>
      <c r="J349" s="30">
        <v>78</v>
      </c>
      <c r="K349" s="30" t="s">
        <v>85</v>
      </c>
      <c r="L349" s="30" t="s">
        <v>274</v>
      </c>
      <c r="M349" s="58">
        <v>0</v>
      </c>
      <c r="N349" s="58">
        <v>5.7190630881737997E+17</v>
      </c>
    </row>
    <row r="350" spans="3:14">
      <c r="C350" s="29" t="b">
        <v>0</v>
      </c>
      <c r="D350" s="30">
        <v>23.2</v>
      </c>
      <c r="E350" s="137">
        <v>4</v>
      </c>
      <c r="F350" s="30">
        <v>156</v>
      </c>
      <c r="G350" s="30">
        <v>105</v>
      </c>
      <c r="H350" s="30">
        <v>2745</v>
      </c>
      <c r="I350" s="30">
        <v>16.7</v>
      </c>
      <c r="J350" s="30">
        <v>78</v>
      </c>
      <c r="K350" s="30" t="s">
        <v>69</v>
      </c>
      <c r="L350" s="30" t="s">
        <v>275</v>
      </c>
      <c r="M350" s="58">
        <v>0</v>
      </c>
      <c r="N350" s="58">
        <v>3.9597653477426601E+18</v>
      </c>
    </row>
    <row r="351" spans="3:14">
      <c r="C351" s="29" t="b">
        <v>0</v>
      </c>
      <c r="D351" s="30">
        <v>23.8</v>
      </c>
      <c r="E351" s="137">
        <v>4</v>
      </c>
      <c r="F351" s="30">
        <v>151</v>
      </c>
      <c r="G351" s="30">
        <v>85</v>
      </c>
      <c r="H351" s="30">
        <v>2855</v>
      </c>
      <c r="I351" s="30">
        <v>17.600000000000001</v>
      </c>
      <c r="J351" s="30">
        <v>78</v>
      </c>
      <c r="K351" s="30" t="s">
        <v>69</v>
      </c>
      <c r="L351" s="30" t="s">
        <v>276</v>
      </c>
      <c r="M351" s="58">
        <v>0</v>
      </c>
      <c r="N351" s="58">
        <v>9.6428387122446602E+18</v>
      </c>
    </row>
    <row r="352" spans="3:14">
      <c r="C352" s="29" t="b">
        <v>0</v>
      </c>
      <c r="D352" s="30">
        <v>23.9</v>
      </c>
      <c r="E352" s="137">
        <v>4</v>
      </c>
      <c r="F352" s="30">
        <v>119</v>
      </c>
      <c r="G352" s="30">
        <v>97</v>
      </c>
      <c r="H352" s="30">
        <v>2405</v>
      </c>
      <c r="I352" s="30">
        <v>14.9</v>
      </c>
      <c r="J352" s="30">
        <v>78</v>
      </c>
      <c r="K352" s="30" t="s">
        <v>85</v>
      </c>
      <c r="L352" s="30" t="s">
        <v>277</v>
      </c>
      <c r="M352" s="58">
        <v>0</v>
      </c>
      <c r="N352" s="58">
        <v>8.8308586369410898E+18</v>
      </c>
    </row>
    <row r="353" spans="3:14">
      <c r="C353" s="29" t="b">
        <v>0</v>
      </c>
      <c r="D353" s="30">
        <v>20.3</v>
      </c>
      <c r="E353" s="137">
        <v>5</v>
      </c>
      <c r="F353" s="30">
        <v>131</v>
      </c>
      <c r="G353" s="30">
        <v>103</v>
      </c>
      <c r="H353" s="30">
        <v>2830</v>
      </c>
      <c r="I353" s="30">
        <v>15.9</v>
      </c>
      <c r="J353" s="30">
        <v>78</v>
      </c>
      <c r="K353" s="30" t="s">
        <v>91</v>
      </c>
      <c r="L353" s="30" t="s">
        <v>278</v>
      </c>
      <c r="M353" s="58">
        <v>0</v>
      </c>
      <c r="N353" s="58">
        <v>3.7618352598826701E+17</v>
      </c>
    </row>
    <row r="354" spans="3:14">
      <c r="C354" s="29" t="b">
        <v>0</v>
      </c>
      <c r="D354" s="30">
        <v>17</v>
      </c>
      <c r="E354" s="137">
        <v>6</v>
      </c>
      <c r="F354" s="30">
        <v>163</v>
      </c>
      <c r="G354" s="30">
        <v>125</v>
      </c>
      <c r="H354" s="30">
        <v>3140</v>
      </c>
      <c r="I354" s="30">
        <v>13.6</v>
      </c>
      <c r="J354" s="30">
        <v>78</v>
      </c>
      <c r="K354" s="30" t="s">
        <v>91</v>
      </c>
      <c r="L354" s="30" t="s">
        <v>279</v>
      </c>
      <c r="M354" s="58">
        <v>0</v>
      </c>
      <c r="N354" s="58">
        <v>1.78181745482438E+19</v>
      </c>
    </row>
    <row r="355" spans="3:14">
      <c r="C355" s="29" t="b">
        <v>0</v>
      </c>
      <c r="D355" s="30">
        <v>21.6</v>
      </c>
      <c r="E355" s="137">
        <v>4</v>
      </c>
      <c r="F355" s="30">
        <v>121</v>
      </c>
      <c r="G355" s="30">
        <v>115</v>
      </c>
      <c r="H355" s="30">
        <v>2795</v>
      </c>
      <c r="I355" s="30">
        <v>15.7</v>
      </c>
      <c r="J355" s="30">
        <v>78</v>
      </c>
      <c r="K355" s="30" t="s">
        <v>91</v>
      </c>
      <c r="L355" s="30" t="s">
        <v>280</v>
      </c>
      <c r="M355" s="58">
        <v>0</v>
      </c>
      <c r="N355" s="58">
        <v>5.8069295402143396E+18</v>
      </c>
    </row>
    <row r="356" spans="3:14">
      <c r="C356" s="29" t="b">
        <v>0</v>
      </c>
      <c r="D356" s="30">
        <v>16.2</v>
      </c>
      <c r="E356" s="137">
        <v>6</v>
      </c>
      <c r="F356" s="30">
        <v>163</v>
      </c>
      <c r="G356" s="30">
        <v>133</v>
      </c>
      <c r="H356" s="30">
        <v>3410</v>
      </c>
      <c r="I356" s="30">
        <v>15.8</v>
      </c>
      <c r="J356" s="30">
        <v>78</v>
      </c>
      <c r="K356" s="30" t="s">
        <v>91</v>
      </c>
      <c r="L356" s="30" t="s">
        <v>281</v>
      </c>
      <c r="M356" s="58">
        <v>0</v>
      </c>
      <c r="N356" s="58">
        <v>1.67275143796939E+19</v>
      </c>
    </row>
    <row r="357" spans="3:14">
      <c r="C357" s="29" t="b">
        <v>0</v>
      </c>
      <c r="D357" s="30">
        <v>31.5</v>
      </c>
      <c r="E357" s="137">
        <v>4</v>
      </c>
      <c r="F357" s="30">
        <v>89</v>
      </c>
      <c r="G357" s="30">
        <v>71</v>
      </c>
      <c r="H357" s="30">
        <v>1990</v>
      </c>
      <c r="I357" s="30">
        <v>14.9</v>
      </c>
      <c r="J357" s="30">
        <v>78</v>
      </c>
      <c r="K357" s="30" t="s">
        <v>91</v>
      </c>
      <c r="L357" s="30" t="s">
        <v>282</v>
      </c>
      <c r="M357" s="58">
        <v>0</v>
      </c>
      <c r="N357" s="58">
        <v>2.3718087258588902E+18</v>
      </c>
    </row>
    <row r="358" spans="3:14">
      <c r="C358" s="29" t="b">
        <v>0</v>
      </c>
      <c r="D358" s="30">
        <v>29.5</v>
      </c>
      <c r="E358" s="137">
        <v>4</v>
      </c>
      <c r="F358" s="30">
        <v>98</v>
      </c>
      <c r="G358" s="30">
        <v>68</v>
      </c>
      <c r="H358" s="30">
        <v>2135</v>
      </c>
      <c r="I358" s="30">
        <v>16.600000000000001</v>
      </c>
      <c r="J358" s="30">
        <v>78</v>
      </c>
      <c r="K358" s="30" t="s">
        <v>85</v>
      </c>
      <c r="L358" s="30" t="s">
        <v>283</v>
      </c>
      <c r="M358" s="58">
        <v>0</v>
      </c>
      <c r="N358" s="58">
        <v>7.9649491895812698E+17</v>
      </c>
    </row>
    <row r="359" spans="3:14">
      <c r="C359" s="29" t="b">
        <v>0</v>
      </c>
      <c r="D359" s="30">
        <v>21.5</v>
      </c>
      <c r="E359" s="137">
        <v>6</v>
      </c>
      <c r="F359" s="30">
        <v>231</v>
      </c>
      <c r="G359" s="30">
        <v>115</v>
      </c>
      <c r="H359" s="30">
        <v>3245</v>
      </c>
      <c r="I359" s="30">
        <v>15.4</v>
      </c>
      <c r="J359" s="30">
        <v>79</v>
      </c>
      <c r="K359" s="30" t="s">
        <v>69</v>
      </c>
      <c r="L359" s="30" t="s">
        <v>284</v>
      </c>
      <c r="M359" s="58">
        <v>0</v>
      </c>
      <c r="N359" s="58">
        <v>4.8941968577276703E+18</v>
      </c>
    </row>
    <row r="360" spans="3:14">
      <c r="C360" s="29" t="b">
        <v>0</v>
      </c>
      <c r="D360" s="30">
        <v>19.8</v>
      </c>
      <c r="E360" s="137">
        <v>6</v>
      </c>
      <c r="F360" s="30">
        <v>200</v>
      </c>
      <c r="G360" s="30">
        <v>85</v>
      </c>
      <c r="H360" s="30">
        <v>2990</v>
      </c>
      <c r="I360" s="30">
        <v>18.2</v>
      </c>
      <c r="J360" s="30">
        <v>79</v>
      </c>
      <c r="K360" s="30" t="s">
        <v>69</v>
      </c>
      <c r="L360" s="30" t="s">
        <v>285</v>
      </c>
      <c r="M360" s="58">
        <v>0</v>
      </c>
      <c r="N360" s="58">
        <v>1.7529196653753899E+19</v>
      </c>
    </row>
    <row r="361" spans="3:14">
      <c r="C361" s="29" t="b">
        <v>0</v>
      </c>
      <c r="D361" s="30">
        <v>22.3</v>
      </c>
      <c r="E361" s="137">
        <v>4</v>
      </c>
      <c r="F361" s="30">
        <v>140</v>
      </c>
      <c r="G361" s="30">
        <v>88</v>
      </c>
      <c r="H361" s="30">
        <v>2890</v>
      </c>
      <c r="I361" s="30">
        <v>17.3</v>
      </c>
      <c r="J361" s="30">
        <v>79</v>
      </c>
      <c r="K361" s="30" t="s">
        <v>69</v>
      </c>
      <c r="L361" s="30" t="s">
        <v>286</v>
      </c>
      <c r="M361" s="58">
        <v>0</v>
      </c>
      <c r="N361" s="58">
        <v>1.79947137884254E+19</v>
      </c>
    </row>
    <row r="362" spans="3:14">
      <c r="C362" s="29" t="b">
        <v>0</v>
      </c>
      <c r="D362" s="30">
        <v>20.2</v>
      </c>
      <c r="E362" s="137">
        <v>6</v>
      </c>
      <c r="F362" s="30">
        <v>232</v>
      </c>
      <c r="G362" s="30">
        <v>90</v>
      </c>
      <c r="H362" s="30">
        <v>3265</v>
      </c>
      <c r="I362" s="30">
        <v>18.2</v>
      </c>
      <c r="J362" s="30">
        <v>79</v>
      </c>
      <c r="K362" s="30" t="s">
        <v>69</v>
      </c>
      <c r="L362" s="30" t="s">
        <v>287</v>
      </c>
      <c r="M362" s="58">
        <v>0</v>
      </c>
      <c r="N362" s="58">
        <v>2.3809037480214702E+18</v>
      </c>
    </row>
    <row r="363" spans="3:14">
      <c r="C363" s="29" t="b">
        <v>0</v>
      </c>
      <c r="D363" s="30">
        <v>20.6</v>
      </c>
      <c r="E363" s="137">
        <v>6</v>
      </c>
      <c r="F363" s="30">
        <v>225</v>
      </c>
      <c r="G363" s="30">
        <v>110</v>
      </c>
      <c r="H363" s="30">
        <v>3360</v>
      </c>
      <c r="I363" s="30">
        <v>16.600000000000001</v>
      </c>
      <c r="J363" s="30">
        <v>79</v>
      </c>
      <c r="K363" s="30" t="s">
        <v>69</v>
      </c>
      <c r="L363" s="30" t="s">
        <v>288</v>
      </c>
      <c r="M363" s="58">
        <v>0</v>
      </c>
      <c r="N363" s="58">
        <v>1.6827912517361799E+19</v>
      </c>
    </row>
    <row r="364" spans="3:14">
      <c r="C364" s="29" t="b">
        <v>0</v>
      </c>
      <c r="D364" s="30">
        <v>17</v>
      </c>
      <c r="E364" s="137">
        <v>8</v>
      </c>
      <c r="F364" s="30">
        <v>305</v>
      </c>
      <c r="G364" s="30">
        <v>130</v>
      </c>
      <c r="H364" s="30">
        <v>3840</v>
      </c>
      <c r="I364" s="30">
        <v>15.4</v>
      </c>
      <c r="J364" s="30">
        <v>79</v>
      </c>
      <c r="K364" s="30" t="s">
        <v>69</v>
      </c>
      <c r="L364" s="30" t="s">
        <v>152</v>
      </c>
      <c r="M364" s="58">
        <v>0</v>
      </c>
      <c r="N364" s="58">
        <v>3.5762074453509299E+18</v>
      </c>
    </row>
    <row r="365" spans="3:14">
      <c r="C365" s="29" t="b">
        <v>0</v>
      </c>
      <c r="D365" s="30">
        <v>17.600000000000001</v>
      </c>
      <c r="E365" s="137">
        <v>8</v>
      </c>
      <c r="F365" s="30">
        <v>302</v>
      </c>
      <c r="G365" s="30">
        <v>129</v>
      </c>
      <c r="H365" s="30">
        <v>3725</v>
      </c>
      <c r="I365" s="30">
        <v>13.4</v>
      </c>
      <c r="J365" s="30">
        <v>79</v>
      </c>
      <c r="K365" s="30" t="s">
        <v>69</v>
      </c>
      <c r="L365" s="30" t="s">
        <v>289</v>
      </c>
      <c r="M365" s="58">
        <v>0</v>
      </c>
      <c r="N365" s="58">
        <v>6.1555499885930895E+18</v>
      </c>
    </row>
    <row r="366" spans="3:14">
      <c r="C366" s="29" t="b">
        <v>0</v>
      </c>
      <c r="D366" s="30">
        <v>16.5</v>
      </c>
      <c r="E366" s="137">
        <v>8</v>
      </c>
      <c r="F366" s="30">
        <v>351</v>
      </c>
      <c r="G366" s="30">
        <v>138</v>
      </c>
      <c r="H366" s="30">
        <v>3955</v>
      </c>
      <c r="I366" s="30">
        <v>13.2</v>
      </c>
      <c r="J366" s="30">
        <v>79</v>
      </c>
      <c r="K366" s="30" t="s">
        <v>69</v>
      </c>
      <c r="L366" s="30" t="s">
        <v>290</v>
      </c>
      <c r="M366" s="58">
        <v>0</v>
      </c>
      <c r="N366" s="58">
        <v>1.81350849543326E+19</v>
      </c>
    </row>
    <row r="367" spans="3:14">
      <c r="C367" s="29" t="b">
        <v>0</v>
      </c>
      <c r="D367" s="30">
        <v>18.2</v>
      </c>
      <c r="E367" s="137">
        <v>8</v>
      </c>
      <c r="F367" s="30">
        <v>318</v>
      </c>
      <c r="G367" s="30">
        <v>135</v>
      </c>
      <c r="H367" s="30">
        <v>3830</v>
      </c>
      <c r="I367" s="30">
        <v>15.2</v>
      </c>
      <c r="J367" s="30">
        <v>79</v>
      </c>
      <c r="K367" s="30" t="s">
        <v>69</v>
      </c>
      <c r="L367" s="30" t="s">
        <v>291</v>
      </c>
      <c r="M367" s="58">
        <v>0</v>
      </c>
      <c r="N367" s="58">
        <v>6.2587641534415002E+18</v>
      </c>
    </row>
    <row r="368" spans="3:14">
      <c r="C368" s="29" t="b">
        <v>0</v>
      </c>
      <c r="D368" s="30">
        <v>16.899999999999999</v>
      </c>
      <c r="E368" s="137">
        <v>8</v>
      </c>
      <c r="F368" s="30">
        <v>350</v>
      </c>
      <c r="G368" s="30">
        <v>155</v>
      </c>
      <c r="H368" s="30">
        <v>4360</v>
      </c>
      <c r="I368" s="30">
        <v>14.9</v>
      </c>
      <c r="J368" s="30">
        <v>79</v>
      </c>
      <c r="K368" s="30" t="s">
        <v>69</v>
      </c>
      <c r="L368" s="30" t="s">
        <v>84</v>
      </c>
      <c r="M368" s="58">
        <v>0</v>
      </c>
      <c r="N368" s="58">
        <v>2.8471683532888899E+18</v>
      </c>
    </row>
    <row r="369" spans="3:14">
      <c r="C369" s="29" t="b">
        <v>0</v>
      </c>
      <c r="D369" s="30">
        <v>15.5</v>
      </c>
      <c r="E369" s="137">
        <v>8</v>
      </c>
      <c r="F369" s="30">
        <v>351</v>
      </c>
      <c r="G369" s="30">
        <v>142</v>
      </c>
      <c r="H369" s="30">
        <v>4054</v>
      </c>
      <c r="I369" s="30">
        <v>14.3</v>
      </c>
      <c r="J369" s="30">
        <v>79</v>
      </c>
      <c r="K369" s="30" t="s">
        <v>69</v>
      </c>
      <c r="L369" s="30" t="s">
        <v>109</v>
      </c>
      <c r="M369" s="58">
        <v>0</v>
      </c>
      <c r="N369" s="58">
        <v>8.0116805595410698E+18</v>
      </c>
    </row>
    <row r="370" spans="3:14">
      <c r="C370" s="29" t="b">
        <v>0</v>
      </c>
      <c r="D370" s="30">
        <v>19.2</v>
      </c>
      <c r="E370" s="137">
        <v>8</v>
      </c>
      <c r="F370" s="30">
        <v>267</v>
      </c>
      <c r="G370" s="30">
        <v>125</v>
      </c>
      <c r="H370" s="30">
        <v>3605</v>
      </c>
      <c r="I370" s="30">
        <v>15</v>
      </c>
      <c r="J370" s="30">
        <v>79</v>
      </c>
      <c r="K370" s="30" t="s">
        <v>69</v>
      </c>
      <c r="L370" s="30" t="s">
        <v>292</v>
      </c>
      <c r="M370" s="58">
        <v>0</v>
      </c>
      <c r="N370" s="58">
        <v>4.8141841416036598E+18</v>
      </c>
    </row>
    <row r="371" spans="3:14">
      <c r="C371" s="29" t="b">
        <v>0</v>
      </c>
      <c r="D371" s="30">
        <v>18.5</v>
      </c>
      <c r="E371" s="137">
        <v>8</v>
      </c>
      <c r="F371" s="30">
        <v>360</v>
      </c>
      <c r="G371" s="30">
        <v>150</v>
      </c>
      <c r="H371" s="30">
        <v>3940</v>
      </c>
      <c r="I371" s="30">
        <v>13</v>
      </c>
      <c r="J371" s="30">
        <v>79</v>
      </c>
      <c r="K371" s="30" t="s">
        <v>69</v>
      </c>
      <c r="L371" s="30" t="s">
        <v>293</v>
      </c>
      <c r="M371" s="58">
        <v>0</v>
      </c>
      <c r="N371" s="58">
        <v>8.9344161482018601E+18</v>
      </c>
    </row>
    <row r="372" spans="3:14">
      <c r="C372" s="29" t="b">
        <v>0</v>
      </c>
      <c r="D372" s="30">
        <v>31.9</v>
      </c>
      <c r="E372" s="137">
        <v>4</v>
      </c>
      <c r="F372" s="30">
        <v>89</v>
      </c>
      <c r="G372" s="30">
        <v>71</v>
      </c>
      <c r="H372" s="30">
        <v>1925</v>
      </c>
      <c r="I372" s="30">
        <v>14</v>
      </c>
      <c r="J372" s="30">
        <v>79</v>
      </c>
      <c r="K372" s="30" t="s">
        <v>91</v>
      </c>
      <c r="L372" s="30" t="s">
        <v>294</v>
      </c>
      <c r="M372" s="58">
        <v>0</v>
      </c>
      <c r="N372" s="58">
        <v>3.2978107971052201E+18</v>
      </c>
    </row>
    <row r="373" spans="3:14">
      <c r="C373" s="29" t="b">
        <v>0</v>
      </c>
      <c r="D373" s="30">
        <v>34.1</v>
      </c>
      <c r="E373" s="137">
        <v>4</v>
      </c>
      <c r="F373" s="30">
        <v>86</v>
      </c>
      <c r="G373" s="30">
        <v>65</v>
      </c>
      <c r="H373" s="30">
        <v>1975</v>
      </c>
      <c r="I373" s="30">
        <v>15.2</v>
      </c>
      <c r="J373" s="30">
        <v>79</v>
      </c>
      <c r="K373" s="30" t="s">
        <v>85</v>
      </c>
      <c r="L373" s="30" t="s">
        <v>295</v>
      </c>
      <c r="M373" s="58">
        <v>0</v>
      </c>
      <c r="N373" s="58">
        <v>2.0857210516577101E+18</v>
      </c>
    </row>
    <row r="374" spans="3:14">
      <c r="C374" s="29" t="b">
        <v>0</v>
      </c>
      <c r="D374" s="30">
        <v>35.700000000000003</v>
      </c>
      <c r="E374" s="137">
        <v>4</v>
      </c>
      <c r="F374" s="30">
        <v>98</v>
      </c>
      <c r="G374" s="30">
        <v>80</v>
      </c>
      <c r="H374" s="30">
        <v>1915</v>
      </c>
      <c r="I374" s="30">
        <v>14.4</v>
      </c>
      <c r="J374" s="30">
        <v>79</v>
      </c>
      <c r="K374" s="30" t="s">
        <v>69</v>
      </c>
      <c r="L374" s="30" t="s">
        <v>296</v>
      </c>
      <c r="M374" s="58">
        <v>0</v>
      </c>
      <c r="N374" s="58">
        <v>7.9379654373644401E+18</v>
      </c>
    </row>
    <row r="375" spans="3:14">
      <c r="C375" s="29" t="b">
        <v>0</v>
      </c>
      <c r="D375" s="30">
        <v>27.4</v>
      </c>
      <c r="E375" s="137">
        <v>4</v>
      </c>
      <c r="F375" s="30">
        <v>121</v>
      </c>
      <c r="G375" s="30">
        <v>80</v>
      </c>
      <c r="H375" s="30">
        <v>2670</v>
      </c>
      <c r="I375" s="30">
        <v>15</v>
      </c>
      <c r="J375" s="30">
        <v>79</v>
      </c>
      <c r="K375" s="30" t="s">
        <v>69</v>
      </c>
      <c r="L375" s="30" t="s">
        <v>297</v>
      </c>
      <c r="M375" s="58">
        <v>0</v>
      </c>
      <c r="N375" s="58">
        <v>9.62998422927966E+18</v>
      </c>
    </row>
    <row r="376" spans="3:14">
      <c r="C376" s="29" t="b">
        <v>0</v>
      </c>
      <c r="D376" s="30">
        <v>25.4</v>
      </c>
      <c r="E376" s="137">
        <v>5</v>
      </c>
      <c r="F376" s="30">
        <v>183</v>
      </c>
      <c r="G376" s="30">
        <v>77</v>
      </c>
      <c r="H376" s="30">
        <v>3530</v>
      </c>
      <c r="I376" s="30">
        <v>20.100000000000001</v>
      </c>
      <c r="J376" s="30">
        <v>79</v>
      </c>
      <c r="K376" s="30" t="s">
        <v>91</v>
      </c>
      <c r="L376" s="30" t="s">
        <v>298</v>
      </c>
      <c r="M376" s="58">
        <v>0</v>
      </c>
      <c r="N376" s="58">
        <v>3.1697902612344602E+18</v>
      </c>
    </row>
    <row r="377" spans="3:14">
      <c r="C377" s="29" t="b">
        <v>0</v>
      </c>
      <c r="D377" s="30">
        <v>23</v>
      </c>
      <c r="E377" s="137">
        <v>8</v>
      </c>
      <c r="F377" s="30">
        <v>350</v>
      </c>
      <c r="G377" s="30">
        <v>125</v>
      </c>
      <c r="H377" s="30">
        <v>3900</v>
      </c>
      <c r="I377" s="30">
        <v>17.399999999999999</v>
      </c>
      <c r="J377" s="30">
        <v>79</v>
      </c>
      <c r="K377" s="30" t="s">
        <v>69</v>
      </c>
      <c r="L377" s="30" t="s">
        <v>299</v>
      </c>
      <c r="M377" s="58">
        <v>0</v>
      </c>
      <c r="N377" s="58">
        <v>1.1803404474356799E+19</v>
      </c>
    </row>
    <row r="378" spans="3:14">
      <c r="C378" s="29" t="b">
        <v>0</v>
      </c>
      <c r="D378" s="30">
        <v>27.2</v>
      </c>
      <c r="E378" s="137">
        <v>4</v>
      </c>
      <c r="F378" s="30">
        <v>141</v>
      </c>
      <c r="G378" s="30">
        <v>71</v>
      </c>
      <c r="H378" s="30">
        <v>3190</v>
      </c>
      <c r="I378" s="30">
        <v>24.8</v>
      </c>
      <c r="J378" s="30">
        <v>79</v>
      </c>
      <c r="K378" s="30" t="s">
        <v>91</v>
      </c>
      <c r="L378" s="30" t="s">
        <v>93</v>
      </c>
      <c r="M378" s="58">
        <v>0</v>
      </c>
      <c r="N378" s="58">
        <v>7.0794237089292902E+18</v>
      </c>
    </row>
    <row r="379" spans="3:14">
      <c r="C379" s="29" t="b">
        <v>0</v>
      </c>
      <c r="D379" s="30">
        <v>23.9</v>
      </c>
      <c r="E379" s="137">
        <v>8</v>
      </c>
      <c r="F379" s="30">
        <v>260</v>
      </c>
      <c r="G379" s="30">
        <v>90</v>
      </c>
      <c r="H379" s="30">
        <v>3420</v>
      </c>
      <c r="I379" s="30">
        <v>22.2</v>
      </c>
      <c r="J379" s="30">
        <v>79</v>
      </c>
      <c r="K379" s="30" t="s">
        <v>69</v>
      </c>
      <c r="L379" s="30" t="s">
        <v>257</v>
      </c>
      <c r="M379" s="58">
        <v>0</v>
      </c>
      <c r="N379" s="58">
        <v>1.4812839938624E+19</v>
      </c>
    </row>
    <row r="380" spans="3:14">
      <c r="C380" s="29" t="b">
        <v>0</v>
      </c>
      <c r="D380" s="30">
        <v>34.200000000000003</v>
      </c>
      <c r="E380" s="137">
        <v>4</v>
      </c>
      <c r="F380" s="30">
        <v>105</v>
      </c>
      <c r="G380" s="30">
        <v>70</v>
      </c>
      <c r="H380" s="30">
        <v>2200</v>
      </c>
      <c r="I380" s="30">
        <v>13.2</v>
      </c>
      <c r="J380" s="30">
        <v>79</v>
      </c>
      <c r="K380" s="30" t="s">
        <v>69</v>
      </c>
      <c r="L380" s="30" t="s">
        <v>300</v>
      </c>
      <c r="M380" s="58">
        <v>0</v>
      </c>
      <c r="N380" s="58">
        <v>1.0799871295208499E+19</v>
      </c>
    </row>
    <row r="381" spans="3:14">
      <c r="C381" s="29" t="b">
        <v>0</v>
      </c>
      <c r="D381" s="30">
        <v>34.5</v>
      </c>
      <c r="E381" s="137">
        <v>4</v>
      </c>
      <c r="F381" s="30">
        <v>105</v>
      </c>
      <c r="G381" s="30">
        <v>70</v>
      </c>
      <c r="H381" s="30">
        <v>2150</v>
      </c>
      <c r="I381" s="30">
        <v>14.9</v>
      </c>
      <c r="J381" s="30">
        <v>79</v>
      </c>
      <c r="K381" s="30" t="s">
        <v>69</v>
      </c>
      <c r="L381" s="30" t="s">
        <v>301</v>
      </c>
      <c r="M381" s="58">
        <v>0</v>
      </c>
      <c r="N381" s="58">
        <v>8.5770413891223603E+18</v>
      </c>
    </row>
    <row r="382" spans="3:14">
      <c r="C382" s="29" t="b">
        <v>0</v>
      </c>
      <c r="D382" s="30">
        <v>31.8</v>
      </c>
      <c r="E382" s="137">
        <v>4</v>
      </c>
      <c r="F382" s="30">
        <v>85</v>
      </c>
      <c r="G382" s="30">
        <v>65</v>
      </c>
      <c r="H382" s="30">
        <v>2020</v>
      </c>
      <c r="I382" s="30">
        <v>19.2</v>
      </c>
      <c r="J382" s="30">
        <v>79</v>
      </c>
      <c r="K382" s="30" t="s">
        <v>85</v>
      </c>
      <c r="L382" s="30" t="s">
        <v>302</v>
      </c>
      <c r="M382" s="58">
        <v>0</v>
      </c>
      <c r="N382" s="58">
        <v>1.4142674013183701E+19</v>
      </c>
    </row>
    <row r="383" spans="3:14">
      <c r="C383" s="29" t="b">
        <v>0</v>
      </c>
      <c r="D383" s="30">
        <v>37.299999999999997</v>
      </c>
      <c r="E383" s="137">
        <v>4</v>
      </c>
      <c r="F383" s="30">
        <v>91</v>
      </c>
      <c r="G383" s="30">
        <v>69</v>
      </c>
      <c r="H383" s="30">
        <v>2130</v>
      </c>
      <c r="I383" s="30">
        <v>14.7</v>
      </c>
      <c r="J383" s="30">
        <v>79</v>
      </c>
      <c r="K383" s="30" t="s">
        <v>91</v>
      </c>
      <c r="L383" s="30" t="s">
        <v>303</v>
      </c>
      <c r="M383" s="58">
        <v>0</v>
      </c>
      <c r="N383" s="58">
        <v>6.7297375728967795E+17</v>
      </c>
    </row>
    <row r="384" spans="3:14">
      <c r="C384" s="29" t="b">
        <v>0</v>
      </c>
      <c r="D384" s="30">
        <v>28.4</v>
      </c>
      <c r="E384" s="137">
        <v>4</v>
      </c>
      <c r="F384" s="30">
        <v>151</v>
      </c>
      <c r="G384" s="30">
        <v>90</v>
      </c>
      <c r="H384" s="30">
        <v>2670</v>
      </c>
      <c r="I384" s="30">
        <v>16</v>
      </c>
      <c r="J384" s="30">
        <v>79</v>
      </c>
      <c r="K384" s="30" t="s">
        <v>69</v>
      </c>
      <c r="L384" s="30" t="s">
        <v>304</v>
      </c>
      <c r="M384" s="58">
        <v>0</v>
      </c>
      <c r="N384" s="58">
        <v>1.1322292215027499E+19</v>
      </c>
    </row>
    <row r="385" spans="3:14">
      <c r="C385" s="29" t="b">
        <v>0</v>
      </c>
      <c r="D385" s="30">
        <v>28.8</v>
      </c>
      <c r="E385" s="137">
        <v>6</v>
      </c>
      <c r="F385" s="30">
        <v>173</v>
      </c>
      <c r="G385" s="30">
        <v>115</v>
      </c>
      <c r="H385" s="30">
        <v>2595</v>
      </c>
      <c r="I385" s="30">
        <v>11.3</v>
      </c>
      <c r="J385" s="30">
        <v>79</v>
      </c>
      <c r="K385" s="30" t="s">
        <v>69</v>
      </c>
      <c r="L385" s="30" t="s">
        <v>305</v>
      </c>
      <c r="M385" s="58">
        <v>0</v>
      </c>
      <c r="N385" s="58">
        <v>1.70902702866945E+19</v>
      </c>
    </row>
    <row r="386" spans="3:14">
      <c r="C386" s="29" t="b">
        <v>0</v>
      </c>
      <c r="D386" s="30">
        <v>26.8</v>
      </c>
      <c r="E386" s="137">
        <v>6</v>
      </c>
      <c r="F386" s="30">
        <v>173</v>
      </c>
      <c r="G386" s="30">
        <v>115</v>
      </c>
      <c r="H386" s="30">
        <v>2700</v>
      </c>
      <c r="I386" s="30">
        <v>12.9</v>
      </c>
      <c r="J386" s="30">
        <v>79</v>
      </c>
      <c r="K386" s="30" t="s">
        <v>69</v>
      </c>
      <c r="L386" s="30" t="s">
        <v>306</v>
      </c>
      <c r="M386" s="58">
        <v>0</v>
      </c>
      <c r="N386" s="58">
        <v>5.3676119755329495E+18</v>
      </c>
    </row>
    <row r="387" spans="3:14">
      <c r="C387" s="29" t="b">
        <v>0</v>
      </c>
      <c r="D387" s="30">
        <v>33.5</v>
      </c>
      <c r="E387" s="137">
        <v>4</v>
      </c>
      <c r="F387" s="30">
        <v>151</v>
      </c>
      <c r="G387" s="30">
        <v>90</v>
      </c>
      <c r="H387" s="30">
        <v>2556</v>
      </c>
      <c r="I387" s="30">
        <v>13.2</v>
      </c>
      <c r="J387" s="30">
        <v>79</v>
      </c>
      <c r="K387" s="30" t="s">
        <v>69</v>
      </c>
      <c r="L387" s="30" t="s">
        <v>307</v>
      </c>
      <c r="M387" s="58">
        <v>0</v>
      </c>
      <c r="N387" s="58">
        <v>8.35564415156369E+18</v>
      </c>
    </row>
    <row r="388" spans="3:14">
      <c r="C388" s="29" t="b">
        <v>0</v>
      </c>
      <c r="D388" s="30">
        <v>41.5</v>
      </c>
      <c r="E388" s="137">
        <v>4</v>
      </c>
      <c r="F388" s="30">
        <v>98</v>
      </c>
      <c r="G388" s="30">
        <v>76</v>
      </c>
      <c r="H388" s="30">
        <v>2144</v>
      </c>
      <c r="I388" s="30">
        <v>14.7</v>
      </c>
      <c r="J388" s="30">
        <v>80</v>
      </c>
      <c r="K388" s="30" t="s">
        <v>91</v>
      </c>
      <c r="L388" s="30" t="s">
        <v>215</v>
      </c>
      <c r="M388" s="58">
        <v>0</v>
      </c>
      <c r="N388" s="58">
        <v>6.16762870264768E+18</v>
      </c>
    </row>
    <row r="389" spans="3:14">
      <c r="C389" s="29" t="b">
        <v>0</v>
      </c>
      <c r="D389" s="30">
        <v>38.1</v>
      </c>
      <c r="E389" s="137">
        <v>4</v>
      </c>
      <c r="F389" s="30">
        <v>89</v>
      </c>
      <c r="G389" s="30">
        <v>60</v>
      </c>
      <c r="H389" s="30">
        <v>1968</v>
      </c>
      <c r="I389" s="30">
        <v>18.8</v>
      </c>
      <c r="J389" s="30">
        <v>80</v>
      </c>
      <c r="K389" s="30" t="s">
        <v>85</v>
      </c>
      <c r="L389" s="30" t="s">
        <v>308</v>
      </c>
      <c r="M389" s="58">
        <v>0</v>
      </c>
      <c r="N389" s="58">
        <v>1.6609169922935199E+18</v>
      </c>
    </row>
    <row r="390" spans="3:14">
      <c r="C390" s="29" t="b">
        <v>0</v>
      </c>
      <c r="D390" s="30">
        <v>32.1</v>
      </c>
      <c r="E390" s="137">
        <v>4</v>
      </c>
      <c r="F390" s="30">
        <v>98</v>
      </c>
      <c r="G390" s="30">
        <v>70</v>
      </c>
      <c r="H390" s="30">
        <v>2120</v>
      </c>
      <c r="I390" s="30">
        <v>15.5</v>
      </c>
      <c r="J390" s="30">
        <v>80</v>
      </c>
      <c r="K390" s="30" t="s">
        <v>69</v>
      </c>
      <c r="L390" s="30" t="s">
        <v>213</v>
      </c>
      <c r="M390" s="58">
        <v>0</v>
      </c>
      <c r="N390" s="58">
        <v>1.1497351540324999E+19</v>
      </c>
    </row>
    <row r="391" spans="3:14">
      <c r="C391" s="29" t="b">
        <v>0</v>
      </c>
      <c r="D391" s="30">
        <v>37.200000000000003</v>
      </c>
      <c r="E391" s="137">
        <v>4</v>
      </c>
      <c r="F391" s="30">
        <v>86</v>
      </c>
      <c r="G391" s="30">
        <v>65</v>
      </c>
      <c r="H391" s="30">
        <v>2019</v>
      </c>
      <c r="I391" s="30">
        <v>16.399999999999999</v>
      </c>
      <c r="J391" s="30">
        <v>80</v>
      </c>
      <c r="K391" s="30" t="s">
        <v>85</v>
      </c>
      <c r="L391" s="30" t="s">
        <v>309</v>
      </c>
      <c r="M391" s="58">
        <v>0</v>
      </c>
      <c r="N391" s="58">
        <v>9.3386586410556498E+18</v>
      </c>
    </row>
    <row r="392" spans="3:14">
      <c r="C392" s="29" t="b">
        <v>0</v>
      </c>
      <c r="D392" s="30">
        <v>28</v>
      </c>
      <c r="E392" s="137">
        <v>4</v>
      </c>
      <c r="F392" s="30">
        <v>151</v>
      </c>
      <c r="G392" s="30">
        <v>90</v>
      </c>
      <c r="H392" s="30">
        <v>2678</v>
      </c>
      <c r="I392" s="30">
        <v>16.5</v>
      </c>
      <c r="J392" s="30">
        <v>80</v>
      </c>
      <c r="K392" s="30" t="s">
        <v>69</v>
      </c>
      <c r="L392" s="30" t="s">
        <v>305</v>
      </c>
      <c r="M392" s="58">
        <v>0</v>
      </c>
      <c r="N392" s="58">
        <v>8.9507029560006902E+18</v>
      </c>
    </row>
    <row r="393" spans="3:14">
      <c r="C393" s="29" t="b">
        <v>0</v>
      </c>
      <c r="D393" s="30">
        <v>26.4</v>
      </c>
      <c r="E393" s="137">
        <v>4</v>
      </c>
      <c r="F393" s="30">
        <v>140</v>
      </c>
      <c r="G393" s="30">
        <v>88</v>
      </c>
      <c r="H393" s="30">
        <v>2870</v>
      </c>
      <c r="I393" s="30">
        <v>18.100000000000001</v>
      </c>
      <c r="J393" s="30">
        <v>80</v>
      </c>
      <c r="K393" s="30" t="s">
        <v>69</v>
      </c>
      <c r="L393" s="30" t="s">
        <v>310</v>
      </c>
      <c r="M393" s="58">
        <v>0</v>
      </c>
      <c r="N393" s="58">
        <v>1.80163384803363E+19</v>
      </c>
    </row>
    <row r="394" spans="3:14">
      <c r="C394" s="29" t="b">
        <v>0</v>
      </c>
      <c r="D394" s="30">
        <v>24.3</v>
      </c>
      <c r="E394" s="137">
        <v>4</v>
      </c>
      <c r="F394" s="30">
        <v>151</v>
      </c>
      <c r="G394" s="30">
        <v>90</v>
      </c>
      <c r="H394" s="30">
        <v>3003</v>
      </c>
      <c r="I394" s="30">
        <v>20.100000000000001</v>
      </c>
      <c r="J394" s="30">
        <v>80</v>
      </c>
      <c r="K394" s="30" t="s">
        <v>69</v>
      </c>
      <c r="L394" s="30" t="s">
        <v>264</v>
      </c>
      <c r="M394" s="58">
        <v>0</v>
      </c>
      <c r="N394" s="58">
        <v>8.8435233426259599E+18</v>
      </c>
    </row>
    <row r="395" spans="3:14">
      <c r="C395" s="29" t="b">
        <v>0</v>
      </c>
      <c r="D395" s="30">
        <v>19.100000000000001</v>
      </c>
      <c r="E395" s="137">
        <v>6</v>
      </c>
      <c r="F395" s="30">
        <v>225</v>
      </c>
      <c r="G395" s="30">
        <v>90</v>
      </c>
      <c r="H395" s="30">
        <v>3381</v>
      </c>
      <c r="I395" s="30">
        <v>18.7</v>
      </c>
      <c r="J395" s="30">
        <v>80</v>
      </c>
      <c r="K395" s="30" t="s">
        <v>69</v>
      </c>
      <c r="L395" s="30" t="s">
        <v>267</v>
      </c>
      <c r="M395" s="58">
        <v>0</v>
      </c>
      <c r="N395" s="58">
        <v>1.1701282727554601E+19</v>
      </c>
    </row>
    <row r="396" spans="3:14">
      <c r="C396" s="29" t="b">
        <v>0</v>
      </c>
      <c r="D396" s="30">
        <v>34.299999999999997</v>
      </c>
      <c r="E396" s="137">
        <v>4</v>
      </c>
      <c r="F396" s="30">
        <v>97</v>
      </c>
      <c r="G396" s="30">
        <v>78</v>
      </c>
      <c r="H396" s="30">
        <v>2188</v>
      </c>
      <c r="I396" s="30">
        <v>15.8</v>
      </c>
      <c r="J396" s="30">
        <v>80</v>
      </c>
      <c r="K396" s="30" t="s">
        <v>91</v>
      </c>
      <c r="L396" s="30" t="s">
        <v>311</v>
      </c>
      <c r="M396" s="58">
        <v>0</v>
      </c>
      <c r="N396" s="58">
        <v>8.87819740565999E+18</v>
      </c>
    </row>
    <row r="397" spans="3:14">
      <c r="C397" s="29" t="b">
        <v>0</v>
      </c>
      <c r="D397" s="30">
        <v>29.8</v>
      </c>
      <c r="E397" s="137">
        <v>4</v>
      </c>
      <c r="F397" s="30">
        <v>134</v>
      </c>
      <c r="G397" s="30">
        <v>90</v>
      </c>
      <c r="H397" s="30">
        <v>2711</v>
      </c>
      <c r="I397" s="30">
        <v>15.5</v>
      </c>
      <c r="J397" s="30">
        <v>80</v>
      </c>
      <c r="K397" s="30" t="s">
        <v>85</v>
      </c>
      <c r="L397" s="30" t="s">
        <v>312</v>
      </c>
      <c r="M397" s="58">
        <v>0</v>
      </c>
      <c r="N397" s="58">
        <v>1.1949761346477601E+19</v>
      </c>
    </row>
    <row r="398" spans="3:14">
      <c r="C398" s="29" t="b">
        <v>0</v>
      </c>
      <c r="D398" s="30">
        <v>31.3</v>
      </c>
      <c r="E398" s="137">
        <v>4</v>
      </c>
      <c r="F398" s="30">
        <v>120</v>
      </c>
      <c r="G398" s="30">
        <v>75</v>
      </c>
      <c r="H398" s="30">
        <v>2542</v>
      </c>
      <c r="I398" s="30">
        <v>17.5</v>
      </c>
      <c r="J398" s="30">
        <v>80</v>
      </c>
      <c r="K398" s="30" t="s">
        <v>85</v>
      </c>
      <c r="L398" s="30" t="s">
        <v>313</v>
      </c>
      <c r="M398" s="58">
        <v>0</v>
      </c>
      <c r="N398" s="58">
        <v>1.6516262661246501E+19</v>
      </c>
    </row>
    <row r="399" spans="3:14">
      <c r="C399" s="29" t="b">
        <v>0</v>
      </c>
      <c r="D399" s="30">
        <v>37</v>
      </c>
      <c r="E399" s="137">
        <v>4</v>
      </c>
      <c r="F399" s="30">
        <v>119</v>
      </c>
      <c r="G399" s="30">
        <v>92</v>
      </c>
      <c r="H399" s="30">
        <v>2434</v>
      </c>
      <c r="I399" s="30">
        <v>15</v>
      </c>
      <c r="J399" s="30">
        <v>80</v>
      </c>
      <c r="K399" s="30" t="s">
        <v>85</v>
      </c>
      <c r="L399" s="30" t="s">
        <v>314</v>
      </c>
      <c r="M399" s="58">
        <v>0</v>
      </c>
      <c r="N399" s="58">
        <v>1.45176700294899E+19</v>
      </c>
    </row>
    <row r="400" spans="3:14">
      <c r="C400" s="29" t="b">
        <v>0</v>
      </c>
      <c r="D400" s="30">
        <v>32.200000000000003</v>
      </c>
      <c r="E400" s="137">
        <v>4</v>
      </c>
      <c r="F400" s="30">
        <v>108</v>
      </c>
      <c r="G400" s="30">
        <v>75</v>
      </c>
      <c r="H400" s="30">
        <v>2265</v>
      </c>
      <c r="I400" s="30">
        <v>15.2</v>
      </c>
      <c r="J400" s="30">
        <v>80</v>
      </c>
      <c r="K400" s="30" t="s">
        <v>85</v>
      </c>
      <c r="L400" s="30" t="s">
        <v>203</v>
      </c>
      <c r="M400" s="58">
        <v>0</v>
      </c>
      <c r="N400" s="58">
        <v>1.07437887715666E+19</v>
      </c>
    </row>
    <row r="401" spans="3:14">
      <c r="C401" s="29" t="b">
        <v>0</v>
      </c>
      <c r="D401" s="30">
        <v>46.6</v>
      </c>
      <c r="E401" s="137">
        <v>4</v>
      </c>
      <c r="F401" s="30">
        <v>86</v>
      </c>
      <c r="G401" s="30">
        <v>65</v>
      </c>
      <c r="H401" s="30">
        <v>2110</v>
      </c>
      <c r="I401" s="30">
        <v>17.899999999999999</v>
      </c>
      <c r="J401" s="30">
        <v>80</v>
      </c>
      <c r="K401" s="30" t="s">
        <v>85</v>
      </c>
      <c r="L401" s="30" t="s">
        <v>315</v>
      </c>
      <c r="M401" s="58">
        <v>0</v>
      </c>
      <c r="N401" s="58">
        <v>1.6203479134072801E+18</v>
      </c>
    </row>
    <row r="402" spans="3:14">
      <c r="C402" s="29" t="b">
        <v>0</v>
      </c>
      <c r="D402" s="30">
        <v>27.9</v>
      </c>
      <c r="E402" s="137">
        <v>4</v>
      </c>
      <c r="F402" s="30">
        <v>156</v>
      </c>
      <c r="G402" s="30">
        <v>105</v>
      </c>
      <c r="H402" s="30">
        <v>2800</v>
      </c>
      <c r="I402" s="30">
        <v>14.4</v>
      </c>
      <c r="J402" s="30">
        <v>80</v>
      </c>
      <c r="K402" s="30" t="s">
        <v>69</v>
      </c>
      <c r="L402" s="30" t="s">
        <v>188</v>
      </c>
      <c r="M402" s="58">
        <v>0</v>
      </c>
      <c r="N402" s="58">
        <v>1.20677112229923E+19</v>
      </c>
    </row>
    <row r="403" spans="3:14">
      <c r="C403" s="29" t="b">
        <v>0</v>
      </c>
      <c r="D403" s="30">
        <v>40.799999999999997</v>
      </c>
      <c r="E403" s="137">
        <v>4</v>
      </c>
      <c r="F403" s="30">
        <v>85</v>
      </c>
      <c r="G403" s="30">
        <v>65</v>
      </c>
      <c r="H403" s="30">
        <v>2110</v>
      </c>
      <c r="I403" s="30">
        <v>19.2</v>
      </c>
      <c r="J403" s="30">
        <v>80</v>
      </c>
      <c r="K403" s="30" t="s">
        <v>85</v>
      </c>
      <c r="L403" s="30" t="s">
        <v>302</v>
      </c>
      <c r="M403" s="58">
        <v>0</v>
      </c>
      <c r="N403" s="58">
        <v>2.2827025583298501E+18</v>
      </c>
    </row>
    <row r="404" spans="3:14">
      <c r="C404" s="29" t="b">
        <v>0</v>
      </c>
      <c r="D404" s="30">
        <v>44.3</v>
      </c>
      <c r="E404" s="137">
        <v>4</v>
      </c>
      <c r="F404" s="30">
        <v>90</v>
      </c>
      <c r="G404" s="30">
        <v>48</v>
      </c>
      <c r="H404" s="30">
        <v>2085</v>
      </c>
      <c r="I404" s="30">
        <v>21.7</v>
      </c>
      <c r="J404" s="30">
        <v>80</v>
      </c>
      <c r="K404" s="30" t="s">
        <v>91</v>
      </c>
      <c r="L404" s="30" t="s">
        <v>316</v>
      </c>
      <c r="M404" s="58">
        <v>0</v>
      </c>
      <c r="N404" s="58">
        <v>6.4441502279856497E+18</v>
      </c>
    </row>
    <row r="405" spans="3:14">
      <c r="C405" s="29" t="b">
        <v>0</v>
      </c>
      <c r="D405" s="30">
        <v>43.4</v>
      </c>
      <c r="E405" s="137">
        <v>4</v>
      </c>
      <c r="F405" s="30">
        <v>90</v>
      </c>
      <c r="G405" s="30">
        <v>48</v>
      </c>
      <c r="H405" s="30">
        <v>2335</v>
      </c>
      <c r="I405" s="30">
        <v>23.7</v>
      </c>
      <c r="J405" s="30">
        <v>80</v>
      </c>
      <c r="K405" s="30" t="s">
        <v>91</v>
      </c>
      <c r="L405" s="30" t="s">
        <v>317</v>
      </c>
      <c r="M405" s="58">
        <v>0</v>
      </c>
      <c r="N405" s="58">
        <v>4.6107720064933898E+18</v>
      </c>
    </row>
    <row r="406" spans="3:14">
      <c r="C406" s="29" t="b">
        <v>0</v>
      </c>
      <c r="D406" s="30">
        <v>36.4</v>
      </c>
      <c r="E406" s="137">
        <v>5</v>
      </c>
      <c r="F406" s="30">
        <v>121</v>
      </c>
      <c r="G406" s="30">
        <v>67</v>
      </c>
      <c r="H406" s="30">
        <v>2950</v>
      </c>
      <c r="I406" s="30">
        <v>19.899999999999999</v>
      </c>
      <c r="J406" s="30">
        <v>80</v>
      </c>
      <c r="K406" s="30" t="s">
        <v>91</v>
      </c>
      <c r="L406" s="30" t="s">
        <v>318</v>
      </c>
      <c r="M406" s="58">
        <v>0</v>
      </c>
      <c r="N406" s="58">
        <v>2.6762971706971402E+18</v>
      </c>
    </row>
    <row r="407" spans="3:14">
      <c r="C407" s="29" t="b">
        <v>0</v>
      </c>
      <c r="D407" s="30">
        <v>30</v>
      </c>
      <c r="E407" s="137">
        <v>4</v>
      </c>
      <c r="F407" s="30">
        <v>146</v>
      </c>
      <c r="G407" s="30">
        <v>67</v>
      </c>
      <c r="H407" s="30">
        <v>3250</v>
      </c>
      <c r="I407" s="30">
        <v>21.8</v>
      </c>
      <c r="J407" s="30">
        <v>80</v>
      </c>
      <c r="K407" s="30" t="s">
        <v>91</v>
      </c>
      <c r="L407" s="30" t="s">
        <v>319</v>
      </c>
      <c r="M407" s="58">
        <v>0</v>
      </c>
      <c r="N407" s="58">
        <v>1.5452565343677E+19</v>
      </c>
    </row>
    <row r="408" spans="3:14">
      <c r="C408" s="29" t="b">
        <v>0</v>
      </c>
      <c r="D408" s="30">
        <v>44.6</v>
      </c>
      <c r="E408" s="137">
        <v>4</v>
      </c>
      <c r="F408" s="30">
        <v>91</v>
      </c>
      <c r="G408" s="30">
        <v>67</v>
      </c>
      <c r="H408" s="30">
        <v>1850</v>
      </c>
      <c r="I408" s="30">
        <v>13.8</v>
      </c>
      <c r="J408" s="30">
        <v>80</v>
      </c>
      <c r="K408" s="30" t="s">
        <v>85</v>
      </c>
      <c r="L408" s="30" t="s">
        <v>320</v>
      </c>
      <c r="M408" s="58">
        <v>0</v>
      </c>
      <c r="N408" s="58">
        <v>8.0904825979858698E+18</v>
      </c>
    </row>
    <row r="409" spans="3:14">
      <c r="C409" s="29" t="b">
        <v>0</v>
      </c>
      <c r="D409" s="30">
        <v>40.9</v>
      </c>
      <c r="E409" s="137">
        <v>4</v>
      </c>
      <c r="F409" s="30">
        <v>85</v>
      </c>
      <c r="G409" s="30"/>
      <c r="H409" s="30">
        <v>1835</v>
      </c>
      <c r="I409" s="30">
        <v>17.3</v>
      </c>
      <c r="J409" s="30">
        <v>80</v>
      </c>
      <c r="K409" s="30" t="s">
        <v>91</v>
      </c>
      <c r="L409" s="30" t="s">
        <v>321</v>
      </c>
      <c r="M409" s="58">
        <v>1</v>
      </c>
      <c r="N409" s="58">
        <v>3.6597527020867302E+18</v>
      </c>
    </row>
    <row r="410" spans="3:14">
      <c r="C410" s="29" t="b">
        <v>0</v>
      </c>
      <c r="D410" s="30">
        <v>33.799999999999997</v>
      </c>
      <c r="E410" s="137">
        <v>4</v>
      </c>
      <c r="F410" s="30">
        <v>97</v>
      </c>
      <c r="G410" s="30">
        <v>67</v>
      </c>
      <c r="H410" s="30">
        <v>2145</v>
      </c>
      <c r="I410" s="30">
        <v>18</v>
      </c>
      <c r="J410" s="30">
        <v>80</v>
      </c>
      <c r="K410" s="30" t="s">
        <v>85</v>
      </c>
      <c r="L410" s="30" t="s">
        <v>249</v>
      </c>
      <c r="M410" s="58">
        <v>0</v>
      </c>
      <c r="N410" s="58">
        <v>8.3174794785923502E+18</v>
      </c>
    </row>
    <row r="411" spans="3:14">
      <c r="C411" s="29" t="b">
        <v>0</v>
      </c>
      <c r="D411" s="30">
        <v>29.8</v>
      </c>
      <c r="E411" s="137">
        <v>4</v>
      </c>
      <c r="F411" s="30">
        <v>89</v>
      </c>
      <c r="G411" s="30">
        <v>62</v>
      </c>
      <c r="H411" s="30">
        <v>1845</v>
      </c>
      <c r="I411" s="30">
        <v>15.3</v>
      </c>
      <c r="J411" s="30">
        <v>80</v>
      </c>
      <c r="K411" s="30" t="s">
        <v>91</v>
      </c>
      <c r="L411" s="30" t="s">
        <v>322</v>
      </c>
      <c r="M411" s="58">
        <v>0</v>
      </c>
      <c r="N411" s="58">
        <v>3.0115033758018202E+18</v>
      </c>
    </row>
    <row r="412" spans="3:14">
      <c r="C412" s="29" t="b">
        <v>0</v>
      </c>
      <c r="D412" s="30">
        <v>32.700000000000003</v>
      </c>
      <c r="E412" s="137">
        <v>6</v>
      </c>
      <c r="F412" s="30">
        <v>168</v>
      </c>
      <c r="G412" s="30">
        <v>132</v>
      </c>
      <c r="H412" s="30">
        <v>2910</v>
      </c>
      <c r="I412" s="30">
        <v>11.4</v>
      </c>
      <c r="J412" s="30">
        <v>80</v>
      </c>
      <c r="K412" s="30" t="s">
        <v>85</v>
      </c>
      <c r="L412" s="30" t="s">
        <v>323</v>
      </c>
      <c r="M412" s="58">
        <v>0</v>
      </c>
      <c r="N412" s="58">
        <v>3.2237311284739799E+18</v>
      </c>
    </row>
    <row r="413" spans="3:14">
      <c r="C413" s="29" t="b">
        <v>0</v>
      </c>
      <c r="D413" s="30">
        <v>23.7</v>
      </c>
      <c r="E413" s="137">
        <v>3</v>
      </c>
      <c r="F413" s="30">
        <v>70</v>
      </c>
      <c r="G413" s="30">
        <v>100</v>
      </c>
      <c r="H413" s="30">
        <v>2420</v>
      </c>
      <c r="I413" s="30">
        <v>12.5</v>
      </c>
      <c r="J413" s="30">
        <v>80</v>
      </c>
      <c r="K413" s="30" t="s">
        <v>85</v>
      </c>
      <c r="L413" s="30" t="s">
        <v>324</v>
      </c>
      <c r="M413" s="58">
        <v>0</v>
      </c>
      <c r="N413" s="58">
        <v>1.8378479064615501E+18</v>
      </c>
    </row>
    <row r="414" spans="3:14">
      <c r="C414" s="29" t="b">
        <v>0</v>
      </c>
      <c r="D414" s="30">
        <v>35</v>
      </c>
      <c r="E414" s="137">
        <v>4</v>
      </c>
      <c r="F414" s="30">
        <v>122</v>
      </c>
      <c r="G414" s="30">
        <v>88</v>
      </c>
      <c r="H414" s="30">
        <v>2500</v>
      </c>
      <c r="I414" s="30">
        <v>15.1</v>
      </c>
      <c r="J414" s="30">
        <v>80</v>
      </c>
      <c r="K414" s="30" t="s">
        <v>91</v>
      </c>
      <c r="L414" s="30" t="s">
        <v>325</v>
      </c>
      <c r="M414" s="58">
        <v>0</v>
      </c>
      <c r="N414" s="58">
        <v>1.2223288561744699E+19</v>
      </c>
    </row>
    <row r="415" spans="3:14">
      <c r="C415" s="29" t="b">
        <v>0</v>
      </c>
      <c r="D415" s="30">
        <v>23.6</v>
      </c>
      <c r="E415" s="137">
        <v>4</v>
      </c>
      <c r="F415" s="30">
        <v>140</v>
      </c>
      <c r="G415" s="30"/>
      <c r="H415" s="30">
        <v>2905</v>
      </c>
      <c r="I415" s="30">
        <v>14.3</v>
      </c>
      <c r="J415" s="30">
        <v>80</v>
      </c>
      <c r="K415" s="30" t="s">
        <v>69</v>
      </c>
      <c r="L415" s="30" t="s">
        <v>326</v>
      </c>
      <c r="M415" s="58">
        <v>1</v>
      </c>
      <c r="N415" s="58">
        <v>1.1360748183183901E+19</v>
      </c>
    </row>
    <row r="416" spans="3:14">
      <c r="C416" s="29" t="b">
        <v>0</v>
      </c>
      <c r="D416" s="30">
        <v>32.4</v>
      </c>
      <c r="E416" s="137">
        <v>4</v>
      </c>
      <c r="F416" s="30">
        <v>107</v>
      </c>
      <c r="G416" s="30">
        <v>72</v>
      </c>
      <c r="H416" s="30">
        <v>2290</v>
      </c>
      <c r="I416" s="30">
        <v>17</v>
      </c>
      <c r="J416" s="30">
        <v>80</v>
      </c>
      <c r="K416" s="30" t="s">
        <v>85</v>
      </c>
      <c r="L416" s="30" t="s">
        <v>327</v>
      </c>
      <c r="M416" s="58">
        <v>0</v>
      </c>
      <c r="N416" s="58">
        <v>6.5613119949126605E+18</v>
      </c>
    </row>
    <row r="417" spans="3:14">
      <c r="C417" s="29" t="b">
        <v>0</v>
      </c>
      <c r="D417" s="30">
        <v>27.2</v>
      </c>
      <c r="E417" s="137">
        <v>4</v>
      </c>
      <c r="F417" s="30">
        <v>135</v>
      </c>
      <c r="G417" s="30">
        <v>84</v>
      </c>
      <c r="H417" s="30">
        <v>2490</v>
      </c>
      <c r="I417" s="30">
        <v>15.7</v>
      </c>
      <c r="J417" s="30">
        <v>81</v>
      </c>
      <c r="K417" s="30" t="s">
        <v>69</v>
      </c>
      <c r="L417" s="30" t="s">
        <v>328</v>
      </c>
      <c r="M417" s="58">
        <v>0</v>
      </c>
      <c r="N417" s="58">
        <v>1.03161373945339E+18</v>
      </c>
    </row>
    <row r="418" spans="3:14">
      <c r="C418" s="29" t="b">
        <v>0</v>
      </c>
      <c r="D418" s="30">
        <v>26.6</v>
      </c>
      <c r="E418" s="137">
        <v>4</v>
      </c>
      <c r="F418" s="30">
        <v>151</v>
      </c>
      <c r="G418" s="30">
        <v>84</v>
      </c>
      <c r="H418" s="30">
        <v>2635</v>
      </c>
      <c r="I418" s="30">
        <v>16.399999999999999</v>
      </c>
      <c r="J418" s="30">
        <v>81</v>
      </c>
      <c r="K418" s="30" t="s">
        <v>69</v>
      </c>
      <c r="L418" s="30" t="s">
        <v>237</v>
      </c>
      <c r="M418" s="58">
        <v>0</v>
      </c>
      <c r="N418" s="58">
        <v>1.02071319038359E+19</v>
      </c>
    </row>
    <row r="419" spans="3:14">
      <c r="C419" s="29" t="b">
        <v>0</v>
      </c>
      <c r="D419" s="30">
        <v>25.8</v>
      </c>
      <c r="E419" s="137">
        <v>4</v>
      </c>
      <c r="F419" s="30">
        <v>156</v>
      </c>
      <c r="G419" s="30">
        <v>92</v>
      </c>
      <c r="H419" s="30">
        <v>2620</v>
      </c>
      <c r="I419" s="30">
        <v>14.4</v>
      </c>
      <c r="J419" s="30">
        <v>81</v>
      </c>
      <c r="K419" s="30" t="s">
        <v>69</v>
      </c>
      <c r="L419" s="30" t="s">
        <v>329</v>
      </c>
      <c r="M419" s="58">
        <v>0</v>
      </c>
      <c r="N419" s="58">
        <v>1.0829269554705101E+19</v>
      </c>
    </row>
    <row r="420" spans="3:14">
      <c r="C420" s="29" t="b">
        <v>0</v>
      </c>
      <c r="D420" s="30">
        <v>23.5</v>
      </c>
      <c r="E420" s="137">
        <v>6</v>
      </c>
      <c r="F420" s="30">
        <v>173</v>
      </c>
      <c r="G420" s="30">
        <v>110</v>
      </c>
      <c r="H420" s="30">
        <v>2725</v>
      </c>
      <c r="I420" s="30">
        <v>12.6</v>
      </c>
      <c r="J420" s="30">
        <v>81</v>
      </c>
      <c r="K420" s="30" t="s">
        <v>69</v>
      </c>
      <c r="L420" s="30" t="s">
        <v>305</v>
      </c>
      <c r="M420" s="58">
        <v>0</v>
      </c>
      <c r="N420" s="58">
        <v>3.9500142947084498E+18</v>
      </c>
    </row>
    <row r="421" spans="3:14">
      <c r="C421" s="29" t="b">
        <v>0</v>
      </c>
      <c r="D421" s="30">
        <v>30</v>
      </c>
      <c r="E421" s="137">
        <v>4</v>
      </c>
      <c r="F421" s="30">
        <v>135</v>
      </c>
      <c r="G421" s="30">
        <v>84</v>
      </c>
      <c r="H421" s="30">
        <v>2385</v>
      </c>
      <c r="I421" s="30">
        <v>12.9</v>
      </c>
      <c r="J421" s="30">
        <v>81</v>
      </c>
      <c r="K421" s="30" t="s">
        <v>69</v>
      </c>
      <c r="L421" s="30" t="s">
        <v>328</v>
      </c>
      <c r="M421" s="58">
        <v>0</v>
      </c>
      <c r="N421" s="58">
        <v>1.47316332011484E+19</v>
      </c>
    </row>
    <row r="422" spans="3:14">
      <c r="C422" s="29" t="b">
        <v>0</v>
      </c>
      <c r="D422" s="30">
        <v>39.1</v>
      </c>
      <c r="E422" s="137">
        <v>4</v>
      </c>
      <c r="F422" s="30">
        <v>79</v>
      </c>
      <c r="G422" s="30">
        <v>58</v>
      </c>
      <c r="H422" s="30">
        <v>1755</v>
      </c>
      <c r="I422" s="30">
        <v>16.899999999999999</v>
      </c>
      <c r="J422" s="30">
        <v>81</v>
      </c>
      <c r="K422" s="30" t="s">
        <v>85</v>
      </c>
      <c r="L422" s="30" t="s">
        <v>330</v>
      </c>
      <c r="M422" s="58">
        <v>0</v>
      </c>
      <c r="N422" s="58">
        <v>1.8148640045662599E+19</v>
      </c>
    </row>
    <row r="423" spans="3:14">
      <c r="C423" s="29" t="b">
        <v>0</v>
      </c>
      <c r="D423" s="30">
        <v>39</v>
      </c>
      <c r="E423" s="137">
        <v>4</v>
      </c>
      <c r="F423" s="30">
        <v>86</v>
      </c>
      <c r="G423" s="30">
        <v>64</v>
      </c>
      <c r="H423" s="30">
        <v>1875</v>
      </c>
      <c r="I423" s="30">
        <v>16.399999999999999</v>
      </c>
      <c r="J423" s="30">
        <v>81</v>
      </c>
      <c r="K423" s="30" t="s">
        <v>69</v>
      </c>
      <c r="L423" s="30" t="s">
        <v>331</v>
      </c>
      <c r="M423" s="58">
        <v>0</v>
      </c>
      <c r="N423" s="58">
        <v>1.6832946407587799E+18</v>
      </c>
    </row>
    <row r="424" spans="3:14">
      <c r="C424" s="29" t="b">
        <v>0</v>
      </c>
      <c r="D424" s="30">
        <v>35.1</v>
      </c>
      <c r="E424" s="137">
        <v>4</v>
      </c>
      <c r="F424" s="30">
        <v>81</v>
      </c>
      <c r="G424" s="30">
        <v>60</v>
      </c>
      <c r="H424" s="30">
        <v>1760</v>
      </c>
      <c r="I424" s="30">
        <v>16.100000000000001</v>
      </c>
      <c r="J424" s="30">
        <v>81</v>
      </c>
      <c r="K424" s="30" t="s">
        <v>85</v>
      </c>
      <c r="L424" s="30" t="s">
        <v>332</v>
      </c>
      <c r="M424" s="58">
        <v>0</v>
      </c>
      <c r="N424" s="58">
        <v>1.7195611593687699E+19</v>
      </c>
    </row>
    <row r="425" spans="3:14">
      <c r="C425" s="29" t="b">
        <v>0</v>
      </c>
      <c r="D425" s="30">
        <v>32.299999999999997</v>
      </c>
      <c r="E425" s="137">
        <v>4</v>
      </c>
      <c r="F425" s="30">
        <v>97</v>
      </c>
      <c r="G425" s="30">
        <v>67</v>
      </c>
      <c r="H425" s="30">
        <v>2065</v>
      </c>
      <c r="I425" s="30">
        <v>17.8</v>
      </c>
      <c r="J425" s="30">
        <v>81</v>
      </c>
      <c r="K425" s="30" t="s">
        <v>85</v>
      </c>
      <c r="L425" s="30" t="s">
        <v>191</v>
      </c>
      <c r="M425" s="58">
        <v>0</v>
      </c>
      <c r="N425" s="58">
        <v>2.8145423952215101E+18</v>
      </c>
    </row>
    <row r="426" spans="3:14">
      <c r="C426" s="29" t="b">
        <v>0</v>
      </c>
      <c r="D426" s="30">
        <v>37</v>
      </c>
      <c r="E426" s="137">
        <v>4</v>
      </c>
      <c r="F426" s="30">
        <v>85</v>
      </c>
      <c r="G426" s="30">
        <v>65</v>
      </c>
      <c r="H426" s="30">
        <v>1975</v>
      </c>
      <c r="I426" s="30">
        <v>19.399999999999999</v>
      </c>
      <c r="J426" s="30">
        <v>81</v>
      </c>
      <c r="K426" s="30" t="s">
        <v>85</v>
      </c>
      <c r="L426" s="30" t="s">
        <v>333</v>
      </c>
      <c r="M426" s="58">
        <v>0</v>
      </c>
      <c r="N426" s="58">
        <v>1.84622191998096E+18</v>
      </c>
    </row>
    <row r="427" spans="3:14">
      <c r="C427" s="29" t="b">
        <v>0</v>
      </c>
      <c r="D427" s="30">
        <v>37.700000000000003</v>
      </c>
      <c r="E427" s="137">
        <v>4</v>
      </c>
      <c r="F427" s="30">
        <v>89</v>
      </c>
      <c r="G427" s="30">
        <v>62</v>
      </c>
      <c r="H427" s="30">
        <v>2050</v>
      </c>
      <c r="I427" s="30">
        <v>17.3</v>
      </c>
      <c r="J427" s="30">
        <v>81</v>
      </c>
      <c r="K427" s="30" t="s">
        <v>85</v>
      </c>
      <c r="L427" s="30" t="s">
        <v>334</v>
      </c>
      <c r="M427" s="58">
        <v>0</v>
      </c>
      <c r="N427" s="58">
        <v>3.1461358615096998E+17</v>
      </c>
    </row>
    <row r="428" spans="3:14">
      <c r="C428" s="29" t="b">
        <v>0</v>
      </c>
      <c r="D428" s="30">
        <v>34.1</v>
      </c>
      <c r="E428" s="137">
        <v>4</v>
      </c>
      <c r="F428" s="30">
        <v>91</v>
      </c>
      <c r="G428" s="30">
        <v>68</v>
      </c>
      <c r="H428" s="30">
        <v>1985</v>
      </c>
      <c r="I428" s="30">
        <v>16</v>
      </c>
      <c r="J428" s="30">
        <v>81</v>
      </c>
      <c r="K428" s="30" t="s">
        <v>85</v>
      </c>
      <c r="L428" s="30" t="s">
        <v>335</v>
      </c>
      <c r="M428" s="58">
        <v>0</v>
      </c>
      <c r="N428" s="58">
        <v>1.35720485914508E+19</v>
      </c>
    </row>
    <row r="429" spans="3:14">
      <c r="C429" s="29" t="b">
        <v>0</v>
      </c>
      <c r="D429" s="30">
        <v>34.700000000000003</v>
      </c>
      <c r="E429" s="137">
        <v>4</v>
      </c>
      <c r="F429" s="30">
        <v>105</v>
      </c>
      <c r="G429" s="30">
        <v>63</v>
      </c>
      <c r="H429" s="30">
        <v>2215</v>
      </c>
      <c r="I429" s="30">
        <v>14.9</v>
      </c>
      <c r="J429" s="30">
        <v>81</v>
      </c>
      <c r="K429" s="30" t="s">
        <v>69</v>
      </c>
      <c r="L429" s="30" t="s">
        <v>336</v>
      </c>
      <c r="M429" s="58">
        <v>0</v>
      </c>
      <c r="N429" s="58">
        <v>4.8646253742050598E+17</v>
      </c>
    </row>
    <row r="430" spans="3:14">
      <c r="C430" s="29" t="b">
        <v>0</v>
      </c>
      <c r="D430" s="30">
        <v>34.4</v>
      </c>
      <c r="E430" s="137">
        <v>4</v>
      </c>
      <c r="F430" s="30">
        <v>98</v>
      </c>
      <c r="G430" s="30">
        <v>65</v>
      </c>
      <c r="H430" s="30">
        <v>2045</v>
      </c>
      <c r="I430" s="30">
        <v>16.2</v>
      </c>
      <c r="J430" s="30">
        <v>81</v>
      </c>
      <c r="K430" s="30" t="s">
        <v>69</v>
      </c>
      <c r="L430" s="30" t="s">
        <v>337</v>
      </c>
      <c r="M430" s="58">
        <v>0</v>
      </c>
      <c r="N430" s="58">
        <v>6.6260757644951695E+18</v>
      </c>
    </row>
    <row r="431" spans="3:14">
      <c r="C431" s="29" t="b">
        <v>0</v>
      </c>
      <c r="D431" s="30">
        <v>29.9</v>
      </c>
      <c r="E431" s="137">
        <v>4</v>
      </c>
      <c r="F431" s="30">
        <v>98</v>
      </c>
      <c r="G431" s="30">
        <v>65</v>
      </c>
      <c r="H431" s="30">
        <v>2380</v>
      </c>
      <c r="I431" s="30">
        <v>20.7</v>
      </c>
      <c r="J431" s="30">
        <v>81</v>
      </c>
      <c r="K431" s="30" t="s">
        <v>69</v>
      </c>
      <c r="L431" s="30" t="s">
        <v>338</v>
      </c>
      <c r="M431" s="58">
        <v>0</v>
      </c>
      <c r="N431" s="58">
        <v>1.0472064571288101E+19</v>
      </c>
    </row>
    <row r="432" spans="3:14">
      <c r="C432" s="29" t="b">
        <v>0</v>
      </c>
      <c r="D432" s="30">
        <v>33</v>
      </c>
      <c r="E432" s="137">
        <v>4</v>
      </c>
      <c r="F432" s="30">
        <v>105</v>
      </c>
      <c r="G432" s="30">
        <v>74</v>
      </c>
      <c r="H432" s="30">
        <v>2190</v>
      </c>
      <c r="I432" s="30">
        <v>14.2</v>
      </c>
      <c r="J432" s="30">
        <v>81</v>
      </c>
      <c r="K432" s="30" t="s">
        <v>91</v>
      </c>
      <c r="L432" s="30" t="s">
        <v>339</v>
      </c>
      <c r="M432" s="58">
        <v>0</v>
      </c>
      <c r="N432" s="58">
        <v>5.3595149799196703E+18</v>
      </c>
    </row>
    <row r="433" spans="3:14">
      <c r="C433" s="29" t="b">
        <v>0</v>
      </c>
      <c r="D433" s="30">
        <v>34.5</v>
      </c>
      <c r="E433" s="137">
        <v>4</v>
      </c>
      <c r="F433" s="30">
        <v>100</v>
      </c>
      <c r="G433" s="30"/>
      <c r="H433" s="30">
        <v>2320</v>
      </c>
      <c r="I433" s="30">
        <v>15.8</v>
      </c>
      <c r="J433" s="30">
        <v>81</v>
      </c>
      <c r="K433" s="30" t="s">
        <v>91</v>
      </c>
      <c r="L433" s="30" t="s">
        <v>340</v>
      </c>
      <c r="M433" s="58">
        <v>1</v>
      </c>
      <c r="N433" s="58">
        <v>9.3686051012473303E+18</v>
      </c>
    </row>
    <row r="434" spans="3:14">
      <c r="C434" s="29" t="b">
        <v>0</v>
      </c>
      <c r="D434" s="30">
        <v>33.700000000000003</v>
      </c>
      <c r="E434" s="137">
        <v>4</v>
      </c>
      <c r="F434" s="30">
        <v>107</v>
      </c>
      <c r="G434" s="30">
        <v>75</v>
      </c>
      <c r="H434" s="30">
        <v>2210</v>
      </c>
      <c r="I434" s="30">
        <v>14.4</v>
      </c>
      <c r="J434" s="30">
        <v>81</v>
      </c>
      <c r="K434" s="30" t="s">
        <v>85</v>
      </c>
      <c r="L434" s="30" t="s">
        <v>341</v>
      </c>
      <c r="M434" s="58">
        <v>0</v>
      </c>
      <c r="N434" s="58">
        <v>9.3121393370414694E+18</v>
      </c>
    </row>
    <row r="435" spans="3:14">
      <c r="C435" s="29" t="b">
        <v>0</v>
      </c>
      <c r="D435" s="30">
        <v>32.4</v>
      </c>
      <c r="E435" s="137">
        <v>4</v>
      </c>
      <c r="F435" s="30">
        <v>108</v>
      </c>
      <c r="G435" s="30">
        <v>75</v>
      </c>
      <c r="H435" s="30">
        <v>2350</v>
      </c>
      <c r="I435" s="30">
        <v>16.8</v>
      </c>
      <c r="J435" s="30">
        <v>81</v>
      </c>
      <c r="K435" s="30" t="s">
        <v>85</v>
      </c>
      <c r="L435" s="30" t="s">
        <v>203</v>
      </c>
      <c r="M435" s="58">
        <v>0</v>
      </c>
      <c r="N435" s="58">
        <v>7.8949607417194995E+17</v>
      </c>
    </row>
    <row r="436" spans="3:14">
      <c r="C436" s="29" t="b">
        <v>0</v>
      </c>
      <c r="D436" s="30">
        <v>32.9</v>
      </c>
      <c r="E436" s="137">
        <v>4</v>
      </c>
      <c r="F436" s="30">
        <v>119</v>
      </c>
      <c r="G436" s="30">
        <v>100</v>
      </c>
      <c r="H436" s="30">
        <v>2615</v>
      </c>
      <c r="I436" s="30">
        <v>14.8</v>
      </c>
      <c r="J436" s="30">
        <v>81</v>
      </c>
      <c r="K436" s="30" t="s">
        <v>85</v>
      </c>
      <c r="L436" s="30" t="s">
        <v>342</v>
      </c>
      <c r="M436" s="58">
        <v>0</v>
      </c>
      <c r="N436" s="58">
        <v>1.66642838594321E+19</v>
      </c>
    </row>
    <row r="437" spans="3:14">
      <c r="C437" s="29" t="b">
        <v>0</v>
      </c>
      <c r="D437" s="30">
        <v>31.6</v>
      </c>
      <c r="E437" s="137">
        <v>4</v>
      </c>
      <c r="F437" s="30">
        <v>120</v>
      </c>
      <c r="G437" s="30">
        <v>74</v>
      </c>
      <c r="H437" s="30">
        <v>2635</v>
      </c>
      <c r="I437" s="30">
        <v>18.3</v>
      </c>
      <c r="J437" s="30">
        <v>81</v>
      </c>
      <c r="K437" s="30" t="s">
        <v>85</v>
      </c>
      <c r="L437" s="30" t="s">
        <v>313</v>
      </c>
      <c r="M437" s="58">
        <v>0</v>
      </c>
      <c r="N437" s="58">
        <v>7.39002377664674E+18</v>
      </c>
    </row>
    <row r="438" spans="3:14">
      <c r="C438" s="29" t="b">
        <v>0</v>
      </c>
      <c r="D438" s="30">
        <v>28.1</v>
      </c>
      <c r="E438" s="137">
        <v>4</v>
      </c>
      <c r="F438" s="30">
        <v>141</v>
      </c>
      <c r="G438" s="30">
        <v>80</v>
      </c>
      <c r="H438" s="30">
        <v>3230</v>
      </c>
      <c r="I438" s="30">
        <v>20.399999999999999</v>
      </c>
      <c r="J438" s="30">
        <v>81</v>
      </c>
      <c r="K438" s="30" t="s">
        <v>91</v>
      </c>
      <c r="L438" s="30" t="s">
        <v>343</v>
      </c>
      <c r="M438" s="58">
        <v>0</v>
      </c>
      <c r="N438" s="58">
        <v>1.72476023721832E+19</v>
      </c>
    </row>
    <row r="439" spans="3:14">
      <c r="C439" s="29" t="b">
        <v>0</v>
      </c>
      <c r="D439" s="30">
        <v>30.7</v>
      </c>
      <c r="E439" s="137">
        <v>6</v>
      </c>
      <c r="F439" s="30">
        <v>145</v>
      </c>
      <c r="G439" s="30">
        <v>76</v>
      </c>
      <c r="H439" s="30">
        <v>3160</v>
      </c>
      <c r="I439" s="30">
        <v>19.600000000000001</v>
      </c>
      <c r="J439" s="30">
        <v>81</v>
      </c>
      <c r="K439" s="30" t="s">
        <v>91</v>
      </c>
      <c r="L439" s="30" t="s">
        <v>344</v>
      </c>
      <c r="M439" s="58">
        <v>0</v>
      </c>
      <c r="N439" s="58">
        <v>7.4280629970100398E+18</v>
      </c>
    </row>
    <row r="440" spans="3:14">
      <c r="C440" s="29" t="b">
        <v>0</v>
      </c>
      <c r="D440" s="30">
        <v>25.4</v>
      </c>
      <c r="E440" s="137">
        <v>6</v>
      </c>
      <c r="F440" s="30">
        <v>168</v>
      </c>
      <c r="G440" s="30">
        <v>116</v>
      </c>
      <c r="H440" s="30">
        <v>2900</v>
      </c>
      <c r="I440" s="30">
        <v>12.6</v>
      </c>
      <c r="J440" s="30">
        <v>81</v>
      </c>
      <c r="K440" s="30" t="s">
        <v>85</v>
      </c>
      <c r="L440" s="30" t="s">
        <v>345</v>
      </c>
      <c r="M440" s="58">
        <v>0</v>
      </c>
      <c r="N440" s="58">
        <v>1.2859146214207199E+19</v>
      </c>
    </row>
    <row r="441" spans="3:14">
      <c r="C441" s="29" t="b">
        <v>0</v>
      </c>
      <c r="D441" s="30">
        <v>24.2</v>
      </c>
      <c r="E441" s="137">
        <v>6</v>
      </c>
      <c r="F441" s="30">
        <v>146</v>
      </c>
      <c r="G441" s="30">
        <v>120</v>
      </c>
      <c r="H441" s="30">
        <v>2930</v>
      </c>
      <c r="I441" s="30">
        <v>13.8</v>
      </c>
      <c r="J441" s="30">
        <v>81</v>
      </c>
      <c r="K441" s="30" t="s">
        <v>85</v>
      </c>
      <c r="L441" s="30" t="s">
        <v>346</v>
      </c>
      <c r="M441" s="58">
        <v>0</v>
      </c>
      <c r="N441" s="58">
        <v>4.7254945060088105E+18</v>
      </c>
    </row>
    <row r="442" spans="3:14">
      <c r="C442" s="29" t="b">
        <v>0</v>
      </c>
      <c r="D442" s="30">
        <v>22.4</v>
      </c>
      <c r="E442" s="137">
        <v>6</v>
      </c>
      <c r="F442" s="30">
        <v>231</v>
      </c>
      <c r="G442" s="30">
        <v>110</v>
      </c>
      <c r="H442" s="30">
        <v>3415</v>
      </c>
      <c r="I442" s="30">
        <v>15.8</v>
      </c>
      <c r="J442" s="30">
        <v>81</v>
      </c>
      <c r="K442" s="30" t="s">
        <v>69</v>
      </c>
      <c r="L442" s="30" t="s">
        <v>197</v>
      </c>
      <c r="M442" s="58">
        <v>0</v>
      </c>
      <c r="N442" s="58">
        <v>1.06007457899072E+19</v>
      </c>
    </row>
    <row r="443" spans="3:14">
      <c r="C443" s="29" t="b">
        <v>0</v>
      </c>
      <c r="D443" s="30">
        <v>26.6</v>
      </c>
      <c r="E443" s="137">
        <v>8</v>
      </c>
      <c r="F443" s="30">
        <v>350</v>
      </c>
      <c r="G443" s="30">
        <v>105</v>
      </c>
      <c r="H443" s="30">
        <v>3725</v>
      </c>
      <c r="I443" s="30">
        <v>19</v>
      </c>
      <c r="J443" s="30">
        <v>81</v>
      </c>
      <c r="K443" s="30" t="s">
        <v>69</v>
      </c>
      <c r="L443" s="30" t="s">
        <v>347</v>
      </c>
      <c r="M443" s="58">
        <v>0</v>
      </c>
      <c r="N443" s="58">
        <v>1.71634819052672E+19</v>
      </c>
    </row>
    <row r="444" spans="3:14">
      <c r="C444" s="29" t="b">
        <v>0</v>
      </c>
      <c r="D444" s="30">
        <v>20.2</v>
      </c>
      <c r="E444" s="137">
        <v>6</v>
      </c>
      <c r="F444" s="30">
        <v>200</v>
      </c>
      <c r="G444" s="30">
        <v>88</v>
      </c>
      <c r="H444" s="30">
        <v>3060</v>
      </c>
      <c r="I444" s="30">
        <v>17.100000000000001</v>
      </c>
      <c r="J444" s="30">
        <v>81</v>
      </c>
      <c r="K444" s="30" t="s">
        <v>69</v>
      </c>
      <c r="L444" s="30" t="s">
        <v>348</v>
      </c>
      <c r="M444" s="58">
        <v>0</v>
      </c>
      <c r="N444" s="58">
        <v>4.2460087783812902E+17</v>
      </c>
    </row>
    <row r="445" spans="3:14">
      <c r="C445" s="29" t="b">
        <v>0</v>
      </c>
      <c r="D445" s="30">
        <v>17.600000000000001</v>
      </c>
      <c r="E445" s="137">
        <v>6</v>
      </c>
      <c r="F445" s="30">
        <v>225</v>
      </c>
      <c r="G445" s="30">
        <v>85</v>
      </c>
      <c r="H445" s="30">
        <v>3465</v>
      </c>
      <c r="I445" s="30">
        <v>16.600000000000001</v>
      </c>
      <c r="J445" s="30">
        <v>81</v>
      </c>
      <c r="K445" s="30" t="s">
        <v>69</v>
      </c>
      <c r="L445" s="30" t="s">
        <v>349</v>
      </c>
      <c r="M445" s="58">
        <v>0</v>
      </c>
      <c r="N445" s="58">
        <v>1.16981784274123E+19</v>
      </c>
    </row>
    <row r="446" spans="3:14">
      <c r="C446" s="29" t="b">
        <v>0</v>
      </c>
      <c r="D446" s="30">
        <v>28</v>
      </c>
      <c r="E446" s="137">
        <v>4</v>
      </c>
      <c r="F446" s="30">
        <v>112</v>
      </c>
      <c r="G446" s="30">
        <v>88</v>
      </c>
      <c r="H446" s="30">
        <v>2605</v>
      </c>
      <c r="I446" s="30">
        <v>19.600000000000001</v>
      </c>
      <c r="J446" s="30">
        <v>82</v>
      </c>
      <c r="K446" s="30" t="s">
        <v>69</v>
      </c>
      <c r="L446" s="30" t="s">
        <v>350</v>
      </c>
      <c r="M446" s="58">
        <v>0</v>
      </c>
      <c r="N446" s="58">
        <v>3.3951735166553201E+18</v>
      </c>
    </row>
    <row r="447" spans="3:14">
      <c r="C447" s="29" t="b">
        <v>0</v>
      </c>
      <c r="D447" s="30">
        <v>27</v>
      </c>
      <c r="E447" s="137">
        <v>4</v>
      </c>
      <c r="F447" s="30">
        <v>112</v>
      </c>
      <c r="G447" s="30">
        <v>88</v>
      </c>
      <c r="H447" s="30">
        <v>2640</v>
      </c>
      <c r="I447" s="30">
        <v>18.600000000000001</v>
      </c>
      <c r="J447" s="30">
        <v>82</v>
      </c>
      <c r="K447" s="30" t="s">
        <v>69</v>
      </c>
      <c r="L447" s="30" t="s">
        <v>351</v>
      </c>
      <c r="M447" s="58">
        <v>0</v>
      </c>
      <c r="N447" s="58">
        <v>1.0499839896992899E+19</v>
      </c>
    </row>
    <row r="448" spans="3:14">
      <c r="C448" s="29" t="b">
        <v>0</v>
      </c>
      <c r="D448" s="30">
        <v>34</v>
      </c>
      <c r="E448" s="137">
        <v>4</v>
      </c>
      <c r="F448" s="30">
        <v>112</v>
      </c>
      <c r="G448" s="30">
        <v>88</v>
      </c>
      <c r="H448" s="30">
        <v>2395</v>
      </c>
      <c r="I448" s="30">
        <v>18</v>
      </c>
      <c r="J448" s="30">
        <v>82</v>
      </c>
      <c r="K448" s="30" t="s">
        <v>69</v>
      </c>
      <c r="L448" s="30" t="s">
        <v>352</v>
      </c>
      <c r="M448" s="58">
        <v>0</v>
      </c>
      <c r="N448" s="58">
        <v>9.8055667866008699E+18</v>
      </c>
    </row>
    <row r="449" spans="3:14">
      <c r="C449" s="29" t="b">
        <v>0</v>
      </c>
      <c r="D449" s="30">
        <v>31</v>
      </c>
      <c r="E449" s="137">
        <v>4</v>
      </c>
      <c r="F449" s="30">
        <v>112</v>
      </c>
      <c r="G449" s="30">
        <v>85</v>
      </c>
      <c r="H449" s="30">
        <v>2575</v>
      </c>
      <c r="I449" s="30">
        <v>16.2</v>
      </c>
      <c r="J449" s="30">
        <v>82</v>
      </c>
      <c r="K449" s="30" t="s">
        <v>69</v>
      </c>
      <c r="L449" s="30" t="s">
        <v>353</v>
      </c>
      <c r="M449" s="58">
        <v>0</v>
      </c>
      <c r="N449" s="58">
        <v>2.61301798590131E+18</v>
      </c>
    </row>
    <row r="450" spans="3:14">
      <c r="C450" s="29" t="b">
        <v>0</v>
      </c>
      <c r="D450" s="30">
        <v>29</v>
      </c>
      <c r="E450" s="137">
        <v>4</v>
      </c>
      <c r="F450" s="30">
        <v>135</v>
      </c>
      <c r="G450" s="30">
        <v>84</v>
      </c>
      <c r="H450" s="30">
        <v>2525</v>
      </c>
      <c r="I450" s="30">
        <v>16</v>
      </c>
      <c r="J450" s="30">
        <v>82</v>
      </c>
      <c r="K450" s="30" t="s">
        <v>69</v>
      </c>
      <c r="L450" s="30" t="s">
        <v>354</v>
      </c>
      <c r="M450" s="58">
        <v>0</v>
      </c>
      <c r="N450" s="58">
        <v>1.7443528271883399E+19</v>
      </c>
    </row>
    <row r="451" spans="3:14">
      <c r="C451" s="29" t="b">
        <v>0</v>
      </c>
      <c r="D451" s="30">
        <v>27</v>
      </c>
      <c r="E451" s="137">
        <v>4</v>
      </c>
      <c r="F451" s="30">
        <v>151</v>
      </c>
      <c r="G451" s="30">
        <v>90</v>
      </c>
      <c r="H451" s="30">
        <v>2735</v>
      </c>
      <c r="I451" s="30">
        <v>18</v>
      </c>
      <c r="J451" s="30">
        <v>82</v>
      </c>
      <c r="K451" s="30" t="s">
        <v>69</v>
      </c>
      <c r="L451" s="30" t="s">
        <v>307</v>
      </c>
      <c r="M451" s="58">
        <v>0</v>
      </c>
      <c r="N451" s="58">
        <v>1.17136840029364E+19</v>
      </c>
    </row>
    <row r="452" spans="3:14">
      <c r="C452" s="29" t="b">
        <v>0</v>
      </c>
      <c r="D452" s="30">
        <v>24</v>
      </c>
      <c r="E452" s="137">
        <v>4</v>
      </c>
      <c r="F452" s="30">
        <v>140</v>
      </c>
      <c r="G452" s="30">
        <v>92</v>
      </c>
      <c r="H452" s="30">
        <v>2865</v>
      </c>
      <c r="I452" s="30">
        <v>16.399999999999999</v>
      </c>
      <c r="J452" s="30">
        <v>82</v>
      </c>
      <c r="K452" s="30" t="s">
        <v>69</v>
      </c>
      <c r="L452" s="30" t="s">
        <v>355</v>
      </c>
      <c r="M452" s="58">
        <v>0</v>
      </c>
      <c r="N452" s="58">
        <v>9.9869097376126403E+18</v>
      </c>
    </row>
    <row r="453" spans="3:14">
      <c r="C453" s="29" t="b">
        <v>0</v>
      </c>
      <c r="D453" s="30">
        <v>23</v>
      </c>
      <c r="E453" s="137">
        <v>4</v>
      </c>
      <c r="F453" s="30">
        <v>151</v>
      </c>
      <c r="G453" s="30"/>
      <c r="H453" s="30">
        <v>3035</v>
      </c>
      <c r="I453" s="30">
        <v>20.5</v>
      </c>
      <c r="J453" s="30">
        <v>82</v>
      </c>
      <c r="K453" s="30" t="s">
        <v>69</v>
      </c>
      <c r="L453" s="30" t="s">
        <v>356</v>
      </c>
      <c r="M453" s="58">
        <v>1</v>
      </c>
      <c r="N453" s="58">
        <v>8.4034914585431101E+18</v>
      </c>
    </row>
    <row r="454" spans="3:14">
      <c r="C454" s="29" t="b">
        <v>0</v>
      </c>
      <c r="D454" s="30">
        <v>36</v>
      </c>
      <c r="E454" s="137">
        <v>4</v>
      </c>
      <c r="F454" s="30">
        <v>105</v>
      </c>
      <c r="G454" s="30">
        <v>74</v>
      </c>
      <c r="H454" s="30">
        <v>1980</v>
      </c>
      <c r="I454" s="30">
        <v>15.3</v>
      </c>
      <c r="J454" s="30">
        <v>82</v>
      </c>
      <c r="K454" s="30" t="s">
        <v>91</v>
      </c>
      <c r="L454" s="30" t="s">
        <v>357</v>
      </c>
      <c r="M454" s="58">
        <v>0</v>
      </c>
      <c r="N454" s="58">
        <v>1.7838402447727401E+19</v>
      </c>
    </row>
    <row r="455" spans="3:14">
      <c r="C455" s="29" t="b">
        <v>0</v>
      </c>
      <c r="D455" s="30">
        <v>37</v>
      </c>
      <c r="E455" s="137">
        <v>4</v>
      </c>
      <c r="F455" s="30">
        <v>91</v>
      </c>
      <c r="G455" s="30">
        <v>68</v>
      </c>
      <c r="H455" s="30">
        <v>2025</v>
      </c>
      <c r="I455" s="30">
        <v>18.2</v>
      </c>
      <c r="J455" s="30">
        <v>82</v>
      </c>
      <c r="K455" s="30" t="s">
        <v>85</v>
      </c>
      <c r="L455" s="30" t="s">
        <v>358</v>
      </c>
      <c r="M455" s="58">
        <v>0</v>
      </c>
      <c r="N455" s="58">
        <v>2.9216900356763899E+18</v>
      </c>
    </row>
    <row r="456" spans="3:14">
      <c r="C456" s="29" t="b">
        <v>0</v>
      </c>
      <c r="D456" s="30">
        <v>31</v>
      </c>
      <c r="E456" s="137">
        <v>4</v>
      </c>
      <c r="F456" s="30">
        <v>91</v>
      </c>
      <c r="G456" s="30">
        <v>68</v>
      </c>
      <c r="H456" s="30">
        <v>1970</v>
      </c>
      <c r="I456" s="30">
        <v>17.600000000000001</v>
      </c>
      <c r="J456" s="30">
        <v>82</v>
      </c>
      <c r="K456" s="30" t="s">
        <v>85</v>
      </c>
      <c r="L456" s="30" t="s">
        <v>359</v>
      </c>
      <c r="M456" s="58">
        <v>0</v>
      </c>
      <c r="N456" s="58">
        <v>1.12270107638918E+18</v>
      </c>
    </row>
    <row r="457" spans="3:14">
      <c r="C457" s="29" t="b">
        <v>0</v>
      </c>
      <c r="D457" s="30">
        <v>38</v>
      </c>
      <c r="E457" s="137">
        <v>4</v>
      </c>
      <c r="F457" s="30">
        <v>105</v>
      </c>
      <c r="G457" s="30">
        <v>63</v>
      </c>
      <c r="H457" s="30">
        <v>2125</v>
      </c>
      <c r="I457" s="30">
        <v>14.7</v>
      </c>
      <c r="J457" s="30">
        <v>82</v>
      </c>
      <c r="K457" s="30" t="s">
        <v>69</v>
      </c>
      <c r="L457" s="30" t="s">
        <v>360</v>
      </c>
      <c r="M457" s="58">
        <v>0</v>
      </c>
      <c r="N457" s="58">
        <v>1.15360585974936E+19</v>
      </c>
    </row>
    <row r="458" spans="3:14">
      <c r="C458" s="29" t="b">
        <v>0</v>
      </c>
      <c r="D458" s="30">
        <v>36</v>
      </c>
      <c r="E458" s="137">
        <v>4</v>
      </c>
      <c r="F458" s="30">
        <v>98</v>
      </c>
      <c r="G458" s="30">
        <v>70</v>
      </c>
      <c r="H458" s="30">
        <v>2125</v>
      </c>
      <c r="I458" s="30">
        <v>17.3</v>
      </c>
      <c r="J458" s="30">
        <v>82</v>
      </c>
      <c r="K458" s="30" t="s">
        <v>69</v>
      </c>
      <c r="L458" s="30" t="s">
        <v>361</v>
      </c>
      <c r="M458" s="58">
        <v>0</v>
      </c>
      <c r="N458" s="58">
        <v>9.0006089297547494E+17</v>
      </c>
    </row>
    <row r="459" spans="3:14">
      <c r="C459" s="29" t="b">
        <v>0</v>
      </c>
      <c r="D459" s="30">
        <v>36</v>
      </c>
      <c r="E459" s="137">
        <v>4</v>
      </c>
      <c r="F459" s="30">
        <v>120</v>
      </c>
      <c r="G459" s="30">
        <v>88</v>
      </c>
      <c r="H459" s="30">
        <v>2160</v>
      </c>
      <c r="I459" s="30">
        <v>14.5</v>
      </c>
      <c r="J459" s="30">
        <v>82</v>
      </c>
      <c r="K459" s="30" t="s">
        <v>85</v>
      </c>
      <c r="L459" s="30" t="s">
        <v>362</v>
      </c>
      <c r="M459" s="58">
        <v>0</v>
      </c>
      <c r="N459" s="58">
        <v>1.82477461548871E+19</v>
      </c>
    </row>
    <row r="460" spans="3:14">
      <c r="C460" s="29" t="b">
        <v>0</v>
      </c>
      <c r="D460" s="30">
        <v>36</v>
      </c>
      <c r="E460" s="137">
        <v>4</v>
      </c>
      <c r="F460" s="30">
        <v>107</v>
      </c>
      <c r="G460" s="30">
        <v>75</v>
      </c>
      <c r="H460" s="30">
        <v>2205</v>
      </c>
      <c r="I460" s="30">
        <v>14.5</v>
      </c>
      <c r="J460" s="30">
        <v>82</v>
      </c>
      <c r="K460" s="30" t="s">
        <v>85</v>
      </c>
      <c r="L460" s="30" t="s">
        <v>327</v>
      </c>
      <c r="M460" s="58">
        <v>0</v>
      </c>
      <c r="N460" s="58">
        <v>1.54161646539265E+19</v>
      </c>
    </row>
    <row r="461" spans="3:14">
      <c r="C461" s="29" t="b">
        <v>0</v>
      </c>
      <c r="D461" s="30">
        <v>34</v>
      </c>
      <c r="E461" s="137">
        <v>4</v>
      </c>
      <c r="F461" s="30">
        <v>108</v>
      </c>
      <c r="G461" s="30">
        <v>70</v>
      </c>
      <c r="H461" s="30">
        <v>2245</v>
      </c>
      <c r="I461" s="30">
        <v>16.899999999999999</v>
      </c>
      <c r="J461" s="30">
        <v>82</v>
      </c>
      <c r="K461" s="30" t="s">
        <v>85</v>
      </c>
      <c r="L461" s="30" t="s">
        <v>203</v>
      </c>
      <c r="M461" s="58">
        <v>0</v>
      </c>
      <c r="N461" s="58">
        <v>1.28425594355509E+19</v>
      </c>
    </row>
    <row r="462" spans="3:14">
      <c r="C462" s="29" t="b">
        <v>0</v>
      </c>
      <c r="D462" s="30">
        <v>38</v>
      </c>
      <c r="E462" s="137">
        <v>4</v>
      </c>
      <c r="F462" s="30">
        <v>91</v>
      </c>
      <c r="G462" s="30">
        <v>67</v>
      </c>
      <c r="H462" s="30">
        <v>1965</v>
      </c>
      <c r="I462" s="30">
        <v>15</v>
      </c>
      <c r="J462" s="30">
        <v>82</v>
      </c>
      <c r="K462" s="30" t="s">
        <v>85</v>
      </c>
      <c r="L462" s="30" t="s">
        <v>190</v>
      </c>
      <c r="M462" s="58">
        <v>0</v>
      </c>
      <c r="N462" s="58">
        <v>3.4179910471866301E+18</v>
      </c>
    </row>
    <row r="463" spans="3:14">
      <c r="C463" s="29" t="b">
        <v>0</v>
      </c>
      <c r="D463" s="30">
        <v>32</v>
      </c>
      <c r="E463" s="137">
        <v>4</v>
      </c>
      <c r="F463" s="30">
        <v>91</v>
      </c>
      <c r="G463" s="30">
        <v>67</v>
      </c>
      <c r="H463" s="30">
        <v>1965</v>
      </c>
      <c r="I463" s="30">
        <v>15.7</v>
      </c>
      <c r="J463" s="30">
        <v>82</v>
      </c>
      <c r="K463" s="30" t="s">
        <v>85</v>
      </c>
      <c r="L463" s="30" t="s">
        <v>363</v>
      </c>
      <c r="M463" s="58">
        <v>0</v>
      </c>
      <c r="N463" s="58">
        <v>6.9504532816640604E+18</v>
      </c>
    </row>
    <row r="464" spans="3:14">
      <c r="C464" s="29" t="b">
        <v>0</v>
      </c>
      <c r="D464" s="30">
        <v>38</v>
      </c>
      <c r="E464" s="137">
        <v>4</v>
      </c>
      <c r="F464" s="30">
        <v>91</v>
      </c>
      <c r="G464" s="30">
        <v>67</v>
      </c>
      <c r="H464" s="30">
        <v>1995</v>
      </c>
      <c r="I464" s="30">
        <v>16.2</v>
      </c>
      <c r="J464" s="30">
        <v>82</v>
      </c>
      <c r="K464" s="30" t="s">
        <v>85</v>
      </c>
      <c r="L464" s="30" t="s">
        <v>364</v>
      </c>
      <c r="M464" s="58">
        <v>0</v>
      </c>
      <c r="N464" s="58">
        <v>1.5758193962296601E+19</v>
      </c>
    </row>
    <row r="465" spans="3:14">
      <c r="C465" s="29" t="b">
        <v>0</v>
      </c>
      <c r="D465" s="30">
        <v>25</v>
      </c>
      <c r="E465" s="137">
        <v>6</v>
      </c>
      <c r="F465" s="30">
        <v>181</v>
      </c>
      <c r="G465" s="30">
        <v>110</v>
      </c>
      <c r="H465" s="30">
        <v>2945</v>
      </c>
      <c r="I465" s="30">
        <v>16.399999999999999</v>
      </c>
      <c r="J465" s="30">
        <v>82</v>
      </c>
      <c r="K465" s="30" t="s">
        <v>69</v>
      </c>
      <c r="L465" s="30" t="s">
        <v>365</v>
      </c>
      <c r="M465" s="58">
        <v>0</v>
      </c>
      <c r="N465" s="58">
        <v>1.6968200371476799E+19</v>
      </c>
    </row>
    <row r="466" spans="3:14">
      <c r="C466" s="29" t="b">
        <v>0</v>
      </c>
      <c r="D466" s="30">
        <v>38</v>
      </c>
      <c r="E466" s="137">
        <v>6</v>
      </c>
      <c r="F466" s="30">
        <v>262</v>
      </c>
      <c r="G466" s="30">
        <v>85</v>
      </c>
      <c r="H466" s="30">
        <v>3015</v>
      </c>
      <c r="I466" s="30">
        <v>17</v>
      </c>
      <c r="J466" s="30">
        <v>82</v>
      </c>
      <c r="K466" s="30" t="s">
        <v>69</v>
      </c>
      <c r="L466" s="30" t="s">
        <v>366</v>
      </c>
      <c r="M466" s="58">
        <v>0</v>
      </c>
      <c r="N466" s="58">
        <v>2.3045451132901701E+18</v>
      </c>
    </row>
    <row r="467" spans="3:14">
      <c r="C467" s="29" t="b">
        <v>0</v>
      </c>
      <c r="D467" s="30">
        <v>26</v>
      </c>
      <c r="E467" s="137">
        <v>4</v>
      </c>
      <c r="F467" s="30">
        <v>156</v>
      </c>
      <c r="G467" s="30">
        <v>92</v>
      </c>
      <c r="H467" s="30">
        <v>2585</v>
      </c>
      <c r="I467" s="30">
        <v>14.5</v>
      </c>
      <c r="J467" s="30">
        <v>82</v>
      </c>
      <c r="K467" s="30" t="s">
        <v>69</v>
      </c>
      <c r="L467" s="30" t="s">
        <v>367</v>
      </c>
      <c r="M467" s="58">
        <v>0</v>
      </c>
      <c r="N467" s="58">
        <v>7.4587011908518001E+18</v>
      </c>
    </row>
    <row r="468" spans="3:14">
      <c r="C468" s="29" t="b">
        <v>0</v>
      </c>
      <c r="D468" s="30">
        <v>22</v>
      </c>
      <c r="E468" s="137">
        <v>6</v>
      </c>
      <c r="F468" s="30">
        <v>232</v>
      </c>
      <c r="G468" s="30">
        <v>112</v>
      </c>
      <c r="H468" s="30">
        <v>2835</v>
      </c>
      <c r="I468" s="30">
        <v>14.7</v>
      </c>
      <c r="J468" s="30">
        <v>82</v>
      </c>
      <c r="K468" s="30" t="s">
        <v>69</v>
      </c>
      <c r="L468" s="30" t="s">
        <v>368</v>
      </c>
      <c r="M468" s="58">
        <v>0</v>
      </c>
      <c r="N468" s="58">
        <v>1.4890838456336099E+19</v>
      </c>
    </row>
    <row r="469" spans="3:14">
      <c r="C469" s="29" t="b">
        <v>0</v>
      </c>
      <c r="D469" s="30">
        <v>32</v>
      </c>
      <c r="E469" s="137">
        <v>4</v>
      </c>
      <c r="F469" s="30">
        <v>144</v>
      </c>
      <c r="G469" s="30">
        <v>96</v>
      </c>
      <c r="H469" s="30">
        <v>2665</v>
      </c>
      <c r="I469" s="30">
        <v>13.9</v>
      </c>
      <c r="J469" s="30">
        <v>82</v>
      </c>
      <c r="K469" s="30" t="s">
        <v>85</v>
      </c>
      <c r="L469" s="30" t="s">
        <v>369</v>
      </c>
      <c r="M469" s="58">
        <v>0</v>
      </c>
      <c r="N469" s="58">
        <v>1.4968121354348301E+18</v>
      </c>
    </row>
    <row r="470" spans="3:14">
      <c r="C470" s="29" t="b">
        <v>0</v>
      </c>
      <c r="D470" s="30">
        <v>36</v>
      </c>
      <c r="E470" s="137">
        <v>4</v>
      </c>
      <c r="F470" s="30">
        <v>135</v>
      </c>
      <c r="G470" s="30">
        <v>84</v>
      </c>
      <c r="H470" s="30">
        <v>2370</v>
      </c>
      <c r="I470" s="30">
        <v>13</v>
      </c>
      <c r="J470" s="30">
        <v>82</v>
      </c>
      <c r="K470" s="30" t="s">
        <v>69</v>
      </c>
      <c r="L470" s="30" t="s">
        <v>370</v>
      </c>
      <c r="M470" s="58">
        <v>0</v>
      </c>
      <c r="N470" s="58">
        <v>1.4094218914840101E+19</v>
      </c>
    </row>
    <row r="471" spans="3:14">
      <c r="C471" s="29" t="b">
        <v>0</v>
      </c>
      <c r="D471" s="30">
        <v>27</v>
      </c>
      <c r="E471" s="137">
        <v>4</v>
      </c>
      <c r="F471" s="30">
        <v>151</v>
      </c>
      <c r="G471" s="30">
        <v>90</v>
      </c>
      <c r="H471" s="30">
        <v>2950</v>
      </c>
      <c r="I471" s="30">
        <v>17.3</v>
      </c>
      <c r="J471" s="30">
        <v>82</v>
      </c>
      <c r="K471" s="30" t="s">
        <v>69</v>
      </c>
      <c r="L471" s="30" t="s">
        <v>371</v>
      </c>
      <c r="M471" s="58">
        <v>0</v>
      </c>
      <c r="N471" s="58">
        <v>6.3369566955222702E+18</v>
      </c>
    </row>
    <row r="472" spans="3:14">
      <c r="C472" s="29" t="b">
        <v>0</v>
      </c>
      <c r="D472" s="30">
        <v>27</v>
      </c>
      <c r="E472" s="137">
        <v>4</v>
      </c>
      <c r="F472" s="30">
        <v>140</v>
      </c>
      <c r="G472" s="30">
        <v>86</v>
      </c>
      <c r="H472" s="30">
        <v>2790</v>
      </c>
      <c r="I472" s="30">
        <v>15.6</v>
      </c>
      <c r="J472" s="30">
        <v>82</v>
      </c>
      <c r="K472" s="30" t="s">
        <v>69</v>
      </c>
      <c r="L472" s="30" t="s">
        <v>372</v>
      </c>
      <c r="M472" s="58">
        <v>0</v>
      </c>
      <c r="N472" s="58">
        <v>3.3743880024474301E+18</v>
      </c>
    </row>
    <row r="473" spans="3:14">
      <c r="C473" s="29" t="b">
        <v>0</v>
      </c>
      <c r="D473" s="30">
        <v>44</v>
      </c>
      <c r="E473" s="137">
        <v>4</v>
      </c>
      <c r="F473" s="30">
        <v>97</v>
      </c>
      <c r="G473" s="30">
        <v>52</v>
      </c>
      <c r="H473" s="30">
        <v>2130</v>
      </c>
      <c r="I473" s="30">
        <v>24.6</v>
      </c>
      <c r="J473" s="30">
        <v>82</v>
      </c>
      <c r="K473" s="30" t="s">
        <v>91</v>
      </c>
      <c r="L473" s="30" t="s">
        <v>373</v>
      </c>
      <c r="M473" s="58">
        <v>0</v>
      </c>
      <c r="N473" s="58">
        <v>1.7058276946353701E+19</v>
      </c>
    </row>
    <row r="474" spans="3:14">
      <c r="C474" s="29" t="b">
        <v>0</v>
      </c>
      <c r="D474" s="30">
        <v>32</v>
      </c>
      <c r="E474" s="137">
        <v>4</v>
      </c>
      <c r="F474" s="30">
        <v>135</v>
      </c>
      <c r="G474" s="30">
        <v>84</v>
      </c>
      <c r="H474" s="30">
        <v>2295</v>
      </c>
      <c r="I474" s="30">
        <v>11.6</v>
      </c>
      <c r="J474" s="30">
        <v>82</v>
      </c>
      <c r="K474" s="30" t="s">
        <v>69</v>
      </c>
      <c r="L474" s="30" t="s">
        <v>374</v>
      </c>
      <c r="M474" s="58">
        <v>0</v>
      </c>
      <c r="N474" s="58">
        <v>1.4529105427803E+18</v>
      </c>
    </row>
    <row r="475" spans="3:14">
      <c r="C475" s="29" t="b">
        <v>0</v>
      </c>
      <c r="D475" s="30">
        <v>28</v>
      </c>
      <c r="E475" s="137">
        <v>4</v>
      </c>
      <c r="F475" s="30">
        <v>120</v>
      </c>
      <c r="G475" s="30">
        <v>79</v>
      </c>
      <c r="H475" s="30">
        <v>2625</v>
      </c>
      <c r="I475" s="30">
        <v>18.600000000000001</v>
      </c>
      <c r="J475" s="30">
        <v>82</v>
      </c>
      <c r="K475" s="30" t="s">
        <v>69</v>
      </c>
      <c r="L475" s="30" t="s">
        <v>375</v>
      </c>
      <c r="M475" s="58">
        <v>0</v>
      </c>
      <c r="N475" s="58">
        <v>1.3981937972519899E+19</v>
      </c>
    </row>
    <row r="476" spans="3:14">
      <c r="C476" s="29" t="b">
        <v>0</v>
      </c>
      <c r="D476" s="30">
        <v>31</v>
      </c>
      <c r="E476" s="137">
        <v>4</v>
      </c>
      <c r="F476" s="30">
        <v>119</v>
      </c>
      <c r="G476" s="30">
        <v>82</v>
      </c>
      <c r="H476" s="30">
        <v>2720</v>
      </c>
      <c r="I476" s="30">
        <v>19.399999999999999</v>
      </c>
      <c r="J476" s="30">
        <v>82</v>
      </c>
      <c r="K476" s="30" t="s">
        <v>69</v>
      </c>
      <c r="L476" s="30" t="s">
        <v>376</v>
      </c>
      <c r="M476" s="58">
        <v>0</v>
      </c>
      <c r="N476" s="58">
        <v>1.0372100450335601E+19</v>
      </c>
    </row>
  </sheetData>
  <mergeCells count="1">
    <mergeCell ref="D15:E15"/>
  </mergeCells>
  <phoneticPr fontId="15" type="noConversion"/>
  <conditionalFormatting sqref="D22:F29 D35:F39 D45:F53">
    <cfRule type="cellIs" dxfId="363" priority="58" operator="equal">
      <formula>0</formula>
    </cfRule>
  </conditionalFormatting>
  <conditionalFormatting sqref="C79:C476">
    <cfRule type="cellIs" dxfId="362" priority="54" operator="equal">
      <formula>FALSE</formula>
    </cfRule>
    <cfRule type="cellIs" dxfId="361" priority="55" operator="notEqual">
      <formula>FALSE</formula>
    </cfRule>
  </conditionalFormatting>
  <conditionalFormatting sqref="D9:L9">
    <cfRule type="cellIs" dxfId="360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359" priority="29"/>
  </conditionalFormatting>
  <conditionalFormatting sqref="D7:L7">
    <cfRule type="cellIs" dxfId="358" priority="22" operator="notEqual">
      <formula>"Definition"</formula>
    </cfRule>
  </conditionalFormatting>
  <conditionalFormatting sqref="D15">
    <cfRule type="cellIs" dxfId="357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356" priority="52" operator="equal">
      <formula>FALSE</formula>
    </cfRule>
    <cfRule type="cellIs" dxfId="355" priority="53" operator="notEqual">
      <formula>FALSE</formula>
    </cfRule>
  </conditionalFormatting>
  <conditionalFormatting sqref="G22:L29 G35:L39 G45:L53">
    <cfRule type="cellIs" dxfId="337" priority="5" operator="equal">
      <formula>0</formula>
    </cfRule>
  </conditionalFormatting>
  <conditionalFormatting sqref="G23:L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L64">
    <cfRule type="cellIs" dxfId="336" priority="3" operator="equal">
      <formula>FALSE</formula>
    </cfRule>
    <cfRule type="cellIs" dxfId="335" priority="4" operator="notEqual">
      <formula>FALSE</formula>
    </cfRule>
  </conditionalFormatting>
  <conditionalFormatting sqref="M78:N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D451A-6089-49F9-846B-EC0FCBFBD9D1}">
  <sheetPr codeName="Sheet7"/>
  <dimension ref="B1:Q138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0.77734375" bestFit="1" customWidth="1"/>
    <col min="4" max="4" width="12.88671875" bestFit="1" customWidth="1"/>
    <col min="5" max="5" width="12.21875" bestFit="1" customWidth="1"/>
    <col min="6" max="6" width="13.77734375" bestFit="1" customWidth="1"/>
    <col min="7" max="7" width="11.109375" bestFit="1" customWidth="1"/>
    <col min="8" max="8" width="13.44140625" bestFit="1" customWidth="1"/>
    <col min="9" max="9" width="13.77734375" bestFit="1" customWidth="1"/>
    <col min="10" max="11" width="10.21875" bestFit="1" customWidth="1"/>
    <col min="12" max="13" width="15.77734375" customWidth="1"/>
    <col min="14" max="16" width="15.44140625" customWidth="1"/>
  </cols>
  <sheetData>
    <row r="1" spans="2:17">
      <c r="C1" s="2"/>
      <c r="D1" s="6"/>
      <c r="E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44" customFormat="1" ht="36.6">
      <c r="C2" s="108" t="str">
        <f>Name</f>
        <v>mpg</v>
      </c>
      <c r="E2" s="109"/>
      <c r="G2" s="109"/>
      <c r="H2" s="109"/>
      <c r="I2" s="109"/>
      <c r="J2" s="109"/>
      <c r="K2" s="109"/>
      <c r="L2" s="109"/>
      <c r="M2" s="109"/>
      <c r="N2" s="109"/>
      <c r="O2" s="109"/>
      <c r="P2" s="110"/>
    </row>
    <row r="3" spans="2:17" ht="10.050000000000001" customHeight="1">
      <c r="C3" s="1"/>
      <c r="D3" s="4"/>
      <c r="E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</row>
    <row r="5" spans="2:17" ht="15" customHeight="1"/>
    <row r="6" spans="2:17" ht="15" customHeight="1"/>
    <row r="7" spans="2:17" ht="15" customHeight="1">
      <c r="C7" s="105"/>
    </row>
    <row r="8" spans="2:17" ht="36.6" customHeight="1">
      <c r="C8" s="140" t="s">
        <v>55</v>
      </c>
      <c r="D8" s="139" t="s">
        <v>56</v>
      </c>
      <c r="E8" s="139" t="s">
        <v>57</v>
      </c>
      <c r="F8" s="139" t="s">
        <v>58</v>
      </c>
      <c r="G8" s="139" t="s">
        <v>59</v>
      </c>
      <c r="H8" s="139" t="s">
        <v>60</v>
      </c>
      <c r="I8" s="139" t="s">
        <v>61</v>
      </c>
      <c r="J8" s="139" t="s">
        <v>62</v>
      </c>
      <c r="K8" s="139" t="s">
        <v>63</v>
      </c>
      <c r="L8" s="106" t="s">
        <v>52</v>
      </c>
      <c r="M8" s="106" t="s">
        <v>53</v>
      </c>
    </row>
    <row r="9" spans="2:17" ht="15" customHeight="1">
      <c r="C9" s="138">
        <v>9</v>
      </c>
      <c r="D9" s="98"/>
      <c r="E9" s="98"/>
      <c r="F9" s="98"/>
      <c r="G9" s="98"/>
      <c r="H9" s="98"/>
      <c r="I9" s="98"/>
      <c r="J9" s="98"/>
      <c r="K9" s="98"/>
      <c r="L9" s="107">
        <v>0</v>
      </c>
      <c r="M9" s="141">
        <v>0</v>
      </c>
    </row>
    <row r="10" spans="2:17" ht="15" customHeight="1">
      <c r="C10" s="138">
        <v>10</v>
      </c>
      <c r="D10" s="98"/>
      <c r="E10" s="98"/>
      <c r="F10" s="98"/>
      <c r="G10" s="98"/>
      <c r="H10" s="98"/>
      <c r="I10" s="98"/>
      <c r="J10" s="98"/>
      <c r="K10" s="98"/>
      <c r="L10" s="107">
        <v>0</v>
      </c>
      <c r="M10" s="141">
        <v>0</v>
      </c>
    </row>
    <row r="11" spans="2:17" ht="15" customHeight="1">
      <c r="C11" s="138">
        <v>11</v>
      </c>
      <c r="D11" s="98"/>
      <c r="E11" s="98"/>
      <c r="F11" s="98"/>
      <c r="G11" s="98"/>
      <c r="H11" s="98"/>
      <c r="I11" s="98"/>
      <c r="J11" s="98"/>
      <c r="K11" s="98"/>
      <c r="L11" s="107">
        <v>0</v>
      </c>
      <c r="M11" s="141">
        <v>0</v>
      </c>
    </row>
    <row r="12" spans="2:17" ht="15" customHeight="1">
      <c r="C12" s="138">
        <v>12</v>
      </c>
      <c r="D12" s="98"/>
      <c r="E12" s="98"/>
      <c r="F12" s="98"/>
      <c r="G12" s="98"/>
      <c r="H12" s="98"/>
      <c r="I12" s="98"/>
      <c r="J12" s="98"/>
      <c r="K12" s="98"/>
      <c r="L12" s="107">
        <v>0</v>
      </c>
      <c r="M12" s="141">
        <v>0</v>
      </c>
    </row>
    <row r="13" spans="2:17" ht="15" customHeight="1">
      <c r="C13" s="138">
        <v>13</v>
      </c>
      <c r="D13" s="98"/>
      <c r="E13" s="98"/>
      <c r="F13" s="98"/>
      <c r="G13" s="98"/>
      <c r="H13" s="98"/>
      <c r="I13" s="98"/>
      <c r="J13" s="98"/>
      <c r="K13" s="98"/>
      <c r="L13" s="107">
        <v>0</v>
      </c>
      <c r="M13" s="141">
        <v>0</v>
      </c>
    </row>
    <row r="14" spans="2:17">
      <c r="C14" s="138">
        <v>14</v>
      </c>
      <c r="D14" s="98"/>
      <c r="E14" s="98"/>
      <c r="F14" s="98"/>
      <c r="G14" s="98"/>
      <c r="H14" s="98"/>
      <c r="I14" s="98"/>
      <c r="J14" s="98"/>
      <c r="K14" s="98"/>
      <c r="L14" s="107">
        <v>0</v>
      </c>
      <c r="M14" s="141">
        <v>0</v>
      </c>
    </row>
    <row r="15" spans="2:17">
      <c r="C15" s="138">
        <v>14.5</v>
      </c>
      <c r="D15" s="98"/>
      <c r="E15" s="98"/>
      <c r="F15" s="98"/>
      <c r="G15" s="98"/>
      <c r="H15" s="98"/>
      <c r="I15" s="98"/>
      <c r="J15" s="98"/>
      <c r="K15" s="98"/>
      <c r="L15" s="107">
        <v>0</v>
      </c>
      <c r="M15" s="141">
        <v>0</v>
      </c>
    </row>
    <row r="16" spans="2:17">
      <c r="C16" s="138">
        <v>15</v>
      </c>
      <c r="D16" s="98"/>
      <c r="E16" s="98"/>
      <c r="F16" s="98"/>
      <c r="G16" s="98"/>
      <c r="H16" s="98"/>
      <c r="I16" s="98"/>
      <c r="J16" s="98"/>
      <c r="K16" s="98"/>
      <c r="L16" s="107">
        <v>0</v>
      </c>
      <c r="M16" s="141">
        <v>0</v>
      </c>
    </row>
    <row r="17" spans="3:13">
      <c r="C17" s="138">
        <v>15.5</v>
      </c>
      <c r="D17" s="98"/>
      <c r="E17" s="98"/>
      <c r="F17" s="98"/>
      <c r="G17" s="98"/>
      <c r="H17" s="98"/>
      <c r="I17" s="98"/>
      <c r="J17" s="98"/>
      <c r="K17" s="98"/>
      <c r="L17" s="107">
        <v>0</v>
      </c>
      <c r="M17" s="141">
        <v>0</v>
      </c>
    </row>
    <row r="18" spans="3:13">
      <c r="C18" s="138">
        <v>16</v>
      </c>
      <c r="D18" s="98"/>
      <c r="E18" s="98"/>
      <c r="F18" s="98"/>
      <c r="G18" s="98"/>
      <c r="H18" s="98"/>
      <c r="I18" s="98"/>
      <c r="J18" s="98"/>
      <c r="K18" s="98"/>
      <c r="L18" s="107">
        <v>0</v>
      </c>
      <c r="M18" s="141">
        <v>0</v>
      </c>
    </row>
    <row r="19" spans="3:13">
      <c r="C19" s="138">
        <v>16.2</v>
      </c>
      <c r="D19" s="98"/>
      <c r="E19" s="98"/>
      <c r="F19" s="98"/>
      <c r="G19" s="98"/>
      <c r="H19" s="98"/>
      <c r="I19" s="98"/>
      <c r="J19" s="98"/>
      <c r="K19" s="98"/>
      <c r="L19" s="107">
        <v>0</v>
      </c>
      <c r="M19" s="141">
        <v>0</v>
      </c>
    </row>
    <row r="20" spans="3:13">
      <c r="C20" s="138">
        <v>16.5</v>
      </c>
      <c r="D20" s="98"/>
      <c r="E20" s="98"/>
      <c r="F20" s="98"/>
      <c r="G20" s="98"/>
      <c r="H20" s="98"/>
      <c r="I20" s="98"/>
      <c r="J20" s="98"/>
      <c r="K20" s="98"/>
      <c r="L20" s="107">
        <v>0</v>
      </c>
      <c r="M20" s="141">
        <v>0</v>
      </c>
    </row>
    <row r="21" spans="3:13">
      <c r="C21" s="138">
        <v>16.899999999999999</v>
      </c>
      <c r="D21" s="98"/>
      <c r="E21" s="98"/>
      <c r="F21" s="98"/>
      <c r="G21" s="98"/>
      <c r="H21" s="98"/>
      <c r="I21" s="98"/>
      <c r="J21" s="98"/>
      <c r="K21" s="98"/>
      <c r="L21" s="107">
        <v>0</v>
      </c>
      <c r="M21" s="141">
        <v>0</v>
      </c>
    </row>
    <row r="22" spans="3:13">
      <c r="C22" s="138">
        <v>17</v>
      </c>
      <c r="D22" s="98"/>
      <c r="E22" s="98"/>
      <c r="F22" s="98"/>
      <c r="G22" s="98"/>
      <c r="H22" s="98"/>
      <c r="I22" s="98"/>
      <c r="J22" s="98"/>
      <c r="K22" s="98"/>
      <c r="L22" s="107">
        <v>0</v>
      </c>
      <c r="M22" s="141">
        <v>0</v>
      </c>
    </row>
    <row r="23" spans="3:13">
      <c r="C23" s="138">
        <v>17.5</v>
      </c>
      <c r="D23" s="98"/>
      <c r="E23" s="98"/>
      <c r="F23" s="98"/>
      <c r="G23" s="98"/>
      <c r="H23" s="98"/>
      <c r="I23" s="98"/>
      <c r="J23" s="98"/>
      <c r="K23" s="98"/>
      <c r="L23" s="107">
        <v>0</v>
      </c>
      <c r="M23" s="141">
        <v>0</v>
      </c>
    </row>
    <row r="24" spans="3:13">
      <c r="C24" s="138">
        <v>17.600000000000001</v>
      </c>
      <c r="D24" s="98"/>
      <c r="E24" s="98"/>
      <c r="F24" s="98"/>
      <c r="G24" s="98"/>
      <c r="H24" s="98"/>
      <c r="I24" s="98"/>
      <c r="J24" s="98"/>
      <c r="K24" s="98"/>
      <c r="L24" s="107">
        <v>0</v>
      </c>
      <c r="M24" s="141">
        <v>0</v>
      </c>
    </row>
    <row r="25" spans="3:13">
      <c r="C25" s="138">
        <v>17.7</v>
      </c>
      <c r="D25" s="98"/>
      <c r="E25" s="98"/>
      <c r="F25" s="98"/>
      <c r="G25" s="98"/>
      <c r="H25" s="98"/>
      <c r="I25" s="98"/>
      <c r="J25" s="98"/>
      <c r="K25" s="98"/>
      <c r="L25" s="107">
        <v>0</v>
      </c>
      <c r="M25" s="141">
        <v>0</v>
      </c>
    </row>
    <row r="26" spans="3:13">
      <c r="C26" s="138">
        <v>18</v>
      </c>
      <c r="D26" s="98"/>
      <c r="E26" s="98"/>
      <c r="F26" s="98"/>
      <c r="G26" s="98"/>
      <c r="H26" s="98"/>
      <c r="I26" s="98"/>
      <c r="J26" s="98"/>
      <c r="K26" s="98"/>
      <c r="L26" s="107">
        <v>0</v>
      </c>
      <c r="M26" s="141">
        <v>0</v>
      </c>
    </row>
    <row r="27" spans="3:13">
      <c r="C27" s="138">
        <v>18.100000000000001</v>
      </c>
      <c r="D27" s="98"/>
      <c r="E27" s="98"/>
      <c r="F27" s="98"/>
      <c r="G27" s="98"/>
      <c r="H27" s="98"/>
      <c r="I27" s="98"/>
      <c r="J27" s="98"/>
      <c r="K27" s="98"/>
      <c r="L27" s="107">
        <v>0</v>
      </c>
      <c r="M27" s="141">
        <v>0</v>
      </c>
    </row>
    <row r="28" spans="3:13">
      <c r="C28" s="138">
        <v>18.2</v>
      </c>
      <c r="D28" s="98"/>
      <c r="E28" s="98"/>
      <c r="F28" s="98"/>
      <c r="G28" s="98"/>
      <c r="H28" s="98"/>
      <c r="I28" s="98"/>
      <c r="J28" s="98"/>
      <c r="K28" s="98"/>
      <c r="L28" s="107">
        <v>0</v>
      </c>
      <c r="M28" s="141">
        <v>0</v>
      </c>
    </row>
    <row r="29" spans="3:13">
      <c r="C29" s="138">
        <v>18.5</v>
      </c>
      <c r="D29" s="98"/>
      <c r="E29" s="98"/>
      <c r="F29" s="98"/>
      <c r="G29" s="98"/>
      <c r="H29" s="98"/>
      <c r="I29" s="98"/>
      <c r="J29" s="98"/>
      <c r="K29" s="98"/>
      <c r="L29" s="107">
        <v>0</v>
      </c>
      <c r="M29" s="141">
        <v>0</v>
      </c>
    </row>
    <row r="30" spans="3:13">
      <c r="C30" s="138">
        <v>18.600000000000001</v>
      </c>
      <c r="D30" s="98"/>
      <c r="E30" s="98"/>
      <c r="F30" s="98"/>
      <c r="G30" s="98"/>
      <c r="H30" s="98"/>
      <c r="I30" s="98"/>
      <c r="J30" s="98"/>
      <c r="K30" s="98"/>
      <c r="L30" s="107">
        <v>0</v>
      </c>
      <c r="M30" s="141">
        <v>0</v>
      </c>
    </row>
    <row r="31" spans="3:13">
      <c r="C31" s="138">
        <v>19</v>
      </c>
      <c r="D31" s="98"/>
      <c r="E31" s="98"/>
      <c r="F31" s="98"/>
      <c r="G31" s="98"/>
      <c r="H31" s="98"/>
      <c r="I31" s="98"/>
      <c r="J31" s="98"/>
      <c r="K31" s="98"/>
      <c r="L31" s="107">
        <v>0</v>
      </c>
      <c r="M31" s="141">
        <v>0</v>
      </c>
    </row>
    <row r="32" spans="3:13">
      <c r="C32" s="138">
        <v>19.100000000000001</v>
      </c>
      <c r="D32" s="98"/>
      <c r="E32" s="98"/>
      <c r="F32" s="98"/>
      <c r="G32" s="98"/>
      <c r="H32" s="98"/>
      <c r="I32" s="98"/>
      <c r="J32" s="98"/>
      <c r="K32" s="98"/>
      <c r="L32" s="107">
        <v>0</v>
      </c>
      <c r="M32" s="141">
        <v>0</v>
      </c>
    </row>
    <row r="33" spans="3:13">
      <c r="C33" s="138">
        <v>19.2</v>
      </c>
      <c r="D33" s="98"/>
      <c r="E33" s="98"/>
      <c r="F33" s="98"/>
      <c r="G33" s="98"/>
      <c r="H33" s="98"/>
      <c r="I33" s="98"/>
      <c r="J33" s="98"/>
      <c r="K33" s="98"/>
      <c r="L33" s="107">
        <v>0</v>
      </c>
      <c r="M33" s="141">
        <v>0</v>
      </c>
    </row>
    <row r="34" spans="3:13">
      <c r="C34" s="138">
        <v>19.399999999999999</v>
      </c>
      <c r="D34" s="98"/>
      <c r="E34" s="98"/>
      <c r="F34" s="98"/>
      <c r="G34" s="98"/>
      <c r="H34" s="98"/>
      <c r="I34" s="98"/>
      <c r="J34" s="98"/>
      <c r="K34" s="98"/>
      <c r="L34" s="107">
        <v>0</v>
      </c>
      <c r="M34" s="141">
        <v>0</v>
      </c>
    </row>
    <row r="35" spans="3:13">
      <c r="C35" s="138">
        <v>19.8</v>
      </c>
      <c r="D35" s="98"/>
      <c r="E35" s="98"/>
      <c r="F35" s="98"/>
      <c r="G35" s="98"/>
      <c r="H35" s="98"/>
      <c r="I35" s="98"/>
      <c r="J35" s="98"/>
      <c r="K35" s="98"/>
      <c r="L35" s="107">
        <v>0</v>
      </c>
      <c r="M35" s="141">
        <v>0</v>
      </c>
    </row>
    <row r="36" spans="3:13">
      <c r="C36" s="138">
        <v>19.899999999999999</v>
      </c>
      <c r="D36" s="98"/>
      <c r="E36" s="98"/>
      <c r="F36" s="98"/>
      <c r="G36" s="98"/>
      <c r="H36" s="98"/>
      <c r="I36" s="98"/>
      <c r="J36" s="98"/>
      <c r="K36" s="98"/>
      <c r="L36" s="107">
        <v>0</v>
      </c>
      <c r="M36" s="141">
        <v>0</v>
      </c>
    </row>
    <row r="37" spans="3:13">
      <c r="C37" s="138">
        <v>20</v>
      </c>
      <c r="D37" s="98"/>
      <c r="E37" s="98"/>
      <c r="F37" s="98"/>
      <c r="G37" s="98"/>
      <c r="H37" s="98"/>
      <c r="I37" s="98"/>
      <c r="J37" s="98"/>
      <c r="K37" s="98"/>
      <c r="L37" s="107">
        <v>0</v>
      </c>
      <c r="M37" s="141">
        <v>0</v>
      </c>
    </row>
    <row r="38" spans="3:13">
      <c r="C38" s="138">
        <v>20.2</v>
      </c>
      <c r="D38" s="98"/>
      <c r="E38" s="98"/>
      <c r="F38" s="98"/>
      <c r="G38" s="98"/>
      <c r="H38" s="98"/>
      <c r="I38" s="98"/>
      <c r="J38" s="98"/>
      <c r="K38" s="98"/>
      <c r="L38" s="107">
        <v>0</v>
      </c>
      <c r="M38" s="141">
        <v>0</v>
      </c>
    </row>
    <row r="39" spans="3:13">
      <c r="C39" s="138">
        <v>20.3</v>
      </c>
      <c r="D39" s="98"/>
      <c r="E39" s="98"/>
      <c r="F39" s="98"/>
      <c r="G39" s="98"/>
      <c r="H39" s="98"/>
      <c r="I39" s="98"/>
      <c r="J39" s="98"/>
      <c r="K39" s="98"/>
      <c r="L39" s="107">
        <v>0</v>
      </c>
      <c r="M39" s="141">
        <v>0</v>
      </c>
    </row>
    <row r="40" spans="3:13">
      <c r="C40" s="138">
        <v>20.5</v>
      </c>
      <c r="D40" s="98"/>
      <c r="E40" s="98"/>
      <c r="F40" s="98"/>
      <c r="G40" s="98"/>
      <c r="H40" s="98"/>
      <c r="I40" s="98"/>
      <c r="J40" s="98"/>
      <c r="K40" s="98"/>
      <c r="L40" s="107">
        <v>0</v>
      </c>
      <c r="M40" s="141">
        <v>0</v>
      </c>
    </row>
    <row r="41" spans="3:13">
      <c r="C41" s="138">
        <v>20.6</v>
      </c>
      <c r="D41" s="98"/>
      <c r="E41" s="98"/>
      <c r="F41" s="98"/>
      <c r="G41" s="98"/>
      <c r="H41" s="98"/>
      <c r="I41" s="98"/>
      <c r="J41" s="98"/>
      <c r="K41" s="98"/>
      <c r="L41" s="107">
        <v>0</v>
      </c>
      <c r="M41" s="141">
        <v>0</v>
      </c>
    </row>
    <row r="42" spans="3:13">
      <c r="C42" s="138">
        <v>20.8</v>
      </c>
      <c r="D42" s="98"/>
      <c r="E42" s="98"/>
      <c r="F42" s="98"/>
      <c r="G42" s="98"/>
      <c r="H42" s="98"/>
      <c r="I42" s="98"/>
      <c r="J42" s="98"/>
      <c r="K42" s="98"/>
      <c r="L42" s="107">
        <v>0</v>
      </c>
      <c r="M42" s="141">
        <v>0</v>
      </c>
    </row>
    <row r="43" spans="3:13">
      <c r="C43" s="138">
        <v>21</v>
      </c>
      <c r="D43" s="98"/>
      <c r="E43" s="98"/>
      <c r="F43" s="98"/>
      <c r="G43" s="98"/>
      <c r="H43" s="98"/>
      <c r="I43" s="98"/>
      <c r="J43" s="98"/>
      <c r="K43" s="98"/>
      <c r="L43" s="107">
        <v>0.125</v>
      </c>
      <c r="M43" s="141">
        <v>0.16666666666666666</v>
      </c>
    </row>
    <row r="44" spans="3:13">
      <c r="C44" s="138">
        <v>21.1</v>
      </c>
      <c r="D44" s="98"/>
      <c r="E44" s="98"/>
      <c r="F44" s="98"/>
      <c r="G44" s="98"/>
      <c r="H44" s="98"/>
      <c r="I44" s="98"/>
      <c r="J44" s="98"/>
      <c r="K44" s="98"/>
      <c r="L44" s="107">
        <v>0</v>
      </c>
      <c r="M44" s="141">
        <v>0</v>
      </c>
    </row>
    <row r="45" spans="3:13">
      <c r="C45" s="138">
        <v>21.5</v>
      </c>
      <c r="D45" s="98"/>
      <c r="E45" s="98"/>
      <c r="F45" s="98"/>
      <c r="G45" s="98"/>
      <c r="H45" s="98"/>
      <c r="I45" s="98"/>
      <c r="J45" s="98"/>
      <c r="K45" s="98"/>
      <c r="L45" s="107">
        <v>0</v>
      </c>
      <c r="M45" s="141">
        <v>0</v>
      </c>
    </row>
    <row r="46" spans="3:13">
      <c r="C46" s="138">
        <v>21.6</v>
      </c>
      <c r="D46" s="98"/>
      <c r="E46" s="98"/>
      <c r="F46" s="98"/>
      <c r="G46" s="98"/>
      <c r="H46" s="98"/>
      <c r="I46" s="98"/>
      <c r="J46" s="98"/>
      <c r="K46" s="98"/>
      <c r="L46" s="107">
        <v>0</v>
      </c>
      <c r="M46" s="141">
        <v>0</v>
      </c>
    </row>
    <row r="47" spans="3:13">
      <c r="C47" s="138">
        <v>22</v>
      </c>
      <c r="D47" s="98"/>
      <c r="E47" s="98"/>
      <c r="F47" s="98"/>
      <c r="G47" s="98"/>
      <c r="H47" s="98"/>
      <c r="I47" s="98"/>
      <c r="J47" s="98"/>
      <c r="K47" s="98"/>
      <c r="L47" s="107">
        <v>0</v>
      </c>
      <c r="M47" s="141">
        <v>0</v>
      </c>
    </row>
    <row r="48" spans="3:13">
      <c r="C48" s="138">
        <v>22.3</v>
      </c>
      <c r="D48" s="98"/>
      <c r="E48" s="98"/>
      <c r="F48" s="98"/>
      <c r="G48" s="98"/>
      <c r="H48" s="98"/>
      <c r="I48" s="98"/>
      <c r="J48" s="98"/>
      <c r="K48" s="98"/>
      <c r="L48" s="107">
        <v>0</v>
      </c>
      <c r="M48" s="141">
        <v>0</v>
      </c>
    </row>
    <row r="49" spans="3:13">
      <c r="C49" s="138">
        <v>22.4</v>
      </c>
      <c r="D49" s="98"/>
      <c r="E49" s="98"/>
      <c r="F49" s="98"/>
      <c r="G49" s="98"/>
      <c r="H49" s="98"/>
      <c r="I49" s="98"/>
      <c r="J49" s="98"/>
      <c r="K49" s="98"/>
      <c r="L49" s="107">
        <v>0</v>
      </c>
      <c r="M49" s="141">
        <v>0</v>
      </c>
    </row>
    <row r="50" spans="3:13">
      <c r="C50" s="138">
        <v>22.5</v>
      </c>
      <c r="D50" s="98"/>
      <c r="E50" s="98"/>
      <c r="F50" s="98"/>
      <c r="G50" s="98"/>
      <c r="H50" s="98"/>
      <c r="I50" s="98"/>
      <c r="J50" s="98"/>
      <c r="K50" s="98"/>
      <c r="L50" s="107">
        <v>0</v>
      </c>
      <c r="M50" s="141">
        <v>0</v>
      </c>
    </row>
    <row r="51" spans="3:13">
      <c r="C51" s="138">
        <v>23</v>
      </c>
      <c r="D51" s="98"/>
      <c r="E51" s="98"/>
      <c r="F51" s="98"/>
      <c r="G51" s="98"/>
      <c r="H51" s="98"/>
      <c r="I51" s="98"/>
      <c r="J51" s="98"/>
      <c r="K51" s="98"/>
      <c r="L51" s="107">
        <v>0.1</v>
      </c>
      <c r="M51" s="141">
        <v>0.16666666666666666</v>
      </c>
    </row>
    <row r="52" spans="3:13">
      <c r="C52" s="138">
        <v>23.2</v>
      </c>
      <c r="D52" s="98"/>
      <c r="E52" s="98"/>
      <c r="F52" s="98"/>
      <c r="G52" s="98"/>
      <c r="H52" s="98"/>
      <c r="I52" s="98"/>
      <c r="J52" s="98"/>
      <c r="K52" s="98"/>
      <c r="L52" s="107">
        <v>0</v>
      </c>
      <c r="M52" s="141">
        <v>0</v>
      </c>
    </row>
    <row r="53" spans="3:13">
      <c r="C53" s="138">
        <v>23.5</v>
      </c>
      <c r="D53" s="98"/>
      <c r="E53" s="98"/>
      <c r="F53" s="98"/>
      <c r="G53" s="98"/>
      <c r="H53" s="98"/>
      <c r="I53" s="98"/>
      <c r="J53" s="98"/>
      <c r="K53" s="98"/>
      <c r="L53" s="107">
        <v>0</v>
      </c>
      <c r="M53" s="141">
        <v>0</v>
      </c>
    </row>
    <row r="54" spans="3:13">
      <c r="C54" s="138">
        <v>23.6</v>
      </c>
      <c r="D54" s="98"/>
      <c r="E54" s="98"/>
      <c r="F54" s="98"/>
      <c r="G54" s="98"/>
      <c r="H54" s="98"/>
      <c r="I54" s="98"/>
      <c r="J54" s="98"/>
      <c r="K54" s="98"/>
      <c r="L54" s="107">
        <v>1</v>
      </c>
      <c r="M54" s="141">
        <v>0.16666666666666666</v>
      </c>
    </row>
    <row r="55" spans="3:13">
      <c r="C55" s="138">
        <v>23.7</v>
      </c>
      <c r="D55" s="98"/>
      <c r="E55" s="98"/>
      <c r="F55" s="98"/>
      <c r="G55" s="98"/>
      <c r="H55" s="98"/>
      <c r="I55" s="98"/>
      <c r="J55" s="98"/>
      <c r="K55" s="98"/>
      <c r="L55" s="107">
        <v>0</v>
      </c>
      <c r="M55" s="141">
        <v>0</v>
      </c>
    </row>
    <row r="56" spans="3:13">
      <c r="C56" s="138">
        <v>23.8</v>
      </c>
      <c r="D56" s="98"/>
      <c r="E56" s="98"/>
      <c r="F56" s="98"/>
      <c r="G56" s="98"/>
      <c r="H56" s="98"/>
      <c r="I56" s="98"/>
      <c r="J56" s="98"/>
      <c r="K56" s="98"/>
      <c r="L56" s="107">
        <v>0</v>
      </c>
      <c r="M56" s="141">
        <v>0</v>
      </c>
    </row>
    <row r="57" spans="3:13">
      <c r="C57" s="138">
        <v>23.9</v>
      </c>
      <c r="D57" s="98"/>
      <c r="E57" s="98"/>
      <c r="F57" s="98"/>
      <c r="G57" s="98"/>
      <c r="H57" s="98"/>
      <c r="I57" s="98"/>
      <c r="J57" s="98"/>
      <c r="K57" s="98"/>
      <c r="L57" s="107">
        <v>0</v>
      </c>
      <c r="M57" s="141">
        <v>0</v>
      </c>
    </row>
    <row r="58" spans="3:13">
      <c r="C58" s="138">
        <v>24</v>
      </c>
      <c r="D58" s="98"/>
      <c r="E58" s="98"/>
      <c r="F58" s="98"/>
      <c r="G58" s="98"/>
      <c r="H58" s="98"/>
      <c r="I58" s="98"/>
      <c r="J58" s="98"/>
      <c r="K58" s="98"/>
      <c r="L58" s="107">
        <v>0</v>
      </c>
      <c r="M58" s="141">
        <v>0</v>
      </c>
    </row>
    <row r="59" spans="3:13">
      <c r="C59" s="138">
        <v>24.2</v>
      </c>
      <c r="D59" s="98"/>
      <c r="E59" s="98"/>
      <c r="F59" s="98"/>
      <c r="G59" s="98"/>
      <c r="H59" s="98"/>
      <c r="I59" s="98"/>
      <c r="J59" s="98"/>
      <c r="K59" s="98"/>
      <c r="L59" s="107">
        <v>0</v>
      </c>
      <c r="M59" s="141">
        <v>0</v>
      </c>
    </row>
    <row r="60" spans="3:13">
      <c r="C60" s="138">
        <v>24.3</v>
      </c>
      <c r="D60" s="98"/>
      <c r="E60" s="98"/>
      <c r="F60" s="98"/>
      <c r="G60" s="98"/>
      <c r="H60" s="98"/>
      <c r="I60" s="98"/>
      <c r="J60" s="98"/>
      <c r="K60" s="98"/>
      <c r="L60" s="107">
        <v>0</v>
      </c>
      <c r="M60" s="141">
        <v>0</v>
      </c>
    </row>
    <row r="61" spans="3:13">
      <c r="C61" s="138">
        <v>24.5</v>
      </c>
      <c r="D61" s="98"/>
      <c r="E61" s="98"/>
      <c r="F61" s="98"/>
      <c r="G61" s="98"/>
      <c r="H61" s="98"/>
      <c r="I61" s="98"/>
      <c r="J61" s="98"/>
      <c r="K61" s="98"/>
      <c r="L61" s="107">
        <v>0</v>
      </c>
      <c r="M61" s="141">
        <v>0</v>
      </c>
    </row>
    <row r="62" spans="3:13">
      <c r="C62" s="138">
        <v>25</v>
      </c>
      <c r="D62" s="98"/>
      <c r="E62" s="98"/>
      <c r="F62" s="98"/>
      <c r="G62" s="98"/>
      <c r="H62" s="98"/>
      <c r="I62" s="98"/>
      <c r="J62" s="98"/>
      <c r="K62" s="98"/>
      <c r="L62" s="107">
        <v>9.0909090909090912E-2</v>
      </c>
      <c r="M62" s="141">
        <v>0.16666666666666666</v>
      </c>
    </row>
    <row r="63" spans="3:13">
      <c r="C63" s="138">
        <v>25.1</v>
      </c>
      <c r="D63" s="98"/>
      <c r="E63" s="98"/>
      <c r="F63" s="98"/>
      <c r="G63" s="98"/>
      <c r="H63" s="98"/>
      <c r="I63" s="98"/>
      <c r="J63" s="98"/>
      <c r="K63" s="98"/>
      <c r="L63" s="107">
        <v>0</v>
      </c>
      <c r="M63" s="141">
        <v>0</v>
      </c>
    </row>
    <row r="64" spans="3:13">
      <c r="C64" s="138">
        <v>25.4</v>
      </c>
      <c r="D64" s="98"/>
      <c r="E64" s="98"/>
      <c r="F64" s="98"/>
      <c r="G64" s="98"/>
      <c r="H64" s="98"/>
      <c r="I64" s="98"/>
      <c r="J64" s="98"/>
      <c r="K64" s="98"/>
      <c r="L64" s="107">
        <v>0</v>
      </c>
      <c r="M64" s="141">
        <v>0</v>
      </c>
    </row>
    <row r="65" spans="3:13">
      <c r="C65" s="138">
        <v>25.5</v>
      </c>
      <c r="D65" s="98"/>
      <c r="E65" s="98"/>
      <c r="F65" s="98"/>
      <c r="G65" s="98"/>
      <c r="H65" s="98"/>
      <c r="I65" s="98"/>
      <c r="J65" s="98"/>
      <c r="K65" s="98"/>
      <c r="L65" s="107">
        <v>0</v>
      </c>
      <c r="M65" s="141">
        <v>0</v>
      </c>
    </row>
    <row r="66" spans="3:13">
      <c r="C66" s="138">
        <v>25.8</v>
      </c>
      <c r="D66" s="98"/>
      <c r="E66" s="98"/>
      <c r="F66" s="98"/>
      <c r="G66" s="98"/>
      <c r="H66" s="98"/>
      <c r="I66" s="98"/>
      <c r="J66" s="98"/>
      <c r="K66" s="98"/>
      <c r="L66" s="107">
        <v>0</v>
      </c>
      <c r="M66" s="141">
        <v>0</v>
      </c>
    </row>
    <row r="67" spans="3:13">
      <c r="C67" s="138">
        <v>26</v>
      </c>
      <c r="D67" s="98"/>
      <c r="E67" s="98"/>
      <c r="F67" s="98"/>
      <c r="G67" s="98"/>
      <c r="H67" s="98"/>
      <c r="I67" s="98"/>
      <c r="J67" s="98"/>
      <c r="K67" s="98"/>
      <c r="L67" s="107">
        <v>0</v>
      </c>
      <c r="M67" s="141">
        <v>0</v>
      </c>
    </row>
    <row r="68" spans="3:13">
      <c r="C68" s="138">
        <v>26.4</v>
      </c>
      <c r="D68" s="98"/>
      <c r="E68" s="98"/>
      <c r="F68" s="98"/>
      <c r="G68" s="98"/>
      <c r="H68" s="98"/>
      <c r="I68" s="98"/>
      <c r="J68" s="98"/>
      <c r="K68" s="98"/>
      <c r="L68" s="107">
        <v>0</v>
      </c>
      <c r="M68" s="141">
        <v>0</v>
      </c>
    </row>
    <row r="69" spans="3:13">
      <c r="C69" s="138">
        <v>26.5</v>
      </c>
      <c r="D69" s="98"/>
      <c r="E69" s="98"/>
      <c r="F69" s="98"/>
      <c r="G69" s="98"/>
      <c r="H69" s="98"/>
      <c r="I69" s="98"/>
      <c r="J69" s="98"/>
      <c r="K69" s="98"/>
      <c r="L69" s="107">
        <v>0</v>
      </c>
      <c r="M69" s="141">
        <v>0</v>
      </c>
    </row>
    <row r="70" spans="3:13">
      <c r="C70" s="138">
        <v>26.6</v>
      </c>
      <c r="D70" s="98"/>
      <c r="E70" s="98"/>
      <c r="F70" s="98"/>
      <c r="G70" s="98"/>
      <c r="H70" s="98"/>
      <c r="I70" s="98"/>
      <c r="J70" s="98"/>
      <c r="K70" s="98"/>
      <c r="L70" s="107">
        <v>0</v>
      </c>
      <c r="M70" s="141">
        <v>0</v>
      </c>
    </row>
    <row r="71" spans="3:13">
      <c r="C71" s="138">
        <v>26.8</v>
      </c>
      <c r="D71" s="98"/>
      <c r="E71" s="98"/>
      <c r="F71" s="98"/>
      <c r="G71" s="98"/>
      <c r="H71" s="98"/>
      <c r="I71" s="98"/>
      <c r="J71" s="98"/>
      <c r="K71" s="98"/>
      <c r="L71" s="107">
        <v>0</v>
      </c>
      <c r="M71" s="141">
        <v>0</v>
      </c>
    </row>
    <row r="72" spans="3:13">
      <c r="C72" s="138">
        <v>27</v>
      </c>
      <c r="D72" s="98"/>
      <c r="E72" s="98"/>
      <c r="F72" s="98"/>
      <c r="G72" s="98"/>
      <c r="H72" s="98"/>
      <c r="I72" s="98"/>
      <c r="J72" s="98"/>
      <c r="K72" s="98"/>
      <c r="L72" s="107">
        <v>0</v>
      </c>
      <c r="M72" s="141">
        <v>0</v>
      </c>
    </row>
    <row r="73" spans="3:13">
      <c r="C73" s="138">
        <v>27.2</v>
      </c>
      <c r="D73" s="98"/>
      <c r="E73" s="98"/>
      <c r="F73" s="98"/>
      <c r="G73" s="98"/>
      <c r="H73" s="98"/>
      <c r="I73" s="98"/>
      <c r="J73" s="98"/>
      <c r="K73" s="98"/>
      <c r="L73" s="107">
        <v>0</v>
      </c>
      <c r="M73" s="141">
        <v>0</v>
      </c>
    </row>
    <row r="74" spans="3:13">
      <c r="C74" s="138">
        <v>27.4</v>
      </c>
      <c r="D74" s="98"/>
      <c r="E74" s="98"/>
      <c r="F74" s="98"/>
      <c r="G74" s="98"/>
      <c r="H74" s="98"/>
      <c r="I74" s="98"/>
      <c r="J74" s="98"/>
      <c r="K74" s="98"/>
      <c r="L74" s="107">
        <v>0</v>
      </c>
      <c r="M74" s="141">
        <v>0</v>
      </c>
    </row>
    <row r="75" spans="3:13">
      <c r="C75" s="138">
        <v>27.5</v>
      </c>
      <c r="D75" s="98"/>
      <c r="E75" s="98"/>
      <c r="F75" s="98"/>
      <c r="G75" s="98"/>
      <c r="H75" s="98"/>
      <c r="I75" s="98"/>
      <c r="J75" s="98"/>
      <c r="K75" s="98"/>
      <c r="L75" s="107">
        <v>0</v>
      </c>
      <c r="M75" s="141">
        <v>0</v>
      </c>
    </row>
    <row r="76" spans="3:13">
      <c r="C76" s="138">
        <v>27.9</v>
      </c>
      <c r="D76" s="98"/>
      <c r="E76" s="98"/>
      <c r="F76" s="98"/>
      <c r="G76" s="98"/>
      <c r="H76" s="98"/>
      <c r="I76" s="98"/>
      <c r="J76" s="98"/>
      <c r="K76" s="98"/>
      <c r="L76" s="107">
        <v>0</v>
      </c>
      <c r="M76" s="141">
        <v>0</v>
      </c>
    </row>
    <row r="77" spans="3:13">
      <c r="C77" s="138">
        <v>28</v>
      </c>
      <c r="D77" s="98"/>
      <c r="E77" s="98"/>
      <c r="F77" s="98"/>
      <c r="G77" s="98"/>
      <c r="H77" s="98"/>
      <c r="I77" s="98"/>
      <c r="J77" s="98"/>
      <c r="K77" s="98"/>
      <c r="L77" s="107">
        <v>0</v>
      </c>
      <c r="M77" s="141">
        <v>0</v>
      </c>
    </row>
    <row r="78" spans="3:13">
      <c r="C78" s="138">
        <v>28.1</v>
      </c>
      <c r="D78" s="98"/>
      <c r="E78" s="98"/>
      <c r="F78" s="98"/>
      <c r="G78" s="98"/>
      <c r="H78" s="98"/>
      <c r="I78" s="98"/>
      <c r="J78" s="98"/>
      <c r="K78" s="98"/>
      <c r="L78" s="107">
        <v>0</v>
      </c>
      <c r="M78" s="141">
        <v>0</v>
      </c>
    </row>
    <row r="79" spans="3:13">
      <c r="C79" s="138">
        <v>28.4</v>
      </c>
      <c r="D79" s="98"/>
      <c r="E79" s="98"/>
      <c r="F79" s="98"/>
      <c r="G79" s="98"/>
      <c r="H79" s="98"/>
      <c r="I79" s="98"/>
      <c r="J79" s="98"/>
      <c r="K79" s="98"/>
      <c r="L79" s="107">
        <v>0</v>
      </c>
      <c r="M79" s="141">
        <v>0</v>
      </c>
    </row>
    <row r="80" spans="3:13">
      <c r="C80" s="138">
        <v>28.8</v>
      </c>
      <c r="D80" s="98"/>
      <c r="E80" s="98"/>
      <c r="F80" s="98"/>
      <c r="G80" s="98"/>
      <c r="H80" s="98"/>
      <c r="I80" s="98"/>
      <c r="J80" s="98"/>
      <c r="K80" s="98"/>
      <c r="L80" s="107">
        <v>0</v>
      </c>
      <c r="M80" s="141">
        <v>0</v>
      </c>
    </row>
    <row r="81" spans="3:13">
      <c r="C81" s="138">
        <v>29</v>
      </c>
      <c r="D81" s="98"/>
      <c r="E81" s="98"/>
      <c r="F81" s="98"/>
      <c r="G81" s="98"/>
      <c r="H81" s="98"/>
      <c r="I81" s="98"/>
      <c r="J81" s="98"/>
      <c r="K81" s="98"/>
      <c r="L81" s="107">
        <v>0</v>
      </c>
      <c r="M81" s="141">
        <v>0</v>
      </c>
    </row>
    <row r="82" spans="3:13">
      <c r="C82" s="138">
        <v>29.5</v>
      </c>
      <c r="D82" s="98"/>
      <c r="E82" s="98"/>
      <c r="F82" s="98"/>
      <c r="G82" s="98"/>
      <c r="H82" s="98"/>
      <c r="I82" s="98"/>
      <c r="J82" s="98"/>
      <c r="K82" s="98"/>
      <c r="L82" s="107">
        <v>0</v>
      </c>
      <c r="M82" s="141">
        <v>0</v>
      </c>
    </row>
    <row r="83" spans="3:13">
      <c r="C83" s="138">
        <v>29.8</v>
      </c>
      <c r="D83" s="98"/>
      <c r="E83" s="98"/>
      <c r="F83" s="98"/>
      <c r="G83" s="98"/>
      <c r="H83" s="98"/>
      <c r="I83" s="98"/>
      <c r="J83" s="98"/>
      <c r="K83" s="98"/>
      <c r="L83" s="107">
        <v>0</v>
      </c>
      <c r="M83" s="141">
        <v>0</v>
      </c>
    </row>
    <row r="84" spans="3:13">
      <c r="C84" s="138">
        <v>29.9</v>
      </c>
      <c r="D84" s="98"/>
      <c r="E84" s="98"/>
      <c r="F84" s="98"/>
      <c r="G84" s="98"/>
      <c r="H84" s="98"/>
      <c r="I84" s="98"/>
      <c r="J84" s="98"/>
      <c r="K84" s="98"/>
      <c r="L84" s="107">
        <v>0</v>
      </c>
      <c r="M84" s="141">
        <v>0</v>
      </c>
    </row>
    <row r="85" spans="3:13">
      <c r="C85" s="138">
        <v>30</v>
      </c>
      <c r="D85" s="98"/>
      <c r="E85" s="98"/>
      <c r="F85" s="98"/>
      <c r="G85" s="98"/>
      <c r="H85" s="98"/>
      <c r="I85" s="98"/>
      <c r="J85" s="98"/>
      <c r="K85" s="98"/>
      <c r="L85" s="107">
        <v>0</v>
      </c>
      <c r="M85" s="141">
        <v>0</v>
      </c>
    </row>
    <row r="86" spans="3:13">
      <c r="C86" s="138">
        <v>30.5</v>
      </c>
      <c r="D86" s="98"/>
      <c r="E86" s="98"/>
      <c r="F86" s="98"/>
      <c r="G86" s="98"/>
      <c r="H86" s="98"/>
      <c r="I86" s="98"/>
      <c r="J86" s="98"/>
      <c r="K86" s="98"/>
      <c r="L86" s="107">
        <v>0</v>
      </c>
      <c r="M86" s="141">
        <v>0</v>
      </c>
    </row>
    <row r="87" spans="3:13">
      <c r="C87" s="138">
        <v>30.7</v>
      </c>
      <c r="D87" s="98"/>
      <c r="E87" s="98"/>
      <c r="F87" s="98"/>
      <c r="G87" s="98"/>
      <c r="H87" s="98"/>
      <c r="I87" s="98"/>
      <c r="J87" s="98"/>
      <c r="K87" s="98"/>
      <c r="L87" s="107">
        <v>0</v>
      </c>
      <c r="M87" s="141">
        <v>0</v>
      </c>
    </row>
    <row r="88" spans="3:13">
      <c r="C88" s="138">
        <v>30.9</v>
      </c>
      <c r="D88" s="98"/>
      <c r="E88" s="98"/>
      <c r="F88" s="98"/>
      <c r="G88" s="98"/>
      <c r="H88" s="98"/>
      <c r="I88" s="98"/>
      <c r="J88" s="98"/>
      <c r="K88" s="98"/>
      <c r="L88" s="107">
        <v>0</v>
      </c>
      <c r="M88" s="141">
        <v>0</v>
      </c>
    </row>
    <row r="89" spans="3:13">
      <c r="C89" s="138">
        <v>31</v>
      </c>
      <c r="D89" s="98"/>
      <c r="E89" s="98"/>
      <c r="F89" s="98"/>
      <c r="G89" s="98"/>
      <c r="H89" s="98"/>
      <c r="I89" s="98"/>
      <c r="J89" s="98"/>
      <c r="K89" s="98"/>
      <c r="L89" s="107">
        <v>0</v>
      </c>
      <c r="M89" s="141">
        <v>0</v>
      </c>
    </row>
    <row r="90" spans="3:13">
      <c r="C90" s="138">
        <v>31.3</v>
      </c>
      <c r="D90" s="98"/>
      <c r="E90" s="98"/>
      <c r="F90" s="98"/>
      <c r="G90" s="98"/>
      <c r="H90" s="98"/>
      <c r="I90" s="98"/>
      <c r="J90" s="98"/>
      <c r="K90" s="98"/>
      <c r="L90" s="107">
        <v>0</v>
      </c>
      <c r="M90" s="141">
        <v>0</v>
      </c>
    </row>
    <row r="91" spans="3:13">
      <c r="C91" s="138">
        <v>31.5</v>
      </c>
      <c r="D91" s="98"/>
      <c r="E91" s="98"/>
      <c r="F91" s="98"/>
      <c r="G91" s="98"/>
      <c r="H91" s="98"/>
      <c r="I91" s="98"/>
      <c r="J91" s="98"/>
      <c r="K91" s="98"/>
      <c r="L91" s="107">
        <v>0</v>
      </c>
      <c r="M91" s="141">
        <v>0</v>
      </c>
    </row>
    <row r="92" spans="3:13">
      <c r="C92" s="138">
        <v>31.6</v>
      </c>
      <c r="D92" s="98"/>
      <c r="E92" s="98"/>
      <c r="F92" s="98"/>
      <c r="G92" s="98"/>
      <c r="H92" s="98"/>
      <c r="I92" s="98"/>
      <c r="J92" s="98"/>
      <c r="K92" s="98"/>
      <c r="L92" s="107">
        <v>0</v>
      </c>
      <c r="M92" s="141">
        <v>0</v>
      </c>
    </row>
    <row r="93" spans="3:13">
      <c r="C93" s="138">
        <v>31.8</v>
      </c>
      <c r="D93" s="98"/>
      <c r="E93" s="98"/>
      <c r="F93" s="98"/>
      <c r="G93" s="98"/>
      <c r="H93" s="98"/>
      <c r="I93" s="98"/>
      <c r="J93" s="98"/>
      <c r="K93" s="98"/>
      <c r="L93" s="107">
        <v>0</v>
      </c>
      <c r="M93" s="141">
        <v>0</v>
      </c>
    </row>
    <row r="94" spans="3:13">
      <c r="C94" s="138">
        <v>31.9</v>
      </c>
      <c r="D94" s="98"/>
      <c r="E94" s="98"/>
      <c r="F94" s="98"/>
      <c r="G94" s="98"/>
      <c r="H94" s="98"/>
      <c r="I94" s="98"/>
      <c r="J94" s="98"/>
      <c r="K94" s="98"/>
      <c r="L94" s="107">
        <v>0</v>
      </c>
      <c r="M94" s="141">
        <v>0</v>
      </c>
    </row>
    <row r="95" spans="3:13">
      <c r="C95" s="138">
        <v>32</v>
      </c>
      <c r="D95" s="98"/>
      <c r="E95" s="98"/>
      <c r="F95" s="98"/>
      <c r="G95" s="98"/>
      <c r="H95" s="98"/>
      <c r="I95" s="98"/>
      <c r="J95" s="98"/>
      <c r="K95" s="98"/>
      <c r="L95" s="107">
        <v>0</v>
      </c>
      <c r="M95" s="141">
        <v>0</v>
      </c>
    </row>
    <row r="96" spans="3:13">
      <c r="C96" s="138">
        <v>32.1</v>
      </c>
      <c r="D96" s="98"/>
      <c r="E96" s="98"/>
      <c r="F96" s="98"/>
      <c r="G96" s="98"/>
      <c r="H96" s="98"/>
      <c r="I96" s="98"/>
      <c r="J96" s="98"/>
      <c r="K96" s="98"/>
      <c r="L96" s="107">
        <v>0</v>
      </c>
      <c r="M96" s="141">
        <v>0</v>
      </c>
    </row>
    <row r="97" spans="3:13">
      <c r="C97" s="138">
        <v>32.200000000000003</v>
      </c>
      <c r="D97" s="98"/>
      <c r="E97" s="98"/>
      <c r="F97" s="98"/>
      <c r="G97" s="98"/>
      <c r="H97" s="98"/>
      <c r="I97" s="98"/>
      <c r="J97" s="98"/>
      <c r="K97" s="98"/>
      <c r="L97" s="107">
        <v>0</v>
      </c>
      <c r="M97" s="141">
        <v>0</v>
      </c>
    </row>
    <row r="98" spans="3:13">
      <c r="C98" s="138">
        <v>32.299999999999997</v>
      </c>
      <c r="D98" s="98"/>
      <c r="E98" s="98"/>
      <c r="F98" s="98"/>
      <c r="G98" s="98"/>
      <c r="H98" s="98"/>
      <c r="I98" s="98"/>
      <c r="J98" s="98"/>
      <c r="K98" s="98"/>
      <c r="L98" s="107">
        <v>0</v>
      </c>
      <c r="M98" s="141">
        <v>0</v>
      </c>
    </row>
    <row r="99" spans="3:13">
      <c r="C99" s="138">
        <v>32.4</v>
      </c>
      <c r="D99" s="98"/>
      <c r="E99" s="98"/>
      <c r="F99" s="98"/>
      <c r="G99" s="98"/>
      <c r="H99" s="98"/>
      <c r="I99" s="98"/>
      <c r="J99" s="98"/>
      <c r="K99" s="98"/>
      <c r="L99" s="107">
        <v>0</v>
      </c>
      <c r="M99" s="141">
        <v>0</v>
      </c>
    </row>
    <row r="100" spans="3:13">
      <c r="C100" s="138">
        <v>32.700000000000003</v>
      </c>
      <c r="D100" s="98"/>
      <c r="E100" s="98"/>
      <c r="F100" s="98"/>
      <c r="G100" s="98"/>
      <c r="H100" s="98"/>
      <c r="I100" s="98"/>
      <c r="J100" s="98"/>
      <c r="K100" s="98"/>
      <c r="L100" s="107">
        <v>0</v>
      </c>
      <c r="M100" s="141">
        <v>0</v>
      </c>
    </row>
    <row r="101" spans="3:13">
      <c r="C101" s="138">
        <v>32.799999999999997</v>
      </c>
      <c r="D101" s="98"/>
      <c r="E101" s="98"/>
      <c r="F101" s="98"/>
      <c r="G101" s="98"/>
      <c r="H101" s="98"/>
      <c r="I101" s="98"/>
      <c r="J101" s="98"/>
      <c r="K101" s="98"/>
      <c r="L101" s="107">
        <v>0</v>
      </c>
      <c r="M101" s="141">
        <v>0</v>
      </c>
    </row>
    <row r="102" spans="3:13">
      <c r="C102" s="138">
        <v>32.9</v>
      </c>
      <c r="D102" s="98"/>
      <c r="E102" s="98"/>
      <c r="F102" s="98"/>
      <c r="G102" s="98"/>
      <c r="H102" s="98"/>
      <c r="I102" s="98"/>
      <c r="J102" s="98"/>
      <c r="K102" s="98"/>
      <c r="L102" s="107">
        <v>0</v>
      </c>
      <c r="M102" s="141">
        <v>0</v>
      </c>
    </row>
    <row r="103" spans="3:13">
      <c r="C103" s="138">
        <v>33</v>
      </c>
      <c r="D103" s="98"/>
      <c r="E103" s="98"/>
      <c r="F103" s="98"/>
      <c r="G103" s="98"/>
      <c r="H103" s="98"/>
      <c r="I103" s="98"/>
      <c r="J103" s="98"/>
      <c r="K103" s="98"/>
      <c r="L103" s="107">
        <v>0</v>
      </c>
      <c r="M103" s="141">
        <v>0</v>
      </c>
    </row>
    <row r="104" spans="3:13">
      <c r="C104" s="138">
        <v>33.5</v>
      </c>
      <c r="D104" s="98"/>
      <c r="E104" s="98"/>
      <c r="F104" s="98"/>
      <c r="G104" s="98"/>
      <c r="H104" s="98"/>
      <c r="I104" s="98"/>
      <c r="J104" s="98"/>
      <c r="K104" s="98"/>
      <c r="L104" s="107">
        <v>0</v>
      </c>
      <c r="M104" s="141">
        <v>0</v>
      </c>
    </row>
    <row r="105" spans="3:13">
      <c r="C105" s="138">
        <v>33.700000000000003</v>
      </c>
      <c r="D105" s="98"/>
      <c r="E105" s="98"/>
      <c r="F105" s="98"/>
      <c r="G105" s="98"/>
      <c r="H105" s="98"/>
      <c r="I105" s="98"/>
      <c r="J105" s="98"/>
      <c r="K105" s="98"/>
      <c r="L105" s="107">
        <v>0</v>
      </c>
      <c r="M105" s="141">
        <v>0</v>
      </c>
    </row>
    <row r="106" spans="3:13">
      <c r="C106" s="138">
        <v>33.799999999999997</v>
      </c>
      <c r="D106" s="98"/>
      <c r="E106" s="98"/>
      <c r="F106" s="98"/>
      <c r="G106" s="98"/>
      <c r="H106" s="98"/>
      <c r="I106" s="98"/>
      <c r="J106" s="98"/>
      <c r="K106" s="98"/>
      <c r="L106" s="107">
        <v>0</v>
      </c>
      <c r="M106" s="141">
        <v>0</v>
      </c>
    </row>
    <row r="107" spans="3:13">
      <c r="C107" s="138">
        <v>34</v>
      </c>
      <c r="D107" s="98"/>
      <c r="E107" s="98"/>
      <c r="F107" s="98"/>
      <c r="G107" s="98"/>
      <c r="H107" s="98"/>
      <c r="I107" s="98"/>
      <c r="J107" s="98"/>
      <c r="K107" s="98"/>
      <c r="L107" s="107">
        <v>0</v>
      </c>
      <c r="M107" s="141">
        <v>0</v>
      </c>
    </row>
    <row r="108" spans="3:13">
      <c r="C108" s="138">
        <v>34.1</v>
      </c>
      <c r="D108" s="98"/>
      <c r="E108" s="98"/>
      <c r="F108" s="98"/>
      <c r="G108" s="98"/>
      <c r="H108" s="98"/>
      <c r="I108" s="98"/>
      <c r="J108" s="98"/>
      <c r="K108" s="98"/>
      <c r="L108" s="107">
        <v>0</v>
      </c>
      <c r="M108" s="141">
        <v>0</v>
      </c>
    </row>
    <row r="109" spans="3:13">
      <c r="C109" s="138">
        <v>34.200000000000003</v>
      </c>
      <c r="D109" s="98"/>
      <c r="E109" s="98"/>
      <c r="F109" s="98"/>
      <c r="G109" s="98"/>
      <c r="H109" s="98"/>
      <c r="I109" s="98"/>
      <c r="J109" s="98"/>
      <c r="K109" s="98"/>
      <c r="L109" s="107">
        <v>0</v>
      </c>
      <c r="M109" s="141">
        <v>0</v>
      </c>
    </row>
    <row r="110" spans="3:13">
      <c r="C110" s="138">
        <v>34.299999999999997</v>
      </c>
      <c r="D110" s="98"/>
      <c r="E110" s="98"/>
      <c r="F110" s="98"/>
      <c r="G110" s="98"/>
      <c r="H110" s="98"/>
      <c r="I110" s="98"/>
      <c r="J110" s="98"/>
      <c r="K110" s="98"/>
      <c r="L110" s="107">
        <v>0</v>
      </c>
      <c r="M110" s="141">
        <v>0</v>
      </c>
    </row>
    <row r="111" spans="3:13">
      <c r="C111" s="138">
        <v>34.4</v>
      </c>
      <c r="D111" s="98"/>
      <c r="E111" s="98"/>
      <c r="F111" s="98"/>
      <c r="G111" s="98"/>
      <c r="H111" s="98"/>
      <c r="I111" s="98"/>
      <c r="J111" s="98"/>
      <c r="K111" s="98"/>
      <c r="L111" s="107">
        <v>0</v>
      </c>
      <c r="M111" s="141">
        <v>0</v>
      </c>
    </row>
    <row r="112" spans="3:13">
      <c r="C112" s="138">
        <v>34.5</v>
      </c>
      <c r="D112" s="98"/>
      <c r="E112" s="98"/>
      <c r="F112" s="98"/>
      <c r="G112" s="98"/>
      <c r="H112" s="98"/>
      <c r="I112" s="98"/>
      <c r="J112" s="98"/>
      <c r="K112" s="98"/>
      <c r="L112" s="107">
        <v>0.5</v>
      </c>
      <c r="M112" s="141">
        <v>0.16666666666666666</v>
      </c>
    </row>
    <row r="113" spans="3:13">
      <c r="C113" s="138">
        <v>34.700000000000003</v>
      </c>
      <c r="D113" s="98"/>
      <c r="E113" s="98"/>
      <c r="F113" s="98"/>
      <c r="G113" s="98"/>
      <c r="H113" s="98"/>
      <c r="I113" s="98"/>
      <c r="J113" s="98"/>
      <c r="K113" s="98"/>
      <c r="L113" s="107">
        <v>0</v>
      </c>
      <c r="M113" s="141">
        <v>0</v>
      </c>
    </row>
    <row r="114" spans="3:13">
      <c r="C114" s="138">
        <v>35</v>
      </c>
      <c r="D114" s="98"/>
      <c r="E114" s="98"/>
      <c r="F114" s="98"/>
      <c r="G114" s="98"/>
      <c r="H114" s="98"/>
      <c r="I114" s="98"/>
      <c r="J114" s="98"/>
      <c r="K114" s="98"/>
      <c r="L114" s="107">
        <v>0</v>
      </c>
      <c r="M114" s="141">
        <v>0</v>
      </c>
    </row>
    <row r="115" spans="3:13">
      <c r="C115" s="138">
        <v>35.1</v>
      </c>
      <c r="D115" s="98"/>
      <c r="E115" s="98"/>
      <c r="F115" s="98"/>
      <c r="G115" s="98"/>
      <c r="H115" s="98"/>
      <c r="I115" s="98"/>
      <c r="J115" s="98"/>
      <c r="K115" s="98"/>
      <c r="L115" s="107">
        <v>0</v>
      </c>
      <c r="M115" s="141">
        <v>0</v>
      </c>
    </row>
    <row r="116" spans="3:13">
      <c r="C116" s="138">
        <v>35.700000000000003</v>
      </c>
      <c r="D116" s="98"/>
      <c r="E116" s="98"/>
      <c r="F116" s="98"/>
      <c r="G116" s="98"/>
      <c r="H116" s="98"/>
      <c r="I116" s="98"/>
      <c r="J116" s="98"/>
      <c r="K116" s="98"/>
      <c r="L116" s="107">
        <v>0</v>
      </c>
      <c r="M116" s="141">
        <v>0</v>
      </c>
    </row>
    <row r="117" spans="3:13">
      <c r="C117" s="138">
        <v>36</v>
      </c>
      <c r="D117" s="98"/>
      <c r="E117" s="98"/>
      <c r="F117" s="98"/>
      <c r="G117" s="98"/>
      <c r="H117" s="98"/>
      <c r="I117" s="98"/>
      <c r="J117" s="98"/>
      <c r="K117" s="98"/>
      <c r="L117" s="107">
        <v>0</v>
      </c>
      <c r="M117" s="141">
        <v>0</v>
      </c>
    </row>
    <row r="118" spans="3:13">
      <c r="C118" s="138">
        <v>36.1</v>
      </c>
      <c r="D118" s="98"/>
      <c r="E118" s="98"/>
      <c r="F118" s="98"/>
      <c r="G118" s="98"/>
      <c r="H118" s="98"/>
      <c r="I118" s="98"/>
      <c r="J118" s="98"/>
      <c r="K118" s="98"/>
      <c r="L118" s="107">
        <v>0</v>
      </c>
      <c r="M118" s="141">
        <v>0</v>
      </c>
    </row>
    <row r="119" spans="3:13">
      <c r="C119" s="138">
        <v>36.4</v>
      </c>
      <c r="D119" s="98"/>
      <c r="E119" s="98"/>
      <c r="F119" s="98"/>
      <c r="G119" s="98"/>
      <c r="H119" s="98"/>
      <c r="I119" s="98"/>
      <c r="J119" s="98"/>
      <c r="K119" s="98"/>
      <c r="L119" s="107">
        <v>0</v>
      </c>
      <c r="M119" s="141">
        <v>0</v>
      </c>
    </row>
    <row r="120" spans="3:13">
      <c r="C120" s="138">
        <v>37</v>
      </c>
      <c r="D120" s="98"/>
      <c r="E120" s="98"/>
      <c r="F120" s="98"/>
      <c r="G120" s="98"/>
      <c r="H120" s="98"/>
      <c r="I120" s="98"/>
      <c r="J120" s="98"/>
      <c r="K120" s="98"/>
      <c r="L120" s="107">
        <v>0</v>
      </c>
      <c r="M120" s="141">
        <v>0</v>
      </c>
    </row>
    <row r="121" spans="3:13">
      <c r="C121" s="138">
        <v>37.200000000000003</v>
      </c>
      <c r="D121" s="98"/>
      <c r="E121" s="98"/>
      <c r="F121" s="98"/>
      <c r="G121" s="98"/>
      <c r="H121" s="98"/>
      <c r="I121" s="98"/>
      <c r="J121" s="98"/>
      <c r="K121" s="98"/>
      <c r="L121" s="107">
        <v>0</v>
      </c>
      <c r="M121" s="141">
        <v>0</v>
      </c>
    </row>
    <row r="122" spans="3:13">
      <c r="C122" s="138">
        <v>37.299999999999997</v>
      </c>
      <c r="D122" s="98"/>
      <c r="E122" s="98"/>
      <c r="F122" s="98"/>
      <c r="G122" s="98"/>
      <c r="H122" s="98"/>
      <c r="I122" s="98"/>
      <c r="J122" s="98"/>
      <c r="K122" s="98"/>
      <c r="L122" s="107">
        <v>0</v>
      </c>
      <c r="M122" s="141">
        <v>0</v>
      </c>
    </row>
    <row r="123" spans="3:13">
      <c r="C123" s="138">
        <v>37.700000000000003</v>
      </c>
      <c r="D123" s="98"/>
      <c r="E123" s="98"/>
      <c r="F123" s="98"/>
      <c r="G123" s="98"/>
      <c r="H123" s="98"/>
      <c r="I123" s="98"/>
      <c r="J123" s="98"/>
      <c r="K123" s="98"/>
      <c r="L123" s="107">
        <v>0</v>
      </c>
      <c r="M123" s="141">
        <v>0</v>
      </c>
    </row>
    <row r="124" spans="3:13">
      <c r="C124" s="138">
        <v>38</v>
      </c>
      <c r="D124" s="98"/>
      <c r="E124" s="98"/>
      <c r="F124" s="98"/>
      <c r="G124" s="98"/>
      <c r="H124" s="98"/>
      <c r="I124" s="98"/>
      <c r="J124" s="98"/>
      <c r="K124" s="98"/>
      <c r="L124" s="107">
        <v>0</v>
      </c>
      <c r="M124" s="141">
        <v>0</v>
      </c>
    </row>
    <row r="125" spans="3:13">
      <c r="C125" s="138">
        <v>38.1</v>
      </c>
      <c r="D125" s="98"/>
      <c r="E125" s="98"/>
      <c r="F125" s="98"/>
      <c r="G125" s="98"/>
      <c r="H125" s="98"/>
      <c r="I125" s="98"/>
      <c r="J125" s="98"/>
      <c r="K125" s="98"/>
      <c r="L125" s="107">
        <v>0</v>
      </c>
      <c r="M125" s="141">
        <v>0</v>
      </c>
    </row>
    <row r="126" spans="3:13">
      <c r="C126" s="138">
        <v>39</v>
      </c>
      <c r="D126" s="98"/>
      <c r="E126" s="98"/>
      <c r="F126" s="98"/>
      <c r="G126" s="98"/>
      <c r="H126" s="98"/>
      <c r="I126" s="98"/>
      <c r="J126" s="98"/>
      <c r="K126" s="98"/>
      <c r="L126" s="107">
        <v>0</v>
      </c>
      <c r="M126" s="141">
        <v>0</v>
      </c>
    </row>
    <row r="127" spans="3:13">
      <c r="C127" s="138">
        <v>39.1</v>
      </c>
      <c r="D127" s="98"/>
      <c r="E127" s="98"/>
      <c r="F127" s="98"/>
      <c r="G127" s="98"/>
      <c r="H127" s="98"/>
      <c r="I127" s="98"/>
      <c r="J127" s="98"/>
      <c r="K127" s="98"/>
      <c r="L127" s="107">
        <v>0</v>
      </c>
      <c r="M127" s="141">
        <v>0</v>
      </c>
    </row>
    <row r="128" spans="3:13">
      <c r="C128" s="138">
        <v>39.4</v>
      </c>
      <c r="D128" s="98"/>
      <c r="E128" s="98"/>
      <c r="F128" s="98"/>
      <c r="G128" s="98"/>
      <c r="H128" s="98"/>
      <c r="I128" s="98"/>
      <c r="J128" s="98"/>
      <c r="K128" s="98"/>
      <c r="L128" s="107">
        <v>0</v>
      </c>
      <c r="M128" s="141">
        <v>0</v>
      </c>
    </row>
    <row r="129" spans="3:13">
      <c r="C129" s="138">
        <v>40.799999999999997</v>
      </c>
      <c r="D129" s="98"/>
      <c r="E129" s="98"/>
      <c r="F129" s="98"/>
      <c r="G129" s="98"/>
      <c r="H129" s="98"/>
      <c r="I129" s="98"/>
      <c r="J129" s="98"/>
      <c r="K129" s="98"/>
      <c r="L129" s="107">
        <v>0</v>
      </c>
      <c r="M129" s="141">
        <v>0</v>
      </c>
    </row>
    <row r="130" spans="3:13">
      <c r="C130" s="138">
        <v>40.9</v>
      </c>
      <c r="D130" s="98"/>
      <c r="E130" s="98"/>
      <c r="F130" s="98"/>
      <c r="G130" s="98"/>
      <c r="H130" s="98"/>
      <c r="I130" s="98"/>
      <c r="J130" s="98"/>
      <c r="K130" s="98"/>
      <c r="L130" s="107">
        <v>1</v>
      </c>
      <c r="M130" s="141">
        <v>0.16666666666666666</v>
      </c>
    </row>
    <row r="131" spans="3:13">
      <c r="C131" s="138">
        <v>41.5</v>
      </c>
      <c r="D131" s="98"/>
      <c r="E131" s="98"/>
      <c r="F131" s="98"/>
      <c r="G131" s="98"/>
      <c r="H131" s="98"/>
      <c r="I131" s="98"/>
      <c r="J131" s="98"/>
      <c r="K131" s="98"/>
      <c r="L131" s="107">
        <v>0</v>
      </c>
      <c r="M131" s="141">
        <v>0</v>
      </c>
    </row>
    <row r="132" spans="3:13">
      <c r="C132" s="138">
        <v>43.1</v>
      </c>
      <c r="D132" s="98"/>
      <c r="E132" s="98"/>
      <c r="F132" s="98"/>
      <c r="G132" s="98"/>
      <c r="H132" s="98"/>
      <c r="I132" s="98"/>
      <c r="J132" s="98"/>
      <c r="K132" s="98"/>
      <c r="L132" s="107">
        <v>0</v>
      </c>
      <c r="M132" s="141">
        <v>0</v>
      </c>
    </row>
    <row r="133" spans="3:13">
      <c r="C133" s="138">
        <v>43.4</v>
      </c>
      <c r="D133" s="98"/>
      <c r="E133" s="98"/>
      <c r="F133" s="98"/>
      <c r="G133" s="98"/>
      <c r="H133" s="98"/>
      <c r="I133" s="98"/>
      <c r="J133" s="98"/>
      <c r="K133" s="98"/>
      <c r="L133" s="107">
        <v>0</v>
      </c>
      <c r="M133" s="141">
        <v>0</v>
      </c>
    </row>
    <row r="134" spans="3:13">
      <c r="C134" s="138">
        <v>44</v>
      </c>
      <c r="D134" s="98"/>
      <c r="E134" s="98"/>
      <c r="F134" s="98"/>
      <c r="G134" s="98"/>
      <c r="H134" s="98"/>
      <c r="I134" s="98"/>
      <c r="J134" s="98"/>
      <c r="K134" s="98"/>
      <c r="L134" s="107">
        <v>0</v>
      </c>
      <c r="M134" s="141">
        <v>0</v>
      </c>
    </row>
    <row r="135" spans="3:13">
      <c r="C135" s="138">
        <v>44.3</v>
      </c>
      <c r="D135" s="98"/>
      <c r="E135" s="98"/>
      <c r="F135" s="98"/>
      <c r="G135" s="98"/>
      <c r="H135" s="98"/>
      <c r="I135" s="98"/>
      <c r="J135" s="98"/>
      <c r="K135" s="98"/>
      <c r="L135" s="107">
        <v>0</v>
      </c>
      <c r="M135" s="141">
        <v>0</v>
      </c>
    </row>
    <row r="136" spans="3:13">
      <c r="C136" s="138">
        <v>44.6</v>
      </c>
      <c r="D136" s="98"/>
      <c r="E136" s="98"/>
      <c r="F136" s="98"/>
      <c r="G136" s="98"/>
      <c r="H136" s="98"/>
      <c r="I136" s="98"/>
      <c r="J136" s="98"/>
      <c r="K136" s="98"/>
      <c r="L136" s="107">
        <v>0</v>
      </c>
      <c r="M136" s="141">
        <v>0</v>
      </c>
    </row>
    <row r="137" spans="3:13">
      <c r="C137" s="138">
        <v>46.6</v>
      </c>
      <c r="D137" s="98"/>
      <c r="E137" s="98"/>
      <c r="F137" s="98"/>
      <c r="G137" s="98"/>
      <c r="H137" s="98"/>
      <c r="I137" s="98"/>
      <c r="J137" s="98"/>
      <c r="K137" s="98"/>
      <c r="L137" s="107">
        <v>0</v>
      </c>
      <c r="M137" s="141">
        <v>0</v>
      </c>
    </row>
    <row r="138" spans="3:13">
      <c r="C138" s="138" t="s">
        <v>377</v>
      </c>
      <c r="D138" s="98"/>
      <c r="E138" s="98"/>
      <c r="F138" s="98"/>
      <c r="G138" s="98"/>
      <c r="H138" s="98"/>
      <c r="I138" s="98"/>
      <c r="J138" s="98"/>
      <c r="K138" s="98"/>
      <c r="L138" s="107">
        <v>1.507537688442211E-2</v>
      </c>
      <c r="M138" s="141">
        <v>1</v>
      </c>
    </row>
  </sheetData>
  <conditionalFormatting pivot="1" sqref="L9:L138">
    <cfRule type="colorScale" priority="9">
      <colorScale>
        <cfvo type="num" val="0"/>
        <cfvo type="num" val="0.2"/>
        <color theme="1"/>
        <color rgb="FF7A0000"/>
      </colorScale>
    </cfRule>
  </conditionalFormatting>
  <conditionalFormatting pivot="1" sqref="M9:M138">
    <cfRule type="colorScale" priority="8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4ED-7328-4958-9243-BB98966E137D}">
  <sheetPr codeName="Sheet8"/>
  <dimension ref="B1:Q138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0.77734375" bestFit="1" customWidth="1"/>
    <col min="4" max="4" width="12.88671875" bestFit="1" customWidth="1"/>
    <col min="5" max="5" width="16.6640625" bestFit="1" customWidth="1"/>
    <col min="6" max="6" width="15.44140625" bestFit="1" customWidth="1"/>
    <col min="7" max="7" width="11.109375" bestFit="1" customWidth="1"/>
    <col min="8" max="8" width="15.6640625" bestFit="1" customWidth="1"/>
    <col min="9" max="9" width="15.44140625" bestFit="1" customWidth="1"/>
    <col min="10" max="11" width="10.21875" bestFit="1" customWidth="1"/>
    <col min="12" max="16" width="15.44140625" customWidth="1"/>
  </cols>
  <sheetData>
    <row r="1" spans="2:17">
      <c r="C1" s="2"/>
      <c r="D1" s="6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44" customFormat="1" ht="36.6">
      <c r="C2" s="108" t="str">
        <f>Name</f>
        <v>mpg</v>
      </c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10"/>
    </row>
    <row r="3" spans="2:17" ht="10.050000000000001" customHeight="1">
      <c r="C3" s="1"/>
      <c r="D3" s="4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</row>
    <row r="5" spans="2:17" ht="15" customHeight="1"/>
    <row r="6" spans="2:17" ht="15" customHeight="1"/>
    <row r="7" spans="2:17" ht="15" customHeight="1">
      <c r="C7" s="105"/>
    </row>
    <row r="8" spans="2:17" ht="36.6" customHeight="1">
      <c r="C8" s="140" t="s">
        <v>55</v>
      </c>
      <c r="D8" s="139" t="s">
        <v>56</v>
      </c>
      <c r="E8" s="139" t="s">
        <v>57</v>
      </c>
      <c r="F8" s="139" t="s">
        <v>58</v>
      </c>
      <c r="G8" s="139" t="s">
        <v>59</v>
      </c>
      <c r="H8" s="139" t="s">
        <v>60</v>
      </c>
      <c r="I8" s="139" t="s">
        <v>61</v>
      </c>
      <c r="J8" s="139" t="s">
        <v>62</v>
      </c>
      <c r="K8" s="139" t="s">
        <v>63</v>
      </c>
    </row>
    <row r="9" spans="2:17" ht="15" customHeight="1">
      <c r="C9" s="138">
        <v>9</v>
      </c>
      <c r="D9" s="98"/>
      <c r="E9" s="98"/>
      <c r="F9" s="98"/>
      <c r="G9" s="98"/>
      <c r="H9" s="98"/>
      <c r="I9" s="98"/>
      <c r="J9" s="98"/>
      <c r="K9" s="98"/>
    </row>
    <row r="10" spans="2:17" ht="15" customHeight="1">
      <c r="C10" s="138">
        <v>10</v>
      </c>
      <c r="D10" s="98"/>
      <c r="E10" s="98"/>
      <c r="F10" s="98"/>
      <c r="G10" s="98"/>
      <c r="H10" s="98"/>
      <c r="I10" s="98"/>
      <c r="J10" s="98"/>
      <c r="K10" s="98"/>
    </row>
    <row r="11" spans="2:17" ht="15" customHeight="1">
      <c r="C11" s="138">
        <v>11</v>
      </c>
      <c r="D11" s="98"/>
      <c r="E11" s="98"/>
      <c r="F11" s="98"/>
      <c r="G11" s="98"/>
      <c r="H11" s="98"/>
      <c r="I11" s="98"/>
      <c r="J11" s="98"/>
      <c r="K11" s="98"/>
    </row>
    <row r="12" spans="2:17" ht="15" customHeight="1">
      <c r="C12" s="138">
        <v>12</v>
      </c>
      <c r="D12" s="98"/>
      <c r="E12" s="98"/>
      <c r="F12" s="98"/>
      <c r="G12" s="98"/>
      <c r="H12" s="98"/>
      <c r="I12" s="98"/>
      <c r="J12" s="98"/>
      <c r="K12" s="98"/>
    </row>
    <row r="13" spans="2:17" ht="15" customHeight="1">
      <c r="C13" s="138">
        <v>13</v>
      </c>
      <c r="D13" s="98"/>
      <c r="E13" s="98"/>
      <c r="F13" s="98"/>
      <c r="G13" s="98"/>
      <c r="H13" s="98"/>
      <c r="I13" s="98"/>
      <c r="J13" s="98"/>
      <c r="K13" s="98"/>
    </row>
    <row r="14" spans="2:17">
      <c r="C14" s="138">
        <v>14</v>
      </c>
      <c r="D14" s="98"/>
      <c r="E14" s="98"/>
      <c r="F14" s="98"/>
      <c r="G14" s="98"/>
      <c r="H14" s="98"/>
      <c r="I14" s="98"/>
      <c r="J14" s="98"/>
      <c r="K14" s="98"/>
    </row>
    <row r="15" spans="2:17">
      <c r="C15" s="138">
        <v>14.5</v>
      </c>
      <c r="D15" s="98"/>
      <c r="E15" s="98"/>
      <c r="F15" s="98"/>
      <c r="G15" s="98"/>
      <c r="H15" s="98"/>
      <c r="I15" s="98"/>
      <c r="J15" s="98"/>
      <c r="K15" s="98"/>
    </row>
    <row r="16" spans="2:17">
      <c r="C16" s="138">
        <v>15</v>
      </c>
      <c r="D16" s="98"/>
      <c r="E16" s="98"/>
      <c r="F16" s="98"/>
      <c r="G16" s="98"/>
      <c r="H16" s="98"/>
      <c r="I16" s="98"/>
      <c r="J16" s="98"/>
      <c r="K16" s="98"/>
    </row>
    <row r="17" spans="3:11">
      <c r="C17" s="138">
        <v>15.5</v>
      </c>
      <c r="D17" s="98"/>
      <c r="E17" s="98"/>
      <c r="F17" s="98"/>
      <c r="G17" s="98"/>
      <c r="H17" s="98"/>
      <c r="I17" s="98"/>
      <c r="J17" s="98"/>
      <c r="K17" s="98"/>
    </row>
    <row r="18" spans="3:11">
      <c r="C18" s="138">
        <v>16</v>
      </c>
      <c r="D18" s="98"/>
      <c r="E18" s="98"/>
      <c r="F18" s="98"/>
      <c r="G18" s="98"/>
      <c r="H18" s="98"/>
      <c r="I18" s="98"/>
      <c r="J18" s="98"/>
      <c r="K18" s="98"/>
    </row>
    <row r="19" spans="3:11">
      <c r="C19" s="138">
        <v>16.2</v>
      </c>
      <c r="D19" s="98"/>
      <c r="E19" s="98"/>
      <c r="F19" s="98"/>
      <c r="G19" s="98"/>
      <c r="H19" s="98"/>
      <c r="I19" s="98"/>
      <c r="J19" s="98"/>
      <c r="K19" s="98"/>
    </row>
    <row r="20" spans="3:11">
      <c r="C20" s="138">
        <v>16.5</v>
      </c>
      <c r="D20" s="98"/>
      <c r="E20" s="98"/>
      <c r="F20" s="98"/>
      <c r="G20" s="98"/>
      <c r="H20" s="98"/>
      <c r="I20" s="98"/>
      <c r="J20" s="98"/>
      <c r="K20" s="98"/>
    </row>
    <row r="21" spans="3:11">
      <c r="C21" s="138">
        <v>16.899999999999999</v>
      </c>
      <c r="D21" s="98"/>
      <c r="E21" s="98"/>
      <c r="F21" s="98"/>
      <c r="G21" s="98"/>
      <c r="H21" s="98"/>
      <c r="I21" s="98"/>
      <c r="J21" s="98"/>
      <c r="K21" s="98"/>
    </row>
    <row r="22" spans="3:11">
      <c r="C22" s="138">
        <v>17</v>
      </c>
      <c r="D22" s="98"/>
      <c r="E22" s="98"/>
      <c r="F22" s="98"/>
      <c r="G22" s="98"/>
      <c r="H22" s="98"/>
      <c r="I22" s="98"/>
      <c r="J22" s="98"/>
      <c r="K22" s="98"/>
    </row>
    <row r="23" spans="3:11">
      <c r="C23" s="138">
        <v>17.5</v>
      </c>
      <c r="D23" s="98"/>
      <c r="E23" s="98"/>
      <c r="F23" s="98"/>
      <c r="G23" s="98"/>
      <c r="H23" s="98"/>
      <c r="I23" s="98"/>
      <c r="J23" s="98"/>
      <c r="K23" s="98"/>
    </row>
    <row r="24" spans="3:11">
      <c r="C24" s="138">
        <v>17.600000000000001</v>
      </c>
      <c r="D24" s="98"/>
      <c r="E24" s="98"/>
      <c r="F24" s="98"/>
      <c r="G24" s="98"/>
      <c r="H24" s="98"/>
      <c r="I24" s="98"/>
      <c r="J24" s="98"/>
      <c r="K24" s="98"/>
    </row>
    <row r="25" spans="3:11">
      <c r="C25" s="138">
        <v>17.7</v>
      </c>
      <c r="D25" s="98"/>
      <c r="E25" s="98"/>
      <c r="F25" s="98"/>
      <c r="G25" s="98"/>
      <c r="H25" s="98"/>
      <c r="I25" s="98"/>
      <c r="J25" s="98"/>
      <c r="K25" s="98"/>
    </row>
    <row r="26" spans="3:11">
      <c r="C26" s="138">
        <v>18</v>
      </c>
      <c r="D26" s="98"/>
      <c r="E26" s="98"/>
      <c r="F26" s="98"/>
      <c r="G26" s="98"/>
      <c r="H26" s="98"/>
      <c r="I26" s="98"/>
      <c r="J26" s="98"/>
      <c r="K26" s="98"/>
    </row>
    <row r="27" spans="3:11">
      <c r="C27" s="138">
        <v>18.100000000000001</v>
      </c>
      <c r="D27" s="98"/>
      <c r="E27" s="98"/>
      <c r="F27" s="98"/>
      <c r="G27" s="98"/>
      <c r="H27" s="98"/>
      <c r="I27" s="98"/>
      <c r="J27" s="98"/>
      <c r="K27" s="98"/>
    </row>
    <row r="28" spans="3:11">
      <c r="C28" s="138">
        <v>18.2</v>
      </c>
      <c r="D28" s="98"/>
      <c r="E28" s="98"/>
      <c r="F28" s="98"/>
      <c r="G28" s="98"/>
      <c r="H28" s="98"/>
      <c r="I28" s="98"/>
      <c r="J28" s="98"/>
      <c r="K28" s="98"/>
    </row>
    <row r="29" spans="3:11">
      <c r="C29" s="138">
        <v>18.5</v>
      </c>
      <c r="D29" s="98"/>
      <c r="E29" s="98"/>
      <c r="F29" s="98"/>
      <c r="G29" s="98"/>
      <c r="H29" s="98"/>
      <c r="I29" s="98"/>
      <c r="J29" s="98"/>
      <c r="K29" s="98"/>
    </row>
    <row r="30" spans="3:11">
      <c r="C30" s="138">
        <v>18.600000000000001</v>
      </c>
      <c r="D30" s="98"/>
      <c r="E30" s="98"/>
      <c r="F30" s="98"/>
      <c r="G30" s="98"/>
      <c r="H30" s="98"/>
      <c r="I30" s="98"/>
      <c r="J30" s="98"/>
      <c r="K30" s="98"/>
    </row>
    <row r="31" spans="3:11">
      <c r="C31" s="138">
        <v>19</v>
      </c>
      <c r="D31" s="98"/>
      <c r="E31" s="98"/>
      <c r="F31" s="98"/>
      <c r="G31" s="98"/>
      <c r="H31" s="98"/>
      <c r="I31" s="98"/>
      <c r="J31" s="98"/>
      <c r="K31" s="98"/>
    </row>
    <row r="32" spans="3:11">
      <c r="C32" s="138">
        <v>19.100000000000001</v>
      </c>
      <c r="D32" s="98"/>
      <c r="E32" s="98"/>
      <c r="F32" s="98"/>
      <c r="G32" s="98"/>
      <c r="H32" s="98"/>
      <c r="I32" s="98"/>
      <c r="J32" s="98"/>
      <c r="K32" s="98"/>
    </row>
    <row r="33" spans="3:11">
      <c r="C33" s="138">
        <v>19.2</v>
      </c>
      <c r="D33" s="98"/>
      <c r="E33" s="98"/>
      <c r="F33" s="98"/>
      <c r="G33" s="98"/>
      <c r="H33" s="98"/>
      <c r="I33" s="98"/>
      <c r="J33" s="98"/>
      <c r="K33" s="98"/>
    </row>
    <row r="34" spans="3:11">
      <c r="C34" s="138">
        <v>19.399999999999999</v>
      </c>
      <c r="D34" s="98"/>
      <c r="E34" s="98"/>
      <c r="F34" s="98"/>
      <c r="G34" s="98"/>
      <c r="H34" s="98"/>
      <c r="I34" s="98"/>
      <c r="J34" s="98"/>
      <c r="K34" s="98"/>
    </row>
    <row r="35" spans="3:11">
      <c r="C35" s="138">
        <v>19.8</v>
      </c>
      <c r="D35" s="98"/>
      <c r="E35" s="98"/>
      <c r="F35" s="98"/>
      <c r="G35" s="98"/>
      <c r="H35" s="98"/>
      <c r="I35" s="98"/>
      <c r="J35" s="98"/>
      <c r="K35" s="98"/>
    </row>
    <row r="36" spans="3:11">
      <c r="C36" s="138">
        <v>19.899999999999999</v>
      </c>
      <c r="D36" s="98"/>
      <c r="E36" s="98"/>
      <c r="F36" s="98"/>
      <c r="G36" s="98"/>
      <c r="H36" s="98"/>
      <c r="I36" s="98"/>
      <c r="J36" s="98"/>
      <c r="K36" s="98"/>
    </row>
    <row r="37" spans="3:11">
      <c r="C37" s="138">
        <v>20</v>
      </c>
      <c r="D37" s="98"/>
      <c r="E37" s="98"/>
      <c r="F37" s="98"/>
      <c r="G37" s="98"/>
      <c r="H37" s="98"/>
      <c r="I37" s="98"/>
      <c r="J37" s="98"/>
      <c r="K37" s="98"/>
    </row>
    <row r="38" spans="3:11">
      <c r="C38" s="138">
        <v>20.2</v>
      </c>
      <c r="D38" s="98"/>
      <c r="E38" s="98"/>
      <c r="F38" s="98"/>
      <c r="G38" s="98"/>
      <c r="H38" s="98"/>
      <c r="I38" s="98"/>
      <c r="J38" s="98"/>
      <c r="K38" s="98"/>
    </row>
    <row r="39" spans="3:11">
      <c r="C39" s="138">
        <v>20.3</v>
      </c>
      <c r="D39" s="98"/>
      <c r="E39" s="98"/>
      <c r="F39" s="98"/>
      <c r="G39" s="98"/>
      <c r="H39" s="98"/>
      <c r="I39" s="98"/>
      <c r="J39" s="98"/>
      <c r="K39" s="98"/>
    </row>
    <row r="40" spans="3:11">
      <c r="C40" s="138">
        <v>20.5</v>
      </c>
      <c r="D40" s="98"/>
      <c r="E40" s="98"/>
      <c r="F40" s="98"/>
      <c r="G40" s="98"/>
      <c r="H40" s="98"/>
      <c r="I40" s="98"/>
      <c r="J40" s="98"/>
      <c r="K40" s="98"/>
    </row>
    <row r="41" spans="3:11">
      <c r="C41" s="138">
        <v>20.6</v>
      </c>
      <c r="D41" s="98"/>
      <c r="E41" s="98"/>
      <c r="F41" s="98"/>
      <c r="G41" s="98"/>
      <c r="H41" s="98"/>
      <c r="I41" s="98"/>
      <c r="J41" s="98"/>
      <c r="K41" s="98"/>
    </row>
    <row r="42" spans="3:11">
      <c r="C42" s="138">
        <v>20.8</v>
      </c>
      <c r="D42" s="98"/>
      <c r="E42" s="98"/>
      <c r="F42" s="98"/>
      <c r="G42" s="98"/>
      <c r="H42" s="98"/>
      <c r="I42" s="98"/>
      <c r="J42" s="98"/>
      <c r="K42" s="98"/>
    </row>
    <row r="43" spans="3:11">
      <c r="C43" s="138">
        <v>21</v>
      </c>
      <c r="D43" s="98"/>
      <c r="E43" s="98"/>
      <c r="F43" s="98"/>
      <c r="G43" s="98"/>
      <c r="H43" s="98"/>
      <c r="I43" s="98"/>
      <c r="J43" s="98"/>
      <c r="K43" s="98"/>
    </row>
    <row r="44" spans="3:11">
      <c r="C44" s="138">
        <v>21.1</v>
      </c>
      <c r="D44" s="98"/>
      <c r="E44" s="98"/>
      <c r="F44" s="98"/>
      <c r="G44" s="98"/>
      <c r="H44" s="98"/>
      <c r="I44" s="98"/>
      <c r="J44" s="98"/>
      <c r="K44" s="98"/>
    </row>
    <row r="45" spans="3:11">
      <c r="C45" s="138">
        <v>21.5</v>
      </c>
      <c r="D45" s="98"/>
      <c r="E45" s="98"/>
      <c r="F45" s="98"/>
      <c r="G45" s="98"/>
      <c r="H45" s="98"/>
      <c r="I45" s="98"/>
      <c r="J45" s="98"/>
      <c r="K45" s="98"/>
    </row>
    <row r="46" spans="3:11">
      <c r="C46" s="138">
        <v>21.6</v>
      </c>
      <c r="D46" s="98"/>
      <c r="E46" s="98"/>
      <c r="F46" s="98"/>
      <c r="G46" s="98"/>
      <c r="H46" s="98"/>
      <c r="I46" s="98"/>
      <c r="J46" s="98"/>
      <c r="K46" s="98"/>
    </row>
    <row r="47" spans="3:11">
      <c r="C47" s="138">
        <v>22</v>
      </c>
      <c r="D47" s="98"/>
      <c r="E47" s="98"/>
      <c r="F47" s="98"/>
      <c r="G47" s="98"/>
      <c r="H47" s="98"/>
      <c r="I47" s="98"/>
      <c r="J47" s="98"/>
      <c r="K47" s="98"/>
    </row>
    <row r="48" spans="3:11">
      <c r="C48" s="138">
        <v>22.3</v>
      </c>
      <c r="D48" s="98"/>
      <c r="E48" s="98"/>
      <c r="F48" s="98"/>
      <c r="G48" s="98"/>
      <c r="H48" s="98"/>
      <c r="I48" s="98"/>
      <c r="J48" s="98"/>
      <c r="K48" s="98"/>
    </row>
    <row r="49" spans="3:11">
      <c r="C49" s="138">
        <v>22.4</v>
      </c>
      <c r="D49" s="98"/>
      <c r="E49" s="98"/>
      <c r="F49" s="98"/>
      <c r="G49" s="98"/>
      <c r="H49" s="98"/>
      <c r="I49" s="98"/>
      <c r="J49" s="98"/>
      <c r="K49" s="98"/>
    </row>
    <row r="50" spans="3:11">
      <c r="C50" s="138">
        <v>22.5</v>
      </c>
      <c r="D50" s="98"/>
      <c r="E50" s="98"/>
      <c r="F50" s="98"/>
      <c r="G50" s="98"/>
      <c r="H50" s="98"/>
      <c r="I50" s="98"/>
      <c r="J50" s="98"/>
      <c r="K50" s="98"/>
    </row>
    <row r="51" spans="3:11">
      <c r="C51" s="138">
        <v>23</v>
      </c>
      <c r="D51" s="98"/>
      <c r="E51" s="98"/>
      <c r="F51" s="98"/>
      <c r="G51" s="98"/>
      <c r="H51" s="98"/>
      <c r="I51" s="98"/>
      <c r="J51" s="98"/>
      <c r="K51" s="98"/>
    </row>
    <row r="52" spans="3:11">
      <c r="C52" s="138">
        <v>23.2</v>
      </c>
      <c r="D52" s="98"/>
      <c r="E52" s="98"/>
      <c r="F52" s="98"/>
      <c r="G52" s="98"/>
      <c r="H52" s="98"/>
      <c r="I52" s="98"/>
      <c r="J52" s="98"/>
      <c r="K52" s="98"/>
    </row>
    <row r="53" spans="3:11">
      <c r="C53" s="138">
        <v>23.5</v>
      </c>
      <c r="D53" s="98"/>
      <c r="E53" s="98"/>
      <c r="F53" s="98"/>
      <c r="G53" s="98"/>
      <c r="H53" s="98"/>
      <c r="I53" s="98"/>
      <c r="J53" s="98"/>
      <c r="K53" s="98"/>
    </row>
    <row r="54" spans="3:11">
      <c r="C54" s="138">
        <v>23.6</v>
      </c>
      <c r="D54" s="98"/>
      <c r="E54" s="98"/>
      <c r="F54" s="98"/>
      <c r="G54" s="98"/>
      <c r="H54" s="98"/>
      <c r="I54" s="98"/>
      <c r="J54" s="98"/>
      <c r="K54" s="98"/>
    </row>
    <row r="55" spans="3:11">
      <c r="C55" s="138">
        <v>23.7</v>
      </c>
      <c r="D55" s="98"/>
      <c r="E55" s="98"/>
      <c r="F55" s="98"/>
      <c r="G55" s="98"/>
      <c r="H55" s="98"/>
      <c r="I55" s="98"/>
      <c r="J55" s="98"/>
      <c r="K55" s="98"/>
    </row>
    <row r="56" spans="3:11">
      <c r="C56" s="138">
        <v>23.8</v>
      </c>
      <c r="D56" s="98"/>
      <c r="E56" s="98"/>
      <c r="F56" s="98"/>
      <c r="G56" s="98"/>
      <c r="H56" s="98"/>
      <c r="I56" s="98"/>
      <c r="J56" s="98"/>
      <c r="K56" s="98"/>
    </row>
    <row r="57" spans="3:11">
      <c r="C57" s="138">
        <v>23.9</v>
      </c>
      <c r="D57" s="98"/>
      <c r="E57" s="98"/>
      <c r="F57" s="98"/>
      <c r="G57" s="98"/>
      <c r="H57" s="98"/>
      <c r="I57" s="98"/>
      <c r="J57" s="98"/>
      <c r="K57" s="98"/>
    </row>
    <row r="58" spans="3:11">
      <c r="C58" s="138">
        <v>24</v>
      </c>
      <c r="D58" s="98"/>
      <c r="E58" s="98"/>
      <c r="F58" s="98"/>
      <c r="G58" s="98"/>
      <c r="H58" s="98"/>
      <c r="I58" s="98"/>
      <c r="J58" s="98"/>
      <c r="K58" s="98"/>
    </row>
    <row r="59" spans="3:11">
      <c r="C59" s="138">
        <v>24.2</v>
      </c>
      <c r="D59" s="98"/>
      <c r="E59" s="98"/>
      <c r="F59" s="98"/>
      <c r="G59" s="98"/>
      <c r="H59" s="98"/>
      <c r="I59" s="98"/>
      <c r="J59" s="98"/>
      <c r="K59" s="98"/>
    </row>
    <row r="60" spans="3:11">
      <c r="C60" s="138">
        <v>24.3</v>
      </c>
      <c r="D60" s="98"/>
      <c r="E60" s="98"/>
      <c r="F60" s="98"/>
      <c r="G60" s="98"/>
      <c r="H60" s="98"/>
      <c r="I60" s="98"/>
      <c r="J60" s="98"/>
      <c r="K60" s="98"/>
    </row>
    <row r="61" spans="3:11">
      <c r="C61" s="138">
        <v>24.5</v>
      </c>
      <c r="D61" s="98"/>
      <c r="E61" s="98"/>
      <c r="F61" s="98"/>
      <c r="G61" s="98"/>
      <c r="H61" s="98"/>
      <c r="I61" s="98"/>
      <c r="J61" s="98"/>
      <c r="K61" s="98"/>
    </row>
    <row r="62" spans="3:11">
      <c r="C62" s="138">
        <v>25</v>
      </c>
      <c r="D62" s="98"/>
      <c r="E62" s="98"/>
      <c r="F62" s="98"/>
      <c r="G62" s="98"/>
      <c r="H62" s="98"/>
      <c r="I62" s="98"/>
      <c r="J62" s="98"/>
      <c r="K62" s="98"/>
    </row>
    <row r="63" spans="3:11">
      <c r="C63" s="138">
        <v>25.1</v>
      </c>
      <c r="D63" s="98"/>
      <c r="E63" s="98"/>
      <c r="F63" s="98"/>
      <c r="G63" s="98"/>
      <c r="H63" s="98"/>
      <c r="I63" s="98"/>
      <c r="J63" s="98"/>
      <c r="K63" s="98"/>
    </row>
    <row r="64" spans="3:11">
      <c r="C64" s="138">
        <v>25.4</v>
      </c>
      <c r="D64" s="98"/>
      <c r="E64" s="98"/>
      <c r="F64" s="98"/>
      <c r="G64" s="98"/>
      <c r="H64" s="98"/>
      <c r="I64" s="98"/>
      <c r="J64" s="98"/>
      <c r="K64" s="98"/>
    </row>
    <row r="65" spans="3:11">
      <c r="C65" s="138">
        <v>25.5</v>
      </c>
      <c r="D65" s="98"/>
      <c r="E65" s="98"/>
      <c r="F65" s="98"/>
      <c r="G65" s="98"/>
      <c r="H65" s="98"/>
      <c r="I65" s="98"/>
      <c r="J65" s="98"/>
      <c r="K65" s="98"/>
    </row>
    <row r="66" spans="3:11">
      <c r="C66" s="138">
        <v>25.8</v>
      </c>
      <c r="D66" s="98"/>
      <c r="E66" s="98"/>
      <c r="F66" s="98"/>
      <c r="G66" s="98"/>
      <c r="H66" s="98"/>
      <c r="I66" s="98"/>
      <c r="J66" s="98"/>
      <c r="K66" s="98"/>
    </row>
    <row r="67" spans="3:11">
      <c r="C67" s="138">
        <v>26</v>
      </c>
      <c r="D67" s="98"/>
      <c r="E67" s="98"/>
      <c r="F67" s="98"/>
      <c r="G67" s="98"/>
      <c r="H67" s="98"/>
      <c r="I67" s="98"/>
      <c r="J67" s="98"/>
      <c r="K67" s="98"/>
    </row>
    <row r="68" spans="3:11">
      <c r="C68" s="138">
        <v>26.4</v>
      </c>
      <c r="D68" s="98"/>
      <c r="E68" s="98"/>
      <c r="F68" s="98"/>
      <c r="G68" s="98"/>
      <c r="H68" s="98"/>
      <c r="I68" s="98"/>
      <c r="J68" s="98"/>
      <c r="K68" s="98"/>
    </row>
    <row r="69" spans="3:11">
      <c r="C69" s="138">
        <v>26.5</v>
      </c>
      <c r="D69" s="98"/>
      <c r="E69" s="98"/>
      <c r="F69" s="98"/>
      <c r="G69" s="98"/>
      <c r="H69" s="98"/>
      <c r="I69" s="98"/>
      <c r="J69" s="98"/>
      <c r="K69" s="98"/>
    </row>
    <row r="70" spans="3:11">
      <c r="C70" s="138">
        <v>26.6</v>
      </c>
      <c r="D70" s="98"/>
      <c r="E70" s="98"/>
      <c r="F70" s="98"/>
      <c r="G70" s="98"/>
      <c r="H70" s="98"/>
      <c r="I70" s="98"/>
      <c r="J70" s="98"/>
      <c r="K70" s="98"/>
    </row>
    <row r="71" spans="3:11">
      <c r="C71" s="138">
        <v>26.8</v>
      </c>
      <c r="D71" s="98"/>
      <c r="E71" s="98"/>
      <c r="F71" s="98"/>
      <c r="G71" s="98"/>
      <c r="H71" s="98"/>
      <c r="I71" s="98"/>
      <c r="J71" s="98"/>
      <c r="K71" s="98"/>
    </row>
    <row r="72" spans="3:11">
      <c r="C72" s="138">
        <v>27</v>
      </c>
      <c r="D72" s="98"/>
      <c r="E72" s="98"/>
      <c r="F72" s="98"/>
      <c r="G72" s="98"/>
      <c r="H72" s="98"/>
      <c r="I72" s="98"/>
      <c r="J72" s="98"/>
      <c r="K72" s="98"/>
    </row>
    <row r="73" spans="3:11">
      <c r="C73" s="138">
        <v>27.2</v>
      </c>
      <c r="D73" s="98"/>
      <c r="E73" s="98"/>
      <c r="F73" s="98"/>
      <c r="G73" s="98"/>
      <c r="H73" s="98"/>
      <c r="I73" s="98"/>
      <c r="J73" s="98"/>
      <c r="K73" s="98"/>
    </row>
    <row r="74" spans="3:11">
      <c r="C74" s="138">
        <v>27.4</v>
      </c>
      <c r="D74" s="98"/>
      <c r="E74" s="98"/>
      <c r="F74" s="98"/>
      <c r="G74" s="98"/>
      <c r="H74" s="98"/>
      <c r="I74" s="98"/>
      <c r="J74" s="98"/>
      <c r="K74" s="98"/>
    </row>
    <row r="75" spans="3:11">
      <c r="C75" s="138">
        <v>27.5</v>
      </c>
      <c r="D75" s="98"/>
      <c r="E75" s="98"/>
      <c r="F75" s="98"/>
      <c r="G75" s="98"/>
      <c r="H75" s="98"/>
      <c r="I75" s="98"/>
      <c r="J75" s="98"/>
      <c r="K75" s="98"/>
    </row>
    <row r="76" spans="3:11">
      <c r="C76" s="138">
        <v>27.9</v>
      </c>
      <c r="D76" s="98"/>
      <c r="E76" s="98"/>
      <c r="F76" s="98"/>
      <c r="G76" s="98"/>
      <c r="H76" s="98"/>
      <c r="I76" s="98"/>
      <c r="J76" s="98"/>
      <c r="K76" s="98"/>
    </row>
    <row r="77" spans="3:11">
      <c r="C77" s="138">
        <v>28</v>
      </c>
      <c r="D77" s="98"/>
      <c r="E77" s="98"/>
      <c r="F77" s="98"/>
      <c r="G77" s="98"/>
      <c r="H77" s="98"/>
      <c r="I77" s="98"/>
      <c r="J77" s="98"/>
      <c r="K77" s="98"/>
    </row>
    <row r="78" spans="3:11">
      <c r="C78" s="138">
        <v>28.1</v>
      </c>
      <c r="D78" s="98"/>
      <c r="E78" s="98"/>
      <c r="F78" s="98"/>
      <c r="G78" s="98"/>
      <c r="H78" s="98"/>
      <c r="I78" s="98"/>
      <c r="J78" s="98"/>
      <c r="K78" s="98"/>
    </row>
    <row r="79" spans="3:11">
      <c r="C79" s="138">
        <v>28.4</v>
      </c>
      <c r="D79" s="98"/>
      <c r="E79" s="98"/>
      <c r="F79" s="98"/>
      <c r="G79" s="98"/>
      <c r="H79" s="98"/>
      <c r="I79" s="98"/>
      <c r="J79" s="98"/>
      <c r="K79" s="98"/>
    </row>
    <row r="80" spans="3:11">
      <c r="C80" s="138">
        <v>28.8</v>
      </c>
      <c r="D80" s="98"/>
      <c r="E80" s="98"/>
      <c r="F80" s="98"/>
      <c r="G80" s="98"/>
      <c r="H80" s="98"/>
      <c r="I80" s="98"/>
      <c r="J80" s="98"/>
      <c r="K80" s="98"/>
    </row>
    <row r="81" spans="3:11">
      <c r="C81" s="138">
        <v>29</v>
      </c>
      <c r="D81" s="98"/>
      <c r="E81" s="98"/>
      <c r="F81" s="98"/>
      <c r="G81" s="98"/>
      <c r="H81" s="98"/>
      <c r="I81" s="98"/>
      <c r="J81" s="98"/>
      <c r="K81" s="98"/>
    </row>
    <row r="82" spans="3:11">
      <c r="C82" s="138">
        <v>29.5</v>
      </c>
      <c r="D82" s="98"/>
      <c r="E82" s="98"/>
      <c r="F82" s="98"/>
      <c r="G82" s="98"/>
      <c r="H82" s="98"/>
      <c r="I82" s="98"/>
      <c r="J82" s="98"/>
      <c r="K82" s="98"/>
    </row>
    <row r="83" spans="3:11">
      <c r="C83" s="138">
        <v>29.8</v>
      </c>
      <c r="D83" s="98"/>
      <c r="E83" s="98"/>
      <c r="F83" s="98"/>
      <c r="G83" s="98"/>
      <c r="H83" s="98"/>
      <c r="I83" s="98"/>
      <c r="J83" s="98"/>
      <c r="K83" s="98"/>
    </row>
    <row r="84" spans="3:11">
      <c r="C84" s="138">
        <v>29.9</v>
      </c>
      <c r="D84" s="98"/>
      <c r="E84" s="98"/>
      <c r="F84" s="98"/>
      <c r="G84" s="98"/>
      <c r="H84" s="98"/>
      <c r="I84" s="98"/>
      <c r="J84" s="98"/>
      <c r="K84" s="98"/>
    </row>
    <row r="85" spans="3:11">
      <c r="C85" s="138">
        <v>30</v>
      </c>
      <c r="D85" s="98"/>
      <c r="E85" s="98"/>
      <c r="F85" s="98"/>
      <c r="G85" s="98"/>
      <c r="H85" s="98"/>
      <c r="I85" s="98"/>
      <c r="J85" s="98"/>
      <c r="K85" s="98"/>
    </row>
    <row r="86" spans="3:11">
      <c r="C86" s="138">
        <v>30.5</v>
      </c>
      <c r="D86" s="98"/>
      <c r="E86" s="98"/>
      <c r="F86" s="98"/>
      <c r="G86" s="98"/>
      <c r="H86" s="98"/>
      <c r="I86" s="98"/>
      <c r="J86" s="98"/>
      <c r="K86" s="98"/>
    </row>
    <row r="87" spans="3:11">
      <c r="C87" s="138">
        <v>30.7</v>
      </c>
      <c r="D87" s="98"/>
      <c r="E87" s="98"/>
      <c r="F87" s="98"/>
      <c r="G87" s="98"/>
      <c r="H87" s="98"/>
      <c r="I87" s="98"/>
      <c r="J87" s="98"/>
      <c r="K87" s="98"/>
    </row>
    <row r="88" spans="3:11">
      <c r="C88" s="138">
        <v>30.9</v>
      </c>
      <c r="D88" s="98"/>
      <c r="E88" s="98"/>
      <c r="F88" s="98"/>
      <c r="G88" s="98"/>
      <c r="H88" s="98"/>
      <c r="I88" s="98"/>
      <c r="J88" s="98"/>
      <c r="K88" s="98"/>
    </row>
    <row r="89" spans="3:11">
      <c r="C89" s="138">
        <v>31</v>
      </c>
      <c r="D89" s="98"/>
      <c r="E89" s="98"/>
      <c r="F89" s="98"/>
      <c r="G89" s="98"/>
      <c r="H89" s="98"/>
      <c r="I89" s="98"/>
      <c r="J89" s="98"/>
      <c r="K89" s="98"/>
    </row>
    <row r="90" spans="3:11">
      <c r="C90" s="138">
        <v>31.3</v>
      </c>
      <c r="D90" s="98"/>
      <c r="E90" s="98"/>
      <c r="F90" s="98"/>
      <c r="G90" s="98"/>
      <c r="H90" s="98"/>
      <c r="I90" s="98"/>
      <c r="J90" s="98"/>
      <c r="K90" s="98"/>
    </row>
    <row r="91" spans="3:11">
      <c r="C91" s="138">
        <v>31.5</v>
      </c>
      <c r="D91" s="98"/>
      <c r="E91" s="98"/>
      <c r="F91" s="98"/>
      <c r="G91" s="98"/>
      <c r="H91" s="98"/>
      <c r="I91" s="98"/>
      <c r="J91" s="98"/>
      <c r="K91" s="98"/>
    </row>
    <row r="92" spans="3:11">
      <c r="C92" s="138">
        <v>31.6</v>
      </c>
      <c r="D92" s="98"/>
      <c r="E92" s="98"/>
      <c r="F92" s="98"/>
      <c r="G92" s="98"/>
      <c r="H92" s="98"/>
      <c r="I92" s="98"/>
      <c r="J92" s="98"/>
      <c r="K92" s="98"/>
    </row>
    <row r="93" spans="3:11">
      <c r="C93" s="138">
        <v>31.8</v>
      </c>
      <c r="D93" s="98"/>
      <c r="E93" s="98"/>
      <c r="F93" s="98"/>
      <c r="G93" s="98"/>
      <c r="H93" s="98"/>
      <c r="I93" s="98"/>
      <c r="J93" s="98"/>
      <c r="K93" s="98"/>
    </row>
    <row r="94" spans="3:11">
      <c r="C94" s="138">
        <v>31.9</v>
      </c>
      <c r="D94" s="98"/>
      <c r="E94" s="98"/>
      <c r="F94" s="98"/>
      <c r="G94" s="98"/>
      <c r="H94" s="98"/>
      <c r="I94" s="98"/>
      <c r="J94" s="98"/>
      <c r="K94" s="98"/>
    </row>
    <row r="95" spans="3:11">
      <c r="C95" s="138">
        <v>32</v>
      </c>
      <c r="D95" s="98"/>
      <c r="E95" s="98"/>
      <c r="F95" s="98"/>
      <c r="G95" s="98"/>
      <c r="H95" s="98"/>
      <c r="I95" s="98"/>
      <c r="J95" s="98"/>
      <c r="K95" s="98"/>
    </row>
    <row r="96" spans="3:11">
      <c r="C96" s="138">
        <v>32.1</v>
      </c>
      <c r="D96" s="98"/>
      <c r="E96" s="98"/>
      <c r="F96" s="98"/>
      <c r="G96" s="98"/>
      <c r="H96" s="98"/>
      <c r="I96" s="98"/>
      <c r="J96" s="98"/>
      <c r="K96" s="98"/>
    </row>
    <row r="97" spans="3:11">
      <c r="C97" s="138">
        <v>32.200000000000003</v>
      </c>
      <c r="D97" s="98"/>
      <c r="E97" s="98"/>
      <c r="F97" s="98"/>
      <c r="G97" s="98"/>
      <c r="H97" s="98"/>
      <c r="I97" s="98"/>
      <c r="J97" s="98"/>
      <c r="K97" s="98"/>
    </row>
    <row r="98" spans="3:11">
      <c r="C98" s="138">
        <v>32.299999999999997</v>
      </c>
      <c r="D98" s="98"/>
      <c r="E98" s="98"/>
      <c r="F98" s="98"/>
      <c r="G98" s="98"/>
      <c r="H98" s="98"/>
      <c r="I98" s="98"/>
      <c r="J98" s="98"/>
      <c r="K98" s="98"/>
    </row>
    <row r="99" spans="3:11">
      <c r="C99" s="138">
        <v>32.4</v>
      </c>
      <c r="D99" s="98"/>
      <c r="E99" s="98"/>
      <c r="F99" s="98"/>
      <c r="G99" s="98"/>
      <c r="H99" s="98"/>
      <c r="I99" s="98"/>
      <c r="J99" s="98"/>
      <c r="K99" s="98"/>
    </row>
    <row r="100" spans="3:11">
      <c r="C100" s="138">
        <v>32.700000000000003</v>
      </c>
      <c r="D100" s="98"/>
      <c r="E100" s="98"/>
      <c r="F100" s="98"/>
      <c r="G100" s="98"/>
      <c r="H100" s="98"/>
      <c r="I100" s="98"/>
      <c r="J100" s="98"/>
      <c r="K100" s="98"/>
    </row>
    <row r="101" spans="3:11">
      <c r="C101" s="138">
        <v>32.799999999999997</v>
      </c>
      <c r="D101" s="98"/>
      <c r="E101" s="98"/>
      <c r="F101" s="98"/>
      <c r="G101" s="98"/>
      <c r="H101" s="98"/>
      <c r="I101" s="98"/>
      <c r="J101" s="98"/>
      <c r="K101" s="98"/>
    </row>
    <row r="102" spans="3:11">
      <c r="C102" s="138">
        <v>32.9</v>
      </c>
      <c r="D102" s="98"/>
      <c r="E102" s="98"/>
      <c r="F102" s="98"/>
      <c r="G102" s="98"/>
      <c r="H102" s="98"/>
      <c r="I102" s="98"/>
      <c r="J102" s="98"/>
      <c r="K102" s="98"/>
    </row>
    <row r="103" spans="3:11">
      <c r="C103" s="138">
        <v>33</v>
      </c>
      <c r="D103" s="98"/>
      <c r="E103" s="98"/>
      <c r="F103" s="98"/>
      <c r="G103" s="98"/>
      <c r="H103" s="98"/>
      <c r="I103" s="98"/>
      <c r="J103" s="98"/>
      <c r="K103" s="98"/>
    </row>
    <row r="104" spans="3:11">
      <c r="C104" s="138">
        <v>33.5</v>
      </c>
      <c r="D104" s="98"/>
      <c r="E104" s="98"/>
      <c r="F104" s="98"/>
      <c r="G104" s="98"/>
      <c r="H104" s="98"/>
      <c r="I104" s="98"/>
      <c r="J104" s="98"/>
      <c r="K104" s="98"/>
    </row>
    <row r="105" spans="3:11">
      <c r="C105" s="138">
        <v>33.700000000000003</v>
      </c>
      <c r="D105" s="98"/>
      <c r="E105" s="98"/>
      <c r="F105" s="98"/>
      <c r="G105" s="98"/>
      <c r="H105" s="98"/>
      <c r="I105" s="98"/>
      <c r="J105" s="98"/>
      <c r="K105" s="98"/>
    </row>
    <row r="106" spans="3:11">
      <c r="C106" s="138">
        <v>33.799999999999997</v>
      </c>
      <c r="D106" s="98"/>
      <c r="E106" s="98"/>
      <c r="F106" s="98"/>
      <c r="G106" s="98"/>
      <c r="H106" s="98"/>
      <c r="I106" s="98"/>
      <c r="J106" s="98"/>
      <c r="K106" s="98"/>
    </row>
    <row r="107" spans="3:11">
      <c r="C107" s="138">
        <v>34</v>
      </c>
      <c r="D107" s="98"/>
      <c r="E107" s="98"/>
      <c r="F107" s="98"/>
      <c r="G107" s="98"/>
      <c r="H107" s="98"/>
      <c r="I107" s="98"/>
      <c r="J107" s="98"/>
      <c r="K107" s="98"/>
    </row>
    <row r="108" spans="3:11">
      <c r="C108" s="138">
        <v>34.1</v>
      </c>
      <c r="D108" s="98"/>
      <c r="E108" s="98"/>
      <c r="F108" s="98"/>
      <c r="G108" s="98"/>
      <c r="H108" s="98"/>
      <c r="I108" s="98"/>
      <c r="J108" s="98"/>
      <c r="K108" s="98"/>
    </row>
    <row r="109" spans="3:11">
      <c r="C109" s="138">
        <v>34.200000000000003</v>
      </c>
      <c r="D109" s="98"/>
      <c r="E109" s="98"/>
      <c r="F109" s="98"/>
      <c r="G109" s="98"/>
      <c r="H109" s="98"/>
      <c r="I109" s="98"/>
      <c r="J109" s="98"/>
      <c r="K109" s="98"/>
    </row>
    <row r="110" spans="3:11">
      <c r="C110" s="138">
        <v>34.299999999999997</v>
      </c>
      <c r="D110" s="98"/>
      <c r="E110" s="98"/>
      <c r="F110" s="98"/>
      <c r="G110" s="98"/>
      <c r="H110" s="98"/>
      <c r="I110" s="98"/>
      <c r="J110" s="98"/>
      <c r="K110" s="98"/>
    </row>
    <row r="111" spans="3:11">
      <c r="C111" s="138">
        <v>34.4</v>
      </c>
      <c r="D111" s="98"/>
      <c r="E111" s="98"/>
      <c r="F111" s="98"/>
      <c r="G111" s="98"/>
      <c r="H111" s="98"/>
      <c r="I111" s="98"/>
      <c r="J111" s="98"/>
      <c r="K111" s="98"/>
    </row>
    <row r="112" spans="3:11">
      <c r="C112" s="138">
        <v>34.5</v>
      </c>
      <c r="D112" s="98"/>
      <c r="E112" s="98"/>
      <c r="F112" s="98"/>
      <c r="G112" s="98"/>
      <c r="H112" s="98"/>
      <c r="I112" s="98"/>
      <c r="J112" s="98"/>
      <c r="K112" s="98"/>
    </row>
    <row r="113" spans="3:11">
      <c r="C113" s="138">
        <v>34.700000000000003</v>
      </c>
      <c r="D113" s="98"/>
      <c r="E113" s="98"/>
      <c r="F113" s="98"/>
      <c r="G113" s="98"/>
      <c r="H113" s="98"/>
      <c r="I113" s="98"/>
      <c r="J113" s="98"/>
      <c r="K113" s="98"/>
    </row>
    <row r="114" spans="3:11">
      <c r="C114" s="138">
        <v>35</v>
      </c>
      <c r="D114" s="98"/>
      <c r="E114" s="98"/>
      <c r="F114" s="98"/>
      <c r="G114" s="98"/>
      <c r="H114" s="98"/>
      <c r="I114" s="98"/>
      <c r="J114" s="98"/>
      <c r="K114" s="98"/>
    </row>
    <row r="115" spans="3:11">
      <c r="C115" s="138">
        <v>35.1</v>
      </c>
      <c r="D115" s="98"/>
      <c r="E115" s="98"/>
      <c r="F115" s="98"/>
      <c r="G115" s="98"/>
      <c r="H115" s="98"/>
      <c r="I115" s="98"/>
      <c r="J115" s="98"/>
      <c r="K115" s="98"/>
    </row>
    <row r="116" spans="3:11">
      <c r="C116" s="138">
        <v>35.700000000000003</v>
      </c>
      <c r="D116" s="98"/>
      <c r="E116" s="98"/>
      <c r="F116" s="98"/>
      <c r="G116" s="98"/>
      <c r="H116" s="98"/>
      <c r="I116" s="98"/>
      <c r="J116" s="98"/>
      <c r="K116" s="98"/>
    </row>
    <row r="117" spans="3:11">
      <c r="C117" s="138">
        <v>36</v>
      </c>
      <c r="D117" s="98"/>
      <c r="E117" s="98"/>
      <c r="F117" s="98"/>
      <c r="G117" s="98"/>
      <c r="H117" s="98"/>
      <c r="I117" s="98"/>
      <c r="J117" s="98"/>
      <c r="K117" s="98"/>
    </row>
    <row r="118" spans="3:11">
      <c r="C118" s="138">
        <v>36.1</v>
      </c>
      <c r="D118" s="98"/>
      <c r="E118" s="98"/>
      <c r="F118" s="98"/>
      <c r="G118" s="98"/>
      <c r="H118" s="98"/>
      <c r="I118" s="98"/>
      <c r="J118" s="98"/>
      <c r="K118" s="98"/>
    </row>
    <row r="119" spans="3:11">
      <c r="C119" s="138">
        <v>36.4</v>
      </c>
      <c r="D119" s="98"/>
      <c r="E119" s="98"/>
      <c r="F119" s="98"/>
      <c r="G119" s="98"/>
      <c r="H119" s="98"/>
      <c r="I119" s="98"/>
      <c r="J119" s="98"/>
      <c r="K119" s="98"/>
    </row>
    <row r="120" spans="3:11">
      <c r="C120" s="138">
        <v>37</v>
      </c>
      <c r="D120" s="98"/>
      <c r="E120" s="98"/>
      <c r="F120" s="98"/>
      <c r="G120" s="98"/>
      <c r="H120" s="98"/>
      <c r="I120" s="98"/>
      <c r="J120" s="98"/>
      <c r="K120" s="98"/>
    </row>
    <row r="121" spans="3:11">
      <c r="C121" s="138">
        <v>37.200000000000003</v>
      </c>
      <c r="D121" s="98"/>
      <c r="E121" s="98"/>
      <c r="F121" s="98"/>
      <c r="G121" s="98"/>
      <c r="H121" s="98"/>
      <c r="I121" s="98"/>
      <c r="J121" s="98"/>
      <c r="K121" s="98"/>
    </row>
    <row r="122" spans="3:11">
      <c r="C122" s="138">
        <v>37.299999999999997</v>
      </c>
      <c r="D122" s="98"/>
      <c r="E122" s="98"/>
      <c r="F122" s="98"/>
      <c r="G122" s="98"/>
      <c r="H122" s="98"/>
      <c r="I122" s="98"/>
      <c r="J122" s="98"/>
      <c r="K122" s="98"/>
    </row>
    <row r="123" spans="3:11">
      <c r="C123" s="138">
        <v>37.700000000000003</v>
      </c>
      <c r="D123" s="98"/>
      <c r="E123" s="98"/>
      <c r="F123" s="98"/>
      <c r="G123" s="98"/>
      <c r="H123" s="98"/>
      <c r="I123" s="98"/>
      <c r="J123" s="98"/>
      <c r="K123" s="98"/>
    </row>
    <row r="124" spans="3:11">
      <c r="C124" s="138">
        <v>38</v>
      </c>
      <c r="D124" s="98"/>
      <c r="E124" s="98"/>
      <c r="F124" s="98"/>
      <c r="G124" s="98"/>
      <c r="H124" s="98"/>
      <c r="I124" s="98"/>
      <c r="J124" s="98"/>
      <c r="K124" s="98"/>
    </row>
    <row r="125" spans="3:11">
      <c r="C125" s="138">
        <v>38.1</v>
      </c>
      <c r="D125" s="98"/>
      <c r="E125" s="98"/>
      <c r="F125" s="98"/>
      <c r="G125" s="98"/>
      <c r="H125" s="98"/>
      <c r="I125" s="98"/>
      <c r="J125" s="98"/>
      <c r="K125" s="98"/>
    </row>
    <row r="126" spans="3:11">
      <c r="C126" s="138">
        <v>39</v>
      </c>
      <c r="D126" s="98"/>
      <c r="E126" s="98"/>
      <c r="F126" s="98"/>
      <c r="G126" s="98"/>
      <c r="H126" s="98"/>
      <c r="I126" s="98"/>
      <c r="J126" s="98"/>
      <c r="K126" s="98"/>
    </row>
    <row r="127" spans="3:11">
      <c r="C127" s="138">
        <v>39.1</v>
      </c>
      <c r="D127" s="98"/>
      <c r="E127" s="98"/>
      <c r="F127" s="98"/>
      <c r="G127" s="98"/>
      <c r="H127" s="98"/>
      <c r="I127" s="98"/>
      <c r="J127" s="98"/>
      <c r="K127" s="98"/>
    </row>
    <row r="128" spans="3:11">
      <c r="C128" s="138">
        <v>39.4</v>
      </c>
      <c r="D128" s="98"/>
      <c r="E128" s="98"/>
      <c r="F128" s="98"/>
      <c r="G128" s="98"/>
      <c r="H128" s="98"/>
      <c r="I128" s="98"/>
      <c r="J128" s="98"/>
      <c r="K128" s="98"/>
    </row>
    <row r="129" spans="3:11">
      <c r="C129" s="138">
        <v>40.799999999999997</v>
      </c>
      <c r="D129" s="98"/>
      <c r="E129" s="98"/>
      <c r="F129" s="98"/>
      <c r="G129" s="98"/>
      <c r="H129" s="98"/>
      <c r="I129" s="98"/>
      <c r="J129" s="98"/>
      <c r="K129" s="98"/>
    </row>
    <row r="130" spans="3:11">
      <c r="C130" s="138">
        <v>40.9</v>
      </c>
      <c r="D130" s="98"/>
      <c r="E130" s="98"/>
      <c r="F130" s="98"/>
      <c r="G130" s="98"/>
      <c r="H130" s="98"/>
      <c r="I130" s="98"/>
      <c r="J130" s="98"/>
      <c r="K130" s="98"/>
    </row>
    <row r="131" spans="3:11">
      <c r="C131" s="138">
        <v>41.5</v>
      </c>
      <c r="D131" s="98"/>
      <c r="E131" s="98"/>
      <c r="F131" s="98"/>
      <c r="G131" s="98"/>
      <c r="H131" s="98"/>
      <c r="I131" s="98"/>
      <c r="J131" s="98"/>
      <c r="K131" s="98"/>
    </row>
    <row r="132" spans="3:11">
      <c r="C132" s="138">
        <v>43.1</v>
      </c>
      <c r="D132" s="98"/>
      <c r="E132" s="98"/>
      <c r="F132" s="98"/>
      <c r="G132" s="98"/>
      <c r="H132" s="98"/>
      <c r="I132" s="98"/>
      <c r="J132" s="98"/>
      <c r="K132" s="98"/>
    </row>
    <row r="133" spans="3:11">
      <c r="C133" s="138">
        <v>43.4</v>
      </c>
      <c r="D133" s="98"/>
      <c r="E133" s="98"/>
      <c r="F133" s="98"/>
      <c r="G133" s="98"/>
      <c r="H133" s="98"/>
      <c r="I133" s="98"/>
      <c r="J133" s="98"/>
      <c r="K133" s="98"/>
    </row>
    <row r="134" spans="3:11">
      <c r="C134" s="138">
        <v>44</v>
      </c>
      <c r="D134" s="98"/>
      <c r="E134" s="98"/>
      <c r="F134" s="98"/>
      <c r="G134" s="98"/>
      <c r="H134" s="98"/>
      <c r="I134" s="98"/>
      <c r="J134" s="98"/>
      <c r="K134" s="98"/>
    </row>
    <row r="135" spans="3:11">
      <c r="C135" s="138">
        <v>44.3</v>
      </c>
      <c r="D135" s="98"/>
      <c r="E135" s="98"/>
      <c r="F135" s="98"/>
      <c r="G135" s="98"/>
      <c r="H135" s="98"/>
      <c r="I135" s="98"/>
      <c r="J135" s="98"/>
      <c r="K135" s="98"/>
    </row>
    <row r="136" spans="3:11">
      <c r="C136" s="138">
        <v>44.6</v>
      </c>
      <c r="D136" s="98"/>
      <c r="E136" s="98"/>
      <c r="F136" s="98"/>
      <c r="G136" s="98"/>
      <c r="H136" s="98"/>
      <c r="I136" s="98"/>
      <c r="J136" s="98"/>
      <c r="K136" s="98"/>
    </row>
    <row r="137" spans="3:11">
      <c r="C137" s="138">
        <v>46.6</v>
      </c>
      <c r="D137" s="98"/>
      <c r="E137" s="98"/>
      <c r="F137" s="98"/>
      <c r="G137" s="98"/>
      <c r="H137" s="98"/>
      <c r="I137" s="98"/>
      <c r="J137" s="98"/>
      <c r="K137" s="98"/>
    </row>
    <row r="138" spans="3:11">
      <c r="C138" s="138" t="s">
        <v>377</v>
      </c>
      <c r="D138" s="98"/>
      <c r="E138" s="98"/>
      <c r="F138" s="98"/>
      <c r="G138" s="98"/>
      <c r="H138" s="98"/>
      <c r="I138" s="98"/>
      <c r="J138" s="98"/>
      <c r="K138" s="98"/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5" t="s">
        <v>23</v>
      </c>
      <c r="P2" s="92"/>
    </row>
    <row r="3" spans="1:16" ht="4.95" customHeight="1">
      <c r="B3" s="1"/>
      <c r="C3" s="4"/>
      <c r="P3" s="91"/>
    </row>
    <row r="4" spans="1:16" ht="19.95" customHeight="1">
      <c r="B4" s="1"/>
      <c r="C4" s="4"/>
      <c r="P4" s="93"/>
    </row>
    <row r="5" spans="1:16" ht="4.95" customHeight="1">
      <c r="B5" s="1"/>
      <c r="C5" s="4"/>
    </row>
    <row r="6" spans="1:16" ht="34.950000000000003" customHeight="1">
      <c r="B6" s="118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B8" sqref="B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5" t="s">
        <v>30</v>
      </c>
      <c r="D2" s="96"/>
      <c r="P2" s="92"/>
    </row>
    <row r="3" spans="2:16" ht="4.95" customHeight="1">
      <c r="B3" s="40"/>
      <c r="C3" s="94"/>
      <c r="D3" s="95"/>
      <c r="P3" s="91"/>
    </row>
    <row r="4" spans="2:16" ht="19.95" customHeight="1">
      <c r="B4" s="40"/>
      <c r="C4" s="94"/>
      <c r="D4" s="95"/>
      <c r="P4" s="93"/>
    </row>
    <row r="5" spans="2:16" ht="4.95" customHeight="1">
      <c r="B5" s="1"/>
      <c r="C5" s="4"/>
    </row>
    <row r="6" spans="2:16" s="5" customFormat="1" ht="30" customHeight="1">
      <c r="B6" s="118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47</vt:i4>
      </vt:variant>
    </vt:vector>
  </HeadingPairs>
  <TitlesOfParts>
    <vt:vector size="53" baseType="lpstr">
      <vt:lpstr>Overview</vt:lpstr>
      <vt:lpstr>Field Analysis</vt:lpstr>
      <vt:lpstr>Blanks</vt:lpstr>
      <vt:lpstr>Pivot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Blanks!DefaultWarn</vt:lpstr>
      <vt:lpstr>Pivot!DefaultWarn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Blanks!Theme</vt:lpstr>
      <vt:lpstr>MultiplePlots!Theme</vt:lpstr>
      <vt:lpstr>Overview!Theme</vt:lpstr>
      <vt:lpstr>Pivot!Theme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xleda Template</dc:title>
  <dc:creator>Design.In.Data@outlook.com</dc:creator>
  <cp:lastModifiedBy>Michael Rivers</cp:lastModifiedBy>
  <dcterms:created xsi:type="dcterms:W3CDTF">2015-01-25T11:31:25Z</dcterms:created>
  <dcterms:modified xsi:type="dcterms:W3CDTF">2026-05-25T06:54:36Z</dcterms:modified>
</cp:coreProperties>
</file>