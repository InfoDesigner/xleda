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2AEF5F1D-5881-4D9A-9F2F-D0B53C322F8E}" xr6:coauthVersionLast="47" xr6:coauthVersionMax="47" xr10:uidLastSave="{00000000-0000-0000-0000-000000000000}"/>
  <bookViews>
    <workbookView xWindow="26700" yWindow="3432" windowWidth="17280" windowHeight="8880" tabRatio="735" firstSheet="1" activeTab="1" xr2:uid="{040F3586-419E-4585-8ACE-6588AD7C95BD}"/>
  </bookViews>
  <sheets>
    <sheet name="SinglePlot" sheetId="30" state="hidden" r:id="rId1"/>
    <sheet name="Overview" sheetId="27" r:id="rId2"/>
    <sheet name="Liver Disorders" sheetId="25" r:id="rId3"/>
  </sheets>
  <functionGroups builtInGroupCount="19"/>
  <definedNames>
    <definedName name="Back">Overview!$D$58</definedName>
    <definedName name="Compiled_Lists" localSheetId="2">'Liver Disorders'!$C$71:$C$80</definedName>
    <definedName name="Composition" localSheetId="2">'Liver Disorders'!$C$25:$C$35</definedName>
    <definedName name="CompositionTable" localSheetId="2">'Liver Disorders'!$D$34</definedName>
    <definedName name="DarkHeader" localSheetId="2">'Liver Disorders'!$D$81</definedName>
    <definedName name="Data_Description" localSheetId="2">'Liver Disorders'!$C$9:$C$20</definedName>
    <definedName name="Dataframes">Overview!$C$58:$C$60</definedName>
    <definedName name="Debug" localSheetId="1">Overview!$D$9:$E$54</definedName>
    <definedName name="DebugToggle" localSheetId="1">Overview!$B$6</definedName>
    <definedName name="Definitions" localSheetId="2">'Liver Disorders'!$D$17:$J$17</definedName>
    <definedName name="Description" localSheetId="2">'Liver Disorders'!$D$9</definedName>
    <definedName name="Dimensions" localSheetId="2">'Liver Disorders'!$D$11</definedName>
    <definedName name="Field_Analysis" localSheetId="2">'Liver Disorders'!$D$22:$D$80</definedName>
    <definedName name="Field_Lists" localSheetId="2">'Liver Disorders'!$C$60:$C$68</definedName>
    <definedName name="Field_Overview">Overview!$E$65:$E$72</definedName>
    <definedName name="FieldList1" localSheetId="2">'Liver Disorders'!$D$60:$J$60</definedName>
    <definedName name="FieldList2" localSheetId="2">'Liver Disorders'!$D$61:$J$61</definedName>
    <definedName name="FieldList3" localSheetId="2">'Liver Disorders'!$D$62:$J$62</definedName>
    <definedName name="FieldList4" localSheetId="2">'Liver Disorders'!$D$63:$J$63</definedName>
    <definedName name="FieldList5" localSheetId="2">'Liver Disorders'!$D$64:$J$64</definedName>
    <definedName name="FieldList6" localSheetId="2">'Liver Disorders'!$D$65:$J$65</definedName>
    <definedName name="FieldList7" localSheetId="2">'Liver Disorders'!$D$66:$J$66</definedName>
    <definedName name="FieldList8" localSheetId="2">'Liver Disorders'!$D$67:$J$67</definedName>
    <definedName name="FieldLists" localSheetId="2">'Liver Disorders'!$C$60:$J$67</definedName>
    <definedName name="FieldRange" localSheetId="2">'Liver Disorders'!$D$81:$J$81</definedName>
    <definedName name="Fields">Overview!$C$65:$C$73</definedName>
    <definedName name="FormatRange" localSheetId="2">'Liver Disorders'!$F:$F</definedName>
    <definedName name="Headers" localSheetId="2">'Liver Disorders'!$D$21:$J$21</definedName>
    <definedName name="Headers_Start" localSheetId="2">'Liver Disorders'!$D$21</definedName>
    <definedName name="Histogram" localSheetId="2">'Liver Disorders'!$D$44</definedName>
    <definedName name="LightHeader" localSheetId="2">'Liver Disorders'!$C$81</definedName>
    <definedName name="Name" localSheetId="2">'Liver Disorders'!$C$5</definedName>
    <definedName name="Name" localSheetId="1">Overview!$C$4</definedName>
    <definedName name="Name" localSheetId="0">SinglePlot!$C$4</definedName>
    <definedName name="Notes" localSheetId="2">'Liver Disorders'!$D$19:$J$19</definedName>
    <definedName name="Percentiles" localSheetId="2">'Liver Disorders'!$C$48:$C$57</definedName>
    <definedName name="SerializedLists" localSheetId="2">'Liver Disorders'!$D$71:$D$80</definedName>
    <definedName name="SinglePlot" localSheetId="0">SinglePlot!$C$10</definedName>
    <definedName name="Summary_Stats" localSheetId="2">'Liver Disorders'!$C$38:$C$45</definedName>
    <definedName name="Theme" localSheetId="2">'Liver Disorders'!$B$21:$J$21</definedName>
    <definedName name="Theme" localSheetId="1">Overview!$E$65:$AD$65</definedName>
    <definedName name="Theme" localSheetId="0">SinglePlot!$B$8:$P$8</definedName>
    <definedName name="Toggles" localSheetId="2">'Liver Disorders'!$B$7,'Liver Disorders'!$B$23,'Liver Disorders'!$B$36,'Liver Disorders'!$B$46,'Liver Disorders'!$B$58,'Liver Disorders'!$B$69</definedName>
    <definedName name="TopToggle" localSheetId="2">'Liver Disorders'!$B$5</definedName>
    <definedName name="Warning" localSheetId="2">'Liver Disorders'!$D$1</definedName>
  </definedNames>
  <calcPr calcId="191029"/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C59" i="27" l="1"/>
  <c r="D79" i="25" a="1"/>
  <c r="D79" i="25" s="1"/>
  <c r="D78" i="25" a="1"/>
  <c r="D78" i="25" s="1"/>
  <c r="D77" i="25" a="1"/>
  <c r="D77" i="25" s="1"/>
  <c r="D76" i="25" a="1"/>
  <c r="D76" i="25" s="1"/>
  <c r="D75" i="25" a="1"/>
  <c r="D75" i="25" s="1"/>
  <c r="D74" i="25" a="1"/>
  <c r="D74" i="25" s="1"/>
  <c r="D73" i="25" a="1"/>
  <c r="D73" i="25" s="1"/>
  <c r="D72" i="25" a="1"/>
  <c r="D72" i="25" s="1"/>
  <c r="D71" i="25" a="1"/>
  <c r="D71" i="25" s="1"/>
  <c r="G72" i="27"/>
  <c r="G66" i="27"/>
  <c r="G67" i="27"/>
  <c r="G68" i="27"/>
  <c r="G69" i="27"/>
  <c r="G70" i="27"/>
  <c r="G71" i="27"/>
  <c r="F66" i="27"/>
  <c r="F72" i="27"/>
  <c r="F67" i="27"/>
  <c r="F68" i="27"/>
  <c r="F69" i="27"/>
  <c r="F70" i="27"/>
  <c r="F71" i="27"/>
  <c r="C69" i="27"/>
  <c r="C70" i="27"/>
  <c r="C67" i="27"/>
  <c r="C68" i="27"/>
  <c r="C71" i="27"/>
  <c r="C72" i="27"/>
  <c r="C66" i="27"/>
  <c r="E59" i="27"/>
  <c r="I59" i="27" l="1"/>
  <c r="C79" i="25"/>
  <c r="B3" i="25"/>
  <c r="C78" i="25" l="1"/>
  <c r="C77" i="25"/>
  <c r="C76" i="25"/>
  <c r="C75" i="25"/>
  <c r="C74" i="25"/>
  <c r="C73" i="25"/>
  <c r="C72" i="25"/>
  <c r="C71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<sst xmlns="http://schemas.openxmlformats.org/spreadsheetml/2006/main" count="213" uniqueCount="128">
  <si>
    <t>Warning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</si>
  <si>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</si>
  <si>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</si>
  <si>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</si>
  <si>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</si>
  <si>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</si>
  <si>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</si>
  <si>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</si>
  <si>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</si>
  <si>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</si>
  <si>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</si>
  <si>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</si>
  <si>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</si>
  <si>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</si>
  <si>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</si>
  <si>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</si>
  <si>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</si>
  <si>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</si>
  <si>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</si>
  <si>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</si>
  <si>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</si>
  <si>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</si>
  <si>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</si>
  <si>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</si>
  <si>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</si>
  <si>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</si>
  <si>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</si>
  <si>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</si>
  <si>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</si>
  <si>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</si>
  <si>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</si>
  <si>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</si>
  <si>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</si>
  <si>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</si>
  <si>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</si>
  <si>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</si>
  <si>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</si>
  <si>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</si>
  <si>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</si>
  <si>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</si>
  <si>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</si>
  <si>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</si>
  <si>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</si>
  <si>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</si>
  <si>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</si>
  <si>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</si>
  <si>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</si>
  <si>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Note</t>
  </si>
  <si>
    <t>Columns</t>
  </si>
  <si>
    <t>Distinct Record %</t>
  </si>
  <si>
    <t>Missing Values %</t>
  </si>
  <si>
    <t>Dataset Description</t>
  </si>
  <si>
    <t>Environment Details</t>
  </si>
  <si>
    <t>Configuration Details</t>
  </si>
  <si>
    <t>Environment Variable</t>
  </si>
  <si>
    <t>Value</t>
  </si>
  <si>
    <t>Production Section</t>
  </si>
  <si>
    <t>Production Time in Seconds</t>
  </si>
  <si>
    <t>% of Production Time</t>
  </si>
  <si>
    <t>Creating Workbook</t>
  </si>
  <si>
    <t>Adding Plots</t>
  </si>
  <si>
    <t>Input Argument</t>
  </si>
  <si>
    <t>►</t>
  </si>
  <si>
    <t>os</t>
  </si>
  <si>
    <t>env_type</t>
  </si>
  <si>
    <t>excel_version</t>
  </si>
  <si>
    <t>debug</t>
  </si>
  <si>
    <t>compatible</t>
  </si>
  <si>
    <t>junk_drawer</t>
  </si>
  <si>
    <t>date</t>
  </si>
  <si>
    <t>os_release</t>
  </si>
  <si>
    <t>os_version</t>
  </si>
  <si>
    <t>architecture</t>
  </si>
  <si>
    <t>processor</t>
  </si>
  <si>
    <t>python_version</t>
  </si>
  <si>
    <t>python_implementation</t>
  </si>
  <si>
    <t>console_columns</t>
  </si>
  <si>
    <t>console_lines</t>
  </si>
  <si>
    <t>dataframes</t>
  </si>
  <si>
    <t>plots</t>
  </si>
  <si>
    <t>theme_color</t>
  </si>
  <si>
    <t>large_report</t>
  </si>
  <si>
    <t>overwrite</t>
  </si>
  <si>
    <t>wb_path</t>
  </si>
  <si>
    <t>open_wb</t>
  </si>
  <si>
    <t>no_vba</t>
  </si>
  <si>
    <t>export</t>
  </si>
  <si>
    <t>Overview</t>
  </si>
  <si>
    <t>Dataframe</t>
  </si>
  <si>
    <t>Dataframes</t>
  </si>
  <si>
    <t>Fields</t>
  </si>
  <si>
    <t>Memory Usage (bytes)</t>
  </si>
  <si>
    <t>Fields Defined %</t>
  </si>
  <si>
    <t>_</t>
  </si>
  <si>
    <t xml:space="preserve"> Overview ↩</t>
  </si>
  <si>
    <t>Debug</t>
  </si>
  <si>
    <t>Name</t>
  </si>
  <si>
    <t>Production Performance</t>
  </si>
  <si>
    <t>Subsampled</t>
  </si>
  <si>
    <t>Preparing Data</t>
  </si>
  <si>
    <t>Dataframe Description</t>
  </si>
  <si>
    <t>Errors</t>
  </si>
  <si>
    <t>Liver Disorders</t>
  </si>
  <si>
    <t>mcv</t>
  </si>
  <si>
    <t>alkphos</t>
  </si>
  <si>
    <t>sgpt</t>
  </si>
  <si>
    <t>sgot</t>
  </si>
  <si>
    <t>gammagt</t>
  </si>
  <si>
    <t>drinks</t>
  </si>
  <si>
    <t>index</t>
  </si>
  <si>
    <t>Record Hash</t>
  </si>
  <si>
    <t>int64</t>
  </si>
  <si>
    <t>float64</t>
  </si>
  <si>
    <t>Windows</t>
  </si>
  <si>
    <t>Terminal or IDE</t>
  </si>
  <si>
    <t>Recycle Bin</t>
  </si>
  <si>
    <t>10.0.26200</t>
  </si>
  <si>
    <t>AMD64</t>
  </si>
  <si>
    <t>Intel64 Family 6 Model 140 Stepping 1, GenuineIntel</t>
  </si>
  <si>
    <t>3.14.2</t>
  </si>
  <si>
    <t>CPython</t>
  </si>
  <si>
    <t>file_name</t>
  </si>
  <si>
    <t>#6418de</t>
  </si>
  <si>
    <t>examples\other_examples</t>
  </si>
  <si>
    <t>Preparing Workbook</t>
  </si>
  <si>
    <t>Error Type</t>
  </si>
  <si>
    <t>No errors occurred</t>
  </si>
  <si>
    <t>N/A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</si>
</sst>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sz val="11"/>
      <color theme="0"/>
      <name val="Wingdings 3"/>
      <family val="1"/>
      <charset val="2"/>
    </font>
    <font>
      <b/>
      <sz val="14"/>
      <color rgb="FFD8D8D8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26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0"/>
      <color theme="1" tint="0.39997558519241921"/>
      <name val="Calibri"/>
      <family val="2"/>
      <scheme val="minor"/>
    </font>
    <font>
      <b/>
      <sz val="8"/>
      <color theme="1" tint="0.3999755851924192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4"/>
      <color theme="1" tint="0.39997558519241921"/>
      <name val="Calibri"/>
      <family val="2"/>
      <scheme val="minor"/>
    </font>
    <font>
      <sz val="4"/>
      <color theme="1" tint="0.39997558519241921"/>
      <name val="Calibri"/>
      <family val="2"/>
      <scheme val="minor"/>
    </font>
    <font>
      <b/>
      <i/>
      <sz val="6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sz val="11"/>
      <color rgb="FF898989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262626"/>
        <bgColor rgb="FF000000"/>
      </patternFill>
    </fill>
    <fill>
      <patternFill patternType="solid">
        <fgColor rgb="FF6418DE"/>
        <bgColor indexed="64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  <border>
      <left/>
      <right/>
      <top style="thin">
        <color indexed="64"/>
      </top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</borders>
  <cellStyleXfs count="9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3" fillId="2" borderId="13">
      <alignment horizontal="center" vertical="center"/>
    </xf>
    <xf numFmtId="0" fontId="4" fillId="2" borderId="0" applyProtection="0">
      <alignment horizontal="center" vertical="center" wrapText="1"/>
    </xf>
    <xf numFmtId="9" fontId="16" fillId="0" borderId="0" applyFont="0" applyFill="0" applyBorder="0" applyAlignment="0" applyProtection="0"/>
  </cellStyleXfs>
  <cellXfs count="139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Alignment="1">
      <alignment horizontal="center" vertical="center"/>
    </xf>
    <xf numFmtId="0" fontId="0" fillId="2" borderId="0" xfId="0" applyAlignment="1">
      <alignment horizontal="right"/>
    </xf>
    <xf numFmtId="0" fontId="0" fillId="2" borderId="0" xfId="0" applyAlignment="1">
      <alignment textRotation="180"/>
    </xf>
    <xf numFmtId="0" fontId="8" fillId="2" borderId="0" xfId="0" applyFont="1"/>
    <xf numFmtId="0" fontId="5" fillId="2" borderId="0" xfId="0" applyFont="1" applyAlignment="1">
      <alignment horizontal="right" vertical="center" indent="7"/>
    </xf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4" borderId="0" xfId="0" applyFill="1"/>
    <xf numFmtId="0" fontId="9" fillId="4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4" fillId="2" borderId="0" xfId="0" applyFont="1" applyAlignment="1">
      <alignment horizontal="center" vertical="center" wrapText="1"/>
    </xf>
    <xf numFmtId="3" fontId="8" fillId="2" borderId="5" xfId="0" applyNumberFormat="1" applyFont="1" applyBorder="1" applyAlignment="1">
      <alignment horizontal="center" vertical="center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11" fillId="7" borderId="0" xfId="0" applyFont="1" applyFill="1" applyAlignment="1">
      <alignment wrapText="1"/>
    </xf>
    <xf numFmtId="0" fontId="12" fillId="7" borderId="0" xfId="0" applyFont="1" applyFill="1" applyAlignment="1">
      <alignment vertical="center" wrapText="1"/>
    </xf>
    <xf numFmtId="0" fontId="13" fillId="2" borderId="13" xfId="6">
      <alignment horizontal="center" vertical="center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Alignment="1">
      <alignment horizontal="center" vertical="center" wrapText="1"/>
    </xf>
    <xf numFmtId="3" fontId="0" fillId="2" borderId="4" xfId="0" applyNumberFormat="1" applyBorder="1" applyAlignment="1">
      <alignment horizontal="center" vertical="center"/>
    </xf>
    <xf numFmtId="0" fontId="3" fillId="2" borderId="0" xfId="5" applyBorder="1" applyAlignment="1">
      <alignment horizontal="center" vertical="center" wrapText="1"/>
    </xf>
    <xf numFmtId="0" fontId="3" fillId="2" borderId="10" xfId="5" applyBorder="1" applyAlignment="1">
      <alignment horizontal="center" vertical="center" wrapText="1"/>
    </xf>
    <xf numFmtId="0" fontId="10" fillId="2" borderId="9" xfId="5" applyFont="1" applyBorder="1" applyAlignment="1">
      <alignment horizontal="center" vertical="center" wrapText="1"/>
    </xf>
    <xf numFmtId="0" fontId="10" fillId="2" borderId="0" xfId="5" applyFont="1" applyBorder="1" applyAlignment="1">
      <alignment horizontal="center" vertical="center" wrapText="1"/>
    </xf>
    <xf numFmtId="0" fontId="10" fillId="2" borderId="10" xfId="5" applyFont="1" applyBorder="1" applyAlignment="1">
      <alignment horizontal="center" vertical="center" wrapText="1"/>
    </xf>
    <xf numFmtId="0" fontId="18" fillId="2" borderId="0" xfId="0" applyFont="1"/>
    <xf numFmtId="0" fontId="19" fillId="2" borderId="0" xfId="0" applyFont="1" applyAlignment="1">
      <alignment horizontal="left" vertical="center"/>
    </xf>
    <xf numFmtId="0" fontId="17" fillId="2" borderId="0" xfId="0" applyFont="1" applyAlignment="1">
      <alignment horizontal="left"/>
    </xf>
    <xf numFmtId="0" fontId="17" fillId="2" borderId="0" xfId="0" applyFont="1"/>
    <xf numFmtId="0" fontId="4" fillId="2" borderId="0" xfId="0" applyFont="1" applyAlignment="1">
      <alignment horizontal="left" vertical="center"/>
    </xf>
    <xf numFmtId="3" fontId="0" fillId="2" borderId="0" xfId="0" applyNumberFormat="1"/>
    <xf numFmtId="3" fontId="10" fillId="8" borderId="18" xfId="7" applyNumberFormat="1" applyFont="1" applyFill="1" applyBorder="1" applyAlignment="1">
      <alignment horizontal="left" vertical="center" wrapText="1" indent="1"/>
    </xf>
    <xf numFmtId="3" fontId="17" fillId="2" borderId="0" xfId="0" applyNumberFormat="1" applyFont="1" applyAlignment="1">
      <alignment horizontal="left"/>
    </xf>
    <xf numFmtId="3" fontId="17" fillId="2" borderId="0" xfId="0" applyNumberFormat="1" applyFont="1"/>
    <xf numFmtId="3" fontId="18" fillId="2" borderId="0" xfId="7" applyNumberFormat="1" applyFont="1" applyAlignment="1">
      <alignment horizontal="left" vertical="center" wrapText="1" indent="1"/>
    </xf>
    <xf numFmtId="3" fontId="10" fillId="8" borderId="16" xfId="7" applyNumberFormat="1" applyFont="1" applyFill="1" applyBorder="1" applyAlignment="1">
      <alignment horizontal="left" vertical="center" wrapText="1" indent="1"/>
    </xf>
    <xf numFmtId="3" fontId="10" fillId="8" borderId="21" xfId="7" applyNumberFormat="1" applyFont="1" applyFill="1" applyBorder="1" applyAlignment="1">
      <alignment horizontal="left" vertical="center" wrapText="1" indent="1"/>
    </xf>
    <xf numFmtId="164" fontId="18" fillId="2" borderId="20" xfId="8" applyNumberFormat="1" applyFont="1" applyFill="1" applyBorder="1" applyAlignment="1">
      <alignment horizontal="center" vertical="center"/>
    </xf>
    <xf numFmtId="165" fontId="18" fillId="2" borderId="13" xfId="0" applyNumberFormat="1" applyFont="1" applyBorder="1" applyAlignment="1">
      <alignment horizontal="center"/>
    </xf>
    <xf numFmtId="3" fontId="6" fillId="2" borderId="0" xfId="0" applyNumberFormat="1" applyFont="1" applyAlignment="1">
      <alignment vertical="center" textRotation="180"/>
    </xf>
    <xf numFmtId="3" fontId="20" fillId="2" borderId="0" xfId="0" applyNumberFormat="1" applyFont="1"/>
    <xf numFmtId="0" fontId="23" fillId="2" borderId="0" xfId="0" applyFont="1" applyAlignment="1">
      <alignment horizontal="left" vertical="center"/>
    </xf>
    <xf numFmtId="3" fontId="10" fillId="8" borderId="19" xfId="7" applyNumberFormat="1" applyFont="1" applyFill="1" applyBorder="1" applyAlignment="1">
      <alignment horizontal="left" vertical="center" indent="1"/>
    </xf>
    <xf numFmtId="3" fontId="10" fillId="8" borderId="20" xfId="7" applyNumberFormat="1" applyFont="1" applyFill="1" applyBorder="1" applyAlignment="1">
      <alignment horizontal="left" vertical="center" indent="1"/>
    </xf>
    <xf numFmtId="3" fontId="14" fillId="2" borderId="0" xfId="0" applyNumberFormat="1" applyFont="1" applyAlignment="1">
      <alignment horizontal="left" indent="1"/>
    </xf>
    <xf numFmtId="14" fontId="14" fillId="2" borderId="0" xfId="0" applyNumberFormat="1" applyFont="1" applyAlignment="1">
      <alignment horizontal="left" indent="1"/>
    </xf>
    <xf numFmtId="0" fontId="4" fillId="6" borderId="0" xfId="7" applyFill="1" applyAlignment="1">
      <alignment horizontal="center" vertical="center" wrapText="1"/>
    </xf>
    <xf numFmtId="0" fontId="0" fillId="2" borderId="13" xfId="0" applyBorder="1" applyAlignment="1">
      <alignment horizontal="center"/>
    </xf>
    <xf numFmtId="0" fontId="25" fillId="7" borderId="0" xfId="7" applyFont="1" applyFill="1" applyAlignment="1">
      <alignment horizontal="center" vertical="center" wrapText="1"/>
    </xf>
    <xf numFmtId="0" fontId="26" fillId="7" borderId="14" xfId="0" applyFont="1" applyFill="1" applyBorder="1" applyAlignment="1">
      <alignment horizontal="center"/>
    </xf>
    <xf numFmtId="3" fontId="10" fillId="8" borderId="11" xfId="7" applyNumberFormat="1" applyFont="1" applyFill="1" applyBorder="1" applyAlignment="1">
      <alignment horizontal="left" vertical="center" wrapText="1" indent="1"/>
    </xf>
    <xf numFmtId="3" fontId="10" fillId="8" borderId="12" xfId="7" applyNumberFormat="1" applyFont="1" applyFill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indent="1"/>
    </xf>
    <xf numFmtId="0" fontId="0" fillId="2" borderId="0" xfId="0" applyAlignment="1"/>
    <xf numFmtId="0" fontId="15" fillId="2" borderId="0" xfId="0" applyFont="1" applyAlignment="1">
      <alignment horizontal="right" vertical="center" textRotation="180"/>
    </xf>
    <xf numFmtId="0" fontId="8" fillId="2" borderId="0" xfId="1" applyFont="1" applyFill="1"/>
    <xf numFmtId="0" fontId="22" fillId="2" borderId="0" xfId="1" applyFont="1" applyFill="1"/>
    <xf numFmtId="0" fontId="3" fillId="2" borderId="0" xfId="5" applyBorder="1" applyAlignment="1">
      <alignment horizontal="left" vertical="center" wrapText="1" indent="1"/>
    </xf>
    <xf numFmtId="0" fontId="3" fillId="2" borderId="15" xfId="5" applyBorder="1" applyAlignment="1">
      <alignment horizontal="left" vertical="center" wrapText="1" indent="1"/>
    </xf>
    <xf numFmtId="0" fontId="0" fillId="2" borderId="0" xfId="0" applyAlignment="1">
      <alignment vertical="center"/>
    </xf>
    <xf numFmtId="0" fontId="0" fillId="2" borderId="0" xfId="0" applyFill="1"/>
    <xf numFmtId="0" fontId="9" fillId="2" borderId="0" xfId="0" applyFont="1" applyFill="1" applyAlignment="1">
      <alignment vertical="center"/>
    </xf>
    <xf numFmtId="0" fontId="22" fillId="2" borderId="0" xfId="1" applyFont="1" applyFill="1" applyAlignment="1">
      <alignment vertical="center" readingOrder="2"/>
    </xf>
    <xf numFmtId="0" fontId="30" fillId="2" borderId="0" xfId="0" applyFont="1" applyAlignment="1">
      <alignment horizontal="left" vertical="center" indent="1"/>
    </xf>
    <xf numFmtId="3" fontId="21" fillId="2" borderId="0" xfId="7" applyNumberFormat="1" applyFont="1" applyAlignment="1">
      <alignment horizontal="left" vertical="center" wrapText="1"/>
    </xf>
    <xf numFmtId="3" fontId="10" fillId="8" borderId="0" xfId="7" applyNumberFormat="1" applyFont="1" applyFill="1" applyBorder="1" applyAlignment="1">
      <alignment horizontal="left" vertical="center" wrapText="1" indent="1"/>
    </xf>
    <xf numFmtId="3" fontId="10" fillId="8" borderId="0" xfId="7" applyNumberFormat="1" applyFont="1" applyFill="1" applyBorder="1" applyAlignment="1">
      <alignment horizontal="left" vertical="center" indent="1"/>
    </xf>
    <xf numFmtId="0" fontId="32" fillId="2" borderId="0" xfId="0" applyFont="1" applyAlignment="1">
      <alignment horizontal="right" vertical="center"/>
    </xf>
    <xf numFmtId="3" fontId="0" fillId="2" borderId="0" xfId="0" applyNumberFormat="1" applyAlignment="1">
      <alignment vertical="center"/>
    </xf>
    <xf numFmtId="0" fontId="33" fillId="2" borderId="0" xfId="3" applyFont="1" applyBorder="1">
      <alignment horizontal="left" vertical="center"/>
    </xf>
    <xf numFmtId="0" fontId="0" fillId="2" borderId="0" xfId="0"/>
    <xf numFmtId="0" fontId="15" fillId="2" borderId="0" xfId="0" applyFont="1" applyAlignment="1">
      <alignment horizontal="right" vertical="center"/>
    </xf>
    <xf numFmtId="4" fontId="0" fillId="8" borderId="2" xfId="0" applyNumberFormat="1" applyFont="1" applyFill="1" applyBorder="1" applyAlignment="1">
      <alignment horizontal="left" vertical="center" wrapText="1"/>
    </xf>
    <xf numFmtId="0" fontId="0" fillId="8" borderId="2" xfId="0" applyFont="1" applyFill="1" applyBorder="1" applyAlignment="1">
      <alignment horizontal="left" indent="1"/>
    </xf>
    <xf numFmtId="0" fontId="14" fillId="7" borderId="2" xfId="0" applyNumberFormat="1" applyFont="1" applyFill="1" applyBorder="1" applyAlignment="1">
      <alignment horizontal="left" indent="1"/>
    </xf>
    <xf numFmtId="0" fontId="0" fillId="8" borderId="2" xfId="0" applyFont="1" applyFill="1" applyBorder="1" applyAlignment="1">
      <alignment horizontal="center" vertical="center" wrapText="1"/>
    </xf>
    <xf numFmtId="164" fontId="8" fillId="3" borderId="2" xfId="0" applyNumberFormat="1" applyFont="1" applyFill="1" applyBorder="1" applyAlignment="1">
      <alignment horizontal="center" vertical="top" wrapText="1"/>
    </xf>
    <xf numFmtId="3" fontId="0" fillId="8" borderId="2" xfId="0" applyNumberFormat="1" applyFont="1" applyFill="1" applyBorder="1" applyAlignment="1">
      <alignment horizontal="center" vertical="center" wrapText="1"/>
    </xf>
    <xf numFmtId="164" fontId="0" fillId="8" borderId="2" xfId="0" applyNumberFormat="1" applyFont="1" applyFill="1" applyBorder="1" applyAlignment="1">
      <alignment horizontal="center" vertical="center" wrapText="1"/>
    </xf>
    <xf numFmtId="4" fontId="0" fillId="8" borderId="2" xfId="0" applyNumberFormat="1" applyFont="1" applyFill="1" applyBorder="1" applyAlignment="1">
      <alignment horizontal="center" vertical="center" wrapText="1"/>
    </xf>
    <xf numFmtId="4" fontId="8" fillId="8" borderId="2" xfId="1" applyNumberFormat="1" applyFont="1" applyFill="1" applyBorder="1" applyAlignment="1">
      <alignment horizontal="left" vertical="center"/>
    </xf>
    <xf numFmtId="3" fontId="28" fillId="7" borderId="2" xfId="1" applyNumberFormat="1" applyFont="1" applyFill="1" applyBorder="1" applyAlignment="1">
      <alignment horizontal="left"/>
    </xf>
    <xf numFmtId="3" fontId="0" fillId="8" borderId="2" xfId="0" applyNumberFormat="1" applyFont="1" applyFill="1" applyBorder="1" applyAlignment="1">
      <alignment horizontal="center"/>
    </xf>
    <xf numFmtId="3" fontId="8" fillId="8" borderId="2" xfId="0" applyNumberFormat="1" applyFont="1" applyFill="1" applyBorder="1" applyAlignment="1">
      <alignment horizontal="center" vertical="center"/>
    </xf>
    <xf numFmtId="164" fontId="5" fillId="3" borderId="2" xfId="8" applyNumberFormat="1" applyFont="1" applyFill="1" applyBorder="1" applyAlignment="1">
      <alignment horizontal="center" vertical="center" wrapText="1"/>
    </xf>
    <xf numFmtId="164" fontId="5" fillId="3" borderId="2" xfId="0" applyNumberFormat="1" applyFont="1" applyFill="1" applyBorder="1" applyAlignment="1">
      <alignment horizontal="center" vertical="center" wrapText="1"/>
    </xf>
    <xf numFmtId="0" fontId="0" fillId="2" borderId="0" xfId="0" applyAlignment="1">
      <alignment horizontal="right" vertical="center" textRotation="180"/>
    </xf>
    <xf numFmtId="0" fontId="0" fillId="2" borderId="0" xfId="0" applyAlignment="1">
      <alignment horizontal="right" vertical="center"/>
    </xf>
    <xf numFmtId="3" fontId="0" fillId="2" borderId="23" xfId="0" applyNumberFormat="1" applyBorder="1"/>
    <xf numFmtId="0" fontId="2" fillId="2" borderId="0" xfId="3" applyFont="1" applyBorder="1">
      <alignment horizontal="left" vertical="center"/>
    </xf>
    <xf numFmtId="3" fontId="34" fillId="5" borderId="16" xfId="7" applyNumberFormat="1" applyFont="1" applyFill="1" applyBorder="1" applyAlignment="1">
      <alignment horizontal="left" vertical="center" wrapText="1" indent="1"/>
    </xf>
    <xf numFmtId="3" fontId="34" fillId="5" borderId="19" xfId="7" applyNumberFormat="1" applyFont="1" applyFill="1" applyBorder="1">
      <alignment horizontal="center" vertical="center" wrapText="1"/>
    </xf>
    <xf numFmtId="3" fontId="34" fillId="5" borderId="17" xfId="7" applyNumberFormat="1" applyFont="1" applyFill="1" applyBorder="1">
      <alignment horizontal="center" vertical="center" wrapText="1"/>
    </xf>
    <xf numFmtId="3" fontId="10" fillId="2" borderId="18" xfId="7" applyNumberFormat="1" applyFont="1" applyBorder="1" applyAlignment="1">
      <alignment horizontal="left" vertical="center" wrapText="1" indent="1"/>
    </xf>
    <xf numFmtId="3" fontId="10" fillId="8" borderId="22" xfId="7" applyNumberFormat="1" applyFont="1" applyFill="1" applyBorder="1" applyAlignment="1">
      <alignment horizontal="left" vertical="center" wrapText="1" indent="1"/>
    </xf>
    <xf numFmtId="3" fontId="8" fillId="2" borderId="2" xfId="0" applyNumberFormat="1" applyFont="1" applyFill="1" applyBorder="1" applyAlignment="1">
      <alignment horizontal="center" vertical="center"/>
    </xf>
    <xf numFmtId="3" fontId="0" fillId="2" borderId="0" xfId="0" applyNumberFormat="1" applyAlignment="1">
      <alignment vertical="center"/>
    </xf>
    <xf numFmtId="3" fontId="31" fillId="2" borderId="0" xfId="7" applyNumberFormat="1" applyFont="1" applyAlignment="1">
      <alignment horizontal="left" vertical="center" wrapTex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26" fillId="7" borderId="2" xfId="0" applyFont="1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26" fillId="7" borderId="24" xfId="0" applyFont="1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4" fillId="2" borderId="0" xfId="7" applyAlignment="1">
      <alignment horizontal="center" vertical="center" wrapText="1"/>
    </xf>
    <xf numFmtId="0" fontId="35" fillId="7" borderId="0" xfId="0" applyFont="1" applyFill="1" applyAlignment="1">
      <alignment horizontal="center"/>
    </xf>
    <xf numFmtId="0" fontId="29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vertical="center"/>
    </xf>
    <xf numFmtId="0" fontId="27" fillId="10" borderId="2" xfId="0" applyFont="1" applyFill="1" applyBorder="1" applyAlignment="1">
      <alignment horizontal="left" vertical="center"/>
    </xf>
    <xf numFmtId="0" fontId="27" fillId="10" borderId="2" xfId="0" applyFont="1" applyFill="1" applyBorder="1" applyAlignment="1">
      <alignment horizontal="center" vertical="center" wrapText="1"/>
    </xf>
    <xf numFmtId="0" fontId="27" fillId="10" borderId="2" xfId="0" applyFont="1" applyFill="1" applyBorder="1" applyAlignment="1">
      <alignment horizontal="center" vertical="center"/>
    </xf>
    <xf numFmtId="0" fontId="27" fillId="10" borderId="2" xfId="0" applyFont="1" applyFill="1" applyBorder="1" applyAlignment="1">
      <alignment horizontal="left" vertical="center" indent="1"/>
    </xf>
    <xf numFmtId="9" fontId="27" fillId="10" borderId="2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left" vertical="center" wrapText="1"/>
    </xf>
    <xf numFmtId="0" fontId="0" fillId="8" borderId="24" xfId="0" applyFont="1" applyFill="1" applyBorder="1" applyAlignment="1">
      <alignment horizontal="left" indent="1"/>
    </xf>
    <xf numFmtId="0" fontId="14" fillId="7" borderId="24" xfId="0" applyNumberFormat="1" applyFont="1" applyFill="1" applyBorder="1" applyAlignment="1">
      <alignment horizontal="left" indent="1"/>
    </xf>
    <xf numFmtId="0" fontId="0" fillId="8" borderId="24" xfId="0" applyFont="1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8" borderId="24" xfId="0" applyNumberFormat="1" applyFont="1" applyFill="1" applyBorder="1" applyAlignment="1">
      <alignment horizontal="center" vertical="center" wrapText="1"/>
    </xf>
    <xf numFmtId="164" fontId="0" fillId="8" borderId="24" xfId="0" applyNumberFormat="1" applyFont="1" applyFill="1" applyBorder="1" applyAlignment="1">
      <alignment horizontal="center" vertical="center" wrapText="1"/>
    </xf>
    <xf numFmtId="4" fontId="0" fillId="8" borderId="24" xfId="0" applyNumberFormat="1" applyFont="1" applyFill="1" applyBorder="1" applyAlignment="1">
      <alignment horizontal="center" vertical="center" wrapText="1"/>
    </xf>
    <xf numFmtId="4" fontId="1" fillId="9" borderId="2" xfId="1" applyNumberFormat="1" applyFill="1" applyBorder="1" applyAlignment="1">
      <alignment horizontal="center" vertical="center"/>
    </xf>
    <xf numFmtId="4" fontId="1" fillId="9" borderId="24" xfId="1" applyNumberFormat="1" applyFill="1" applyBorder="1" applyAlignment="1">
      <alignment horizontal="center" vertical="center"/>
    </xf>
  </cellXfs>
  <cellStyles count="9"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8" builtinId="5"/>
    <cellStyle name="SubItem" xfId="4" xr:uid="{D21B07FD-5F6D-4154-8AB7-63D035214F3C}"/>
    <cellStyle name="SubSectionTItle" xfId="3" xr:uid="{8B04109E-AD21-4C71-8EF5-077A68DD2476}"/>
  </cellStyles>
  <dxfs count="10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6418DE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6418DE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262626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/>
        <horizontal/>
      </border>
    </dxf>
    <dxf>
      <border outline="0">
        <left style="thin">
          <color theme="1" tint="-0.249977111117893"/>
        </left>
      </border>
    </dxf>
    <dxf>
      <border>
        <bottom style="thin">
          <color theme="1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minor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left" vertical="bottom" textRotation="0" wrapText="0" indent="1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0"/>
        <color theme="1" tint="0.39997558519241921"/>
        <name val="Calibri"/>
        <family val="2"/>
        <scheme val="minor"/>
      </font>
      <numFmt numFmtId="4" formatCode="#,##0.00"/>
      <fill>
        <patternFill patternType="solid">
          <fgColor rgb="FF000000"/>
          <bgColor rgb="FF262626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  <vertical style="thin">
          <color theme="1" tint="-0.249977111117893"/>
        </vertical>
        <horizontal style="thin">
          <color theme="1" tint="-0.249977111117893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</dxf>
    <dxf>
      <border>
        <bottom style="thin">
          <color theme="1" tint="-0.249977111117893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0" relativeIndent="1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relativeIndent="1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1" tint="0.39994506668294322"/>
      </font>
      <fill>
        <patternFill>
          <bgColor rgb="FF262626"/>
        </patternFill>
      </fill>
    </dxf>
    <dxf>
      <numFmt numFmtId="167" formatCode=";;;"/>
    </dxf>
    <dxf>
      <numFmt numFmtId="167" formatCode=";;;"/>
    </dxf>
    <dxf>
      <numFmt numFmtId="167" formatCode=";;;"/>
    </dxf>
    <dxf>
      <font>
        <color theme="0"/>
      </font>
      <fill>
        <patternFill>
          <bgColor theme="5"/>
        </patternFill>
      </fill>
    </dxf>
    <dxf>
      <font>
        <color theme="1" tint="0.39994506668294322"/>
      </font>
      <fill>
        <patternFill>
          <bgColor rgb="FF262626"/>
        </patternFill>
      </fill>
    </dxf>
    <dxf>
      <font>
        <color theme="0"/>
      </font>
      <border>
        <bottom style="thin">
          <color theme="4"/>
        </bottom>
        <vertical/>
        <horizontal/>
      </border>
    </dxf>
    <dxf>
      <font>
        <color theme="1"/>
      </font>
      <fill>
        <patternFill>
          <bgColor rgb="FF000000"/>
        </patternFill>
      </fill>
      <border diagonalUp="0" diagonalDown="0">
        <left/>
        <right/>
        <top/>
        <bottom/>
        <vertical/>
        <horizontal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3" defaultTableStyle="DarkTable" defaultPivotStyle="DarkPivot">
    <tableStyle name="DarkPivot" table="0" count="3" xr9:uid="{F2CB4A64-8CC4-48DA-B721-DC29E793B33C}">
      <tableStyleElement type="wholeTable" dxfId="104"/>
      <tableStyleElement type="headerRow" dxfId="103"/>
      <tableStyleElement type="totalRow" dxfId="102"/>
    </tableStyle>
    <tableStyle name="DarkTable" pivot="0" count="2" xr9:uid="{97C242D2-6F6D-4549-9428-17456D609B35}">
      <tableStyleElement type="wholeTable" dxfId="101"/>
      <tableStyleElement type="headerRow" dxfId="100"/>
    </tableStyle>
    <tableStyle name="SlicerStyleDark" pivot="0" table="0" count="10" xr9:uid="{11F1E452-086F-4069-BF08-FF8656253E5D}">
      <tableStyleElement type="wholeTable" dxfId="99"/>
      <tableStyleElement type="headerRow" dxfId="98"/>
    </tableStyle>
  </tableStyles>
  <colors>
    <mruColors>
      <color rgb="FF131313"/>
      <color rgb="FF262626"/>
      <color rgb="FF000000"/>
      <color rgb="FFCCCC00"/>
      <color rgb="FF040404"/>
      <color rgb="FFD8D8D8"/>
      <color rgb="FF5D1955"/>
      <color rgb="FF1EAC1D"/>
      <color rgb="FF060606"/>
      <color rgb="FF565656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theme="4" tint="-0.249977111117893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theme="4" tint="0.59999389629810485"/>
            </left>
            <right style="thin">
              <color theme="4" tint="0.59999389629810485"/>
            </right>
            <top style="thin">
              <color theme="4" tint="0.59999389629810485"/>
            </top>
            <bottom style="thin">
              <color theme="4" tint="0.59999389629810485"/>
            </bottom>
            <vertical/>
            <horizontal/>
          </border>
        </dxf>
        <dxf>
          <font>
            <color theme="0"/>
          </font>
          <fill>
            <patternFill patternType="solid">
              <fgColor theme="4"/>
              <bgColor theme="4"/>
            </patternFill>
          </fill>
          <border>
            <left style="thin">
              <color theme="4"/>
            </left>
            <right style="thin">
              <color theme="4"/>
            </right>
            <top style="thin">
              <color theme="4"/>
            </top>
            <bottom style="thin">
              <color theme="4"/>
            </bottom>
            <vertical/>
            <horizontal/>
          </border>
        </dxf>
        <dxf>
          <font>
            <color rgb="FF959595"/>
          </font>
          <fill>
            <patternFill patternType="solid">
              <fgColor rgb="FFDFDFDF"/>
              <bgColor rgb="FFDFDFDF"/>
            </patternFill>
          </fill>
          <border>
            <left style="thin">
              <color rgb="FFDFDFDF"/>
            </left>
            <right style="thin">
              <color rgb="FFDFDFDF"/>
            </right>
            <top style="thin">
              <color rgb="FFDFDFDF"/>
            </top>
            <bottom style="thin">
              <color rgb="FFDFDFDF"/>
            </bottom>
            <vertical/>
            <horizontal/>
          </border>
        </dxf>
        <dxf>
          <font>
            <color theme="0"/>
          </font>
          <fill>
            <patternFill patternType="solid">
              <fgColor rgb="FFC0C0C0"/>
              <bgColor rgb="FF262626"/>
            </patternFill>
          </fill>
          <border diagonalUp="0" diagonalDown="0">
            <left/>
            <right/>
            <top/>
            <bottom/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Dark">
        <x14:slicerStyle name="SlicerStyleDark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0/relationships/richValueRel" Target="richData/richValueRel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06/relationships/rdRichValueTypes" Target="richData/rdRichValueTypes.xml"/><Relationship Id="rId5" Type="http://schemas.openxmlformats.org/officeDocument/2006/relationships/styles" Target="styles.xml"/><Relationship Id="rId10" Type="http://schemas.microsoft.com/office/2017/06/relationships/rdRichValueStructure" Target="richData/rdrichvaluestructure.xml"/><Relationship Id="rId4" Type="http://schemas.openxmlformats.org/officeDocument/2006/relationships/theme" Target="theme/theme1.xml"/><Relationship Id="rId9" Type="http://schemas.microsoft.com/office/2017/06/relationships/rdRichValue" Target="richData/rdrichvalue.xml"/><Relationship Id="rId14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73533</xdr:colOff>
      <xdr:row>55</xdr:row>
      <xdr:rowOff>9525</xdr:rowOff>
    </xdr:from>
    <xdr:to>
      <xdr:col>2</xdr:col>
      <xdr:colOff>1397127</xdr:colOff>
      <xdr:row>55</xdr:row>
      <xdr:rowOff>180975</xdr:rowOff>
    </xdr:to>
    <xdr:sp macro="[0]!ToggleSection" textlink="">
      <xdr:nvSpPr>
        <xdr:cNvPr id="3" name="Dataframes">
          <a:extLst>
            <a:ext uri="{FF2B5EF4-FFF2-40B4-BE49-F238E27FC236}">
              <a16:creationId xmlns:a16="http://schemas.microsoft.com/office/drawing/2014/main" id="{AEE4EF18-F7A4-40B1-99EE-C12908FE3B70}"/>
            </a:ext>
          </a:extLst>
        </xdr:cNvPr>
        <xdr:cNvSpPr>
          <a:spLocks/>
        </xdr:cNvSpPr>
      </xdr:nvSpPr>
      <xdr:spPr>
        <a:xfrm>
          <a:off x="500253" y="1137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61</xdr:row>
      <xdr:rowOff>9525</xdr:rowOff>
    </xdr:from>
    <xdr:to>
      <xdr:col>2</xdr:col>
      <xdr:colOff>1397127</xdr:colOff>
      <xdr:row>61</xdr:row>
      <xdr:rowOff>180975</xdr:rowOff>
    </xdr:to>
    <xdr:sp macro="[0]!ToggleSection" textlink="">
      <xdr:nvSpPr>
        <xdr:cNvPr id="4" name="Fields">
          <a:extLst>
            <a:ext uri="{FF2B5EF4-FFF2-40B4-BE49-F238E27FC236}">
              <a16:creationId xmlns:a16="http://schemas.microsoft.com/office/drawing/2014/main" id="{2D2E0745-6744-4B6C-82F3-B6558F545134}"/>
            </a:ext>
          </a:extLst>
        </xdr:cNvPr>
        <xdr:cNvSpPr>
          <a:spLocks/>
        </xdr:cNvSpPr>
      </xdr:nvSpPr>
      <xdr:spPr>
        <a:xfrm>
          <a:off x="500253" y="265366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73533</xdr:colOff>
      <xdr:row>5</xdr:row>
      <xdr:rowOff>9525</xdr:rowOff>
    </xdr:from>
    <xdr:to>
      <xdr:col>2</xdr:col>
      <xdr:colOff>1397127</xdr:colOff>
      <xdr:row>5</xdr:row>
      <xdr:rowOff>180975</xdr:rowOff>
    </xdr:to>
    <xdr:sp macro="[0]!ToggleSection" textlink="">
      <xdr:nvSpPr>
        <xdr:cNvPr id="2" name="Debug">
          <a:extLst>
            <a:ext uri="{FF2B5EF4-FFF2-40B4-BE49-F238E27FC236}">
              <a16:creationId xmlns:a16="http://schemas.microsoft.com/office/drawing/2014/main" id="{52D9C2FB-B10E-4EB0-AA5F-EDE6A50FD08A}"/>
            </a:ext>
          </a:extLst>
        </xdr:cNvPr>
        <xdr:cNvSpPr>
          <a:spLocks/>
        </xdr:cNvSpPr>
      </xdr:nvSpPr>
      <xdr:spPr>
        <a:xfrm>
          <a:off x="500253" y="756285"/>
          <a:ext cx="1323594" cy="1714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90678</xdr:colOff>
      <xdr:row>4</xdr:row>
      <xdr:rowOff>19050</xdr:rowOff>
    </xdr:from>
    <xdr:to>
      <xdr:col>2</xdr:col>
      <xdr:colOff>1722882</xdr:colOff>
      <xdr:row>4</xdr:row>
      <xdr:rowOff>361950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784098" y="323850"/>
          <a:ext cx="1632204" cy="3429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90678</xdr:colOff>
      <xdr:row>22</xdr:row>
      <xdr:rowOff>9144</xdr:rowOff>
    </xdr:from>
    <xdr:to>
      <xdr:col>2</xdr:col>
      <xdr:colOff>1722882</xdr:colOff>
      <xdr:row>22</xdr:row>
      <xdr:rowOff>173736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784098" y="164744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35</xdr:row>
      <xdr:rowOff>9144</xdr:rowOff>
    </xdr:from>
    <xdr:to>
      <xdr:col>2</xdr:col>
      <xdr:colOff>1722882</xdr:colOff>
      <xdr:row>35</xdr:row>
      <xdr:rowOff>173736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784098" y="195986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45</xdr:row>
      <xdr:rowOff>9144</xdr:rowOff>
    </xdr:from>
    <xdr:to>
      <xdr:col>2</xdr:col>
      <xdr:colOff>1722882</xdr:colOff>
      <xdr:row>45</xdr:row>
      <xdr:rowOff>173736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784098" y="22722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57</xdr:row>
      <xdr:rowOff>9144</xdr:rowOff>
    </xdr:from>
    <xdr:to>
      <xdr:col>2</xdr:col>
      <xdr:colOff>1722882</xdr:colOff>
      <xdr:row>57</xdr:row>
      <xdr:rowOff>173736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784098" y="25770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68</xdr:row>
      <xdr:rowOff>9144</xdr:rowOff>
    </xdr:from>
    <xdr:to>
      <xdr:col>2</xdr:col>
      <xdr:colOff>1722882</xdr:colOff>
      <xdr:row>68</xdr:row>
      <xdr:rowOff>173736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784098" y="28818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90678</xdr:colOff>
      <xdr:row>6</xdr:row>
      <xdr:rowOff>9144</xdr:rowOff>
    </xdr:from>
    <xdr:to>
      <xdr:col>2</xdr:col>
      <xdr:colOff>1722882</xdr:colOff>
      <xdr:row>6</xdr:row>
      <xdr:rowOff>173736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784098" y="824484"/>
          <a:ext cx="1632204" cy="16459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88011</xdr:colOff>
      <xdr:row>33</xdr:row>
      <xdr:rowOff>79248</xdr:rowOff>
    </xdr:from>
    <xdr:to>
      <xdr:col>3</xdr:col>
      <xdr:colOff>1672209</xdr:colOff>
      <xdr:row>33</xdr:row>
      <xdr:rowOff>1505712</xdr:rowOff>
    </xdr:to>
    <xdr:pic>
      <xdr:nvPicPr>
        <xdr:cNvPr id="9" name="composition_mcv">
          <a:extLst>
            <a:ext uri="{FF2B5EF4-FFF2-40B4-BE49-F238E27FC236}">
              <a16:creationId xmlns:a16="http://schemas.microsoft.com/office/drawing/2014/main" id="{4B825A04-AB59-DE76-ED45-1CB83B1B3E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2029968"/>
          <a:ext cx="1584198" cy="1426464"/>
        </a:xfrm>
        <a:prstGeom prst="rect">
          <a:avLst/>
        </a:prstGeom>
      </xdr:spPr>
    </xdr:pic>
    <xdr:clientData/>
  </xdr:twoCellAnchor>
  <xdr:twoCellAnchor>
    <xdr:from>
      <xdr:col>3</xdr:col>
      <xdr:colOff>88011</xdr:colOff>
      <xdr:row>43</xdr:row>
      <xdr:rowOff>95250</xdr:rowOff>
    </xdr:from>
    <xdr:to>
      <xdr:col>3</xdr:col>
      <xdr:colOff>1672209</xdr:colOff>
      <xdr:row>43</xdr:row>
      <xdr:rowOff>1809750</xdr:rowOff>
    </xdr:to>
    <xdr:pic>
      <xdr:nvPicPr>
        <xdr:cNvPr id="12" name="histogram_mcv">
          <a:extLst>
            <a:ext uri="{FF2B5EF4-FFF2-40B4-BE49-F238E27FC236}">
              <a16:creationId xmlns:a16="http://schemas.microsoft.com/office/drawing/2014/main" id="{527B9EC6-5F22-CEB1-A6E6-E32C7D1880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991" y="3943350"/>
          <a:ext cx="1584198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33</xdr:row>
      <xdr:rowOff>79248</xdr:rowOff>
    </xdr:from>
    <xdr:to>
      <xdr:col>4</xdr:col>
      <xdr:colOff>1802511</xdr:colOff>
      <xdr:row>33</xdr:row>
      <xdr:rowOff>1505712</xdr:rowOff>
    </xdr:to>
    <xdr:pic>
      <xdr:nvPicPr>
        <xdr:cNvPr id="14" name="composition_alkphos">
          <a:extLst>
            <a:ext uri="{FF2B5EF4-FFF2-40B4-BE49-F238E27FC236}">
              <a16:creationId xmlns:a16="http://schemas.microsoft.com/office/drawing/2014/main" id="{74335B49-D6D7-5676-3025-D08E5FDD7E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43</xdr:row>
      <xdr:rowOff>95250</xdr:rowOff>
    </xdr:from>
    <xdr:to>
      <xdr:col>4</xdr:col>
      <xdr:colOff>1802511</xdr:colOff>
      <xdr:row>43</xdr:row>
      <xdr:rowOff>1809750</xdr:rowOff>
    </xdr:to>
    <xdr:pic>
      <xdr:nvPicPr>
        <xdr:cNvPr id="16" name="histogram_alkphos">
          <a:extLst>
            <a:ext uri="{FF2B5EF4-FFF2-40B4-BE49-F238E27FC236}">
              <a16:creationId xmlns:a16="http://schemas.microsoft.com/office/drawing/2014/main" id="{21DE030A-C057-200B-5A6C-C85155188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6206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33</xdr:row>
      <xdr:rowOff>79248</xdr:rowOff>
    </xdr:from>
    <xdr:to>
      <xdr:col>5</xdr:col>
      <xdr:colOff>1802511</xdr:colOff>
      <xdr:row>33</xdr:row>
      <xdr:rowOff>1505712</xdr:rowOff>
    </xdr:to>
    <xdr:pic>
      <xdr:nvPicPr>
        <xdr:cNvPr id="18" name="composition_sgpt">
          <a:extLst>
            <a:ext uri="{FF2B5EF4-FFF2-40B4-BE49-F238E27FC236}">
              <a16:creationId xmlns:a16="http://schemas.microsoft.com/office/drawing/2014/main" id="{D88FFF3E-1C7A-EDB1-2032-336B11AF80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43</xdr:row>
      <xdr:rowOff>95250</xdr:rowOff>
    </xdr:from>
    <xdr:to>
      <xdr:col>5</xdr:col>
      <xdr:colOff>1802511</xdr:colOff>
      <xdr:row>43</xdr:row>
      <xdr:rowOff>1809750</xdr:rowOff>
    </xdr:to>
    <xdr:pic>
      <xdr:nvPicPr>
        <xdr:cNvPr id="20" name="histogram_sgpt">
          <a:extLst>
            <a:ext uri="{FF2B5EF4-FFF2-40B4-BE49-F238E27FC236}">
              <a16:creationId xmlns:a16="http://schemas.microsoft.com/office/drawing/2014/main" id="{3DE76C1E-09FD-0F97-0816-7F58269114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5944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33</xdr:row>
      <xdr:rowOff>79248</xdr:rowOff>
    </xdr:from>
    <xdr:to>
      <xdr:col>6</xdr:col>
      <xdr:colOff>1802511</xdr:colOff>
      <xdr:row>33</xdr:row>
      <xdr:rowOff>1505712</xdr:rowOff>
    </xdr:to>
    <xdr:pic>
      <xdr:nvPicPr>
        <xdr:cNvPr id="22" name="composition_sgot">
          <a:extLst>
            <a:ext uri="{FF2B5EF4-FFF2-40B4-BE49-F238E27FC236}">
              <a16:creationId xmlns:a16="http://schemas.microsoft.com/office/drawing/2014/main" id="{00939BC8-4072-26E3-E55A-92118B2FCB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43</xdr:row>
      <xdr:rowOff>95250</xdr:rowOff>
    </xdr:from>
    <xdr:to>
      <xdr:col>6</xdr:col>
      <xdr:colOff>1802511</xdr:colOff>
      <xdr:row>43</xdr:row>
      <xdr:rowOff>1809750</xdr:rowOff>
    </xdr:to>
    <xdr:pic>
      <xdr:nvPicPr>
        <xdr:cNvPr id="24" name="histogram_sgot">
          <a:extLst>
            <a:ext uri="{FF2B5EF4-FFF2-40B4-BE49-F238E27FC236}">
              <a16:creationId xmlns:a16="http://schemas.microsoft.com/office/drawing/2014/main" id="{B2359F8F-A21B-E046-3C5A-B2177C5AAD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5682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33</xdr:row>
      <xdr:rowOff>79248</xdr:rowOff>
    </xdr:from>
    <xdr:to>
      <xdr:col>7</xdr:col>
      <xdr:colOff>1802511</xdr:colOff>
      <xdr:row>33</xdr:row>
      <xdr:rowOff>1505712</xdr:rowOff>
    </xdr:to>
    <xdr:pic>
      <xdr:nvPicPr>
        <xdr:cNvPr id="26" name="composition_gammagt">
          <a:extLst>
            <a:ext uri="{FF2B5EF4-FFF2-40B4-BE49-F238E27FC236}">
              <a16:creationId xmlns:a16="http://schemas.microsoft.com/office/drawing/2014/main" id="{BE9F8107-55C1-6DD8-D927-4D5CB8E5BD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43</xdr:row>
      <xdr:rowOff>95250</xdr:rowOff>
    </xdr:from>
    <xdr:to>
      <xdr:col>7</xdr:col>
      <xdr:colOff>1802511</xdr:colOff>
      <xdr:row>43</xdr:row>
      <xdr:rowOff>1809750</xdr:rowOff>
    </xdr:to>
    <xdr:pic>
      <xdr:nvPicPr>
        <xdr:cNvPr id="28" name="histogram_gammagt">
          <a:extLst>
            <a:ext uri="{FF2B5EF4-FFF2-40B4-BE49-F238E27FC236}">
              <a16:creationId xmlns:a16="http://schemas.microsoft.com/office/drawing/2014/main" id="{AE54C1C4-B0D4-0206-800F-C0F8E8B0CB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5420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33</xdr:row>
      <xdr:rowOff>79248</xdr:rowOff>
    </xdr:from>
    <xdr:to>
      <xdr:col>8</xdr:col>
      <xdr:colOff>1802511</xdr:colOff>
      <xdr:row>33</xdr:row>
      <xdr:rowOff>1505712</xdr:rowOff>
    </xdr:to>
    <xdr:pic>
      <xdr:nvPicPr>
        <xdr:cNvPr id="30" name="composition_drinks">
          <a:extLst>
            <a:ext uri="{FF2B5EF4-FFF2-40B4-BE49-F238E27FC236}">
              <a16:creationId xmlns:a16="http://schemas.microsoft.com/office/drawing/2014/main" id="{7E9FED7D-F0BE-87A0-BDA1-B469788D6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43</xdr:row>
      <xdr:rowOff>95250</xdr:rowOff>
    </xdr:from>
    <xdr:to>
      <xdr:col>8</xdr:col>
      <xdr:colOff>1802511</xdr:colOff>
      <xdr:row>43</xdr:row>
      <xdr:rowOff>1809750</xdr:rowOff>
    </xdr:to>
    <xdr:pic>
      <xdr:nvPicPr>
        <xdr:cNvPr id="32" name="histogram_drinks">
          <a:extLst>
            <a:ext uri="{FF2B5EF4-FFF2-40B4-BE49-F238E27FC236}">
              <a16:creationId xmlns:a16="http://schemas.microsoft.com/office/drawing/2014/main" id="{9F5A2055-FB06-3991-C1D2-8401456DD62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51589" y="39433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33</xdr:row>
      <xdr:rowOff>79248</xdr:rowOff>
    </xdr:from>
    <xdr:to>
      <xdr:col>9</xdr:col>
      <xdr:colOff>1802511</xdr:colOff>
      <xdr:row>33</xdr:row>
      <xdr:rowOff>1505712</xdr:rowOff>
    </xdr:to>
    <xdr:pic>
      <xdr:nvPicPr>
        <xdr:cNvPr id="34" name="composition_index">
          <a:extLst>
            <a:ext uri="{FF2B5EF4-FFF2-40B4-BE49-F238E27FC236}">
              <a16:creationId xmlns:a16="http://schemas.microsoft.com/office/drawing/2014/main" id="{D060382D-6CD5-D2B6-859D-34A14F6EDE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2029968"/>
          <a:ext cx="1707642" cy="1426464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43</xdr:row>
      <xdr:rowOff>95250</xdr:rowOff>
    </xdr:from>
    <xdr:to>
      <xdr:col>9</xdr:col>
      <xdr:colOff>1802511</xdr:colOff>
      <xdr:row>43</xdr:row>
      <xdr:rowOff>1809750</xdr:rowOff>
    </xdr:to>
    <xdr:pic>
      <xdr:nvPicPr>
        <xdr:cNvPr id="36" name="histogram_index">
          <a:extLst>
            <a:ext uri="{FF2B5EF4-FFF2-40B4-BE49-F238E27FC236}">
              <a16:creationId xmlns:a16="http://schemas.microsoft.com/office/drawing/2014/main" id="{55ED52BC-D030-7FD2-B6F1-C84E64F647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48969" y="3943350"/>
          <a:ext cx="1707642" cy="1714500"/>
        </a:xfrm>
        <a:prstGeom prst="rect">
          <a:avLst/>
        </a:prstGeom>
      </xdr:spPr>
    </xdr:pic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133564-163D-4CB0-A97C-9358270F5F9C}" name="tbl_debug_section" displayName="tbl_debug_section" ref="D11:F15" totalsRowShown="0" headerRowDxfId="90" dataDxfId="88" headerRowBorderDxfId="89" tableBorderDxfId="87" totalsRowBorderDxfId="86">
  <tableColumns count="3">
    <tableColumn id="1" xr3:uid="{5EB43B6F-4FF7-4D4C-8202-BD94842B8017}" name="Production Section" dataDxfId="85" dataCellStyle="DarkHeader"/>
    <tableColumn id="2" xr3:uid="{71F0A434-8F03-4CF9-987C-D6F88D936E0A}" name="Production Time in Seconds" dataDxfId="84"/>
    <tableColumn id="3" xr3:uid="{507EC883-FE9F-434C-8323-6EBB4691FEEE}" name="% of Production Time" dataDxfId="83" dataCellStyle="Percent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ABCC19D-29F4-4A1C-9C2C-61132A93E32D}" name="tbl_debug_environment" displayName="tbl_debug_environment" ref="D20:E35" totalsRowShown="0" headerRowDxfId="82" dataDxfId="80" headerRowBorderDxfId="81" tableBorderDxfId="79">
  <tableColumns count="2">
    <tableColumn id="1" xr3:uid="{6A891059-3C09-438F-9AB9-42F8BA5B3379}" name="Environment Variable" dataDxfId="78" dataCellStyle="DarkHeader"/>
    <tableColumn id="2" xr3:uid="{D9E0C91D-D549-4194-8575-1343B51883A7}" name="Value" dataDxfId="77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8D10CD5-62A0-484D-A455-84E38CB47746}" name="tbl_debug_config" displayName="tbl_debug_config" ref="D40:E51" totalsRowShown="0" headerRowDxfId="76" headerRowBorderDxfId="75" tableBorderDxfId="74" totalsRowBorderDxfId="73">
  <tableColumns count="2">
    <tableColumn id="1" xr3:uid="{BAFB02A5-6AA3-46EF-A3FA-1FC44F32BBF4}" name="Input Argument" dataDxfId="72" dataCellStyle="DarkHeader"/>
    <tableColumn id="2" xr3:uid="{402A365F-6164-4790-9B23-3CC27E2F5642}" name="Value" dataDxfId="71" dataCellStyle="DarkHeader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61B5A24-D54F-42D3-BE0F-EC150E72D6E4}" name="tbl_debug_errors" displayName="tbl_debug_errors" ref="H11:I12" totalsRowShown="0" headerRowDxfId="70" dataDxfId="68" headerRowBorderDxfId="69" tableBorderDxfId="67" totalsRowBorderDxfId="66">
  <tableColumns count="2">
    <tableColumn id="1" xr3:uid="{CA519729-E316-4F10-9FC9-4DAD4EBFD7D6}" name="Error Type" dataDxfId="65" dataCellStyle="DarkHeader"/>
    <tableColumn id="2" xr3:uid="{E2631007-AAAB-4565-904C-CFF05E0A66F2}" name="Value" dataDxfId="64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FE650AA-A988-4967-9BF1-5CBBD5AE48A6}" name="tbl_FieldOverview" displayName="tbl_FieldOverview" ref="C65:AD72" totalsRowShown="0" headerRowDxfId="0" dataDxfId="62" headerRowBorderDxfId="63">
  <tableColumns count="28">
    <tableColumn id="1" xr3:uid="{BFB84B7E-8B25-47B3-90FE-AC7BFBAF30EB}" name="_" dataDxfId="61" dataCellStyle="Hyperlink">
      <calculatedColumnFormula>HYPERLINK("#" &amp; CELL("address", _xlfn.XLOOKUP(tbl_FieldOverview[[#This Row],[Field]],INDIRECT("'"&amp;tbl_FieldOverview[[#This Row],[Dataframe]]&amp;"'!Headers"),INDIRECT("'"&amp;tbl_FieldOverview[[#This Row],[Dataframe]]&amp;"'!Headers"),"")), "Link")</calculatedColumnFormula>
    </tableColumn>
    <tableColumn id="2" xr3:uid="{50D3F477-2874-418A-8431-FEC88B724332}" name="Dataframe" dataDxfId="60"/>
    <tableColumn id="3" xr3:uid="{3DFD5F5C-6F27-4E63-A437-05AB0A6A5E08}" name="Field" dataDxfId="59"/>
    <tableColumn id="4" xr3:uid="{0D07D95C-96ED-4D23-9CF7-D9AF683F9A4E}" name="Definition" dataDxfId="58">
      <calculatedColumnFormula>_xlfn.XLOOKUP(tbl_FieldOverview[[#This Row],[Field]],INDIRECT("'"&amp;tbl_FieldOverview[[#This Row],[Dataframe]]&amp;"'!Headers"),INDIRECT("'"&amp;tbl_FieldOverview[[#This Row],[Dataframe]]&amp;"'!Definitions"),"")</calculatedColumnFormula>
    </tableColumn>
    <tableColumn id="5" xr3:uid="{E28F6E3A-A51A-4232-BF38-3C24B861E8D2}" name="Field Notes" dataDxfId="57">
      <calculatedColumnFormula>_xlfn.XLOOKUP(tbl_FieldOverview[[#This Row],[Field]],INDIRECT("'"&amp;tbl_FieldOverview[[#This Row],[Dataframe]]&amp;"'!Headers"),INDIRECT("'"&amp;tbl_FieldOverview[[#This Row],[Dataframe]]&amp;"'!Notes"),"")</calculatedColumnFormula>
    </tableColumn>
    <tableColumn id="6" xr3:uid="{37AE6163-EF98-4406-A846-8FE8A64D707A}" name="Data type" dataDxfId="56"/>
    <tableColumn id="7" xr3:uid="{ACD85635-5643-4A9B-813A-F207FE56A1F7}" name="Distinct %" dataDxfId="55"/>
    <tableColumn id="8" xr3:uid="{37F20288-EC2E-4725-99D2-CA17AD77187C}" name="Missing %" dataDxfId="54"/>
    <tableColumn id="9" xr3:uid="{AC5DCE77-89A5-4067-8459-E0B28ED6C6C0}" name="Memory Usage %" dataDxfId="53"/>
    <tableColumn id="10" xr3:uid="{13D1C1A3-C851-4716-A780-608651BD57A2}" name="Memory Usage" dataDxfId="52"/>
    <tableColumn id="11" xr3:uid="{0E8B2640-5F58-4903-BB55-28298096FFE3}" name="Distinct" dataDxfId="51"/>
    <tableColumn id="12" xr3:uid="{D9F8262C-D1A8-4E72-90A6-B3C791F40382}" name="Count" dataDxfId="50"/>
    <tableColumn id="13" xr3:uid="{F03D5777-4C4C-461A-A414-310E41569255}" name="Count %" dataDxfId="49"/>
    <tableColumn id="14" xr3:uid="{DF6FEF9E-3BDB-44B7-B4A6-A86DF8793B7F}" name="Missing" dataDxfId="48"/>
    <tableColumn id="15" xr3:uid="{3292451D-4821-4F0F-A130-FA933CEF470F}" name="Mean" dataDxfId="47"/>
    <tableColumn id="16" xr3:uid="{43CC4EEF-B158-44ED-B44E-B63B3F4A01C7}" name="Median" dataDxfId="46"/>
    <tableColumn id="17" xr3:uid="{C72B8A11-2B77-4566-95E5-3532F39E2D81}" name="Mode" dataDxfId="45"/>
    <tableColumn id="18" xr3:uid="{61FEB60D-DA84-48AE-A3A3-D30021858F27}" name="Standard Deviation" dataDxfId="44"/>
    <tableColumn id="19" xr3:uid="{9832059F-A51E-4914-9929-224D64D5EA37}" name="Variance" dataDxfId="43"/>
    <tableColumn id="20" xr3:uid="{297F3021-9C27-46B1-B59B-27E05043CB4F}" name="Min" dataDxfId="42"/>
    <tableColumn id="21" xr3:uid="{7D4025BB-011A-4A8D-AB83-A125143050AC}" name="5%" dataDxfId="41"/>
    <tableColumn id="22" xr3:uid="{7AAF0884-12EA-4711-AFEF-2E750982712D}" name="25%" dataDxfId="40"/>
    <tableColumn id="23" xr3:uid="{EFB46394-A032-44BC-8584-974E11E6FFD6}" name="50%" dataDxfId="39"/>
    <tableColumn id="24" xr3:uid="{BFC5EF86-6080-4A18-970E-D74C31031F6F}" name="75%" dataDxfId="38"/>
    <tableColumn id="25" xr3:uid="{108ECE2B-AAB5-44B0-9B12-FB15AAF95230}" name="95%" dataDxfId="37"/>
    <tableColumn id="26" xr3:uid="{F7CB1526-3F23-44F4-A638-A08C3D7E8D1E}" name="Max" dataDxfId="36"/>
    <tableColumn id="27" xr3:uid="{3AFFF5B7-F5C9-49C4-B2F7-16A4511F9680}" name="Range" dataDxfId="35"/>
    <tableColumn id="28" xr3:uid="{94B53881-0AEC-4C9C-A50E-FDE25F882669}" name="IQR" dataDxfId="34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B62C177-35BB-4328-A5E9-CE2D42C175A6}" name="tbl_DfOverview" displayName="tbl_DfOverview" ref="C58:K59" totalsRowShown="0" headerRowDxfId="1" headerRowBorderDxfId="33" tableBorderDxfId="32">
  <tableColumns count="9">
    <tableColumn id="1" xr3:uid="{95AE6ED1-2225-487F-9D3B-3E94D426571D}" name="_" dataDxfId="31" dataCellStyle="Hyperlink">
      <calculatedColumnFormula>HYPERLINK("#'"&amp;tbl_DfOverview[[#This Row],[Dataframe]]&amp;"'!Headers_Start", "Link")</calculatedColumnFormula>
    </tableColumn>
    <tableColumn id="2" xr3:uid="{19718F20-2450-421A-9215-32A414225B3E}" name="Dataframe" dataDxfId="30" dataCellStyle="Hyperlink"/>
    <tableColumn id="3" xr3:uid="{CBB5816F-DADE-468F-A97D-43A695D8EBE2}" name="Dataframe Description" dataDxfId="29" dataCellStyle="Hyperlink">
      <calculatedColumnFormula>INDIRECT("'"&amp;tbl_DfOverview[[#This Row],[Dataframe]]&amp;"'!Description")</calculatedColumnFormula>
    </tableColumn>
    <tableColumn id="4" xr3:uid="{73718E81-F7BA-4F50-A59C-63956399D2C2}" name="Memory Usage (bytes)" dataDxfId="28"/>
    <tableColumn id="5" xr3:uid="{AE043E66-D074-402F-8F8A-8B2943350D33}" name="Rows" dataDxfId="27"/>
    <tableColumn id="6" xr3:uid="{8BA7A5F7-5211-4C26-8823-68B970025E20}" name="Columns" dataDxfId="26"/>
    <tableColumn id="7" xr3:uid="{2284F716-E451-41AC-A7E6-EE845FAAB2AA}" name="Fields Defined %" dataDxfId="25" dataCellStyle="Percent">
      <calculatedColumnFormula>IFERROR(SUMPRODUCT((tbl_FieldOverview[Dataframe]=tbl_DfOverview[[#This Row],[Dataframe]]) * (tbl_FieldOverview[Definition]&lt;&gt;"Definition"))/tbl_DfOverview[[#This Row],[Columns]],"")</calculatedColumnFormula>
    </tableColumn>
    <tableColumn id="10" xr3:uid="{AB72B658-85B0-4284-850E-50594CD38F95}" name="Missing %" dataDxfId="24" dataCellStyle="Percent"/>
    <tableColumn id="8" xr3:uid="{FABC8667-DE28-4090-A23A-CBDDF1BCD6C8}" name="Subsampled" dataDxfId="23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C81:L426" totalsRowShown="0" headerRowDxfId="8" dataDxfId="7" headerRowCellStyle="DarkHeader" dataCellStyle="Normal">
  <autoFilter ref="C81:L426" xr:uid="{DB1D1E60-5E37-456A-AD85-0649D531840E}"/>
  <tableColumns count="10">
    <tableColumn id="1" xr3:uid="{57EDF41E-F06D-4819-BADE-3D62DE46F06C}" name="Record List" dataDxfId="5" dataCellStyle="Normal"/>
    <tableColumn id="2" xr3:uid="{CF70C9CE-83FE-40FA-8089-C68B39CF665A}" name="mcv" dataDxfId="6" dataCellStyle="Normal"/>
    <tableColumn id="3" xr3:uid="{B8654690-502A-4FAF-9205-0118DABCB954}" name="alkphos" dataDxfId="13" dataCellStyle="Normal"/>
    <tableColumn id="4" xr3:uid="{5A5BA001-2F93-4E62-880C-C4E8BDB17EEB}" name="sgpt" dataDxfId="12" dataCellStyle="Normal"/>
    <tableColumn id="5" xr3:uid="{AFF00612-D78E-43AC-8656-90BCBFDDD472}" name="sgot" dataDxfId="11" dataCellStyle="Normal"/>
    <tableColumn id="6" xr3:uid="{342725AA-3F6B-4EFA-A3C4-6562C0E1247B}" name="gammagt" dataDxfId="10" dataCellStyle="Normal"/>
    <tableColumn id="7" xr3:uid="{1A073B8F-D831-4F65-AAB6-1C44861FECBA}" name="drinks" dataDxfId="9" dataCellStyle="Normal"/>
    <tableColumn id="8" xr3:uid="{38ECB82B-2C78-4F44-8A25-54A7DC6D7D80}" name="index" dataDxfId="4" dataCellStyle="Normal"/>
    <tableColumn id="9" xr3:uid="{0CED715B-33A5-4706-9DAC-14820B25E827}" name="HasBlank" dataDxfId="3" dataCellStyle="Normal"/>
    <tableColumn id="10" xr3:uid="{122EADD1-B0E5-4245-8B3D-B53F3628042C}" name="Record Hash" dataDxfId="2" dataCellStyle="Normal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>
    <tabColor rgb="FF131313"/>
  </sheetPr>
  <dimension ref="B1:P19"/>
  <sheetViews>
    <sheetView zoomScale="85" zoomScaleNormal="85" workbookViewId="0">
      <selection activeCell="B2" sqref="B2"/>
    </sheetView>
  </sheetViews>
  <sheetFormatPr defaultColWidth="8.77734375" defaultRowHeight="14.4"/>
  <cols>
    <col min="1" max="1" width="1.77734375" customWidth="1"/>
    <col min="2" max="2" width="8.33203125" style="6" bestFit="1" customWidth="1"/>
    <col min="3" max="3" width="20.77734375" style="7" customWidth="1"/>
    <col min="4" max="4" width="20.77734375" customWidth="1"/>
  </cols>
  <sheetData>
    <row r="1" spans="2:16" ht="4.95" customHeight="1"/>
    <row r="2" spans="2:16" ht="14.4" customHeight="1">
      <c r="B2" s="82" t="s">
        <v>94</v>
      </c>
      <c r="D2" s="82"/>
    </row>
    <row r="3" spans="2:16" ht="10.050000000000001" customHeight="1">
      <c r="B3" s="75"/>
    </row>
    <row r="4" spans="2:16" ht="30" customHeight="1">
      <c r="B4" s="99" t="e" vm="1">
        <v>#VALUE!</v>
      </c>
      <c r="C4" s="54" t="s">
        <v>96</v>
      </c>
    </row>
    <row r="5" spans="2:16" ht="4.95" customHeight="1">
      <c r="B5" s="1"/>
      <c r="C5" s="8"/>
      <c r="P5" s="5"/>
    </row>
    <row r="6" spans="2:16" ht="19.95" customHeight="1">
      <c r="B6"/>
      <c r="C6" s="8"/>
      <c r="P6" s="25"/>
    </row>
    <row r="7" spans="2:16" ht="4.95" customHeight="1">
      <c r="B7"/>
      <c r="C7" s="8"/>
    </row>
    <row r="8" spans="2:16" ht="30" customHeight="1">
      <c r="B8" s="27"/>
      <c r="C8" s="28"/>
      <c r="D8" s="28"/>
      <c r="E8" s="28"/>
      <c r="F8" s="28"/>
      <c r="G8" s="28"/>
      <c r="H8" s="28"/>
      <c r="I8" s="28"/>
      <c r="J8" s="28"/>
      <c r="K8" s="28"/>
      <c r="L8" s="28"/>
      <c r="M8" s="28"/>
      <c r="N8" s="28"/>
      <c r="O8" s="28"/>
      <c r="P8" s="28"/>
    </row>
    <row r="9" spans="2:16" ht="15" customHeight="1">
      <c r="B9"/>
      <c r="C9"/>
    </row>
    <row r="10" spans="2:16" ht="15" customHeight="1">
      <c r="C10" s="26"/>
    </row>
    <row r="11" spans="2:16" ht="19.2" customHeight="1">
      <c r="B11"/>
      <c r="C11" s="8"/>
    </row>
    <row r="18" spans="3:3">
      <c r="C18"/>
    </row>
    <row r="19" spans="3:3">
      <c r="C19"/>
    </row>
  </sheetData>
  <hyperlinks>
    <hyperlink ref="B2" location="Overview!A1" display=" Overview ↩" xr:uid="{42FA09E4-45EC-4133-910B-D45D5D84DE63}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theme="4"/>
    <pageSetUpPr autoPageBreaks="0"/>
  </sheetPr>
  <dimension ref="A1:AE73"/>
  <sheetViews>
    <sheetView tabSelected="1" zoomScale="85" zoomScaleNormal="85" workbookViewId="0">
      <selection activeCell="C59" sqref="C59"/>
    </sheetView>
  </sheetViews>
  <sheetFormatPr defaultColWidth="8.77734375" defaultRowHeight="15" customHeight="1" outlineLevelRow="1"/>
  <cols>
    <col min="1" max="1" width="1.77734375" customWidth="1"/>
    <col min="2" max="2" width="8.33203125" customWidth="1"/>
    <col min="3" max="3" width="10.44140625" customWidth="1"/>
    <col min="4" max="4" width="33" customWidth="1"/>
    <col min="5" max="6" width="27.21875" customWidth="1"/>
    <col min="7" max="11" width="19.5546875" customWidth="1"/>
    <col min="12" max="19" width="17.109375" customWidth="1"/>
    <col min="20" max="20" width="20.21875" customWidth="1"/>
    <col min="21" max="30" width="17.109375" customWidth="1"/>
  </cols>
  <sheetData>
    <row r="1" spans="1:28" s="83" customFormat="1" ht="4.95" customHeight="1"/>
    <row r="2" spans="1:28" ht="14.4" customHeight="1">
      <c r="A2" s="69"/>
    </row>
    <row r="3" spans="1:28" s="83" customFormat="1" ht="10.050000000000001" customHeight="1">
      <c r="A3" s="69"/>
    </row>
    <row r="4" spans="1:28" ht="30" customHeight="1">
      <c r="B4" s="100" t="e" vm="1">
        <v>#VALUE!</v>
      </c>
      <c r="C4" s="54" t="s">
        <v>87</v>
      </c>
      <c r="D4" s="72"/>
      <c r="AB4" s="4"/>
    </row>
    <row r="5" spans="1:28" ht="10.050000000000001" customHeight="1">
      <c r="C5" s="54"/>
      <c r="AB5" s="4"/>
    </row>
    <row r="6" spans="1:28" ht="15" customHeight="1">
      <c r="B6" s="80" t="s">
        <v>62</v>
      </c>
      <c r="C6" s="82" t="s">
        <v>95</v>
      </c>
      <c r="D6" s="52"/>
      <c r="E6" s="43"/>
      <c r="F6" s="53"/>
      <c r="G6" s="43"/>
      <c r="H6" s="109"/>
      <c r="I6" s="109"/>
      <c r="J6" s="43"/>
      <c r="K6" s="43"/>
    </row>
    <row r="7" spans="1:28" ht="15" hidden="1" customHeight="1">
      <c r="C7" s="43"/>
      <c r="D7" s="43"/>
      <c r="E7" s="43"/>
      <c r="F7" s="43"/>
      <c r="G7" s="43"/>
      <c r="H7" s="109"/>
      <c r="I7" s="109"/>
      <c r="J7" s="43"/>
      <c r="K7" s="43"/>
    </row>
    <row r="8" spans="1:28" ht="15" customHeight="1">
      <c r="C8" s="43"/>
      <c r="D8" s="43"/>
      <c r="E8" s="43"/>
      <c r="F8" s="43"/>
      <c r="G8" s="101"/>
      <c r="H8" s="81"/>
      <c r="I8" s="81"/>
      <c r="J8" s="43"/>
      <c r="K8" s="43"/>
    </row>
    <row r="9" spans="1:28" ht="30" hidden="1" customHeight="1">
      <c r="B9" s="1"/>
      <c r="C9" s="110" t="s">
        <v>97</v>
      </c>
      <c r="D9" s="110"/>
      <c r="F9" s="43"/>
      <c r="G9" s="43"/>
      <c r="H9" s="110" t="s">
        <v>101</v>
      </c>
      <c r="I9" s="110"/>
      <c r="J9" s="43"/>
      <c r="K9" s="43"/>
    </row>
    <row r="10" spans="1:28" ht="4.95" hidden="1" customHeight="1">
      <c r="C10" s="43"/>
      <c r="D10" s="43"/>
      <c r="E10" s="43"/>
    </row>
    <row r="11" spans="1:28" ht="30" hidden="1" customHeight="1">
      <c r="B11" s="41"/>
      <c r="D11" s="103" t="s">
        <v>56</v>
      </c>
      <c r="E11" s="105" t="s">
        <v>57</v>
      </c>
      <c r="F11" s="104" t="s">
        <v>58</v>
      </c>
      <c r="H11" s="103" t="s">
        <v>125</v>
      </c>
      <c r="I11" s="104" t="s">
        <v>55</v>
      </c>
    </row>
    <row r="12" spans="1:28" ht="15" hidden="1" customHeight="1">
      <c r="D12" s="106" t="s">
        <v>99</v>
      </c>
      <c r="E12" s="51">
        <v>0.24597644805908203</v>
      </c>
      <c r="F12" s="50">
        <v>1.5371434237355536E-2</v>
      </c>
      <c r="H12" s="49" t="s">
        <v>126</v>
      </c>
      <c r="I12" s="107" t="s">
        <v>127</v>
      </c>
    </row>
    <row r="13" spans="1:28" ht="15" hidden="1" customHeight="1">
      <c r="D13" s="106" t="s">
        <v>124</v>
      </c>
      <c r="E13" s="51">
        <v>6.3297526836395264</v>
      </c>
      <c r="F13" s="50">
        <v>0.39555566349148785</v>
      </c>
    </row>
    <row r="14" spans="1:28" ht="15" hidden="1" customHeight="1">
      <c r="D14" s="106" t="s">
        <v>59</v>
      </c>
      <c r="E14" s="51">
        <v>4.0443582534790039</v>
      </c>
      <c r="F14" s="50">
        <v>0.25273796502145734</v>
      </c>
    </row>
    <row r="15" spans="1:28" ht="15" hidden="1" customHeight="1">
      <c r="D15" s="106" t="s">
        <v>60</v>
      </c>
      <c r="E15" s="51">
        <v>5.3815534114837646</v>
      </c>
      <c r="F15" s="50">
        <v>0.33630128011105215</v>
      </c>
    </row>
    <row r="16" spans="1:28" ht="15" hidden="1" customHeight="1">
      <c r="C16" s="43"/>
      <c r="D16" s="43"/>
      <c r="E16" s="43"/>
    </row>
    <row r="17" spans="2:12" ht="10.050000000000001" hidden="1" customHeight="1">
      <c r="C17" s="43"/>
      <c r="F17" s="43"/>
      <c r="H17" s="78"/>
      <c r="I17" s="79"/>
      <c r="L17" s="38"/>
    </row>
    <row r="18" spans="2:12" ht="30" hidden="1" customHeight="1">
      <c r="C18" s="110" t="s">
        <v>52</v>
      </c>
      <c r="D18" s="110"/>
      <c r="E18" s="77"/>
      <c r="L18" s="38"/>
    </row>
    <row r="19" spans="2:12" ht="4.95" hidden="1" customHeight="1">
      <c r="D19" s="43"/>
      <c r="E19" s="43"/>
    </row>
    <row r="20" spans="2:12" ht="30" hidden="1" customHeight="1">
      <c r="D20" s="103" t="s">
        <v>54</v>
      </c>
      <c r="E20" s="104" t="s">
        <v>55</v>
      </c>
    </row>
    <row r="21" spans="2:12" ht="15" hidden="1" customHeight="1">
      <c r="D21" s="44" t="s">
        <v>63</v>
      </c>
      <c r="E21" s="57" t="s">
        <v>113</v>
      </c>
    </row>
    <row r="22" spans="2:12" ht="15" hidden="1" customHeight="1">
      <c r="D22" s="44" t="s">
        <v>64</v>
      </c>
      <c r="E22" s="57" t="s">
        <v>114</v>
      </c>
    </row>
    <row r="23" spans="2:12" ht="15" hidden="1" customHeight="1">
      <c r="D23" s="44" t="s">
        <v>65</v>
      </c>
      <c r="E23" s="57">
        <v>16</v>
      </c>
    </row>
    <row r="24" spans="2:12" ht="15" hidden="1" customHeight="1">
      <c r="D24" s="44" t="s">
        <v>66</v>
      </c>
      <c r="E24" s="57" t="b">
        <v>0</v>
      </c>
    </row>
    <row r="25" spans="2:12" ht="15" hidden="1" customHeight="1">
      <c r="D25" s="44" t="s">
        <v>67</v>
      </c>
      <c r="E25" s="57" t="b">
        <v>1</v>
      </c>
    </row>
    <row r="26" spans="2:12" ht="15" hidden="1" customHeight="1">
      <c r="D26" s="44" t="s">
        <v>68</v>
      </c>
      <c r="E26" s="57" t="s">
        <v>115</v>
      </c>
    </row>
    <row r="27" spans="2:12" ht="15" hidden="1" customHeight="1">
      <c r="D27" s="44" t="s">
        <v>69</v>
      </c>
      <c r="E27" s="58">
        <v>46196</v>
      </c>
    </row>
    <row r="28" spans="2:12" ht="15" hidden="1" customHeight="1">
      <c r="D28" s="44" t="s">
        <v>70</v>
      </c>
      <c r="E28" s="57">
        <v>11</v>
      </c>
    </row>
    <row r="29" spans="2:12" ht="15" hidden="1" customHeight="1">
      <c r="B29" s="39"/>
      <c r="D29" s="44" t="s">
        <v>71</v>
      </c>
      <c r="E29" s="57" t="s">
        <v>116</v>
      </c>
    </row>
    <row r="30" spans="2:12" ht="15" hidden="1" customHeight="1">
      <c r="D30" s="44" t="s">
        <v>72</v>
      </c>
      <c r="E30" s="57" t="s">
        <v>117</v>
      </c>
    </row>
    <row r="31" spans="2:12" ht="15" hidden="1" customHeight="1">
      <c r="D31" s="44" t="s">
        <v>73</v>
      </c>
      <c r="E31" s="57" t="s">
        <v>118</v>
      </c>
    </row>
    <row r="32" spans="2:12" ht="15" hidden="1" customHeight="1">
      <c r="D32" s="44" t="s">
        <v>74</v>
      </c>
      <c r="E32" s="57" t="s">
        <v>119</v>
      </c>
      <c r="I32" s="78"/>
      <c r="J32" s="79"/>
      <c r="K32" s="43"/>
    </row>
    <row r="33" spans="2:25" ht="15" hidden="1" customHeight="1">
      <c r="D33" s="44" t="s">
        <v>75</v>
      </c>
      <c r="E33" s="57" t="s">
        <v>120</v>
      </c>
      <c r="K33" s="43"/>
    </row>
    <row r="34" spans="2:25" ht="15" hidden="1" customHeight="1">
      <c r="B34" s="40"/>
      <c r="C34" s="45"/>
      <c r="D34" s="44" t="s">
        <v>76</v>
      </c>
      <c r="E34" s="57">
        <v>160</v>
      </c>
      <c r="K34" s="43"/>
    </row>
    <row r="35" spans="2:25" ht="15" hidden="1" customHeight="1">
      <c r="B35" s="40"/>
      <c r="C35" s="45"/>
      <c r="D35" s="49" t="s">
        <v>77</v>
      </c>
      <c r="E35" s="57">
        <v>15</v>
      </c>
      <c r="K35" s="43"/>
    </row>
    <row r="36" spans="2:25" ht="15" hidden="1" customHeight="1">
      <c r="B36" s="40"/>
      <c r="C36" s="45"/>
      <c r="D36" s="78"/>
      <c r="E36" s="57"/>
      <c r="K36" s="43"/>
    </row>
    <row r="37" spans="2:25" ht="15" hidden="1" customHeight="1">
      <c r="D37" s="47"/>
      <c r="E37" s="46"/>
      <c r="F37" s="43"/>
      <c r="G37" s="43"/>
      <c r="H37" s="43"/>
      <c r="I37" s="43"/>
      <c r="J37" s="43"/>
      <c r="K37" s="43"/>
      <c r="W37" s="42"/>
      <c r="Y37" s="38"/>
    </row>
    <row r="38" spans="2:25" ht="30" hidden="1" customHeight="1">
      <c r="C38" s="110" t="s">
        <v>53</v>
      </c>
      <c r="D38" s="110"/>
      <c r="F38" s="43"/>
      <c r="G38" s="43"/>
      <c r="H38" s="43"/>
      <c r="I38" s="43"/>
      <c r="J38" s="43"/>
      <c r="K38" s="43"/>
      <c r="W38" s="42"/>
      <c r="Y38" s="38"/>
    </row>
    <row r="39" spans="2:25" ht="4.95" hidden="1" customHeight="1">
      <c r="D39" s="43"/>
      <c r="E39" s="43"/>
      <c r="F39" s="43"/>
      <c r="G39" s="43"/>
      <c r="H39" s="43"/>
      <c r="I39" s="43"/>
      <c r="J39" s="43"/>
      <c r="K39" s="43"/>
      <c r="W39" s="42"/>
      <c r="Y39" s="38"/>
    </row>
    <row r="40" spans="2:25" ht="30" hidden="1" customHeight="1">
      <c r="D40" s="103" t="s">
        <v>61</v>
      </c>
      <c r="E40" s="104" t="s">
        <v>55</v>
      </c>
      <c r="F40" s="43"/>
      <c r="G40" s="43"/>
      <c r="H40" s="43"/>
      <c r="I40" s="43"/>
      <c r="J40" s="43"/>
      <c r="K40" s="43"/>
      <c r="W40" s="42"/>
      <c r="Y40" s="38"/>
    </row>
    <row r="41" spans="2:25" ht="15" hidden="1" customHeight="1">
      <c r="D41" s="48" t="s">
        <v>121</v>
      </c>
      <c r="E41" s="55" t="s">
        <v>102</v>
      </c>
      <c r="F41" s="43"/>
      <c r="G41" s="43"/>
      <c r="H41" s="43"/>
      <c r="I41" s="43"/>
      <c r="J41" s="43"/>
      <c r="K41" s="43"/>
      <c r="W41" s="42"/>
      <c r="Y41" s="38"/>
    </row>
    <row r="42" spans="2:25" ht="15" hidden="1" customHeight="1">
      <c r="D42" s="44" t="s">
        <v>78</v>
      </c>
      <c r="E42" s="56" t="s">
        <v>102</v>
      </c>
      <c r="F42" s="43"/>
      <c r="G42" s="43"/>
      <c r="H42" s="43"/>
      <c r="I42" s="43"/>
      <c r="J42" s="43"/>
      <c r="K42" s="43"/>
      <c r="W42" s="42"/>
      <c r="Y42" s="38"/>
    </row>
    <row r="43" spans="2:25" ht="15" hidden="1" customHeight="1">
      <c r="D43" s="63" t="s">
        <v>79</v>
      </c>
      <c r="E43" s="56"/>
      <c r="F43" s="43"/>
      <c r="G43" s="43"/>
      <c r="H43" s="43"/>
      <c r="I43" s="43"/>
      <c r="J43" s="43"/>
      <c r="K43" s="43"/>
      <c r="W43" s="42"/>
      <c r="Y43" s="38"/>
    </row>
    <row r="44" spans="2:25" ht="15" hidden="1" customHeight="1">
      <c r="D44" s="63" t="s">
        <v>80</v>
      </c>
      <c r="E44" s="56" t="s">
        <v>122</v>
      </c>
      <c r="F44" s="43"/>
      <c r="G44" s="43"/>
      <c r="H44" s="43"/>
      <c r="I44" s="43"/>
      <c r="J44" s="43"/>
      <c r="K44" s="43"/>
      <c r="W44" s="42"/>
      <c r="Y44" s="38"/>
    </row>
    <row r="45" spans="2:25" ht="15" hidden="1" customHeight="1">
      <c r="D45" s="63" t="s">
        <v>81</v>
      </c>
      <c r="E45" s="56" t="b">
        <v>0</v>
      </c>
      <c r="F45" s="43"/>
      <c r="G45" s="43"/>
      <c r="H45" s="43"/>
      <c r="I45" s="43"/>
      <c r="J45" s="43"/>
      <c r="K45" s="43"/>
      <c r="W45" s="42"/>
      <c r="Y45" s="38"/>
    </row>
    <row r="46" spans="2:25" ht="15" hidden="1" customHeight="1">
      <c r="D46" s="63" t="s">
        <v>82</v>
      </c>
      <c r="E46" s="56" t="b">
        <v>1</v>
      </c>
      <c r="F46" s="43"/>
      <c r="G46" s="43"/>
      <c r="H46" s="43"/>
      <c r="I46" s="43"/>
      <c r="J46" s="43"/>
      <c r="K46" s="43"/>
      <c r="W46" s="42"/>
      <c r="Y46" s="38"/>
    </row>
    <row r="47" spans="2:25" ht="15" hidden="1" customHeight="1">
      <c r="D47" s="63" t="s">
        <v>83</v>
      </c>
      <c r="E47" s="56" t="s">
        <v>123</v>
      </c>
      <c r="F47" s="43"/>
      <c r="G47" s="43"/>
      <c r="H47" s="43"/>
      <c r="I47" s="43"/>
      <c r="J47" s="43"/>
      <c r="K47" s="43"/>
      <c r="W47" s="42"/>
      <c r="Y47" s="38"/>
    </row>
    <row r="48" spans="2:25" ht="15" hidden="1" customHeight="1">
      <c r="D48" s="63" t="s">
        <v>84</v>
      </c>
      <c r="E48" s="56" t="b">
        <v>0</v>
      </c>
      <c r="F48" s="43"/>
      <c r="G48" s="43"/>
      <c r="H48" s="43"/>
      <c r="I48" s="43"/>
      <c r="J48" s="43"/>
      <c r="K48" s="43"/>
      <c r="W48" s="42"/>
      <c r="Y48" s="38"/>
    </row>
    <row r="49" spans="1:31" ht="15" hidden="1" customHeight="1">
      <c r="D49" s="63" t="s">
        <v>85</v>
      </c>
      <c r="E49" s="56" t="b">
        <v>0</v>
      </c>
      <c r="F49" s="43"/>
      <c r="G49" s="43"/>
      <c r="H49" s="43"/>
      <c r="I49" s="43"/>
      <c r="J49" s="43"/>
      <c r="K49" s="43"/>
      <c r="W49" s="42"/>
      <c r="Y49" s="38"/>
    </row>
    <row r="50" spans="1:31" ht="15" hidden="1" customHeight="1">
      <c r="D50" s="63" t="s">
        <v>86</v>
      </c>
      <c r="E50" s="56" t="b">
        <v>0</v>
      </c>
      <c r="F50" s="43"/>
      <c r="G50" s="43"/>
      <c r="H50" s="43"/>
      <c r="I50" s="43"/>
      <c r="J50" s="43"/>
      <c r="K50" s="43"/>
      <c r="W50" s="42"/>
      <c r="Y50" s="38"/>
    </row>
    <row r="51" spans="1:31" ht="15" hidden="1" customHeight="1">
      <c r="D51" s="64" t="s">
        <v>66</v>
      </c>
      <c r="E51" s="65" t="b">
        <v>1</v>
      </c>
      <c r="F51" s="43"/>
      <c r="G51" s="43"/>
      <c r="H51" s="43"/>
      <c r="I51" s="43"/>
      <c r="J51" s="43"/>
      <c r="K51" s="43"/>
      <c r="W51" s="42"/>
      <c r="Y51" s="38"/>
    </row>
    <row r="52" spans="1:31" ht="15" hidden="1" customHeight="1">
      <c r="D52" s="47"/>
      <c r="E52" s="46"/>
      <c r="F52" s="43"/>
      <c r="G52" s="43"/>
      <c r="H52" s="43"/>
      <c r="I52" s="43"/>
      <c r="J52" s="43"/>
      <c r="K52" s="43"/>
      <c r="W52" s="42"/>
      <c r="Y52" s="38"/>
    </row>
    <row r="53" spans="1:31" ht="15" hidden="1" customHeight="1">
      <c r="D53" s="47"/>
      <c r="E53" s="46"/>
      <c r="F53" s="43"/>
      <c r="G53" s="43"/>
      <c r="H53" s="43"/>
      <c r="I53" s="43"/>
      <c r="J53" s="43"/>
      <c r="K53" s="43"/>
      <c r="W53" s="42"/>
      <c r="Y53" s="38"/>
    </row>
    <row r="54" spans="1:31" ht="15" hidden="1" customHeight="1">
      <c r="D54" s="47"/>
      <c r="E54" s="46"/>
      <c r="F54" s="43"/>
      <c r="G54" s="43"/>
      <c r="H54" s="43"/>
      <c r="I54" s="43"/>
      <c r="J54" s="43"/>
      <c r="K54" s="43"/>
      <c r="W54" s="42"/>
      <c r="Y54" s="38"/>
    </row>
    <row r="55" spans="1:31" s="83" customFormat="1" ht="15" customHeight="1">
      <c r="D55" s="47"/>
      <c r="E55" s="46"/>
      <c r="F55" s="43"/>
      <c r="G55" s="43"/>
      <c r="H55" s="43"/>
      <c r="I55" s="43"/>
      <c r="J55" s="43"/>
      <c r="K55" s="43"/>
      <c r="W55" s="42"/>
      <c r="Y55" s="38"/>
    </row>
    <row r="56" spans="1:31" ht="15" customHeight="1">
      <c r="A56" s="6"/>
      <c r="B56" s="67" t="s">
        <v>62</v>
      </c>
      <c r="C56" s="102" t="s">
        <v>89</v>
      </c>
      <c r="AB56" s="4"/>
    </row>
    <row r="57" spans="1:31" ht="15" customHeight="1">
      <c r="C57" s="54"/>
      <c r="AB57" s="4"/>
    </row>
    <row r="58" spans="1:31" ht="30" customHeight="1" outlineLevel="1">
      <c r="C58" s="122" t="s">
        <v>93</v>
      </c>
      <c r="D58" s="123" t="s">
        <v>88</v>
      </c>
      <c r="E58" s="124" t="s">
        <v>100</v>
      </c>
      <c r="F58" s="125" t="s">
        <v>91</v>
      </c>
      <c r="G58" s="126" t="s">
        <v>6</v>
      </c>
      <c r="H58" s="126" t="s">
        <v>48</v>
      </c>
      <c r="I58" s="126" t="s">
        <v>92</v>
      </c>
      <c r="J58" s="126" t="s">
        <v>10</v>
      </c>
      <c r="K58" s="125" t="s">
        <v>98</v>
      </c>
      <c r="AE58" s="4"/>
    </row>
    <row r="59" spans="1:31" ht="15" customHeight="1" outlineLevel="1">
      <c r="C59" s="137" t="str">
        <f>HYPERLINK("#'"&amp;tbl_DfOverview[[#This Row],[Dataframe]]&amp;"'!Headers_Start", "Link")</f>
        <v>Link</v>
      </c>
      <c r="D59" s="93" t="s">
        <v>102</v>
      </c>
      <c r="E59" s="94" t="str">
        <f ca="1">INDIRECT("'"&amp;tbl_DfOverview[[#This Row],[Dataframe]]&amp;"'!Description")</f>
        <v>Dataset Description</v>
      </c>
      <c r="F59" s="108">
        <v>16692</v>
      </c>
      <c r="G59" s="95">
        <v>345</v>
      </c>
      <c r="H59" s="96">
        <v>7</v>
      </c>
      <c r="I59" s="97">
        <f ca="1">IFERROR(SUMPRODUCT((tbl_FieldOverview[Dataframe]=tbl_DfOverview[[#This Row],[Dataframe]]) * (tbl_FieldOverview[Definition]&lt;&gt;"Definition"))/tbl_DfOverview[[#This Row],[Columns]],"")</f>
        <v>0</v>
      </c>
      <c r="J59" s="89">
        <v>0</v>
      </c>
      <c r="K59" s="98" t="b">
        <v>0</v>
      </c>
      <c r="AE59" s="4"/>
    </row>
    <row r="60" spans="1:31" ht="15" customHeight="1" outlineLevel="1"/>
    <row r="61" spans="1:31" ht="15" customHeight="1">
      <c r="AB61" s="4"/>
    </row>
    <row r="62" spans="1:31" ht="15" customHeight="1">
      <c r="B62" s="67" t="s">
        <v>62</v>
      </c>
      <c r="C62" s="102" t="s">
        <v>90</v>
      </c>
      <c r="D62" s="83"/>
      <c r="AB62" s="4"/>
    </row>
    <row r="63" spans="1:31" ht="10.050000000000001" customHeight="1"/>
    <row r="64" spans="1:31" ht="10.050000000000001" customHeight="1"/>
    <row r="65" spans="3:30" ht="30" customHeight="1" outlineLevel="1">
      <c r="C65" s="122" t="s">
        <v>93</v>
      </c>
      <c r="D65" s="127" t="s">
        <v>88</v>
      </c>
      <c r="E65" s="127" t="s">
        <v>39</v>
      </c>
      <c r="F65" s="127" t="s">
        <v>40</v>
      </c>
      <c r="G65" s="127" t="s">
        <v>1</v>
      </c>
      <c r="H65" s="125" t="s">
        <v>8</v>
      </c>
      <c r="I65" s="125" t="s">
        <v>9</v>
      </c>
      <c r="J65" s="125" t="s">
        <v>10</v>
      </c>
      <c r="K65" s="125" t="s">
        <v>11</v>
      </c>
      <c r="L65" s="125" t="s">
        <v>12</v>
      </c>
      <c r="M65" s="125" t="s">
        <v>13</v>
      </c>
      <c r="N65" s="125" t="s">
        <v>14</v>
      </c>
      <c r="O65" s="125" t="s">
        <v>41</v>
      </c>
      <c r="P65" s="125" t="s">
        <v>15</v>
      </c>
      <c r="Q65" s="125" t="s">
        <v>17</v>
      </c>
      <c r="R65" s="125" t="s">
        <v>18</v>
      </c>
      <c r="S65" s="125" t="s">
        <v>19</v>
      </c>
      <c r="T65" s="125" t="s">
        <v>20</v>
      </c>
      <c r="U65" s="125" t="s">
        <v>21</v>
      </c>
      <c r="V65" s="125" t="s">
        <v>23</v>
      </c>
      <c r="W65" s="128" t="s">
        <v>42</v>
      </c>
      <c r="X65" s="128" t="s">
        <v>43</v>
      </c>
      <c r="Y65" s="128" t="s">
        <v>44</v>
      </c>
      <c r="Z65" s="128" t="s">
        <v>45</v>
      </c>
      <c r="AA65" s="128" t="s">
        <v>46</v>
      </c>
      <c r="AB65" s="125" t="s">
        <v>24</v>
      </c>
      <c r="AC65" s="125" t="s">
        <v>25</v>
      </c>
      <c r="AD65" s="125" t="s">
        <v>26</v>
      </c>
    </row>
    <row r="66" spans="3:30" ht="15" customHeight="1" outlineLevel="1">
      <c r="C66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6" s="85" t="s">
        <v>102</v>
      </c>
      <c r="E66" s="86" t="s">
        <v>103</v>
      </c>
      <c r="F66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6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6" s="88" t="s">
        <v>111</v>
      </c>
      <c r="I66" s="89">
        <v>7.5362318840579701E-2</v>
      </c>
      <c r="J66" s="89">
        <v>0</v>
      </c>
      <c r="K66" s="89">
        <v>0.165348670021567</v>
      </c>
      <c r="L66" s="90">
        <v>2760</v>
      </c>
      <c r="M66" s="90">
        <v>26</v>
      </c>
      <c r="N66" s="90">
        <v>345</v>
      </c>
      <c r="O66" s="91">
        <v>1</v>
      </c>
      <c r="P66" s="90">
        <v>0</v>
      </c>
      <c r="Q66" s="92">
        <v>90.159420289855007</v>
      </c>
      <c r="R66" s="92">
        <v>90</v>
      </c>
      <c r="S66" s="92">
        <v>91</v>
      </c>
      <c r="T66" s="92">
        <v>4.4480959749643496</v>
      </c>
      <c r="U66" s="92">
        <v>19.7855578024941</v>
      </c>
      <c r="V66" s="92">
        <v>65</v>
      </c>
      <c r="W66" s="92">
        <v>83</v>
      </c>
      <c r="X66" s="92">
        <v>87</v>
      </c>
      <c r="Y66" s="92">
        <v>90</v>
      </c>
      <c r="Z66" s="92">
        <v>93</v>
      </c>
      <c r="AA66" s="92">
        <v>98</v>
      </c>
      <c r="AB66" s="92">
        <v>103</v>
      </c>
      <c r="AC66" s="92">
        <v>38</v>
      </c>
      <c r="AD66" s="92">
        <v>6</v>
      </c>
    </row>
    <row r="67" spans="3:30" ht="15" customHeight="1" outlineLevel="1">
      <c r="C67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7" s="85" t="s">
        <v>102</v>
      </c>
      <c r="E67" s="86" t="s">
        <v>104</v>
      </c>
      <c r="F67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7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7" s="88" t="s">
        <v>111</v>
      </c>
      <c r="I67" s="89">
        <v>0.22608695652173899</v>
      </c>
      <c r="J67" s="89">
        <v>0</v>
      </c>
      <c r="K67" s="89">
        <v>0.165348670021567</v>
      </c>
      <c r="L67" s="90">
        <v>2760</v>
      </c>
      <c r="M67" s="90">
        <v>78</v>
      </c>
      <c r="N67" s="90">
        <v>345</v>
      </c>
      <c r="O67" s="91">
        <v>1</v>
      </c>
      <c r="P67" s="90">
        <v>0</v>
      </c>
      <c r="Q67" s="92">
        <v>69.869565217391298</v>
      </c>
      <c r="R67" s="92">
        <v>67</v>
      </c>
      <c r="S67" s="92">
        <v>63</v>
      </c>
      <c r="T67" s="92">
        <v>18.3476703447019</v>
      </c>
      <c r="U67" s="92">
        <v>336.63700707785603</v>
      </c>
      <c r="V67" s="92">
        <v>23</v>
      </c>
      <c r="W67" s="92">
        <v>44</v>
      </c>
      <c r="X67" s="92">
        <v>57</v>
      </c>
      <c r="Y67" s="92">
        <v>67</v>
      </c>
      <c r="Z67" s="92">
        <v>80</v>
      </c>
      <c r="AA67" s="92">
        <v>102</v>
      </c>
      <c r="AB67" s="92">
        <v>138</v>
      </c>
      <c r="AC67" s="92">
        <v>115</v>
      </c>
      <c r="AD67" s="92">
        <v>23</v>
      </c>
    </row>
    <row r="68" spans="3:30" ht="15" customHeight="1" outlineLevel="1">
      <c r="C68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8" s="85" t="s">
        <v>102</v>
      </c>
      <c r="E68" s="86" t="s">
        <v>105</v>
      </c>
      <c r="F68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8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8" s="88" t="s">
        <v>111</v>
      </c>
      <c r="I68" s="89">
        <v>0.19420289855072401</v>
      </c>
      <c r="J68" s="89">
        <v>0</v>
      </c>
      <c r="K68" s="89">
        <v>0.165348670021567</v>
      </c>
      <c r="L68" s="90">
        <v>2760</v>
      </c>
      <c r="M68" s="90">
        <v>67</v>
      </c>
      <c r="N68" s="90">
        <v>345</v>
      </c>
      <c r="O68" s="91">
        <v>1</v>
      </c>
      <c r="P68" s="90">
        <v>0</v>
      </c>
      <c r="Q68" s="92">
        <v>30.405797101449199</v>
      </c>
      <c r="R68" s="92">
        <v>26</v>
      </c>
      <c r="S68" s="92">
        <v>17</v>
      </c>
      <c r="T68" s="92">
        <v>19.512308906279099</v>
      </c>
      <c r="U68" s="92">
        <v>380.73019885406097</v>
      </c>
      <c r="V68" s="92">
        <v>4</v>
      </c>
      <c r="W68" s="92">
        <v>12</v>
      </c>
      <c r="X68" s="92">
        <v>19</v>
      </c>
      <c r="Y68" s="92">
        <v>26</v>
      </c>
      <c r="Z68" s="92">
        <v>34</v>
      </c>
      <c r="AA68" s="92">
        <v>66.400000000000006</v>
      </c>
      <c r="AB68" s="92">
        <v>155</v>
      </c>
      <c r="AC68" s="92">
        <v>151</v>
      </c>
      <c r="AD68" s="92">
        <v>15</v>
      </c>
    </row>
    <row r="69" spans="3:30" ht="15" customHeight="1" outlineLevel="1">
      <c r="C69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69" s="85" t="s">
        <v>102</v>
      </c>
      <c r="E69" s="86" t="s">
        <v>106</v>
      </c>
      <c r="F69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69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69" s="88" t="s">
        <v>111</v>
      </c>
      <c r="I69" s="89">
        <v>0.13623188405797099</v>
      </c>
      <c r="J69" s="89">
        <v>0</v>
      </c>
      <c r="K69" s="89">
        <v>0.165348670021567</v>
      </c>
      <c r="L69" s="90">
        <v>2760</v>
      </c>
      <c r="M69" s="90">
        <v>47</v>
      </c>
      <c r="N69" s="90">
        <v>345</v>
      </c>
      <c r="O69" s="91">
        <v>1</v>
      </c>
      <c r="P69" s="90">
        <v>0</v>
      </c>
      <c r="Q69" s="92">
        <v>24.6434782608695</v>
      </c>
      <c r="R69" s="92">
        <v>23</v>
      </c>
      <c r="S69" s="92">
        <v>20</v>
      </c>
      <c r="T69" s="92">
        <v>10.064493746739499</v>
      </c>
      <c r="U69" s="92">
        <v>101.294034378159</v>
      </c>
      <c r="V69" s="92">
        <v>5</v>
      </c>
      <c r="W69" s="92">
        <v>14</v>
      </c>
      <c r="X69" s="92">
        <v>19</v>
      </c>
      <c r="Y69" s="92">
        <v>23</v>
      </c>
      <c r="Z69" s="92">
        <v>27</v>
      </c>
      <c r="AA69" s="92">
        <v>43</v>
      </c>
      <c r="AB69" s="92">
        <v>82</v>
      </c>
      <c r="AC69" s="92">
        <v>77</v>
      </c>
      <c r="AD69" s="92">
        <v>8</v>
      </c>
    </row>
    <row r="70" spans="3:30" ht="15" customHeight="1" outlineLevel="1">
      <c r="C70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0" s="85" t="s">
        <v>102</v>
      </c>
      <c r="E70" s="86" t="s">
        <v>107</v>
      </c>
      <c r="F70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0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0" s="88" t="s">
        <v>111</v>
      </c>
      <c r="I70" s="89">
        <v>0.27246376811594197</v>
      </c>
      <c r="J70" s="89">
        <v>0</v>
      </c>
      <c r="K70" s="89">
        <v>0.165348670021567</v>
      </c>
      <c r="L70" s="90">
        <v>2760</v>
      </c>
      <c r="M70" s="90">
        <v>94</v>
      </c>
      <c r="N70" s="90">
        <v>345</v>
      </c>
      <c r="O70" s="91">
        <v>1</v>
      </c>
      <c r="P70" s="90">
        <v>0</v>
      </c>
      <c r="Q70" s="92">
        <v>38.284057971014398</v>
      </c>
      <c r="R70" s="92">
        <v>25</v>
      </c>
      <c r="S70" s="92">
        <v>14</v>
      </c>
      <c r="T70" s="92">
        <v>39.2546161675508</v>
      </c>
      <c r="U70" s="92">
        <v>1540.92489046174</v>
      </c>
      <c r="V70" s="92">
        <v>5</v>
      </c>
      <c r="W70" s="92">
        <v>9</v>
      </c>
      <c r="X70" s="92">
        <v>15</v>
      </c>
      <c r="Y70" s="92">
        <v>25</v>
      </c>
      <c r="Z70" s="92">
        <v>46</v>
      </c>
      <c r="AA70" s="92">
        <v>114.8</v>
      </c>
      <c r="AB70" s="92">
        <v>297</v>
      </c>
      <c r="AC70" s="92">
        <v>292</v>
      </c>
      <c r="AD70" s="92">
        <v>31</v>
      </c>
    </row>
    <row r="71" spans="3:30" ht="15" customHeight="1" outlineLevel="1">
      <c r="C71" s="137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1" s="85" t="s">
        <v>102</v>
      </c>
      <c r="E71" s="86" t="s">
        <v>108</v>
      </c>
      <c r="F71" s="87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1" s="87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1" s="88" t="s">
        <v>112</v>
      </c>
      <c r="I71" s="89">
        <v>4.6376811594202899E-2</v>
      </c>
      <c r="J71" s="89">
        <v>0</v>
      </c>
      <c r="K71" s="89">
        <v>0.165348670021567</v>
      </c>
      <c r="L71" s="90">
        <v>2760</v>
      </c>
      <c r="M71" s="90">
        <v>16</v>
      </c>
      <c r="N71" s="90">
        <v>345</v>
      </c>
      <c r="O71" s="91">
        <v>1</v>
      </c>
      <c r="P71" s="90">
        <v>0</v>
      </c>
      <c r="Q71" s="92">
        <v>3.4550724637681101</v>
      </c>
      <c r="R71" s="92">
        <v>3</v>
      </c>
      <c r="S71" s="92">
        <v>0.5</v>
      </c>
      <c r="T71" s="92">
        <v>3.3378352645771199</v>
      </c>
      <c r="U71" s="92">
        <v>11.1411442534546</v>
      </c>
      <c r="V71" s="92">
        <v>0</v>
      </c>
      <c r="W71" s="92">
        <v>0.5</v>
      </c>
      <c r="X71" s="92">
        <v>0.5</v>
      </c>
      <c r="Y71" s="92">
        <v>3</v>
      </c>
      <c r="Z71" s="92">
        <v>6</v>
      </c>
      <c r="AA71" s="92">
        <v>10</v>
      </c>
      <c r="AB71" s="92">
        <v>20</v>
      </c>
      <c r="AC71" s="92">
        <v>20</v>
      </c>
      <c r="AD71" s="92">
        <v>5.5</v>
      </c>
    </row>
    <row r="72" spans="3:30" ht="15" customHeight="1" outlineLevel="1">
      <c r="C72" s="138" t="str">
        <f ca="1">HYPERLINK("#" &amp; CELL("address", _xlfn.XLOOKUP(tbl_FieldOverview[[#This Row],[Field]],INDIRECT("'"&amp;tbl_FieldOverview[[#This Row],[Dataframe]]&amp;"'!Headers"),INDIRECT("'"&amp;tbl_FieldOverview[[#This Row],[Dataframe]]&amp;"'!Headers"),"")), "Link")</f>
        <v>Link</v>
      </c>
      <c r="D72" s="129" t="s">
        <v>102</v>
      </c>
      <c r="E72" s="130" t="s">
        <v>109</v>
      </c>
      <c r="F72" s="131" t="str">
        <f ca="1">_xlfn.XLOOKUP(tbl_FieldOverview[[#This Row],[Field]],INDIRECT("'"&amp;tbl_FieldOverview[[#This Row],[Dataframe]]&amp;"'!Headers"),INDIRECT("'"&amp;tbl_FieldOverview[[#This Row],[Dataframe]]&amp;"'!Definitions"),"")</f>
        <v>Definition</v>
      </c>
      <c r="G72" s="131" t="str">
        <f ca="1">_xlfn.XLOOKUP(tbl_FieldOverview[[#This Row],[Field]],INDIRECT("'"&amp;tbl_FieldOverview[[#This Row],[Dataframe]]&amp;"'!Headers"),INDIRECT("'"&amp;tbl_FieldOverview[[#This Row],[Dataframe]]&amp;"'!Notes"),"")</f>
        <v>Note</v>
      </c>
      <c r="H72" s="132" t="s">
        <v>111</v>
      </c>
      <c r="I72" s="133">
        <v>1</v>
      </c>
      <c r="J72" s="133">
        <v>0</v>
      </c>
      <c r="K72" s="133">
        <v>7.9079798705966892E-3</v>
      </c>
      <c r="L72" s="134">
        <v>132</v>
      </c>
      <c r="M72" s="134">
        <v>345</v>
      </c>
      <c r="N72" s="134">
        <v>345</v>
      </c>
      <c r="O72" s="135">
        <v>1</v>
      </c>
      <c r="P72" s="134">
        <v>0</v>
      </c>
      <c r="Q72" s="136">
        <v>172</v>
      </c>
      <c r="R72" s="136">
        <v>172</v>
      </c>
      <c r="S72" s="136">
        <v>0</v>
      </c>
      <c r="T72" s="136">
        <v>99.737154561376897</v>
      </c>
      <c r="U72" s="136">
        <v>9947.4999999999909</v>
      </c>
      <c r="V72" s="136">
        <v>0</v>
      </c>
      <c r="W72" s="136">
        <v>17.2</v>
      </c>
      <c r="X72" s="136">
        <v>86</v>
      </c>
      <c r="Y72" s="136">
        <v>172</v>
      </c>
      <c r="Z72" s="136">
        <v>258</v>
      </c>
      <c r="AA72" s="136">
        <v>326.8</v>
      </c>
      <c r="AB72" s="136">
        <v>344</v>
      </c>
      <c r="AC72" s="136">
        <v>344</v>
      </c>
      <c r="AD72" s="136">
        <v>172</v>
      </c>
    </row>
    <row r="73" spans="3:30" ht="15" customHeight="1" outlineLevel="1"/>
  </sheetData>
  <mergeCells count="6">
    <mergeCell ref="H6:I6"/>
    <mergeCell ref="H7:I7"/>
    <mergeCell ref="C9:D9"/>
    <mergeCell ref="C18:D18"/>
    <mergeCell ref="C38:D38"/>
    <mergeCell ref="H9:I9"/>
  </mergeCells>
  <conditionalFormatting sqref="I66:K72">
    <cfRule type="colorScale" priority="13">
      <colorScale>
        <cfvo type="num" val="0"/>
        <cfvo type="num" val="0.2"/>
        <color rgb="FF000000"/>
        <color rgb="FF7A0000"/>
      </colorScale>
    </cfRule>
  </conditionalFormatting>
  <conditionalFormatting sqref="K59">
    <cfRule type="cellIs" dxfId="97" priority="1" operator="equal">
      <formula>FALSE</formula>
    </cfRule>
    <cfRule type="cellIs" dxfId="96" priority="6" operator="equal">
      <formula>TRUE</formula>
    </cfRule>
  </conditionalFormatting>
  <conditionalFormatting sqref="I59">
    <cfRule type="colorScale" priority="11">
      <colorScale>
        <cfvo type="num" val="0"/>
        <cfvo type="num" val="1"/>
        <color rgb="FF262626"/>
        <color theme="9"/>
      </colorScale>
    </cfRule>
  </conditionalFormatting>
  <conditionalFormatting sqref="F66:F72">
    <cfRule type="cellIs" dxfId="95" priority="10" operator="equal">
      <formula>"Definition"</formula>
    </cfRule>
  </conditionalFormatting>
  <conditionalFormatting sqref="G66:G72">
    <cfRule type="cellIs" dxfId="94" priority="9" operator="equal">
      <formula>"Note"</formula>
    </cfRule>
  </conditionalFormatting>
  <conditionalFormatting sqref="E59">
    <cfRule type="cellIs" dxfId="93" priority="8" operator="equal">
      <formula>"Dataset Description"</formula>
    </cfRule>
  </conditionalFormatting>
  <conditionalFormatting sqref="F12:F15">
    <cfRule type="colorScale" priority="7">
      <colorScale>
        <cfvo type="num" val="0"/>
        <cfvo type="num" val="0.2"/>
        <color rgb="FF000000"/>
        <color rgb="FFC00000"/>
      </colorScale>
    </cfRule>
  </conditionalFormatting>
  <conditionalFormatting sqref="C66:C72">
    <cfRule type="cellIs" dxfId="92" priority="4" operator="equal">
      <formula>"Link"</formula>
    </cfRule>
  </conditionalFormatting>
  <conditionalFormatting sqref="C59">
    <cfRule type="cellIs" dxfId="91" priority="3" operator="equal">
      <formula>"Link"</formula>
    </cfRule>
  </conditionalFormatting>
  <conditionalFormatting sqref="J59">
    <cfRule type="colorScale" priority="2">
      <colorScale>
        <cfvo type="num" val="0"/>
        <cfvo type="num" val="0.2"/>
        <color rgb="FF000000"/>
        <color rgb="FF7A0000"/>
      </colorScale>
    </cfRule>
  </conditionalFormatting>
  <hyperlinks>
    <hyperlink ref="D63" location="'Country Stats'!A1" display="Country Stats" xr:uid="{37F97D7D-6476-49BF-9118-0DA3787A2751}"/>
  </hyperlinks>
  <pageMargins left="0.7" right="0.7" top="0.75" bottom="0.75" header="0.3" footer="0.3"/>
  <pageSetup orientation="portrait" r:id="rId1"/>
  <drawing r:id="rId2"/>
  <tableParts count="6"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131313"/>
  </sheetPr>
  <dimension ref="A1:L426"/>
  <sheetViews>
    <sheetView topLeftCell="A2" zoomScale="85" zoomScaleNormal="85" workbookViewId="0">
      <pane xSplit="3" ySplit="20" topLeftCell="D22" activePane="bottomRight" state="frozen"/>
      <selection activeCell="A2" sqref="A2"/>
      <selection pane="topRight" activeCell="D2" sqref="D2"/>
      <selection pane="bottomLeft" activeCell="A22" sqref="A22"/>
      <selection pane="bottomRight" activeCell="D21" sqref="D21"/>
    </sheetView>
  </sheetViews>
  <sheetFormatPr defaultColWidth="15.6640625" defaultRowHeight="15" customHeight="1" outlineLevelRow="2"/>
  <cols>
    <col min="1" max="1" width="1.77734375" customWidth="1"/>
    <col min="2" max="2" width="8.33203125" customWidth="1"/>
    <col min="3" max="3" width="26.44140625" bestFit="1" customWidth="1"/>
    <col min="4" max="4" width="25.6640625" customWidth="1"/>
    <col min="5" max="6" width="27.6640625" customWidth="1"/>
    <col min="7" max="10" width="27.6640625" style="83" customWidth="1"/>
  </cols>
  <sheetData>
    <row r="1" spans="1:10" ht="19.95" hidden="1" customHeight="1">
      <c r="B1" s="13"/>
      <c r="C1" s="14"/>
      <c r="D1" s="14" t="s">
        <v>0</v>
      </c>
      <c r="E1" s="14"/>
      <c r="F1" s="14"/>
      <c r="G1" s="14"/>
      <c r="H1" s="14"/>
      <c r="I1" s="14"/>
      <c r="J1" s="14"/>
    </row>
    <row r="2" spans="1:10" s="73" customFormat="1" ht="4.95" customHeight="1">
      <c r="C2" s="74"/>
      <c r="D2" s="74"/>
      <c r="E2" s="74"/>
      <c r="F2" s="74"/>
      <c r="G2" s="74"/>
      <c r="H2" s="74"/>
      <c r="I2" s="74"/>
      <c r="J2" s="74"/>
    </row>
    <row r="3" spans="1:10" ht="14.4" customHeight="1">
      <c r="B3" s="82" t="str">
        <f ca="1">HYPERLINK("#" &amp; CELL("address", _xlfn.XLOOKUP(Name,tbl_DfOverview[Dataframe],tbl_DfOverview[_],tbl_DfOverview[[#Headers],[_]])), "Overview ↩")</f>
        <v>Overview ↩</v>
      </c>
      <c r="C3" s="82"/>
    </row>
    <row r="4" spans="1:10" ht="4.95" customHeight="1">
      <c r="B4" s="68"/>
    </row>
    <row r="5" spans="1:10" ht="30" customHeight="1">
      <c r="B5" s="99" t="e" vm="1">
        <v>#VALUE!</v>
      </c>
      <c r="C5" s="76" t="s">
        <v>102</v>
      </c>
      <c r="D5" s="22"/>
    </row>
    <row r="6" spans="1:10" ht="10.199999999999999" customHeight="1"/>
    <row r="7" spans="1:10" ht="14.4">
      <c r="A7" s="66"/>
      <c r="B7" s="84" t="s">
        <v>62</v>
      </c>
      <c r="C7" s="2" t="s">
        <v>5</v>
      </c>
    </row>
    <row r="8" spans="1:10" ht="10.199999999999999" customHeight="1">
      <c r="A8" s="66"/>
    </row>
    <row r="9" spans="1:10" ht="49.95" hidden="1" customHeight="1" outlineLevel="1">
      <c r="A9" s="66"/>
      <c r="D9" s="70" t="s">
        <v>51</v>
      </c>
      <c r="E9" s="71"/>
    </row>
    <row r="10" spans="1:10" ht="14.4" hidden="1" outlineLevel="1">
      <c r="A10" s="66"/>
    </row>
    <row r="11" spans="1:10" ht="15" hidden="1" customHeight="1" outlineLevel="1">
      <c r="A11" s="66"/>
      <c r="C11" s="21" t="s">
        <v>6</v>
      </c>
      <c r="D11" s="32">
        <v>345</v>
      </c>
    </row>
    <row r="12" spans="1:10" ht="15" hidden="1" customHeight="1" outlineLevel="1">
      <c r="A12" s="66"/>
      <c r="C12" s="3" t="s">
        <v>48</v>
      </c>
      <c r="D12" s="24">
        <v>7</v>
      </c>
    </row>
    <row r="13" spans="1:10" ht="15" hidden="1" customHeight="1" outlineLevel="1">
      <c r="A13" s="66"/>
      <c r="C13" s="3" t="s">
        <v>12</v>
      </c>
      <c r="D13" s="24">
        <v>16692</v>
      </c>
    </row>
    <row r="14" spans="1:10" ht="15" hidden="1" customHeight="1" outlineLevel="1">
      <c r="A14" s="66"/>
      <c r="C14" s="3" t="s">
        <v>49</v>
      </c>
      <c r="D14" s="30">
        <v>1</v>
      </c>
    </row>
    <row r="15" spans="1:10" ht="15" hidden="1" customHeight="1" outlineLevel="1">
      <c r="A15" s="66"/>
      <c r="C15" s="3" t="s">
        <v>50</v>
      </c>
      <c r="D15" s="31">
        <v>0</v>
      </c>
    </row>
    <row r="16" spans="1:10" ht="10.199999999999999" hidden="1" customHeight="1" outlineLevel="1">
      <c r="A16" s="66"/>
    </row>
    <row r="17" spans="1:12" ht="34.950000000000003" hidden="1" customHeight="1" outlineLevel="1">
      <c r="A17" s="66"/>
      <c r="C17" s="21" t="s">
        <v>2</v>
      </c>
      <c r="D17" s="33" t="s">
        <v>40</v>
      </c>
      <c r="E17" s="34" t="s">
        <v>40</v>
      </c>
      <c r="F17" s="34" t="s">
        <v>40</v>
      </c>
      <c r="G17" s="34" t="s">
        <v>40</v>
      </c>
      <c r="H17" s="34" t="s">
        <v>40</v>
      </c>
      <c r="I17" s="34" t="s">
        <v>40</v>
      </c>
      <c r="J17" s="34" t="s">
        <v>40</v>
      </c>
    </row>
    <row r="18" spans="1:12" ht="10.199999999999999" hidden="1" customHeight="1" outlineLevel="1">
      <c r="A18" s="66"/>
    </row>
    <row r="19" spans="1:12" ht="34.950000000000003" hidden="1" customHeight="1" outlineLevel="1">
      <c r="C19" s="21" t="s">
        <v>3</v>
      </c>
      <c r="D19" s="35" t="s">
        <v>47</v>
      </c>
      <c r="E19" s="36" t="s">
        <v>47</v>
      </c>
      <c r="F19" s="37" t="s">
        <v>47</v>
      </c>
      <c r="G19" s="37" t="s">
        <v>47</v>
      </c>
      <c r="H19" s="37" t="s">
        <v>47</v>
      </c>
      <c r="I19" s="37" t="s">
        <v>47</v>
      </c>
      <c r="J19" s="37" t="s">
        <v>47</v>
      </c>
    </row>
    <row r="20" spans="1:12" ht="10.199999999999999" hidden="1" customHeight="1" outlineLevel="1"/>
    <row r="21" spans="1:12" s="23" customFormat="1" ht="30" customHeight="1" collapsed="1">
      <c r="B21" s="111"/>
      <c r="C21" s="111" t="s">
        <v>4</v>
      </c>
      <c r="D21" s="112" t="s">
        <v>103</v>
      </c>
      <c r="E21" s="112" t="s">
        <v>104</v>
      </c>
      <c r="F21" s="112" t="s">
        <v>105</v>
      </c>
      <c r="G21" s="112" t="s">
        <v>106</v>
      </c>
      <c r="H21" s="112" t="s">
        <v>107</v>
      </c>
      <c r="I21" s="112" t="s">
        <v>108</v>
      </c>
      <c r="J21" s="112" t="s">
        <v>109</v>
      </c>
      <c r="K21" s="23" t="s">
        <v>38</v>
      </c>
      <c r="L21" s="23" t="s">
        <v>110</v>
      </c>
    </row>
    <row r="22" spans="1:12" ht="10.199999999999999" customHeight="1"/>
    <row r="23" spans="1:12" ht="14.4" outlineLevel="1">
      <c r="A23" s="66"/>
      <c r="B23" s="84" t="s">
        <v>62</v>
      </c>
      <c r="C23" s="2" t="s">
        <v>7</v>
      </c>
    </row>
    <row r="24" spans="1:12" ht="10.199999999999999" customHeight="1" outlineLevel="1">
      <c r="A24" s="66"/>
    </row>
    <row r="25" spans="1:12" ht="15" hidden="1" customHeight="1" outlineLevel="2">
      <c r="A25" s="66"/>
      <c r="C25" s="19" t="s">
        <v>8</v>
      </c>
      <c r="D25" s="9" t="s">
        <v>111</v>
      </c>
      <c r="E25" s="9" t="s">
        <v>111</v>
      </c>
      <c r="F25" s="9" t="s">
        <v>111</v>
      </c>
      <c r="G25" s="9" t="s">
        <v>111</v>
      </c>
      <c r="H25" s="9" t="s">
        <v>111</v>
      </c>
      <c r="I25" s="9" t="s">
        <v>112</v>
      </c>
      <c r="J25" s="9" t="s">
        <v>111</v>
      </c>
    </row>
    <row r="26" spans="1:12" ht="15" hidden="1" customHeight="1" outlineLevel="2">
      <c r="A26" s="66"/>
      <c r="C26" s="3" t="s">
        <v>9</v>
      </c>
      <c r="D26" s="10">
        <v>7.5362318840579701E-2</v>
      </c>
      <c r="E26" s="10">
        <v>0.22608695652173899</v>
      </c>
      <c r="F26" s="10">
        <v>0.19420289855072401</v>
      </c>
      <c r="G26" s="10">
        <v>0.13623188405797099</v>
      </c>
      <c r="H26" s="10">
        <v>0.27246376811594197</v>
      </c>
      <c r="I26" s="10">
        <v>4.6376811594202899E-2</v>
      </c>
      <c r="J26" s="10">
        <v>1</v>
      </c>
    </row>
    <row r="27" spans="1:12" ht="15" hidden="1" customHeight="1" outlineLevel="2">
      <c r="A27" s="66"/>
      <c r="C27" s="18" t="s">
        <v>10</v>
      </c>
      <c r="D27" s="10">
        <v>0</v>
      </c>
      <c r="E27" s="10">
        <v>0</v>
      </c>
      <c r="F27" s="10">
        <v>0</v>
      </c>
      <c r="G27" s="10">
        <v>0</v>
      </c>
      <c r="H27" s="10">
        <v>0</v>
      </c>
      <c r="I27" s="10">
        <v>0</v>
      </c>
      <c r="J27" s="10">
        <v>0</v>
      </c>
    </row>
    <row r="28" spans="1:12" ht="15" hidden="1" customHeight="1" outlineLevel="2">
      <c r="A28" s="66"/>
      <c r="C28" s="18" t="s">
        <v>11</v>
      </c>
      <c r="D28" s="10">
        <v>0.165348670021567</v>
      </c>
      <c r="E28" s="10">
        <v>0.165348670021567</v>
      </c>
      <c r="F28" s="10">
        <v>0.165348670021567</v>
      </c>
      <c r="G28" s="10">
        <v>0.165348670021567</v>
      </c>
      <c r="H28" s="10">
        <v>0.165348670021567</v>
      </c>
      <c r="I28" s="10">
        <v>0.165348670021567</v>
      </c>
      <c r="J28" s="10">
        <v>7.9079798705966892E-3</v>
      </c>
    </row>
    <row r="29" spans="1:12" ht="15" hidden="1" customHeight="1" outlineLevel="2">
      <c r="A29" s="66"/>
      <c r="C29" s="18" t="s">
        <v>12</v>
      </c>
      <c r="D29" s="11">
        <v>2760</v>
      </c>
      <c r="E29" s="11">
        <v>2760</v>
      </c>
      <c r="F29" s="11">
        <v>2760</v>
      </c>
      <c r="G29" s="11">
        <v>2760</v>
      </c>
      <c r="H29" s="11">
        <v>2760</v>
      </c>
      <c r="I29" s="11">
        <v>2760</v>
      </c>
      <c r="J29" s="11">
        <v>132</v>
      </c>
    </row>
    <row r="30" spans="1:12" ht="15" hidden="1" customHeight="1" outlineLevel="2">
      <c r="A30" s="66"/>
      <c r="C30" s="18" t="s">
        <v>13</v>
      </c>
      <c r="D30" s="11">
        <v>26</v>
      </c>
      <c r="E30" s="11">
        <v>78</v>
      </c>
      <c r="F30" s="11">
        <v>67</v>
      </c>
      <c r="G30" s="11">
        <v>47</v>
      </c>
      <c r="H30" s="11">
        <v>94</v>
      </c>
      <c r="I30" s="11">
        <v>16</v>
      </c>
      <c r="J30" s="11">
        <v>345</v>
      </c>
    </row>
    <row r="31" spans="1:12" ht="15" hidden="1" customHeight="1" outlineLevel="2">
      <c r="A31" s="66"/>
      <c r="C31" s="19" t="s">
        <v>14</v>
      </c>
      <c r="D31" s="11">
        <v>345</v>
      </c>
      <c r="E31" s="11">
        <v>345</v>
      </c>
      <c r="F31" s="11">
        <v>345</v>
      </c>
      <c r="G31" s="11">
        <v>345</v>
      </c>
      <c r="H31" s="11">
        <v>345</v>
      </c>
      <c r="I31" s="11">
        <v>345</v>
      </c>
      <c r="J31" s="11">
        <v>345</v>
      </c>
    </row>
    <row r="32" spans="1:12" ht="15" hidden="1" customHeight="1" outlineLevel="2">
      <c r="A32" s="66"/>
      <c r="C32" s="3" t="s">
        <v>15</v>
      </c>
      <c r="D32" s="11">
        <v>0</v>
      </c>
      <c r="E32" s="11">
        <v>0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</row>
    <row r="33" spans="1:10" ht="10.199999999999999" hidden="1" customHeight="1" outlineLevel="2">
      <c r="A33" s="66"/>
    </row>
    <row r="34" spans="1:10" ht="124.95" hidden="1" customHeight="1" outlineLevel="2"/>
    <row r="35" spans="1:10" ht="10.199999999999999" hidden="1" customHeight="1" outlineLevel="2"/>
    <row r="36" spans="1:10" ht="14.4" outlineLevel="1" collapsed="1">
      <c r="A36" s="66"/>
      <c r="B36" s="84" t="s">
        <v>62</v>
      </c>
      <c r="C36" s="2" t="s">
        <v>16</v>
      </c>
    </row>
    <row r="37" spans="1:10" ht="10.199999999999999" customHeight="1" outlineLevel="1">
      <c r="A37" s="66"/>
    </row>
    <row r="38" spans="1:10" ht="15" hidden="1" customHeight="1" outlineLevel="2">
      <c r="A38" s="66"/>
      <c r="C38" s="3" t="s">
        <v>17</v>
      </c>
      <c r="D38" s="12">
        <v>90.159420289855007</v>
      </c>
      <c r="E38" s="12">
        <v>69.869565217391298</v>
      </c>
      <c r="F38" s="12">
        <v>30.405797101449199</v>
      </c>
      <c r="G38" s="12">
        <v>24.6434782608695</v>
      </c>
      <c r="H38" s="12">
        <v>38.284057971014398</v>
      </c>
      <c r="I38" s="12">
        <v>3.4550724637681101</v>
      </c>
      <c r="J38" s="12">
        <v>172</v>
      </c>
    </row>
    <row r="39" spans="1:10" ht="15" hidden="1" customHeight="1" outlineLevel="2">
      <c r="A39" s="66"/>
      <c r="C39" s="18" t="s">
        <v>18</v>
      </c>
      <c r="D39" s="12">
        <v>90</v>
      </c>
      <c r="E39" s="12">
        <v>67</v>
      </c>
      <c r="F39" s="12">
        <v>26</v>
      </c>
      <c r="G39" s="12">
        <v>23</v>
      </c>
      <c r="H39" s="12">
        <v>25</v>
      </c>
      <c r="I39" s="12">
        <v>3</v>
      </c>
      <c r="J39" s="12">
        <v>172</v>
      </c>
    </row>
    <row r="40" spans="1:10" ht="15" hidden="1" customHeight="1" outlineLevel="2">
      <c r="A40" s="66"/>
      <c r="C40" s="18" t="s">
        <v>19</v>
      </c>
      <c r="D40" s="12">
        <v>91</v>
      </c>
      <c r="E40" s="12">
        <v>63</v>
      </c>
      <c r="F40" s="12">
        <v>17</v>
      </c>
      <c r="G40" s="12">
        <v>20</v>
      </c>
      <c r="H40" s="12">
        <v>14</v>
      </c>
      <c r="I40" s="12">
        <v>0.5</v>
      </c>
      <c r="J40" s="12">
        <v>0</v>
      </c>
    </row>
    <row r="41" spans="1:10" ht="15" hidden="1" customHeight="1" outlineLevel="2">
      <c r="A41" s="66"/>
      <c r="C41" s="3" t="s">
        <v>20</v>
      </c>
      <c r="D41" s="12">
        <v>4.4480959749643496</v>
      </c>
      <c r="E41" s="12">
        <v>18.3476703447019</v>
      </c>
      <c r="F41" s="12">
        <v>19.512308906279099</v>
      </c>
      <c r="G41" s="12">
        <v>10.064493746739499</v>
      </c>
      <c r="H41" s="12">
        <v>39.2546161675508</v>
      </c>
      <c r="I41" s="12">
        <v>3.3378352645771199</v>
      </c>
      <c r="J41" s="12">
        <v>99.737154561376897</v>
      </c>
    </row>
    <row r="42" spans="1:10" ht="15" hidden="1" customHeight="1" outlineLevel="2">
      <c r="A42" s="66"/>
      <c r="C42" s="20" t="s">
        <v>21</v>
      </c>
      <c r="D42" s="12">
        <v>19.7855578024941</v>
      </c>
      <c r="E42" s="12">
        <v>336.63700707785603</v>
      </c>
      <c r="F42" s="12">
        <v>380.73019885406097</v>
      </c>
      <c r="G42" s="12">
        <v>101.294034378159</v>
      </c>
      <c r="H42" s="12">
        <v>1540.92489046174</v>
      </c>
      <c r="I42" s="12">
        <v>11.1411442534546</v>
      </c>
      <c r="J42" s="12">
        <v>9947.4999999999909</v>
      </c>
    </row>
    <row r="43" spans="1:10" ht="10.199999999999999" hidden="1" customHeight="1" outlineLevel="2">
      <c r="A43" s="66"/>
    </row>
    <row r="44" spans="1:10" ht="150" hidden="1" customHeight="1" outlineLevel="2"/>
    <row r="45" spans="1:10" ht="10.199999999999999" hidden="1" customHeight="1" outlineLevel="2"/>
    <row r="46" spans="1:10" ht="14.4" outlineLevel="1" collapsed="1">
      <c r="A46" s="66"/>
      <c r="B46" s="84" t="s">
        <v>62</v>
      </c>
      <c r="C46" s="2" t="s">
        <v>22</v>
      </c>
    </row>
    <row r="47" spans="1:10" ht="10.050000000000001" customHeight="1" outlineLevel="1">
      <c r="A47" s="66"/>
    </row>
    <row r="48" spans="1:10" ht="15" hidden="1" customHeight="1" outlineLevel="2">
      <c r="A48" s="66"/>
      <c r="C48" s="3" t="s">
        <v>23</v>
      </c>
      <c r="D48" s="12">
        <v>65</v>
      </c>
      <c r="E48" s="12">
        <v>23</v>
      </c>
      <c r="F48" s="12">
        <v>4</v>
      </c>
      <c r="G48" s="12">
        <v>5</v>
      </c>
      <c r="H48" s="12">
        <v>5</v>
      </c>
      <c r="I48" s="12">
        <v>0</v>
      </c>
      <c r="J48" s="12">
        <v>0</v>
      </c>
    </row>
    <row r="49" spans="1:10" ht="15" hidden="1" customHeight="1" outlineLevel="2">
      <c r="A49" s="66"/>
      <c r="C49" s="18">
        <v>0.05</v>
      </c>
      <c r="D49" s="12">
        <v>83</v>
      </c>
      <c r="E49" s="12">
        <v>44</v>
      </c>
      <c r="F49" s="12">
        <v>12</v>
      </c>
      <c r="G49" s="12">
        <v>14</v>
      </c>
      <c r="H49" s="12">
        <v>9</v>
      </c>
      <c r="I49" s="12">
        <v>0.5</v>
      </c>
      <c r="J49" s="12">
        <v>17.2</v>
      </c>
    </row>
    <row r="50" spans="1:10" ht="15" hidden="1" customHeight="1" outlineLevel="2">
      <c r="A50" s="66"/>
      <c r="C50" s="19">
        <v>0.25</v>
      </c>
      <c r="D50" s="12">
        <v>87</v>
      </c>
      <c r="E50" s="12">
        <v>57</v>
      </c>
      <c r="F50" s="12">
        <v>19</v>
      </c>
      <c r="G50" s="12">
        <v>19</v>
      </c>
      <c r="H50" s="12">
        <v>15</v>
      </c>
      <c r="I50" s="12">
        <v>0.5</v>
      </c>
      <c r="J50" s="12">
        <v>86</v>
      </c>
    </row>
    <row r="51" spans="1:10" ht="15" hidden="1" customHeight="1" outlineLevel="2">
      <c r="A51" s="66"/>
      <c r="C51" s="3">
        <v>0.5</v>
      </c>
      <c r="D51" s="12">
        <v>90</v>
      </c>
      <c r="E51" s="12">
        <v>67</v>
      </c>
      <c r="F51" s="12">
        <v>26</v>
      </c>
      <c r="G51" s="12">
        <v>23</v>
      </c>
      <c r="H51" s="12">
        <v>25</v>
      </c>
      <c r="I51" s="12">
        <v>3</v>
      </c>
      <c r="J51" s="12">
        <v>172</v>
      </c>
    </row>
    <row r="52" spans="1:10" ht="15" hidden="1" customHeight="1" outlineLevel="2">
      <c r="A52" s="66"/>
      <c r="C52" s="18">
        <v>0.75</v>
      </c>
      <c r="D52" s="12">
        <v>93</v>
      </c>
      <c r="E52" s="12">
        <v>80</v>
      </c>
      <c r="F52" s="12">
        <v>34</v>
      </c>
      <c r="G52" s="12">
        <v>27</v>
      </c>
      <c r="H52" s="12">
        <v>46</v>
      </c>
      <c r="I52" s="12">
        <v>6</v>
      </c>
      <c r="J52" s="12">
        <v>258</v>
      </c>
    </row>
    <row r="53" spans="1:10" ht="15" hidden="1" customHeight="1" outlineLevel="2">
      <c r="A53" s="66"/>
      <c r="C53" s="18">
        <v>0.95</v>
      </c>
      <c r="D53" s="12">
        <v>98</v>
      </c>
      <c r="E53" s="12">
        <v>102</v>
      </c>
      <c r="F53" s="12">
        <v>66.400000000000006</v>
      </c>
      <c r="G53" s="12">
        <v>43</v>
      </c>
      <c r="H53" s="12">
        <v>114.8</v>
      </c>
      <c r="I53" s="12">
        <v>10</v>
      </c>
      <c r="J53" s="12">
        <v>326.8</v>
      </c>
    </row>
    <row r="54" spans="1:10" ht="15" hidden="1" customHeight="1" outlineLevel="2">
      <c r="A54" s="66"/>
      <c r="C54" s="3" t="s">
        <v>24</v>
      </c>
      <c r="D54" s="12">
        <v>103</v>
      </c>
      <c r="E54" s="12">
        <v>138</v>
      </c>
      <c r="F54" s="12">
        <v>155</v>
      </c>
      <c r="G54" s="12">
        <v>82</v>
      </c>
      <c r="H54" s="12">
        <v>297</v>
      </c>
      <c r="I54" s="12">
        <v>20</v>
      </c>
      <c r="J54" s="12">
        <v>344</v>
      </c>
    </row>
    <row r="55" spans="1:10" ht="15" hidden="1" customHeight="1" outlineLevel="2">
      <c r="A55" s="66"/>
      <c r="C55" s="18" t="s">
        <v>25</v>
      </c>
      <c r="D55" s="12">
        <v>38</v>
      </c>
      <c r="E55" s="12">
        <v>115</v>
      </c>
      <c r="F55" s="12">
        <v>151</v>
      </c>
      <c r="G55" s="12">
        <v>77</v>
      </c>
      <c r="H55" s="12">
        <v>292</v>
      </c>
      <c r="I55" s="12">
        <v>20</v>
      </c>
      <c r="J55" s="12">
        <v>344</v>
      </c>
    </row>
    <row r="56" spans="1:10" ht="15" hidden="1" customHeight="1" outlineLevel="2">
      <c r="C56" s="3" t="s">
        <v>26</v>
      </c>
      <c r="D56" s="12">
        <v>6</v>
      </c>
      <c r="E56" s="12">
        <v>23</v>
      </c>
      <c r="F56" s="12">
        <v>15</v>
      </c>
      <c r="G56" s="12">
        <v>8</v>
      </c>
      <c r="H56" s="12">
        <v>31</v>
      </c>
      <c r="I56" s="12">
        <v>5.5</v>
      </c>
      <c r="J56" s="12">
        <v>172</v>
      </c>
    </row>
    <row r="57" spans="1:10" ht="10.199999999999999" hidden="1" customHeight="1" outlineLevel="2"/>
    <row r="58" spans="1:10" ht="14.4" outlineLevel="1" collapsed="1">
      <c r="A58" s="66"/>
      <c r="B58" s="84" t="s">
        <v>62</v>
      </c>
      <c r="C58" s="2" t="s">
        <v>27</v>
      </c>
    </row>
    <row r="59" spans="1:10" ht="10.050000000000001" customHeight="1" outlineLevel="1">
      <c r="A59" s="66"/>
    </row>
    <row r="60" spans="1:10" ht="15" hidden="1" customHeight="1" outlineLevel="2">
      <c r="A60" s="66"/>
      <c r="C60" s="3" t="s">
        <v>28</v>
      </c>
      <c r="D60" s="29" t="b">
        <v>0</v>
      </c>
      <c r="E60" s="29" t="b">
        <v>0</v>
      </c>
      <c r="F60" s="29" t="b">
        <v>0</v>
      </c>
      <c r="G60" s="29" t="b">
        <v>0</v>
      </c>
      <c r="H60" s="29" t="b">
        <v>0</v>
      </c>
      <c r="I60" s="29" t="b">
        <v>0</v>
      </c>
      <c r="J60" s="29" t="b">
        <v>0</v>
      </c>
    </row>
    <row r="61" spans="1:10" ht="15" hidden="1" customHeight="1" outlineLevel="2">
      <c r="A61" s="66"/>
      <c r="C61" s="18" t="s">
        <v>29</v>
      </c>
      <c r="D61" s="29" t="b">
        <v>0</v>
      </c>
      <c r="E61" s="29" t="b">
        <v>0</v>
      </c>
      <c r="F61" s="29" t="b">
        <v>0</v>
      </c>
      <c r="G61" s="29" t="b">
        <v>0</v>
      </c>
      <c r="H61" s="29" t="b">
        <v>0</v>
      </c>
      <c r="I61" s="29" t="b">
        <v>0</v>
      </c>
      <c r="J61" s="29" t="b">
        <v>0</v>
      </c>
    </row>
    <row r="62" spans="1:10" ht="15" hidden="1" customHeight="1" outlineLevel="2">
      <c r="A62" s="66"/>
      <c r="C62" s="18" t="s">
        <v>30</v>
      </c>
      <c r="D62" s="29" t="b">
        <v>0</v>
      </c>
      <c r="E62" s="29" t="b">
        <v>0</v>
      </c>
      <c r="F62" s="29" t="b">
        <v>0</v>
      </c>
      <c r="G62" s="29" t="b">
        <v>0</v>
      </c>
      <c r="H62" s="29" t="b">
        <v>0</v>
      </c>
      <c r="I62" s="29" t="b">
        <v>0</v>
      </c>
      <c r="J62" s="29" t="b">
        <v>0</v>
      </c>
    </row>
    <row r="63" spans="1:10" ht="15" hidden="1" customHeight="1" outlineLevel="2">
      <c r="A63" s="66"/>
      <c r="C63" s="18" t="s">
        <v>31</v>
      </c>
      <c r="D63" s="29" t="b">
        <v>0</v>
      </c>
      <c r="E63" s="29" t="b">
        <v>0</v>
      </c>
      <c r="F63" s="29" t="b">
        <v>0</v>
      </c>
      <c r="G63" s="29" t="b">
        <v>0</v>
      </c>
      <c r="H63" s="29" t="b">
        <v>0</v>
      </c>
      <c r="I63" s="29" t="b">
        <v>0</v>
      </c>
      <c r="J63" s="29" t="b">
        <v>0</v>
      </c>
    </row>
    <row r="64" spans="1:10" ht="15" hidden="1" customHeight="1" outlineLevel="2">
      <c r="A64" s="66"/>
      <c r="C64" s="3" t="s">
        <v>32</v>
      </c>
      <c r="D64" s="29" t="b">
        <v>0</v>
      </c>
      <c r="E64" s="29" t="b">
        <v>0</v>
      </c>
      <c r="F64" s="29" t="b">
        <v>0</v>
      </c>
      <c r="G64" s="29" t="b">
        <v>0</v>
      </c>
      <c r="H64" s="29" t="b">
        <v>0</v>
      </c>
      <c r="I64" s="29" t="b">
        <v>0</v>
      </c>
      <c r="J64" s="29" t="b">
        <v>0</v>
      </c>
    </row>
    <row r="65" spans="1:10" ht="15" hidden="1" customHeight="1" outlineLevel="2">
      <c r="A65" s="66"/>
      <c r="C65" s="18" t="s">
        <v>33</v>
      </c>
      <c r="D65" s="29" t="b">
        <v>0</v>
      </c>
      <c r="E65" s="29" t="b">
        <v>0</v>
      </c>
      <c r="F65" s="29" t="b">
        <v>0</v>
      </c>
      <c r="G65" s="29" t="b">
        <v>0</v>
      </c>
      <c r="H65" s="29" t="b">
        <v>0</v>
      </c>
      <c r="I65" s="29" t="b">
        <v>0</v>
      </c>
      <c r="J65" s="29" t="b">
        <v>0</v>
      </c>
    </row>
    <row r="66" spans="1:10" ht="15" hidden="1" customHeight="1" outlineLevel="2">
      <c r="A66" s="66"/>
      <c r="C66" s="18" t="s">
        <v>34</v>
      </c>
      <c r="D66" s="29" t="b">
        <v>0</v>
      </c>
      <c r="E66" s="29" t="b">
        <v>0</v>
      </c>
      <c r="F66" s="29" t="b">
        <v>0</v>
      </c>
      <c r="G66" s="29" t="b">
        <v>0</v>
      </c>
      <c r="H66" s="29" t="b">
        <v>0</v>
      </c>
      <c r="I66" s="29" t="b">
        <v>0</v>
      </c>
      <c r="J66" s="29" t="b">
        <v>0</v>
      </c>
    </row>
    <row r="67" spans="1:10" ht="15" hidden="1" customHeight="1" outlineLevel="2">
      <c r="C67" s="3" t="s">
        <v>35</v>
      </c>
      <c r="D67" s="29" t="b">
        <v>0</v>
      </c>
      <c r="E67" s="29" t="b">
        <v>0</v>
      </c>
      <c r="F67" s="29" t="b">
        <v>0</v>
      </c>
      <c r="G67" s="29" t="b">
        <v>0</v>
      </c>
      <c r="H67" s="29" t="b">
        <v>0</v>
      </c>
      <c r="I67" s="29" t="b">
        <v>0</v>
      </c>
      <c r="J67" s="29" t="b">
        <v>0</v>
      </c>
    </row>
    <row r="68" spans="1:10" ht="10.199999999999999" hidden="1" customHeight="1" outlineLevel="2"/>
    <row r="69" spans="1:10" ht="14.4" outlineLevel="1" collapsed="1">
      <c r="A69" s="66"/>
      <c r="B69" s="84" t="s">
        <v>62</v>
      </c>
      <c r="C69" s="2" t="s">
        <v>36</v>
      </c>
    </row>
    <row r="70" spans="1:10" ht="10.050000000000001" customHeight="1" outlineLevel="1">
      <c r="A70" s="66"/>
    </row>
    <row r="71" spans="1:10" ht="15" hidden="1" customHeight="1" outlineLevel="2">
      <c r="A71" s="66"/>
      <c r="C71" s="3" t="str">
        <f>IF(COUNTIF(FieldList1, "&lt;&gt;FALSE") = 0,"",SUBSTITUTE(LOWER(C60)," ","_") &amp;" = ")</f>
        <v/>
      </c>
      <c r="D71" t="str" cm="1">
        <f t="array" ref="D71">IF(COUNTIF(FieldList1, "&lt;&gt;FALSE") = 0,"","['"&amp;_xlfn.TEXTJOIN("', '", TRUE, _xlfn._xlws.FILTER(FieldRange,FieldList1&lt;&gt; FALSE, ""))&amp;"']")</f>
        <v/>
      </c>
    </row>
    <row r="72" spans="1:10" ht="15" hidden="1" customHeight="1" outlineLevel="2">
      <c r="A72" s="66"/>
      <c r="C72" s="17" t="str">
        <f>IF(COUNTIF(FieldList2, "&lt;&gt;FALSE") = 0,"",SUBSTITUTE(LOWER(C61)," ","_")&amp;" = ")</f>
        <v/>
      </c>
      <c r="D72" t="str" cm="1">
        <f t="array" ref="D72">IF(COUNTIF(FieldList2, "&lt;&gt;FALSE") = 0,"","['"&amp;_xlfn.TEXTJOIN("', '", TRUE, _xlfn._xlws.FILTER(FieldRange,FieldList2&lt;&gt; FALSE, ""))&amp;"']")</f>
        <v/>
      </c>
    </row>
    <row r="73" spans="1:10" ht="15" hidden="1" customHeight="1" outlineLevel="2">
      <c r="A73" s="66"/>
      <c r="C73" s="17" t="str">
        <f>IF(COUNTIF(FieldList3, "&lt;&gt;FALSE") = 0,"",SUBSTITUTE(LOWER(C62)," ","_")&amp;" = ")</f>
        <v/>
      </c>
      <c r="D73" t="str" cm="1">
        <f t="array" ref="D73">IF(COUNTIF(FieldList3, "&lt;&gt;FALSE") = 0,"","['"&amp;_xlfn.TEXTJOIN("', '", TRUE, _xlfn._xlws.FILTER(FieldRange,FieldList3&lt;&gt; FALSE, ""))&amp;"']")</f>
        <v/>
      </c>
    </row>
    <row r="74" spans="1:10" ht="15" hidden="1" customHeight="1" outlineLevel="2">
      <c r="A74" s="66"/>
      <c r="C74" s="17" t="str">
        <f>IF(COUNTIF(FieldList4, "&lt;&gt;FALSE") = 0,"",SUBSTITUTE(LOWER(C63)," ","_")&amp;" = ")</f>
        <v/>
      </c>
      <c r="D74" t="str" cm="1">
        <f t="array" ref="D74">IF(COUNTIF(FieldList4, "&lt;&gt;FALSE") = 0,"","['"&amp;_xlfn.TEXTJOIN("', '", TRUE, _xlfn._xlws.FILTER(FieldRange,FieldList4&lt;&gt; FALSE, ""))&amp;"']")</f>
        <v/>
      </c>
    </row>
    <row r="75" spans="1:10" ht="15" hidden="1" customHeight="1" outlineLevel="2">
      <c r="A75" s="66"/>
      <c r="C75" s="17" t="str">
        <f>IF(COUNTIF(FieldList5, "&lt;&gt;FALSE") = 0,"",SUBSTITUTE(LOWER(C64)," ","_")&amp;" = ")</f>
        <v/>
      </c>
      <c r="D75" t="str" cm="1">
        <f t="array" ref="D75">IF(COUNTIF(FieldList5, "&lt;&gt;FALSE") = 0,"","['"&amp;_xlfn.TEXTJOIN("', '", TRUE, _xlfn._xlws.FILTER(FieldRange,FieldList5&lt;&gt; FALSE, ""))&amp;"']")</f>
        <v/>
      </c>
    </row>
    <row r="76" spans="1:10" ht="15" hidden="1" customHeight="1" outlineLevel="2">
      <c r="A76" s="66"/>
      <c r="C76" s="17" t="str">
        <f>IF(COUNTIF(FieldList6, "&lt;&gt;FALSE") = 0,"",SUBSTITUTE(LOWER(C65)," ","_")&amp;" = ")</f>
        <v/>
      </c>
      <c r="D76" t="str" cm="1">
        <f t="array" ref="D76">IF(COUNTIF(FieldList6, "&lt;&gt;FALSE") = 0,"","['"&amp;_xlfn.TEXTJOIN("', '", TRUE, _xlfn._xlws.FILTER(FieldRange,FieldList6&lt;&gt; FALSE, ""))&amp;"']")</f>
        <v/>
      </c>
    </row>
    <row r="77" spans="1:10" ht="15" hidden="1" customHeight="1" outlineLevel="2">
      <c r="A77" s="66"/>
      <c r="C77" s="16" t="str">
        <f>IF(COUNTIF(FieldList7, "&lt;&gt;FALSE") = 0,"",SUBSTITUTE(LOWER(C66)," ","_")&amp;" = ")</f>
        <v/>
      </c>
      <c r="D77" t="str" cm="1">
        <f t="array" ref="D77">IF(COUNTIF(FieldList7, "&lt;&gt;FALSE") = 0,"","['"&amp;_xlfn.TEXTJOIN("', '", TRUE, _xlfn._xlws.FILTER(FieldRange,FieldList7&lt;&gt; FALSE, ""))&amp;"']")</f>
        <v/>
      </c>
    </row>
    <row r="78" spans="1:10" ht="15" hidden="1" customHeight="1" outlineLevel="2">
      <c r="A78" s="66"/>
      <c r="C78" s="3" t="str">
        <f>IF(COUNTIF(FieldList8, "&lt;&gt;FALSE") = 0,"",SUBSTITUTE(LOWER(C67)," ","_")&amp;" = ")</f>
        <v/>
      </c>
      <c r="D78" t="str" cm="1">
        <f t="array" ref="D78">IF(COUNTIF(FieldList8, "&lt;&gt;FALSE") = 0,"","['"&amp;_xlfn.TEXTJOIN("', '", TRUE, _xlfn._xlws.FILTER(FieldRange,FieldList8&lt;&gt; FALSE, ""))&amp;"']")</f>
        <v/>
      </c>
    </row>
    <row r="79" spans="1:10" ht="15" hidden="1" customHeight="1" outlineLevel="2">
      <c r="C79" s="15" t="str">
        <f>IF(COUNTIF(tbl_SourceData[Record List], "&lt;&gt;FALSE") = 0,"",SUBSTITUTE(LOWER(LightHeader)," ", "_") &amp;" = ")</f>
        <v/>
      </c>
      <c r="D79" t="str" cm="1">
        <f t="array" ref="D79">IF(COUNTIF(tbl_SourceData[Record List], "&lt;&gt;FALSE") = 0,"","['"&amp;_xlfn.TEXTJOIN("', '", TRUE, _xlfn._xlws.FILTER(_xlfn.TAKE(tbl_SourceData[],,-1), tbl_SourceData[Record List] &lt;&gt; FALSE, ""))&amp;"']")</f>
        <v/>
      </c>
    </row>
    <row r="80" spans="1:10" ht="10.199999999999999" hidden="1" customHeight="1" outlineLevel="1" collapsed="1"/>
    <row r="81" spans="3:12" ht="30" customHeight="1">
      <c r="C81" s="61" t="s">
        <v>37</v>
      </c>
      <c r="D81" s="59" t="s">
        <v>103</v>
      </c>
      <c r="E81" s="59" t="s">
        <v>104</v>
      </c>
      <c r="F81" s="59" t="s">
        <v>105</v>
      </c>
      <c r="G81" s="120" t="s">
        <v>106</v>
      </c>
      <c r="H81" s="120" t="s">
        <v>107</v>
      </c>
      <c r="I81" s="120" t="s">
        <v>108</v>
      </c>
      <c r="J81" s="120" t="s">
        <v>109</v>
      </c>
      <c r="K81" s="61" t="s">
        <v>38</v>
      </c>
      <c r="L81" s="61" t="s">
        <v>110</v>
      </c>
    </row>
    <row r="82" spans="3:12" ht="15" customHeight="1">
      <c r="C82" s="62" t="b">
        <v>0</v>
      </c>
      <c r="D82" s="60">
        <v>85</v>
      </c>
      <c r="E82" s="60">
        <v>92</v>
      </c>
      <c r="F82" s="60">
        <v>45</v>
      </c>
      <c r="G82" s="119">
        <v>27</v>
      </c>
      <c r="H82" s="119">
        <v>31</v>
      </c>
      <c r="I82" s="119">
        <v>0</v>
      </c>
      <c r="J82" s="119">
        <v>0</v>
      </c>
      <c r="K82" s="121">
        <v>0</v>
      </c>
      <c r="L82" s="121">
        <v>1.2381537926840318E+19</v>
      </c>
    </row>
    <row r="83" spans="3:12" ht="15" customHeight="1">
      <c r="C83" s="62" t="b">
        <v>0</v>
      </c>
      <c r="D83" s="60">
        <v>85</v>
      </c>
      <c r="E83" s="60">
        <v>64</v>
      </c>
      <c r="F83" s="60">
        <v>59</v>
      </c>
      <c r="G83" s="119">
        <v>32</v>
      </c>
      <c r="H83" s="119">
        <v>23</v>
      </c>
      <c r="I83" s="119">
        <v>0</v>
      </c>
      <c r="J83" s="119">
        <v>1</v>
      </c>
      <c r="K83" s="121">
        <v>0</v>
      </c>
      <c r="L83" s="121">
        <v>8.0726300819829371E+18</v>
      </c>
    </row>
    <row r="84" spans="3:12" ht="15" customHeight="1">
      <c r="C84" s="113" t="b">
        <v>0</v>
      </c>
      <c r="D84" s="114">
        <v>86</v>
      </c>
      <c r="E84" s="115">
        <v>54</v>
      </c>
      <c r="F84" s="115">
        <v>33</v>
      </c>
      <c r="G84" s="119">
        <v>16</v>
      </c>
      <c r="H84" s="119">
        <v>54</v>
      </c>
      <c r="I84" s="119">
        <v>0</v>
      </c>
      <c r="J84" s="119">
        <v>2</v>
      </c>
      <c r="K84" s="121">
        <v>0</v>
      </c>
      <c r="L84" s="121">
        <v>5.1469947738335007E+18</v>
      </c>
    </row>
    <row r="85" spans="3:12" ht="15" customHeight="1">
      <c r="C85" s="113" t="b">
        <v>0</v>
      </c>
      <c r="D85" s="114">
        <v>91</v>
      </c>
      <c r="E85" s="115">
        <v>78</v>
      </c>
      <c r="F85" s="115">
        <v>34</v>
      </c>
      <c r="G85" s="119">
        <v>24</v>
      </c>
      <c r="H85" s="119">
        <v>36</v>
      </c>
      <c r="I85" s="119">
        <v>0</v>
      </c>
      <c r="J85" s="119">
        <v>3</v>
      </c>
      <c r="K85" s="121">
        <v>0</v>
      </c>
      <c r="L85" s="121">
        <v>5.4191093848767078E+18</v>
      </c>
    </row>
    <row r="86" spans="3:12" ht="15" customHeight="1">
      <c r="C86" s="113" t="b">
        <v>0</v>
      </c>
      <c r="D86" s="114">
        <v>87</v>
      </c>
      <c r="E86" s="115">
        <v>70</v>
      </c>
      <c r="F86" s="115">
        <v>12</v>
      </c>
      <c r="G86" s="119">
        <v>28</v>
      </c>
      <c r="H86" s="119">
        <v>10</v>
      </c>
      <c r="I86" s="119">
        <v>0</v>
      </c>
      <c r="J86" s="119">
        <v>4</v>
      </c>
      <c r="K86" s="121">
        <v>0</v>
      </c>
      <c r="L86" s="121">
        <v>1.2432465177601167E+18</v>
      </c>
    </row>
    <row r="87" spans="3:12" ht="15" customHeight="1">
      <c r="C87" s="113" t="b">
        <v>0</v>
      </c>
      <c r="D87" s="114">
        <v>98</v>
      </c>
      <c r="E87" s="115">
        <v>55</v>
      </c>
      <c r="F87" s="115">
        <v>13</v>
      </c>
      <c r="G87" s="119">
        <v>17</v>
      </c>
      <c r="H87" s="119">
        <v>17</v>
      </c>
      <c r="I87" s="119">
        <v>0</v>
      </c>
      <c r="J87" s="119">
        <v>5</v>
      </c>
      <c r="K87" s="121">
        <v>0</v>
      </c>
      <c r="L87" s="121">
        <v>3.0547162158438221E+18</v>
      </c>
    </row>
    <row r="88" spans="3:12" ht="15" customHeight="1">
      <c r="C88" s="113" t="b">
        <v>0</v>
      </c>
      <c r="D88" s="114">
        <v>88</v>
      </c>
      <c r="E88" s="115">
        <v>62</v>
      </c>
      <c r="F88" s="115">
        <v>20</v>
      </c>
      <c r="G88" s="119">
        <v>17</v>
      </c>
      <c r="H88" s="119">
        <v>9</v>
      </c>
      <c r="I88" s="119">
        <v>0.5</v>
      </c>
      <c r="J88" s="119">
        <v>6</v>
      </c>
      <c r="K88" s="121">
        <v>0</v>
      </c>
      <c r="L88" s="121">
        <v>1.5903134177065785E+19</v>
      </c>
    </row>
    <row r="89" spans="3:12" ht="15" customHeight="1">
      <c r="C89" s="113" t="b">
        <v>0</v>
      </c>
      <c r="D89" s="114">
        <v>88</v>
      </c>
      <c r="E89" s="115">
        <v>67</v>
      </c>
      <c r="F89" s="115">
        <v>21</v>
      </c>
      <c r="G89" s="119">
        <v>11</v>
      </c>
      <c r="H89" s="119">
        <v>11</v>
      </c>
      <c r="I89" s="119">
        <v>0.5</v>
      </c>
      <c r="J89" s="119">
        <v>7</v>
      </c>
      <c r="K89" s="121">
        <v>0</v>
      </c>
      <c r="L89" s="121">
        <v>5.7835983292777001E+18</v>
      </c>
    </row>
    <row r="90" spans="3:12" ht="15" customHeight="1">
      <c r="C90" s="113" t="b">
        <v>0</v>
      </c>
      <c r="D90" s="114">
        <v>92</v>
      </c>
      <c r="E90" s="115">
        <v>54</v>
      </c>
      <c r="F90" s="115">
        <v>22</v>
      </c>
      <c r="G90" s="119">
        <v>20</v>
      </c>
      <c r="H90" s="119">
        <v>7</v>
      </c>
      <c r="I90" s="119">
        <v>0.5</v>
      </c>
      <c r="J90" s="119">
        <v>8</v>
      </c>
      <c r="K90" s="121">
        <v>0</v>
      </c>
      <c r="L90" s="121">
        <v>1.6636859070411053E+19</v>
      </c>
    </row>
    <row r="91" spans="3:12" ht="15" customHeight="1">
      <c r="C91" s="113" t="b">
        <v>0</v>
      </c>
      <c r="D91" s="114">
        <v>90</v>
      </c>
      <c r="E91" s="115">
        <v>60</v>
      </c>
      <c r="F91" s="115">
        <v>25</v>
      </c>
      <c r="G91" s="119">
        <v>19</v>
      </c>
      <c r="H91" s="119">
        <v>5</v>
      </c>
      <c r="I91" s="119">
        <v>0.5</v>
      </c>
      <c r="J91" s="119">
        <v>9</v>
      </c>
      <c r="K91" s="121">
        <v>0</v>
      </c>
      <c r="L91" s="121">
        <v>1.5542654087783928E+19</v>
      </c>
    </row>
    <row r="92" spans="3:12" ht="15" customHeight="1">
      <c r="C92" s="113" t="b">
        <v>0</v>
      </c>
      <c r="D92" s="114">
        <v>89</v>
      </c>
      <c r="E92" s="115">
        <v>52</v>
      </c>
      <c r="F92" s="115">
        <v>13</v>
      </c>
      <c r="G92" s="119">
        <v>24</v>
      </c>
      <c r="H92" s="119">
        <v>15</v>
      </c>
      <c r="I92" s="119">
        <v>0.5</v>
      </c>
      <c r="J92" s="119">
        <v>10</v>
      </c>
      <c r="K92" s="121">
        <v>0</v>
      </c>
      <c r="L92" s="121">
        <v>9.9320682112894042E+17</v>
      </c>
    </row>
    <row r="93" spans="3:12" ht="15" customHeight="1">
      <c r="C93" s="113" t="b">
        <v>0</v>
      </c>
      <c r="D93" s="114">
        <v>82</v>
      </c>
      <c r="E93" s="115">
        <v>62</v>
      </c>
      <c r="F93" s="115">
        <v>17</v>
      </c>
      <c r="G93" s="119">
        <v>17</v>
      </c>
      <c r="H93" s="119">
        <v>15</v>
      </c>
      <c r="I93" s="119">
        <v>0.5</v>
      </c>
      <c r="J93" s="119">
        <v>11</v>
      </c>
      <c r="K93" s="121">
        <v>0</v>
      </c>
      <c r="L93" s="121">
        <v>6.6135292748393851E+18</v>
      </c>
    </row>
    <row r="94" spans="3:12" ht="15" customHeight="1">
      <c r="C94" s="113" t="b">
        <v>0</v>
      </c>
      <c r="D94" s="114">
        <v>90</v>
      </c>
      <c r="E94" s="115">
        <v>64</v>
      </c>
      <c r="F94" s="115">
        <v>61</v>
      </c>
      <c r="G94" s="119">
        <v>32</v>
      </c>
      <c r="H94" s="119">
        <v>13</v>
      </c>
      <c r="I94" s="119">
        <v>0.5</v>
      </c>
      <c r="J94" s="119">
        <v>12</v>
      </c>
      <c r="K94" s="121">
        <v>0</v>
      </c>
      <c r="L94" s="121">
        <v>1.5562052166620045E+19</v>
      </c>
    </row>
    <row r="95" spans="3:12" ht="15" customHeight="1">
      <c r="C95" s="113" t="b">
        <v>0</v>
      </c>
      <c r="D95" s="114">
        <v>86</v>
      </c>
      <c r="E95" s="115">
        <v>77</v>
      </c>
      <c r="F95" s="115">
        <v>25</v>
      </c>
      <c r="G95" s="119">
        <v>19</v>
      </c>
      <c r="H95" s="119">
        <v>18</v>
      </c>
      <c r="I95" s="119">
        <v>0.5</v>
      </c>
      <c r="J95" s="119">
        <v>13</v>
      </c>
      <c r="K95" s="121">
        <v>0</v>
      </c>
      <c r="L95" s="121">
        <v>1.0865731777669663E+19</v>
      </c>
    </row>
    <row r="96" spans="3:12" ht="15" customHeight="1">
      <c r="C96" s="113" t="b">
        <v>0</v>
      </c>
      <c r="D96" s="114">
        <v>96</v>
      </c>
      <c r="E96" s="115">
        <v>67</v>
      </c>
      <c r="F96" s="115">
        <v>29</v>
      </c>
      <c r="G96" s="119">
        <v>20</v>
      </c>
      <c r="H96" s="119">
        <v>11</v>
      </c>
      <c r="I96" s="119">
        <v>0.5</v>
      </c>
      <c r="J96" s="119">
        <v>14</v>
      </c>
      <c r="K96" s="121">
        <v>0</v>
      </c>
      <c r="L96" s="121">
        <v>4.5806962211279913E+18</v>
      </c>
    </row>
    <row r="97" spans="3:12" ht="15" customHeight="1">
      <c r="C97" s="113" t="b">
        <v>0</v>
      </c>
      <c r="D97" s="114">
        <v>91</v>
      </c>
      <c r="E97" s="115">
        <v>78</v>
      </c>
      <c r="F97" s="115">
        <v>20</v>
      </c>
      <c r="G97" s="119">
        <v>31</v>
      </c>
      <c r="H97" s="119">
        <v>18</v>
      </c>
      <c r="I97" s="119">
        <v>0.5</v>
      </c>
      <c r="J97" s="119">
        <v>15</v>
      </c>
      <c r="K97" s="121">
        <v>0</v>
      </c>
      <c r="L97" s="121">
        <v>9.2508526196342497E+18</v>
      </c>
    </row>
    <row r="98" spans="3:12" ht="15" customHeight="1">
      <c r="C98" s="113" t="b">
        <v>0</v>
      </c>
      <c r="D98" s="114">
        <v>89</v>
      </c>
      <c r="E98" s="115">
        <v>67</v>
      </c>
      <c r="F98" s="115">
        <v>23</v>
      </c>
      <c r="G98" s="119">
        <v>16</v>
      </c>
      <c r="H98" s="119">
        <v>10</v>
      </c>
      <c r="I98" s="119">
        <v>0.5</v>
      </c>
      <c r="J98" s="119">
        <v>16</v>
      </c>
      <c r="K98" s="121">
        <v>0</v>
      </c>
      <c r="L98" s="121">
        <v>2.0046416833494659E+18</v>
      </c>
    </row>
    <row r="99" spans="3:12" ht="15" customHeight="1">
      <c r="C99" s="113" t="b">
        <v>0</v>
      </c>
      <c r="D99" s="114">
        <v>89</v>
      </c>
      <c r="E99" s="115">
        <v>79</v>
      </c>
      <c r="F99" s="115">
        <v>17</v>
      </c>
      <c r="G99" s="119">
        <v>17</v>
      </c>
      <c r="H99" s="119">
        <v>16</v>
      </c>
      <c r="I99" s="119">
        <v>0.5</v>
      </c>
      <c r="J99" s="119">
        <v>17</v>
      </c>
      <c r="K99" s="121">
        <v>0</v>
      </c>
      <c r="L99" s="121">
        <v>6.6370737650800947E+18</v>
      </c>
    </row>
    <row r="100" spans="3:12" ht="15" customHeight="1">
      <c r="C100" s="113" t="b">
        <v>0</v>
      </c>
      <c r="D100" s="114">
        <v>91</v>
      </c>
      <c r="E100" s="115">
        <v>107</v>
      </c>
      <c r="F100" s="115">
        <v>20</v>
      </c>
      <c r="G100" s="119">
        <v>20</v>
      </c>
      <c r="H100" s="119">
        <v>56</v>
      </c>
      <c r="I100" s="119">
        <v>0.5</v>
      </c>
      <c r="J100" s="119">
        <v>18</v>
      </c>
      <c r="K100" s="121">
        <v>0</v>
      </c>
      <c r="L100" s="121">
        <v>1.1751106193581074E+19</v>
      </c>
    </row>
    <row r="101" spans="3:12" ht="15" customHeight="1">
      <c r="C101" s="113" t="b">
        <v>0</v>
      </c>
      <c r="D101" s="114">
        <v>94</v>
      </c>
      <c r="E101" s="115">
        <v>116</v>
      </c>
      <c r="F101" s="115">
        <v>11</v>
      </c>
      <c r="G101" s="119">
        <v>33</v>
      </c>
      <c r="H101" s="119">
        <v>11</v>
      </c>
      <c r="I101" s="119">
        <v>0.5</v>
      </c>
      <c r="J101" s="119">
        <v>19</v>
      </c>
      <c r="K101" s="121">
        <v>0</v>
      </c>
      <c r="L101" s="121">
        <v>4.8655248229801769E+18</v>
      </c>
    </row>
    <row r="102" spans="3:12" ht="15" customHeight="1">
      <c r="C102" s="113" t="b">
        <v>0</v>
      </c>
      <c r="D102" s="114">
        <v>92</v>
      </c>
      <c r="E102" s="115">
        <v>59</v>
      </c>
      <c r="F102" s="115">
        <v>35</v>
      </c>
      <c r="G102" s="119">
        <v>13</v>
      </c>
      <c r="H102" s="119">
        <v>19</v>
      </c>
      <c r="I102" s="119">
        <v>0.5</v>
      </c>
      <c r="J102" s="119">
        <v>20</v>
      </c>
      <c r="K102" s="121">
        <v>0</v>
      </c>
      <c r="L102" s="121">
        <v>2.7688127318933151E+18</v>
      </c>
    </row>
    <row r="103" spans="3:12" ht="15" customHeight="1">
      <c r="C103" s="113" t="b">
        <v>0</v>
      </c>
      <c r="D103" s="114">
        <v>93</v>
      </c>
      <c r="E103" s="115">
        <v>23</v>
      </c>
      <c r="F103" s="115">
        <v>35</v>
      </c>
      <c r="G103" s="119">
        <v>20</v>
      </c>
      <c r="H103" s="119">
        <v>20</v>
      </c>
      <c r="I103" s="119">
        <v>0.5</v>
      </c>
      <c r="J103" s="119">
        <v>21</v>
      </c>
      <c r="K103" s="121">
        <v>0</v>
      </c>
      <c r="L103" s="121">
        <v>1.8067790128437019E+19</v>
      </c>
    </row>
    <row r="104" spans="3:12" ht="15" customHeight="1">
      <c r="C104" s="113" t="b">
        <v>0</v>
      </c>
      <c r="D104" s="114">
        <v>90</v>
      </c>
      <c r="E104" s="115">
        <v>60</v>
      </c>
      <c r="F104" s="115">
        <v>23</v>
      </c>
      <c r="G104" s="119">
        <v>27</v>
      </c>
      <c r="H104" s="119">
        <v>5</v>
      </c>
      <c r="I104" s="119">
        <v>0.5</v>
      </c>
      <c r="J104" s="119">
        <v>22</v>
      </c>
      <c r="K104" s="121">
        <v>0</v>
      </c>
      <c r="L104" s="121">
        <v>1.506322101755502E+19</v>
      </c>
    </row>
    <row r="105" spans="3:12" ht="15" customHeight="1">
      <c r="C105" s="113" t="b">
        <v>0</v>
      </c>
      <c r="D105" s="114">
        <v>96</v>
      </c>
      <c r="E105" s="115">
        <v>68</v>
      </c>
      <c r="F105" s="115">
        <v>18</v>
      </c>
      <c r="G105" s="119">
        <v>19</v>
      </c>
      <c r="H105" s="119">
        <v>19</v>
      </c>
      <c r="I105" s="119">
        <v>0.5</v>
      </c>
      <c r="J105" s="119">
        <v>23</v>
      </c>
      <c r="K105" s="121">
        <v>0</v>
      </c>
      <c r="L105" s="121">
        <v>1.9609114667691331E+18</v>
      </c>
    </row>
    <row r="106" spans="3:12" ht="15" customHeight="1">
      <c r="C106" s="113" t="b">
        <v>0</v>
      </c>
      <c r="D106" s="114">
        <v>84</v>
      </c>
      <c r="E106" s="115">
        <v>80</v>
      </c>
      <c r="F106" s="115">
        <v>47</v>
      </c>
      <c r="G106" s="119">
        <v>33</v>
      </c>
      <c r="H106" s="119">
        <v>97</v>
      </c>
      <c r="I106" s="119">
        <v>0.5</v>
      </c>
      <c r="J106" s="119">
        <v>24</v>
      </c>
      <c r="K106" s="121">
        <v>0</v>
      </c>
      <c r="L106" s="121">
        <v>1.0928298086225582E+19</v>
      </c>
    </row>
    <row r="107" spans="3:12" ht="15" customHeight="1">
      <c r="C107" s="113" t="b">
        <v>0</v>
      </c>
      <c r="D107" s="114">
        <v>92</v>
      </c>
      <c r="E107" s="115">
        <v>70</v>
      </c>
      <c r="F107" s="115">
        <v>24</v>
      </c>
      <c r="G107" s="119">
        <v>13</v>
      </c>
      <c r="H107" s="119">
        <v>26</v>
      </c>
      <c r="I107" s="119">
        <v>0.5</v>
      </c>
      <c r="J107" s="119">
        <v>25</v>
      </c>
      <c r="K107" s="121">
        <v>0</v>
      </c>
      <c r="L107" s="121">
        <v>3.359915502630633E+18</v>
      </c>
    </row>
    <row r="108" spans="3:12" ht="15" customHeight="1">
      <c r="C108" s="113" t="b">
        <v>0</v>
      </c>
      <c r="D108" s="114">
        <v>90</v>
      </c>
      <c r="E108" s="115">
        <v>47</v>
      </c>
      <c r="F108" s="115">
        <v>28</v>
      </c>
      <c r="G108" s="119">
        <v>15</v>
      </c>
      <c r="H108" s="119">
        <v>18</v>
      </c>
      <c r="I108" s="119">
        <v>0.5</v>
      </c>
      <c r="J108" s="119">
        <v>26</v>
      </c>
      <c r="K108" s="121">
        <v>0</v>
      </c>
      <c r="L108" s="121">
        <v>7.1818124079247196E+18</v>
      </c>
    </row>
    <row r="109" spans="3:12" ht="15" customHeight="1">
      <c r="C109" s="113" t="b">
        <v>0</v>
      </c>
      <c r="D109" s="114">
        <v>88</v>
      </c>
      <c r="E109" s="115">
        <v>66</v>
      </c>
      <c r="F109" s="115">
        <v>20</v>
      </c>
      <c r="G109" s="119">
        <v>21</v>
      </c>
      <c r="H109" s="119">
        <v>10</v>
      </c>
      <c r="I109" s="119">
        <v>0.5</v>
      </c>
      <c r="J109" s="119">
        <v>27</v>
      </c>
      <c r="K109" s="121">
        <v>0</v>
      </c>
      <c r="L109" s="121">
        <v>1.4076859947607521E+19</v>
      </c>
    </row>
    <row r="110" spans="3:12" ht="15" customHeight="1">
      <c r="C110" s="113" t="b">
        <v>0</v>
      </c>
      <c r="D110" s="114">
        <v>91</v>
      </c>
      <c r="E110" s="115">
        <v>102</v>
      </c>
      <c r="F110" s="115">
        <v>17</v>
      </c>
      <c r="G110" s="119">
        <v>13</v>
      </c>
      <c r="H110" s="119">
        <v>19</v>
      </c>
      <c r="I110" s="119">
        <v>0.5</v>
      </c>
      <c r="J110" s="119">
        <v>28</v>
      </c>
      <c r="K110" s="121">
        <v>0</v>
      </c>
      <c r="L110" s="121">
        <v>1.7030399280786639E+19</v>
      </c>
    </row>
    <row r="111" spans="3:12" ht="15" customHeight="1">
      <c r="C111" s="113" t="b">
        <v>0</v>
      </c>
      <c r="D111" s="114">
        <v>87</v>
      </c>
      <c r="E111" s="115">
        <v>41</v>
      </c>
      <c r="F111" s="115">
        <v>31</v>
      </c>
      <c r="G111" s="119">
        <v>19</v>
      </c>
      <c r="H111" s="119">
        <v>16</v>
      </c>
      <c r="I111" s="119">
        <v>0.5</v>
      </c>
      <c r="J111" s="119">
        <v>29</v>
      </c>
      <c r="K111" s="121">
        <v>0</v>
      </c>
      <c r="L111" s="121">
        <v>1.3575875846939466E+19</v>
      </c>
    </row>
    <row r="112" spans="3:12" ht="15" customHeight="1">
      <c r="C112" s="113" t="b">
        <v>0</v>
      </c>
      <c r="D112" s="114">
        <v>86</v>
      </c>
      <c r="E112" s="115">
        <v>79</v>
      </c>
      <c r="F112" s="115">
        <v>28</v>
      </c>
      <c r="G112" s="119">
        <v>16</v>
      </c>
      <c r="H112" s="119">
        <v>17</v>
      </c>
      <c r="I112" s="119">
        <v>0.5</v>
      </c>
      <c r="J112" s="119">
        <v>30</v>
      </c>
      <c r="K112" s="121">
        <v>0</v>
      </c>
      <c r="L112" s="121">
        <v>1.5957013852316383E+19</v>
      </c>
    </row>
    <row r="113" spans="3:12" ht="15" customHeight="1">
      <c r="C113" s="113" t="b">
        <v>0</v>
      </c>
      <c r="D113" s="114">
        <v>91</v>
      </c>
      <c r="E113" s="115">
        <v>57</v>
      </c>
      <c r="F113" s="115">
        <v>31</v>
      </c>
      <c r="G113" s="119">
        <v>23</v>
      </c>
      <c r="H113" s="119">
        <v>42</v>
      </c>
      <c r="I113" s="119">
        <v>0.5</v>
      </c>
      <c r="J113" s="119">
        <v>31</v>
      </c>
      <c r="K113" s="121">
        <v>0</v>
      </c>
      <c r="L113" s="121">
        <v>1.7557409786499226E+19</v>
      </c>
    </row>
    <row r="114" spans="3:12" ht="15" customHeight="1">
      <c r="C114" s="113" t="b">
        <v>0</v>
      </c>
      <c r="D114" s="114">
        <v>93</v>
      </c>
      <c r="E114" s="115">
        <v>77</v>
      </c>
      <c r="F114" s="115">
        <v>32</v>
      </c>
      <c r="G114" s="119">
        <v>18</v>
      </c>
      <c r="H114" s="119">
        <v>29</v>
      </c>
      <c r="I114" s="119">
        <v>0.5</v>
      </c>
      <c r="J114" s="119">
        <v>32</v>
      </c>
      <c r="K114" s="121">
        <v>0</v>
      </c>
      <c r="L114" s="121">
        <v>1.5654136397541237E+19</v>
      </c>
    </row>
    <row r="115" spans="3:12" ht="15" customHeight="1">
      <c r="C115" s="113" t="b">
        <v>0</v>
      </c>
      <c r="D115" s="114">
        <v>88</v>
      </c>
      <c r="E115" s="115">
        <v>96</v>
      </c>
      <c r="F115" s="115">
        <v>28</v>
      </c>
      <c r="G115" s="119">
        <v>21</v>
      </c>
      <c r="H115" s="119">
        <v>40</v>
      </c>
      <c r="I115" s="119">
        <v>0.5</v>
      </c>
      <c r="J115" s="119">
        <v>33</v>
      </c>
      <c r="K115" s="121">
        <v>0</v>
      </c>
      <c r="L115" s="121">
        <v>1.7569011287599835E+19</v>
      </c>
    </row>
    <row r="116" spans="3:12" ht="15" customHeight="1">
      <c r="C116" s="113" t="b">
        <v>0</v>
      </c>
      <c r="D116" s="114">
        <v>94</v>
      </c>
      <c r="E116" s="115">
        <v>65</v>
      </c>
      <c r="F116" s="115">
        <v>22</v>
      </c>
      <c r="G116" s="119">
        <v>18</v>
      </c>
      <c r="H116" s="119">
        <v>11</v>
      </c>
      <c r="I116" s="119">
        <v>0.5</v>
      </c>
      <c r="J116" s="119">
        <v>34</v>
      </c>
      <c r="K116" s="121">
        <v>0</v>
      </c>
      <c r="L116" s="121">
        <v>1.0533819359236671E+19</v>
      </c>
    </row>
    <row r="117" spans="3:12" ht="15" customHeight="1">
      <c r="C117" s="113" t="b">
        <v>0</v>
      </c>
      <c r="D117" s="114">
        <v>91</v>
      </c>
      <c r="E117" s="115">
        <v>72</v>
      </c>
      <c r="F117" s="115">
        <v>155</v>
      </c>
      <c r="G117" s="119">
        <v>68</v>
      </c>
      <c r="H117" s="119">
        <v>82</v>
      </c>
      <c r="I117" s="119">
        <v>0.5</v>
      </c>
      <c r="J117" s="119">
        <v>35</v>
      </c>
      <c r="K117" s="121">
        <v>0</v>
      </c>
      <c r="L117" s="121">
        <v>1.8339856476171489E+19</v>
      </c>
    </row>
    <row r="118" spans="3:12" ht="15" customHeight="1">
      <c r="C118" s="113" t="b">
        <v>0</v>
      </c>
      <c r="D118" s="114">
        <v>85</v>
      </c>
      <c r="E118" s="115">
        <v>54</v>
      </c>
      <c r="F118" s="115">
        <v>47</v>
      </c>
      <c r="G118" s="119">
        <v>33</v>
      </c>
      <c r="H118" s="119">
        <v>22</v>
      </c>
      <c r="I118" s="119">
        <v>0.5</v>
      </c>
      <c r="J118" s="119">
        <v>36</v>
      </c>
      <c r="K118" s="121">
        <v>0</v>
      </c>
      <c r="L118" s="121">
        <v>9.9494106077273661E+18</v>
      </c>
    </row>
    <row r="119" spans="3:12" ht="15" customHeight="1">
      <c r="C119" s="113" t="b">
        <v>0</v>
      </c>
      <c r="D119" s="114">
        <v>79</v>
      </c>
      <c r="E119" s="115">
        <v>39</v>
      </c>
      <c r="F119" s="115">
        <v>14</v>
      </c>
      <c r="G119" s="119">
        <v>19</v>
      </c>
      <c r="H119" s="119">
        <v>9</v>
      </c>
      <c r="I119" s="119">
        <v>0.5</v>
      </c>
      <c r="J119" s="119">
        <v>37</v>
      </c>
      <c r="K119" s="121">
        <v>0</v>
      </c>
      <c r="L119" s="121">
        <v>1.509979895019733E+19</v>
      </c>
    </row>
    <row r="120" spans="3:12" ht="15" customHeight="1">
      <c r="C120" s="113" t="b">
        <v>0</v>
      </c>
      <c r="D120" s="114">
        <v>85</v>
      </c>
      <c r="E120" s="115">
        <v>85</v>
      </c>
      <c r="F120" s="115">
        <v>25</v>
      </c>
      <c r="G120" s="119">
        <v>26</v>
      </c>
      <c r="H120" s="119">
        <v>30</v>
      </c>
      <c r="I120" s="119">
        <v>0.5</v>
      </c>
      <c r="J120" s="119">
        <v>38</v>
      </c>
      <c r="K120" s="121">
        <v>0</v>
      </c>
      <c r="L120" s="121">
        <v>9.3245732315702252E+18</v>
      </c>
    </row>
    <row r="121" spans="3:12" ht="15" customHeight="1">
      <c r="C121" s="113" t="b">
        <v>0</v>
      </c>
      <c r="D121" s="114">
        <v>89</v>
      </c>
      <c r="E121" s="115">
        <v>63</v>
      </c>
      <c r="F121" s="115">
        <v>24</v>
      </c>
      <c r="G121" s="119">
        <v>20</v>
      </c>
      <c r="H121" s="119">
        <v>38</v>
      </c>
      <c r="I121" s="119">
        <v>0.5</v>
      </c>
      <c r="J121" s="119">
        <v>39</v>
      </c>
      <c r="K121" s="121">
        <v>0</v>
      </c>
      <c r="L121" s="121">
        <v>2.8384914654338396E+18</v>
      </c>
    </row>
    <row r="122" spans="3:12" ht="15" customHeight="1">
      <c r="C122" s="113" t="b">
        <v>0</v>
      </c>
      <c r="D122" s="114">
        <v>84</v>
      </c>
      <c r="E122" s="115">
        <v>92</v>
      </c>
      <c r="F122" s="115">
        <v>68</v>
      </c>
      <c r="G122" s="119">
        <v>37</v>
      </c>
      <c r="H122" s="119">
        <v>44</v>
      </c>
      <c r="I122" s="119">
        <v>0.5</v>
      </c>
      <c r="J122" s="119">
        <v>40</v>
      </c>
      <c r="K122" s="121">
        <v>0</v>
      </c>
      <c r="L122" s="121">
        <v>3.3357754434359066E+18</v>
      </c>
    </row>
    <row r="123" spans="3:12" ht="15" customHeight="1">
      <c r="C123" s="113" t="b">
        <v>0</v>
      </c>
      <c r="D123" s="114">
        <v>89</v>
      </c>
      <c r="E123" s="115">
        <v>68</v>
      </c>
      <c r="F123" s="115">
        <v>26</v>
      </c>
      <c r="G123" s="119">
        <v>39</v>
      </c>
      <c r="H123" s="119">
        <v>42</v>
      </c>
      <c r="I123" s="119">
        <v>0.5</v>
      </c>
      <c r="J123" s="119">
        <v>41</v>
      </c>
      <c r="K123" s="121">
        <v>0</v>
      </c>
      <c r="L123" s="121">
        <v>1.7158292227573971E+19</v>
      </c>
    </row>
    <row r="124" spans="3:12" ht="15" customHeight="1">
      <c r="C124" s="113" t="b">
        <v>0</v>
      </c>
      <c r="D124" s="114">
        <v>89</v>
      </c>
      <c r="E124" s="115">
        <v>101</v>
      </c>
      <c r="F124" s="115">
        <v>18</v>
      </c>
      <c r="G124" s="119">
        <v>25</v>
      </c>
      <c r="H124" s="119">
        <v>13</v>
      </c>
      <c r="I124" s="119">
        <v>0.5</v>
      </c>
      <c r="J124" s="119">
        <v>42</v>
      </c>
      <c r="K124" s="121">
        <v>0</v>
      </c>
      <c r="L124" s="121">
        <v>8.0836530043644723E+18</v>
      </c>
    </row>
    <row r="125" spans="3:12" ht="15" customHeight="1">
      <c r="C125" s="113" t="b">
        <v>0</v>
      </c>
      <c r="D125" s="114">
        <v>86</v>
      </c>
      <c r="E125" s="115">
        <v>84</v>
      </c>
      <c r="F125" s="115">
        <v>18</v>
      </c>
      <c r="G125" s="119">
        <v>14</v>
      </c>
      <c r="H125" s="119">
        <v>16</v>
      </c>
      <c r="I125" s="119">
        <v>0.5</v>
      </c>
      <c r="J125" s="119">
        <v>43</v>
      </c>
      <c r="K125" s="121">
        <v>0</v>
      </c>
      <c r="L125" s="121">
        <v>3.2816219160983639E+18</v>
      </c>
    </row>
    <row r="126" spans="3:12" ht="15" customHeight="1">
      <c r="C126" s="113" t="b">
        <v>0</v>
      </c>
      <c r="D126" s="114">
        <v>85</v>
      </c>
      <c r="E126" s="115">
        <v>65</v>
      </c>
      <c r="F126" s="115">
        <v>25</v>
      </c>
      <c r="G126" s="119">
        <v>14</v>
      </c>
      <c r="H126" s="119">
        <v>18</v>
      </c>
      <c r="I126" s="119">
        <v>0.5</v>
      </c>
      <c r="J126" s="119">
        <v>44</v>
      </c>
      <c r="K126" s="121">
        <v>0</v>
      </c>
      <c r="L126" s="121">
        <v>4.9530200827533148E+18</v>
      </c>
    </row>
    <row r="127" spans="3:12" ht="15" customHeight="1">
      <c r="C127" s="113" t="b">
        <v>0</v>
      </c>
      <c r="D127" s="114">
        <v>88</v>
      </c>
      <c r="E127" s="115">
        <v>61</v>
      </c>
      <c r="F127" s="115">
        <v>19</v>
      </c>
      <c r="G127" s="119">
        <v>21</v>
      </c>
      <c r="H127" s="119">
        <v>13</v>
      </c>
      <c r="I127" s="119">
        <v>0.5</v>
      </c>
      <c r="J127" s="119">
        <v>45</v>
      </c>
      <c r="K127" s="121">
        <v>0</v>
      </c>
      <c r="L127" s="121">
        <v>6.4023648127824067E+18</v>
      </c>
    </row>
    <row r="128" spans="3:12" ht="15" customHeight="1">
      <c r="C128" s="113" t="b">
        <v>0</v>
      </c>
      <c r="D128" s="114">
        <v>92</v>
      </c>
      <c r="E128" s="115">
        <v>56</v>
      </c>
      <c r="F128" s="115">
        <v>14</v>
      </c>
      <c r="G128" s="119">
        <v>16</v>
      </c>
      <c r="H128" s="119">
        <v>10</v>
      </c>
      <c r="I128" s="119">
        <v>0.5</v>
      </c>
      <c r="J128" s="119">
        <v>46</v>
      </c>
      <c r="K128" s="121">
        <v>0</v>
      </c>
      <c r="L128" s="121">
        <v>1.0683687240360292E+19</v>
      </c>
    </row>
    <row r="129" spans="3:12" ht="15" customHeight="1">
      <c r="C129" s="113" t="b">
        <v>0</v>
      </c>
      <c r="D129" s="114">
        <v>95</v>
      </c>
      <c r="E129" s="115">
        <v>50</v>
      </c>
      <c r="F129" s="115">
        <v>29</v>
      </c>
      <c r="G129" s="119">
        <v>25</v>
      </c>
      <c r="H129" s="119">
        <v>50</v>
      </c>
      <c r="I129" s="119">
        <v>0.5</v>
      </c>
      <c r="J129" s="119">
        <v>47</v>
      </c>
      <c r="K129" s="121">
        <v>0</v>
      </c>
      <c r="L129" s="121">
        <v>3.4680896293375427E+18</v>
      </c>
    </row>
    <row r="130" spans="3:12" ht="15" customHeight="1">
      <c r="C130" s="113" t="b">
        <v>0</v>
      </c>
      <c r="D130" s="114">
        <v>91</v>
      </c>
      <c r="E130" s="115">
        <v>75</v>
      </c>
      <c r="F130" s="115">
        <v>24</v>
      </c>
      <c r="G130" s="119">
        <v>22</v>
      </c>
      <c r="H130" s="119">
        <v>11</v>
      </c>
      <c r="I130" s="119">
        <v>0.5</v>
      </c>
      <c r="J130" s="119">
        <v>48</v>
      </c>
      <c r="K130" s="121">
        <v>0</v>
      </c>
      <c r="L130" s="121">
        <v>6.5441076447081134E+18</v>
      </c>
    </row>
    <row r="131" spans="3:12" ht="15" customHeight="1">
      <c r="C131" s="113" t="b">
        <v>0</v>
      </c>
      <c r="D131" s="114">
        <v>83</v>
      </c>
      <c r="E131" s="115">
        <v>40</v>
      </c>
      <c r="F131" s="115">
        <v>29</v>
      </c>
      <c r="G131" s="119">
        <v>25</v>
      </c>
      <c r="H131" s="119">
        <v>38</v>
      </c>
      <c r="I131" s="119">
        <v>0.5</v>
      </c>
      <c r="J131" s="119">
        <v>49</v>
      </c>
      <c r="K131" s="121">
        <v>0</v>
      </c>
      <c r="L131" s="121">
        <v>7.6583916201103135E+18</v>
      </c>
    </row>
    <row r="132" spans="3:12" ht="15" customHeight="1">
      <c r="C132" s="113" t="b">
        <v>0</v>
      </c>
      <c r="D132" s="114">
        <v>89</v>
      </c>
      <c r="E132" s="115">
        <v>74</v>
      </c>
      <c r="F132" s="115">
        <v>19</v>
      </c>
      <c r="G132" s="119">
        <v>23</v>
      </c>
      <c r="H132" s="119">
        <v>16</v>
      </c>
      <c r="I132" s="119">
        <v>0.5</v>
      </c>
      <c r="J132" s="119">
        <v>50</v>
      </c>
      <c r="K132" s="121">
        <v>0</v>
      </c>
      <c r="L132" s="121">
        <v>2.6239212008090972E+18</v>
      </c>
    </row>
    <row r="133" spans="3:12" ht="15" customHeight="1">
      <c r="C133" s="113" t="b">
        <v>0</v>
      </c>
      <c r="D133" s="114">
        <v>85</v>
      </c>
      <c r="E133" s="115">
        <v>64</v>
      </c>
      <c r="F133" s="115">
        <v>24</v>
      </c>
      <c r="G133" s="119">
        <v>22</v>
      </c>
      <c r="H133" s="119">
        <v>11</v>
      </c>
      <c r="I133" s="119">
        <v>0.5</v>
      </c>
      <c r="J133" s="119">
        <v>51</v>
      </c>
      <c r="K133" s="121">
        <v>0</v>
      </c>
      <c r="L133" s="121">
        <v>1.4679514524834058E+18</v>
      </c>
    </row>
    <row r="134" spans="3:12" ht="15" customHeight="1">
      <c r="C134" s="113" t="b">
        <v>0</v>
      </c>
      <c r="D134" s="114">
        <v>92</v>
      </c>
      <c r="E134" s="115">
        <v>57</v>
      </c>
      <c r="F134" s="115">
        <v>64</v>
      </c>
      <c r="G134" s="119">
        <v>36</v>
      </c>
      <c r="H134" s="119">
        <v>90</v>
      </c>
      <c r="I134" s="119">
        <v>0.5</v>
      </c>
      <c r="J134" s="119">
        <v>52</v>
      </c>
      <c r="K134" s="121">
        <v>0</v>
      </c>
      <c r="L134" s="121">
        <v>1.1782617505949082E+19</v>
      </c>
    </row>
    <row r="135" spans="3:12" ht="15" customHeight="1">
      <c r="C135" s="113" t="b">
        <v>0</v>
      </c>
      <c r="D135" s="114">
        <v>94</v>
      </c>
      <c r="E135" s="115">
        <v>48</v>
      </c>
      <c r="F135" s="115">
        <v>11</v>
      </c>
      <c r="G135" s="119">
        <v>23</v>
      </c>
      <c r="H135" s="119">
        <v>43</v>
      </c>
      <c r="I135" s="119">
        <v>0.5</v>
      </c>
      <c r="J135" s="119">
        <v>53</v>
      </c>
      <c r="K135" s="121">
        <v>0</v>
      </c>
      <c r="L135" s="121">
        <v>2.1285510147540449E+18</v>
      </c>
    </row>
    <row r="136" spans="3:12" ht="15" customHeight="1">
      <c r="C136" s="113" t="b">
        <v>0</v>
      </c>
      <c r="D136" s="114">
        <v>87</v>
      </c>
      <c r="E136" s="115">
        <v>52</v>
      </c>
      <c r="F136" s="115">
        <v>21</v>
      </c>
      <c r="G136" s="119">
        <v>19</v>
      </c>
      <c r="H136" s="119">
        <v>30</v>
      </c>
      <c r="I136" s="119">
        <v>0.5</v>
      </c>
      <c r="J136" s="119">
        <v>54</v>
      </c>
      <c r="K136" s="121">
        <v>0</v>
      </c>
      <c r="L136" s="121">
        <v>4.2867388321519283E+18</v>
      </c>
    </row>
    <row r="137" spans="3:12" ht="15" customHeight="1">
      <c r="C137" s="113" t="b">
        <v>0</v>
      </c>
      <c r="D137" s="114">
        <v>85</v>
      </c>
      <c r="E137" s="115">
        <v>65</v>
      </c>
      <c r="F137" s="115">
        <v>23</v>
      </c>
      <c r="G137" s="119">
        <v>29</v>
      </c>
      <c r="H137" s="119">
        <v>15</v>
      </c>
      <c r="I137" s="119">
        <v>0.5</v>
      </c>
      <c r="J137" s="119">
        <v>55</v>
      </c>
      <c r="K137" s="121">
        <v>0</v>
      </c>
      <c r="L137" s="121">
        <v>4.0757603853388948E+18</v>
      </c>
    </row>
    <row r="138" spans="3:12" ht="15" customHeight="1">
      <c r="C138" s="113" t="b">
        <v>0</v>
      </c>
      <c r="D138" s="114">
        <v>84</v>
      </c>
      <c r="E138" s="115">
        <v>82</v>
      </c>
      <c r="F138" s="115">
        <v>21</v>
      </c>
      <c r="G138" s="119">
        <v>21</v>
      </c>
      <c r="H138" s="119">
        <v>19</v>
      </c>
      <c r="I138" s="119">
        <v>0.5</v>
      </c>
      <c r="J138" s="119">
        <v>56</v>
      </c>
      <c r="K138" s="121">
        <v>0</v>
      </c>
      <c r="L138" s="121">
        <v>1.161323756118493E+19</v>
      </c>
    </row>
    <row r="139" spans="3:12" ht="15" customHeight="1">
      <c r="C139" s="113" t="b">
        <v>0</v>
      </c>
      <c r="D139" s="114">
        <v>88</v>
      </c>
      <c r="E139" s="115">
        <v>49</v>
      </c>
      <c r="F139" s="115">
        <v>20</v>
      </c>
      <c r="G139" s="119">
        <v>22</v>
      </c>
      <c r="H139" s="119">
        <v>19</v>
      </c>
      <c r="I139" s="119">
        <v>0.5</v>
      </c>
      <c r="J139" s="119">
        <v>57</v>
      </c>
      <c r="K139" s="121">
        <v>0</v>
      </c>
      <c r="L139" s="121">
        <v>1.2475333476182051E+19</v>
      </c>
    </row>
    <row r="140" spans="3:12" ht="15" customHeight="1">
      <c r="C140" s="113" t="b">
        <v>0</v>
      </c>
      <c r="D140" s="114">
        <v>96</v>
      </c>
      <c r="E140" s="115">
        <v>67</v>
      </c>
      <c r="F140" s="115">
        <v>26</v>
      </c>
      <c r="G140" s="119">
        <v>26</v>
      </c>
      <c r="H140" s="119">
        <v>36</v>
      </c>
      <c r="I140" s="119">
        <v>0.5</v>
      </c>
      <c r="J140" s="119">
        <v>58</v>
      </c>
      <c r="K140" s="121">
        <v>0</v>
      </c>
      <c r="L140" s="121">
        <v>1.3555836706578051E+19</v>
      </c>
    </row>
    <row r="141" spans="3:12" ht="15" customHeight="1">
      <c r="C141" s="113" t="b">
        <v>0</v>
      </c>
      <c r="D141" s="114">
        <v>90</v>
      </c>
      <c r="E141" s="115">
        <v>63</v>
      </c>
      <c r="F141" s="115">
        <v>24</v>
      </c>
      <c r="G141" s="119">
        <v>24</v>
      </c>
      <c r="H141" s="119">
        <v>24</v>
      </c>
      <c r="I141" s="119">
        <v>0.5</v>
      </c>
      <c r="J141" s="119">
        <v>59</v>
      </c>
      <c r="K141" s="121">
        <v>0</v>
      </c>
      <c r="L141" s="121">
        <v>9.5375306215401152E+17</v>
      </c>
    </row>
    <row r="142" spans="3:12" ht="15" customHeight="1">
      <c r="C142" s="113" t="b">
        <v>0</v>
      </c>
      <c r="D142" s="114">
        <v>90</v>
      </c>
      <c r="E142" s="115">
        <v>45</v>
      </c>
      <c r="F142" s="115">
        <v>33</v>
      </c>
      <c r="G142" s="119">
        <v>34</v>
      </c>
      <c r="H142" s="119">
        <v>27</v>
      </c>
      <c r="I142" s="119">
        <v>0.5</v>
      </c>
      <c r="J142" s="119">
        <v>60</v>
      </c>
      <c r="K142" s="121">
        <v>0</v>
      </c>
      <c r="L142" s="121">
        <v>1.5418961031300246E+19</v>
      </c>
    </row>
    <row r="143" spans="3:12" ht="15" customHeight="1">
      <c r="C143" s="113" t="b">
        <v>0</v>
      </c>
      <c r="D143" s="114">
        <v>90</v>
      </c>
      <c r="E143" s="115">
        <v>72</v>
      </c>
      <c r="F143" s="115">
        <v>14</v>
      </c>
      <c r="G143" s="119">
        <v>15</v>
      </c>
      <c r="H143" s="119">
        <v>18</v>
      </c>
      <c r="I143" s="119">
        <v>0.5</v>
      </c>
      <c r="J143" s="119">
        <v>61</v>
      </c>
      <c r="K143" s="121">
        <v>0</v>
      </c>
      <c r="L143" s="121">
        <v>7.0798660374793636E+18</v>
      </c>
    </row>
    <row r="144" spans="3:12" ht="15" customHeight="1">
      <c r="C144" s="113" t="b">
        <v>0</v>
      </c>
      <c r="D144" s="114">
        <v>91</v>
      </c>
      <c r="E144" s="115">
        <v>55</v>
      </c>
      <c r="F144" s="115">
        <v>4</v>
      </c>
      <c r="G144" s="119">
        <v>8</v>
      </c>
      <c r="H144" s="119">
        <v>13</v>
      </c>
      <c r="I144" s="119">
        <v>0.5</v>
      </c>
      <c r="J144" s="119">
        <v>62</v>
      </c>
      <c r="K144" s="121">
        <v>0</v>
      </c>
      <c r="L144" s="121">
        <v>1.1086208825686309E+19</v>
      </c>
    </row>
    <row r="145" spans="3:12" ht="15" customHeight="1">
      <c r="C145" s="113" t="b">
        <v>0</v>
      </c>
      <c r="D145" s="114">
        <v>91</v>
      </c>
      <c r="E145" s="115">
        <v>52</v>
      </c>
      <c r="F145" s="115">
        <v>15</v>
      </c>
      <c r="G145" s="119">
        <v>22</v>
      </c>
      <c r="H145" s="119">
        <v>11</v>
      </c>
      <c r="I145" s="119">
        <v>0.5</v>
      </c>
      <c r="J145" s="119">
        <v>63</v>
      </c>
      <c r="K145" s="121">
        <v>0</v>
      </c>
      <c r="L145" s="121">
        <v>7.2054091391471012E+18</v>
      </c>
    </row>
    <row r="146" spans="3:12" ht="15" customHeight="1">
      <c r="C146" s="113" t="b">
        <v>0</v>
      </c>
      <c r="D146" s="114">
        <v>87</v>
      </c>
      <c r="E146" s="115">
        <v>71</v>
      </c>
      <c r="F146" s="115">
        <v>32</v>
      </c>
      <c r="G146" s="119">
        <v>19</v>
      </c>
      <c r="H146" s="119">
        <v>27</v>
      </c>
      <c r="I146" s="119">
        <v>1</v>
      </c>
      <c r="J146" s="119">
        <v>64</v>
      </c>
      <c r="K146" s="121">
        <v>0</v>
      </c>
      <c r="L146" s="121">
        <v>8.7245229723310618E+17</v>
      </c>
    </row>
    <row r="147" spans="3:12" ht="15" customHeight="1">
      <c r="C147" s="113" t="b">
        <v>0</v>
      </c>
      <c r="D147" s="114">
        <v>89</v>
      </c>
      <c r="E147" s="115">
        <v>77</v>
      </c>
      <c r="F147" s="115">
        <v>26</v>
      </c>
      <c r="G147" s="119">
        <v>20</v>
      </c>
      <c r="H147" s="119">
        <v>19</v>
      </c>
      <c r="I147" s="119">
        <v>1</v>
      </c>
      <c r="J147" s="119">
        <v>65</v>
      </c>
      <c r="K147" s="121">
        <v>0</v>
      </c>
      <c r="L147" s="121">
        <v>1.5496601500838298E+19</v>
      </c>
    </row>
    <row r="148" spans="3:12" ht="15" customHeight="1">
      <c r="C148" s="113" t="b">
        <v>0</v>
      </c>
      <c r="D148" s="114">
        <v>89</v>
      </c>
      <c r="E148" s="115">
        <v>67</v>
      </c>
      <c r="F148" s="115">
        <v>5</v>
      </c>
      <c r="G148" s="119">
        <v>17</v>
      </c>
      <c r="H148" s="119">
        <v>14</v>
      </c>
      <c r="I148" s="119">
        <v>1</v>
      </c>
      <c r="J148" s="119">
        <v>66</v>
      </c>
      <c r="K148" s="121">
        <v>0</v>
      </c>
      <c r="L148" s="121">
        <v>1.2105026692784783E+19</v>
      </c>
    </row>
    <row r="149" spans="3:12" ht="15" customHeight="1">
      <c r="C149" s="113" t="b">
        <v>0</v>
      </c>
      <c r="D149" s="114">
        <v>85</v>
      </c>
      <c r="E149" s="115">
        <v>51</v>
      </c>
      <c r="F149" s="115">
        <v>26</v>
      </c>
      <c r="G149" s="119">
        <v>24</v>
      </c>
      <c r="H149" s="119">
        <v>23</v>
      </c>
      <c r="I149" s="119">
        <v>1</v>
      </c>
      <c r="J149" s="119">
        <v>67</v>
      </c>
      <c r="K149" s="121">
        <v>0</v>
      </c>
      <c r="L149" s="121">
        <v>1.019322854225638E+19</v>
      </c>
    </row>
    <row r="150" spans="3:12" ht="15" customHeight="1">
      <c r="C150" s="113" t="b">
        <v>0</v>
      </c>
      <c r="D150" s="114">
        <v>103</v>
      </c>
      <c r="E150" s="115">
        <v>75</v>
      </c>
      <c r="F150" s="115">
        <v>19</v>
      </c>
      <c r="G150" s="119">
        <v>30</v>
      </c>
      <c r="H150" s="119">
        <v>13</v>
      </c>
      <c r="I150" s="119">
        <v>1</v>
      </c>
      <c r="J150" s="119">
        <v>68</v>
      </c>
      <c r="K150" s="121">
        <v>0</v>
      </c>
      <c r="L150" s="121">
        <v>1.5018990109305265E+18</v>
      </c>
    </row>
    <row r="151" spans="3:12" ht="15" customHeight="1">
      <c r="C151" s="113" t="b">
        <v>0</v>
      </c>
      <c r="D151" s="114">
        <v>90</v>
      </c>
      <c r="E151" s="115">
        <v>63</v>
      </c>
      <c r="F151" s="115">
        <v>16</v>
      </c>
      <c r="G151" s="119">
        <v>21</v>
      </c>
      <c r="H151" s="119">
        <v>14</v>
      </c>
      <c r="I151" s="119">
        <v>1</v>
      </c>
      <c r="J151" s="119">
        <v>69</v>
      </c>
      <c r="K151" s="121">
        <v>0</v>
      </c>
      <c r="L151" s="121">
        <v>1.2624918259625103E+19</v>
      </c>
    </row>
    <row r="152" spans="3:12" ht="15" customHeight="1">
      <c r="C152" s="113" t="b">
        <v>0</v>
      </c>
      <c r="D152" s="114">
        <v>90</v>
      </c>
      <c r="E152" s="115">
        <v>63</v>
      </c>
      <c r="F152" s="115">
        <v>29</v>
      </c>
      <c r="G152" s="119">
        <v>23</v>
      </c>
      <c r="H152" s="119">
        <v>57</v>
      </c>
      <c r="I152" s="119">
        <v>2</v>
      </c>
      <c r="J152" s="119">
        <v>70</v>
      </c>
      <c r="K152" s="121">
        <v>0</v>
      </c>
      <c r="L152" s="121">
        <v>4.4217838342825492E+18</v>
      </c>
    </row>
    <row r="153" spans="3:12" ht="15" customHeight="1">
      <c r="C153" s="113" t="b">
        <v>0</v>
      </c>
      <c r="D153" s="114">
        <v>90</v>
      </c>
      <c r="E153" s="115">
        <v>67</v>
      </c>
      <c r="F153" s="115">
        <v>35</v>
      </c>
      <c r="G153" s="119">
        <v>19</v>
      </c>
      <c r="H153" s="119">
        <v>35</v>
      </c>
      <c r="I153" s="119">
        <v>2</v>
      </c>
      <c r="J153" s="119">
        <v>71</v>
      </c>
      <c r="K153" s="121">
        <v>0</v>
      </c>
      <c r="L153" s="121">
        <v>1.8347547698645416E+19</v>
      </c>
    </row>
    <row r="154" spans="3:12" ht="15" customHeight="1">
      <c r="C154" s="113" t="b">
        <v>0</v>
      </c>
      <c r="D154" s="114">
        <v>87</v>
      </c>
      <c r="E154" s="115">
        <v>66</v>
      </c>
      <c r="F154" s="115">
        <v>27</v>
      </c>
      <c r="G154" s="119">
        <v>22</v>
      </c>
      <c r="H154" s="119">
        <v>9</v>
      </c>
      <c r="I154" s="119">
        <v>2</v>
      </c>
      <c r="J154" s="119">
        <v>72</v>
      </c>
      <c r="K154" s="121">
        <v>0</v>
      </c>
      <c r="L154" s="121">
        <v>1.6196097589528184E+18</v>
      </c>
    </row>
    <row r="155" spans="3:12" ht="15" customHeight="1">
      <c r="C155" s="113" t="b">
        <v>0</v>
      </c>
      <c r="D155" s="114">
        <v>90</v>
      </c>
      <c r="E155" s="115">
        <v>73</v>
      </c>
      <c r="F155" s="115">
        <v>34</v>
      </c>
      <c r="G155" s="119">
        <v>21</v>
      </c>
      <c r="H155" s="119">
        <v>22</v>
      </c>
      <c r="I155" s="119">
        <v>2</v>
      </c>
      <c r="J155" s="119">
        <v>73</v>
      </c>
      <c r="K155" s="121">
        <v>0</v>
      </c>
      <c r="L155" s="121">
        <v>1.310106634831386E+19</v>
      </c>
    </row>
    <row r="156" spans="3:12" ht="15" customHeight="1">
      <c r="C156" s="113" t="b">
        <v>0</v>
      </c>
      <c r="D156" s="114">
        <v>86</v>
      </c>
      <c r="E156" s="115">
        <v>54</v>
      </c>
      <c r="F156" s="115">
        <v>20</v>
      </c>
      <c r="G156" s="119">
        <v>21</v>
      </c>
      <c r="H156" s="119">
        <v>16</v>
      </c>
      <c r="I156" s="119">
        <v>2</v>
      </c>
      <c r="J156" s="119">
        <v>74</v>
      </c>
      <c r="K156" s="121">
        <v>0</v>
      </c>
      <c r="L156" s="121">
        <v>1.7236502268716362E+19</v>
      </c>
    </row>
    <row r="157" spans="3:12" ht="15" customHeight="1">
      <c r="C157" s="113" t="b">
        <v>0</v>
      </c>
      <c r="D157" s="114">
        <v>90</v>
      </c>
      <c r="E157" s="115">
        <v>80</v>
      </c>
      <c r="F157" s="115">
        <v>19</v>
      </c>
      <c r="G157" s="119">
        <v>14</v>
      </c>
      <c r="H157" s="119">
        <v>42</v>
      </c>
      <c r="I157" s="119">
        <v>2</v>
      </c>
      <c r="J157" s="119">
        <v>75</v>
      </c>
      <c r="K157" s="121">
        <v>0</v>
      </c>
      <c r="L157" s="121">
        <v>1.5128016816263494E+19</v>
      </c>
    </row>
    <row r="158" spans="3:12" ht="15" customHeight="1">
      <c r="C158" s="113" t="b">
        <v>0</v>
      </c>
      <c r="D158" s="114">
        <v>87</v>
      </c>
      <c r="E158" s="115">
        <v>90</v>
      </c>
      <c r="F158" s="115">
        <v>43</v>
      </c>
      <c r="G158" s="119">
        <v>28</v>
      </c>
      <c r="H158" s="119">
        <v>156</v>
      </c>
      <c r="I158" s="119">
        <v>2</v>
      </c>
      <c r="J158" s="119">
        <v>76</v>
      </c>
      <c r="K158" s="121">
        <v>0</v>
      </c>
      <c r="L158" s="121">
        <v>1.3564997214936143E+18</v>
      </c>
    </row>
    <row r="159" spans="3:12" ht="15" customHeight="1">
      <c r="C159" s="113" t="b">
        <v>0</v>
      </c>
      <c r="D159" s="114">
        <v>96</v>
      </c>
      <c r="E159" s="115">
        <v>72</v>
      </c>
      <c r="F159" s="115">
        <v>28</v>
      </c>
      <c r="G159" s="119">
        <v>19</v>
      </c>
      <c r="H159" s="119">
        <v>30</v>
      </c>
      <c r="I159" s="119">
        <v>2</v>
      </c>
      <c r="J159" s="119">
        <v>77</v>
      </c>
      <c r="K159" s="121">
        <v>0</v>
      </c>
      <c r="L159" s="121">
        <v>1.0505234029372987E+19</v>
      </c>
    </row>
    <row r="160" spans="3:12" ht="15" customHeight="1">
      <c r="C160" s="113" t="b">
        <v>0</v>
      </c>
      <c r="D160" s="114">
        <v>91</v>
      </c>
      <c r="E160" s="115">
        <v>55</v>
      </c>
      <c r="F160" s="115">
        <v>9</v>
      </c>
      <c r="G160" s="119">
        <v>25</v>
      </c>
      <c r="H160" s="119">
        <v>16</v>
      </c>
      <c r="I160" s="119">
        <v>2</v>
      </c>
      <c r="J160" s="119">
        <v>78</v>
      </c>
      <c r="K160" s="121">
        <v>0</v>
      </c>
      <c r="L160" s="121">
        <v>1.1684903511891481E+19</v>
      </c>
    </row>
    <row r="161" spans="3:12" ht="15" customHeight="1">
      <c r="C161" s="113" t="b">
        <v>0</v>
      </c>
      <c r="D161" s="114">
        <v>95</v>
      </c>
      <c r="E161" s="115">
        <v>78</v>
      </c>
      <c r="F161" s="115">
        <v>27</v>
      </c>
      <c r="G161" s="119">
        <v>25</v>
      </c>
      <c r="H161" s="119">
        <v>30</v>
      </c>
      <c r="I161" s="119">
        <v>2</v>
      </c>
      <c r="J161" s="119">
        <v>79</v>
      </c>
      <c r="K161" s="121">
        <v>0</v>
      </c>
      <c r="L161" s="121">
        <v>1.1803127464694991E+19</v>
      </c>
    </row>
    <row r="162" spans="3:12" ht="15" customHeight="1">
      <c r="C162" s="113" t="b">
        <v>0</v>
      </c>
      <c r="D162" s="114">
        <v>92</v>
      </c>
      <c r="E162" s="115">
        <v>101</v>
      </c>
      <c r="F162" s="115">
        <v>34</v>
      </c>
      <c r="G162" s="119">
        <v>30</v>
      </c>
      <c r="H162" s="119">
        <v>64</v>
      </c>
      <c r="I162" s="119">
        <v>2</v>
      </c>
      <c r="J162" s="119">
        <v>80</v>
      </c>
      <c r="K162" s="121">
        <v>0</v>
      </c>
      <c r="L162" s="121">
        <v>1.2742290755439004E+19</v>
      </c>
    </row>
    <row r="163" spans="3:12" ht="15" customHeight="1">
      <c r="C163" s="113" t="b">
        <v>0</v>
      </c>
      <c r="D163" s="114">
        <v>89</v>
      </c>
      <c r="E163" s="115">
        <v>51</v>
      </c>
      <c r="F163" s="115">
        <v>41</v>
      </c>
      <c r="G163" s="119">
        <v>22</v>
      </c>
      <c r="H163" s="119">
        <v>48</v>
      </c>
      <c r="I163" s="119">
        <v>2</v>
      </c>
      <c r="J163" s="119">
        <v>81</v>
      </c>
      <c r="K163" s="121">
        <v>0</v>
      </c>
      <c r="L163" s="121">
        <v>2.0339447099346422E+18</v>
      </c>
    </row>
    <row r="164" spans="3:12" ht="15" customHeight="1">
      <c r="C164" s="113" t="b">
        <v>0</v>
      </c>
      <c r="D164" s="114">
        <v>91</v>
      </c>
      <c r="E164" s="115">
        <v>99</v>
      </c>
      <c r="F164" s="115">
        <v>42</v>
      </c>
      <c r="G164" s="119">
        <v>33</v>
      </c>
      <c r="H164" s="119">
        <v>16</v>
      </c>
      <c r="I164" s="119">
        <v>2</v>
      </c>
      <c r="J164" s="119">
        <v>82</v>
      </c>
      <c r="K164" s="121">
        <v>0</v>
      </c>
      <c r="L164" s="121">
        <v>1.7632886159619889E+19</v>
      </c>
    </row>
    <row r="165" spans="3:12" ht="15" customHeight="1">
      <c r="C165" s="113" t="b">
        <v>0</v>
      </c>
      <c r="D165" s="114">
        <v>94</v>
      </c>
      <c r="E165" s="115">
        <v>58</v>
      </c>
      <c r="F165" s="115">
        <v>21</v>
      </c>
      <c r="G165" s="119">
        <v>18</v>
      </c>
      <c r="H165" s="119">
        <v>26</v>
      </c>
      <c r="I165" s="119">
        <v>2</v>
      </c>
      <c r="J165" s="119">
        <v>83</v>
      </c>
      <c r="K165" s="121">
        <v>0</v>
      </c>
      <c r="L165" s="121">
        <v>1.4538332115418343E+19</v>
      </c>
    </row>
    <row r="166" spans="3:12" ht="15" customHeight="1">
      <c r="C166" s="113" t="b">
        <v>0</v>
      </c>
      <c r="D166" s="114">
        <v>92</v>
      </c>
      <c r="E166" s="115">
        <v>60</v>
      </c>
      <c r="F166" s="115">
        <v>30</v>
      </c>
      <c r="G166" s="119">
        <v>27</v>
      </c>
      <c r="H166" s="119">
        <v>297</v>
      </c>
      <c r="I166" s="119">
        <v>2</v>
      </c>
      <c r="J166" s="119">
        <v>84</v>
      </c>
      <c r="K166" s="121">
        <v>0</v>
      </c>
      <c r="L166" s="121">
        <v>1.5950516334216471E+18</v>
      </c>
    </row>
    <row r="167" spans="3:12" ht="15" customHeight="1">
      <c r="C167" s="113" t="b">
        <v>0</v>
      </c>
      <c r="D167" s="114">
        <v>94</v>
      </c>
      <c r="E167" s="115">
        <v>58</v>
      </c>
      <c r="F167" s="115">
        <v>21</v>
      </c>
      <c r="G167" s="119">
        <v>18</v>
      </c>
      <c r="H167" s="119">
        <v>26</v>
      </c>
      <c r="I167" s="119">
        <v>2</v>
      </c>
      <c r="J167" s="119">
        <v>85</v>
      </c>
      <c r="K167" s="121">
        <v>0</v>
      </c>
      <c r="L167" s="121">
        <v>1.1659001164705907E+19</v>
      </c>
    </row>
    <row r="168" spans="3:12" ht="15" customHeight="1">
      <c r="C168" s="113" t="b">
        <v>0</v>
      </c>
      <c r="D168" s="114">
        <v>88</v>
      </c>
      <c r="E168" s="115">
        <v>47</v>
      </c>
      <c r="F168" s="115">
        <v>33</v>
      </c>
      <c r="G168" s="119">
        <v>26</v>
      </c>
      <c r="H168" s="119">
        <v>29</v>
      </c>
      <c r="I168" s="119">
        <v>2</v>
      </c>
      <c r="J168" s="119">
        <v>86</v>
      </c>
      <c r="K168" s="121">
        <v>0</v>
      </c>
      <c r="L168" s="121">
        <v>5.2907357129718118E+18</v>
      </c>
    </row>
    <row r="169" spans="3:12" ht="15" customHeight="1">
      <c r="C169" s="113" t="b">
        <v>0</v>
      </c>
      <c r="D169" s="114">
        <v>92</v>
      </c>
      <c r="E169" s="115">
        <v>65</v>
      </c>
      <c r="F169" s="115">
        <v>17</v>
      </c>
      <c r="G169" s="119">
        <v>25</v>
      </c>
      <c r="H169" s="119">
        <v>9</v>
      </c>
      <c r="I169" s="119">
        <v>2</v>
      </c>
      <c r="J169" s="119">
        <v>87</v>
      </c>
      <c r="K169" s="121">
        <v>0</v>
      </c>
      <c r="L169" s="121">
        <v>1.421963323690011E+19</v>
      </c>
    </row>
    <row r="170" spans="3:12" ht="15" customHeight="1">
      <c r="C170" s="113" t="b">
        <v>0</v>
      </c>
      <c r="D170" s="114">
        <v>92</v>
      </c>
      <c r="E170" s="115">
        <v>79</v>
      </c>
      <c r="F170" s="115">
        <v>22</v>
      </c>
      <c r="G170" s="119">
        <v>20</v>
      </c>
      <c r="H170" s="119">
        <v>11</v>
      </c>
      <c r="I170" s="119">
        <v>3</v>
      </c>
      <c r="J170" s="119">
        <v>88</v>
      </c>
      <c r="K170" s="121">
        <v>0</v>
      </c>
      <c r="L170" s="121">
        <v>7.1339007356400548E+18</v>
      </c>
    </row>
    <row r="171" spans="3:12" ht="15" customHeight="1">
      <c r="C171" s="113" t="b">
        <v>0</v>
      </c>
      <c r="D171" s="114">
        <v>84</v>
      </c>
      <c r="E171" s="115">
        <v>83</v>
      </c>
      <c r="F171" s="115">
        <v>20</v>
      </c>
      <c r="G171" s="119">
        <v>25</v>
      </c>
      <c r="H171" s="119">
        <v>7</v>
      </c>
      <c r="I171" s="119">
        <v>3</v>
      </c>
      <c r="J171" s="119">
        <v>89</v>
      </c>
      <c r="K171" s="121">
        <v>0</v>
      </c>
      <c r="L171" s="121">
        <v>1.6511540898143871E+19</v>
      </c>
    </row>
    <row r="172" spans="3:12" ht="15" customHeight="1">
      <c r="C172" s="113" t="b">
        <v>0</v>
      </c>
      <c r="D172" s="114">
        <v>88</v>
      </c>
      <c r="E172" s="115">
        <v>68</v>
      </c>
      <c r="F172" s="115">
        <v>27</v>
      </c>
      <c r="G172" s="119">
        <v>21</v>
      </c>
      <c r="H172" s="119">
        <v>26</v>
      </c>
      <c r="I172" s="119">
        <v>3</v>
      </c>
      <c r="J172" s="119">
        <v>90</v>
      </c>
      <c r="K172" s="121">
        <v>0</v>
      </c>
      <c r="L172" s="121">
        <v>4.1059709738826312E+18</v>
      </c>
    </row>
    <row r="173" spans="3:12" ht="15" customHeight="1">
      <c r="C173" s="113" t="b">
        <v>0</v>
      </c>
      <c r="D173" s="114">
        <v>86</v>
      </c>
      <c r="E173" s="115">
        <v>48</v>
      </c>
      <c r="F173" s="115">
        <v>20</v>
      </c>
      <c r="G173" s="119">
        <v>20</v>
      </c>
      <c r="H173" s="119">
        <v>6</v>
      </c>
      <c r="I173" s="119">
        <v>3</v>
      </c>
      <c r="J173" s="119">
        <v>91</v>
      </c>
      <c r="K173" s="121">
        <v>0</v>
      </c>
      <c r="L173" s="121">
        <v>5.7512396182886963E+18</v>
      </c>
    </row>
    <row r="174" spans="3:12" ht="15" customHeight="1">
      <c r="C174" s="113" t="b">
        <v>0</v>
      </c>
      <c r="D174" s="114">
        <v>99</v>
      </c>
      <c r="E174" s="115">
        <v>69</v>
      </c>
      <c r="F174" s="115">
        <v>45</v>
      </c>
      <c r="G174" s="119">
        <v>32</v>
      </c>
      <c r="H174" s="119">
        <v>30</v>
      </c>
      <c r="I174" s="119">
        <v>3</v>
      </c>
      <c r="J174" s="119">
        <v>92</v>
      </c>
      <c r="K174" s="121">
        <v>0</v>
      </c>
      <c r="L174" s="121">
        <v>6.1989794832554342E+18</v>
      </c>
    </row>
    <row r="175" spans="3:12" ht="15" customHeight="1">
      <c r="C175" s="113" t="b">
        <v>0</v>
      </c>
      <c r="D175" s="114">
        <v>88</v>
      </c>
      <c r="E175" s="115">
        <v>66</v>
      </c>
      <c r="F175" s="115">
        <v>23</v>
      </c>
      <c r="G175" s="119">
        <v>12</v>
      </c>
      <c r="H175" s="119">
        <v>15</v>
      </c>
      <c r="I175" s="119">
        <v>3</v>
      </c>
      <c r="J175" s="119">
        <v>93</v>
      </c>
      <c r="K175" s="121">
        <v>0</v>
      </c>
      <c r="L175" s="121">
        <v>1.435012379113337E+19</v>
      </c>
    </row>
    <row r="176" spans="3:12" ht="15" customHeight="1">
      <c r="C176" s="113" t="b">
        <v>0</v>
      </c>
      <c r="D176" s="114">
        <v>89</v>
      </c>
      <c r="E176" s="115">
        <v>62</v>
      </c>
      <c r="F176" s="115">
        <v>42</v>
      </c>
      <c r="G176" s="119">
        <v>30</v>
      </c>
      <c r="H176" s="119">
        <v>20</v>
      </c>
      <c r="I176" s="119">
        <v>3</v>
      </c>
      <c r="J176" s="119">
        <v>94</v>
      </c>
      <c r="K176" s="121">
        <v>0</v>
      </c>
      <c r="L176" s="121">
        <v>7.432758264907394E+18</v>
      </c>
    </row>
    <row r="177" spans="3:12" ht="15" customHeight="1">
      <c r="C177" s="113" t="b">
        <v>0</v>
      </c>
      <c r="D177" s="114">
        <v>90</v>
      </c>
      <c r="E177" s="115">
        <v>51</v>
      </c>
      <c r="F177" s="115">
        <v>23</v>
      </c>
      <c r="G177" s="119">
        <v>17</v>
      </c>
      <c r="H177" s="119">
        <v>27</v>
      </c>
      <c r="I177" s="119">
        <v>3</v>
      </c>
      <c r="J177" s="119">
        <v>95</v>
      </c>
      <c r="K177" s="121">
        <v>0</v>
      </c>
      <c r="L177" s="121">
        <v>1.397308806880214E+19</v>
      </c>
    </row>
    <row r="178" spans="3:12" ht="15" customHeight="1">
      <c r="C178" s="113" t="b">
        <v>0</v>
      </c>
      <c r="D178" s="114">
        <v>81</v>
      </c>
      <c r="E178" s="115">
        <v>61</v>
      </c>
      <c r="F178" s="115">
        <v>32</v>
      </c>
      <c r="G178" s="119">
        <v>37</v>
      </c>
      <c r="H178" s="119">
        <v>53</v>
      </c>
      <c r="I178" s="119">
        <v>3</v>
      </c>
      <c r="J178" s="119">
        <v>96</v>
      </c>
      <c r="K178" s="121">
        <v>0</v>
      </c>
      <c r="L178" s="121">
        <v>1.4782664424513442E+19</v>
      </c>
    </row>
    <row r="179" spans="3:12" ht="15" customHeight="1">
      <c r="C179" s="113" t="b">
        <v>0</v>
      </c>
      <c r="D179" s="114">
        <v>89</v>
      </c>
      <c r="E179" s="115">
        <v>89</v>
      </c>
      <c r="F179" s="115">
        <v>23</v>
      </c>
      <c r="G179" s="119">
        <v>18</v>
      </c>
      <c r="H179" s="119">
        <v>104</v>
      </c>
      <c r="I179" s="119">
        <v>3</v>
      </c>
      <c r="J179" s="119">
        <v>97</v>
      </c>
      <c r="K179" s="121">
        <v>0</v>
      </c>
      <c r="L179" s="121">
        <v>7.4035037851537091E+18</v>
      </c>
    </row>
    <row r="180" spans="3:12" ht="15" customHeight="1">
      <c r="C180" s="113" t="b">
        <v>0</v>
      </c>
      <c r="D180" s="114">
        <v>89</v>
      </c>
      <c r="E180" s="115">
        <v>65</v>
      </c>
      <c r="F180" s="115">
        <v>26</v>
      </c>
      <c r="G180" s="119">
        <v>18</v>
      </c>
      <c r="H180" s="119">
        <v>36</v>
      </c>
      <c r="I180" s="119">
        <v>3</v>
      </c>
      <c r="J180" s="119">
        <v>98</v>
      </c>
      <c r="K180" s="121">
        <v>0</v>
      </c>
      <c r="L180" s="121">
        <v>5.9217881516362127E+18</v>
      </c>
    </row>
    <row r="181" spans="3:12" ht="15" customHeight="1">
      <c r="C181" s="113" t="b">
        <v>0</v>
      </c>
      <c r="D181" s="114">
        <v>92</v>
      </c>
      <c r="E181" s="115">
        <v>75</v>
      </c>
      <c r="F181" s="115">
        <v>26</v>
      </c>
      <c r="G181" s="119">
        <v>26</v>
      </c>
      <c r="H181" s="119">
        <v>24</v>
      </c>
      <c r="I181" s="119">
        <v>3</v>
      </c>
      <c r="J181" s="119">
        <v>99</v>
      </c>
      <c r="K181" s="121">
        <v>0</v>
      </c>
      <c r="L181" s="121">
        <v>1.7665234075941546E+19</v>
      </c>
    </row>
    <row r="182" spans="3:12" ht="15" customHeight="1">
      <c r="C182" s="113" t="b">
        <v>0</v>
      </c>
      <c r="D182" s="114">
        <v>85</v>
      </c>
      <c r="E182" s="115">
        <v>59</v>
      </c>
      <c r="F182" s="115">
        <v>25</v>
      </c>
      <c r="G182" s="119">
        <v>20</v>
      </c>
      <c r="H182" s="119">
        <v>25</v>
      </c>
      <c r="I182" s="119">
        <v>3</v>
      </c>
      <c r="J182" s="119">
        <v>100</v>
      </c>
      <c r="K182" s="121">
        <v>0</v>
      </c>
      <c r="L182" s="121">
        <v>1.0480529410772974E+18</v>
      </c>
    </row>
    <row r="183" spans="3:12" ht="15" customHeight="1">
      <c r="C183" s="113" t="b">
        <v>0</v>
      </c>
      <c r="D183" s="114">
        <v>92</v>
      </c>
      <c r="E183" s="115">
        <v>61</v>
      </c>
      <c r="F183" s="115">
        <v>18</v>
      </c>
      <c r="G183" s="119">
        <v>13</v>
      </c>
      <c r="H183" s="119">
        <v>81</v>
      </c>
      <c r="I183" s="119">
        <v>3</v>
      </c>
      <c r="J183" s="119">
        <v>101</v>
      </c>
      <c r="K183" s="121">
        <v>0</v>
      </c>
      <c r="L183" s="121">
        <v>6.6666688075428035E+18</v>
      </c>
    </row>
    <row r="184" spans="3:12" ht="15" customHeight="1">
      <c r="C184" s="113" t="b">
        <v>0</v>
      </c>
      <c r="D184" s="114">
        <v>89</v>
      </c>
      <c r="E184" s="115">
        <v>63</v>
      </c>
      <c r="F184" s="115">
        <v>22</v>
      </c>
      <c r="G184" s="119">
        <v>27</v>
      </c>
      <c r="H184" s="119">
        <v>10</v>
      </c>
      <c r="I184" s="119">
        <v>4</v>
      </c>
      <c r="J184" s="119">
        <v>102</v>
      </c>
      <c r="K184" s="121">
        <v>0</v>
      </c>
      <c r="L184" s="121">
        <v>1.6289938252100235E+19</v>
      </c>
    </row>
    <row r="185" spans="3:12" ht="15" customHeight="1">
      <c r="C185" s="113" t="b">
        <v>0</v>
      </c>
      <c r="D185" s="114">
        <v>90</v>
      </c>
      <c r="E185" s="115">
        <v>84</v>
      </c>
      <c r="F185" s="115">
        <v>18</v>
      </c>
      <c r="G185" s="119">
        <v>23</v>
      </c>
      <c r="H185" s="119">
        <v>13</v>
      </c>
      <c r="I185" s="119">
        <v>4</v>
      </c>
      <c r="J185" s="119">
        <v>103</v>
      </c>
      <c r="K185" s="121">
        <v>0</v>
      </c>
      <c r="L185" s="121">
        <v>5.6181088056691589E+18</v>
      </c>
    </row>
    <row r="186" spans="3:12" ht="15" customHeight="1">
      <c r="C186" s="113" t="b">
        <v>0</v>
      </c>
      <c r="D186" s="114">
        <v>88</v>
      </c>
      <c r="E186" s="115">
        <v>95</v>
      </c>
      <c r="F186" s="115">
        <v>25</v>
      </c>
      <c r="G186" s="119">
        <v>19</v>
      </c>
      <c r="H186" s="119">
        <v>14</v>
      </c>
      <c r="I186" s="119">
        <v>4</v>
      </c>
      <c r="J186" s="119">
        <v>104</v>
      </c>
      <c r="K186" s="121">
        <v>0</v>
      </c>
      <c r="L186" s="121">
        <v>8.7823162360387512E+18</v>
      </c>
    </row>
    <row r="187" spans="3:12" ht="15" customHeight="1">
      <c r="C187" s="113" t="b">
        <v>0</v>
      </c>
      <c r="D187" s="114">
        <v>89</v>
      </c>
      <c r="E187" s="115">
        <v>35</v>
      </c>
      <c r="F187" s="115">
        <v>27</v>
      </c>
      <c r="G187" s="119">
        <v>29</v>
      </c>
      <c r="H187" s="119">
        <v>17</v>
      </c>
      <c r="I187" s="119">
        <v>4</v>
      </c>
      <c r="J187" s="119">
        <v>105</v>
      </c>
      <c r="K187" s="121">
        <v>0</v>
      </c>
      <c r="L187" s="121">
        <v>8.396429205262847E+18</v>
      </c>
    </row>
    <row r="188" spans="3:12" ht="15" customHeight="1">
      <c r="C188" s="113" t="b">
        <v>0</v>
      </c>
      <c r="D188" s="114">
        <v>91</v>
      </c>
      <c r="E188" s="115">
        <v>80</v>
      </c>
      <c r="F188" s="115">
        <v>37</v>
      </c>
      <c r="G188" s="119">
        <v>23</v>
      </c>
      <c r="H188" s="119">
        <v>27</v>
      </c>
      <c r="I188" s="119">
        <v>4</v>
      </c>
      <c r="J188" s="119">
        <v>106</v>
      </c>
      <c r="K188" s="121">
        <v>0</v>
      </c>
      <c r="L188" s="121">
        <v>3.987666995927723E+18</v>
      </c>
    </row>
    <row r="189" spans="3:12" ht="15" customHeight="1">
      <c r="C189" s="113" t="b">
        <v>0</v>
      </c>
      <c r="D189" s="114">
        <v>91</v>
      </c>
      <c r="E189" s="115">
        <v>109</v>
      </c>
      <c r="F189" s="115">
        <v>33</v>
      </c>
      <c r="G189" s="119">
        <v>15</v>
      </c>
      <c r="H189" s="119">
        <v>18</v>
      </c>
      <c r="I189" s="119">
        <v>4</v>
      </c>
      <c r="J189" s="119">
        <v>107</v>
      </c>
      <c r="K189" s="121">
        <v>0</v>
      </c>
      <c r="L189" s="121">
        <v>4.6849460180637368E+18</v>
      </c>
    </row>
    <row r="190" spans="3:12" ht="15" customHeight="1">
      <c r="C190" s="113" t="b">
        <v>0</v>
      </c>
      <c r="D190" s="114">
        <v>91</v>
      </c>
      <c r="E190" s="115">
        <v>65</v>
      </c>
      <c r="F190" s="115">
        <v>17</v>
      </c>
      <c r="G190" s="119">
        <v>5</v>
      </c>
      <c r="H190" s="119">
        <v>7</v>
      </c>
      <c r="I190" s="119">
        <v>4</v>
      </c>
      <c r="J190" s="119">
        <v>108</v>
      </c>
      <c r="K190" s="121">
        <v>0</v>
      </c>
      <c r="L190" s="121">
        <v>9.5486824505101885E+18</v>
      </c>
    </row>
    <row r="191" spans="3:12" ht="15" customHeight="1">
      <c r="C191" s="113" t="b">
        <v>0</v>
      </c>
      <c r="D191" s="114">
        <v>88</v>
      </c>
      <c r="E191" s="115">
        <v>107</v>
      </c>
      <c r="F191" s="115">
        <v>29</v>
      </c>
      <c r="G191" s="119">
        <v>20</v>
      </c>
      <c r="H191" s="119">
        <v>50</v>
      </c>
      <c r="I191" s="119">
        <v>4</v>
      </c>
      <c r="J191" s="119">
        <v>109</v>
      </c>
      <c r="K191" s="121">
        <v>0</v>
      </c>
      <c r="L191" s="121">
        <v>1.7388333987876747E+19</v>
      </c>
    </row>
    <row r="192" spans="3:12" ht="15" customHeight="1">
      <c r="C192" s="113" t="b">
        <v>0</v>
      </c>
      <c r="D192" s="114">
        <v>87</v>
      </c>
      <c r="E192" s="115">
        <v>76</v>
      </c>
      <c r="F192" s="115">
        <v>22</v>
      </c>
      <c r="G192" s="119">
        <v>55</v>
      </c>
      <c r="H192" s="119">
        <v>9</v>
      </c>
      <c r="I192" s="119">
        <v>4</v>
      </c>
      <c r="J192" s="119">
        <v>110</v>
      </c>
      <c r="K192" s="121">
        <v>0</v>
      </c>
      <c r="L192" s="121">
        <v>1.7718948337289421E+19</v>
      </c>
    </row>
    <row r="193" spans="3:12" ht="15" customHeight="1">
      <c r="C193" s="113" t="b">
        <v>0</v>
      </c>
      <c r="D193" s="114">
        <v>87</v>
      </c>
      <c r="E193" s="115">
        <v>86</v>
      </c>
      <c r="F193" s="115">
        <v>28</v>
      </c>
      <c r="G193" s="119">
        <v>23</v>
      </c>
      <c r="H193" s="119">
        <v>21</v>
      </c>
      <c r="I193" s="119">
        <v>4</v>
      </c>
      <c r="J193" s="119">
        <v>111</v>
      </c>
      <c r="K193" s="121">
        <v>0</v>
      </c>
      <c r="L193" s="121">
        <v>1.5205021797440098E+19</v>
      </c>
    </row>
    <row r="194" spans="3:12" ht="15" customHeight="1">
      <c r="C194" s="113" t="b">
        <v>0</v>
      </c>
      <c r="D194" s="114">
        <v>87</v>
      </c>
      <c r="E194" s="115">
        <v>42</v>
      </c>
      <c r="F194" s="115">
        <v>26</v>
      </c>
      <c r="G194" s="119">
        <v>23</v>
      </c>
      <c r="H194" s="119">
        <v>17</v>
      </c>
      <c r="I194" s="119">
        <v>4</v>
      </c>
      <c r="J194" s="119">
        <v>112</v>
      </c>
      <c r="K194" s="121">
        <v>0</v>
      </c>
      <c r="L194" s="121">
        <v>1.746987533265355E+19</v>
      </c>
    </row>
    <row r="195" spans="3:12" ht="15" customHeight="1">
      <c r="C195" s="113" t="b">
        <v>0</v>
      </c>
      <c r="D195" s="114">
        <v>88</v>
      </c>
      <c r="E195" s="115">
        <v>80</v>
      </c>
      <c r="F195" s="115">
        <v>24</v>
      </c>
      <c r="G195" s="119">
        <v>25</v>
      </c>
      <c r="H195" s="119">
        <v>17</v>
      </c>
      <c r="I195" s="119">
        <v>4</v>
      </c>
      <c r="J195" s="119">
        <v>113</v>
      </c>
      <c r="K195" s="121">
        <v>0</v>
      </c>
      <c r="L195" s="121">
        <v>9.8491585798889472E+18</v>
      </c>
    </row>
    <row r="196" spans="3:12" ht="15" customHeight="1">
      <c r="C196" s="113" t="b">
        <v>0</v>
      </c>
      <c r="D196" s="114">
        <v>90</v>
      </c>
      <c r="E196" s="115">
        <v>96</v>
      </c>
      <c r="F196" s="115">
        <v>34</v>
      </c>
      <c r="G196" s="119">
        <v>49</v>
      </c>
      <c r="H196" s="119">
        <v>169</v>
      </c>
      <c r="I196" s="119">
        <v>4</v>
      </c>
      <c r="J196" s="119">
        <v>114</v>
      </c>
      <c r="K196" s="121">
        <v>0</v>
      </c>
      <c r="L196" s="121">
        <v>3.4734357588926162E+18</v>
      </c>
    </row>
    <row r="197" spans="3:12" ht="15" customHeight="1">
      <c r="C197" s="113" t="b">
        <v>0</v>
      </c>
      <c r="D197" s="114">
        <v>86</v>
      </c>
      <c r="E197" s="115">
        <v>67</v>
      </c>
      <c r="F197" s="115">
        <v>11</v>
      </c>
      <c r="G197" s="119">
        <v>15</v>
      </c>
      <c r="H197" s="119">
        <v>8</v>
      </c>
      <c r="I197" s="119">
        <v>4</v>
      </c>
      <c r="J197" s="119">
        <v>115</v>
      </c>
      <c r="K197" s="121">
        <v>0</v>
      </c>
      <c r="L197" s="121">
        <v>2.0808885934145372E+18</v>
      </c>
    </row>
    <row r="198" spans="3:12" ht="15" customHeight="1">
      <c r="C198" s="113" t="b">
        <v>0</v>
      </c>
      <c r="D198" s="114">
        <v>92</v>
      </c>
      <c r="E198" s="115">
        <v>40</v>
      </c>
      <c r="F198" s="115">
        <v>19</v>
      </c>
      <c r="G198" s="119">
        <v>20</v>
      </c>
      <c r="H198" s="119">
        <v>21</v>
      </c>
      <c r="I198" s="119">
        <v>4</v>
      </c>
      <c r="J198" s="119">
        <v>116</v>
      </c>
      <c r="K198" s="121">
        <v>0</v>
      </c>
      <c r="L198" s="121">
        <v>1.8213512065178581E+19</v>
      </c>
    </row>
    <row r="199" spans="3:12" ht="15" customHeight="1">
      <c r="C199" s="113" t="b">
        <v>0</v>
      </c>
      <c r="D199" s="114">
        <v>85</v>
      </c>
      <c r="E199" s="115">
        <v>60</v>
      </c>
      <c r="F199" s="115">
        <v>17</v>
      </c>
      <c r="G199" s="119">
        <v>21</v>
      </c>
      <c r="H199" s="119">
        <v>14</v>
      </c>
      <c r="I199" s="119">
        <v>4</v>
      </c>
      <c r="J199" s="119">
        <v>117</v>
      </c>
      <c r="K199" s="121">
        <v>0</v>
      </c>
      <c r="L199" s="121">
        <v>1.4136974079956175E+19</v>
      </c>
    </row>
    <row r="200" spans="3:12" ht="15" customHeight="1">
      <c r="C200" s="113" t="b">
        <v>0</v>
      </c>
      <c r="D200" s="114">
        <v>89</v>
      </c>
      <c r="E200" s="115">
        <v>90</v>
      </c>
      <c r="F200" s="115">
        <v>15</v>
      </c>
      <c r="G200" s="119">
        <v>17</v>
      </c>
      <c r="H200" s="119">
        <v>25</v>
      </c>
      <c r="I200" s="119">
        <v>4</v>
      </c>
      <c r="J200" s="119">
        <v>118</v>
      </c>
      <c r="K200" s="121">
        <v>0</v>
      </c>
      <c r="L200" s="121">
        <v>1.7066361742396477E+19</v>
      </c>
    </row>
    <row r="201" spans="3:12" ht="15" customHeight="1">
      <c r="C201" s="113" t="b">
        <v>0</v>
      </c>
      <c r="D201" s="114">
        <v>91</v>
      </c>
      <c r="E201" s="115">
        <v>57</v>
      </c>
      <c r="F201" s="115">
        <v>15</v>
      </c>
      <c r="G201" s="119">
        <v>16</v>
      </c>
      <c r="H201" s="119">
        <v>16</v>
      </c>
      <c r="I201" s="119">
        <v>4</v>
      </c>
      <c r="J201" s="119">
        <v>119</v>
      </c>
      <c r="K201" s="121">
        <v>0</v>
      </c>
      <c r="L201" s="121">
        <v>1.6607191979422898E+19</v>
      </c>
    </row>
    <row r="202" spans="3:12" ht="15" customHeight="1">
      <c r="C202" s="113" t="b">
        <v>0</v>
      </c>
      <c r="D202" s="114">
        <v>96</v>
      </c>
      <c r="E202" s="115">
        <v>55</v>
      </c>
      <c r="F202" s="115">
        <v>48</v>
      </c>
      <c r="G202" s="119">
        <v>39</v>
      </c>
      <c r="H202" s="119">
        <v>42</v>
      </c>
      <c r="I202" s="119">
        <v>4</v>
      </c>
      <c r="J202" s="119">
        <v>120</v>
      </c>
      <c r="K202" s="121">
        <v>0</v>
      </c>
      <c r="L202" s="121">
        <v>4.8275701463368458E+18</v>
      </c>
    </row>
    <row r="203" spans="3:12" ht="15" customHeight="1">
      <c r="C203" s="113" t="b">
        <v>0</v>
      </c>
      <c r="D203" s="114">
        <v>79</v>
      </c>
      <c r="E203" s="115">
        <v>101</v>
      </c>
      <c r="F203" s="115">
        <v>17</v>
      </c>
      <c r="G203" s="119">
        <v>27</v>
      </c>
      <c r="H203" s="119">
        <v>23</v>
      </c>
      <c r="I203" s="119">
        <v>4</v>
      </c>
      <c r="J203" s="119">
        <v>121</v>
      </c>
      <c r="K203" s="121">
        <v>0</v>
      </c>
      <c r="L203" s="121">
        <v>6.1337584762955919E+18</v>
      </c>
    </row>
    <row r="204" spans="3:12" ht="15" customHeight="1">
      <c r="C204" s="113" t="b">
        <v>0</v>
      </c>
      <c r="D204" s="114">
        <v>90</v>
      </c>
      <c r="E204" s="115">
        <v>134</v>
      </c>
      <c r="F204" s="115">
        <v>14</v>
      </c>
      <c r="G204" s="119">
        <v>20</v>
      </c>
      <c r="H204" s="119">
        <v>14</v>
      </c>
      <c r="I204" s="119">
        <v>4</v>
      </c>
      <c r="J204" s="119">
        <v>122</v>
      </c>
      <c r="K204" s="121">
        <v>0</v>
      </c>
      <c r="L204" s="121">
        <v>1.5682140970415683E+18</v>
      </c>
    </row>
    <row r="205" spans="3:12" ht="15" customHeight="1">
      <c r="C205" s="113" t="b">
        <v>0</v>
      </c>
      <c r="D205" s="114">
        <v>89</v>
      </c>
      <c r="E205" s="115">
        <v>76</v>
      </c>
      <c r="F205" s="115">
        <v>14</v>
      </c>
      <c r="G205" s="119">
        <v>21</v>
      </c>
      <c r="H205" s="119">
        <v>24</v>
      </c>
      <c r="I205" s="119">
        <v>4</v>
      </c>
      <c r="J205" s="119">
        <v>123</v>
      </c>
      <c r="K205" s="121">
        <v>0</v>
      </c>
      <c r="L205" s="121">
        <v>1.4035366852280883E+19</v>
      </c>
    </row>
    <row r="206" spans="3:12" ht="15" customHeight="1">
      <c r="C206" s="113" t="b">
        <v>0</v>
      </c>
      <c r="D206" s="114">
        <v>88</v>
      </c>
      <c r="E206" s="115">
        <v>93</v>
      </c>
      <c r="F206" s="115">
        <v>29</v>
      </c>
      <c r="G206" s="119">
        <v>27</v>
      </c>
      <c r="H206" s="119">
        <v>31</v>
      </c>
      <c r="I206" s="119">
        <v>4</v>
      </c>
      <c r="J206" s="119">
        <v>124</v>
      </c>
      <c r="K206" s="121">
        <v>0</v>
      </c>
      <c r="L206" s="121">
        <v>9.1775734396108058E+17</v>
      </c>
    </row>
    <row r="207" spans="3:12" ht="15" customHeight="1">
      <c r="C207" s="113" t="b">
        <v>0</v>
      </c>
      <c r="D207" s="114">
        <v>90</v>
      </c>
      <c r="E207" s="115">
        <v>67</v>
      </c>
      <c r="F207" s="115">
        <v>10</v>
      </c>
      <c r="G207" s="119">
        <v>16</v>
      </c>
      <c r="H207" s="119">
        <v>16</v>
      </c>
      <c r="I207" s="119">
        <v>4</v>
      </c>
      <c r="J207" s="119">
        <v>125</v>
      </c>
      <c r="K207" s="121">
        <v>0</v>
      </c>
      <c r="L207" s="121">
        <v>1.6733241001971665E+19</v>
      </c>
    </row>
    <row r="208" spans="3:12" ht="15" customHeight="1">
      <c r="C208" s="113" t="b">
        <v>0</v>
      </c>
      <c r="D208" s="114">
        <v>92</v>
      </c>
      <c r="E208" s="115">
        <v>73</v>
      </c>
      <c r="F208" s="115">
        <v>24</v>
      </c>
      <c r="G208" s="119">
        <v>21</v>
      </c>
      <c r="H208" s="119">
        <v>48</v>
      </c>
      <c r="I208" s="119">
        <v>4</v>
      </c>
      <c r="J208" s="119">
        <v>126</v>
      </c>
      <c r="K208" s="121">
        <v>0</v>
      </c>
      <c r="L208" s="121">
        <v>1.2858942414076879E+19</v>
      </c>
    </row>
    <row r="209" spans="3:12" ht="15" customHeight="1">
      <c r="C209" s="113" t="b">
        <v>0</v>
      </c>
      <c r="D209" s="114">
        <v>91</v>
      </c>
      <c r="E209" s="115">
        <v>55</v>
      </c>
      <c r="F209" s="115">
        <v>28</v>
      </c>
      <c r="G209" s="119">
        <v>28</v>
      </c>
      <c r="H209" s="119">
        <v>82</v>
      </c>
      <c r="I209" s="119">
        <v>4</v>
      </c>
      <c r="J209" s="119">
        <v>127</v>
      </c>
      <c r="K209" s="121">
        <v>0</v>
      </c>
      <c r="L209" s="121">
        <v>1.7385350615295275E+19</v>
      </c>
    </row>
    <row r="210" spans="3:12" ht="15" customHeight="1">
      <c r="C210" s="113" t="b">
        <v>0</v>
      </c>
      <c r="D210" s="114">
        <v>83</v>
      </c>
      <c r="E210" s="115">
        <v>45</v>
      </c>
      <c r="F210" s="115">
        <v>19</v>
      </c>
      <c r="G210" s="119">
        <v>21</v>
      </c>
      <c r="H210" s="119">
        <v>13</v>
      </c>
      <c r="I210" s="119">
        <v>4</v>
      </c>
      <c r="J210" s="119">
        <v>128</v>
      </c>
      <c r="K210" s="121">
        <v>0</v>
      </c>
      <c r="L210" s="121">
        <v>1.0944479625436312E+19</v>
      </c>
    </row>
    <row r="211" spans="3:12" ht="15" customHeight="1">
      <c r="C211" s="113" t="b">
        <v>0</v>
      </c>
      <c r="D211" s="114">
        <v>90</v>
      </c>
      <c r="E211" s="115">
        <v>74</v>
      </c>
      <c r="F211" s="115">
        <v>19</v>
      </c>
      <c r="G211" s="119">
        <v>14</v>
      </c>
      <c r="H211" s="119">
        <v>22</v>
      </c>
      <c r="I211" s="119">
        <v>4</v>
      </c>
      <c r="J211" s="119">
        <v>129</v>
      </c>
      <c r="K211" s="121">
        <v>0</v>
      </c>
      <c r="L211" s="121">
        <v>1.1975249071278873E+19</v>
      </c>
    </row>
    <row r="212" spans="3:12" ht="15" customHeight="1">
      <c r="C212" s="113" t="b">
        <v>0</v>
      </c>
      <c r="D212" s="114">
        <v>92</v>
      </c>
      <c r="E212" s="115">
        <v>66</v>
      </c>
      <c r="F212" s="115">
        <v>21</v>
      </c>
      <c r="G212" s="119">
        <v>16</v>
      </c>
      <c r="H212" s="119">
        <v>33</v>
      </c>
      <c r="I212" s="119">
        <v>5</v>
      </c>
      <c r="J212" s="119">
        <v>130</v>
      </c>
      <c r="K212" s="121">
        <v>0</v>
      </c>
      <c r="L212" s="121">
        <v>1.8333618084005581E+19</v>
      </c>
    </row>
    <row r="213" spans="3:12" ht="15" customHeight="1">
      <c r="C213" s="113" t="b">
        <v>0</v>
      </c>
      <c r="D213" s="114">
        <v>93</v>
      </c>
      <c r="E213" s="115">
        <v>63</v>
      </c>
      <c r="F213" s="115">
        <v>26</v>
      </c>
      <c r="G213" s="119">
        <v>18</v>
      </c>
      <c r="H213" s="119">
        <v>18</v>
      </c>
      <c r="I213" s="119">
        <v>5</v>
      </c>
      <c r="J213" s="119">
        <v>131</v>
      </c>
      <c r="K213" s="121">
        <v>0</v>
      </c>
      <c r="L213" s="121">
        <v>2.2333631835722371E+18</v>
      </c>
    </row>
    <row r="214" spans="3:12" ht="15" customHeight="1">
      <c r="C214" s="113" t="b">
        <v>0</v>
      </c>
      <c r="D214" s="114">
        <v>86</v>
      </c>
      <c r="E214" s="115">
        <v>78</v>
      </c>
      <c r="F214" s="115">
        <v>47</v>
      </c>
      <c r="G214" s="119">
        <v>39</v>
      </c>
      <c r="H214" s="119">
        <v>107</v>
      </c>
      <c r="I214" s="119">
        <v>5</v>
      </c>
      <c r="J214" s="119">
        <v>132</v>
      </c>
      <c r="K214" s="121">
        <v>0</v>
      </c>
      <c r="L214" s="121">
        <v>1.8424972075379372E+19</v>
      </c>
    </row>
    <row r="215" spans="3:12" ht="15" customHeight="1">
      <c r="C215" s="113" t="b">
        <v>0</v>
      </c>
      <c r="D215" s="114">
        <v>97</v>
      </c>
      <c r="E215" s="115">
        <v>44</v>
      </c>
      <c r="F215" s="115">
        <v>113</v>
      </c>
      <c r="G215" s="119">
        <v>45</v>
      </c>
      <c r="H215" s="119">
        <v>150</v>
      </c>
      <c r="I215" s="119">
        <v>5</v>
      </c>
      <c r="J215" s="119">
        <v>133</v>
      </c>
      <c r="K215" s="121">
        <v>0</v>
      </c>
      <c r="L215" s="121">
        <v>5.8280721767644826E+17</v>
      </c>
    </row>
    <row r="216" spans="3:12" ht="15" customHeight="1">
      <c r="C216" s="113" t="b">
        <v>0</v>
      </c>
      <c r="D216" s="114">
        <v>87</v>
      </c>
      <c r="E216" s="115">
        <v>59</v>
      </c>
      <c r="F216" s="115">
        <v>15</v>
      </c>
      <c r="G216" s="119">
        <v>19</v>
      </c>
      <c r="H216" s="119">
        <v>12</v>
      </c>
      <c r="I216" s="119">
        <v>5</v>
      </c>
      <c r="J216" s="119">
        <v>134</v>
      </c>
      <c r="K216" s="121">
        <v>0</v>
      </c>
      <c r="L216" s="121">
        <v>1.230124728676497E+19</v>
      </c>
    </row>
    <row r="217" spans="3:12" ht="15" customHeight="1">
      <c r="C217" s="113" t="b">
        <v>0</v>
      </c>
      <c r="D217" s="114">
        <v>86</v>
      </c>
      <c r="E217" s="115">
        <v>44</v>
      </c>
      <c r="F217" s="115">
        <v>21</v>
      </c>
      <c r="G217" s="119">
        <v>11</v>
      </c>
      <c r="H217" s="119">
        <v>15</v>
      </c>
      <c r="I217" s="119">
        <v>5</v>
      </c>
      <c r="J217" s="119">
        <v>135</v>
      </c>
      <c r="K217" s="121">
        <v>0</v>
      </c>
      <c r="L217" s="121">
        <v>1.0576452689322541E+19</v>
      </c>
    </row>
    <row r="218" spans="3:12" ht="15" customHeight="1">
      <c r="C218" s="113" t="b">
        <v>0</v>
      </c>
      <c r="D218" s="114">
        <v>87</v>
      </c>
      <c r="E218" s="115">
        <v>64</v>
      </c>
      <c r="F218" s="115">
        <v>16</v>
      </c>
      <c r="G218" s="119">
        <v>20</v>
      </c>
      <c r="H218" s="119">
        <v>24</v>
      </c>
      <c r="I218" s="119">
        <v>5</v>
      </c>
      <c r="J218" s="119">
        <v>136</v>
      </c>
      <c r="K218" s="121">
        <v>0</v>
      </c>
      <c r="L218" s="121">
        <v>1.4683198866621925E+19</v>
      </c>
    </row>
    <row r="219" spans="3:12" ht="15" customHeight="1">
      <c r="C219" s="113" t="b">
        <v>0</v>
      </c>
      <c r="D219" s="114">
        <v>92</v>
      </c>
      <c r="E219" s="115">
        <v>57</v>
      </c>
      <c r="F219" s="115">
        <v>21</v>
      </c>
      <c r="G219" s="119">
        <v>23</v>
      </c>
      <c r="H219" s="119">
        <v>22</v>
      </c>
      <c r="I219" s="119">
        <v>5</v>
      </c>
      <c r="J219" s="119">
        <v>137</v>
      </c>
      <c r="K219" s="121">
        <v>0</v>
      </c>
      <c r="L219" s="121">
        <v>1.2124018336536525E+19</v>
      </c>
    </row>
    <row r="220" spans="3:12" ht="15" customHeight="1">
      <c r="C220" s="113" t="b">
        <v>0</v>
      </c>
      <c r="D220" s="114">
        <v>90</v>
      </c>
      <c r="E220" s="115">
        <v>70</v>
      </c>
      <c r="F220" s="115">
        <v>25</v>
      </c>
      <c r="G220" s="119">
        <v>23</v>
      </c>
      <c r="H220" s="119">
        <v>112</v>
      </c>
      <c r="I220" s="119">
        <v>5</v>
      </c>
      <c r="J220" s="119">
        <v>138</v>
      </c>
      <c r="K220" s="121">
        <v>0</v>
      </c>
      <c r="L220" s="121">
        <v>1.2597191230568464E+19</v>
      </c>
    </row>
    <row r="221" spans="3:12" ht="15" customHeight="1">
      <c r="C221" s="113" t="b">
        <v>0</v>
      </c>
      <c r="D221" s="114">
        <v>99</v>
      </c>
      <c r="E221" s="115">
        <v>59</v>
      </c>
      <c r="F221" s="115">
        <v>17</v>
      </c>
      <c r="G221" s="119">
        <v>19</v>
      </c>
      <c r="H221" s="119">
        <v>11</v>
      </c>
      <c r="I221" s="119">
        <v>5</v>
      </c>
      <c r="J221" s="119">
        <v>139</v>
      </c>
      <c r="K221" s="121">
        <v>0</v>
      </c>
      <c r="L221" s="121">
        <v>4.9819689602442476E+18</v>
      </c>
    </row>
    <row r="222" spans="3:12" ht="15" customHeight="1">
      <c r="C222" s="113" t="b">
        <v>0</v>
      </c>
      <c r="D222" s="114">
        <v>92</v>
      </c>
      <c r="E222" s="115">
        <v>80</v>
      </c>
      <c r="F222" s="115">
        <v>10</v>
      </c>
      <c r="G222" s="119">
        <v>26</v>
      </c>
      <c r="H222" s="119">
        <v>20</v>
      </c>
      <c r="I222" s="119">
        <v>6</v>
      </c>
      <c r="J222" s="119">
        <v>140</v>
      </c>
      <c r="K222" s="121">
        <v>0</v>
      </c>
      <c r="L222" s="121">
        <v>8.3719348963953818E+18</v>
      </c>
    </row>
    <row r="223" spans="3:12" ht="15" customHeight="1">
      <c r="C223" s="113" t="b">
        <v>0</v>
      </c>
      <c r="D223" s="114">
        <v>95</v>
      </c>
      <c r="E223" s="115">
        <v>60</v>
      </c>
      <c r="F223" s="115">
        <v>26</v>
      </c>
      <c r="G223" s="119">
        <v>22</v>
      </c>
      <c r="H223" s="119">
        <v>28</v>
      </c>
      <c r="I223" s="119">
        <v>6</v>
      </c>
      <c r="J223" s="119">
        <v>141</v>
      </c>
      <c r="K223" s="121">
        <v>0</v>
      </c>
      <c r="L223" s="121">
        <v>1.7877374499077736E+19</v>
      </c>
    </row>
    <row r="224" spans="3:12" ht="15" customHeight="1">
      <c r="C224" s="113" t="b">
        <v>0</v>
      </c>
      <c r="D224" s="114">
        <v>91</v>
      </c>
      <c r="E224" s="115">
        <v>63</v>
      </c>
      <c r="F224" s="115">
        <v>25</v>
      </c>
      <c r="G224" s="119">
        <v>26</v>
      </c>
      <c r="H224" s="119">
        <v>15</v>
      </c>
      <c r="I224" s="119">
        <v>6</v>
      </c>
      <c r="J224" s="119">
        <v>142</v>
      </c>
      <c r="K224" s="121">
        <v>0</v>
      </c>
      <c r="L224" s="121">
        <v>1.3106696631259736E+19</v>
      </c>
    </row>
    <row r="225" spans="3:12" ht="15" customHeight="1">
      <c r="C225" s="113" t="b">
        <v>0</v>
      </c>
      <c r="D225" s="114">
        <v>92</v>
      </c>
      <c r="E225" s="115">
        <v>62</v>
      </c>
      <c r="F225" s="115">
        <v>37</v>
      </c>
      <c r="G225" s="119">
        <v>21</v>
      </c>
      <c r="H225" s="119">
        <v>36</v>
      </c>
      <c r="I225" s="119">
        <v>6</v>
      </c>
      <c r="J225" s="119">
        <v>143</v>
      </c>
      <c r="K225" s="121">
        <v>0</v>
      </c>
      <c r="L225" s="121">
        <v>4.891558259334487E+18</v>
      </c>
    </row>
    <row r="226" spans="3:12" ht="15" customHeight="1">
      <c r="C226" s="113" t="b">
        <v>0</v>
      </c>
      <c r="D226" s="114">
        <v>95</v>
      </c>
      <c r="E226" s="115">
        <v>50</v>
      </c>
      <c r="F226" s="115">
        <v>13</v>
      </c>
      <c r="G226" s="119">
        <v>14</v>
      </c>
      <c r="H226" s="119">
        <v>15</v>
      </c>
      <c r="I226" s="119">
        <v>6</v>
      </c>
      <c r="J226" s="119">
        <v>144</v>
      </c>
      <c r="K226" s="121">
        <v>0</v>
      </c>
      <c r="L226" s="121">
        <v>1.1653497332251138E+19</v>
      </c>
    </row>
    <row r="227" spans="3:12" ht="15" customHeight="1">
      <c r="C227" s="113" t="b">
        <v>0</v>
      </c>
      <c r="D227" s="114">
        <v>90</v>
      </c>
      <c r="E227" s="115">
        <v>76</v>
      </c>
      <c r="F227" s="115">
        <v>37</v>
      </c>
      <c r="G227" s="119">
        <v>19</v>
      </c>
      <c r="H227" s="119">
        <v>50</v>
      </c>
      <c r="I227" s="119">
        <v>6</v>
      </c>
      <c r="J227" s="119">
        <v>145</v>
      </c>
      <c r="K227" s="121">
        <v>0</v>
      </c>
      <c r="L227" s="121">
        <v>1.4513874744589386E+19</v>
      </c>
    </row>
    <row r="228" spans="3:12" ht="15" customHeight="1">
      <c r="C228" s="113" t="b">
        <v>0</v>
      </c>
      <c r="D228" s="114">
        <v>96</v>
      </c>
      <c r="E228" s="115">
        <v>70</v>
      </c>
      <c r="F228" s="115">
        <v>70</v>
      </c>
      <c r="G228" s="119">
        <v>26</v>
      </c>
      <c r="H228" s="119">
        <v>36</v>
      </c>
      <c r="I228" s="119">
        <v>6</v>
      </c>
      <c r="J228" s="119">
        <v>146</v>
      </c>
      <c r="K228" s="121">
        <v>0</v>
      </c>
      <c r="L228" s="121">
        <v>1.2393826269532926E+19</v>
      </c>
    </row>
    <row r="229" spans="3:12" ht="15" customHeight="1">
      <c r="C229" s="113" t="b">
        <v>0</v>
      </c>
      <c r="D229" s="114">
        <v>95</v>
      </c>
      <c r="E229" s="115">
        <v>62</v>
      </c>
      <c r="F229" s="115">
        <v>64</v>
      </c>
      <c r="G229" s="119">
        <v>42</v>
      </c>
      <c r="H229" s="119">
        <v>76</v>
      </c>
      <c r="I229" s="119">
        <v>6</v>
      </c>
      <c r="J229" s="119">
        <v>147</v>
      </c>
      <c r="K229" s="121">
        <v>0</v>
      </c>
      <c r="L229" s="121">
        <v>3.8596909172384133E+18</v>
      </c>
    </row>
    <row r="230" spans="3:12" ht="15" customHeight="1">
      <c r="C230" s="113" t="b">
        <v>0</v>
      </c>
      <c r="D230" s="114">
        <v>92</v>
      </c>
      <c r="E230" s="115">
        <v>62</v>
      </c>
      <c r="F230" s="115">
        <v>20</v>
      </c>
      <c r="G230" s="119">
        <v>23</v>
      </c>
      <c r="H230" s="119">
        <v>20</v>
      </c>
      <c r="I230" s="119">
        <v>6</v>
      </c>
      <c r="J230" s="119">
        <v>148</v>
      </c>
      <c r="K230" s="121">
        <v>0</v>
      </c>
      <c r="L230" s="121">
        <v>9951906513290718</v>
      </c>
    </row>
    <row r="231" spans="3:12" ht="15" customHeight="1">
      <c r="C231" s="113" t="b">
        <v>0</v>
      </c>
      <c r="D231" s="114">
        <v>91</v>
      </c>
      <c r="E231" s="115">
        <v>63</v>
      </c>
      <c r="F231" s="115">
        <v>25</v>
      </c>
      <c r="G231" s="119">
        <v>26</v>
      </c>
      <c r="H231" s="119">
        <v>15</v>
      </c>
      <c r="I231" s="119">
        <v>6</v>
      </c>
      <c r="J231" s="119">
        <v>149</v>
      </c>
      <c r="K231" s="121">
        <v>0</v>
      </c>
      <c r="L231" s="121">
        <v>2.780229948484309E+18</v>
      </c>
    </row>
    <row r="232" spans="3:12" ht="15" customHeight="1">
      <c r="C232" s="113" t="b">
        <v>0</v>
      </c>
      <c r="D232" s="114">
        <v>82</v>
      </c>
      <c r="E232" s="115">
        <v>56</v>
      </c>
      <c r="F232" s="115">
        <v>67</v>
      </c>
      <c r="G232" s="119">
        <v>38</v>
      </c>
      <c r="H232" s="119">
        <v>92</v>
      </c>
      <c r="I232" s="119">
        <v>6</v>
      </c>
      <c r="J232" s="119">
        <v>150</v>
      </c>
      <c r="K232" s="121">
        <v>0</v>
      </c>
      <c r="L232" s="121">
        <v>1.0602406252015327E+19</v>
      </c>
    </row>
    <row r="233" spans="3:12" ht="15" customHeight="1">
      <c r="C233" s="113" t="b">
        <v>0</v>
      </c>
      <c r="D233" s="114">
        <v>92</v>
      </c>
      <c r="E233" s="115">
        <v>82</v>
      </c>
      <c r="F233" s="115">
        <v>27</v>
      </c>
      <c r="G233" s="119">
        <v>24</v>
      </c>
      <c r="H233" s="119">
        <v>37</v>
      </c>
      <c r="I233" s="119">
        <v>6</v>
      </c>
      <c r="J233" s="119">
        <v>151</v>
      </c>
      <c r="K233" s="121">
        <v>0</v>
      </c>
      <c r="L233" s="121">
        <v>1.2150483094672056E+19</v>
      </c>
    </row>
    <row r="234" spans="3:12" ht="15" customHeight="1">
      <c r="C234" s="113" t="b">
        <v>0</v>
      </c>
      <c r="D234" s="114">
        <v>90</v>
      </c>
      <c r="E234" s="115">
        <v>63</v>
      </c>
      <c r="F234" s="115">
        <v>12</v>
      </c>
      <c r="G234" s="119">
        <v>26</v>
      </c>
      <c r="H234" s="119">
        <v>21</v>
      </c>
      <c r="I234" s="119">
        <v>6</v>
      </c>
      <c r="J234" s="119">
        <v>152</v>
      </c>
      <c r="K234" s="121">
        <v>0</v>
      </c>
      <c r="L234" s="121">
        <v>1.3025552781876726E+17</v>
      </c>
    </row>
    <row r="235" spans="3:12" ht="15" customHeight="1">
      <c r="C235" s="113" t="b">
        <v>0</v>
      </c>
      <c r="D235" s="114">
        <v>88</v>
      </c>
      <c r="E235" s="115">
        <v>37</v>
      </c>
      <c r="F235" s="115">
        <v>9</v>
      </c>
      <c r="G235" s="119">
        <v>15</v>
      </c>
      <c r="H235" s="119">
        <v>16</v>
      </c>
      <c r="I235" s="119">
        <v>6</v>
      </c>
      <c r="J235" s="119">
        <v>153</v>
      </c>
      <c r="K235" s="121">
        <v>0</v>
      </c>
      <c r="L235" s="121">
        <v>9.908283934817026E+18</v>
      </c>
    </row>
    <row r="236" spans="3:12" ht="15" customHeight="1">
      <c r="C236" s="113" t="b">
        <v>0</v>
      </c>
      <c r="D236" s="114">
        <v>100</v>
      </c>
      <c r="E236" s="115">
        <v>60</v>
      </c>
      <c r="F236" s="115">
        <v>29</v>
      </c>
      <c r="G236" s="119">
        <v>23</v>
      </c>
      <c r="H236" s="119">
        <v>76</v>
      </c>
      <c r="I236" s="119">
        <v>6</v>
      </c>
      <c r="J236" s="119">
        <v>154</v>
      </c>
      <c r="K236" s="121">
        <v>0</v>
      </c>
      <c r="L236" s="121">
        <v>1.3773301060539838E+19</v>
      </c>
    </row>
    <row r="237" spans="3:12" ht="15" customHeight="1">
      <c r="C237" s="113" t="b">
        <v>0</v>
      </c>
      <c r="D237" s="114">
        <v>98</v>
      </c>
      <c r="E237" s="115">
        <v>43</v>
      </c>
      <c r="F237" s="115">
        <v>35</v>
      </c>
      <c r="G237" s="119">
        <v>23</v>
      </c>
      <c r="H237" s="119">
        <v>69</v>
      </c>
      <c r="I237" s="119">
        <v>6</v>
      </c>
      <c r="J237" s="119">
        <v>155</v>
      </c>
      <c r="K237" s="121">
        <v>0</v>
      </c>
      <c r="L237" s="121">
        <v>1.7794505842950443E+19</v>
      </c>
    </row>
    <row r="238" spans="3:12" ht="15" customHeight="1">
      <c r="C238" s="113" t="b">
        <v>0</v>
      </c>
      <c r="D238" s="114">
        <v>91</v>
      </c>
      <c r="E238" s="115">
        <v>74</v>
      </c>
      <c r="F238" s="115">
        <v>87</v>
      </c>
      <c r="G238" s="119">
        <v>50</v>
      </c>
      <c r="H238" s="119">
        <v>67</v>
      </c>
      <c r="I238" s="119">
        <v>6</v>
      </c>
      <c r="J238" s="119">
        <v>156</v>
      </c>
      <c r="K238" s="121">
        <v>0</v>
      </c>
      <c r="L238" s="121">
        <v>1.3561674558388275E+19</v>
      </c>
    </row>
    <row r="239" spans="3:12" ht="15" customHeight="1">
      <c r="C239" s="113" t="b">
        <v>0</v>
      </c>
      <c r="D239" s="114">
        <v>92</v>
      </c>
      <c r="E239" s="115">
        <v>87</v>
      </c>
      <c r="F239" s="115">
        <v>57</v>
      </c>
      <c r="G239" s="119">
        <v>25</v>
      </c>
      <c r="H239" s="119">
        <v>44</v>
      </c>
      <c r="I239" s="119">
        <v>6</v>
      </c>
      <c r="J239" s="119">
        <v>157</v>
      </c>
      <c r="K239" s="121">
        <v>0</v>
      </c>
      <c r="L239" s="121">
        <v>1.2653286864368216E+19</v>
      </c>
    </row>
    <row r="240" spans="3:12" ht="15" customHeight="1">
      <c r="C240" s="113" t="b">
        <v>0</v>
      </c>
      <c r="D240" s="114">
        <v>93</v>
      </c>
      <c r="E240" s="115">
        <v>99</v>
      </c>
      <c r="F240" s="115">
        <v>36</v>
      </c>
      <c r="G240" s="119">
        <v>34</v>
      </c>
      <c r="H240" s="119">
        <v>48</v>
      </c>
      <c r="I240" s="119">
        <v>6</v>
      </c>
      <c r="J240" s="119">
        <v>158</v>
      </c>
      <c r="K240" s="121">
        <v>0</v>
      </c>
      <c r="L240" s="121">
        <v>9.3980517503747461E+18</v>
      </c>
    </row>
    <row r="241" spans="3:12" ht="15" customHeight="1">
      <c r="C241" s="113" t="b">
        <v>0</v>
      </c>
      <c r="D241" s="114">
        <v>90</v>
      </c>
      <c r="E241" s="115">
        <v>72</v>
      </c>
      <c r="F241" s="115">
        <v>17</v>
      </c>
      <c r="G241" s="119">
        <v>19</v>
      </c>
      <c r="H241" s="119">
        <v>19</v>
      </c>
      <c r="I241" s="119">
        <v>6</v>
      </c>
      <c r="J241" s="119">
        <v>159</v>
      </c>
      <c r="K241" s="121">
        <v>0</v>
      </c>
      <c r="L241" s="121">
        <v>1.1495162178923923E+19</v>
      </c>
    </row>
    <row r="242" spans="3:12" ht="15" customHeight="1">
      <c r="C242" s="113" t="b">
        <v>0</v>
      </c>
      <c r="D242" s="114">
        <v>97</v>
      </c>
      <c r="E242" s="115">
        <v>93</v>
      </c>
      <c r="F242" s="115">
        <v>21</v>
      </c>
      <c r="G242" s="119">
        <v>20</v>
      </c>
      <c r="H242" s="119">
        <v>68</v>
      </c>
      <c r="I242" s="119">
        <v>6</v>
      </c>
      <c r="J242" s="119">
        <v>160</v>
      </c>
      <c r="K242" s="121">
        <v>0</v>
      </c>
      <c r="L242" s="121">
        <v>1.2106870978654654E+19</v>
      </c>
    </row>
    <row r="243" spans="3:12" ht="15" customHeight="1">
      <c r="C243" s="113" t="b">
        <v>0</v>
      </c>
      <c r="D243" s="114">
        <v>93</v>
      </c>
      <c r="E243" s="115">
        <v>50</v>
      </c>
      <c r="F243" s="115">
        <v>18</v>
      </c>
      <c r="G243" s="119">
        <v>25</v>
      </c>
      <c r="H243" s="119">
        <v>17</v>
      </c>
      <c r="I243" s="119">
        <v>6</v>
      </c>
      <c r="J243" s="119">
        <v>161</v>
      </c>
      <c r="K243" s="121">
        <v>0</v>
      </c>
      <c r="L243" s="121">
        <v>1.5742555263371909E+19</v>
      </c>
    </row>
    <row r="244" spans="3:12" ht="15" customHeight="1">
      <c r="C244" s="113" t="b">
        <v>0</v>
      </c>
      <c r="D244" s="114">
        <v>90</v>
      </c>
      <c r="E244" s="115">
        <v>57</v>
      </c>
      <c r="F244" s="115">
        <v>20</v>
      </c>
      <c r="G244" s="119">
        <v>26</v>
      </c>
      <c r="H244" s="119">
        <v>33</v>
      </c>
      <c r="I244" s="119">
        <v>6</v>
      </c>
      <c r="J244" s="119">
        <v>162</v>
      </c>
      <c r="K244" s="121">
        <v>0</v>
      </c>
      <c r="L244" s="121">
        <v>1.6765807492948554E+19</v>
      </c>
    </row>
    <row r="245" spans="3:12" ht="15" customHeight="1">
      <c r="C245" s="113" t="b">
        <v>0</v>
      </c>
      <c r="D245" s="114">
        <v>92</v>
      </c>
      <c r="E245" s="115">
        <v>76</v>
      </c>
      <c r="F245" s="115">
        <v>31</v>
      </c>
      <c r="G245" s="119">
        <v>28</v>
      </c>
      <c r="H245" s="119">
        <v>41</v>
      </c>
      <c r="I245" s="119">
        <v>6</v>
      </c>
      <c r="J245" s="119">
        <v>163</v>
      </c>
      <c r="K245" s="121">
        <v>0</v>
      </c>
      <c r="L245" s="121">
        <v>3.2793026777170063E+18</v>
      </c>
    </row>
    <row r="246" spans="3:12" ht="15" customHeight="1">
      <c r="C246" s="113" t="b">
        <v>0</v>
      </c>
      <c r="D246" s="114">
        <v>88</v>
      </c>
      <c r="E246" s="115">
        <v>55</v>
      </c>
      <c r="F246" s="115">
        <v>19</v>
      </c>
      <c r="G246" s="119">
        <v>17</v>
      </c>
      <c r="H246" s="119">
        <v>14</v>
      </c>
      <c r="I246" s="119">
        <v>6</v>
      </c>
      <c r="J246" s="119">
        <v>164</v>
      </c>
      <c r="K246" s="121">
        <v>0</v>
      </c>
      <c r="L246" s="121">
        <v>2.1241571562097257E+18</v>
      </c>
    </row>
    <row r="247" spans="3:12" ht="15" customHeight="1">
      <c r="C247" s="113" t="b">
        <v>0</v>
      </c>
      <c r="D247" s="114">
        <v>89</v>
      </c>
      <c r="E247" s="115">
        <v>63</v>
      </c>
      <c r="F247" s="115">
        <v>24</v>
      </c>
      <c r="G247" s="119">
        <v>29</v>
      </c>
      <c r="H247" s="119">
        <v>29</v>
      </c>
      <c r="I247" s="119">
        <v>6</v>
      </c>
      <c r="J247" s="119">
        <v>165</v>
      </c>
      <c r="K247" s="121">
        <v>0</v>
      </c>
      <c r="L247" s="121">
        <v>1.8203313243704504E+19</v>
      </c>
    </row>
    <row r="248" spans="3:12" ht="15" customHeight="1">
      <c r="C248" s="113" t="b">
        <v>0</v>
      </c>
      <c r="D248" s="114">
        <v>92</v>
      </c>
      <c r="E248" s="115">
        <v>79</v>
      </c>
      <c r="F248" s="115">
        <v>70</v>
      </c>
      <c r="G248" s="119">
        <v>32</v>
      </c>
      <c r="H248" s="119">
        <v>84</v>
      </c>
      <c r="I248" s="119">
        <v>7</v>
      </c>
      <c r="J248" s="119">
        <v>166</v>
      </c>
      <c r="K248" s="121">
        <v>0</v>
      </c>
      <c r="L248" s="121">
        <v>7.5503621117136282E+18</v>
      </c>
    </row>
    <row r="249" spans="3:12" ht="15" customHeight="1">
      <c r="C249" s="113" t="b">
        <v>0</v>
      </c>
      <c r="D249" s="114">
        <v>92</v>
      </c>
      <c r="E249" s="115">
        <v>93</v>
      </c>
      <c r="F249" s="115">
        <v>58</v>
      </c>
      <c r="G249" s="119">
        <v>35</v>
      </c>
      <c r="H249" s="119">
        <v>120</v>
      </c>
      <c r="I249" s="119">
        <v>7</v>
      </c>
      <c r="J249" s="119">
        <v>167</v>
      </c>
      <c r="K249" s="121">
        <v>0</v>
      </c>
      <c r="L249" s="121">
        <v>1.7935984123886969E+19</v>
      </c>
    </row>
    <row r="250" spans="3:12" ht="15" customHeight="1">
      <c r="C250" s="113" t="b">
        <v>0</v>
      </c>
      <c r="D250" s="114">
        <v>93</v>
      </c>
      <c r="E250" s="115">
        <v>84</v>
      </c>
      <c r="F250" s="115">
        <v>58</v>
      </c>
      <c r="G250" s="119">
        <v>47</v>
      </c>
      <c r="H250" s="119">
        <v>62</v>
      </c>
      <c r="I250" s="119">
        <v>7</v>
      </c>
      <c r="J250" s="119">
        <v>168</v>
      </c>
      <c r="K250" s="121">
        <v>0</v>
      </c>
      <c r="L250" s="121">
        <v>1.1733806895810763E+19</v>
      </c>
    </row>
    <row r="251" spans="3:12" ht="15" customHeight="1">
      <c r="C251" s="113" t="b">
        <v>0</v>
      </c>
      <c r="D251" s="114">
        <v>97</v>
      </c>
      <c r="E251" s="115">
        <v>71</v>
      </c>
      <c r="F251" s="115">
        <v>29</v>
      </c>
      <c r="G251" s="119">
        <v>22</v>
      </c>
      <c r="H251" s="119">
        <v>52</v>
      </c>
      <c r="I251" s="119">
        <v>8</v>
      </c>
      <c r="J251" s="119">
        <v>169</v>
      </c>
      <c r="K251" s="121">
        <v>0</v>
      </c>
      <c r="L251" s="121">
        <v>1.2118533888755124E+19</v>
      </c>
    </row>
    <row r="252" spans="3:12" ht="15" customHeight="1">
      <c r="C252" s="113" t="b">
        <v>0</v>
      </c>
      <c r="D252" s="114">
        <v>84</v>
      </c>
      <c r="E252" s="115">
        <v>99</v>
      </c>
      <c r="F252" s="115">
        <v>33</v>
      </c>
      <c r="G252" s="119">
        <v>19</v>
      </c>
      <c r="H252" s="119">
        <v>26</v>
      </c>
      <c r="I252" s="119">
        <v>8</v>
      </c>
      <c r="J252" s="119">
        <v>170</v>
      </c>
      <c r="K252" s="121">
        <v>0</v>
      </c>
      <c r="L252" s="121">
        <v>1.8414386223974128E+19</v>
      </c>
    </row>
    <row r="253" spans="3:12" ht="15" customHeight="1">
      <c r="C253" s="113" t="b">
        <v>0</v>
      </c>
      <c r="D253" s="114">
        <v>96</v>
      </c>
      <c r="E253" s="115">
        <v>44</v>
      </c>
      <c r="F253" s="115">
        <v>42</v>
      </c>
      <c r="G253" s="119">
        <v>23</v>
      </c>
      <c r="H253" s="119">
        <v>73</v>
      </c>
      <c r="I253" s="119">
        <v>8</v>
      </c>
      <c r="J253" s="119">
        <v>171</v>
      </c>
      <c r="K253" s="121">
        <v>0</v>
      </c>
      <c r="L253" s="121">
        <v>1.4608002364514143E+18</v>
      </c>
    </row>
    <row r="254" spans="3:12" ht="15" customHeight="1">
      <c r="C254" s="113" t="b">
        <v>0</v>
      </c>
      <c r="D254" s="114">
        <v>90</v>
      </c>
      <c r="E254" s="115">
        <v>62</v>
      </c>
      <c r="F254" s="115">
        <v>22</v>
      </c>
      <c r="G254" s="119">
        <v>21</v>
      </c>
      <c r="H254" s="119">
        <v>21</v>
      </c>
      <c r="I254" s="119">
        <v>8</v>
      </c>
      <c r="J254" s="119">
        <v>172</v>
      </c>
      <c r="K254" s="121">
        <v>0</v>
      </c>
      <c r="L254" s="121">
        <v>1.120221693397488E+19</v>
      </c>
    </row>
    <row r="255" spans="3:12" ht="15" customHeight="1">
      <c r="C255" s="113" t="b">
        <v>0</v>
      </c>
      <c r="D255" s="114">
        <v>92</v>
      </c>
      <c r="E255" s="115">
        <v>94</v>
      </c>
      <c r="F255" s="115">
        <v>18</v>
      </c>
      <c r="G255" s="119">
        <v>17</v>
      </c>
      <c r="H255" s="119">
        <v>6</v>
      </c>
      <c r="I255" s="119">
        <v>8</v>
      </c>
      <c r="J255" s="119">
        <v>173</v>
      </c>
      <c r="K255" s="121">
        <v>0</v>
      </c>
      <c r="L255" s="121">
        <v>2.6690173133809603E+18</v>
      </c>
    </row>
    <row r="256" spans="3:12" ht="15" customHeight="1">
      <c r="C256" s="113" t="b">
        <v>0</v>
      </c>
      <c r="D256" s="114">
        <v>90</v>
      </c>
      <c r="E256" s="115">
        <v>67</v>
      </c>
      <c r="F256" s="115">
        <v>77</v>
      </c>
      <c r="G256" s="119">
        <v>39</v>
      </c>
      <c r="H256" s="119">
        <v>114</v>
      </c>
      <c r="I256" s="119">
        <v>8</v>
      </c>
      <c r="J256" s="119">
        <v>174</v>
      </c>
      <c r="K256" s="121">
        <v>0</v>
      </c>
      <c r="L256" s="121">
        <v>1.1690291122458984E+19</v>
      </c>
    </row>
    <row r="257" spans="3:12" ht="15" customHeight="1">
      <c r="C257" s="113" t="b">
        <v>0</v>
      </c>
      <c r="D257" s="114">
        <v>97</v>
      </c>
      <c r="E257" s="115">
        <v>71</v>
      </c>
      <c r="F257" s="115">
        <v>29</v>
      </c>
      <c r="G257" s="119">
        <v>22</v>
      </c>
      <c r="H257" s="119">
        <v>52</v>
      </c>
      <c r="I257" s="119">
        <v>8</v>
      </c>
      <c r="J257" s="119">
        <v>175</v>
      </c>
      <c r="K257" s="121">
        <v>0</v>
      </c>
      <c r="L257" s="121">
        <v>1.1290823170445554E+19</v>
      </c>
    </row>
    <row r="258" spans="3:12" ht="15" customHeight="1">
      <c r="C258" s="113" t="b">
        <v>0</v>
      </c>
      <c r="D258" s="114">
        <v>91</v>
      </c>
      <c r="E258" s="115">
        <v>69</v>
      </c>
      <c r="F258" s="115">
        <v>25</v>
      </c>
      <c r="G258" s="119">
        <v>25</v>
      </c>
      <c r="H258" s="119">
        <v>66</v>
      </c>
      <c r="I258" s="119">
        <v>8</v>
      </c>
      <c r="J258" s="119">
        <v>176</v>
      </c>
      <c r="K258" s="121">
        <v>0</v>
      </c>
      <c r="L258" s="121">
        <v>4.8250802516511427E+18</v>
      </c>
    </row>
    <row r="259" spans="3:12" ht="15" customHeight="1">
      <c r="C259" s="113" t="b">
        <v>0</v>
      </c>
      <c r="D259" s="114">
        <v>93</v>
      </c>
      <c r="E259" s="115">
        <v>59</v>
      </c>
      <c r="F259" s="115">
        <v>17</v>
      </c>
      <c r="G259" s="119">
        <v>20</v>
      </c>
      <c r="H259" s="119">
        <v>14</v>
      </c>
      <c r="I259" s="119">
        <v>8</v>
      </c>
      <c r="J259" s="119">
        <v>177</v>
      </c>
      <c r="K259" s="121">
        <v>0</v>
      </c>
      <c r="L259" s="121">
        <v>8.5162933730988585E+18</v>
      </c>
    </row>
    <row r="260" spans="3:12" ht="15" customHeight="1">
      <c r="C260" s="113" t="b">
        <v>0</v>
      </c>
      <c r="D260" s="114">
        <v>92</v>
      </c>
      <c r="E260" s="115">
        <v>95</v>
      </c>
      <c r="F260" s="115">
        <v>85</v>
      </c>
      <c r="G260" s="119">
        <v>48</v>
      </c>
      <c r="H260" s="119">
        <v>200</v>
      </c>
      <c r="I260" s="119">
        <v>8</v>
      </c>
      <c r="J260" s="119">
        <v>178</v>
      </c>
      <c r="K260" s="121">
        <v>0</v>
      </c>
      <c r="L260" s="121">
        <v>1.6890144995758469E+19</v>
      </c>
    </row>
    <row r="261" spans="3:12" ht="15" customHeight="1">
      <c r="C261" s="113" t="b">
        <v>0</v>
      </c>
      <c r="D261" s="114">
        <v>90</v>
      </c>
      <c r="E261" s="115">
        <v>50</v>
      </c>
      <c r="F261" s="115">
        <v>26</v>
      </c>
      <c r="G261" s="119">
        <v>22</v>
      </c>
      <c r="H261" s="119">
        <v>53</v>
      </c>
      <c r="I261" s="119">
        <v>8</v>
      </c>
      <c r="J261" s="119">
        <v>179</v>
      </c>
      <c r="K261" s="121">
        <v>0</v>
      </c>
      <c r="L261" s="121">
        <v>3.9394297014255334E+18</v>
      </c>
    </row>
    <row r="262" spans="3:12" ht="15" customHeight="1">
      <c r="C262" s="113" t="b">
        <v>0</v>
      </c>
      <c r="D262" s="114">
        <v>91</v>
      </c>
      <c r="E262" s="115">
        <v>62</v>
      </c>
      <c r="F262" s="115">
        <v>59</v>
      </c>
      <c r="G262" s="119">
        <v>47</v>
      </c>
      <c r="H262" s="119">
        <v>60</v>
      </c>
      <c r="I262" s="119">
        <v>8</v>
      </c>
      <c r="J262" s="119">
        <v>180</v>
      </c>
      <c r="K262" s="121">
        <v>0</v>
      </c>
      <c r="L262" s="121">
        <v>4.1992509093544315E+18</v>
      </c>
    </row>
    <row r="263" spans="3:12" ht="15" customHeight="1">
      <c r="C263" s="113" t="b">
        <v>0</v>
      </c>
      <c r="D263" s="114">
        <v>92</v>
      </c>
      <c r="E263" s="115">
        <v>93</v>
      </c>
      <c r="F263" s="115">
        <v>22</v>
      </c>
      <c r="G263" s="119">
        <v>28</v>
      </c>
      <c r="H263" s="119">
        <v>123</v>
      </c>
      <c r="I263" s="119">
        <v>9</v>
      </c>
      <c r="J263" s="119">
        <v>181</v>
      </c>
      <c r="K263" s="121">
        <v>0</v>
      </c>
      <c r="L263" s="121">
        <v>1.1078571170674416E+19</v>
      </c>
    </row>
    <row r="264" spans="3:12" ht="15" customHeight="1">
      <c r="C264" s="113" t="b">
        <v>0</v>
      </c>
      <c r="D264" s="114">
        <v>92</v>
      </c>
      <c r="E264" s="115">
        <v>77</v>
      </c>
      <c r="F264" s="115">
        <v>86</v>
      </c>
      <c r="G264" s="119">
        <v>41</v>
      </c>
      <c r="H264" s="119">
        <v>31</v>
      </c>
      <c r="I264" s="119">
        <v>10</v>
      </c>
      <c r="J264" s="119">
        <v>182</v>
      </c>
      <c r="K264" s="121">
        <v>0</v>
      </c>
      <c r="L264" s="121">
        <v>4.4465580159540332E+18</v>
      </c>
    </row>
    <row r="265" spans="3:12" ht="15" customHeight="1">
      <c r="C265" s="113" t="b">
        <v>0</v>
      </c>
      <c r="D265" s="114">
        <v>86</v>
      </c>
      <c r="E265" s="115">
        <v>66</v>
      </c>
      <c r="F265" s="115">
        <v>22</v>
      </c>
      <c r="G265" s="119">
        <v>24</v>
      </c>
      <c r="H265" s="119">
        <v>26</v>
      </c>
      <c r="I265" s="119">
        <v>10</v>
      </c>
      <c r="J265" s="119">
        <v>183</v>
      </c>
      <c r="K265" s="121">
        <v>0</v>
      </c>
      <c r="L265" s="121">
        <v>1.1640771058803544E+19</v>
      </c>
    </row>
    <row r="266" spans="3:12" ht="15" customHeight="1">
      <c r="C266" s="113" t="b">
        <v>0</v>
      </c>
      <c r="D266" s="114">
        <v>98</v>
      </c>
      <c r="E266" s="115">
        <v>57</v>
      </c>
      <c r="F266" s="115">
        <v>31</v>
      </c>
      <c r="G266" s="119">
        <v>34</v>
      </c>
      <c r="H266" s="119">
        <v>73</v>
      </c>
      <c r="I266" s="119">
        <v>10</v>
      </c>
      <c r="J266" s="119">
        <v>184</v>
      </c>
      <c r="K266" s="121">
        <v>0</v>
      </c>
      <c r="L266" s="121">
        <v>8.8159535454656041E+18</v>
      </c>
    </row>
    <row r="267" spans="3:12" ht="15" customHeight="1">
      <c r="C267" s="113" t="b">
        <v>0</v>
      </c>
      <c r="D267" s="114">
        <v>95</v>
      </c>
      <c r="E267" s="115">
        <v>80</v>
      </c>
      <c r="F267" s="115">
        <v>50</v>
      </c>
      <c r="G267" s="119">
        <v>64</v>
      </c>
      <c r="H267" s="119">
        <v>55</v>
      </c>
      <c r="I267" s="119">
        <v>10</v>
      </c>
      <c r="J267" s="119">
        <v>185</v>
      </c>
      <c r="K267" s="121">
        <v>0</v>
      </c>
      <c r="L267" s="121">
        <v>1.6781159366980248E+19</v>
      </c>
    </row>
    <row r="268" spans="3:12" ht="15" customHeight="1">
      <c r="C268" s="113" t="b">
        <v>0</v>
      </c>
      <c r="D268" s="114">
        <v>92</v>
      </c>
      <c r="E268" s="115">
        <v>108</v>
      </c>
      <c r="F268" s="115">
        <v>53</v>
      </c>
      <c r="G268" s="119">
        <v>33</v>
      </c>
      <c r="H268" s="119">
        <v>94</v>
      </c>
      <c r="I268" s="119">
        <v>12</v>
      </c>
      <c r="J268" s="119">
        <v>186</v>
      </c>
      <c r="K268" s="121">
        <v>0</v>
      </c>
      <c r="L268" s="121">
        <v>7.4235169784197089E+18</v>
      </c>
    </row>
    <row r="269" spans="3:12" ht="15" customHeight="1">
      <c r="C269" s="113" t="b">
        <v>0</v>
      </c>
      <c r="D269" s="114">
        <v>97</v>
      </c>
      <c r="E269" s="115">
        <v>92</v>
      </c>
      <c r="F269" s="115">
        <v>22</v>
      </c>
      <c r="G269" s="119">
        <v>28</v>
      </c>
      <c r="H269" s="119">
        <v>49</v>
      </c>
      <c r="I269" s="119">
        <v>12</v>
      </c>
      <c r="J269" s="119">
        <v>187</v>
      </c>
      <c r="K269" s="121">
        <v>0</v>
      </c>
      <c r="L269" s="121">
        <v>1.6288073393633698E+19</v>
      </c>
    </row>
    <row r="270" spans="3:12" ht="15" customHeight="1">
      <c r="C270" s="113" t="b">
        <v>0</v>
      </c>
      <c r="D270" s="114">
        <v>93</v>
      </c>
      <c r="E270" s="115">
        <v>77</v>
      </c>
      <c r="F270" s="115">
        <v>39</v>
      </c>
      <c r="G270" s="119">
        <v>37</v>
      </c>
      <c r="H270" s="119">
        <v>108</v>
      </c>
      <c r="I270" s="119">
        <v>16</v>
      </c>
      <c r="J270" s="119">
        <v>188</v>
      </c>
      <c r="K270" s="121">
        <v>0</v>
      </c>
      <c r="L270" s="121">
        <v>1.6652573819491025E+19</v>
      </c>
    </row>
    <row r="271" spans="3:12" ht="15" customHeight="1">
      <c r="C271" s="113" t="b">
        <v>0</v>
      </c>
      <c r="D271" s="114">
        <v>94</v>
      </c>
      <c r="E271" s="115">
        <v>83</v>
      </c>
      <c r="F271" s="115">
        <v>81</v>
      </c>
      <c r="G271" s="119">
        <v>34</v>
      </c>
      <c r="H271" s="119">
        <v>201</v>
      </c>
      <c r="I271" s="119">
        <v>20</v>
      </c>
      <c r="J271" s="119">
        <v>189</v>
      </c>
      <c r="K271" s="121">
        <v>0</v>
      </c>
      <c r="L271" s="121">
        <v>1.4127876594111592E+19</v>
      </c>
    </row>
    <row r="272" spans="3:12" ht="15" customHeight="1">
      <c r="C272" s="113" t="b">
        <v>0</v>
      </c>
      <c r="D272" s="114">
        <v>87</v>
      </c>
      <c r="E272" s="115">
        <v>75</v>
      </c>
      <c r="F272" s="115">
        <v>25</v>
      </c>
      <c r="G272" s="119">
        <v>21</v>
      </c>
      <c r="H272" s="119">
        <v>14</v>
      </c>
      <c r="I272" s="119">
        <v>0</v>
      </c>
      <c r="J272" s="119">
        <v>190</v>
      </c>
      <c r="K272" s="121">
        <v>0</v>
      </c>
      <c r="L272" s="121">
        <v>1.2943375793956086E+19</v>
      </c>
    </row>
    <row r="273" spans="3:12" ht="15" customHeight="1">
      <c r="C273" s="113" t="b">
        <v>0</v>
      </c>
      <c r="D273" s="114">
        <v>88</v>
      </c>
      <c r="E273" s="115">
        <v>56</v>
      </c>
      <c r="F273" s="115">
        <v>23</v>
      </c>
      <c r="G273" s="119">
        <v>18</v>
      </c>
      <c r="H273" s="119">
        <v>12</v>
      </c>
      <c r="I273" s="119">
        <v>0</v>
      </c>
      <c r="J273" s="119">
        <v>191</v>
      </c>
      <c r="K273" s="121">
        <v>0</v>
      </c>
      <c r="L273" s="121">
        <v>8.6851007869883331E+18</v>
      </c>
    </row>
    <row r="274" spans="3:12" ht="15" customHeight="1">
      <c r="C274" s="113" t="b">
        <v>0</v>
      </c>
      <c r="D274" s="114">
        <v>84</v>
      </c>
      <c r="E274" s="115">
        <v>97</v>
      </c>
      <c r="F274" s="115">
        <v>41</v>
      </c>
      <c r="G274" s="119">
        <v>20</v>
      </c>
      <c r="H274" s="119">
        <v>32</v>
      </c>
      <c r="I274" s="119">
        <v>0</v>
      </c>
      <c r="J274" s="119">
        <v>192</v>
      </c>
      <c r="K274" s="121">
        <v>0</v>
      </c>
      <c r="L274" s="121">
        <v>1.3565597706065183E+19</v>
      </c>
    </row>
    <row r="275" spans="3:12" ht="15" customHeight="1">
      <c r="C275" s="113" t="b">
        <v>0</v>
      </c>
      <c r="D275" s="114">
        <v>94</v>
      </c>
      <c r="E275" s="115">
        <v>91</v>
      </c>
      <c r="F275" s="115">
        <v>27</v>
      </c>
      <c r="G275" s="119">
        <v>20</v>
      </c>
      <c r="H275" s="119">
        <v>15</v>
      </c>
      <c r="I275" s="119">
        <v>0.5</v>
      </c>
      <c r="J275" s="119">
        <v>193</v>
      </c>
      <c r="K275" s="121">
        <v>0</v>
      </c>
      <c r="L275" s="121">
        <v>1.2645756756961704E+19</v>
      </c>
    </row>
    <row r="276" spans="3:12" ht="15" customHeight="1">
      <c r="C276" s="113" t="b">
        <v>0</v>
      </c>
      <c r="D276" s="114">
        <v>97</v>
      </c>
      <c r="E276" s="115">
        <v>62</v>
      </c>
      <c r="F276" s="115">
        <v>17</v>
      </c>
      <c r="G276" s="119">
        <v>13</v>
      </c>
      <c r="H276" s="119">
        <v>5</v>
      </c>
      <c r="I276" s="119">
        <v>0.5</v>
      </c>
      <c r="J276" s="119">
        <v>194</v>
      </c>
      <c r="K276" s="121">
        <v>0</v>
      </c>
      <c r="L276" s="121">
        <v>1.479969535718631E+19</v>
      </c>
    </row>
    <row r="277" spans="3:12" ht="15" customHeight="1">
      <c r="C277" s="113" t="b">
        <v>0</v>
      </c>
      <c r="D277" s="114">
        <v>92</v>
      </c>
      <c r="E277" s="115">
        <v>85</v>
      </c>
      <c r="F277" s="115">
        <v>25</v>
      </c>
      <c r="G277" s="119">
        <v>20</v>
      </c>
      <c r="H277" s="119">
        <v>12</v>
      </c>
      <c r="I277" s="119">
        <v>0.5</v>
      </c>
      <c r="J277" s="119">
        <v>195</v>
      </c>
      <c r="K277" s="121">
        <v>0</v>
      </c>
      <c r="L277" s="121">
        <v>1.6794288015332671E+19</v>
      </c>
    </row>
    <row r="278" spans="3:12" ht="15" customHeight="1">
      <c r="C278" s="113" t="b">
        <v>0</v>
      </c>
      <c r="D278" s="114">
        <v>82</v>
      </c>
      <c r="E278" s="115">
        <v>48</v>
      </c>
      <c r="F278" s="115">
        <v>27</v>
      </c>
      <c r="G278" s="119">
        <v>15</v>
      </c>
      <c r="H278" s="119">
        <v>12</v>
      </c>
      <c r="I278" s="119">
        <v>0.5</v>
      </c>
      <c r="J278" s="119">
        <v>196</v>
      </c>
      <c r="K278" s="121">
        <v>0</v>
      </c>
      <c r="L278" s="121">
        <v>1.5120265989865472E+19</v>
      </c>
    </row>
    <row r="279" spans="3:12" ht="15" customHeight="1">
      <c r="C279" s="113" t="b">
        <v>0</v>
      </c>
      <c r="D279" s="114">
        <v>88</v>
      </c>
      <c r="E279" s="115">
        <v>74</v>
      </c>
      <c r="F279" s="115">
        <v>31</v>
      </c>
      <c r="G279" s="119">
        <v>25</v>
      </c>
      <c r="H279" s="119">
        <v>15</v>
      </c>
      <c r="I279" s="119">
        <v>0.5</v>
      </c>
      <c r="J279" s="119">
        <v>197</v>
      </c>
      <c r="K279" s="121">
        <v>0</v>
      </c>
      <c r="L279" s="121">
        <v>1.4029566877933399E+18</v>
      </c>
    </row>
    <row r="280" spans="3:12" ht="15" customHeight="1">
      <c r="C280" s="113" t="b">
        <v>0</v>
      </c>
      <c r="D280" s="114">
        <v>95</v>
      </c>
      <c r="E280" s="115">
        <v>77</v>
      </c>
      <c r="F280" s="115">
        <v>30</v>
      </c>
      <c r="G280" s="119">
        <v>14</v>
      </c>
      <c r="H280" s="119">
        <v>21</v>
      </c>
      <c r="I280" s="119">
        <v>0.5</v>
      </c>
      <c r="J280" s="119">
        <v>198</v>
      </c>
      <c r="K280" s="121">
        <v>0</v>
      </c>
      <c r="L280" s="121">
        <v>1.6703669935793861E+19</v>
      </c>
    </row>
    <row r="281" spans="3:12" ht="15" customHeight="1">
      <c r="C281" s="113" t="b">
        <v>0</v>
      </c>
      <c r="D281" s="114">
        <v>88</v>
      </c>
      <c r="E281" s="115">
        <v>94</v>
      </c>
      <c r="F281" s="115">
        <v>26</v>
      </c>
      <c r="G281" s="119">
        <v>18</v>
      </c>
      <c r="H281" s="119">
        <v>8</v>
      </c>
      <c r="I281" s="119">
        <v>0.5</v>
      </c>
      <c r="J281" s="119">
        <v>199</v>
      </c>
      <c r="K281" s="121">
        <v>0</v>
      </c>
      <c r="L281" s="121">
        <v>4.9068773687251384E+18</v>
      </c>
    </row>
    <row r="282" spans="3:12" ht="15" customHeight="1">
      <c r="C282" s="113" t="b">
        <v>0</v>
      </c>
      <c r="D282" s="114">
        <v>91</v>
      </c>
      <c r="E282" s="115">
        <v>70</v>
      </c>
      <c r="F282" s="115">
        <v>19</v>
      </c>
      <c r="G282" s="119">
        <v>19</v>
      </c>
      <c r="H282" s="119">
        <v>22</v>
      </c>
      <c r="I282" s="119">
        <v>0.5</v>
      </c>
      <c r="J282" s="119">
        <v>200</v>
      </c>
      <c r="K282" s="121">
        <v>0</v>
      </c>
      <c r="L282" s="121">
        <v>7.9107776494435932E+18</v>
      </c>
    </row>
    <row r="283" spans="3:12" ht="15" customHeight="1">
      <c r="C283" s="113" t="b">
        <v>0</v>
      </c>
      <c r="D283" s="114">
        <v>83</v>
      </c>
      <c r="E283" s="115">
        <v>54</v>
      </c>
      <c r="F283" s="115">
        <v>27</v>
      </c>
      <c r="G283" s="119">
        <v>15</v>
      </c>
      <c r="H283" s="119">
        <v>12</v>
      </c>
      <c r="I283" s="119">
        <v>0.5</v>
      </c>
      <c r="J283" s="119">
        <v>201</v>
      </c>
      <c r="K283" s="121">
        <v>0</v>
      </c>
      <c r="L283" s="121">
        <v>5.1906681102312581E+18</v>
      </c>
    </row>
    <row r="284" spans="3:12" ht="15" customHeight="1">
      <c r="C284" s="113" t="b">
        <v>0</v>
      </c>
      <c r="D284" s="114">
        <v>91</v>
      </c>
      <c r="E284" s="115">
        <v>105</v>
      </c>
      <c r="F284" s="115">
        <v>40</v>
      </c>
      <c r="G284" s="119">
        <v>26</v>
      </c>
      <c r="H284" s="119">
        <v>56</v>
      </c>
      <c r="I284" s="119">
        <v>0.5</v>
      </c>
      <c r="J284" s="119">
        <v>202</v>
      </c>
      <c r="K284" s="121">
        <v>0</v>
      </c>
      <c r="L284" s="121">
        <v>1.6005190709793628E+18</v>
      </c>
    </row>
    <row r="285" spans="3:12" ht="15" customHeight="1">
      <c r="C285" s="113" t="b">
        <v>0</v>
      </c>
      <c r="D285" s="114">
        <v>86</v>
      </c>
      <c r="E285" s="115">
        <v>79</v>
      </c>
      <c r="F285" s="115">
        <v>37</v>
      </c>
      <c r="G285" s="119">
        <v>28</v>
      </c>
      <c r="H285" s="119">
        <v>14</v>
      </c>
      <c r="I285" s="119">
        <v>0.5</v>
      </c>
      <c r="J285" s="119">
        <v>203</v>
      </c>
      <c r="K285" s="121">
        <v>0</v>
      </c>
      <c r="L285" s="121">
        <v>1.0682209493249888E+19</v>
      </c>
    </row>
    <row r="286" spans="3:12" ht="15" customHeight="1">
      <c r="C286" s="113" t="b">
        <v>0</v>
      </c>
      <c r="D286" s="114">
        <v>91</v>
      </c>
      <c r="E286" s="115">
        <v>96</v>
      </c>
      <c r="F286" s="115">
        <v>35</v>
      </c>
      <c r="G286" s="119">
        <v>22</v>
      </c>
      <c r="H286" s="119">
        <v>135</v>
      </c>
      <c r="I286" s="119">
        <v>0.5</v>
      </c>
      <c r="J286" s="119">
        <v>204</v>
      </c>
      <c r="K286" s="121">
        <v>0</v>
      </c>
      <c r="L286" s="121">
        <v>9.3616628667333243E+18</v>
      </c>
    </row>
    <row r="287" spans="3:12" ht="15" customHeight="1">
      <c r="C287" s="113" t="b">
        <v>0</v>
      </c>
      <c r="D287" s="114">
        <v>89</v>
      </c>
      <c r="E287" s="115">
        <v>82</v>
      </c>
      <c r="F287" s="115">
        <v>23</v>
      </c>
      <c r="G287" s="119">
        <v>14</v>
      </c>
      <c r="H287" s="119">
        <v>35</v>
      </c>
      <c r="I287" s="119">
        <v>0.5</v>
      </c>
      <c r="J287" s="119">
        <v>205</v>
      </c>
      <c r="K287" s="121">
        <v>0</v>
      </c>
      <c r="L287" s="121">
        <v>1.1914649810832396E+19</v>
      </c>
    </row>
    <row r="288" spans="3:12" ht="15" customHeight="1">
      <c r="C288" s="113" t="b">
        <v>0</v>
      </c>
      <c r="D288" s="114">
        <v>90</v>
      </c>
      <c r="E288" s="115">
        <v>73</v>
      </c>
      <c r="F288" s="115">
        <v>24</v>
      </c>
      <c r="G288" s="119">
        <v>23</v>
      </c>
      <c r="H288" s="119">
        <v>11</v>
      </c>
      <c r="I288" s="119">
        <v>0.5</v>
      </c>
      <c r="J288" s="119">
        <v>206</v>
      </c>
      <c r="K288" s="121">
        <v>0</v>
      </c>
      <c r="L288" s="121">
        <v>1.1098597209644794E+19</v>
      </c>
    </row>
    <row r="289" spans="3:12" ht="15" customHeight="1">
      <c r="C289" s="113" t="b">
        <v>0</v>
      </c>
      <c r="D289" s="114">
        <v>90</v>
      </c>
      <c r="E289" s="115">
        <v>87</v>
      </c>
      <c r="F289" s="115">
        <v>19</v>
      </c>
      <c r="G289" s="119">
        <v>25</v>
      </c>
      <c r="H289" s="119">
        <v>19</v>
      </c>
      <c r="I289" s="119">
        <v>0.5</v>
      </c>
      <c r="J289" s="119">
        <v>207</v>
      </c>
      <c r="K289" s="121">
        <v>0</v>
      </c>
      <c r="L289" s="121">
        <v>2.1146898347503153E+18</v>
      </c>
    </row>
    <row r="290" spans="3:12" ht="15" customHeight="1">
      <c r="C290" s="113" t="b">
        <v>0</v>
      </c>
      <c r="D290" s="114">
        <v>89</v>
      </c>
      <c r="E290" s="115">
        <v>82</v>
      </c>
      <c r="F290" s="115">
        <v>33</v>
      </c>
      <c r="G290" s="119">
        <v>32</v>
      </c>
      <c r="H290" s="119">
        <v>18</v>
      </c>
      <c r="I290" s="119">
        <v>0.5</v>
      </c>
      <c r="J290" s="119">
        <v>208</v>
      </c>
      <c r="K290" s="121">
        <v>0</v>
      </c>
      <c r="L290" s="121">
        <v>1.6735534538465079E+19</v>
      </c>
    </row>
    <row r="291" spans="3:12" ht="15" customHeight="1">
      <c r="C291" s="113" t="b">
        <v>0</v>
      </c>
      <c r="D291" s="114">
        <v>85</v>
      </c>
      <c r="E291" s="115">
        <v>79</v>
      </c>
      <c r="F291" s="115">
        <v>17</v>
      </c>
      <c r="G291" s="119">
        <v>8</v>
      </c>
      <c r="H291" s="119">
        <v>9</v>
      </c>
      <c r="I291" s="119">
        <v>0.5</v>
      </c>
      <c r="J291" s="119">
        <v>209</v>
      </c>
      <c r="K291" s="121">
        <v>0</v>
      </c>
      <c r="L291" s="121">
        <v>3.4573013652745533E+18</v>
      </c>
    </row>
    <row r="292" spans="3:12" ht="15" customHeight="1">
      <c r="C292" s="113" t="b">
        <v>0</v>
      </c>
      <c r="D292" s="114">
        <v>85</v>
      </c>
      <c r="E292" s="115">
        <v>119</v>
      </c>
      <c r="F292" s="115">
        <v>30</v>
      </c>
      <c r="G292" s="119">
        <v>26</v>
      </c>
      <c r="H292" s="119">
        <v>17</v>
      </c>
      <c r="I292" s="119">
        <v>0.5</v>
      </c>
      <c r="J292" s="119">
        <v>210</v>
      </c>
      <c r="K292" s="121">
        <v>0</v>
      </c>
      <c r="L292" s="121">
        <v>1.9458506475743191E+18</v>
      </c>
    </row>
    <row r="293" spans="3:12" ht="15" customHeight="1">
      <c r="C293" s="113" t="b">
        <v>0</v>
      </c>
      <c r="D293" s="114">
        <v>78</v>
      </c>
      <c r="E293" s="115">
        <v>69</v>
      </c>
      <c r="F293" s="115">
        <v>24</v>
      </c>
      <c r="G293" s="119">
        <v>18</v>
      </c>
      <c r="H293" s="119">
        <v>31</v>
      </c>
      <c r="I293" s="119">
        <v>0.5</v>
      </c>
      <c r="J293" s="119">
        <v>211</v>
      </c>
      <c r="K293" s="121">
        <v>0</v>
      </c>
      <c r="L293" s="121">
        <v>7.2503419928138445E+18</v>
      </c>
    </row>
    <row r="294" spans="3:12" ht="15" customHeight="1">
      <c r="C294" s="113" t="b">
        <v>0</v>
      </c>
      <c r="D294" s="114">
        <v>88</v>
      </c>
      <c r="E294" s="115">
        <v>107</v>
      </c>
      <c r="F294" s="115">
        <v>34</v>
      </c>
      <c r="G294" s="119">
        <v>21</v>
      </c>
      <c r="H294" s="119">
        <v>27</v>
      </c>
      <c r="I294" s="119">
        <v>0.5</v>
      </c>
      <c r="J294" s="119">
        <v>212</v>
      </c>
      <c r="K294" s="121">
        <v>0</v>
      </c>
      <c r="L294" s="121">
        <v>8.6357004659921449E+18</v>
      </c>
    </row>
    <row r="295" spans="3:12" ht="15" customHeight="1">
      <c r="C295" s="113" t="b">
        <v>0</v>
      </c>
      <c r="D295" s="114">
        <v>89</v>
      </c>
      <c r="E295" s="115">
        <v>115</v>
      </c>
      <c r="F295" s="115">
        <v>17</v>
      </c>
      <c r="G295" s="119">
        <v>27</v>
      </c>
      <c r="H295" s="119">
        <v>7</v>
      </c>
      <c r="I295" s="119">
        <v>0.5</v>
      </c>
      <c r="J295" s="119">
        <v>213</v>
      </c>
      <c r="K295" s="121">
        <v>0</v>
      </c>
      <c r="L295" s="121">
        <v>1.3311676970913913E+19</v>
      </c>
    </row>
    <row r="296" spans="3:12" ht="15" customHeight="1">
      <c r="C296" s="113" t="b">
        <v>0</v>
      </c>
      <c r="D296" s="114">
        <v>92</v>
      </c>
      <c r="E296" s="115">
        <v>67</v>
      </c>
      <c r="F296" s="115">
        <v>23</v>
      </c>
      <c r="G296" s="119">
        <v>15</v>
      </c>
      <c r="H296" s="119">
        <v>12</v>
      </c>
      <c r="I296" s="119">
        <v>0.5</v>
      </c>
      <c r="J296" s="119">
        <v>214</v>
      </c>
      <c r="K296" s="121">
        <v>0</v>
      </c>
      <c r="L296" s="121">
        <v>1.1426085632916138E+19</v>
      </c>
    </row>
    <row r="297" spans="3:12" ht="15" customHeight="1">
      <c r="C297" s="113" t="b">
        <v>0</v>
      </c>
      <c r="D297" s="114">
        <v>89</v>
      </c>
      <c r="E297" s="115">
        <v>101</v>
      </c>
      <c r="F297" s="115">
        <v>27</v>
      </c>
      <c r="G297" s="119">
        <v>34</v>
      </c>
      <c r="H297" s="119">
        <v>14</v>
      </c>
      <c r="I297" s="119">
        <v>0.5</v>
      </c>
      <c r="J297" s="119">
        <v>215</v>
      </c>
      <c r="K297" s="121">
        <v>0</v>
      </c>
      <c r="L297" s="121">
        <v>1.7844624480295121E+19</v>
      </c>
    </row>
    <row r="298" spans="3:12" ht="15" customHeight="1">
      <c r="C298" s="113" t="b">
        <v>0</v>
      </c>
      <c r="D298" s="114">
        <v>91</v>
      </c>
      <c r="E298" s="115">
        <v>84</v>
      </c>
      <c r="F298" s="115">
        <v>11</v>
      </c>
      <c r="G298" s="119">
        <v>12</v>
      </c>
      <c r="H298" s="119">
        <v>10</v>
      </c>
      <c r="I298" s="119">
        <v>0.5</v>
      </c>
      <c r="J298" s="119">
        <v>216</v>
      </c>
      <c r="K298" s="121">
        <v>0</v>
      </c>
      <c r="L298" s="121">
        <v>1.126765054684605E+19</v>
      </c>
    </row>
    <row r="299" spans="3:12" ht="15" customHeight="1">
      <c r="C299" s="113" t="b">
        <v>0</v>
      </c>
      <c r="D299" s="114">
        <v>94</v>
      </c>
      <c r="E299" s="115">
        <v>101</v>
      </c>
      <c r="F299" s="115">
        <v>41</v>
      </c>
      <c r="G299" s="119">
        <v>20</v>
      </c>
      <c r="H299" s="119">
        <v>53</v>
      </c>
      <c r="I299" s="119">
        <v>0.5</v>
      </c>
      <c r="J299" s="119">
        <v>217</v>
      </c>
      <c r="K299" s="121">
        <v>0</v>
      </c>
      <c r="L299" s="121">
        <v>1.58364099368272E+18</v>
      </c>
    </row>
    <row r="300" spans="3:12" ht="15" customHeight="1">
      <c r="C300" s="113" t="b">
        <v>0</v>
      </c>
      <c r="D300" s="114">
        <v>88</v>
      </c>
      <c r="E300" s="115">
        <v>46</v>
      </c>
      <c r="F300" s="115">
        <v>29</v>
      </c>
      <c r="G300" s="119">
        <v>22</v>
      </c>
      <c r="H300" s="119">
        <v>18</v>
      </c>
      <c r="I300" s="119">
        <v>0.5</v>
      </c>
      <c r="J300" s="119">
        <v>218</v>
      </c>
      <c r="K300" s="121">
        <v>0</v>
      </c>
      <c r="L300" s="121">
        <v>9.3965057009141883E+18</v>
      </c>
    </row>
    <row r="301" spans="3:12" ht="15" customHeight="1">
      <c r="C301" s="113" t="b">
        <v>0</v>
      </c>
      <c r="D301" s="114">
        <v>88</v>
      </c>
      <c r="E301" s="115">
        <v>122</v>
      </c>
      <c r="F301" s="115">
        <v>35</v>
      </c>
      <c r="G301" s="119">
        <v>29</v>
      </c>
      <c r="H301" s="119">
        <v>42</v>
      </c>
      <c r="I301" s="119">
        <v>0.5</v>
      </c>
      <c r="J301" s="119">
        <v>219</v>
      </c>
      <c r="K301" s="121">
        <v>0</v>
      </c>
      <c r="L301" s="121">
        <v>4.4839709660578386E+18</v>
      </c>
    </row>
    <row r="302" spans="3:12" ht="15" customHeight="1">
      <c r="C302" s="113" t="b">
        <v>0</v>
      </c>
      <c r="D302" s="114">
        <v>84</v>
      </c>
      <c r="E302" s="115">
        <v>88</v>
      </c>
      <c r="F302" s="115">
        <v>28</v>
      </c>
      <c r="G302" s="119">
        <v>25</v>
      </c>
      <c r="H302" s="119">
        <v>35</v>
      </c>
      <c r="I302" s="119">
        <v>0.5</v>
      </c>
      <c r="J302" s="119">
        <v>220</v>
      </c>
      <c r="K302" s="121">
        <v>0</v>
      </c>
      <c r="L302" s="121">
        <v>1.6582171366142888E+19</v>
      </c>
    </row>
    <row r="303" spans="3:12" ht="15" customHeight="1">
      <c r="C303" s="113" t="b">
        <v>0</v>
      </c>
      <c r="D303" s="114">
        <v>90</v>
      </c>
      <c r="E303" s="115">
        <v>79</v>
      </c>
      <c r="F303" s="115">
        <v>18</v>
      </c>
      <c r="G303" s="119">
        <v>15</v>
      </c>
      <c r="H303" s="119">
        <v>24</v>
      </c>
      <c r="I303" s="119">
        <v>0.5</v>
      </c>
      <c r="J303" s="119">
        <v>221</v>
      </c>
      <c r="K303" s="121">
        <v>0</v>
      </c>
      <c r="L303" s="121">
        <v>1.7544575257804939E+19</v>
      </c>
    </row>
    <row r="304" spans="3:12" ht="15" customHeight="1">
      <c r="C304" s="113" t="b">
        <v>0</v>
      </c>
      <c r="D304" s="114">
        <v>87</v>
      </c>
      <c r="E304" s="115">
        <v>69</v>
      </c>
      <c r="F304" s="115">
        <v>22</v>
      </c>
      <c r="G304" s="119">
        <v>26</v>
      </c>
      <c r="H304" s="119">
        <v>11</v>
      </c>
      <c r="I304" s="119">
        <v>0.5</v>
      </c>
      <c r="J304" s="119">
        <v>222</v>
      </c>
      <c r="K304" s="121">
        <v>0</v>
      </c>
      <c r="L304" s="121">
        <v>7.2093093001255664E+16</v>
      </c>
    </row>
    <row r="305" spans="3:12" ht="15" customHeight="1">
      <c r="C305" s="113" t="b">
        <v>0</v>
      </c>
      <c r="D305" s="114">
        <v>65</v>
      </c>
      <c r="E305" s="115">
        <v>63</v>
      </c>
      <c r="F305" s="115">
        <v>19</v>
      </c>
      <c r="G305" s="119">
        <v>20</v>
      </c>
      <c r="H305" s="119">
        <v>14</v>
      </c>
      <c r="I305" s="119">
        <v>0.5</v>
      </c>
      <c r="J305" s="119">
        <v>223</v>
      </c>
      <c r="K305" s="121">
        <v>0</v>
      </c>
      <c r="L305" s="121">
        <v>1.5601672936743598E+19</v>
      </c>
    </row>
    <row r="306" spans="3:12" ht="15" customHeight="1">
      <c r="C306" s="113" t="b">
        <v>0</v>
      </c>
      <c r="D306" s="114">
        <v>90</v>
      </c>
      <c r="E306" s="115">
        <v>64</v>
      </c>
      <c r="F306" s="115">
        <v>12</v>
      </c>
      <c r="G306" s="119">
        <v>17</v>
      </c>
      <c r="H306" s="119">
        <v>14</v>
      </c>
      <c r="I306" s="119">
        <v>0.5</v>
      </c>
      <c r="J306" s="119">
        <v>224</v>
      </c>
      <c r="K306" s="121">
        <v>0</v>
      </c>
      <c r="L306" s="121">
        <v>3.2283581538617354E+18</v>
      </c>
    </row>
    <row r="307" spans="3:12" ht="15" customHeight="1">
      <c r="C307" s="113" t="b">
        <v>0</v>
      </c>
      <c r="D307" s="114">
        <v>85</v>
      </c>
      <c r="E307" s="115">
        <v>58</v>
      </c>
      <c r="F307" s="115">
        <v>18</v>
      </c>
      <c r="G307" s="119">
        <v>24</v>
      </c>
      <c r="H307" s="119">
        <v>16</v>
      </c>
      <c r="I307" s="119">
        <v>0.5</v>
      </c>
      <c r="J307" s="119">
        <v>225</v>
      </c>
      <c r="K307" s="121">
        <v>0</v>
      </c>
      <c r="L307" s="121">
        <v>2.5730728736334377E+18</v>
      </c>
    </row>
    <row r="308" spans="3:12" ht="15" customHeight="1">
      <c r="C308" s="113" t="b">
        <v>0</v>
      </c>
      <c r="D308" s="114">
        <v>88</v>
      </c>
      <c r="E308" s="115">
        <v>81</v>
      </c>
      <c r="F308" s="115">
        <v>41</v>
      </c>
      <c r="G308" s="119">
        <v>27</v>
      </c>
      <c r="H308" s="119">
        <v>36</v>
      </c>
      <c r="I308" s="119">
        <v>0.5</v>
      </c>
      <c r="J308" s="119">
        <v>226</v>
      </c>
      <c r="K308" s="121">
        <v>0</v>
      </c>
      <c r="L308" s="121">
        <v>9.2823240957486428E+18</v>
      </c>
    </row>
    <row r="309" spans="3:12" ht="15" customHeight="1">
      <c r="C309" s="113" t="b">
        <v>0</v>
      </c>
      <c r="D309" s="114">
        <v>86</v>
      </c>
      <c r="E309" s="115">
        <v>78</v>
      </c>
      <c r="F309" s="115">
        <v>52</v>
      </c>
      <c r="G309" s="119">
        <v>29</v>
      </c>
      <c r="H309" s="119">
        <v>62</v>
      </c>
      <c r="I309" s="119">
        <v>0.5</v>
      </c>
      <c r="J309" s="119">
        <v>227</v>
      </c>
      <c r="K309" s="121">
        <v>0</v>
      </c>
      <c r="L309" s="121">
        <v>3.5268139298054067E+18</v>
      </c>
    </row>
    <row r="310" spans="3:12" ht="15" customHeight="1">
      <c r="C310" s="113" t="b">
        <v>0</v>
      </c>
      <c r="D310" s="114">
        <v>82</v>
      </c>
      <c r="E310" s="115">
        <v>74</v>
      </c>
      <c r="F310" s="115">
        <v>38</v>
      </c>
      <c r="G310" s="119">
        <v>28</v>
      </c>
      <c r="H310" s="119">
        <v>48</v>
      </c>
      <c r="I310" s="119">
        <v>0.5</v>
      </c>
      <c r="J310" s="119">
        <v>228</v>
      </c>
      <c r="K310" s="121">
        <v>0</v>
      </c>
      <c r="L310" s="121">
        <v>1.567149614690629E+19</v>
      </c>
    </row>
    <row r="311" spans="3:12" ht="15" customHeight="1">
      <c r="C311" s="113" t="b">
        <v>0</v>
      </c>
      <c r="D311" s="114">
        <v>86</v>
      </c>
      <c r="E311" s="115">
        <v>58</v>
      </c>
      <c r="F311" s="115">
        <v>36</v>
      </c>
      <c r="G311" s="119">
        <v>27</v>
      </c>
      <c r="H311" s="119">
        <v>59</v>
      </c>
      <c r="I311" s="119">
        <v>0.5</v>
      </c>
      <c r="J311" s="119">
        <v>229</v>
      </c>
      <c r="K311" s="121">
        <v>0</v>
      </c>
      <c r="L311" s="121">
        <v>1.4019693409368938E+19</v>
      </c>
    </row>
    <row r="312" spans="3:12" ht="15" customHeight="1">
      <c r="C312" s="113" t="b">
        <v>0</v>
      </c>
      <c r="D312" s="114">
        <v>94</v>
      </c>
      <c r="E312" s="115">
        <v>56</v>
      </c>
      <c r="F312" s="115">
        <v>30</v>
      </c>
      <c r="G312" s="119">
        <v>18</v>
      </c>
      <c r="H312" s="119">
        <v>27</v>
      </c>
      <c r="I312" s="119">
        <v>0.5</v>
      </c>
      <c r="J312" s="119">
        <v>230</v>
      </c>
      <c r="K312" s="121">
        <v>0</v>
      </c>
      <c r="L312" s="121">
        <v>1.4678138227228025E+19</v>
      </c>
    </row>
    <row r="313" spans="3:12" ht="15" customHeight="1">
      <c r="C313" s="113" t="b">
        <v>0</v>
      </c>
      <c r="D313" s="114">
        <v>87</v>
      </c>
      <c r="E313" s="115">
        <v>57</v>
      </c>
      <c r="F313" s="115">
        <v>30</v>
      </c>
      <c r="G313" s="119">
        <v>30</v>
      </c>
      <c r="H313" s="119">
        <v>22</v>
      </c>
      <c r="I313" s="119">
        <v>0.5</v>
      </c>
      <c r="J313" s="119">
        <v>231</v>
      </c>
      <c r="K313" s="121">
        <v>0</v>
      </c>
      <c r="L313" s="121">
        <v>1.0085073292111227E+19</v>
      </c>
    </row>
    <row r="314" spans="3:12" ht="15" customHeight="1">
      <c r="C314" s="113" t="b">
        <v>0</v>
      </c>
      <c r="D314" s="114">
        <v>98</v>
      </c>
      <c r="E314" s="115">
        <v>74</v>
      </c>
      <c r="F314" s="115">
        <v>148</v>
      </c>
      <c r="G314" s="119">
        <v>75</v>
      </c>
      <c r="H314" s="119">
        <v>159</v>
      </c>
      <c r="I314" s="119">
        <v>0.5</v>
      </c>
      <c r="J314" s="119">
        <v>232</v>
      </c>
      <c r="K314" s="121">
        <v>0</v>
      </c>
      <c r="L314" s="121">
        <v>1.648737414833117E+19</v>
      </c>
    </row>
    <row r="315" spans="3:12" ht="15" customHeight="1">
      <c r="C315" s="113" t="b">
        <v>0</v>
      </c>
      <c r="D315" s="114">
        <v>94</v>
      </c>
      <c r="E315" s="115">
        <v>75</v>
      </c>
      <c r="F315" s="115">
        <v>20</v>
      </c>
      <c r="G315" s="119">
        <v>25</v>
      </c>
      <c r="H315" s="119">
        <v>38</v>
      </c>
      <c r="I315" s="119">
        <v>0.5</v>
      </c>
      <c r="J315" s="119">
        <v>233</v>
      </c>
      <c r="K315" s="121">
        <v>0</v>
      </c>
      <c r="L315" s="121">
        <v>2.5467610165274593E+18</v>
      </c>
    </row>
    <row r="316" spans="3:12" ht="15" customHeight="1">
      <c r="C316" s="113" t="b">
        <v>0</v>
      </c>
      <c r="D316" s="114">
        <v>83</v>
      </c>
      <c r="E316" s="115">
        <v>68</v>
      </c>
      <c r="F316" s="115">
        <v>17</v>
      </c>
      <c r="G316" s="119">
        <v>20</v>
      </c>
      <c r="H316" s="119">
        <v>71</v>
      </c>
      <c r="I316" s="119">
        <v>0.5</v>
      </c>
      <c r="J316" s="119">
        <v>234</v>
      </c>
      <c r="K316" s="121">
        <v>0</v>
      </c>
      <c r="L316" s="121">
        <v>1.1394669437198756E+19</v>
      </c>
    </row>
    <row r="317" spans="3:12" ht="15" customHeight="1">
      <c r="C317" s="113" t="b">
        <v>0</v>
      </c>
      <c r="D317" s="114">
        <v>93</v>
      </c>
      <c r="E317" s="115">
        <v>56</v>
      </c>
      <c r="F317" s="115">
        <v>25</v>
      </c>
      <c r="G317" s="119">
        <v>21</v>
      </c>
      <c r="H317" s="119">
        <v>33</v>
      </c>
      <c r="I317" s="119">
        <v>0.5</v>
      </c>
      <c r="J317" s="119">
        <v>235</v>
      </c>
      <c r="K317" s="121">
        <v>0</v>
      </c>
      <c r="L317" s="121">
        <v>1.6253733787877679E+19</v>
      </c>
    </row>
    <row r="318" spans="3:12" ht="15" customHeight="1">
      <c r="C318" s="113" t="b">
        <v>0</v>
      </c>
      <c r="D318" s="114">
        <v>101</v>
      </c>
      <c r="E318" s="115">
        <v>65</v>
      </c>
      <c r="F318" s="115">
        <v>18</v>
      </c>
      <c r="G318" s="119">
        <v>21</v>
      </c>
      <c r="H318" s="119">
        <v>22</v>
      </c>
      <c r="I318" s="119">
        <v>0.5</v>
      </c>
      <c r="J318" s="119">
        <v>236</v>
      </c>
      <c r="K318" s="121">
        <v>0</v>
      </c>
      <c r="L318" s="121">
        <v>1.7207270536764092E+19</v>
      </c>
    </row>
    <row r="319" spans="3:12" ht="15" customHeight="1">
      <c r="C319" s="113" t="b">
        <v>0</v>
      </c>
      <c r="D319" s="114">
        <v>92</v>
      </c>
      <c r="E319" s="115">
        <v>65</v>
      </c>
      <c r="F319" s="115">
        <v>25</v>
      </c>
      <c r="G319" s="119">
        <v>20</v>
      </c>
      <c r="H319" s="119">
        <v>31</v>
      </c>
      <c r="I319" s="119">
        <v>0.5</v>
      </c>
      <c r="J319" s="119">
        <v>237</v>
      </c>
      <c r="K319" s="121">
        <v>0</v>
      </c>
      <c r="L319" s="121">
        <v>1.2363252809953645E+19</v>
      </c>
    </row>
    <row r="320" spans="3:12" ht="15" customHeight="1">
      <c r="C320" s="113" t="b">
        <v>0</v>
      </c>
      <c r="D320" s="114">
        <v>92</v>
      </c>
      <c r="E320" s="115">
        <v>58</v>
      </c>
      <c r="F320" s="115">
        <v>14</v>
      </c>
      <c r="G320" s="119">
        <v>16</v>
      </c>
      <c r="H320" s="119">
        <v>13</v>
      </c>
      <c r="I320" s="119">
        <v>0.5</v>
      </c>
      <c r="J320" s="119">
        <v>238</v>
      </c>
      <c r="K320" s="121">
        <v>0</v>
      </c>
      <c r="L320" s="121">
        <v>1.0990240000625209E+19</v>
      </c>
    </row>
    <row r="321" spans="3:12" ht="15" customHeight="1">
      <c r="C321" s="113" t="b">
        <v>0</v>
      </c>
      <c r="D321" s="114">
        <v>86</v>
      </c>
      <c r="E321" s="115">
        <v>58</v>
      </c>
      <c r="F321" s="115">
        <v>16</v>
      </c>
      <c r="G321" s="119">
        <v>23</v>
      </c>
      <c r="H321" s="119">
        <v>23</v>
      </c>
      <c r="I321" s="119">
        <v>0.5</v>
      </c>
      <c r="J321" s="119">
        <v>239</v>
      </c>
      <c r="K321" s="121">
        <v>0</v>
      </c>
      <c r="L321" s="121">
        <v>3.033363193378409E+17</v>
      </c>
    </row>
    <row r="322" spans="3:12" ht="15" customHeight="1">
      <c r="C322" s="113" t="b">
        <v>0</v>
      </c>
      <c r="D322" s="114">
        <v>85</v>
      </c>
      <c r="E322" s="115">
        <v>62</v>
      </c>
      <c r="F322" s="115">
        <v>15</v>
      </c>
      <c r="G322" s="119">
        <v>13</v>
      </c>
      <c r="H322" s="119">
        <v>22</v>
      </c>
      <c r="I322" s="119">
        <v>0.5</v>
      </c>
      <c r="J322" s="119">
        <v>240</v>
      </c>
      <c r="K322" s="121">
        <v>0</v>
      </c>
      <c r="L322" s="121">
        <v>1.3608950323624194E+19</v>
      </c>
    </row>
    <row r="323" spans="3:12" ht="15" customHeight="1">
      <c r="C323" s="113" t="b">
        <v>0</v>
      </c>
      <c r="D323" s="114">
        <v>86</v>
      </c>
      <c r="E323" s="115">
        <v>57</v>
      </c>
      <c r="F323" s="115">
        <v>13</v>
      </c>
      <c r="G323" s="119">
        <v>20</v>
      </c>
      <c r="H323" s="119">
        <v>13</v>
      </c>
      <c r="I323" s="119">
        <v>0.5</v>
      </c>
      <c r="J323" s="119">
        <v>241</v>
      </c>
      <c r="K323" s="121">
        <v>0</v>
      </c>
      <c r="L323" s="121">
        <v>1.8206958886580742E+19</v>
      </c>
    </row>
    <row r="324" spans="3:12" ht="15" customHeight="1">
      <c r="C324" s="113" t="b">
        <v>0</v>
      </c>
      <c r="D324" s="114">
        <v>86</v>
      </c>
      <c r="E324" s="115">
        <v>54</v>
      </c>
      <c r="F324" s="115">
        <v>26</v>
      </c>
      <c r="G324" s="119">
        <v>30</v>
      </c>
      <c r="H324" s="119">
        <v>13</v>
      </c>
      <c r="I324" s="119">
        <v>0.5</v>
      </c>
      <c r="J324" s="119">
        <v>242</v>
      </c>
      <c r="K324" s="121">
        <v>0</v>
      </c>
      <c r="L324" s="121">
        <v>1.5886844301023334E+19</v>
      </c>
    </row>
    <row r="325" spans="3:12" ht="15" customHeight="1">
      <c r="C325" s="113" t="b">
        <v>0</v>
      </c>
      <c r="D325" s="114">
        <v>81</v>
      </c>
      <c r="E325" s="115">
        <v>41</v>
      </c>
      <c r="F325" s="115">
        <v>33</v>
      </c>
      <c r="G325" s="119">
        <v>27</v>
      </c>
      <c r="H325" s="119">
        <v>34</v>
      </c>
      <c r="I325" s="119">
        <v>1</v>
      </c>
      <c r="J325" s="119">
        <v>243</v>
      </c>
      <c r="K325" s="121">
        <v>0</v>
      </c>
      <c r="L325" s="121">
        <v>6.1148828311444695E+18</v>
      </c>
    </row>
    <row r="326" spans="3:12" ht="15" customHeight="1">
      <c r="C326" s="113" t="b">
        <v>0</v>
      </c>
      <c r="D326" s="114">
        <v>91</v>
      </c>
      <c r="E326" s="115">
        <v>67</v>
      </c>
      <c r="F326" s="115">
        <v>32</v>
      </c>
      <c r="G326" s="119">
        <v>26</v>
      </c>
      <c r="H326" s="119">
        <v>13</v>
      </c>
      <c r="I326" s="119">
        <v>1</v>
      </c>
      <c r="J326" s="119">
        <v>244</v>
      </c>
      <c r="K326" s="121">
        <v>0</v>
      </c>
      <c r="L326" s="121">
        <v>1.1270058643362847E+19</v>
      </c>
    </row>
    <row r="327" spans="3:12" ht="15" customHeight="1">
      <c r="C327" s="113" t="b">
        <v>0</v>
      </c>
      <c r="D327" s="114">
        <v>91</v>
      </c>
      <c r="E327" s="115">
        <v>80</v>
      </c>
      <c r="F327" s="115">
        <v>21</v>
      </c>
      <c r="G327" s="119">
        <v>19</v>
      </c>
      <c r="H327" s="119">
        <v>14</v>
      </c>
      <c r="I327" s="119">
        <v>1</v>
      </c>
      <c r="J327" s="119">
        <v>245</v>
      </c>
      <c r="K327" s="121">
        <v>0</v>
      </c>
      <c r="L327" s="121">
        <v>1.1996199704627436E+19</v>
      </c>
    </row>
    <row r="328" spans="3:12" ht="15" customHeight="1">
      <c r="C328" s="113" t="b">
        <v>0</v>
      </c>
      <c r="D328" s="114">
        <v>92</v>
      </c>
      <c r="E328" s="115">
        <v>60</v>
      </c>
      <c r="F328" s="115">
        <v>23</v>
      </c>
      <c r="G328" s="119">
        <v>15</v>
      </c>
      <c r="H328" s="119">
        <v>19</v>
      </c>
      <c r="I328" s="119">
        <v>1</v>
      </c>
      <c r="J328" s="119">
        <v>246</v>
      </c>
      <c r="K328" s="121">
        <v>0</v>
      </c>
      <c r="L328" s="121">
        <v>7.6899450060590295E+18</v>
      </c>
    </row>
    <row r="329" spans="3:12" ht="15" customHeight="1">
      <c r="C329" s="113" t="b">
        <v>0</v>
      </c>
      <c r="D329" s="114">
        <v>91</v>
      </c>
      <c r="E329" s="115">
        <v>60</v>
      </c>
      <c r="F329" s="115">
        <v>32</v>
      </c>
      <c r="G329" s="119">
        <v>14</v>
      </c>
      <c r="H329" s="119">
        <v>8</v>
      </c>
      <c r="I329" s="119">
        <v>1</v>
      </c>
      <c r="J329" s="119">
        <v>247</v>
      </c>
      <c r="K329" s="121">
        <v>0</v>
      </c>
      <c r="L329" s="121">
        <v>1.1952682282658746E+19</v>
      </c>
    </row>
    <row r="330" spans="3:12" ht="15" customHeight="1">
      <c r="C330" s="113" t="b">
        <v>0</v>
      </c>
      <c r="D330" s="114">
        <v>93</v>
      </c>
      <c r="E330" s="115">
        <v>65</v>
      </c>
      <c r="F330" s="115">
        <v>28</v>
      </c>
      <c r="G330" s="119">
        <v>22</v>
      </c>
      <c r="H330" s="119">
        <v>10</v>
      </c>
      <c r="I330" s="119">
        <v>1</v>
      </c>
      <c r="J330" s="119">
        <v>248</v>
      </c>
      <c r="K330" s="121">
        <v>0</v>
      </c>
      <c r="L330" s="121">
        <v>3.1305510890419139E+18</v>
      </c>
    </row>
    <row r="331" spans="3:12" ht="15" customHeight="1">
      <c r="C331" s="113" t="b">
        <v>0</v>
      </c>
      <c r="D331" s="114">
        <v>90</v>
      </c>
      <c r="E331" s="115">
        <v>63</v>
      </c>
      <c r="F331" s="115">
        <v>45</v>
      </c>
      <c r="G331" s="119">
        <v>24</v>
      </c>
      <c r="H331" s="119">
        <v>85</v>
      </c>
      <c r="I331" s="119">
        <v>1</v>
      </c>
      <c r="J331" s="119">
        <v>249</v>
      </c>
      <c r="K331" s="121">
        <v>0</v>
      </c>
      <c r="L331" s="121">
        <v>1.1741905786307353E+19</v>
      </c>
    </row>
    <row r="332" spans="3:12" ht="15" customHeight="1">
      <c r="C332" s="113" t="b">
        <v>0</v>
      </c>
      <c r="D332" s="114">
        <v>87</v>
      </c>
      <c r="E332" s="115">
        <v>92</v>
      </c>
      <c r="F332" s="115">
        <v>21</v>
      </c>
      <c r="G332" s="119">
        <v>22</v>
      </c>
      <c r="H332" s="119">
        <v>37</v>
      </c>
      <c r="I332" s="119">
        <v>1</v>
      </c>
      <c r="J332" s="119">
        <v>250</v>
      </c>
      <c r="K332" s="121">
        <v>0</v>
      </c>
      <c r="L332" s="121">
        <v>7.6073196769221018E+18</v>
      </c>
    </row>
    <row r="333" spans="3:12" ht="15" customHeight="1">
      <c r="C333" s="113" t="b">
        <v>0</v>
      </c>
      <c r="D333" s="114">
        <v>83</v>
      </c>
      <c r="E333" s="115">
        <v>78</v>
      </c>
      <c r="F333" s="115">
        <v>31</v>
      </c>
      <c r="G333" s="119">
        <v>19</v>
      </c>
      <c r="H333" s="119">
        <v>115</v>
      </c>
      <c r="I333" s="119">
        <v>1</v>
      </c>
      <c r="J333" s="119">
        <v>251</v>
      </c>
      <c r="K333" s="121">
        <v>0</v>
      </c>
      <c r="L333" s="121">
        <v>7.3029360493780255E+18</v>
      </c>
    </row>
    <row r="334" spans="3:12" ht="15" customHeight="1">
      <c r="C334" s="113" t="b">
        <v>0</v>
      </c>
      <c r="D334" s="114">
        <v>95</v>
      </c>
      <c r="E334" s="115">
        <v>62</v>
      </c>
      <c r="F334" s="115">
        <v>24</v>
      </c>
      <c r="G334" s="119">
        <v>23</v>
      </c>
      <c r="H334" s="119">
        <v>14</v>
      </c>
      <c r="I334" s="119">
        <v>1</v>
      </c>
      <c r="J334" s="119">
        <v>252</v>
      </c>
      <c r="K334" s="121">
        <v>0</v>
      </c>
      <c r="L334" s="121">
        <v>1.3764462039008209E+19</v>
      </c>
    </row>
    <row r="335" spans="3:12" ht="15" customHeight="1">
      <c r="C335" s="113" t="b">
        <v>0</v>
      </c>
      <c r="D335" s="114">
        <v>93</v>
      </c>
      <c r="E335" s="115">
        <v>59</v>
      </c>
      <c r="F335" s="115">
        <v>41</v>
      </c>
      <c r="G335" s="119">
        <v>30</v>
      </c>
      <c r="H335" s="119">
        <v>48</v>
      </c>
      <c r="I335" s="119">
        <v>1</v>
      </c>
      <c r="J335" s="119">
        <v>253</v>
      </c>
      <c r="K335" s="121">
        <v>0</v>
      </c>
      <c r="L335" s="121">
        <v>1.6108899467316478E+19</v>
      </c>
    </row>
    <row r="336" spans="3:12" ht="15" customHeight="1">
      <c r="C336" s="113" t="b">
        <v>0</v>
      </c>
      <c r="D336" s="114">
        <v>84</v>
      </c>
      <c r="E336" s="115">
        <v>82</v>
      </c>
      <c r="F336" s="115">
        <v>43</v>
      </c>
      <c r="G336" s="119">
        <v>32</v>
      </c>
      <c r="H336" s="119">
        <v>38</v>
      </c>
      <c r="I336" s="119">
        <v>2</v>
      </c>
      <c r="J336" s="119">
        <v>254</v>
      </c>
      <c r="K336" s="121">
        <v>0</v>
      </c>
      <c r="L336" s="121">
        <v>4.8056676458565335E+18</v>
      </c>
    </row>
    <row r="337" spans="3:12" ht="15" customHeight="1">
      <c r="C337" s="113" t="b">
        <v>0</v>
      </c>
      <c r="D337" s="114">
        <v>87</v>
      </c>
      <c r="E337" s="115">
        <v>71</v>
      </c>
      <c r="F337" s="115">
        <v>33</v>
      </c>
      <c r="G337" s="119">
        <v>20</v>
      </c>
      <c r="H337" s="119">
        <v>22</v>
      </c>
      <c r="I337" s="119">
        <v>2</v>
      </c>
      <c r="J337" s="119">
        <v>255</v>
      </c>
      <c r="K337" s="121">
        <v>0</v>
      </c>
      <c r="L337" s="121">
        <v>1.6230559251350235E+19</v>
      </c>
    </row>
    <row r="338" spans="3:12" ht="15" customHeight="1">
      <c r="C338" s="113" t="b">
        <v>0</v>
      </c>
      <c r="D338" s="114">
        <v>86</v>
      </c>
      <c r="E338" s="115">
        <v>44</v>
      </c>
      <c r="F338" s="115">
        <v>24</v>
      </c>
      <c r="G338" s="119">
        <v>15</v>
      </c>
      <c r="H338" s="119">
        <v>18</v>
      </c>
      <c r="I338" s="119">
        <v>2</v>
      </c>
      <c r="J338" s="119">
        <v>256</v>
      </c>
      <c r="K338" s="121">
        <v>0</v>
      </c>
      <c r="L338" s="121">
        <v>1.7186097243549792E+19</v>
      </c>
    </row>
    <row r="339" spans="3:12" ht="15" customHeight="1">
      <c r="C339" s="113" t="b">
        <v>0</v>
      </c>
      <c r="D339" s="114">
        <v>86</v>
      </c>
      <c r="E339" s="115">
        <v>66</v>
      </c>
      <c r="F339" s="115">
        <v>28</v>
      </c>
      <c r="G339" s="119">
        <v>24</v>
      </c>
      <c r="H339" s="119">
        <v>21</v>
      </c>
      <c r="I339" s="119">
        <v>2</v>
      </c>
      <c r="J339" s="119">
        <v>257</v>
      </c>
      <c r="K339" s="121">
        <v>0</v>
      </c>
      <c r="L339" s="121">
        <v>1.7648939740431354E+17</v>
      </c>
    </row>
    <row r="340" spans="3:12" ht="15" customHeight="1">
      <c r="C340" s="113" t="b">
        <v>0</v>
      </c>
      <c r="D340" s="114">
        <v>88</v>
      </c>
      <c r="E340" s="115">
        <v>58</v>
      </c>
      <c r="F340" s="115">
        <v>31</v>
      </c>
      <c r="G340" s="119">
        <v>17</v>
      </c>
      <c r="H340" s="119">
        <v>17</v>
      </c>
      <c r="I340" s="119">
        <v>2</v>
      </c>
      <c r="J340" s="119">
        <v>258</v>
      </c>
      <c r="K340" s="121">
        <v>0</v>
      </c>
      <c r="L340" s="121">
        <v>3.7569211811737462E+18</v>
      </c>
    </row>
    <row r="341" spans="3:12" ht="15" customHeight="1">
      <c r="C341" s="113" t="b">
        <v>0</v>
      </c>
      <c r="D341" s="114">
        <v>90</v>
      </c>
      <c r="E341" s="115">
        <v>61</v>
      </c>
      <c r="F341" s="115">
        <v>28</v>
      </c>
      <c r="G341" s="119">
        <v>29</v>
      </c>
      <c r="H341" s="119">
        <v>31</v>
      </c>
      <c r="I341" s="119">
        <v>2</v>
      </c>
      <c r="J341" s="119">
        <v>259</v>
      </c>
      <c r="K341" s="121">
        <v>0</v>
      </c>
      <c r="L341" s="121">
        <v>1.4144982815096912E+19</v>
      </c>
    </row>
    <row r="342" spans="3:12" ht="15" customHeight="1">
      <c r="C342" s="113" t="b">
        <v>0</v>
      </c>
      <c r="D342" s="114">
        <v>88</v>
      </c>
      <c r="E342" s="115">
        <v>69</v>
      </c>
      <c r="F342" s="115">
        <v>70</v>
      </c>
      <c r="G342" s="119">
        <v>24</v>
      </c>
      <c r="H342" s="119">
        <v>64</v>
      </c>
      <c r="I342" s="119">
        <v>2</v>
      </c>
      <c r="J342" s="119">
        <v>260</v>
      </c>
      <c r="K342" s="121">
        <v>0</v>
      </c>
      <c r="L342" s="121">
        <v>1.1982247629797792E+19</v>
      </c>
    </row>
    <row r="343" spans="3:12" ht="15" customHeight="1">
      <c r="C343" s="113" t="b">
        <v>0</v>
      </c>
      <c r="D343" s="114">
        <v>93</v>
      </c>
      <c r="E343" s="115">
        <v>87</v>
      </c>
      <c r="F343" s="115">
        <v>18</v>
      </c>
      <c r="G343" s="119">
        <v>17</v>
      </c>
      <c r="H343" s="119">
        <v>26</v>
      </c>
      <c r="I343" s="119">
        <v>2</v>
      </c>
      <c r="J343" s="119">
        <v>261</v>
      </c>
      <c r="K343" s="121">
        <v>0</v>
      </c>
      <c r="L343" s="121">
        <v>5.661948338794583E+18</v>
      </c>
    </row>
    <row r="344" spans="3:12" ht="15" customHeight="1">
      <c r="C344" s="113" t="b">
        <v>0</v>
      </c>
      <c r="D344" s="114">
        <v>98</v>
      </c>
      <c r="E344" s="115">
        <v>58</v>
      </c>
      <c r="F344" s="115">
        <v>33</v>
      </c>
      <c r="G344" s="119">
        <v>21</v>
      </c>
      <c r="H344" s="119">
        <v>28</v>
      </c>
      <c r="I344" s="119">
        <v>2</v>
      </c>
      <c r="J344" s="119">
        <v>262</v>
      </c>
      <c r="K344" s="121">
        <v>0</v>
      </c>
      <c r="L344" s="121">
        <v>1.0984516110417308E+19</v>
      </c>
    </row>
    <row r="345" spans="3:12" ht="15" customHeight="1">
      <c r="C345" s="113" t="b">
        <v>0</v>
      </c>
      <c r="D345" s="114">
        <v>91</v>
      </c>
      <c r="E345" s="115">
        <v>44</v>
      </c>
      <c r="F345" s="115">
        <v>18</v>
      </c>
      <c r="G345" s="119">
        <v>18</v>
      </c>
      <c r="H345" s="119">
        <v>23</v>
      </c>
      <c r="I345" s="119">
        <v>2</v>
      </c>
      <c r="J345" s="119">
        <v>263</v>
      </c>
      <c r="K345" s="121">
        <v>0</v>
      </c>
      <c r="L345" s="121">
        <v>3.7738505551694971E+18</v>
      </c>
    </row>
    <row r="346" spans="3:12" ht="15" customHeight="1">
      <c r="C346" s="113" t="b">
        <v>0</v>
      </c>
      <c r="D346" s="114">
        <v>87</v>
      </c>
      <c r="E346" s="115">
        <v>75</v>
      </c>
      <c r="F346" s="115">
        <v>37</v>
      </c>
      <c r="G346" s="119">
        <v>19</v>
      </c>
      <c r="H346" s="119">
        <v>70</v>
      </c>
      <c r="I346" s="119">
        <v>2</v>
      </c>
      <c r="J346" s="119">
        <v>264</v>
      </c>
      <c r="K346" s="121">
        <v>0</v>
      </c>
      <c r="L346" s="121">
        <v>1.1890692166073344E+18</v>
      </c>
    </row>
    <row r="347" spans="3:12" ht="15" customHeight="1">
      <c r="C347" s="113" t="b">
        <v>0</v>
      </c>
      <c r="D347" s="114">
        <v>94</v>
      </c>
      <c r="E347" s="115">
        <v>91</v>
      </c>
      <c r="F347" s="115">
        <v>30</v>
      </c>
      <c r="G347" s="119">
        <v>26</v>
      </c>
      <c r="H347" s="119">
        <v>25</v>
      </c>
      <c r="I347" s="119">
        <v>2</v>
      </c>
      <c r="J347" s="119">
        <v>265</v>
      </c>
      <c r="K347" s="121">
        <v>0</v>
      </c>
      <c r="L347" s="121">
        <v>1.1820350845412866E+19</v>
      </c>
    </row>
    <row r="348" spans="3:12" ht="15" customHeight="1">
      <c r="C348" s="113" t="b">
        <v>0</v>
      </c>
      <c r="D348" s="114">
        <v>88</v>
      </c>
      <c r="E348" s="115">
        <v>85</v>
      </c>
      <c r="F348" s="115">
        <v>14</v>
      </c>
      <c r="G348" s="119">
        <v>15</v>
      </c>
      <c r="H348" s="119">
        <v>10</v>
      </c>
      <c r="I348" s="119">
        <v>2</v>
      </c>
      <c r="J348" s="119">
        <v>266</v>
      </c>
      <c r="K348" s="121">
        <v>0</v>
      </c>
      <c r="L348" s="121">
        <v>1.8023059853240277E+19</v>
      </c>
    </row>
    <row r="349" spans="3:12" ht="15" customHeight="1">
      <c r="C349" s="113" t="b">
        <v>0</v>
      </c>
      <c r="D349" s="114">
        <v>89</v>
      </c>
      <c r="E349" s="115">
        <v>109</v>
      </c>
      <c r="F349" s="115">
        <v>26</v>
      </c>
      <c r="G349" s="119">
        <v>25</v>
      </c>
      <c r="H349" s="119">
        <v>27</v>
      </c>
      <c r="I349" s="119">
        <v>2</v>
      </c>
      <c r="J349" s="119">
        <v>267</v>
      </c>
      <c r="K349" s="121">
        <v>0</v>
      </c>
      <c r="L349" s="121">
        <v>7.9022219045655009E+18</v>
      </c>
    </row>
    <row r="350" spans="3:12" ht="15" customHeight="1">
      <c r="C350" s="113" t="b">
        <v>0</v>
      </c>
      <c r="D350" s="114">
        <v>87</v>
      </c>
      <c r="E350" s="115">
        <v>59</v>
      </c>
      <c r="F350" s="115">
        <v>37</v>
      </c>
      <c r="G350" s="119">
        <v>27</v>
      </c>
      <c r="H350" s="119">
        <v>34</v>
      </c>
      <c r="I350" s="119">
        <v>2</v>
      </c>
      <c r="J350" s="119">
        <v>268</v>
      </c>
      <c r="K350" s="121">
        <v>0</v>
      </c>
      <c r="L350" s="121">
        <v>9.0346660686154025E+18</v>
      </c>
    </row>
    <row r="351" spans="3:12" ht="15" customHeight="1">
      <c r="C351" s="113" t="b">
        <v>0</v>
      </c>
      <c r="D351" s="114">
        <v>93</v>
      </c>
      <c r="E351" s="115">
        <v>58</v>
      </c>
      <c r="F351" s="115">
        <v>20</v>
      </c>
      <c r="G351" s="119">
        <v>23</v>
      </c>
      <c r="H351" s="119">
        <v>18</v>
      </c>
      <c r="I351" s="119">
        <v>2</v>
      </c>
      <c r="J351" s="119">
        <v>269</v>
      </c>
      <c r="K351" s="121">
        <v>0</v>
      </c>
      <c r="L351" s="121">
        <v>4.5909830867811625E+18</v>
      </c>
    </row>
    <row r="352" spans="3:12" ht="15" customHeight="1">
      <c r="C352" s="113" t="b">
        <v>0</v>
      </c>
      <c r="D352" s="114">
        <v>88</v>
      </c>
      <c r="E352" s="115">
        <v>57</v>
      </c>
      <c r="F352" s="115">
        <v>9</v>
      </c>
      <c r="G352" s="119">
        <v>15</v>
      </c>
      <c r="H352" s="119">
        <v>16</v>
      </c>
      <c r="I352" s="119">
        <v>2</v>
      </c>
      <c r="J352" s="119">
        <v>270</v>
      </c>
      <c r="K352" s="121">
        <v>0</v>
      </c>
      <c r="L352" s="121">
        <v>1.5946306328025395E+19</v>
      </c>
    </row>
    <row r="353" spans="3:12" ht="15" customHeight="1">
      <c r="C353" s="113" t="b">
        <v>0</v>
      </c>
      <c r="D353" s="114">
        <v>94</v>
      </c>
      <c r="E353" s="115">
        <v>65</v>
      </c>
      <c r="F353" s="115">
        <v>38</v>
      </c>
      <c r="G353" s="119">
        <v>27</v>
      </c>
      <c r="H353" s="119">
        <v>17</v>
      </c>
      <c r="I353" s="119">
        <v>3</v>
      </c>
      <c r="J353" s="119">
        <v>271</v>
      </c>
      <c r="K353" s="121">
        <v>0</v>
      </c>
      <c r="L353" s="121">
        <v>1.8323454989955351E+19</v>
      </c>
    </row>
    <row r="354" spans="3:12" ht="15" customHeight="1">
      <c r="C354" s="113" t="b">
        <v>0</v>
      </c>
      <c r="D354" s="114">
        <v>91</v>
      </c>
      <c r="E354" s="115">
        <v>71</v>
      </c>
      <c r="F354" s="115">
        <v>12</v>
      </c>
      <c r="G354" s="119">
        <v>22</v>
      </c>
      <c r="H354" s="119">
        <v>11</v>
      </c>
      <c r="I354" s="119">
        <v>3</v>
      </c>
      <c r="J354" s="119">
        <v>272</v>
      </c>
      <c r="K354" s="121">
        <v>0</v>
      </c>
      <c r="L354" s="121">
        <v>7.3026310627939338E+18</v>
      </c>
    </row>
    <row r="355" spans="3:12" ht="15" customHeight="1">
      <c r="C355" s="113" t="b">
        <v>0</v>
      </c>
      <c r="D355" s="114">
        <v>90</v>
      </c>
      <c r="E355" s="115">
        <v>55</v>
      </c>
      <c r="F355" s="115">
        <v>20</v>
      </c>
      <c r="G355" s="119">
        <v>20</v>
      </c>
      <c r="H355" s="119">
        <v>16</v>
      </c>
      <c r="I355" s="119">
        <v>3</v>
      </c>
      <c r="J355" s="119">
        <v>273</v>
      </c>
      <c r="K355" s="121">
        <v>0</v>
      </c>
      <c r="L355" s="121">
        <v>8.1378587070711511E+18</v>
      </c>
    </row>
    <row r="356" spans="3:12" ht="15" customHeight="1">
      <c r="C356" s="113" t="b">
        <v>0</v>
      </c>
      <c r="D356" s="114">
        <v>91</v>
      </c>
      <c r="E356" s="115">
        <v>64</v>
      </c>
      <c r="F356" s="115">
        <v>21</v>
      </c>
      <c r="G356" s="119">
        <v>17</v>
      </c>
      <c r="H356" s="119">
        <v>26</v>
      </c>
      <c r="I356" s="119">
        <v>3</v>
      </c>
      <c r="J356" s="119">
        <v>274</v>
      </c>
      <c r="K356" s="121">
        <v>0</v>
      </c>
      <c r="L356" s="121">
        <v>1.8163622793442286E+19</v>
      </c>
    </row>
    <row r="357" spans="3:12" ht="15" customHeight="1">
      <c r="C357" s="113" t="b">
        <v>0</v>
      </c>
      <c r="D357" s="114">
        <v>88</v>
      </c>
      <c r="E357" s="115">
        <v>47</v>
      </c>
      <c r="F357" s="115">
        <v>35</v>
      </c>
      <c r="G357" s="119">
        <v>26</v>
      </c>
      <c r="H357" s="119">
        <v>33</v>
      </c>
      <c r="I357" s="119">
        <v>3</v>
      </c>
      <c r="J357" s="119">
        <v>275</v>
      </c>
      <c r="K357" s="121">
        <v>0</v>
      </c>
      <c r="L357" s="121">
        <v>4.834483041908994E+18</v>
      </c>
    </row>
    <row r="358" spans="3:12" ht="15" customHeight="1">
      <c r="C358" s="113" t="b">
        <v>0</v>
      </c>
      <c r="D358" s="114">
        <v>82</v>
      </c>
      <c r="E358" s="115">
        <v>72</v>
      </c>
      <c r="F358" s="115">
        <v>31</v>
      </c>
      <c r="G358" s="119">
        <v>20</v>
      </c>
      <c r="H358" s="119">
        <v>84</v>
      </c>
      <c r="I358" s="119">
        <v>3</v>
      </c>
      <c r="J358" s="119">
        <v>276</v>
      </c>
      <c r="K358" s="121">
        <v>0</v>
      </c>
      <c r="L358" s="121">
        <v>1.3126825014772468E+19</v>
      </c>
    </row>
    <row r="359" spans="3:12" ht="15" customHeight="1">
      <c r="C359" s="113" t="b">
        <v>0</v>
      </c>
      <c r="D359" s="114">
        <v>85</v>
      </c>
      <c r="E359" s="115">
        <v>58</v>
      </c>
      <c r="F359" s="115">
        <v>83</v>
      </c>
      <c r="G359" s="119">
        <v>49</v>
      </c>
      <c r="H359" s="119">
        <v>51</v>
      </c>
      <c r="I359" s="119">
        <v>3</v>
      </c>
      <c r="J359" s="119">
        <v>277</v>
      </c>
      <c r="K359" s="121">
        <v>0</v>
      </c>
      <c r="L359" s="121">
        <v>1.4620220023898098E+19</v>
      </c>
    </row>
    <row r="360" spans="3:12" ht="15" customHeight="1">
      <c r="C360" s="113" t="b">
        <v>0</v>
      </c>
      <c r="D360" s="114">
        <v>91</v>
      </c>
      <c r="E360" s="115">
        <v>54</v>
      </c>
      <c r="F360" s="115">
        <v>25</v>
      </c>
      <c r="G360" s="119">
        <v>22</v>
      </c>
      <c r="H360" s="119">
        <v>35</v>
      </c>
      <c r="I360" s="119">
        <v>4</v>
      </c>
      <c r="J360" s="119">
        <v>278</v>
      </c>
      <c r="K360" s="121">
        <v>0</v>
      </c>
      <c r="L360" s="121">
        <v>7.9396700267915817E+18</v>
      </c>
    </row>
    <row r="361" spans="3:12" ht="15" customHeight="1">
      <c r="C361" s="113" t="b">
        <v>0</v>
      </c>
      <c r="D361" s="114">
        <v>98</v>
      </c>
      <c r="E361" s="115">
        <v>50</v>
      </c>
      <c r="F361" s="115">
        <v>27</v>
      </c>
      <c r="G361" s="119">
        <v>25</v>
      </c>
      <c r="H361" s="119">
        <v>53</v>
      </c>
      <c r="I361" s="119">
        <v>4</v>
      </c>
      <c r="J361" s="119">
        <v>279</v>
      </c>
      <c r="K361" s="121">
        <v>0</v>
      </c>
      <c r="L361" s="121">
        <v>1.8164679601066537E+19</v>
      </c>
    </row>
    <row r="362" spans="3:12" ht="15" customHeight="1">
      <c r="C362" s="113" t="b">
        <v>0</v>
      </c>
      <c r="D362" s="114">
        <v>86</v>
      </c>
      <c r="E362" s="115">
        <v>62</v>
      </c>
      <c r="F362" s="115">
        <v>29</v>
      </c>
      <c r="G362" s="119">
        <v>21</v>
      </c>
      <c r="H362" s="119">
        <v>26</v>
      </c>
      <c r="I362" s="119">
        <v>4</v>
      </c>
      <c r="J362" s="119">
        <v>280</v>
      </c>
      <c r="K362" s="121">
        <v>0</v>
      </c>
      <c r="L362" s="121">
        <v>1.5616335869354378E+18</v>
      </c>
    </row>
    <row r="363" spans="3:12" ht="15" customHeight="1">
      <c r="C363" s="113" t="b">
        <v>0</v>
      </c>
      <c r="D363" s="114">
        <v>89</v>
      </c>
      <c r="E363" s="115">
        <v>48</v>
      </c>
      <c r="F363" s="115">
        <v>32</v>
      </c>
      <c r="G363" s="119">
        <v>22</v>
      </c>
      <c r="H363" s="119">
        <v>14</v>
      </c>
      <c r="I363" s="119">
        <v>4</v>
      </c>
      <c r="J363" s="119">
        <v>281</v>
      </c>
      <c r="K363" s="121">
        <v>0</v>
      </c>
      <c r="L363" s="121">
        <v>6.7103149564945162E+18</v>
      </c>
    </row>
    <row r="364" spans="3:12" ht="15" customHeight="1">
      <c r="C364" s="113" t="b">
        <v>0</v>
      </c>
      <c r="D364" s="114">
        <v>82</v>
      </c>
      <c r="E364" s="115">
        <v>68</v>
      </c>
      <c r="F364" s="115">
        <v>20</v>
      </c>
      <c r="G364" s="119">
        <v>22</v>
      </c>
      <c r="H364" s="119">
        <v>9</v>
      </c>
      <c r="I364" s="119">
        <v>4</v>
      </c>
      <c r="J364" s="119">
        <v>282</v>
      </c>
      <c r="K364" s="121">
        <v>0</v>
      </c>
      <c r="L364" s="121">
        <v>3.5286744444960379E+18</v>
      </c>
    </row>
    <row r="365" spans="3:12" ht="15" customHeight="1">
      <c r="C365" s="113" t="b">
        <v>0</v>
      </c>
      <c r="D365" s="114">
        <v>83</v>
      </c>
      <c r="E365" s="115">
        <v>70</v>
      </c>
      <c r="F365" s="115">
        <v>17</v>
      </c>
      <c r="G365" s="119">
        <v>19</v>
      </c>
      <c r="H365" s="119">
        <v>23</v>
      </c>
      <c r="I365" s="119">
        <v>4</v>
      </c>
      <c r="J365" s="119">
        <v>283</v>
      </c>
      <c r="K365" s="121">
        <v>0</v>
      </c>
      <c r="L365" s="121">
        <v>1.0575844424439529E+19</v>
      </c>
    </row>
    <row r="366" spans="3:12" ht="15" customHeight="1">
      <c r="C366" s="113" t="b">
        <v>0</v>
      </c>
      <c r="D366" s="114">
        <v>96</v>
      </c>
      <c r="E366" s="115">
        <v>70</v>
      </c>
      <c r="F366" s="115">
        <v>21</v>
      </c>
      <c r="G366" s="119">
        <v>26</v>
      </c>
      <c r="H366" s="119">
        <v>21</v>
      </c>
      <c r="I366" s="119">
        <v>4</v>
      </c>
      <c r="J366" s="119">
        <v>284</v>
      </c>
      <c r="K366" s="121">
        <v>0</v>
      </c>
      <c r="L366" s="121">
        <v>1.0305990622990703E+19</v>
      </c>
    </row>
    <row r="367" spans="3:12" ht="15" customHeight="1">
      <c r="C367" s="113" t="b">
        <v>0</v>
      </c>
      <c r="D367" s="114">
        <v>94</v>
      </c>
      <c r="E367" s="115">
        <v>117</v>
      </c>
      <c r="F367" s="115">
        <v>77</v>
      </c>
      <c r="G367" s="119">
        <v>56</v>
      </c>
      <c r="H367" s="119">
        <v>52</v>
      </c>
      <c r="I367" s="119">
        <v>4</v>
      </c>
      <c r="J367" s="119">
        <v>285</v>
      </c>
      <c r="K367" s="121">
        <v>0</v>
      </c>
      <c r="L367" s="121">
        <v>4.2698385933567452E+18</v>
      </c>
    </row>
    <row r="368" spans="3:12" ht="15" customHeight="1">
      <c r="C368" s="113" t="b">
        <v>0</v>
      </c>
      <c r="D368" s="114">
        <v>93</v>
      </c>
      <c r="E368" s="115">
        <v>45</v>
      </c>
      <c r="F368" s="115">
        <v>11</v>
      </c>
      <c r="G368" s="119">
        <v>14</v>
      </c>
      <c r="H368" s="119">
        <v>21</v>
      </c>
      <c r="I368" s="119">
        <v>4</v>
      </c>
      <c r="J368" s="119">
        <v>286</v>
      </c>
      <c r="K368" s="121">
        <v>0</v>
      </c>
      <c r="L368" s="121">
        <v>1.8198045529878249E+19</v>
      </c>
    </row>
    <row r="369" spans="3:12" ht="15" customHeight="1">
      <c r="C369" s="113" t="b">
        <v>0</v>
      </c>
      <c r="D369" s="114">
        <v>93</v>
      </c>
      <c r="E369" s="115">
        <v>49</v>
      </c>
      <c r="F369" s="115">
        <v>27</v>
      </c>
      <c r="G369" s="119">
        <v>21</v>
      </c>
      <c r="H369" s="119">
        <v>29</v>
      </c>
      <c r="I369" s="119">
        <v>4</v>
      </c>
      <c r="J369" s="119">
        <v>287</v>
      </c>
      <c r="K369" s="121">
        <v>0</v>
      </c>
      <c r="L369" s="121">
        <v>1.7647436271047911E+19</v>
      </c>
    </row>
    <row r="370" spans="3:12" ht="15" customHeight="1">
      <c r="C370" s="113" t="b">
        <v>0</v>
      </c>
      <c r="D370" s="114">
        <v>84</v>
      </c>
      <c r="E370" s="115">
        <v>73</v>
      </c>
      <c r="F370" s="115">
        <v>46</v>
      </c>
      <c r="G370" s="119">
        <v>32</v>
      </c>
      <c r="H370" s="119">
        <v>39</v>
      </c>
      <c r="I370" s="119">
        <v>4</v>
      </c>
      <c r="J370" s="119">
        <v>288</v>
      </c>
      <c r="K370" s="121">
        <v>0</v>
      </c>
      <c r="L370" s="121">
        <v>1.103123146269566E+19</v>
      </c>
    </row>
    <row r="371" spans="3:12" ht="15" customHeight="1">
      <c r="C371" s="113" t="b">
        <v>0</v>
      </c>
      <c r="D371" s="114">
        <v>91</v>
      </c>
      <c r="E371" s="115">
        <v>63</v>
      </c>
      <c r="F371" s="115">
        <v>17</v>
      </c>
      <c r="G371" s="119">
        <v>17</v>
      </c>
      <c r="H371" s="119">
        <v>46</v>
      </c>
      <c r="I371" s="119">
        <v>4</v>
      </c>
      <c r="J371" s="119">
        <v>289</v>
      </c>
      <c r="K371" s="121">
        <v>0</v>
      </c>
      <c r="L371" s="121">
        <v>4.4297930942573046E+18</v>
      </c>
    </row>
    <row r="372" spans="3:12" ht="15" customHeight="1">
      <c r="C372" s="113" t="b">
        <v>0</v>
      </c>
      <c r="D372" s="114">
        <v>90</v>
      </c>
      <c r="E372" s="115">
        <v>57</v>
      </c>
      <c r="F372" s="115">
        <v>31</v>
      </c>
      <c r="G372" s="119">
        <v>18</v>
      </c>
      <c r="H372" s="119">
        <v>37</v>
      </c>
      <c r="I372" s="119">
        <v>4</v>
      </c>
      <c r="J372" s="119">
        <v>290</v>
      </c>
      <c r="K372" s="121">
        <v>0</v>
      </c>
      <c r="L372" s="121">
        <v>2.9865048078637946E+17</v>
      </c>
    </row>
    <row r="373" spans="3:12" ht="15" customHeight="1">
      <c r="C373" s="113" t="b">
        <v>0</v>
      </c>
      <c r="D373" s="114">
        <v>87</v>
      </c>
      <c r="E373" s="115">
        <v>45</v>
      </c>
      <c r="F373" s="115">
        <v>19</v>
      </c>
      <c r="G373" s="119">
        <v>13</v>
      </c>
      <c r="H373" s="119">
        <v>16</v>
      </c>
      <c r="I373" s="119">
        <v>4</v>
      </c>
      <c r="J373" s="119">
        <v>291</v>
      </c>
      <c r="K373" s="121">
        <v>0</v>
      </c>
      <c r="L373" s="121">
        <v>3.3354088429262116E+18</v>
      </c>
    </row>
    <row r="374" spans="3:12" ht="15" customHeight="1">
      <c r="C374" s="113" t="b">
        <v>0</v>
      </c>
      <c r="D374" s="114">
        <v>91</v>
      </c>
      <c r="E374" s="115">
        <v>68</v>
      </c>
      <c r="F374" s="115">
        <v>14</v>
      </c>
      <c r="G374" s="119">
        <v>20</v>
      </c>
      <c r="H374" s="119">
        <v>19</v>
      </c>
      <c r="I374" s="119">
        <v>4</v>
      </c>
      <c r="J374" s="119">
        <v>292</v>
      </c>
      <c r="K374" s="121">
        <v>0</v>
      </c>
      <c r="L374" s="121">
        <v>1.7792968073795551E+19</v>
      </c>
    </row>
    <row r="375" spans="3:12" ht="15" customHeight="1">
      <c r="C375" s="113" t="b">
        <v>0</v>
      </c>
      <c r="D375" s="114">
        <v>86</v>
      </c>
      <c r="E375" s="115">
        <v>55</v>
      </c>
      <c r="F375" s="115">
        <v>29</v>
      </c>
      <c r="G375" s="119">
        <v>35</v>
      </c>
      <c r="H375" s="119">
        <v>108</v>
      </c>
      <c r="I375" s="119">
        <v>4</v>
      </c>
      <c r="J375" s="119">
        <v>293</v>
      </c>
      <c r="K375" s="121">
        <v>0</v>
      </c>
      <c r="L375" s="121">
        <v>1.0162304313266239E+19</v>
      </c>
    </row>
    <row r="376" spans="3:12" ht="15" customHeight="1">
      <c r="C376" s="113" t="b">
        <v>0</v>
      </c>
      <c r="D376" s="114">
        <v>91</v>
      </c>
      <c r="E376" s="115">
        <v>86</v>
      </c>
      <c r="F376" s="115">
        <v>52</v>
      </c>
      <c r="G376" s="119">
        <v>47</v>
      </c>
      <c r="H376" s="119">
        <v>52</v>
      </c>
      <c r="I376" s="119">
        <v>4</v>
      </c>
      <c r="J376" s="119">
        <v>294</v>
      </c>
      <c r="K376" s="121">
        <v>0</v>
      </c>
      <c r="L376" s="121">
        <v>1.785034439386811E+19</v>
      </c>
    </row>
    <row r="377" spans="3:12" ht="15" customHeight="1">
      <c r="C377" s="113" t="b">
        <v>0</v>
      </c>
      <c r="D377" s="114">
        <v>88</v>
      </c>
      <c r="E377" s="115">
        <v>46</v>
      </c>
      <c r="F377" s="115">
        <v>15</v>
      </c>
      <c r="G377" s="119">
        <v>33</v>
      </c>
      <c r="H377" s="119">
        <v>55</v>
      </c>
      <c r="I377" s="119">
        <v>4</v>
      </c>
      <c r="J377" s="119">
        <v>295</v>
      </c>
      <c r="K377" s="121">
        <v>0</v>
      </c>
      <c r="L377" s="121">
        <v>3.2001836003239434E+18</v>
      </c>
    </row>
    <row r="378" spans="3:12" ht="15" customHeight="1">
      <c r="C378" s="113" t="b">
        <v>0</v>
      </c>
      <c r="D378" s="114">
        <v>85</v>
      </c>
      <c r="E378" s="115">
        <v>52</v>
      </c>
      <c r="F378" s="115">
        <v>22</v>
      </c>
      <c r="G378" s="119">
        <v>23</v>
      </c>
      <c r="H378" s="119">
        <v>34</v>
      </c>
      <c r="I378" s="119">
        <v>4</v>
      </c>
      <c r="J378" s="119">
        <v>296</v>
      </c>
      <c r="K378" s="121">
        <v>0</v>
      </c>
      <c r="L378" s="121">
        <v>1.3515437311517759E+19</v>
      </c>
    </row>
    <row r="379" spans="3:12" ht="15" customHeight="1">
      <c r="C379" s="113" t="b">
        <v>0</v>
      </c>
      <c r="D379" s="114">
        <v>89</v>
      </c>
      <c r="E379" s="115">
        <v>72</v>
      </c>
      <c r="F379" s="115">
        <v>33</v>
      </c>
      <c r="G379" s="119">
        <v>27</v>
      </c>
      <c r="H379" s="119">
        <v>55</v>
      </c>
      <c r="I379" s="119">
        <v>4</v>
      </c>
      <c r="J379" s="119">
        <v>297</v>
      </c>
      <c r="K379" s="121">
        <v>0</v>
      </c>
      <c r="L379" s="121">
        <v>1.7602110952702732E+19</v>
      </c>
    </row>
    <row r="380" spans="3:12" ht="15" customHeight="1">
      <c r="C380" s="113" t="b">
        <v>0</v>
      </c>
      <c r="D380" s="114">
        <v>95</v>
      </c>
      <c r="E380" s="115">
        <v>59</v>
      </c>
      <c r="F380" s="115">
        <v>23</v>
      </c>
      <c r="G380" s="119">
        <v>18</v>
      </c>
      <c r="H380" s="119">
        <v>19</v>
      </c>
      <c r="I380" s="119">
        <v>4</v>
      </c>
      <c r="J380" s="119">
        <v>298</v>
      </c>
      <c r="K380" s="121">
        <v>0</v>
      </c>
      <c r="L380" s="121">
        <v>1.574279233248034E+19</v>
      </c>
    </row>
    <row r="381" spans="3:12" ht="15" customHeight="1">
      <c r="C381" s="113" t="b">
        <v>0</v>
      </c>
      <c r="D381" s="114">
        <v>94</v>
      </c>
      <c r="E381" s="115">
        <v>43</v>
      </c>
      <c r="F381" s="115">
        <v>154</v>
      </c>
      <c r="G381" s="119">
        <v>82</v>
      </c>
      <c r="H381" s="119">
        <v>121</v>
      </c>
      <c r="I381" s="119">
        <v>4</v>
      </c>
      <c r="J381" s="119">
        <v>299</v>
      </c>
      <c r="K381" s="121">
        <v>0</v>
      </c>
      <c r="L381" s="121">
        <v>1.1904555365839985E+19</v>
      </c>
    </row>
    <row r="382" spans="3:12" ht="15" customHeight="1">
      <c r="C382" s="113" t="b">
        <v>0</v>
      </c>
      <c r="D382" s="114">
        <v>96</v>
      </c>
      <c r="E382" s="115">
        <v>56</v>
      </c>
      <c r="F382" s="115">
        <v>38</v>
      </c>
      <c r="G382" s="119">
        <v>26</v>
      </c>
      <c r="H382" s="119">
        <v>23</v>
      </c>
      <c r="I382" s="119">
        <v>5</v>
      </c>
      <c r="J382" s="119">
        <v>300</v>
      </c>
      <c r="K382" s="121">
        <v>0</v>
      </c>
      <c r="L382" s="121">
        <v>5.9883293908060078E+18</v>
      </c>
    </row>
    <row r="383" spans="3:12" ht="15" customHeight="1">
      <c r="C383" s="113" t="b">
        <v>0</v>
      </c>
      <c r="D383" s="114">
        <v>90</v>
      </c>
      <c r="E383" s="115">
        <v>52</v>
      </c>
      <c r="F383" s="115">
        <v>10</v>
      </c>
      <c r="G383" s="119">
        <v>17</v>
      </c>
      <c r="H383" s="119">
        <v>12</v>
      </c>
      <c r="I383" s="119">
        <v>5</v>
      </c>
      <c r="J383" s="119">
        <v>301</v>
      </c>
      <c r="K383" s="121">
        <v>0</v>
      </c>
      <c r="L383" s="121">
        <v>1.7735325097165724E+19</v>
      </c>
    </row>
    <row r="384" spans="3:12" ht="15" customHeight="1">
      <c r="C384" s="113" t="b">
        <v>0</v>
      </c>
      <c r="D384" s="114">
        <v>94</v>
      </c>
      <c r="E384" s="115">
        <v>45</v>
      </c>
      <c r="F384" s="115">
        <v>20</v>
      </c>
      <c r="G384" s="119">
        <v>16</v>
      </c>
      <c r="H384" s="119">
        <v>12</v>
      </c>
      <c r="I384" s="119">
        <v>5</v>
      </c>
      <c r="J384" s="119">
        <v>302</v>
      </c>
      <c r="K384" s="121">
        <v>0</v>
      </c>
      <c r="L384" s="121">
        <v>1.19312214545559E+19</v>
      </c>
    </row>
    <row r="385" spans="3:12" ht="15" customHeight="1">
      <c r="C385" s="113" t="b">
        <v>0</v>
      </c>
      <c r="D385" s="114">
        <v>99</v>
      </c>
      <c r="E385" s="115">
        <v>42</v>
      </c>
      <c r="F385" s="115">
        <v>14</v>
      </c>
      <c r="G385" s="119">
        <v>21</v>
      </c>
      <c r="H385" s="119">
        <v>49</v>
      </c>
      <c r="I385" s="119">
        <v>5</v>
      </c>
      <c r="J385" s="119">
        <v>303</v>
      </c>
      <c r="K385" s="121">
        <v>0</v>
      </c>
      <c r="L385" s="121">
        <v>3.9160456455494543E+18</v>
      </c>
    </row>
    <row r="386" spans="3:12" ht="15" customHeight="1">
      <c r="C386" s="113" t="b">
        <v>0</v>
      </c>
      <c r="D386" s="114">
        <v>93</v>
      </c>
      <c r="E386" s="115">
        <v>102</v>
      </c>
      <c r="F386" s="115">
        <v>47</v>
      </c>
      <c r="G386" s="119">
        <v>23</v>
      </c>
      <c r="H386" s="119">
        <v>37</v>
      </c>
      <c r="I386" s="119">
        <v>5</v>
      </c>
      <c r="J386" s="119">
        <v>304</v>
      </c>
      <c r="K386" s="121">
        <v>0</v>
      </c>
      <c r="L386" s="121">
        <v>1.136722170386628E+19</v>
      </c>
    </row>
    <row r="387" spans="3:12" ht="15" customHeight="1">
      <c r="C387" s="113" t="b">
        <v>0</v>
      </c>
      <c r="D387" s="114">
        <v>94</v>
      </c>
      <c r="E387" s="115">
        <v>71</v>
      </c>
      <c r="F387" s="115">
        <v>25</v>
      </c>
      <c r="G387" s="119">
        <v>26</v>
      </c>
      <c r="H387" s="119">
        <v>31</v>
      </c>
      <c r="I387" s="119">
        <v>5</v>
      </c>
      <c r="J387" s="119">
        <v>305</v>
      </c>
      <c r="K387" s="121">
        <v>0</v>
      </c>
      <c r="L387" s="121">
        <v>7.7160467537074074E+18</v>
      </c>
    </row>
    <row r="388" spans="3:12" ht="15" customHeight="1">
      <c r="C388" s="113" t="b">
        <v>0</v>
      </c>
      <c r="D388" s="114">
        <v>92</v>
      </c>
      <c r="E388" s="115">
        <v>73</v>
      </c>
      <c r="F388" s="115">
        <v>33</v>
      </c>
      <c r="G388" s="119">
        <v>34</v>
      </c>
      <c r="H388" s="119">
        <v>115</v>
      </c>
      <c r="I388" s="119">
        <v>5</v>
      </c>
      <c r="J388" s="119">
        <v>306</v>
      </c>
      <c r="K388" s="121">
        <v>0</v>
      </c>
      <c r="L388" s="121">
        <v>7.23436748621344E+17</v>
      </c>
    </row>
    <row r="389" spans="3:12" ht="15" customHeight="1">
      <c r="C389" s="113" t="b">
        <v>0</v>
      </c>
      <c r="D389" s="114">
        <v>87</v>
      </c>
      <c r="E389" s="115">
        <v>54</v>
      </c>
      <c r="F389" s="115">
        <v>41</v>
      </c>
      <c r="G389" s="119">
        <v>29</v>
      </c>
      <c r="H389" s="119">
        <v>23</v>
      </c>
      <c r="I389" s="119">
        <v>6</v>
      </c>
      <c r="J389" s="119">
        <v>307</v>
      </c>
      <c r="K389" s="121">
        <v>0</v>
      </c>
      <c r="L389" s="121">
        <v>1.1716378916172466E+19</v>
      </c>
    </row>
    <row r="390" spans="3:12" ht="15" customHeight="1">
      <c r="C390" s="113" t="b">
        <v>0</v>
      </c>
      <c r="D390" s="114">
        <v>92</v>
      </c>
      <c r="E390" s="115">
        <v>67</v>
      </c>
      <c r="F390" s="115">
        <v>15</v>
      </c>
      <c r="G390" s="119">
        <v>14</v>
      </c>
      <c r="H390" s="119">
        <v>14</v>
      </c>
      <c r="I390" s="119">
        <v>6</v>
      </c>
      <c r="J390" s="119">
        <v>308</v>
      </c>
      <c r="K390" s="121">
        <v>0</v>
      </c>
      <c r="L390" s="121">
        <v>2.673795450375724E+18</v>
      </c>
    </row>
    <row r="391" spans="3:12" ht="15" customHeight="1">
      <c r="C391" s="113" t="b">
        <v>0</v>
      </c>
      <c r="D391" s="114">
        <v>98</v>
      </c>
      <c r="E391" s="115">
        <v>101</v>
      </c>
      <c r="F391" s="115">
        <v>31</v>
      </c>
      <c r="G391" s="119">
        <v>26</v>
      </c>
      <c r="H391" s="119">
        <v>32</v>
      </c>
      <c r="I391" s="119">
        <v>6</v>
      </c>
      <c r="J391" s="119">
        <v>309</v>
      </c>
      <c r="K391" s="121">
        <v>0</v>
      </c>
      <c r="L391" s="121">
        <v>1.6701121140963197E+18</v>
      </c>
    </row>
    <row r="392" spans="3:12" ht="15" customHeight="1">
      <c r="C392" s="113" t="b">
        <v>0</v>
      </c>
      <c r="D392" s="114">
        <v>92</v>
      </c>
      <c r="E392" s="115">
        <v>53</v>
      </c>
      <c r="F392" s="115">
        <v>51</v>
      </c>
      <c r="G392" s="119">
        <v>33</v>
      </c>
      <c r="H392" s="119">
        <v>92</v>
      </c>
      <c r="I392" s="119">
        <v>6</v>
      </c>
      <c r="J392" s="119">
        <v>310</v>
      </c>
      <c r="K392" s="121">
        <v>0</v>
      </c>
      <c r="L392" s="121">
        <v>9.3181865926001111E+18</v>
      </c>
    </row>
    <row r="393" spans="3:12" ht="15" customHeight="1">
      <c r="C393" s="113" t="b">
        <v>0</v>
      </c>
      <c r="D393" s="114">
        <v>97</v>
      </c>
      <c r="E393" s="115">
        <v>94</v>
      </c>
      <c r="F393" s="115">
        <v>43</v>
      </c>
      <c r="G393" s="119">
        <v>43</v>
      </c>
      <c r="H393" s="119">
        <v>82</v>
      </c>
      <c r="I393" s="119">
        <v>6</v>
      </c>
      <c r="J393" s="119">
        <v>311</v>
      </c>
      <c r="K393" s="121">
        <v>0</v>
      </c>
      <c r="L393" s="121">
        <v>8.127797539366313E+18</v>
      </c>
    </row>
    <row r="394" spans="3:12" ht="15" customHeight="1">
      <c r="C394" s="113" t="b">
        <v>0</v>
      </c>
      <c r="D394" s="114">
        <v>93</v>
      </c>
      <c r="E394" s="115">
        <v>43</v>
      </c>
      <c r="F394" s="115">
        <v>11</v>
      </c>
      <c r="G394" s="119">
        <v>16</v>
      </c>
      <c r="H394" s="119">
        <v>54</v>
      </c>
      <c r="I394" s="119">
        <v>6</v>
      </c>
      <c r="J394" s="119">
        <v>312</v>
      </c>
      <c r="K394" s="121">
        <v>0</v>
      </c>
      <c r="L394" s="121">
        <v>3.4560787784651336E+18</v>
      </c>
    </row>
    <row r="395" spans="3:12" ht="15" customHeight="1">
      <c r="C395" s="113" t="b">
        <v>0</v>
      </c>
      <c r="D395" s="114">
        <v>93</v>
      </c>
      <c r="E395" s="115">
        <v>68</v>
      </c>
      <c r="F395" s="115">
        <v>24</v>
      </c>
      <c r="G395" s="119">
        <v>18</v>
      </c>
      <c r="H395" s="119">
        <v>19</v>
      </c>
      <c r="I395" s="119">
        <v>6</v>
      </c>
      <c r="J395" s="119">
        <v>313</v>
      </c>
      <c r="K395" s="121">
        <v>0</v>
      </c>
      <c r="L395" s="121">
        <v>1.0969639093653666E+19</v>
      </c>
    </row>
    <row r="396" spans="3:12" ht="15" customHeight="1">
      <c r="C396" s="113" t="b">
        <v>0</v>
      </c>
      <c r="D396" s="114">
        <v>95</v>
      </c>
      <c r="E396" s="115">
        <v>36</v>
      </c>
      <c r="F396" s="115">
        <v>38</v>
      </c>
      <c r="G396" s="119">
        <v>19</v>
      </c>
      <c r="H396" s="119">
        <v>15</v>
      </c>
      <c r="I396" s="119">
        <v>6</v>
      </c>
      <c r="J396" s="119">
        <v>314</v>
      </c>
      <c r="K396" s="121">
        <v>0</v>
      </c>
      <c r="L396" s="121">
        <v>1.7260638371664519E+19</v>
      </c>
    </row>
    <row r="397" spans="3:12" ht="15" customHeight="1">
      <c r="C397" s="113" t="b">
        <v>0</v>
      </c>
      <c r="D397" s="114">
        <v>99</v>
      </c>
      <c r="E397" s="115">
        <v>86</v>
      </c>
      <c r="F397" s="115">
        <v>58</v>
      </c>
      <c r="G397" s="119">
        <v>42</v>
      </c>
      <c r="H397" s="119">
        <v>203</v>
      </c>
      <c r="I397" s="119">
        <v>6</v>
      </c>
      <c r="J397" s="119">
        <v>315</v>
      </c>
      <c r="K397" s="121">
        <v>0</v>
      </c>
      <c r="L397" s="121">
        <v>1.3105750955093617E+19</v>
      </c>
    </row>
    <row r="398" spans="3:12" ht="15" customHeight="1">
      <c r="C398" s="113" t="b">
        <v>0</v>
      </c>
      <c r="D398" s="114">
        <v>98</v>
      </c>
      <c r="E398" s="115">
        <v>66</v>
      </c>
      <c r="F398" s="115">
        <v>103</v>
      </c>
      <c r="G398" s="119">
        <v>57</v>
      </c>
      <c r="H398" s="119">
        <v>114</v>
      </c>
      <c r="I398" s="119">
        <v>6</v>
      </c>
      <c r="J398" s="119">
        <v>316</v>
      </c>
      <c r="K398" s="121">
        <v>0</v>
      </c>
      <c r="L398" s="121">
        <v>1.1071856721798957E+19</v>
      </c>
    </row>
    <row r="399" spans="3:12" ht="15" customHeight="1">
      <c r="C399" s="113" t="b">
        <v>0</v>
      </c>
      <c r="D399" s="114">
        <v>92</v>
      </c>
      <c r="E399" s="115">
        <v>80</v>
      </c>
      <c r="F399" s="115">
        <v>10</v>
      </c>
      <c r="G399" s="119">
        <v>26</v>
      </c>
      <c r="H399" s="119">
        <v>20</v>
      </c>
      <c r="I399" s="119">
        <v>6</v>
      </c>
      <c r="J399" s="119">
        <v>317</v>
      </c>
      <c r="K399" s="121">
        <v>0</v>
      </c>
      <c r="L399" s="121">
        <v>1.1410049117128815E+19</v>
      </c>
    </row>
    <row r="400" spans="3:12" ht="15" customHeight="1">
      <c r="C400" s="113" t="b">
        <v>0</v>
      </c>
      <c r="D400" s="114">
        <v>96</v>
      </c>
      <c r="E400" s="115">
        <v>74</v>
      </c>
      <c r="F400" s="115">
        <v>27</v>
      </c>
      <c r="G400" s="119">
        <v>25</v>
      </c>
      <c r="H400" s="119">
        <v>43</v>
      </c>
      <c r="I400" s="119">
        <v>6</v>
      </c>
      <c r="J400" s="119">
        <v>318</v>
      </c>
      <c r="K400" s="121">
        <v>0</v>
      </c>
      <c r="L400" s="121">
        <v>1.0153619847471772E+19</v>
      </c>
    </row>
    <row r="401" spans="3:12" ht="15" customHeight="1">
      <c r="C401" s="113" t="b">
        <v>0</v>
      </c>
      <c r="D401" s="114">
        <v>95</v>
      </c>
      <c r="E401" s="115">
        <v>93</v>
      </c>
      <c r="F401" s="115">
        <v>21</v>
      </c>
      <c r="G401" s="119">
        <v>27</v>
      </c>
      <c r="H401" s="119">
        <v>47</v>
      </c>
      <c r="I401" s="119">
        <v>6</v>
      </c>
      <c r="J401" s="119">
        <v>319</v>
      </c>
      <c r="K401" s="121">
        <v>0</v>
      </c>
      <c r="L401" s="121">
        <v>2.4405161690416471E+18</v>
      </c>
    </row>
    <row r="402" spans="3:12" ht="15" customHeight="1">
      <c r="C402" s="113" t="b">
        <v>0</v>
      </c>
      <c r="D402" s="114">
        <v>86</v>
      </c>
      <c r="E402" s="115">
        <v>109</v>
      </c>
      <c r="F402" s="115">
        <v>16</v>
      </c>
      <c r="G402" s="119">
        <v>22</v>
      </c>
      <c r="H402" s="119">
        <v>28</v>
      </c>
      <c r="I402" s="119">
        <v>6</v>
      </c>
      <c r="J402" s="119">
        <v>320</v>
      </c>
      <c r="K402" s="121">
        <v>0</v>
      </c>
      <c r="L402" s="121">
        <v>1.6956520547879498E+19</v>
      </c>
    </row>
    <row r="403" spans="3:12" ht="15" customHeight="1">
      <c r="C403" s="113" t="b">
        <v>0</v>
      </c>
      <c r="D403" s="114">
        <v>91</v>
      </c>
      <c r="E403" s="115">
        <v>46</v>
      </c>
      <c r="F403" s="115">
        <v>30</v>
      </c>
      <c r="G403" s="119">
        <v>24</v>
      </c>
      <c r="H403" s="119">
        <v>39</v>
      </c>
      <c r="I403" s="119">
        <v>7</v>
      </c>
      <c r="J403" s="119">
        <v>321</v>
      </c>
      <c r="K403" s="121">
        <v>0</v>
      </c>
      <c r="L403" s="121">
        <v>1.359548188118655E+19</v>
      </c>
    </row>
    <row r="404" spans="3:12" ht="15" customHeight="1">
      <c r="C404" s="113" t="b">
        <v>0</v>
      </c>
      <c r="D404" s="114">
        <v>102</v>
      </c>
      <c r="E404" s="115">
        <v>82</v>
      </c>
      <c r="F404" s="115">
        <v>34</v>
      </c>
      <c r="G404" s="119">
        <v>78</v>
      </c>
      <c r="H404" s="119">
        <v>203</v>
      </c>
      <c r="I404" s="119">
        <v>7</v>
      </c>
      <c r="J404" s="119">
        <v>322</v>
      </c>
      <c r="K404" s="121">
        <v>0</v>
      </c>
      <c r="L404" s="121">
        <v>4.6084195387448607E+18</v>
      </c>
    </row>
    <row r="405" spans="3:12" ht="15" customHeight="1">
      <c r="C405" s="113" t="b">
        <v>0</v>
      </c>
      <c r="D405" s="114">
        <v>85</v>
      </c>
      <c r="E405" s="115">
        <v>50</v>
      </c>
      <c r="F405" s="115">
        <v>12</v>
      </c>
      <c r="G405" s="119">
        <v>18</v>
      </c>
      <c r="H405" s="119">
        <v>14</v>
      </c>
      <c r="I405" s="119">
        <v>7</v>
      </c>
      <c r="J405" s="119">
        <v>323</v>
      </c>
      <c r="K405" s="121">
        <v>0</v>
      </c>
      <c r="L405" s="121">
        <v>1.1157169604105142E+19</v>
      </c>
    </row>
    <row r="406" spans="3:12" ht="15" customHeight="1">
      <c r="C406" s="113" t="b">
        <v>0</v>
      </c>
      <c r="D406" s="114">
        <v>91</v>
      </c>
      <c r="E406" s="115">
        <v>57</v>
      </c>
      <c r="F406" s="115">
        <v>33</v>
      </c>
      <c r="G406" s="119">
        <v>23</v>
      </c>
      <c r="H406" s="119">
        <v>12</v>
      </c>
      <c r="I406" s="119">
        <v>8</v>
      </c>
      <c r="J406" s="119">
        <v>324</v>
      </c>
      <c r="K406" s="121">
        <v>0</v>
      </c>
      <c r="L406" s="121">
        <v>5.4180495823438397E+18</v>
      </c>
    </row>
    <row r="407" spans="3:12" ht="15" customHeight="1">
      <c r="C407" s="113" t="b">
        <v>0</v>
      </c>
      <c r="D407" s="114">
        <v>91</v>
      </c>
      <c r="E407" s="115">
        <v>52</v>
      </c>
      <c r="F407" s="115">
        <v>76</v>
      </c>
      <c r="G407" s="119">
        <v>32</v>
      </c>
      <c r="H407" s="119">
        <v>24</v>
      </c>
      <c r="I407" s="119">
        <v>8</v>
      </c>
      <c r="J407" s="119">
        <v>325</v>
      </c>
      <c r="K407" s="121">
        <v>0</v>
      </c>
      <c r="L407" s="121">
        <v>9.126859325487831E+18</v>
      </c>
    </row>
    <row r="408" spans="3:12" ht="15" customHeight="1">
      <c r="C408" s="113" t="b">
        <v>0</v>
      </c>
      <c r="D408" s="114">
        <v>93</v>
      </c>
      <c r="E408" s="115">
        <v>70</v>
      </c>
      <c r="F408" s="115">
        <v>46</v>
      </c>
      <c r="G408" s="119">
        <v>30</v>
      </c>
      <c r="H408" s="119">
        <v>33</v>
      </c>
      <c r="I408" s="119">
        <v>8</v>
      </c>
      <c r="J408" s="119">
        <v>326</v>
      </c>
      <c r="K408" s="121">
        <v>0</v>
      </c>
      <c r="L408" s="121">
        <v>1.7863949997343285E+19</v>
      </c>
    </row>
    <row r="409" spans="3:12" ht="15" customHeight="1">
      <c r="C409" s="113" t="b">
        <v>0</v>
      </c>
      <c r="D409" s="114">
        <v>87</v>
      </c>
      <c r="E409" s="115">
        <v>55</v>
      </c>
      <c r="F409" s="115">
        <v>36</v>
      </c>
      <c r="G409" s="119">
        <v>19</v>
      </c>
      <c r="H409" s="119">
        <v>25</v>
      </c>
      <c r="I409" s="119">
        <v>8</v>
      </c>
      <c r="J409" s="119">
        <v>327</v>
      </c>
      <c r="K409" s="121">
        <v>0</v>
      </c>
      <c r="L409" s="121">
        <v>6.63102719711373E+18</v>
      </c>
    </row>
    <row r="410" spans="3:12" ht="15" customHeight="1">
      <c r="C410" s="113" t="b">
        <v>0</v>
      </c>
      <c r="D410" s="114">
        <v>98</v>
      </c>
      <c r="E410" s="115">
        <v>123</v>
      </c>
      <c r="F410" s="115">
        <v>28</v>
      </c>
      <c r="G410" s="119">
        <v>24</v>
      </c>
      <c r="H410" s="119">
        <v>31</v>
      </c>
      <c r="I410" s="119">
        <v>8</v>
      </c>
      <c r="J410" s="119">
        <v>328</v>
      </c>
      <c r="K410" s="121">
        <v>0</v>
      </c>
      <c r="L410" s="121">
        <v>9.16262277346317E+18</v>
      </c>
    </row>
    <row r="411" spans="3:12" ht="15" customHeight="1">
      <c r="C411" s="113" t="b">
        <v>0</v>
      </c>
      <c r="D411" s="114">
        <v>82</v>
      </c>
      <c r="E411" s="115">
        <v>55</v>
      </c>
      <c r="F411" s="115">
        <v>18</v>
      </c>
      <c r="G411" s="119">
        <v>23</v>
      </c>
      <c r="H411" s="119">
        <v>44</v>
      </c>
      <c r="I411" s="119">
        <v>8</v>
      </c>
      <c r="J411" s="119">
        <v>329</v>
      </c>
      <c r="K411" s="121">
        <v>0</v>
      </c>
      <c r="L411" s="121">
        <v>1.7160027952773171E+19</v>
      </c>
    </row>
    <row r="412" spans="3:12" ht="15" customHeight="1">
      <c r="C412" s="113" t="b">
        <v>0</v>
      </c>
      <c r="D412" s="114">
        <v>95</v>
      </c>
      <c r="E412" s="115">
        <v>73</v>
      </c>
      <c r="F412" s="115">
        <v>20</v>
      </c>
      <c r="G412" s="119">
        <v>25</v>
      </c>
      <c r="H412" s="119">
        <v>225</v>
      </c>
      <c r="I412" s="119">
        <v>8</v>
      </c>
      <c r="J412" s="119">
        <v>330</v>
      </c>
      <c r="K412" s="121">
        <v>0</v>
      </c>
      <c r="L412" s="121">
        <v>1.1170743649341417E+19</v>
      </c>
    </row>
    <row r="413" spans="3:12" ht="15" customHeight="1">
      <c r="C413" s="113" t="b">
        <v>0</v>
      </c>
      <c r="D413" s="114">
        <v>97</v>
      </c>
      <c r="E413" s="115">
        <v>80</v>
      </c>
      <c r="F413" s="115">
        <v>17</v>
      </c>
      <c r="G413" s="119">
        <v>20</v>
      </c>
      <c r="H413" s="119">
        <v>53</v>
      </c>
      <c r="I413" s="119">
        <v>8</v>
      </c>
      <c r="J413" s="119">
        <v>331</v>
      </c>
      <c r="K413" s="121">
        <v>0</v>
      </c>
      <c r="L413" s="121">
        <v>1.5720378818449854E+19</v>
      </c>
    </row>
    <row r="414" spans="3:12" ht="15" customHeight="1">
      <c r="C414" s="113" t="b">
        <v>0</v>
      </c>
      <c r="D414" s="114">
        <v>100</v>
      </c>
      <c r="E414" s="115">
        <v>83</v>
      </c>
      <c r="F414" s="115">
        <v>25</v>
      </c>
      <c r="G414" s="119">
        <v>24</v>
      </c>
      <c r="H414" s="119">
        <v>28</v>
      </c>
      <c r="I414" s="119">
        <v>8</v>
      </c>
      <c r="J414" s="119">
        <v>332</v>
      </c>
      <c r="K414" s="121">
        <v>0</v>
      </c>
      <c r="L414" s="121">
        <v>7.3991963256837345E+18</v>
      </c>
    </row>
    <row r="415" spans="3:12" ht="15" customHeight="1">
      <c r="C415" s="113" t="b">
        <v>0</v>
      </c>
      <c r="D415" s="114">
        <v>88</v>
      </c>
      <c r="E415" s="115">
        <v>91</v>
      </c>
      <c r="F415" s="115">
        <v>56</v>
      </c>
      <c r="G415" s="119">
        <v>35</v>
      </c>
      <c r="H415" s="119">
        <v>126</v>
      </c>
      <c r="I415" s="119">
        <v>9</v>
      </c>
      <c r="J415" s="119">
        <v>333</v>
      </c>
      <c r="K415" s="121">
        <v>0</v>
      </c>
      <c r="L415" s="121">
        <v>1.3309673593190621E+19</v>
      </c>
    </row>
    <row r="416" spans="3:12" ht="15" customHeight="1">
      <c r="C416" s="113" t="b">
        <v>0</v>
      </c>
      <c r="D416" s="114">
        <v>91</v>
      </c>
      <c r="E416" s="115">
        <v>138</v>
      </c>
      <c r="F416" s="115">
        <v>45</v>
      </c>
      <c r="G416" s="119">
        <v>21</v>
      </c>
      <c r="H416" s="119">
        <v>48</v>
      </c>
      <c r="I416" s="119">
        <v>10</v>
      </c>
      <c r="J416" s="119">
        <v>334</v>
      </c>
      <c r="K416" s="121">
        <v>0</v>
      </c>
      <c r="L416" s="121">
        <v>1.1319437413755681E+19</v>
      </c>
    </row>
    <row r="417" spans="3:12" ht="15" customHeight="1">
      <c r="C417" s="113" t="b">
        <v>0</v>
      </c>
      <c r="D417" s="114">
        <v>92</v>
      </c>
      <c r="E417" s="115">
        <v>41</v>
      </c>
      <c r="F417" s="115">
        <v>37</v>
      </c>
      <c r="G417" s="119">
        <v>22</v>
      </c>
      <c r="H417" s="119">
        <v>37</v>
      </c>
      <c r="I417" s="119">
        <v>10</v>
      </c>
      <c r="J417" s="119">
        <v>335</v>
      </c>
      <c r="K417" s="121">
        <v>0</v>
      </c>
      <c r="L417" s="121">
        <v>1.0196917688813318E+19</v>
      </c>
    </row>
    <row r="418" spans="3:12" ht="15" customHeight="1">
      <c r="C418" s="113" t="b">
        <v>0</v>
      </c>
      <c r="D418" s="114">
        <v>86</v>
      </c>
      <c r="E418" s="115">
        <v>123</v>
      </c>
      <c r="F418" s="115">
        <v>20</v>
      </c>
      <c r="G418" s="119">
        <v>25</v>
      </c>
      <c r="H418" s="119">
        <v>23</v>
      </c>
      <c r="I418" s="119">
        <v>10</v>
      </c>
      <c r="J418" s="119">
        <v>336</v>
      </c>
      <c r="K418" s="121">
        <v>0</v>
      </c>
      <c r="L418" s="121">
        <v>1.2311436432074994E+19</v>
      </c>
    </row>
    <row r="419" spans="3:12" ht="15" customHeight="1">
      <c r="C419" s="113" t="b">
        <v>0</v>
      </c>
      <c r="D419" s="114">
        <v>91</v>
      </c>
      <c r="E419" s="115">
        <v>93</v>
      </c>
      <c r="F419" s="115">
        <v>35</v>
      </c>
      <c r="G419" s="119">
        <v>34</v>
      </c>
      <c r="H419" s="119">
        <v>37</v>
      </c>
      <c r="I419" s="119">
        <v>10</v>
      </c>
      <c r="J419" s="119">
        <v>337</v>
      </c>
      <c r="K419" s="121">
        <v>0</v>
      </c>
      <c r="L419" s="121">
        <v>8.8245980995441019E+18</v>
      </c>
    </row>
    <row r="420" spans="3:12" ht="15" customHeight="1">
      <c r="C420" s="113" t="b">
        <v>0</v>
      </c>
      <c r="D420" s="114">
        <v>87</v>
      </c>
      <c r="E420" s="115">
        <v>87</v>
      </c>
      <c r="F420" s="115">
        <v>15</v>
      </c>
      <c r="G420" s="119">
        <v>23</v>
      </c>
      <c r="H420" s="119">
        <v>11</v>
      </c>
      <c r="I420" s="119">
        <v>10</v>
      </c>
      <c r="J420" s="119">
        <v>338</v>
      </c>
      <c r="K420" s="121">
        <v>0</v>
      </c>
      <c r="L420" s="121">
        <v>6.088274205123255E+17</v>
      </c>
    </row>
    <row r="421" spans="3:12" ht="15" customHeight="1">
      <c r="C421" s="113" t="b">
        <v>0</v>
      </c>
      <c r="D421" s="114">
        <v>87</v>
      </c>
      <c r="E421" s="115">
        <v>56</v>
      </c>
      <c r="F421" s="115">
        <v>52</v>
      </c>
      <c r="G421" s="119">
        <v>43</v>
      </c>
      <c r="H421" s="119">
        <v>55</v>
      </c>
      <c r="I421" s="119">
        <v>10</v>
      </c>
      <c r="J421" s="119">
        <v>339</v>
      </c>
      <c r="K421" s="121">
        <v>0</v>
      </c>
      <c r="L421" s="121">
        <v>1.3351454864837593E+19</v>
      </c>
    </row>
    <row r="422" spans="3:12" ht="15" customHeight="1">
      <c r="C422" s="113" t="b">
        <v>0</v>
      </c>
      <c r="D422" s="114">
        <v>99</v>
      </c>
      <c r="E422" s="115">
        <v>75</v>
      </c>
      <c r="F422" s="115">
        <v>26</v>
      </c>
      <c r="G422" s="119">
        <v>24</v>
      </c>
      <c r="H422" s="119">
        <v>41</v>
      </c>
      <c r="I422" s="119">
        <v>12</v>
      </c>
      <c r="J422" s="119">
        <v>340</v>
      </c>
      <c r="K422" s="121">
        <v>0</v>
      </c>
      <c r="L422" s="121">
        <v>1.8006757215190032E+19</v>
      </c>
    </row>
    <row r="423" spans="3:12" ht="15" customHeight="1">
      <c r="C423" s="113" t="b">
        <v>0</v>
      </c>
      <c r="D423" s="114">
        <v>96</v>
      </c>
      <c r="E423" s="115">
        <v>69</v>
      </c>
      <c r="F423" s="115">
        <v>53</v>
      </c>
      <c r="G423" s="119">
        <v>43</v>
      </c>
      <c r="H423" s="119">
        <v>203</v>
      </c>
      <c r="I423" s="119">
        <v>12</v>
      </c>
      <c r="J423" s="119">
        <v>341</v>
      </c>
      <c r="K423" s="121">
        <v>0</v>
      </c>
      <c r="L423" s="121">
        <v>6.5167946617376942E+18</v>
      </c>
    </row>
    <row r="424" spans="3:12" ht="15" customHeight="1">
      <c r="C424" s="113" t="b">
        <v>0</v>
      </c>
      <c r="D424" s="114">
        <v>98</v>
      </c>
      <c r="E424" s="115">
        <v>77</v>
      </c>
      <c r="F424" s="115">
        <v>55</v>
      </c>
      <c r="G424" s="119">
        <v>35</v>
      </c>
      <c r="H424" s="119">
        <v>89</v>
      </c>
      <c r="I424" s="119">
        <v>15</v>
      </c>
      <c r="J424" s="119">
        <v>342</v>
      </c>
      <c r="K424" s="121">
        <v>0</v>
      </c>
      <c r="L424" s="121">
        <v>6.1145571230409441E+18</v>
      </c>
    </row>
    <row r="425" spans="3:12" ht="15" customHeight="1">
      <c r="C425" s="113" t="b">
        <v>0</v>
      </c>
      <c r="D425" s="114">
        <v>91</v>
      </c>
      <c r="E425" s="115">
        <v>68</v>
      </c>
      <c r="F425" s="115">
        <v>27</v>
      </c>
      <c r="G425" s="119">
        <v>26</v>
      </c>
      <c r="H425" s="119">
        <v>14</v>
      </c>
      <c r="I425" s="119">
        <v>16</v>
      </c>
      <c r="J425" s="119">
        <v>343</v>
      </c>
      <c r="K425" s="121">
        <v>0</v>
      </c>
      <c r="L425" s="121">
        <v>1.2513721340357093E+19</v>
      </c>
    </row>
    <row r="426" spans="3:12" ht="15" customHeight="1">
      <c r="C426" s="116" t="b">
        <v>0</v>
      </c>
      <c r="D426" s="117">
        <v>98</v>
      </c>
      <c r="E426" s="118">
        <v>99</v>
      </c>
      <c r="F426" s="118">
        <v>57</v>
      </c>
      <c r="G426" s="119">
        <v>45</v>
      </c>
      <c r="H426" s="119">
        <v>65</v>
      </c>
      <c r="I426" s="119">
        <v>20</v>
      </c>
      <c r="J426" s="119">
        <v>344</v>
      </c>
      <c r="K426" s="121">
        <v>0</v>
      </c>
      <c r="L426" s="121">
        <v>1.4520545216497372E+18</v>
      </c>
    </row>
  </sheetData>
  <phoneticPr fontId="24" type="noConversion"/>
  <conditionalFormatting sqref="D25:F32 D38:F42 D48:F56">
    <cfRule type="cellIs" dxfId="22" priority="26" operator="equal">
      <formula>0</formula>
    </cfRule>
  </conditionalFormatting>
  <conditionalFormatting sqref="C82:C426">
    <cfRule type="cellIs" dxfId="21" priority="25" operator="notEqual">
      <formula>FALSE</formula>
    </cfRule>
  </conditionalFormatting>
  <conditionalFormatting sqref="D19:J19">
    <cfRule type="cellIs" dxfId="20" priority="19" operator="notEqual">
      <formula>"Note"</formula>
    </cfRule>
  </conditionalFormatting>
  <conditionalFormatting sqref="D26:F28">
    <cfRule type="colorScale" priority="21">
      <colorScale>
        <cfvo type="num" val="0"/>
        <cfvo type="num" val="0.2"/>
        <color rgb="FF000000"/>
        <color rgb="FF7A0000"/>
      </colorScale>
    </cfRule>
  </conditionalFormatting>
  <conditionalFormatting sqref="C81 C60:C67">
    <cfRule type="duplicateValues" dxfId="19" priority="20"/>
  </conditionalFormatting>
  <conditionalFormatting sqref="D17:J17">
    <cfRule type="cellIs" dxfId="18" priority="18" operator="notEqual">
      <formula>"Definition"</formula>
    </cfRule>
  </conditionalFormatting>
  <conditionalFormatting sqref="D60:F67">
    <cfRule type="cellIs" dxfId="17" priority="23" operator="notEqual">
      <formula>FALSE</formula>
    </cfRule>
  </conditionalFormatting>
  <conditionalFormatting sqref="D14:D15">
    <cfRule type="colorScale" priority="8">
      <colorScale>
        <cfvo type="num" val="0"/>
        <cfvo type="num" val="0.2"/>
        <color theme="1" tint="-0.499984740745262"/>
        <color rgb="FF7A0000"/>
      </colorScale>
    </cfRule>
  </conditionalFormatting>
  <conditionalFormatting sqref="D9">
    <cfRule type="cellIs" dxfId="16" priority="4" operator="notEqual">
      <formula>"Dataset Description"</formula>
    </cfRule>
  </conditionalFormatting>
  <conditionalFormatting sqref="G25:J32 G38:J42 G48:J56">
    <cfRule type="cellIs" dxfId="15" priority="3" operator="equal">
      <formula>0</formula>
    </cfRule>
  </conditionalFormatting>
  <conditionalFormatting sqref="G26:J28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G60:J67">
    <cfRule type="cellIs" dxfId="14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45</vt:i4>
      </vt:variant>
    </vt:vector>
  </HeadingPairs>
  <TitlesOfParts>
    <vt:vector size="48" baseType="lpstr">
      <vt:lpstr>SinglePlot</vt:lpstr>
      <vt:lpstr>Overview</vt:lpstr>
      <vt:lpstr>Liver Disorders</vt:lpstr>
      <vt:lpstr>Back</vt:lpstr>
      <vt:lpstr>'Liver Disorders'!Compiled_Lists</vt:lpstr>
      <vt:lpstr>'Liver Disorders'!Composition</vt:lpstr>
      <vt:lpstr>'Liver Disorders'!CompositionTable</vt:lpstr>
      <vt:lpstr>'Liver Disorders'!DarkHeader</vt:lpstr>
      <vt:lpstr>'Liver Disorders'!Data_Description</vt:lpstr>
      <vt:lpstr>Dataframes</vt:lpstr>
      <vt:lpstr>Overview!Debug</vt:lpstr>
      <vt:lpstr>Overview!DebugToggle</vt:lpstr>
      <vt:lpstr>'Liver Disorders'!Definitions</vt:lpstr>
      <vt:lpstr>'Liver Disorders'!Description</vt:lpstr>
      <vt:lpstr>'Liver Disorders'!Dimensions</vt:lpstr>
      <vt:lpstr>'Liver Disorders'!Field_Analysis</vt:lpstr>
      <vt:lpstr>'Liver Disorders'!Field_Lists</vt:lpstr>
      <vt:lpstr>Field_Overview</vt:lpstr>
      <vt:lpstr>'Liver Disorders'!FieldList1</vt:lpstr>
      <vt:lpstr>'Liver Disorders'!FieldList2</vt:lpstr>
      <vt:lpstr>'Liver Disorders'!FieldList3</vt:lpstr>
      <vt:lpstr>'Liver Disorders'!FieldList4</vt:lpstr>
      <vt:lpstr>'Liver Disorders'!FieldList5</vt:lpstr>
      <vt:lpstr>'Liver Disorders'!FieldList6</vt:lpstr>
      <vt:lpstr>'Liver Disorders'!FieldList7</vt:lpstr>
      <vt:lpstr>'Liver Disorders'!FieldList8</vt:lpstr>
      <vt:lpstr>'Liver Disorders'!FieldLists</vt:lpstr>
      <vt:lpstr>'Liver Disorders'!FieldRange</vt:lpstr>
      <vt:lpstr>Fields</vt:lpstr>
      <vt:lpstr>'Liver Disorders'!FormatRange</vt:lpstr>
      <vt:lpstr>'Liver Disorders'!Headers</vt:lpstr>
      <vt:lpstr>'Liver Disorders'!Headers_Start</vt:lpstr>
      <vt:lpstr>'Liver Disorders'!Histogram</vt:lpstr>
      <vt:lpstr>'Liver Disorders'!LightHeader</vt:lpstr>
      <vt:lpstr>'Liver Disorders'!Name</vt:lpstr>
      <vt:lpstr>Overview!Name</vt:lpstr>
      <vt:lpstr>SinglePlot!Name</vt:lpstr>
      <vt:lpstr>'Liver Disorders'!Notes</vt:lpstr>
      <vt:lpstr>'Liver Disorders'!Percentiles</vt:lpstr>
      <vt:lpstr>'Liver Disorders'!SerializedLists</vt:lpstr>
      <vt:lpstr>SinglePlot!SinglePlot</vt:lpstr>
      <vt:lpstr>'Liver Disorders'!Summary_Stats</vt:lpstr>
      <vt:lpstr>'Liver Disorders'!Theme</vt:lpstr>
      <vt:lpstr>Overview!Theme</vt:lpstr>
      <vt:lpstr>SinglePlot!Theme</vt:lpstr>
      <vt:lpstr>'Liver Disorders'!Toggles</vt:lpstr>
      <vt:lpstr>'Liver Disorders'!TopToggle</vt:lpstr>
      <vt:lpstr>'Liver Disorders'!Warning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cp:lastPrinted>2026-06-16T23:27:06Z</cp:lastPrinted>
  <dcterms:created xsi:type="dcterms:W3CDTF">2025-12-28T23:38:43Z</dcterms:created>
  <dcterms:modified xsi:type="dcterms:W3CDTF">2026-06-24T06:38:24Z</dcterms:modified>
</cp:coreProperties>
</file>