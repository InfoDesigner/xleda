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7737EBA-1A9B-43E7-89B6-1E79680A8F1A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Analysis'!$E$15:$N$15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Analysis'!$E$58:$N$58</definedName>
    <definedName name="FieldList1" localSheetId="5">#REF!</definedName>
    <definedName name="FieldList1" localSheetId="4">#REF!</definedName>
    <definedName name="FieldList2" localSheetId="0">'Field Analysis'!$E$59:$N$59</definedName>
    <definedName name="FieldList2" localSheetId="5">#REF!</definedName>
    <definedName name="FieldList2" localSheetId="4">#REF!</definedName>
    <definedName name="FieldList3" localSheetId="0">'Field Analysis'!$E$60:$N$60</definedName>
    <definedName name="FieldList3" localSheetId="5">#REF!</definedName>
    <definedName name="FieldList3" localSheetId="4">#REF!</definedName>
    <definedName name="FieldList4" localSheetId="0">'Field Analysis'!$E$61:$N$61</definedName>
    <definedName name="FieldList4" localSheetId="5">#REF!</definedName>
    <definedName name="FieldList4" localSheetId="4">#REF!</definedName>
    <definedName name="FieldList5" localSheetId="0">'Field Analysis'!$E$62:$N$62</definedName>
    <definedName name="FieldList5" localSheetId="5">#REF!</definedName>
    <definedName name="FieldList5" localSheetId="4">#REF!</definedName>
    <definedName name="FieldList6" localSheetId="0">'Field Analysis'!$E$63:$N$63</definedName>
    <definedName name="FieldList6" localSheetId="5">#REF!</definedName>
    <definedName name="FieldList6" localSheetId="4">#REF!</definedName>
    <definedName name="FieldList7" localSheetId="0">'Field Analysis'!$E$64:$N$64</definedName>
    <definedName name="FieldList7" localSheetId="5">#REF!</definedName>
    <definedName name="FieldList7" localSheetId="4">#REF!</definedName>
    <definedName name="FieldList8" localSheetId="0">'Field Analysis'!$E$65:$N$65</definedName>
    <definedName name="FieldList8" localSheetId="5">#REF!</definedName>
    <definedName name="FieldList8" localSheetId="4">#REF!</definedName>
    <definedName name="FieldLists" localSheetId="0">'Field Analysis'!$D$58:$N$65</definedName>
    <definedName name="FieldRange" localSheetId="0">'Field Analysis'!$E$79:$N$79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Analysis'!$E$19:$N$19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Analysis'!$E$17:$N$17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Analysis'!$C$19:$N$19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<sst xmlns="http://schemas.openxmlformats.org/spreadsheetml/2006/main" count="376" uniqueCount="145">
  <si>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</si>
  <si>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</si>
  <si>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</si>
  <si>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</si>
  <si>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</si>
  <si>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</si>
  <si>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</si>
  <si>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</si>
  <si>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</si>
  <si>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</si>
  <si>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</si>
  <si>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</si>
  <si>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</si>
  <si>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</si>
  <si>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</si>
  <si>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</si>
  <si>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</si>
  <si>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</si>
  <si>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</si>
  <si>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</si>
  <si>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</si>
  <si>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</si>
  <si>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</si>
  <si>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</si>
  <si>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</si>
  <si>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</si>
  <si>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</si>
  <si>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</si>
  <si>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</si>
  <si>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</si>
  <si>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</si>
  <si>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</si>
  <si>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</si>
  <si>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</si>
  <si>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</si>
  <si>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</si>
  <si>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</si>
  <si>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</si>
  <si>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</si>
  <si>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</si>
  <si>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</si>
  <si>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</si>
  <si>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</si>
  <si>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</si>
  <si>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</si>
  <si>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</si>
  <si>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</si>
  <si>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</si>
  <si>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</si>
  <si>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</si>
  <si>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</si>
  <si>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</si>
  <si>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</si>
  <si>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</si>
  <si>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</si>
  <si>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</si>
  <si>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</si>
  <si>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</si>
  <si>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</si>
  <si>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</si>
  <si>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</si>
  <si>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</si>
  <si>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</si>
  <si>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</si>
  <si>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</si>
  <si>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</si>
  <si>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</si>
  <si>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</si>
  <si>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</si>
  <si>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</si>
  <si>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</si>
  <si>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</si>
  <si>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</si>
  <si>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</si>
  <si>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</si>
  <si>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</si>
  <si>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</si>
  <si>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</si>
  <si>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</si>
  <si>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</si>
  <si>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</si>
  <si>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</si>
  <si>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</si>
  <si>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Glass Identification</t>
  </si>
  <si>
    <t>RI</t>
  </si>
  <si>
    <t>Na</t>
  </si>
  <si>
    <t>Mg</t>
  </si>
  <si>
    <t>Al</t>
  </si>
  <si>
    <t>Si</t>
  </si>
  <si>
    <t>K</t>
  </si>
  <si>
    <t>Ca</t>
  </si>
  <si>
    <t>Ba</t>
  </si>
  <si>
    <t>Fe</t>
  </si>
  <si>
    <t>Type_of_glass</t>
  </si>
  <si>
    <t>index</t>
  </si>
  <si>
    <t>Record Hash</t>
  </si>
  <si>
    <t>17,252 bytes</t>
  </si>
  <si>
    <t>float64</t>
  </si>
  <si>
    <t>int64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</si>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</sst>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F9EE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4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DF9EE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47"/>
      <tableStyleElement type="headerRow" dxfId="346"/>
      <tableStyleElement type="totalRow" dxfId="345"/>
    </tableStyle>
    <tableStyle name="DarkTable" pivot="0" count="2" xr9:uid="{97C242D2-6F6D-4549-9428-17456D609B35}">
      <tableStyleElement type="wholeTable" dxfId="344"/>
      <tableStyleElement type="headerRow" dxfId="34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I">
          <a:extLst>
            <a:ext uri="{FF2B5EF4-FFF2-40B4-BE49-F238E27FC236}">
              <a16:creationId xmlns:a16="http://schemas.microsoft.com/office/drawing/2014/main" id="{8CCB631C-E3B9-FF44-CD73-7DFFC1B84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I">
          <a:extLst>
            <a:ext uri="{FF2B5EF4-FFF2-40B4-BE49-F238E27FC236}">
              <a16:creationId xmlns:a16="http://schemas.microsoft.com/office/drawing/2014/main" id="{4AA4DFF3-30B5-41CE-C34D-155988CEA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Na">
          <a:extLst>
            <a:ext uri="{FF2B5EF4-FFF2-40B4-BE49-F238E27FC236}">
              <a16:creationId xmlns:a16="http://schemas.microsoft.com/office/drawing/2014/main" id="{789A608E-EBEB-6912-76A1-7EE41D75F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Na">
          <a:extLst>
            <a:ext uri="{FF2B5EF4-FFF2-40B4-BE49-F238E27FC236}">
              <a16:creationId xmlns:a16="http://schemas.microsoft.com/office/drawing/2014/main" id="{B9394F86-5481-4FBC-FD51-9E53DF43D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Mg">
          <a:extLst>
            <a:ext uri="{FF2B5EF4-FFF2-40B4-BE49-F238E27FC236}">
              <a16:creationId xmlns:a16="http://schemas.microsoft.com/office/drawing/2014/main" id="{157C4C0A-3A54-884D-761D-93D50AA7A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Mg">
          <a:extLst>
            <a:ext uri="{FF2B5EF4-FFF2-40B4-BE49-F238E27FC236}">
              <a16:creationId xmlns:a16="http://schemas.microsoft.com/office/drawing/2014/main" id="{1160073F-76BA-526C-A8F7-9BE4F0895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l">
          <a:extLst>
            <a:ext uri="{FF2B5EF4-FFF2-40B4-BE49-F238E27FC236}">
              <a16:creationId xmlns:a16="http://schemas.microsoft.com/office/drawing/2014/main" id="{F176D6D5-CDFD-E030-9345-4F1D885EE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l">
          <a:extLst>
            <a:ext uri="{FF2B5EF4-FFF2-40B4-BE49-F238E27FC236}">
              <a16:creationId xmlns:a16="http://schemas.microsoft.com/office/drawing/2014/main" id="{5B20EC74-0EF4-B5E4-44BB-A4EAA43B0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i">
          <a:extLst>
            <a:ext uri="{FF2B5EF4-FFF2-40B4-BE49-F238E27FC236}">
              <a16:creationId xmlns:a16="http://schemas.microsoft.com/office/drawing/2014/main" id="{2D1732F7-7391-86A9-F00F-728509DB9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i">
          <a:extLst>
            <a:ext uri="{FF2B5EF4-FFF2-40B4-BE49-F238E27FC236}">
              <a16:creationId xmlns:a16="http://schemas.microsoft.com/office/drawing/2014/main" id="{24CBD231-6609-75C2-E15F-D1F6E728A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K">
          <a:extLst>
            <a:ext uri="{FF2B5EF4-FFF2-40B4-BE49-F238E27FC236}">
              <a16:creationId xmlns:a16="http://schemas.microsoft.com/office/drawing/2014/main" id="{4F0FC5D3-4B62-D988-D9DD-E5F546D67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K">
          <a:extLst>
            <a:ext uri="{FF2B5EF4-FFF2-40B4-BE49-F238E27FC236}">
              <a16:creationId xmlns:a16="http://schemas.microsoft.com/office/drawing/2014/main" id="{5D7D5D37-EF21-08EF-1462-4E77D022F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a">
          <a:extLst>
            <a:ext uri="{FF2B5EF4-FFF2-40B4-BE49-F238E27FC236}">
              <a16:creationId xmlns:a16="http://schemas.microsoft.com/office/drawing/2014/main" id="{9CD6F6EC-E1F1-7A4F-8DA8-82D7B5247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a">
          <a:extLst>
            <a:ext uri="{FF2B5EF4-FFF2-40B4-BE49-F238E27FC236}">
              <a16:creationId xmlns:a16="http://schemas.microsoft.com/office/drawing/2014/main" id="{1F046A5A-8C34-57C5-9424-095565706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Ba">
          <a:extLst>
            <a:ext uri="{FF2B5EF4-FFF2-40B4-BE49-F238E27FC236}">
              <a16:creationId xmlns:a16="http://schemas.microsoft.com/office/drawing/2014/main" id="{A02032F5-DDD8-CDFE-0A16-90A12A0A6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Ba">
          <a:extLst>
            <a:ext uri="{FF2B5EF4-FFF2-40B4-BE49-F238E27FC236}">
              <a16:creationId xmlns:a16="http://schemas.microsoft.com/office/drawing/2014/main" id="{EBA23340-0FE2-C5C0-1F0A-25E8A37C4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Fe">
          <a:extLst>
            <a:ext uri="{FF2B5EF4-FFF2-40B4-BE49-F238E27FC236}">
              <a16:creationId xmlns:a16="http://schemas.microsoft.com/office/drawing/2014/main" id="{C85359F9-2476-7974-464E-81AFAAE44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Fe">
          <a:extLst>
            <a:ext uri="{FF2B5EF4-FFF2-40B4-BE49-F238E27FC236}">
              <a16:creationId xmlns:a16="http://schemas.microsoft.com/office/drawing/2014/main" id="{B2D8F21F-EEE2-278C-454A-07FBD8911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Type_of_glass">
          <a:extLst>
            <a:ext uri="{FF2B5EF4-FFF2-40B4-BE49-F238E27FC236}">
              <a16:creationId xmlns:a16="http://schemas.microsoft.com/office/drawing/2014/main" id="{5E5EDEC6-E28B-9F86-149A-A5791761F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Type_of_glass">
          <a:extLst>
            <a:ext uri="{FF2B5EF4-FFF2-40B4-BE49-F238E27FC236}">
              <a16:creationId xmlns:a16="http://schemas.microsoft.com/office/drawing/2014/main" id="{0F2D7093-6238-3790-BEC0-1128E783E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8084143518" createdVersion="8" refreshedVersion="8" minRefreshableVersion="3" recordCount="214" xr:uid="{00DEDBB6-1F4A-4C10-B2D2-FF41FE7983D3}">
  <cacheSource type="worksheet">
    <worksheetSource name="tbl_SourceData"/>
  </cacheSource>
  <cacheFields count="14">
    <cacheField name="Record List" numFmtId="0">
      <sharedItems/>
    </cacheField>
    <cacheField name="RI" numFmtId="0">
      <sharedItems containsSemiMixedTypes="0" containsString="0" containsNumber="1" minValue="1.51115" maxValue="1.53393" count="178">
        <n v="1.52101"/>
        <n v="1.5176099999999999"/>
        <n v="1.5161800000000001"/>
        <n v="1.51766"/>
        <n v="1.51742"/>
        <n v="1.51596"/>
        <n v="1.5174300000000001"/>
        <n v="1.51756"/>
        <n v="1.51918"/>
        <n v="1.51755"/>
        <n v="1.5157099999999999"/>
        <n v="1.51763"/>
        <n v="1.51589"/>
        <n v="1.5174799999999999"/>
        <n v="1.5178400000000001"/>
        <n v="1.52196"/>
        <n v="1.51911"/>
        <n v="1.51735"/>
        <n v="1.5175000000000001"/>
        <n v="1.51966"/>
        <n v="1.51736"/>
        <n v="1.5175099999999999"/>
        <n v="1.5172000000000001"/>
        <n v="1.5176400000000001"/>
        <n v="1.51793"/>
        <n v="1.5172099999999999"/>
        <n v="1.5176799999999999"/>
        <n v="1.5174700000000001"/>
        <n v="1.5177499999999999"/>
        <n v="1.51753"/>
        <n v="1.51783"/>
        <n v="1.5156700000000001"/>
        <n v="1.5190900000000001"/>
        <n v="1.51797"/>
        <n v="1.52213"/>
        <n v="1.51779"/>
        <n v="1.5221"/>
        <n v="1.51786"/>
        <n v="1.5189999999999999"/>
        <n v="1.5186900000000001"/>
        <n v="1.52667"/>
        <n v="1.52223"/>
        <n v="1.51898"/>
        <n v="1.5232000000000001"/>
        <n v="1.5192600000000001"/>
        <n v="1.5180800000000001"/>
        <n v="1.51837"/>
        <n v="1.5177799999999999"/>
        <n v="1.51769"/>
        <n v="1.5121500000000001"/>
        <n v="1.51824"/>
        <n v="1.5175399999999999"/>
        <n v="1.51905"/>
        <n v="1.5197700000000001"/>
        <n v="1.52172"/>
        <n v="1.52227"/>
        <n v="1.5209900000000001"/>
        <n v="1.52152"/>
        <n v="1.5229999999999999"/>
        <n v="1.5157400000000001"/>
        <n v="1.5184800000000001"/>
        <n v="1.51593"/>
        <n v="1.51631"/>
        <n v="1.5159"/>
        <n v="1.5164500000000001"/>
        <n v="1.51627"/>
        <n v="1.51613"/>
        <n v="1.5159199999999999"/>
        <n v="1.5164599999999999"/>
        <n v="1.5159400000000001"/>
        <n v="1.5140899999999999"/>
        <n v="1.5162500000000001"/>
        <n v="1.51569"/>
        <n v="1.5164"/>
        <n v="1.51841"/>
        <n v="1.5160499999999999"/>
        <n v="1.5158799999999999"/>
        <n v="1.5162899999999999"/>
        <n v="1.5185999999999999"/>
        <n v="1.5168900000000001"/>
        <n v="1.5181100000000001"/>
        <n v="1.5165500000000001"/>
        <n v="1.5173000000000001"/>
        <n v="1.5182"/>
        <n v="1.52725"/>
        <n v="1.5241"/>
        <n v="1.52475"/>
        <n v="1.53125"/>
        <n v="1.53393"/>
        <n v="1.5222199999999999"/>
        <n v="1.5181800000000001"/>
        <n v="1.52664"/>
        <n v="1.52739"/>
        <n v="1.5277700000000001"/>
        <n v="1.51892"/>
        <n v="1.51847"/>
        <n v="1.5184599999999999"/>
        <n v="1.5182899999999999"/>
        <n v="1.51708"/>
        <n v="1.5167299999999999"/>
        <n v="1.5165200000000001"/>
        <n v="1.51844"/>
        <n v="1.5166299999999999"/>
        <n v="1.5168699999999999"/>
        <n v="1.5170699999999999"/>
        <n v="1.5217700000000001"/>
        <n v="1.5187200000000001"/>
        <n v="1.51667"/>
        <n v="1.52081"/>
        <n v="1.52068"/>
        <n v="1.5202"/>
        <n v="1.5261400000000001"/>
        <n v="1.51813"/>
        <n v="1.518"/>
        <n v="1.51789"/>
        <n v="1.51806"/>
        <n v="1.51711"/>
        <n v="1.51674"/>
        <n v="1.5168999999999999"/>
        <n v="1.51851"/>
        <n v="1.5166200000000001"/>
        <n v="1.51709"/>
        <n v="1.5165999999999999"/>
        <n v="1.5183899999999999"/>
        <n v="1.5161"/>
        <n v="1.5166999999999999"/>
        <n v="1.5164299999999999"/>
        <n v="1.5166500000000001"/>
        <n v="1.5212699999999999"/>
        <n v="1.51694"/>
        <n v="1.52121"/>
        <n v="1.51776"/>
        <n v="1.51796"/>
        <n v="1.5183199999999999"/>
        <n v="1.5193399999999999"/>
        <n v="1.5221100000000001"/>
        <n v="1.5151399999999999"/>
        <n v="1.51915"/>
        <n v="1.5217099999999999"/>
        <n v="1.5215099999999999"/>
        <n v="1.51969"/>
        <n v="1.5166599999999999"/>
        <n v="1.5199400000000001"/>
        <n v="1.52369"/>
        <n v="1.5131600000000001"/>
        <n v="1.5132099999999999"/>
        <n v="1.5204299999999999"/>
        <n v="1.52058"/>
        <n v="1.52119"/>
        <n v="1.5193700000000001"/>
        <n v="1.5185200000000001"/>
        <n v="1.5129900000000001"/>
        <n v="1.51888"/>
        <n v="1.5191600000000001"/>
        <n v="1.51115"/>
        <n v="1.5113099999999999"/>
        <n v="1.5183800000000001"/>
        <n v="1.52315"/>
        <n v="1.52247"/>
        <n v="1.5236499999999999"/>
        <n v="1.5160199999999999"/>
        <n v="1.51623"/>
        <n v="1.51719"/>
        <n v="1.5168299999999999"/>
        <n v="1.51545"/>
        <n v="1.51556"/>
        <n v="1.5172699999999999"/>
        <n v="1.5153099999999999"/>
        <n v="1.5160899999999999"/>
        <n v="1.51508"/>
        <n v="1.5165299999999999"/>
        <n v="1.51658"/>
        <n v="1.51617"/>
        <n v="1.51732"/>
        <n v="1.51831"/>
        <n v="1.51685"/>
        <n v="1.5206500000000001"/>
        <n v="1.51651"/>
      </sharedItems>
    </cacheField>
    <cacheField name="Na" numFmtId="0">
      <sharedItems containsSemiMixedTypes="0" containsString="0" containsNumber="1" minValue="10.73" maxValue="17.38" count="142">
        <n v="13.64"/>
        <n v="13.89"/>
        <n v="13.53"/>
        <n v="13.21"/>
        <n v="13.27"/>
        <n v="12.79"/>
        <n v="13.3"/>
        <n v="13.15"/>
        <n v="14.04"/>
        <n v="13"/>
        <n v="12.72"/>
        <n v="12.8"/>
        <n v="12.88"/>
        <n v="12.86"/>
        <n v="12.61"/>
        <n v="12.81"/>
        <n v="12.68"/>
        <n v="14.36"/>
        <n v="13.9"/>
        <n v="13.02"/>
        <n v="12.82"/>
        <n v="14.77"/>
        <n v="12.78"/>
        <n v="13.38"/>
        <n v="12.98"/>
        <n v="12.87"/>
        <n v="12.56"/>
        <n v="13.08"/>
        <n v="12.65"/>
        <n v="12.84"/>
        <n v="12.85"/>
        <n v="12.57"/>
        <n v="12.69"/>
        <n v="13.29"/>
        <n v="12.74"/>
        <n v="14.21"/>
        <n v="12.71"/>
        <n v="13.73"/>
        <n v="12.73"/>
        <n v="13.49"/>
        <n v="13.19"/>
        <n v="13.99"/>
        <n v="13.58"/>
        <n v="13.72"/>
        <n v="13.2"/>
        <n v="13.43"/>
        <n v="13.14"/>
        <n v="12.45"/>
        <n v="12.99"/>
        <n v="13.48"/>
        <n v="13.39"/>
        <n v="13.6"/>
        <n v="13.81"/>
        <n v="13.51"/>
        <n v="14.17"/>
        <n v="13.69"/>
        <n v="13.05"/>
        <n v="13.12"/>
        <n v="13.31"/>
        <n v="14.86"/>
        <n v="13.09"/>
        <n v="13.34"/>
        <n v="13.44"/>
        <n v="13.92"/>
        <n v="13.25"/>
        <n v="13.41"/>
        <n v="14.25"/>
        <n v="13.36"/>
        <n v="13.24"/>
        <n v="13.4"/>
        <n v="13.01"/>
        <n v="12.55"/>
        <n v="12.93"/>
        <n v="12.9"/>
        <n v="12.2"/>
        <n v="12.67"/>
        <n v="12.96"/>
        <n v="12.75"/>
        <n v="12.35"/>
        <n v="12.62"/>
        <n v="13.8"/>
        <n v="13.83"/>
        <n v="11.45"/>
        <n v="10.73"/>
        <n v="12.3"/>
        <n v="14.43"/>
        <n v="11.23"/>
        <n v="11.02"/>
        <n v="12.64"/>
        <n v="13.46"/>
        <n v="13.1"/>
        <n v="13.56"/>
        <n v="13.23"/>
        <n v="12.94"/>
        <n v="13.78"/>
        <n v="13.55"/>
        <n v="13.98"/>
        <n v="13.75"/>
        <n v="13.7"/>
        <n v="13.71"/>
        <n v="13.33"/>
        <n v="12.89"/>
        <n v="13.65"/>
        <n v="12.16"/>
        <n v="14.32"/>
        <n v="13.42"/>
        <n v="13.04"/>
        <n v="14.03"/>
        <n v="13.5"/>
        <n v="14.19"/>
        <n v="14.01"/>
        <n v="11.56"/>
        <n v="11.03"/>
        <n v="12.97"/>
        <n v="14"/>
        <n v="13.79"/>
        <n v="14.46"/>
        <n v="14.09"/>
        <n v="14.4"/>
        <n v="14.99"/>
        <n v="14.15"/>
        <n v="14.56"/>
        <n v="17.38"/>
        <n v="15.79"/>
        <n v="13.88"/>
        <n v="14.85"/>
        <n v="14.2"/>
        <n v="14.75"/>
        <n v="14.14"/>
        <n v="13.87"/>
        <n v="14.7"/>
        <n v="14.38"/>
        <n v="15.01"/>
        <n v="15.15"/>
        <n v="11.95"/>
        <n v="14.8"/>
        <n v="14.95"/>
        <n v="14.94"/>
        <n v="14.39"/>
        <n v="14.37"/>
        <n v="14.92"/>
        <n v="14.23"/>
      </sharedItems>
    </cacheField>
    <cacheField name="Mg" numFmtId="0">
      <sharedItems containsSemiMixedTypes="0" containsString="0" containsNumber="1" minValue="0" maxValue="4.49" count="94">
        <n v="4.49"/>
        <n v="3.6"/>
        <n v="3.55"/>
        <n v="3.69"/>
        <n v="3.62"/>
        <n v="3.61"/>
        <n v="3.58"/>
        <n v="3.46"/>
        <n v="3.66"/>
        <n v="3.43"/>
        <n v="3.56"/>
        <n v="3.59"/>
        <n v="3.54"/>
        <n v="3.67"/>
        <n v="3.85"/>
        <n v="3.73"/>
        <n v="3.75"/>
        <n v="3.57"/>
        <n v="3.5"/>
        <n v="3.48"/>
        <n v="3.52"/>
        <n v="3.49"/>
        <n v="3.47"/>
        <n v="3.45"/>
        <n v="3.53"/>
        <n v="3.82"/>
        <n v="3.42"/>
        <n v="3.39"/>
        <n v="3.84"/>
        <n v="3.37"/>
        <n v="3.7"/>
        <n v="3.77"/>
        <n v="3.35"/>
        <n v="3.72"/>
        <n v="3.33"/>
        <n v="2.87"/>
        <n v="2.84"/>
        <n v="2.81"/>
        <n v="2.71"/>
        <n v="3.74"/>
        <n v="3.86"/>
        <n v="3.81"/>
        <n v="3.65"/>
        <n v="3.87"/>
        <n v="3.09"/>
        <n v="3.44"/>
        <n v="3.41"/>
        <n v="3.34"/>
        <n v="3.25"/>
        <n v="2.88"/>
        <n v="2.96"/>
        <n v="2.85"/>
        <n v="2.72"/>
        <n v="2.76"/>
        <n v="3.15"/>
        <n v="2.9"/>
        <n v="0"/>
        <n v="3.83"/>
        <n v="3.97"/>
        <n v="3.89"/>
        <n v="3.9"/>
        <n v="3.68"/>
        <n v="3.64"/>
        <n v="3.76"/>
        <n v="2.2799999999999998"/>
        <n v="2.09"/>
        <n v="1.35"/>
        <n v="1.01"/>
        <n v="3.98"/>
        <n v="3.93"/>
        <n v="3.8"/>
        <n v="3.63"/>
        <n v="3.51"/>
        <n v="3.18"/>
        <n v="3.4"/>
        <n v="3.36"/>
        <n v="3.78"/>
        <n v="2.68"/>
        <n v="1.85"/>
        <n v="1.88"/>
        <n v="1.71"/>
        <n v="1.61"/>
        <n v="0.33"/>
        <n v="2.39"/>
        <n v="2.41"/>
        <n v="2.2400000000000002"/>
        <n v="2.19"/>
        <n v="1.74"/>
        <n v="0.78"/>
        <n v="3.2"/>
        <n v="3.26"/>
        <n v="2.2000000000000002"/>
        <n v="1.83"/>
        <n v="1.78"/>
      </sharedItems>
    </cacheField>
    <cacheField name="Al" numFmtId="0">
      <sharedItems containsSemiMixedTypes="0" containsString="0" containsNumber="1" minValue="0.28999999999999998" maxValue="3.5" count="118">
        <n v="1.1000000000000001"/>
        <n v="1.36"/>
        <n v="1.54"/>
        <n v="1.29"/>
        <n v="1.24"/>
        <n v="1.62"/>
        <n v="1.1399999999999999"/>
        <n v="1.05"/>
        <n v="1.37"/>
        <n v="1.56"/>
        <n v="1.27"/>
        <n v="1.4"/>
        <n v="1.31"/>
        <n v="1.23"/>
        <n v="1.1599999999999999"/>
        <n v="0.89"/>
        <n v="1.18"/>
        <n v="1.69"/>
        <n v="1.49"/>
        <n v="0.28999999999999998"/>
        <n v="1.35"/>
        <n v="1.1499999999999999"/>
        <n v="1.21"/>
        <n v="1.41"/>
        <n v="1.33"/>
        <n v="1.43"/>
        <n v="1.28"/>
        <n v="1.3"/>
        <n v="1.38"/>
        <n v="1.34"/>
        <n v="1.32"/>
        <n v="0.47"/>
        <n v="1.1200000000000001"/>
        <n v="1.2"/>
        <n v="0.72"/>
        <n v="1.19"/>
        <n v="0.71"/>
        <n v="0.79"/>
        <n v="0.51"/>
        <n v="1.17"/>
        <n v="1.1100000000000001"/>
        <n v="0.88"/>
        <n v="0.78"/>
        <n v="0.9"/>
        <n v="0.87"/>
        <n v="0.82"/>
        <n v="1.74"/>
        <n v="1.52"/>
        <n v="1.57"/>
        <n v="1.51"/>
        <n v="1.25"/>
        <n v="1.9"/>
        <n v="2.12"/>
        <n v="1.55"/>
        <n v="2.08"/>
        <n v="1.47"/>
        <n v="1.48"/>
        <n v="1.87"/>
        <n v="1.45"/>
        <n v="1.58"/>
        <n v="1.06"/>
        <n v="1.71"/>
        <n v="1.44"/>
        <n v="1.63"/>
        <n v="0.83"/>
        <n v="0.66"/>
        <n v="1.88"/>
        <n v="2.1"/>
        <n v="1"/>
        <n v="0.56000000000000005"/>
        <n v="0.77"/>
        <n v="0.75"/>
        <n v="0.67"/>
        <n v="1.26"/>
        <n v="1.81"/>
        <n v="1.53"/>
        <n v="1.67"/>
        <n v="1.08"/>
        <n v="1.64"/>
        <n v="1.61"/>
        <n v="1.07"/>
        <n v="1.79"/>
        <n v="1.76"/>
        <n v="0.65"/>
        <n v="1.22"/>
        <n v="0.57999999999999996"/>
        <n v="0.91"/>
        <n v="3.5"/>
        <n v="1.86"/>
        <n v="1.65"/>
        <n v="1.83"/>
        <n v="3.04"/>
        <n v="3.02"/>
        <n v="2.17"/>
        <n v="1.66"/>
        <n v="2.09"/>
        <n v="0.34"/>
        <n v="2.2200000000000002"/>
        <n v="2.06"/>
        <n v="2.38"/>
        <n v="2.79"/>
        <n v="2"/>
        <n v="1.98"/>
        <n v="2.68"/>
        <n v="2.54"/>
        <n v="2.34"/>
        <n v="2.66"/>
        <n v="2.5099999999999998"/>
        <n v="2.25"/>
        <n v="2.42"/>
        <n v="1.99"/>
        <n v="2.27"/>
        <n v="1.8"/>
        <n v="1.82"/>
        <n v="2.74"/>
        <n v="2.88"/>
        <n v="2.02"/>
        <n v="1.94"/>
      </sharedItems>
    </cacheField>
    <cacheField name="Si" numFmtId="0">
      <sharedItems containsSemiMixedTypes="0" containsString="0" containsNumber="1" minValue="69.81" maxValue="75.41" count="133">
        <n v="71.78"/>
        <n v="72.73"/>
        <n v="72.989999999999995"/>
        <n v="72.61"/>
        <n v="73.08"/>
        <n v="72.97"/>
        <n v="73.09"/>
        <n v="73.239999999999995"/>
        <n v="72.08"/>
        <n v="73.2"/>
        <n v="73.010000000000005"/>
        <n v="73.28"/>
        <n v="73.209999999999994"/>
        <n v="73.290000000000006"/>
        <n v="73.11"/>
        <n v="71.36"/>
        <n v="72.12"/>
        <n v="72.75"/>
        <n v="72.02"/>
        <n v="72.790000000000006"/>
        <n v="73.02"/>
        <n v="72.849999999999994"/>
        <n v="73"/>
        <n v="72.64"/>
        <n v="73.040000000000006"/>
        <n v="73.150000000000006"/>
        <n v="72.86"/>
        <n v="73.27"/>
        <n v="73.39"/>
        <n v="72.95"/>
        <n v="72.739999999999995"/>
        <n v="71.81"/>
        <n v="72.959999999999994"/>
        <n v="71.77"/>
        <n v="73.03"/>
        <n v="72.760000000000005"/>
        <n v="71.760000000000005"/>
        <n v="71.95"/>
        <n v="72.72"/>
        <n v="71.569999999999993"/>
        <n v="71.989999999999995"/>
        <n v="71.75"/>
        <n v="72.36"/>
        <n v="72.84"/>
        <n v="72.98"/>
        <n v="73.7"/>
        <n v="71.72"/>
        <n v="71.790000000000006"/>
        <n v="71.349999999999994"/>
        <n v="72.010000000000005"/>
        <n v="71.959999999999994"/>
        <n v="72.22"/>
        <n v="72.319999999999993"/>
        <n v="72.2"/>
        <n v="71.87"/>
        <n v="73.099999999999994"/>
        <n v="72.87"/>
        <n v="73.12"/>
        <n v="72.39"/>
        <n v="72.83"/>
        <n v="72.88"/>
        <n v="72.66"/>
        <n v="73.17"/>
        <n v="72.81"/>
        <n v="72.28"/>
        <n v="73.25"/>
        <n v="72.650000000000006"/>
        <n v="72.89"/>
        <n v="73.23"/>
        <n v="73.06"/>
        <n v="73.260000000000005"/>
        <n v="72.260000000000005"/>
        <n v="72.34"/>
        <n v="73.55"/>
        <n v="72.92"/>
        <n v="73.81"/>
        <n v="70.569999999999993"/>
        <n v="71.150000000000006"/>
        <n v="72.19"/>
        <n v="69.81"/>
        <n v="70.16"/>
        <n v="72.67"/>
        <n v="74.45"/>
        <n v="72.55"/>
        <n v="72.44"/>
        <n v="72.38"/>
        <n v="72.33"/>
        <n v="72.06"/>
        <n v="72.53"/>
        <n v="72.45"/>
        <n v="72.400000000000006"/>
        <n v="72.52"/>
        <n v="72.510000000000005"/>
        <n v="72.180000000000007"/>
        <n v="71.239999999999995"/>
        <n v="72.489999999999995"/>
        <n v="72.78"/>
        <n v="73.069999999999993"/>
        <n v="73.36"/>
        <n v="73.14"/>
        <n v="72.540000000000006"/>
        <n v="72.569999999999993"/>
        <n v="72.77"/>
        <n v="72.7"/>
        <n v="72.48"/>
        <n v="71.5"/>
        <n v="72.69"/>
        <n v="72.040000000000006"/>
        <n v="71.94"/>
        <n v="72.14"/>
        <n v="69.89"/>
        <n v="73.44"/>
        <n v="73.75"/>
        <n v="73.88"/>
        <n v="70.48"/>
        <n v="70.7"/>
        <n v="72.25"/>
        <n v="72.37"/>
        <n v="74.55"/>
        <n v="72.5"/>
        <n v="73.48"/>
        <n v="75.41"/>
        <n v="71.25"/>
        <n v="70.260000000000005"/>
        <n v="70.430000000000007"/>
        <n v="73.459999999999994"/>
        <n v="73.05"/>
        <n v="73.5"/>
        <n v="75.180000000000007"/>
        <n v="73.72"/>
        <n v="73.3"/>
        <n v="73.42"/>
        <n v="73.61"/>
      </sharedItems>
    </cacheField>
    <cacheField name="K" numFmtId="0">
      <sharedItems containsSemiMixedTypes="0" containsString="0" containsNumber="1" minValue="0" maxValue="6.21" count="65">
        <n v="0.06"/>
        <n v="0.48"/>
        <n v="0.39"/>
        <n v="0.56999999999999995"/>
        <n v="0.55000000000000004"/>
        <n v="0.64"/>
        <n v="0.57999999999999996"/>
        <n v="0.56000000000000005"/>
        <n v="0.67"/>
        <n v="0.6"/>
        <n v="0.69"/>
        <n v="0.54"/>
        <n v="0.61"/>
        <n v="0.15"/>
        <n v="0.03"/>
        <n v="0.59"/>
        <n v="0.62"/>
        <n v="0.5"/>
        <n v="0.65"/>
        <n v="0.51"/>
        <n v="0.11"/>
        <n v="0.17"/>
        <n v="0.02"/>
        <n v="0.13"/>
        <n v="0.09"/>
        <n v="0.14000000000000001"/>
        <n v="0.12"/>
        <n v="0.23"/>
        <n v="0"/>
        <n v="0.18"/>
        <n v="0.19"/>
        <n v="0.16"/>
        <n v="0.72"/>
        <n v="0.66"/>
        <n v="0.37"/>
        <n v="0.68"/>
        <n v="1.1000000000000001"/>
        <n v="0.45"/>
        <n v="0.38"/>
        <n v="0.63"/>
        <n v="0.44"/>
        <n v="7.0000000000000007E-2"/>
        <n v="0.73"/>
        <n v="0.7"/>
        <n v="0.35"/>
        <n v="0.08"/>
        <n v="0.81"/>
        <n v="0.1"/>
        <n v="0.49"/>
        <n v="0.53"/>
        <n v="0.33"/>
        <n v="0.52"/>
        <n v="1.68"/>
        <n v="0.47"/>
        <n v="0.97"/>
        <n v="0.32"/>
        <n v="6.21"/>
        <n v="0.76"/>
        <n v="1.76"/>
        <n v="1.46"/>
        <n v="0.31"/>
        <n v="0.04"/>
        <n v="0.05"/>
        <n v="2.7"/>
        <n v="1.41"/>
      </sharedItems>
    </cacheField>
    <cacheField name="Ca" numFmtId="0">
      <sharedItems containsSemiMixedTypes="0" containsString="0" containsNumber="1" minValue="5.43" maxValue="16.190000000000001" count="143">
        <n v="8.75"/>
        <n v="7.83"/>
        <n v="7.78"/>
        <n v="8.2200000000000006"/>
        <n v="8.07"/>
        <n v="8.17"/>
        <n v="8.24"/>
        <n v="8.3000000000000007"/>
        <n v="8.4"/>
        <n v="8.09"/>
        <n v="8.56"/>
        <n v="8.0500000000000007"/>
        <n v="8.3800000000000008"/>
        <n v="8.5"/>
        <n v="8.39"/>
        <n v="8.6999999999999993"/>
        <n v="9.15"/>
        <n v="8.89"/>
        <n v="8.44"/>
        <n v="8.52"/>
        <n v="9"/>
        <n v="8.59"/>
        <n v="8.43"/>
        <n v="8.5299999999999994"/>
        <n v="8.5399999999999991"/>
        <n v="8.49"/>
        <n v="8.69"/>
        <n v="8.5500000000000007"/>
        <n v="8.57"/>
        <n v="8.7799999999999994"/>
        <n v="8.68"/>
        <n v="9.57"/>
        <n v="8.77"/>
        <n v="8.64"/>
        <n v="9.74"/>
        <n v="8.76"/>
        <n v="8.83"/>
        <n v="9.82"/>
        <n v="10.02"/>
        <n v="8.91"/>
        <n v="10.06"/>
        <n v="9.14"/>
        <n v="9.0299999999999994"/>
        <n v="9.07"/>
        <n v="9.02"/>
        <n v="9.06"/>
        <n v="8.35"/>
        <n v="8.0299999999999994"/>
        <n v="8.27"/>
        <n v="8.67"/>
        <n v="9.5399999999999991"/>
        <n v="9.69"/>
        <n v="9.61"/>
        <n v="9.4"/>
        <n v="9.85"/>
        <n v="10.17"/>
        <n v="7.36"/>
        <n v="8.32"/>
        <n v="7.89"/>
        <n v="7.9"/>
        <n v="7.96"/>
        <n v="8.0399999999999991"/>
        <n v="7.94"/>
        <n v="7.97"/>
        <n v="7.86"/>
        <n v="8.1"/>
        <n v="7.08"/>
        <n v="8.2100000000000009"/>
        <n v="8.08"/>
        <n v="8.1199999999999992"/>
        <n v="8.9600000000000009"/>
        <n v="8.6"/>
        <n v="9.1300000000000008"/>
        <n v="8.9"/>
        <n v="8.7899999999999991"/>
        <n v="9.23"/>
        <n v="9.42"/>
        <n v="11.64"/>
        <n v="10.79"/>
        <n v="13.24"/>
        <n v="13.3"/>
        <n v="16.190000000000001"/>
        <n v="11.52"/>
        <n v="10.99"/>
        <n v="14.68"/>
        <n v="14.96"/>
        <n v="14.4"/>
        <n v="8.2799999999999994"/>
        <n v="8.31"/>
        <n v="7.88"/>
        <n v="8.42"/>
        <n v="7.99"/>
        <n v="10.56"/>
        <n v="11.14"/>
        <n v="13.44"/>
        <n v="8.15"/>
        <n v="8.11"/>
        <n v="8.41"/>
        <n v="8.23"/>
        <n v="8.18"/>
        <n v="8.81"/>
        <n v="8.33"/>
        <n v="9.49"/>
        <n v="8.93"/>
        <n v="8.58"/>
        <n v="8.65"/>
        <n v="9.65"/>
        <n v="8.99"/>
        <n v="5.87"/>
        <n v="10.09"/>
        <n v="11.41"/>
        <n v="11.62"/>
        <n v="11.53"/>
        <n v="11.32"/>
        <n v="12.24"/>
        <n v="6.96"/>
        <n v="6.93"/>
        <n v="12.5"/>
        <n v="9.6999999999999993"/>
        <n v="11.27"/>
        <n v="9.77"/>
        <n v="9.26"/>
        <n v="9.32"/>
        <n v="7.59"/>
        <n v="9.9499999999999993"/>
        <n v="10.88"/>
        <n v="11.22"/>
        <n v="6.65"/>
        <n v="5.43"/>
        <n v="5.79"/>
        <n v="9.76"/>
        <n v="8.61"/>
        <n v="9.0399999999999991"/>
        <n v="9.41"/>
        <n v="8.9499999999999993"/>
        <n v="9.08"/>
        <n v="8.34"/>
        <n v="8.7100000000000009"/>
        <n v="6.47"/>
        <n v="9.4499999999999993"/>
        <n v="9.18"/>
        <n v="8.48"/>
        <n v="8.6199999999999992"/>
      </sharedItems>
    </cacheField>
    <cacheField name="Ba" numFmtId="0">
      <sharedItems containsSemiMixedTypes="0" containsString="0" containsNumber="1" minValue="0" maxValue="3.15" count="34">
        <n v="0"/>
        <n v="0.09"/>
        <n v="0.11"/>
        <n v="0.69"/>
        <n v="0.14000000000000001"/>
        <n v="3.15"/>
        <n v="0.27"/>
        <n v="0.06"/>
        <n v="0.15"/>
        <n v="2.2000000000000002"/>
        <n v="0.24"/>
        <n v="1.19"/>
        <n v="1.63"/>
        <n v="1.68"/>
        <n v="0.76"/>
        <n v="0.64"/>
        <n v="0.4"/>
        <n v="1.59"/>
        <n v="1.57"/>
        <n v="0.61"/>
        <n v="0.81"/>
        <n v="0.66"/>
        <n v="0.53"/>
        <n v="0.63"/>
        <n v="0.56000000000000005"/>
        <n v="1.71"/>
        <n v="0.67"/>
        <n v="1.55"/>
        <n v="1.38"/>
        <n v="2.88"/>
        <n v="0.54"/>
        <n v="1.06"/>
        <n v="1.64"/>
        <n v="1.67"/>
      </sharedItems>
    </cacheField>
    <cacheField name="Fe" numFmtId="0">
      <sharedItems containsSemiMixedTypes="0" containsString="0" containsNumber="1" minValue="0" maxValue="0.51" count="32">
        <n v="0"/>
        <n v="0.26"/>
        <n v="0.11"/>
        <n v="0.24"/>
        <n v="0.17"/>
        <n v="7.0000000000000007E-2"/>
        <n v="0.19"/>
        <n v="0.14000000000000001"/>
        <n v="0.22"/>
        <n v="0.06"/>
        <n v="0.3"/>
        <n v="0.16"/>
        <n v="0.1"/>
        <n v="0.09"/>
        <n v="0.31"/>
        <n v="0.03"/>
        <n v="0.12"/>
        <n v="0.32"/>
        <n v="0.15"/>
        <n v="0.2"/>
        <n v="0.34"/>
        <n v="0.28000000000000003"/>
        <n v="0.08"/>
        <n v="0.28999999999999998"/>
        <n v="0.21"/>
        <n v="0.18"/>
        <n v="0.25"/>
        <n v="0.35"/>
        <n v="0.37"/>
        <n v="0.51"/>
        <n v="0.05"/>
        <n v="0.01"/>
      </sharedItems>
    </cacheField>
    <cacheField name="Type_of_glass" numFmtId="0">
      <sharedItems containsSemiMixedTypes="0" containsString="0" containsNumber="1" containsInteger="1" minValue="1" maxValue="7" count="6">
        <n v="1"/>
        <n v="2"/>
        <n v="3"/>
        <n v="5"/>
        <n v="6"/>
        <n v="7"/>
      </sharedItems>
    </cacheField>
    <cacheField name="index" numFmtId="0">
      <sharedItems containsSemiMixedTypes="0" containsString="0" containsNumber="1" containsInteger="1" minValue="0" maxValue="21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3545666104201288E+16" maxValue="1.844413532933785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4">
  <r>
    <b v="0"/>
    <x v="0"/>
    <x v="0"/>
    <x v="0"/>
    <x v="0"/>
    <x v="0"/>
    <x v="0"/>
    <x v="0"/>
    <x v="0"/>
    <x v="0"/>
    <x v="0"/>
    <n v="0"/>
    <n v="0"/>
    <n v="1.4898701135501814E+19"/>
  </r>
  <r>
    <b v="0"/>
    <x v="1"/>
    <x v="1"/>
    <x v="1"/>
    <x v="1"/>
    <x v="1"/>
    <x v="1"/>
    <x v="1"/>
    <x v="0"/>
    <x v="0"/>
    <x v="0"/>
    <n v="1"/>
    <n v="0"/>
    <n v="1.1452316381437544E+19"/>
  </r>
  <r>
    <b v="0"/>
    <x v="2"/>
    <x v="2"/>
    <x v="2"/>
    <x v="2"/>
    <x v="2"/>
    <x v="2"/>
    <x v="2"/>
    <x v="0"/>
    <x v="0"/>
    <x v="0"/>
    <n v="2"/>
    <n v="0"/>
    <n v="6.487806647166039E+18"/>
  </r>
  <r>
    <b v="0"/>
    <x v="3"/>
    <x v="3"/>
    <x v="3"/>
    <x v="3"/>
    <x v="3"/>
    <x v="3"/>
    <x v="3"/>
    <x v="0"/>
    <x v="0"/>
    <x v="0"/>
    <n v="3"/>
    <n v="0"/>
    <n v="1.1711899055346266E+19"/>
  </r>
  <r>
    <b v="0"/>
    <x v="4"/>
    <x v="4"/>
    <x v="4"/>
    <x v="4"/>
    <x v="4"/>
    <x v="4"/>
    <x v="4"/>
    <x v="0"/>
    <x v="0"/>
    <x v="0"/>
    <n v="4"/>
    <n v="0"/>
    <n v="1.2138110875109655E+19"/>
  </r>
  <r>
    <b v="0"/>
    <x v="5"/>
    <x v="5"/>
    <x v="5"/>
    <x v="5"/>
    <x v="5"/>
    <x v="5"/>
    <x v="4"/>
    <x v="0"/>
    <x v="1"/>
    <x v="0"/>
    <n v="5"/>
    <n v="0"/>
    <n v="9.1254536533167974E+18"/>
  </r>
  <r>
    <b v="0"/>
    <x v="6"/>
    <x v="6"/>
    <x v="1"/>
    <x v="6"/>
    <x v="6"/>
    <x v="6"/>
    <x v="5"/>
    <x v="0"/>
    <x v="0"/>
    <x v="0"/>
    <n v="6"/>
    <n v="0"/>
    <n v="2.1777253879087214E+18"/>
  </r>
  <r>
    <b v="0"/>
    <x v="7"/>
    <x v="7"/>
    <x v="5"/>
    <x v="7"/>
    <x v="7"/>
    <x v="3"/>
    <x v="6"/>
    <x v="0"/>
    <x v="0"/>
    <x v="0"/>
    <n v="7"/>
    <n v="0"/>
    <n v="3.1493819118896445E+18"/>
  </r>
  <r>
    <b v="0"/>
    <x v="8"/>
    <x v="8"/>
    <x v="6"/>
    <x v="8"/>
    <x v="8"/>
    <x v="7"/>
    <x v="7"/>
    <x v="0"/>
    <x v="0"/>
    <x v="0"/>
    <n v="8"/>
    <n v="0"/>
    <n v="1.219670981355889E+19"/>
  </r>
  <r>
    <b v="0"/>
    <x v="9"/>
    <x v="9"/>
    <x v="1"/>
    <x v="1"/>
    <x v="2"/>
    <x v="3"/>
    <x v="8"/>
    <x v="0"/>
    <x v="2"/>
    <x v="0"/>
    <n v="9"/>
    <n v="0"/>
    <n v="8.2820619550055949E+17"/>
  </r>
  <r>
    <b v="0"/>
    <x v="10"/>
    <x v="10"/>
    <x v="7"/>
    <x v="9"/>
    <x v="9"/>
    <x v="8"/>
    <x v="9"/>
    <x v="0"/>
    <x v="3"/>
    <x v="0"/>
    <n v="10"/>
    <n v="0"/>
    <n v="4.6382000854055199E+18"/>
  </r>
  <r>
    <b v="0"/>
    <x v="11"/>
    <x v="11"/>
    <x v="8"/>
    <x v="10"/>
    <x v="10"/>
    <x v="9"/>
    <x v="10"/>
    <x v="0"/>
    <x v="0"/>
    <x v="0"/>
    <n v="11"/>
    <n v="0"/>
    <n v="1.82085905027926E+19"/>
  </r>
  <r>
    <b v="0"/>
    <x v="12"/>
    <x v="12"/>
    <x v="9"/>
    <x v="11"/>
    <x v="11"/>
    <x v="10"/>
    <x v="11"/>
    <x v="0"/>
    <x v="3"/>
    <x v="0"/>
    <n v="12"/>
    <n v="0"/>
    <n v="1.3162592608045519E+19"/>
  </r>
  <r>
    <b v="0"/>
    <x v="13"/>
    <x v="13"/>
    <x v="10"/>
    <x v="10"/>
    <x v="12"/>
    <x v="11"/>
    <x v="12"/>
    <x v="0"/>
    <x v="4"/>
    <x v="0"/>
    <n v="13"/>
    <n v="0"/>
    <n v="1.6362279792248367E+19"/>
  </r>
  <r>
    <b v="0"/>
    <x v="11"/>
    <x v="14"/>
    <x v="11"/>
    <x v="12"/>
    <x v="13"/>
    <x v="6"/>
    <x v="13"/>
    <x v="0"/>
    <x v="0"/>
    <x v="0"/>
    <n v="14"/>
    <n v="0"/>
    <n v="3.8331469405431337E+18"/>
  </r>
  <r>
    <b v="0"/>
    <x v="1"/>
    <x v="15"/>
    <x v="12"/>
    <x v="13"/>
    <x v="7"/>
    <x v="6"/>
    <x v="14"/>
    <x v="0"/>
    <x v="0"/>
    <x v="0"/>
    <n v="15"/>
    <n v="0"/>
    <n v="1.8027687542874558E+19"/>
  </r>
  <r>
    <b v="0"/>
    <x v="14"/>
    <x v="16"/>
    <x v="13"/>
    <x v="14"/>
    <x v="14"/>
    <x v="12"/>
    <x v="15"/>
    <x v="0"/>
    <x v="0"/>
    <x v="0"/>
    <n v="16"/>
    <n v="0"/>
    <n v="1.3899103540291009E+19"/>
  </r>
  <r>
    <b v="0"/>
    <x v="15"/>
    <x v="17"/>
    <x v="14"/>
    <x v="15"/>
    <x v="15"/>
    <x v="13"/>
    <x v="16"/>
    <x v="0"/>
    <x v="0"/>
    <x v="0"/>
    <n v="17"/>
    <n v="0"/>
    <n v="3.6644789500444068E+18"/>
  </r>
  <r>
    <b v="0"/>
    <x v="16"/>
    <x v="18"/>
    <x v="15"/>
    <x v="16"/>
    <x v="16"/>
    <x v="0"/>
    <x v="17"/>
    <x v="0"/>
    <x v="0"/>
    <x v="0"/>
    <n v="18"/>
    <n v="0"/>
    <n v="1.3461496247425059E+19"/>
  </r>
  <r>
    <b v="0"/>
    <x v="17"/>
    <x v="19"/>
    <x v="12"/>
    <x v="17"/>
    <x v="1"/>
    <x v="11"/>
    <x v="18"/>
    <x v="0"/>
    <x v="5"/>
    <x v="0"/>
    <n v="19"/>
    <n v="0"/>
    <n v="9.6878818953196278E+18"/>
  </r>
  <r>
    <b v="0"/>
    <x v="18"/>
    <x v="20"/>
    <x v="2"/>
    <x v="18"/>
    <x v="17"/>
    <x v="11"/>
    <x v="19"/>
    <x v="0"/>
    <x v="6"/>
    <x v="0"/>
    <n v="20"/>
    <n v="0"/>
    <n v="6.6489683220433234E+18"/>
  </r>
  <r>
    <b v="0"/>
    <x v="19"/>
    <x v="21"/>
    <x v="16"/>
    <x v="19"/>
    <x v="18"/>
    <x v="14"/>
    <x v="20"/>
    <x v="0"/>
    <x v="0"/>
    <x v="0"/>
    <n v="21"/>
    <n v="0"/>
    <n v="1.0652662700684569E+19"/>
  </r>
  <r>
    <b v="0"/>
    <x v="20"/>
    <x v="22"/>
    <x v="4"/>
    <x v="3"/>
    <x v="19"/>
    <x v="15"/>
    <x v="15"/>
    <x v="0"/>
    <x v="0"/>
    <x v="0"/>
    <n v="22"/>
    <n v="0"/>
    <n v="1.3400915465280995E+19"/>
  </r>
  <r>
    <b v="0"/>
    <x v="21"/>
    <x v="15"/>
    <x v="17"/>
    <x v="20"/>
    <x v="20"/>
    <x v="16"/>
    <x v="21"/>
    <x v="0"/>
    <x v="0"/>
    <x v="0"/>
    <n v="23"/>
    <n v="0"/>
    <n v="9.3796333784752005E+18"/>
  </r>
  <r>
    <b v="0"/>
    <x v="22"/>
    <x v="23"/>
    <x v="18"/>
    <x v="21"/>
    <x v="21"/>
    <x v="17"/>
    <x v="22"/>
    <x v="0"/>
    <x v="0"/>
    <x v="0"/>
    <n v="24"/>
    <n v="0"/>
    <n v="1.5152092592537594E+19"/>
  </r>
  <r>
    <b v="0"/>
    <x v="23"/>
    <x v="24"/>
    <x v="12"/>
    <x v="22"/>
    <x v="22"/>
    <x v="18"/>
    <x v="23"/>
    <x v="0"/>
    <x v="0"/>
    <x v="0"/>
    <n v="25"/>
    <n v="0"/>
    <n v="5.774733045968617E+17"/>
  </r>
  <r>
    <b v="0"/>
    <x v="24"/>
    <x v="3"/>
    <x v="19"/>
    <x v="23"/>
    <x v="23"/>
    <x v="15"/>
    <x v="22"/>
    <x v="0"/>
    <x v="0"/>
    <x v="0"/>
    <n v="26"/>
    <n v="0"/>
    <n v="1.7955785217550574E+19"/>
  </r>
  <r>
    <b v="0"/>
    <x v="25"/>
    <x v="25"/>
    <x v="19"/>
    <x v="24"/>
    <x v="24"/>
    <x v="7"/>
    <x v="22"/>
    <x v="0"/>
    <x v="0"/>
    <x v="0"/>
    <n v="27"/>
    <n v="0"/>
    <n v="1.4108870351544482E+19"/>
  </r>
  <r>
    <b v="0"/>
    <x v="26"/>
    <x v="26"/>
    <x v="20"/>
    <x v="25"/>
    <x v="25"/>
    <x v="3"/>
    <x v="24"/>
    <x v="0"/>
    <x v="0"/>
    <x v="0"/>
    <n v="28"/>
    <n v="0"/>
    <n v="1.8202444066544286E+19"/>
  </r>
  <r>
    <b v="0"/>
    <x v="14"/>
    <x v="27"/>
    <x v="21"/>
    <x v="26"/>
    <x v="26"/>
    <x v="9"/>
    <x v="25"/>
    <x v="0"/>
    <x v="0"/>
    <x v="0"/>
    <n v="29"/>
    <n v="0"/>
    <n v="1.4982759641575386E+18"/>
  </r>
  <r>
    <b v="0"/>
    <x v="26"/>
    <x v="28"/>
    <x v="10"/>
    <x v="27"/>
    <x v="4"/>
    <x v="12"/>
    <x v="26"/>
    <x v="0"/>
    <x v="7"/>
    <x v="0"/>
    <n v="30"/>
    <n v="0"/>
    <n v="9.4142354102742303E+18"/>
  </r>
  <r>
    <b v="0"/>
    <x v="27"/>
    <x v="29"/>
    <x v="18"/>
    <x v="6"/>
    <x v="27"/>
    <x v="7"/>
    <x v="27"/>
    <x v="0"/>
    <x v="0"/>
    <x v="0"/>
    <n v="31"/>
    <n v="0"/>
    <n v="4.3545666104201288E+16"/>
  </r>
  <r>
    <b v="0"/>
    <x v="28"/>
    <x v="30"/>
    <x v="19"/>
    <x v="13"/>
    <x v="5"/>
    <x v="12"/>
    <x v="10"/>
    <x v="1"/>
    <x v="8"/>
    <x v="0"/>
    <n v="32"/>
    <n v="0"/>
    <n v="6.15888794944337E+18"/>
  </r>
  <r>
    <b v="0"/>
    <x v="29"/>
    <x v="31"/>
    <x v="22"/>
    <x v="28"/>
    <x v="28"/>
    <x v="9"/>
    <x v="27"/>
    <x v="0"/>
    <x v="9"/>
    <x v="0"/>
    <n v="33"/>
    <n v="0"/>
    <n v="3.6125140164758175E+18"/>
  </r>
  <r>
    <b v="0"/>
    <x v="30"/>
    <x v="32"/>
    <x v="12"/>
    <x v="29"/>
    <x v="29"/>
    <x v="3"/>
    <x v="0"/>
    <x v="0"/>
    <x v="0"/>
    <x v="0"/>
    <n v="34"/>
    <n v="0"/>
    <n v="7.0753382469445745E+18"/>
  </r>
  <r>
    <b v="0"/>
    <x v="31"/>
    <x v="33"/>
    <x v="23"/>
    <x v="22"/>
    <x v="30"/>
    <x v="7"/>
    <x v="28"/>
    <x v="0"/>
    <x v="0"/>
    <x v="0"/>
    <n v="35"/>
    <n v="0"/>
    <n v="1.705096394860843E+19"/>
  </r>
  <r>
    <b v="0"/>
    <x v="32"/>
    <x v="1"/>
    <x v="24"/>
    <x v="30"/>
    <x v="31"/>
    <x v="19"/>
    <x v="29"/>
    <x v="2"/>
    <x v="0"/>
    <x v="0"/>
    <n v="36"/>
    <n v="0"/>
    <n v="8.6606727993982956E+18"/>
  </r>
  <r>
    <b v="0"/>
    <x v="33"/>
    <x v="34"/>
    <x v="19"/>
    <x v="20"/>
    <x v="32"/>
    <x v="5"/>
    <x v="30"/>
    <x v="0"/>
    <x v="0"/>
    <x v="0"/>
    <n v="37"/>
    <n v="0"/>
    <n v="5.222725221116119E+18"/>
  </r>
  <r>
    <b v="0"/>
    <x v="34"/>
    <x v="35"/>
    <x v="25"/>
    <x v="31"/>
    <x v="33"/>
    <x v="20"/>
    <x v="31"/>
    <x v="0"/>
    <x v="0"/>
    <x v="0"/>
    <n v="38"/>
    <n v="0"/>
    <n v="5.6095750124438387E+17"/>
  </r>
  <r>
    <b v="0"/>
    <x v="34"/>
    <x v="35"/>
    <x v="25"/>
    <x v="31"/>
    <x v="33"/>
    <x v="20"/>
    <x v="31"/>
    <x v="0"/>
    <x v="0"/>
    <x v="0"/>
    <n v="39"/>
    <n v="0"/>
    <n v="8.1437884378881249E+18"/>
  </r>
  <r>
    <b v="0"/>
    <x v="24"/>
    <x v="5"/>
    <x v="18"/>
    <x v="32"/>
    <x v="34"/>
    <x v="5"/>
    <x v="32"/>
    <x v="0"/>
    <x v="0"/>
    <x v="0"/>
    <n v="40"/>
    <n v="0"/>
    <n v="1.2359025146115725E+19"/>
  </r>
  <r>
    <b v="0"/>
    <x v="9"/>
    <x v="36"/>
    <x v="26"/>
    <x v="33"/>
    <x v="9"/>
    <x v="15"/>
    <x v="33"/>
    <x v="0"/>
    <x v="0"/>
    <x v="0"/>
    <n v="41"/>
    <n v="0"/>
    <n v="1.5334185702329448E+19"/>
  </r>
  <r>
    <b v="0"/>
    <x v="35"/>
    <x v="3"/>
    <x v="27"/>
    <x v="24"/>
    <x v="35"/>
    <x v="15"/>
    <x v="21"/>
    <x v="0"/>
    <x v="0"/>
    <x v="0"/>
    <n v="42"/>
    <n v="0"/>
    <n v="1.6411618748510022E+19"/>
  </r>
  <r>
    <b v="0"/>
    <x v="36"/>
    <x v="37"/>
    <x v="28"/>
    <x v="34"/>
    <x v="36"/>
    <x v="21"/>
    <x v="34"/>
    <x v="0"/>
    <x v="0"/>
    <x v="0"/>
    <n v="43"/>
    <n v="0"/>
    <n v="1.1164018580097708E+19"/>
  </r>
  <r>
    <b v="0"/>
    <x v="37"/>
    <x v="38"/>
    <x v="9"/>
    <x v="35"/>
    <x v="29"/>
    <x v="16"/>
    <x v="35"/>
    <x v="0"/>
    <x v="10"/>
    <x v="0"/>
    <n v="44"/>
    <n v="0"/>
    <n v="5.0550195421433638E+17"/>
  </r>
  <r>
    <b v="0"/>
    <x v="38"/>
    <x v="39"/>
    <x v="19"/>
    <x v="20"/>
    <x v="37"/>
    <x v="4"/>
    <x v="20"/>
    <x v="0"/>
    <x v="0"/>
    <x v="0"/>
    <n v="45"/>
    <n v="0"/>
    <n v="1.7917046550072336E+19"/>
  </r>
  <r>
    <b v="0"/>
    <x v="39"/>
    <x v="40"/>
    <x v="29"/>
    <x v="16"/>
    <x v="38"/>
    <x v="3"/>
    <x v="36"/>
    <x v="0"/>
    <x v="11"/>
    <x v="0"/>
    <n v="46"/>
    <n v="0"/>
    <n v="1.4123287080701915E+19"/>
  </r>
  <r>
    <b v="0"/>
    <x v="40"/>
    <x v="41"/>
    <x v="30"/>
    <x v="36"/>
    <x v="39"/>
    <x v="22"/>
    <x v="37"/>
    <x v="0"/>
    <x v="12"/>
    <x v="0"/>
    <n v="47"/>
    <n v="0"/>
    <n v="5.9395965237847439E+18"/>
  </r>
  <r>
    <b v="0"/>
    <x v="41"/>
    <x v="3"/>
    <x v="31"/>
    <x v="37"/>
    <x v="40"/>
    <x v="23"/>
    <x v="38"/>
    <x v="0"/>
    <x v="0"/>
    <x v="0"/>
    <n v="48"/>
    <n v="0"/>
    <n v="8.4726438506512333E+18"/>
  </r>
  <r>
    <b v="0"/>
    <x v="42"/>
    <x v="42"/>
    <x v="32"/>
    <x v="13"/>
    <x v="8"/>
    <x v="15"/>
    <x v="39"/>
    <x v="0"/>
    <x v="0"/>
    <x v="0"/>
    <n v="49"/>
    <n v="0"/>
    <n v="1.0307869458779197E+19"/>
  </r>
  <r>
    <b v="0"/>
    <x v="43"/>
    <x v="43"/>
    <x v="33"/>
    <x v="38"/>
    <x v="41"/>
    <x v="24"/>
    <x v="40"/>
    <x v="0"/>
    <x v="11"/>
    <x v="0"/>
    <n v="50"/>
    <n v="0"/>
    <n v="1.6079667571670295E+19"/>
  </r>
  <r>
    <b v="0"/>
    <x v="44"/>
    <x v="44"/>
    <x v="34"/>
    <x v="26"/>
    <x v="42"/>
    <x v="9"/>
    <x v="41"/>
    <x v="0"/>
    <x v="2"/>
    <x v="0"/>
    <n v="51"/>
    <n v="0"/>
    <n v="2.1139894385064044E+18"/>
  </r>
  <r>
    <b v="0"/>
    <x v="45"/>
    <x v="45"/>
    <x v="35"/>
    <x v="35"/>
    <x v="43"/>
    <x v="4"/>
    <x v="42"/>
    <x v="0"/>
    <x v="0"/>
    <x v="0"/>
    <n v="52"/>
    <n v="0"/>
    <n v="7.9998466752197158E+17"/>
  </r>
  <r>
    <b v="0"/>
    <x v="46"/>
    <x v="46"/>
    <x v="36"/>
    <x v="26"/>
    <x v="21"/>
    <x v="4"/>
    <x v="43"/>
    <x v="0"/>
    <x v="0"/>
    <x v="0"/>
    <n v="53"/>
    <n v="0"/>
    <n v="8.0679734067844198E+18"/>
  </r>
  <r>
    <b v="0"/>
    <x v="47"/>
    <x v="3"/>
    <x v="37"/>
    <x v="3"/>
    <x v="44"/>
    <x v="19"/>
    <x v="44"/>
    <x v="0"/>
    <x v="13"/>
    <x v="0"/>
    <n v="54"/>
    <n v="0"/>
    <n v="1.5294428502340041E+19"/>
  </r>
  <r>
    <b v="0"/>
    <x v="48"/>
    <x v="47"/>
    <x v="38"/>
    <x v="3"/>
    <x v="45"/>
    <x v="7"/>
    <x v="45"/>
    <x v="0"/>
    <x v="3"/>
    <x v="0"/>
    <n v="55"/>
    <n v="0"/>
    <n v="4.7755695369151034E+17"/>
  </r>
  <r>
    <b v="0"/>
    <x v="49"/>
    <x v="48"/>
    <x v="22"/>
    <x v="32"/>
    <x v="44"/>
    <x v="16"/>
    <x v="46"/>
    <x v="0"/>
    <x v="14"/>
    <x v="0"/>
    <n v="56"/>
    <n v="0"/>
    <n v="8.2736441523425341E+18"/>
  </r>
  <r>
    <b v="0"/>
    <x v="50"/>
    <x v="25"/>
    <x v="19"/>
    <x v="3"/>
    <x v="29"/>
    <x v="9"/>
    <x v="22"/>
    <x v="0"/>
    <x v="0"/>
    <x v="0"/>
    <n v="57"/>
    <n v="0"/>
    <n v="6.9166164519361669E+18"/>
  </r>
  <r>
    <b v="0"/>
    <x v="51"/>
    <x v="49"/>
    <x v="39"/>
    <x v="39"/>
    <x v="2"/>
    <x v="15"/>
    <x v="47"/>
    <x v="0"/>
    <x v="0"/>
    <x v="0"/>
    <n v="58"/>
    <n v="0"/>
    <n v="1.8146952881356997E+19"/>
  </r>
  <r>
    <b v="0"/>
    <x v="51"/>
    <x v="50"/>
    <x v="8"/>
    <x v="35"/>
    <x v="19"/>
    <x v="3"/>
    <x v="48"/>
    <x v="0"/>
    <x v="2"/>
    <x v="0"/>
    <n v="59"/>
    <n v="0"/>
    <n v="1.7355046655640304E+19"/>
  </r>
  <r>
    <b v="0"/>
    <x v="52"/>
    <x v="51"/>
    <x v="4"/>
    <x v="40"/>
    <x v="23"/>
    <x v="25"/>
    <x v="35"/>
    <x v="0"/>
    <x v="0"/>
    <x v="0"/>
    <n v="60"/>
    <n v="0"/>
    <n v="1.1153410217703352E+19"/>
  </r>
  <r>
    <b v="0"/>
    <x v="53"/>
    <x v="52"/>
    <x v="6"/>
    <x v="30"/>
    <x v="46"/>
    <x v="26"/>
    <x v="49"/>
    <x v="3"/>
    <x v="0"/>
    <x v="0"/>
    <n v="61"/>
    <n v="0"/>
    <n v="3.8530557440866573E+17"/>
  </r>
  <r>
    <b v="0"/>
    <x v="54"/>
    <x v="53"/>
    <x v="40"/>
    <x v="41"/>
    <x v="47"/>
    <x v="27"/>
    <x v="50"/>
    <x v="0"/>
    <x v="2"/>
    <x v="0"/>
    <n v="62"/>
    <n v="0"/>
    <n v="1.0734698147621154E+17"/>
  </r>
  <r>
    <b v="0"/>
    <x v="55"/>
    <x v="54"/>
    <x v="41"/>
    <x v="42"/>
    <x v="48"/>
    <x v="28"/>
    <x v="51"/>
    <x v="0"/>
    <x v="0"/>
    <x v="0"/>
    <n v="63"/>
    <n v="0"/>
    <n v="3.5068302468992532E+18"/>
  </r>
  <r>
    <b v="0"/>
    <x v="54"/>
    <x v="49"/>
    <x v="39"/>
    <x v="43"/>
    <x v="49"/>
    <x v="29"/>
    <x v="52"/>
    <x v="0"/>
    <x v="5"/>
    <x v="0"/>
    <n v="64"/>
    <n v="0"/>
    <n v="6.4117239283645164E+18"/>
  </r>
  <r>
    <b v="0"/>
    <x v="56"/>
    <x v="55"/>
    <x v="11"/>
    <x v="32"/>
    <x v="50"/>
    <x v="24"/>
    <x v="53"/>
    <x v="0"/>
    <x v="0"/>
    <x v="0"/>
    <n v="65"/>
    <n v="0"/>
    <n v="1.1270447503180661E+19"/>
  </r>
  <r>
    <b v="0"/>
    <x v="57"/>
    <x v="56"/>
    <x v="42"/>
    <x v="44"/>
    <x v="51"/>
    <x v="30"/>
    <x v="54"/>
    <x v="0"/>
    <x v="4"/>
    <x v="0"/>
    <n v="66"/>
    <n v="0"/>
    <n v="7.2605215081065595E+18"/>
  </r>
  <r>
    <b v="0"/>
    <x v="57"/>
    <x v="56"/>
    <x v="42"/>
    <x v="44"/>
    <x v="52"/>
    <x v="30"/>
    <x v="54"/>
    <x v="0"/>
    <x v="4"/>
    <x v="0"/>
    <n v="67"/>
    <n v="0"/>
    <n v="1.4862850280404163E+19"/>
  </r>
  <r>
    <b v="0"/>
    <x v="57"/>
    <x v="57"/>
    <x v="6"/>
    <x v="43"/>
    <x v="53"/>
    <x v="27"/>
    <x v="37"/>
    <x v="0"/>
    <x v="11"/>
    <x v="0"/>
    <n v="68"/>
    <n v="0"/>
    <n v="1.2647272228351508E+19"/>
  </r>
  <r>
    <b v="0"/>
    <x v="58"/>
    <x v="58"/>
    <x v="6"/>
    <x v="45"/>
    <x v="40"/>
    <x v="26"/>
    <x v="55"/>
    <x v="0"/>
    <x v="15"/>
    <x v="0"/>
    <n v="69"/>
    <n v="0"/>
    <n v="1.7615794823609125E+19"/>
  </r>
  <r>
    <b v="0"/>
    <x v="59"/>
    <x v="59"/>
    <x v="13"/>
    <x v="46"/>
    <x v="54"/>
    <x v="31"/>
    <x v="56"/>
    <x v="0"/>
    <x v="16"/>
    <x v="1"/>
    <n v="70"/>
    <n v="0"/>
    <n v="1.1410450549984692E+19"/>
  </r>
  <r>
    <b v="0"/>
    <x v="60"/>
    <x v="0"/>
    <x v="43"/>
    <x v="10"/>
    <x v="50"/>
    <x v="11"/>
    <x v="57"/>
    <x v="0"/>
    <x v="17"/>
    <x v="1"/>
    <n v="71"/>
    <n v="0"/>
    <n v="1.2465710035087849E+19"/>
  </r>
  <r>
    <b v="0"/>
    <x v="61"/>
    <x v="60"/>
    <x v="11"/>
    <x v="47"/>
    <x v="55"/>
    <x v="8"/>
    <x v="1"/>
    <x v="0"/>
    <x v="0"/>
    <x v="1"/>
    <n v="72"/>
    <n v="0"/>
    <n v="1.6158565548632486E+19"/>
  </r>
  <r>
    <b v="0"/>
    <x v="62"/>
    <x v="61"/>
    <x v="17"/>
    <x v="48"/>
    <x v="56"/>
    <x v="12"/>
    <x v="58"/>
    <x v="0"/>
    <x v="0"/>
    <x v="1"/>
    <n v="73"/>
    <n v="0"/>
    <n v="1.6262607711811527E+19"/>
  </r>
  <r>
    <b v="0"/>
    <x v="5"/>
    <x v="19"/>
    <x v="10"/>
    <x v="2"/>
    <x v="14"/>
    <x v="32"/>
    <x v="59"/>
    <x v="0"/>
    <x v="0"/>
    <x v="1"/>
    <n v="74"/>
    <n v="0"/>
    <n v="1.3931059571021316E+19"/>
  </r>
  <r>
    <b v="0"/>
    <x v="63"/>
    <x v="19"/>
    <x v="6"/>
    <x v="49"/>
    <x v="57"/>
    <x v="10"/>
    <x v="60"/>
    <x v="0"/>
    <x v="0"/>
    <x v="1"/>
    <n v="75"/>
    <n v="0"/>
    <n v="1.5514887740452063E+19"/>
  </r>
  <r>
    <b v="0"/>
    <x v="64"/>
    <x v="62"/>
    <x v="5"/>
    <x v="2"/>
    <x v="58"/>
    <x v="33"/>
    <x v="47"/>
    <x v="0"/>
    <x v="0"/>
    <x v="1"/>
    <n v="76"/>
    <n v="0"/>
    <n v="1.8444135329337856E+19"/>
  </r>
  <r>
    <b v="0"/>
    <x v="65"/>
    <x v="9"/>
    <x v="6"/>
    <x v="2"/>
    <x v="59"/>
    <x v="12"/>
    <x v="61"/>
    <x v="0"/>
    <x v="0"/>
    <x v="1"/>
    <n v="77"/>
    <n v="0"/>
    <n v="8.3441708235998761E+18"/>
  </r>
  <r>
    <b v="0"/>
    <x v="66"/>
    <x v="63"/>
    <x v="20"/>
    <x v="50"/>
    <x v="60"/>
    <x v="34"/>
    <x v="62"/>
    <x v="0"/>
    <x v="7"/>
    <x v="1"/>
    <n v="78"/>
    <n v="0"/>
    <n v="7.1149775745601669E+18"/>
  </r>
  <r>
    <b v="0"/>
    <x v="63"/>
    <x v="20"/>
    <x v="20"/>
    <x v="51"/>
    <x v="26"/>
    <x v="10"/>
    <x v="63"/>
    <x v="0"/>
    <x v="0"/>
    <x v="1"/>
    <n v="79"/>
    <n v="0"/>
    <n v="1.5597970781871991E+19"/>
  </r>
  <r>
    <b v="0"/>
    <x v="67"/>
    <x v="13"/>
    <x v="20"/>
    <x v="52"/>
    <x v="61"/>
    <x v="10"/>
    <x v="63"/>
    <x v="0"/>
    <x v="0"/>
    <x v="1"/>
    <n v="80"/>
    <n v="0"/>
    <n v="2.2922766822501604E+18"/>
  </r>
  <r>
    <b v="0"/>
    <x v="61"/>
    <x v="64"/>
    <x v="23"/>
    <x v="25"/>
    <x v="62"/>
    <x v="12"/>
    <x v="64"/>
    <x v="0"/>
    <x v="0"/>
    <x v="1"/>
    <n v="81"/>
    <n v="0"/>
    <n v="1.34527758960442E+19"/>
  </r>
  <r>
    <b v="0"/>
    <x v="68"/>
    <x v="65"/>
    <x v="2"/>
    <x v="50"/>
    <x v="63"/>
    <x v="35"/>
    <x v="65"/>
    <x v="0"/>
    <x v="0"/>
    <x v="1"/>
    <n v="82"/>
    <n v="0"/>
    <n v="1.5696663732969404E+19"/>
  </r>
  <r>
    <b v="0"/>
    <x v="69"/>
    <x v="60"/>
    <x v="20"/>
    <x v="53"/>
    <x v="56"/>
    <x v="35"/>
    <x v="11"/>
    <x v="0"/>
    <x v="13"/>
    <x v="1"/>
    <n v="83"/>
    <n v="0"/>
    <n v="1.1065037881588228E+19"/>
  </r>
  <r>
    <b v="0"/>
    <x v="70"/>
    <x v="66"/>
    <x v="44"/>
    <x v="54"/>
    <x v="64"/>
    <x v="36"/>
    <x v="66"/>
    <x v="0"/>
    <x v="0"/>
    <x v="1"/>
    <n v="84"/>
    <n v="0"/>
    <n v="8.7710226927621427E+18"/>
  </r>
  <r>
    <b v="0"/>
    <x v="71"/>
    <x v="67"/>
    <x v="6"/>
    <x v="18"/>
    <x v="38"/>
    <x v="37"/>
    <x v="67"/>
    <x v="0"/>
    <x v="0"/>
    <x v="1"/>
    <n v="85"/>
    <n v="0"/>
    <n v="5.9883302413961482E+18"/>
  </r>
  <r>
    <b v="0"/>
    <x v="72"/>
    <x v="68"/>
    <x v="21"/>
    <x v="55"/>
    <x v="65"/>
    <x v="38"/>
    <x v="47"/>
    <x v="0"/>
    <x v="0"/>
    <x v="1"/>
    <n v="86"/>
    <n v="0"/>
    <n v="1.9961449318753098E+18"/>
  </r>
  <r>
    <b v="0"/>
    <x v="64"/>
    <x v="69"/>
    <x v="21"/>
    <x v="47"/>
    <x v="66"/>
    <x v="8"/>
    <x v="68"/>
    <x v="0"/>
    <x v="12"/>
    <x v="1"/>
    <n v="87"/>
    <n v="0"/>
    <n v="6.2138686314207304E+18"/>
  </r>
  <r>
    <b v="0"/>
    <x v="2"/>
    <x v="70"/>
    <x v="18"/>
    <x v="56"/>
    <x v="67"/>
    <x v="9"/>
    <x v="69"/>
    <x v="0"/>
    <x v="0"/>
    <x v="1"/>
    <n v="88"/>
    <n v="0"/>
    <n v="1.5569722699281302E+19"/>
  </r>
  <r>
    <b v="0"/>
    <x v="73"/>
    <x v="71"/>
    <x v="19"/>
    <x v="57"/>
    <x v="68"/>
    <x v="39"/>
    <x v="68"/>
    <x v="0"/>
    <x v="13"/>
    <x v="1"/>
    <n v="89"/>
    <n v="0"/>
    <n v="1.3939193364913545E+19"/>
  </r>
  <r>
    <b v="0"/>
    <x v="74"/>
    <x v="72"/>
    <x v="39"/>
    <x v="40"/>
    <x v="64"/>
    <x v="5"/>
    <x v="70"/>
    <x v="0"/>
    <x v="8"/>
    <x v="1"/>
    <n v="90"/>
    <n v="0"/>
    <n v="1.4804780648740696E+19"/>
  </r>
  <r>
    <b v="0"/>
    <x v="75"/>
    <x v="73"/>
    <x v="45"/>
    <x v="58"/>
    <x v="69"/>
    <x v="40"/>
    <x v="48"/>
    <x v="0"/>
    <x v="0"/>
    <x v="1"/>
    <n v="91"/>
    <n v="0"/>
    <n v="1.5972345824075432E+19"/>
  </r>
  <r>
    <b v="0"/>
    <x v="76"/>
    <x v="57"/>
    <x v="46"/>
    <x v="59"/>
    <x v="70"/>
    <x v="41"/>
    <x v="14"/>
    <x v="0"/>
    <x v="6"/>
    <x v="1"/>
    <n v="92"/>
    <n v="0"/>
    <n v="1.4655286328862614E+19"/>
  </r>
  <r>
    <b v="0"/>
    <x v="63"/>
    <x v="68"/>
    <x v="47"/>
    <x v="55"/>
    <x v="55"/>
    <x v="2"/>
    <x v="3"/>
    <x v="0"/>
    <x v="0"/>
    <x v="1"/>
    <n v="93"/>
    <n v="0"/>
    <n v="1.2865549011964289E+19"/>
  </r>
  <r>
    <b v="0"/>
    <x v="77"/>
    <x v="36"/>
    <x v="34"/>
    <x v="18"/>
    <x v="11"/>
    <x v="8"/>
    <x v="6"/>
    <x v="0"/>
    <x v="0"/>
    <x v="1"/>
    <n v="94"/>
    <n v="0"/>
    <n v="1.259411369862487E+19"/>
  </r>
  <r>
    <b v="0"/>
    <x v="78"/>
    <x v="67"/>
    <x v="9"/>
    <x v="25"/>
    <x v="71"/>
    <x v="19"/>
    <x v="71"/>
    <x v="0"/>
    <x v="0"/>
    <x v="1"/>
    <n v="95"/>
    <n v="0"/>
    <n v="1.5322410696657981E+19"/>
  </r>
  <r>
    <b v="0"/>
    <x v="74"/>
    <x v="19"/>
    <x v="4"/>
    <x v="60"/>
    <x v="72"/>
    <x v="5"/>
    <x v="72"/>
    <x v="0"/>
    <x v="18"/>
    <x v="1"/>
    <n v="96"/>
    <n v="0"/>
    <n v="1.771633611740492E+19"/>
  </r>
  <r>
    <b v="0"/>
    <x v="6"/>
    <x v="74"/>
    <x v="48"/>
    <x v="14"/>
    <x v="73"/>
    <x v="16"/>
    <x v="73"/>
    <x v="0"/>
    <x v="3"/>
    <x v="1"/>
    <n v="97"/>
    <n v="0"/>
    <n v="1.400119361775455E+19"/>
  </r>
  <r>
    <b v="0"/>
    <x v="79"/>
    <x v="75"/>
    <x v="49"/>
    <x v="61"/>
    <x v="12"/>
    <x v="42"/>
    <x v="24"/>
    <x v="0"/>
    <x v="0"/>
    <x v="1"/>
    <n v="98"/>
    <n v="0"/>
    <n v="1.9614555129716918E+18"/>
  </r>
  <r>
    <b v="0"/>
    <x v="80"/>
    <x v="76"/>
    <x v="50"/>
    <x v="25"/>
    <x v="74"/>
    <x v="9"/>
    <x v="74"/>
    <x v="4"/>
    <x v="0"/>
    <x v="1"/>
    <n v="99"/>
    <n v="0"/>
    <n v="1.2526216482792587E+19"/>
  </r>
  <r>
    <b v="0"/>
    <x v="81"/>
    <x v="77"/>
    <x v="51"/>
    <x v="62"/>
    <x v="27"/>
    <x v="3"/>
    <x v="74"/>
    <x v="2"/>
    <x v="8"/>
    <x v="1"/>
    <n v="100"/>
    <n v="0"/>
    <n v="1.6803446488907629E+19"/>
  </r>
  <r>
    <b v="0"/>
    <x v="82"/>
    <x v="78"/>
    <x v="52"/>
    <x v="63"/>
    <x v="56"/>
    <x v="43"/>
    <x v="75"/>
    <x v="0"/>
    <x v="0"/>
    <x v="1"/>
    <n v="101"/>
    <n v="0"/>
    <n v="1.0559342937058253E+19"/>
  </r>
  <r>
    <b v="0"/>
    <x v="83"/>
    <x v="79"/>
    <x v="53"/>
    <x v="64"/>
    <x v="75"/>
    <x v="44"/>
    <x v="76"/>
    <x v="0"/>
    <x v="19"/>
    <x v="1"/>
    <n v="102"/>
    <n v="0"/>
    <n v="6.1844012752917012E+18"/>
  </r>
  <r>
    <b v="0"/>
    <x v="84"/>
    <x v="80"/>
    <x v="54"/>
    <x v="65"/>
    <x v="76"/>
    <x v="45"/>
    <x v="77"/>
    <x v="0"/>
    <x v="0"/>
    <x v="1"/>
    <n v="103"/>
    <n v="0"/>
    <n v="6.9822814427762509E+17"/>
  </r>
  <r>
    <b v="0"/>
    <x v="85"/>
    <x v="81"/>
    <x v="55"/>
    <x v="39"/>
    <x v="77"/>
    <x v="45"/>
    <x v="78"/>
    <x v="0"/>
    <x v="0"/>
    <x v="1"/>
    <n v="104"/>
    <n v="0"/>
    <n v="1.6810474909155117E+19"/>
  </r>
  <r>
    <b v="0"/>
    <x v="86"/>
    <x v="82"/>
    <x v="56"/>
    <x v="66"/>
    <x v="78"/>
    <x v="46"/>
    <x v="79"/>
    <x v="0"/>
    <x v="20"/>
    <x v="1"/>
    <n v="105"/>
    <n v="0"/>
    <n v="1.4102285328068723E+19"/>
  </r>
  <r>
    <b v="0"/>
    <x v="87"/>
    <x v="83"/>
    <x v="56"/>
    <x v="67"/>
    <x v="79"/>
    <x v="6"/>
    <x v="80"/>
    <x v="5"/>
    <x v="21"/>
    <x v="1"/>
    <n v="106"/>
    <n v="0"/>
    <n v="5.574636798955434E+18"/>
  </r>
  <r>
    <b v="0"/>
    <x v="88"/>
    <x v="84"/>
    <x v="56"/>
    <x v="68"/>
    <x v="80"/>
    <x v="26"/>
    <x v="81"/>
    <x v="0"/>
    <x v="3"/>
    <x v="1"/>
    <n v="107"/>
    <n v="0"/>
    <n v="1.6285680973990654E+19"/>
  </r>
  <r>
    <b v="0"/>
    <x v="89"/>
    <x v="85"/>
    <x v="56"/>
    <x v="68"/>
    <x v="81"/>
    <x v="47"/>
    <x v="82"/>
    <x v="0"/>
    <x v="22"/>
    <x v="1"/>
    <n v="108"/>
    <n v="0"/>
    <n v="1.3960551474562234E+19"/>
  </r>
  <r>
    <b v="0"/>
    <x v="90"/>
    <x v="43"/>
    <x v="56"/>
    <x v="69"/>
    <x v="82"/>
    <x v="28"/>
    <x v="83"/>
    <x v="0"/>
    <x v="0"/>
    <x v="1"/>
    <n v="109"/>
    <n v="0"/>
    <n v="1.652463555387854E+19"/>
  </r>
  <r>
    <b v="0"/>
    <x v="91"/>
    <x v="86"/>
    <x v="56"/>
    <x v="70"/>
    <x v="12"/>
    <x v="28"/>
    <x v="84"/>
    <x v="0"/>
    <x v="0"/>
    <x v="1"/>
    <n v="110"/>
    <n v="0"/>
    <n v="1.6140476129807151E+19"/>
  </r>
  <r>
    <b v="0"/>
    <x v="92"/>
    <x v="87"/>
    <x v="56"/>
    <x v="71"/>
    <x v="4"/>
    <x v="28"/>
    <x v="85"/>
    <x v="0"/>
    <x v="0"/>
    <x v="1"/>
    <n v="111"/>
    <n v="0"/>
    <n v="9.1920899937042278E+17"/>
  </r>
  <r>
    <b v="0"/>
    <x v="93"/>
    <x v="88"/>
    <x v="56"/>
    <x v="72"/>
    <x v="18"/>
    <x v="0"/>
    <x v="86"/>
    <x v="0"/>
    <x v="0"/>
    <x v="1"/>
    <n v="112"/>
    <n v="0"/>
    <n v="2.6292911725513042E+18"/>
  </r>
  <r>
    <b v="0"/>
    <x v="94"/>
    <x v="89"/>
    <x v="57"/>
    <x v="73"/>
    <x v="83"/>
    <x v="3"/>
    <x v="67"/>
    <x v="0"/>
    <x v="7"/>
    <x v="1"/>
    <n v="113"/>
    <n v="0"/>
    <n v="1.6038950555873872E+19"/>
  </r>
  <r>
    <b v="0"/>
    <x v="95"/>
    <x v="90"/>
    <x v="58"/>
    <x v="35"/>
    <x v="84"/>
    <x v="9"/>
    <x v="22"/>
    <x v="0"/>
    <x v="0"/>
    <x v="1"/>
    <n v="114"/>
    <n v="0"/>
    <n v="9.3895451686856684E+18"/>
  </r>
  <r>
    <b v="0"/>
    <x v="96"/>
    <x v="65"/>
    <x v="59"/>
    <x v="24"/>
    <x v="85"/>
    <x v="19"/>
    <x v="87"/>
    <x v="0"/>
    <x v="0"/>
    <x v="1"/>
    <n v="115"/>
    <n v="0"/>
    <n v="1.398934890434285E+19"/>
  </r>
  <r>
    <b v="0"/>
    <x v="97"/>
    <x v="68"/>
    <x v="60"/>
    <x v="23"/>
    <x v="86"/>
    <x v="4"/>
    <x v="88"/>
    <x v="0"/>
    <x v="12"/>
    <x v="1"/>
    <n v="116"/>
    <n v="0"/>
    <n v="8.0483976651592847E+18"/>
  </r>
  <r>
    <b v="0"/>
    <x v="98"/>
    <x v="43"/>
    <x v="61"/>
    <x v="74"/>
    <x v="87"/>
    <x v="5"/>
    <x v="89"/>
    <x v="0"/>
    <x v="0"/>
    <x v="1"/>
    <n v="117"/>
    <n v="0"/>
    <n v="6.6146364334193019E+18"/>
  </r>
  <r>
    <b v="0"/>
    <x v="99"/>
    <x v="6"/>
    <x v="62"/>
    <x v="75"/>
    <x v="88"/>
    <x v="18"/>
    <x v="47"/>
    <x v="0"/>
    <x v="23"/>
    <x v="1"/>
    <n v="118"/>
    <n v="0"/>
    <n v="7.5811727311750615E+18"/>
  </r>
  <r>
    <b v="0"/>
    <x v="100"/>
    <x v="91"/>
    <x v="17"/>
    <x v="55"/>
    <x v="89"/>
    <x v="5"/>
    <x v="60"/>
    <x v="0"/>
    <x v="0"/>
    <x v="1"/>
    <n v="119"/>
    <n v="0"/>
    <n v="3.394372229211905E+18"/>
  </r>
  <r>
    <b v="0"/>
    <x v="101"/>
    <x v="64"/>
    <x v="63"/>
    <x v="30"/>
    <x v="90"/>
    <x v="6"/>
    <x v="90"/>
    <x v="0"/>
    <x v="0"/>
    <x v="1"/>
    <n v="120"/>
    <n v="0"/>
    <n v="1.7974260524390351E+19"/>
  </r>
  <r>
    <b v="0"/>
    <x v="102"/>
    <x v="72"/>
    <x v="12"/>
    <x v="5"/>
    <x v="32"/>
    <x v="5"/>
    <x v="47"/>
    <x v="0"/>
    <x v="24"/>
    <x v="1"/>
    <n v="121"/>
    <n v="0"/>
    <n v="6.483528148871125E+18"/>
  </r>
  <r>
    <b v="0"/>
    <x v="103"/>
    <x v="92"/>
    <x v="12"/>
    <x v="56"/>
    <x v="43"/>
    <x v="7"/>
    <x v="65"/>
    <x v="0"/>
    <x v="0"/>
    <x v="1"/>
    <n v="122"/>
    <n v="0"/>
    <n v="6.1754662698171597E+18"/>
  </r>
  <r>
    <b v="0"/>
    <x v="104"/>
    <x v="49"/>
    <x v="19"/>
    <x v="61"/>
    <x v="91"/>
    <x v="16"/>
    <x v="91"/>
    <x v="0"/>
    <x v="0"/>
    <x v="1"/>
    <n v="123"/>
    <n v="0"/>
    <n v="1.6577378610575331E+19"/>
  </r>
  <r>
    <b v="0"/>
    <x v="105"/>
    <x v="44"/>
    <x v="61"/>
    <x v="21"/>
    <x v="17"/>
    <x v="11"/>
    <x v="19"/>
    <x v="0"/>
    <x v="0"/>
    <x v="1"/>
    <n v="124"/>
    <n v="0"/>
    <n v="1.6801324844116853E+19"/>
  </r>
  <r>
    <b v="0"/>
    <x v="106"/>
    <x v="72"/>
    <x v="8"/>
    <x v="9"/>
    <x v="92"/>
    <x v="6"/>
    <x v="27"/>
    <x v="0"/>
    <x v="16"/>
    <x v="1"/>
    <n v="125"/>
    <n v="0"/>
    <n v="1.5012077837791685E+19"/>
  </r>
  <r>
    <b v="0"/>
    <x v="107"/>
    <x v="93"/>
    <x v="5"/>
    <x v="73"/>
    <x v="17"/>
    <x v="7"/>
    <x v="71"/>
    <x v="0"/>
    <x v="0"/>
    <x v="1"/>
    <n v="126"/>
    <n v="0"/>
    <n v="2.5913054789973192E+18"/>
  </r>
  <r>
    <b v="0"/>
    <x v="108"/>
    <x v="94"/>
    <x v="64"/>
    <x v="25"/>
    <x v="40"/>
    <x v="48"/>
    <x v="54"/>
    <x v="0"/>
    <x v="4"/>
    <x v="1"/>
    <n v="127"/>
    <n v="0"/>
    <n v="1.7834291086102952E+19"/>
  </r>
  <r>
    <b v="0"/>
    <x v="109"/>
    <x v="95"/>
    <x v="65"/>
    <x v="76"/>
    <x v="93"/>
    <x v="49"/>
    <x v="31"/>
    <x v="6"/>
    <x v="4"/>
    <x v="1"/>
    <n v="128"/>
    <n v="0"/>
    <n v="1.5861874678083762E+19"/>
  </r>
  <r>
    <b v="0"/>
    <x v="110"/>
    <x v="96"/>
    <x v="66"/>
    <x v="63"/>
    <x v="36"/>
    <x v="2"/>
    <x v="92"/>
    <x v="0"/>
    <x v="25"/>
    <x v="1"/>
    <n v="129"/>
    <n v="0"/>
    <n v="1.6026158999200831E+19"/>
  </r>
  <r>
    <b v="0"/>
    <x v="105"/>
    <x v="97"/>
    <x v="67"/>
    <x v="1"/>
    <x v="78"/>
    <x v="50"/>
    <x v="93"/>
    <x v="0"/>
    <x v="0"/>
    <x v="1"/>
    <n v="130"/>
    <n v="0"/>
    <n v="1.781880407131863E+19"/>
  </r>
  <r>
    <b v="0"/>
    <x v="111"/>
    <x v="98"/>
    <x v="56"/>
    <x v="1"/>
    <x v="94"/>
    <x v="30"/>
    <x v="94"/>
    <x v="0"/>
    <x v="12"/>
    <x v="1"/>
    <n v="131"/>
    <n v="0"/>
    <n v="8.8820846455829688E+18"/>
  </r>
  <r>
    <b v="0"/>
    <x v="112"/>
    <x v="45"/>
    <x v="68"/>
    <x v="16"/>
    <x v="95"/>
    <x v="6"/>
    <x v="95"/>
    <x v="0"/>
    <x v="0"/>
    <x v="1"/>
    <n v="132"/>
    <n v="0"/>
    <n v="5.3333580506253916E+18"/>
  </r>
  <r>
    <b v="0"/>
    <x v="113"/>
    <x v="99"/>
    <x v="69"/>
    <x v="2"/>
    <x v="31"/>
    <x v="11"/>
    <x v="67"/>
    <x v="0"/>
    <x v="18"/>
    <x v="1"/>
    <n v="133"/>
    <n v="0"/>
    <n v="9.7633142685414154E+18"/>
  </r>
  <r>
    <b v="0"/>
    <x v="80"/>
    <x v="100"/>
    <x v="14"/>
    <x v="50"/>
    <x v="96"/>
    <x v="51"/>
    <x v="69"/>
    <x v="0"/>
    <x v="0"/>
    <x v="1"/>
    <n v="134"/>
    <n v="0"/>
    <n v="1.7981395390584048E+19"/>
  </r>
  <r>
    <b v="0"/>
    <x v="114"/>
    <x v="40"/>
    <x v="60"/>
    <x v="27"/>
    <x v="86"/>
    <x v="4"/>
    <x v="18"/>
    <x v="0"/>
    <x v="21"/>
    <x v="1"/>
    <n v="135"/>
    <n v="0"/>
    <n v="1.5698738232343816E+19"/>
  </r>
  <r>
    <b v="0"/>
    <x v="115"/>
    <x v="9"/>
    <x v="70"/>
    <x v="77"/>
    <x v="97"/>
    <x v="7"/>
    <x v="12"/>
    <x v="0"/>
    <x v="16"/>
    <x v="1"/>
    <n v="136"/>
    <n v="0"/>
    <n v="6.6411897875116687E+18"/>
  </r>
  <r>
    <b v="0"/>
    <x v="116"/>
    <x v="101"/>
    <x v="4"/>
    <x v="48"/>
    <x v="32"/>
    <x v="12"/>
    <x v="96"/>
    <x v="0"/>
    <x v="0"/>
    <x v="1"/>
    <n v="137"/>
    <n v="0"/>
    <n v="8.7305770929908152E+18"/>
  </r>
  <r>
    <b v="0"/>
    <x v="117"/>
    <x v="5"/>
    <x v="20"/>
    <x v="2"/>
    <x v="98"/>
    <x v="33"/>
    <x v="59"/>
    <x v="0"/>
    <x v="0"/>
    <x v="1"/>
    <n v="138"/>
    <n v="0"/>
    <n v="1.1062389789209913E+19"/>
  </r>
  <r>
    <b v="0"/>
    <x v="117"/>
    <x v="25"/>
    <x v="10"/>
    <x v="78"/>
    <x v="99"/>
    <x v="18"/>
    <x v="91"/>
    <x v="0"/>
    <x v="0"/>
    <x v="1"/>
    <n v="139"/>
    <n v="0"/>
    <n v="6.5454277106357391E+18"/>
  </r>
  <r>
    <b v="0"/>
    <x v="118"/>
    <x v="100"/>
    <x v="12"/>
    <x v="79"/>
    <x v="100"/>
    <x v="35"/>
    <x v="96"/>
    <x v="0"/>
    <x v="0"/>
    <x v="1"/>
    <n v="140"/>
    <n v="0"/>
    <n v="1.3407356814972522E+19"/>
  </r>
  <r>
    <b v="0"/>
    <x v="119"/>
    <x v="44"/>
    <x v="71"/>
    <x v="80"/>
    <x v="59"/>
    <x v="3"/>
    <x v="97"/>
    <x v="1"/>
    <x v="4"/>
    <x v="1"/>
    <n v="141"/>
    <n v="0"/>
    <n v="7.6573217127276493E+17"/>
  </r>
  <r>
    <b v="0"/>
    <x v="120"/>
    <x v="30"/>
    <x v="72"/>
    <x v="62"/>
    <x v="10"/>
    <x v="35"/>
    <x v="98"/>
    <x v="7"/>
    <x v="26"/>
    <x v="1"/>
    <n v="142"/>
    <n v="0"/>
    <n v="1.0963763870795301E+19"/>
  </r>
  <r>
    <b v="0"/>
    <x v="121"/>
    <x v="9"/>
    <x v="22"/>
    <x v="81"/>
    <x v="38"/>
    <x v="33"/>
    <x v="99"/>
    <x v="0"/>
    <x v="0"/>
    <x v="1"/>
    <n v="143"/>
    <n v="0"/>
    <n v="6.6805433954083287E+18"/>
  </r>
  <r>
    <b v="0"/>
    <x v="122"/>
    <x v="48"/>
    <x v="73"/>
    <x v="13"/>
    <x v="5"/>
    <x v="6"/>
    <x v="100"/>
    <x v="0"/>
    <x v="3"/>
    <x v="1"/>
    <n v="144"/>
    <n v="0"/>
    <n v="1.5294179340927668E+19"/>
  </r>
  <r>
    <b v="0"/>
    <x v="123"/>
    <x v="30"/>
    <x v="13"/>
    <x v="4"/>
    <x v="101"/>
    <x v="16"/>
    <x v="30"/>
    <x v="0"/>
    <x v="27"/>
    <x v="1"/>
    <n v="145"/>
    <n v="0"/>
    <n v="1.7242436414944772E+19"/>
  </r>
  <r>
    <b v="0"/>
    <x v="48"/>
    <x v="102"/>
    <x v="8"/>
    <x v="40"/>
    <x v="102"/>
    <x v="20"/>
    <x v="71"/>
    <x v="0"/>
    <x v="0"/>
    <x v="2"/>
    <n v="146"/>
    <n v="0"/>
    <n v="1.4955076603437304E+19"/>
  </r>
  <r>
    <b v="0"/>
    <x v="124"/>
    <x v="100"/>
    <x v="24"/>
    <x v="29"/>
    <x v="81"/>
    <x v="7"/>
    <x v="101"/>
    <x v="0"/>
    <x v="0"/>
    <x v="2"/>
    <n v="147"/>
    <n v="0"/>
    <n v="3.9096102987356998E+17"/>
  </r>
  <r>
    <b v="0"/>
    <x v="125"/>
    <x v="68"/>
    <x v="17"/>
    <x v="28"/>
    <x v="103"/>
    <x v="7"/>
    <x v="18"/>
    <x v="0"/>
    <x v="12"/>
    <x v="2"/>
    <n v="148"/>
    <n v="0"/>
    <n v="1.1469495952392657E+19"/>
  </r>
  <r>
    <b v="0"/>
    <x v="126"/>
    <x v="103"/>
    <x v="20"/>
    <x v="20"/>
    <x v="67"/>
    <x v="3"/>
    <x v="23"/>
    <x v="0"/>
    <x v="0"/>
    <x v="2"/>
    <n v="149"/>
    <n v="0"/>
    <n v="1.0974803991688456E+19"/>
  </r>
  <r>
    <b v="0"/>
    <x v="127"/>
    <x v="46"/>
    <x v="23"/>
    <x v="82"/>
    <x v="104"/>
    <x v="9"/>
    <x v="12"/>
    <x v="0"/>
    <x v="4"/>
    <x v="2"/>
    <n v="150"/>
    <n v="0"/>
    <n v="5.3753280520104069E+18"/>
  </r>
  <r>
    <b v="0"/>
    <x v="128"/>
    <x v="104"/>
    <x v="60"/>
    <x v="64"/>
    <x v="105"/>
    <x v="28"/>
    <x v="102"/>
    <x v="0"/>
    <x v="0"/>
    <x v="2"/>
    <n v="151"/>
    <n v="0"/>
    <n v="1.5558709685898381E+19"/>
  </r>
  <r>
    <b v="0"/>
    <x v="35"/>
    <x v="0"/>
    <x v="42"/>
    <x v="83"/>
    <x v="22"/>
    <x v="0"/>
    <x v="103"/>
    <x v="0"/>
    <x v="0"/>
    <x v="2"/>
    <n v="152"/>
    <n v="0"/>
    <n v="1.6479197111845351E+19"/>
  </r>
  <r>
    <b v="0"/>
    <x v="124"/>
    <x v="105"/>
    <x v="74"/>
    <x v="84"/>
    <x v="106"/>
    <x v="15"/>
    <x v="57"/>
    <x v="0"/>
    <x v="0"/>
    <x v="2"/>
    <n v="153"/>
    <n v="0"/>
    <n v="1.6642921517523825E+19"/>
  </r>
  <r>
    <b v="0"/>
    <x v="129"/>
    <x v="13"/>
    <x v="6"/>
    <x v="12"/>
    <x v="3"/>
    <x v="12"/>
    <x v="74"/>
    <x v="0"/>
    <x v="0"/>
    <x v="2"/>
    <n v="154"/>
    <n v="0"/>
    <n v="1.6989637665278632E+19"/>
  </r>
  <r>
    <b v="0"/>
    <x v="68"/>
    <x v="106"/>
    <x v="74"/>
    <x v="73"/>
    <x v="10"/>
    <x v="51"/>
    <x v="104"/>
    <x v="0"/>
    <x v="0"/>
    <x v="2"/>
    <n v="155"/>
    <n v="0"/>
    <n v="6.1569166842601318E+18"/>
  </r>
  <r>
    <b v="0"/>
    <x v="81"/>
    <x v="65"/>
    <x v="27"/>
    <x v="26"/>
    <x v="23"/>
    <x v="51"/>
    <x v="105"/>
    <x v="0"/>
    <x v="0"/>
    <x v="2"/>
    <n v="156"/>
    <n v="0"/>
    <n v="1.1674112469613746E+19"/>
  </r>
  <r>
    <b v="0"/>
    <x v="130"/>
    <x v="107"/>
    <x v="63"/>
    <x v="85"/>
    <x v="47"/>
    <x v="20"/>
    <x v="106"/>
    <x v="0"/>
    <x v="0"/>
    <x v="2"/>
    <n v="157"/>
    <n v="0"/>
    <n v="7.1740725166282739E+17"/>
  </r>
  <r>
    <b v="0"/>
    <x v="131"/>
    <x v="2"/>
    <x v="46"/>
    <x v="47"/>
    <x v="107"/>
    <x v="6"/>
    <x v="74"/>
    <x v="0"/>
    <x v="0"/>
    <x v="2"/>
    <n v="158"/>
    <n v="0"/>
    <n v="3.8885569207119176E+18"/>
  </r>
  <r>
    <b v="0"/>
    <x v="132"/>
    <x v="108"/>
    <x v="75"/>
    <x v="63"/>
    <x v="108"/>
    <x v="3"/>
    <x v="100"/>
    <x v="0"/>
    <x v="13"/>
    <x v="2"/>
    <n v="159"/>
    <n v="0"/>
    <n v="1.1007911926924302E+19"/>
  </r>
  <r>
    <b v="0"/>
    <x v="133"/>
    <x v="100"/>
    <x v="47"/>
    <x v="2"/>
    <x v="109"/>
    <x v="7"/>
    <x v="107"/>
    <x v="0"/>
    <x v="0"/>
    <x v="2"/>
    <n v="160"/>
    <n v="0"/>
    <n v="1.439881887757116E+19"/>
  </r>
  <r>
    <b v="0"/>
    <x v="134"/>
    <x v="0"/>
    <x v="12"/>
    <x v="71"/>
    <x v="66"/>
    <x v="31"/>
    <x v="17"/>
    <x v="8"/>
    <x v="3"/>
    <x v="2"/>
    <n v="161"/>
    <n v="0"/>
    <n v="1.7095457520782434E+19"/>
  </r>
  <r>
    <b v="0"/>
    <x v="135"/>
    <x v="109"/>
    <x v="76"/>
    <x v="86"/>
    <x v="15"/>
    <x v="27"/>
    <x v="41"/>
    <x v="0"/>
    <x v="28"/>
    <x v="2"/>
    <n v="162"/>
    <n v="0"/>
    <n v="1.1486075011476279E+18"/>
  </r>
  <r>
    <b v="0"/>
    <x v="136"/>
    <x v="110"/>
    <x v="77"/>
    <x v="87"/>
    <x v="110"/>
    <x v="52"/>
    <x v="108"/>
    <x v="9"/>
    <x v="0"/>
    <x v="3"/>
    <n v="163"/>
    <n v="0"/>
    <n v="1.8074327942571201E+19"/>
  </r>
  <r>
    <b v="0"/>
    <x v="137"/>
    <x v="38"/>
    <x v="78"/>
    <x v="88"/>
    <x v="106"/>
    <x v="9"/>
    <x v="109"/>
    <x v="0"/>
    <x v="0"/>
    <x v="3"/>
    <n v="164"/>
    <n v="0"/>
    <n v="1.3642826180132334E+19"/>
  </r>
  <r>
    <b v="0"/>
    <x v="138"/>
    <x v="111"/>
    <x v="79"/>
    <x v="9"/>
    <x v="26"/>
    <x v="53"/>
    <x v="110"/>
    <x v="0"/>
    <x v="0"/>
    <x v="3"/>
    <n v="165"/>
    <n v="0"/>
    <n v="1.2788765702745305E+19"/>
  </r>
  <r>
    <b v="0"/>
    <x v="139"/>
    <x v="112"/>
    <x v="80"/>
    <x v="9"/>
    <x v="111"/>
    <x v="6"/>
    <x v="111"/>
    <x v="0"/>
    <x v="0"/>
    <x v="3"/>
    <n v="166"/>
    <n v="0"/>
    <n v="8.5885572449035745E+18"/>
  </r>
  <r>
    <b v="0"/>
    <x v="140"/>
    <x v="88"/>
    <x v="56"/>
    <x v="89"/>
    <x v="112"/>
    <x v="38"/>
    <x v="112"/>
    <x v="0"/>
    <x v="0"/>
    <x v="3"/>
    <n v="167"/>
    <n v="0"/>
    <n v="1.538443727667345E+19"/>
  </r>
  <r>
    <b v="0"/>
    <x v="141"/>
    <x v="13"/>
    <x v="56"/>
    <x v="90"/>
    <x v="113"/>
    <x v="54"/>
    <x v="55"/>
    <x v="0"/>
    <x v="0"/>
    <x v="3"/>
    <n v="168"/>
    <n v="0"/>
    <n v="1.4796830410648904E+19"/>
  </r>
  <r>
    <b v="0"/>
    <x v="142"/>
    <x v="4"/>
    <x v="56"/>
    <x v="82"/>
    <x v="34"/>
    <x v="53"/>
    <x v="113"/>
    <x v="0"/>
    <x v="0"/>
    <x v="3"/>
    <n v="169"/>
    <n v="0"/>
    <n v="8.1819819559737938E+18"/>
  </r>
  <r>
    <b v="0"/>
    <x v="143"/>
    <x v="62"/>
    <x v="56"/>
    <x v="59"/>
    <x v="51"/>
    <x v="55"/>
    <x v="114"/>
    <x v="0"/>
    <x v="0"/>
    <x v="3"/>
    <n v="170"/>
    <n v="0"/>
    <n v="7.256883809168938E+18"/>
  </r>
  <r>
    <b v="0"/>
    <x v="144"/>
    <x v="19"/>
    <x v="56"/>
    <x v="91"/>
    <x v="114"/>
    <x v="56"/>
    <x v="115"/>
    <x v="0"/>
    <x v="0"/>
    <x v="3"/>
    <n v="171"/>
    <n v="0"/>
    <n v="9.0685403746615491E+18"/>
  </r>
  <r>
    <b v="0"/>
    <x v="145"/>
    <x v="9"/>
    <x v="56"/>
    <x v="92"/>
    <x v="115"/>
    <x v="56"/>
    <x v="116"/>
    <x v="0"/>
    <x v="0"/>
    <x v="3"/>
    <n v="172"/>
    <n v="0"/>
    <n v="1.6400418959968598E+19"/>
  </r>
  <r>
    <b v="0"/>
    <x v="146"/>
    <x v="23"/>
    <x v="56"/>
    <x v="11"/>
    <x v="116"/>
    <x v="50"/>
    <x v="117"/>
    <x v="0"/>
    <x v="0"/>
    <x v="3"/>
    <n v="173"/>
    <n v="0"/>
    <n v="1.828829720325796E+19"/>
  </r>
  <r>
    <b v="0"/>
    <x v="147"/>
    <x v="30"/>
    <x v="81"/>
    <x v="93"/>
    <x v="93"/>
    <x v="57"/>
    <x v="118"/>
    <x v="10"/>
    <x v="29"/>
    <x v="3"/>
    <n v="174"/>
    <n v="0"/>
    <n v="1.467209106944213E+18"/>
  </r>
  <r>
    <b v="0"/>
    <x v="148"/>
    <x v="113"/>
    <x v="82"/>
    <x v="49"/>
    <x v="28"/>
    <x v="23"/>
    <x v="119"/>
    <x v="0"/>
    <x v="21"/>
    <x v="3"/>
    <n v="175"/>
    <n v="0"/>
    <n v="1.7461831329815327E+19"/>
  </r>
  <r>
    <b v="0"/>
    <x v="52"/>
    <x v="114"/>
    <x v="83"/>
    <x v="9"/>
    <x v="117"/>
    <x v="28"/>
    <x v="31"/>
    <x v="0"/>
    <x v="0"/>
    <x v="4"/>
    <n v="176"/>
    <n v="0"/>
    <n v="1.6089846413667326E+19"/>
  </r>
  <r>
    <b v="0"/>
    <x v="149"/>
    <x v="115"/>
    <x v="84"/>
    <x v="35"/>
    <x v="35"/>
    <x v="28"/>
    <x v="120"/>
    <x v="0"/>
    <x v="0"/>
    <x v="4"/>
    <n v="177"/>
    <n v="0"/>
    <n v="1.1631205733021506E+19"/>
  </r>
  <r>
    <b v="0"/>
    <x v="97"/>
    <x v="116"/>
    <x v="85"/>
    <x v="5"/>
    <x v="85"/>
    <x v="28"/>
    <x v="121"/>
    <x v="0"/>
    <x v="0"/>
    <x v="4"/>
    <n v="178"/>
    <n v="0"/>
    <n v="1.3234698266884164E+19"/>
  </r>
  <r>
    <b v="0"/>
    <x v="150"/>
    <x v="117"/>
    <x v="86"/>
    <x v="94"/>
    <x v="81"/>
    <x v="28"/>
    <x v="122"/>
    <x v="0"/>
    <x v="0"/>
    <x v="4"/>
    <n v="179"/>
    <n v="0"/>
    <n v="1.321119314952372E+19"/>
  </r>
  <r>
    <b v="0"/>
    <x v="151"/>
    <x v="118"/>
    <x v="87"/>
    <x v="2"/>
    <x v="118"/>
    <x v="28"/>
    <x v="123"/>
    <x v="0"/>
    <x v="0"/>
    <x v="4"/>
    <n v="180"/>
    <n v="0"/>
    <n v="4.1901306299901102E+18"/>
  </r>
  <r>
    <b v="0"/>
    <x v="152"/>
    <x v="119"/>
    <x v="88"/>
    <x v="46"/>
    <x v="119"/>
    <x v="28"/>
    <x v="124"/>
    <x v="0"/>
    <x v="0"/>
    <x v="4"/>
    <n v="181"/>
    <n v="0"/>
    <n v="1.16823999333917E+19"/>
  </r>
  <r>
    <b v="0"/>
    <x v="153"/>
    <x v="120"/>
    <x v="56"/>
    <x v="95"/>
    <x v="30"/>
    <x v="28"/>
    <x v="125"/>
    <x v="0"/>
    <x v="0"/>
    <x v="4"/>
    <n v="182"/>
    <n v="0"/>
    <n v="4.8183016469772155E+18"/>
  </r>
  <r>
    <b v="0"/>
    <x v="140"/>
    <x v="121"/>
    <x v="56"/>
    <x v="69"/>
    <x v="120"/>
    <x v="28"/>
    <x v="126"/>
    <x v="0"/>
    <x v="0"/>
    <x v="4"/>
    <n v="183"/>
    <n v="0"/>
    <n v="1.1954526869143474E+19"/>
  </r>
  <r>
    <b v="0"/>
    <x v="154"/>
    <x v="122"/>
    <x v="56"/>
    <x v="96"/>
    <x v="121"/>
    <x v="28"/>
    <x v="127"/>
    <x v="0"/>
    <x v="0"/>
    <x v="4"/>
    <n v="184"/>
    <n v="0"/>
    <n v="1.6805184927596917E+19"/>
  </r>
  <r>
    <b v="0"/>
    <x v="155"/>
    <x v="55"/>
    <x v="89"/>
    <x v="74"/>
    <x v="63"/>
    <x v="58"/>
    <x v="128"/>
    <x v="11"/>
    <x v="0"/>
    <x v="5"/>
    <n v="185"/>
    <n v="0"/>
    <n v="3.787096117879148E+18"/>
  </r>
  <r>
    <b v="0"/>
    <x v="156"/>
    <x v="104"/>
    <x v="90"/>
    <x v="97"/>
    <x v="122"/>
    <x v="59"/>
    <x v="129"/>
    <x v="12"/>
    <x v="0"/>
    <x v="5"/>
    <n v="186"/>
    <n v="0"/>
    <n v="1.5598216430864841E+19"/>
  </r>
  <r>
    <b v="0"/>
    <x v="157"/>
    <x v="62"/>
    <x v="47"/>
    <x v="13"/>
    <x v="85"/>
    <x v="9"/>
    <x v="36"/>
    <x v="0"/>
    <x v="0"/>
    <x v="5"/>
    <n v="187"/>
    <n v="0"/>
    <n v="8.4729624933347615E+18"/>
  </r>
  <r>
    <b v="0"/>
    <x v="158"/>
    <x v="59"/>
    <x v="91"/>
    <x v="98"/>
    <x v="123"/>
    <x v="57"/>
    <x v="130"/>
    <x v="0"/>
    <x v="0"/>
    <x v="5"/>
    <n v="188"/>
    <n v="0"/>
    <n v="1.690072946634443E+19"/>
  </r>
  <r>
    <b v="0"/>
    <x v="159"/>
    <x v="123"/>
    <x v="92"/>
    <x v="12"/>
    <x v="124"/>
    <x v="60"/>
    <x v="131"/>
    <x v="13"/>
    <x v="0"/>
    <x v="5"/>
    <n v="189"/>
    <n v="0"/>
    <n v="1.18152969466937E+19"/>
  </r>
  <r>
    <b v="0"/>
    <x v="66"/>
    <x v="124"/>
    <x v="93"/>
    <x v="81"/>
    <x v="55"/>
    <x v="28"/>
    <x v="49"/>
    <x v="14"/>
    <x v="0"/>
    <x v="5"/>
    <n v="190"/>
    <n v="0"/>
    <n v="1.120220251197584E+19"/>
  </r>
  <r>
    <b v="0"/>
    <x v="160"/>
    <x v="125"/>
    <x v="56"/>
    <x v="99"/>
    <x v="11"/>
    <x v="28"/>
    <x v="35"/>
    <x v="15"/>
    <x v="13"/>
    <x v="5"/>
    <n v="191"/>
    <n v="0"/>
    <n v="1.825440193049982E+19"/>
  </r>
  <r>
    <b v="0"/>
    <x v="161"/>
    <x v="126"/>
    <x v="56"/>
    <x v="100"/>
    <x v="125"/>
    <x v="61"/>
    <x v="132"/>
    <x v="16"/>
    <x v="13"/>
    <x v="5"/>
    <n v="192"/>
    <n v="0"/>
    <n v="1.0970502848756965E+19"/>
  </r>
  <r>
    <b v="0"/>
    <x v="162"/>
    <x v="127"/>
    <x v="56"/>
    <x v="101"/>
    <x v="20"/>
    <x v="28"/>
    <x v="23"/>
    <x v="17"/>
    <x v="22"/>
    <x v="5"/>
    <n v="193"/>
    <n v="0"/>
    <n v="1.5617567213802498E+19"/>
  </r>
  <r>
    <b v="0"/>
    <x v="163"/>
    <x v="121"/>
    <x v="56"/>
    <x v="102"/>
    <x v="13"/>
    <x v="28"/>
    <x v="19"/>
    <x v="18"/>
    <x v="5"/>
    <x v="5"/>
    <n v="194"/>
    <n v="0"/>
    <n v="1.4885722819263687E+19"/>
  </r>
  <r>
    <b v="0"/>
    <x v="164"/>
    <x v="128"/>
    <x v="56"/>
    <x v="103"/>
    <x v="28"/>
    <x v="45"/>
    <x v="43"/>
    <x v="19"/>
    <x v="30"/>
    <x v="5"/>
    <n v="195"/>
    <n v="0"/>
    <n v="1.0564505495961733E+19"/>
  </r>
  <r>
    <b v="0"/>
    <x v="165"/>
    <x v="129"/>
    <x v="56"/>
    <x v="104"/>
    <x v="68"/>
    <x v="25"/>
    <x v="133"/>
    <x v="20"/>
    <x v="31"/>
    <x v="5"/>
    <n v="196"/>
    <n v="0"/>
    <n v="1.4122925094893191E+19"/>
  </r>
  <r>
    <b v="0"/>
    <x v="166"/>
    <x v="130"/>
    <x v="56"/>
    <x v="105"/>
    <x v="11"/>
    <x v="28"/>
    <x v="134"/>
    <x v="21"/>
    <x v="0"/>
    <x v="5"/>
    <n v="197"/>
    <n v="0"/>
    <n v="4.8182421128679229E+18"/>
  </r>
  <r>
    <b v="0"/>
    <x v="167"/>
    <x v="131"/>
    <x v="56"/>
    <x v="106"/>
    <x v="55"/>
    <x v="61"/>
    <x v="135"/>
    <x v="15"/>
    <x v="0"/>
    <x v="5"/>
    <n v="198"/>
    <n v="0"/>
    <n v="7.8014825716297088E+17"/>
  </r>
  <r>
    <b v="0"/>
    <x v="168"/>
    <x v="132"/>
    <x v="56"/>
    <x v="107"/>
    <x v="126"/>
    <x v="62"/>
    <x v="36"/>
    <x v="22"/>
    <x v="0"/>
    <x v="5"/>
    <n v="199"/>
    <n v="0"/>
    <n v="7.8805286553349765E+18"/>
  </r>
  <r>
    <b v="0"/>
    <x v="169"/>
    <x v="133"/>
    <x v="56"/>
    <x v="108"/>
    <x v="127"/>
    <x v="28"/>
    <x v="136"/>
    <x v="23"/>
    <x v="0"/>
    <x v="5"/>
    <n v="200"/>
    <n v="0"/>
    <n v="1.8258023122461819E+19"/>
  </r>
  <r>
    <b v="0"/>
    <x v="170"/>
    <x v="134"/>
    <x v="56"/>
    <x v="35"/>
    <x v="128"/>
    <x v="63"/>
    <x v="103"/>
    <x v="0"/>
    <x v="0"/>
    <x v="5"/>
    <n v="201"/>
    <n v="0"/>
    <n v="1.4872216059210504E+19"/>
  </r>
  <r>
    <b v="0"/>
    <x v="136"/>
    <x v="125"/>
    <x v="56"/>
    <x v="109"/>
    <x v="129"/>
    <x v="28"/>
    <x v="14"/>
    <x v="24"/>
    <x v="0"/>
    <x v="5"/>
    <n v="202"/>
    <n v="0"/>
    <n v="8.8058553845929544E+18"/>
  </r>
  <r>
    <b v="0"/>
    <x v="171"/>
    <x v="135"/>
    <x v="56"/>
    <x v="110"/>
    <x v="14"/>
    <x v="28"/>
    <x v="87"/>
    <x v="25"/>
    <x v="0"/>
    <x v="5"/>
    <n v="203"/>
    <n v="0"/>
    <n v="1.5595675286319118E+19"/>
  </r>
  <r>
    <b v="0"/>
    <x v="172"/>
    <x v="136"/>
    <x v="56"/>
    <x v="111"/>
    <x v="130"/>
    <x v="28"/>
    <x v="137"/>
    <x v="26"/>
    <x v="0"/>
    <x v="5"/>
    <n v="204"/>
    <n v="0"/>
    <n v="8.3674689895826227E+18"/>
  </r>
  <r>
    <b v="0"/>
    <x v="173"/>
    <x v="136"/>
    <x v="56"/>
    <x v="112"/>
    <x v="2"/>
    <x v="28"/>
    <x v="131"/>
    <x v="27"/>
    <x v="0"/>
    <x v="5"/>
    <n v="205"/>
    <n v="0"/>
    <n v="1.2040726323564298E+18"/>
  </r>
  <r>
    <b v="0"/>
    <x v="64"/>
    <x v="137"/>
    <x v="56"/>
    <x v="57"/>
    <x v="14"/>
    <x v="28"/>
    <x v="49"/>
    <x v="28"/>
    <x v="0"/>
    <x v="5"/>
    <n v="206"/>
    <n v="0"/>
    <n v="1.2769188097211296E+19"/>
  </r>
  <r>
    <b v="0"/>
    <x v="174"/>
    <x v="138"/>
    <x v="56"/>
    <x v="113"/>
    <x v="26"/>
    <x v="64"/>
    <x v="138"/>
    <x v="29"/>
    <x v="0"/>
    <x v="5"/>
    <n v="207"/>
    <n v="0"/>
    <n v="3.1268012280819164E+18"/>
  </r>
  <r>
    <b v="0"/>
    <x v="73"/>
    <x v="139"/>
    <x v="56"/>
    <x v="114"/>
    <x v="21"/>
    <x v="28"/>
    <x v="139"/>
    <x v="30"/>
    <x v="0"/>
    <x v="5"/>
    <n v="208"/>
    <n v="0"/>
    <n v="9.4367318113185894E+18"/>
  </r>
  <r>
    <b v="0"/>
    <x v="161"/>
    <x v="128"/>
    <x v="56"/>
    <x v="115"/>
    <x v="3"/>
    <x v="45"/>
    <x v="140"/>
    <x v="31"/>
    <x v="0"/>
    <x v="5"/>
    <n v="209"/>
    <n v="0"/>
    <n v="8.3549682915696973E+17"/>
  </r>
  <r>
    <b v="0"/>
    <x v="175"/>
    <x v="140"/>
    <x v="56"/>
    <x v="110"/>
    <x v="69"/>
    <x v="28"/>
    <x v="8"/>
    <x v="17"/>
    <x v="0"/>
    <x v="5"/>
    <n v="210"/>
    <n v="0"/>
    <n v="6.3015553265632696E+18"/>
  </r>
  <r>
    <b v="0"/>
    <x v="176"/>
    <x v="17"/>
    <x v="56"/>
    <x v="116"/>
    <x v="131"/>
    <x v="28"/>
    <x v="18"/>
    <x v="32"/>
    <x v="0"/>
    <x v="5"/>
    <n v="211"/>
    <n v="0"/>
    <n v="2.3187765894620723E+18"/>
  </r>
  <r>
    <b v="0"/>
    <x v="177"/>
    <x v="131"/>
    <x v="56"/>
    <x v="117"/>
    <x v="132"/>
    <x v="28"/>
    <x v="141"/>
    <x v="18"/>
    <x v="0"/>
    <x v="5"/>
    <n v="212"/>
    <n v="0"/>
    <n v="2.0573176996508708E+18"/>
  </r>
  <r>
    <b v="0"/>
    <x v="116"/>
    <x v="141"/>
    <x v="56"/>
    <x v="54"/>
    <x v="98"/>
    <x v="28"/>
    <x v="142"/>
    <x v="33"/>
    <x v="0"/>
    <x v="5"/>
    <n v="213"/>
    <n v="0"/>
    <n v="1.361011447895254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8" firstHeaderRow="0" firstDataRow="1" firstDataCol="10"/>
  <pivotFields count="14">
    <pivotField compact="0" outline="0" showAll="0"/>
    <pivotField axis="axisRow" compact="0" outline="0" showAll="0" defaultSubtotal="0">
      <items count="178">
        <item sd="0" x="154"/>
        <item sd="0" x="155"/>
        <item sd="0" x="49"/>
        <item sd="0" x="151"/>
        <item sd="0" x="144"/>
        <item sd="0" x="145"/>
        <item sd="0" x="70"/>
        <item sd="0" x="169"/>
        <item sd="0" x="136"/>
        <item sd="0" x="167"/>
        <item sd="0" x="164"/>
        <item sd="0" x="165"/>
        <item sd="0" x="31"/>
        <item sd="0" x="72"/>
        <item sd="0" x="10"/>
        <item sd="0" x="59"/>
        <item sd="0" x="76"/>
        <item sd="0" x="12"/>
        <item sd="0" x="63"/>
        <item sd="0" x="67"/>
        <item sd="0" x="61"/>
        <item sd="0" x="69"/>
        <item sd="0" x="5"/>
        <item sd="0" x="160"/>
        <item sd="0" x="75"/>
        <item sd="0" x="168"/>
        <item sd="0" x="124"/>
        <item sd="0" x="66"/>
        <item sd="0" x="172"/>
        <item sd="0" x="2"/>
        <item sd="0" x="161"/>
        <item sd="0" x="71"/>
        <item sd="0" x="65"/>
        <item sd="0" x="77"/>
        <item sd="0" x="62"/>
        <item sd="0" x="73"/>
        <item sd="0" x="126"/>
        <item sd="0" x="64"/>
        <item sd="0" x="68"/>
        <item sd="0" x="177"/>
        <item sd="0" x="100"/>
        <item sd="0" x="170"/>
        <item sd="0" x="81"/>
        <item sd="0" x="171"/>
        <item sd="0" x="122"/>
        <item sd="0" x="120"/>
        <item sd="0" x="102"/>
        <item sd="0" x="127"/>
        <item sd="0" x="141"/>
        <item sd="0" x="107"/>
        <item sd="0" x="125"/>
        <item sd="0" x="99"/>
        <item sd="0" x="117"/>
        <item sd="0" x="163"/>
        <item sd="0" x="175"/>
        <item sd="0" x="103"/>
        <item sd="0" x="79"/>
        <item sd="0" x="118"/>
        <item sd="0" x="129"/>
        <item sd="0" x="104"/>
        <item sd="0" x="98"/>
        <item sd="0" x="121"/>
        <item sd="0" x="116"/>
        <item sd="0" x="162"/>
        <item sd="0" x="22"/>
        <item sd="0" x="25"/>
        <item sd="0" x="166"/>
        <item sd="0" x="82"/>
        <item sd="0" x="173"/>
        <item sd="0" x="17"/>
        <item sd="0" x="20"/>
        <item sd="0" x="4"/>
        <item sd="0" x="6"/>
        <item sd="0" x="27"/>
        <item sd="0" x="13"/>
        <item sd="0" x="18"/>
        <item sd="0" x="21"/>
        <item sd="0" x="29"/>
        <item sd="0" x="51"/>
        <item sd="0" x="9"/>
        <item sd="0" x="7"/>
        <item sd="0" x="1"/>
        <item sd="0" x="11"/>
        <item sd="0" x="23"/>
        <item sd="0" x="3"/>
        <item sd="0" x="26"/>
        <item sd="0" x="48"/>
        <item sd="0" x="28"/>
        <item sd="0" x="131"/>
        <item sd="0" x="47"/>
        <item sd="0" x="35"/>
        <item sd="0" x="30"/>
        <item sd="0" x="14"/>
        <item sd="0" x="37"/>
        <item sd="0" x="114"/>
        <item sd="0" x="24"/>
        <item sd="0" x="132"/>
        <item sd="0" x="33"/>
        <item sd="0" x="113"/>
        <item sd="0" x="115"/>
        <item sd="0" x="45"/>
        <item sd="0" x="80"/>
        <item sd="0" x="112"/>
        <item sd="0" x="90"/>
        <item sd="0" x="83"/>
        <item sd="0" x="50"/>
        <item sd="0" x="97"/>
        <item sd="0" x="174"/>
        <item sd="0" x="133"/>
        <item sd="0" x="46"/>
        <item sd="0" x="156"/>
        <item sd="0" x="123"/>
        <item sd="0" x="74"/>
        <item sd="0" x="101"/>
        <item sd="0" x="96"/>
        <item sd="0" x="95"/>
        <item sd="0" x="60"/>
        <item sd="0" x="119"/>
        <item sd="0" x="150"/>
        <item sd="0" x="78"/>
        <item sd="0" x="39"/>
        <item sd="0" x="106"/>
        <item sd="0" x="152"/>
        <item sd="0" x="94"/>
        <item sd="0" x="42"/>
        <item sd="0" x="38"/>
        <item sd="0" x="52"/>
        <item sd="0" x="32"/>
        <item sd="0" x="16"/>
        <item sd="0" x="137"/>
        <item sd="0" x="153"/>
        <item sd="0" x="8"/>
        <item sd="0" x="44"/>
        <item sd="0" x="134"/>
        <item sd="0" x="149"/>
        <item sd="0" x="19"/>
        <item sd="0" x="140"/>
        <item sd="0" x="53"/>
        <item sd="0" x="142"/>
        <item sd="0" x="110"/>
        <item sd="0" x="146"/>
        <item sd="0" x="147"/>
        <item sd="0" x="176"/>
        <item sd="0" x="109"/>
        <item sd="0" x="108"/>
        <item sd="0" x="56"/>
        <item sd="0" x="0"/>
        <item sd="0" x="148"/>
        <item sd="0" x="130"/>
        <item sd="0" x="128"/>
        <item sd="0" x="139"/>
        <item sd="0" x="57"/>
        <item sd="0" x="138"/>
        <item sd="0" x="54"/>
        <item sd="0" x="105"/>
        <item sd="0" x="15"/>
        <item sd="0" x="36"/>
        <item sd="0" x="135"/>
        <item sd="0" x="34"/>
        <item sd="0" x="89"/>
        <item sd="0" x="41"/>
        <item sd="0" x="55"/>
        <item sd="0" x="158"/>
        <item sd="0" x="58"/>
        <item sd="0" x="157"/>
        <item sd="0" x="43"/>
        <item sd="0" x="159"/>
        <item sd="0" x="143"/>
        <item sd="0" x="85"/>
        <item sd="0" x="86"/>
        <item sd="0" x="111"/>
        <item sd="0" x="91"/>
        <item sd="0" x="40"/>
        <item sd="0" x="84"/>
        <item sd="0" x="92"/>
        <item sd="0" x="93"/>
        <item sd="0" x="87"/>
        <item sd="0" x="88"/>
      </items>
    </pivotField>
    <pivotField axis="axisRow" compact="0" outline="0" showAll="0" defaultSubtotal="0">
      <items count="142">
        <item sd="0" x="83"/>
        <item sd="0" x="87"/>
        <item sd="0" x="112"/>
        <item sd="0" x="86"/>
        <item sd="0" x="82"/>
        <item sd="0" x="111"/>
        <item sd="0" x="134"/>
        <item sd="0" x="103"/>
        <item sd="0" x="74"/>
        <item sd="0" x="84"/>
        <item sd="0" x="78"/>
        <item sd="0" x="47"/>
        <item sd="0" x="71"/>
        <item sd="0" x="26"/>
        <item sd="0" x="31"/>
        <item sd="0" x="14"/>
        <item sd="0" x="79"/>
        <item sd="0" x="88"/>
        <item sd="0" x="28"/>
        <item sd="0" x="75"/>
        <item sd="0" x="16"/>
        <item sd="0" x="32"/>
        <item sd="0" x="36"/>
        <item sd="0" x="10"/>
        <item sd="0" x="38"/>
        <item sd="0" x="34"/>
        <item sd="0" x="77"/>
        <item sd="0" x="22"/>
        <item sd="0" x="5"/>
        <item sd="0" x="11"/>
        <item sd="0" x="15"/>
        <item sd="0" x="20"/>
        <item sd="0" x="29"/>
        <item sd="0" x="30"/>
        <item sd="0" x="13"/>
        <item sd="0" x="25"/>
        <item sd="0" x="12"/>
        <item sd="0" x="101"/>
        <item sd="0" x="73"/>
        <item sd="0" x="72"/>
        <item sd="0" x="93"/>
        <item sd="0" x="76"/>
        <item sd="0" x="113"/>
        <item sd="0" x="24"/>
        <item sd="0" x="48"/>
        <item sd="0" x="9"/>
        <item sd="0" x="70"/>
        <item sd="0" x="19"/>
        <item sd="0" x="106"/>
        <item sd="0" x="56"/>
        <item sd="0" x="27"/>
        <item sd="0" x="60"/>
        <item sd="0" x="90"/>
        <item sd="0" x="57"/>
        <item sd="0" x="46"/>
        <item sd="0" x="7"/>
        <item sd="0" x="40"/>
        <item sd="0" x="44"/>
        <item sd="0" x="3"/>
        <item sd="0" x="92"/>
        <item sd="0" x="68"/>
        <item sd="0" x="64"/>
        <item sd="0" x="4"/>
        <item sd="0" x="33"/>
        <item sd="0" x="6"/>
        <item sd="0" x="58"/>
        <item sd="0" x="100"/>
        <item sd="0" x="61"/>
        <item sd="0" x="67"/>
        <item sd="0" x="23"/>
        <item sd="0" x="50"/>
        <item sd="0" x="69"/>
        <item sd="0" x="65"/>
        <item sd="0" x="105"/>
        <item sd="0" x="45"/>
        <item sd="0" x="62"/>
        <item sd="0" x="89"/>
        <item sd="0" x="49"/>
        <item sd="0" x="39"/>
        <item sd="0" x="108"/>
        <item sd="0" x="53"/>
        <item sd="0" x="2"/>
        <item sd="0" x="95"/>
        <item sd="0" x="91"/>
        <item sd="0" x="42"/>
        <item sd="0" x="51"/>
        <item sd="0" x="0"/>
        <item sd="0" x="102"/>
        <item sd="0" x="55"/>
        <item sd="0" x="98"/>
        <item sd="0" x="99"/>
        <item sd="0" x="43"/>
        <item sd="0" x="37"/>
        <item sd="0" x="97"/>
        <item sd="0" x="94"/>
        <item sd="0" x="115"/>
        <item sd="0" x="80"/>
        <item sd="0" x="52"/>
        <item sd="0" x="81"/>
        <item sd="0" x="129"/>
        <item sd="0" x="124"/>
        <item sd="0" x="1"/>
        <item sd="0" x="18"/>
        <item sd="0" x="63"/>
        <item sd="0" x="96"/>
        <item sd="0" x="41"/>
        <item sd="0" x="114"/>
        <item sd="0" x="110"/>
        <item sd="0" x="107"/>
        <item sd="0" x="8"/>
        <item sd="0" x="117"/>
        <item sd="0" x="128"/>
        <item sd="0" x="120"/>
        <item sd="0" x="54"/>
        <item sd="0" x="109"/>
        <item sd="0" x="126"/>
        <item sd="0" x="35"/>
        <item sd="0" x="141"/>
        <item sd="0" x="66"/>
        <item sd="0" x="104"/>
        <item sd="0" x="17"/>
        <item sd="0" x="139"/>
        <item sd="0" x="131"/>
        <item sd="0" x="138"/>
        <item sd="0" x="118"/>
        <item sd="0" x="85"/>
        <item sd="0" x="116"/>
        <item sd="0" x="121"/>
        <item sd="0" x="130"/>
        <item sd="0" x="127"/>
        <item sd="0" x="21"/>
        <item sd="0" x="135"/>
        <item sd="0" x="125"/>
        <item sd="0" x="59"/>
        <item sd="0" x="140"/>
        <item sd="0" x="137"/>
        <item sd="0" x="136"/>
        <item sd="0" x="119"/>
        <item sd="0" x="132"/>
        <item sd="0" x="133"/>
        <item sd="0" x="123"/>
        <item sd="0" x="122"/>
      </items>
    </pivotField>
    <pivotField axis="axisRow" compact="0" outline="0" showAll="0" defaultSubtotal="0">
      <items count="94">
        <item sd="0" x="56"/>
        <item sd="0" x="82"/>
        <item sd="0" x="88"/>
        <item sd="0" x="67"/>
        <item sd="0" x="66"/>
        <item sd="0" x="81"/>
        <item sd="0" x="80"/>
        <item sd="0" x="87"/>
        <item sd="0" x="93"/>
        <item sd="0" x="92"/>
        <item sd="0" x="78"/>
        <item sd="0" x="79"/>
        <item sd="0" x="65"/>
        <item sd="0" x="86"/>
        <item sd="0" x="91"/>
        <item sd="0" x="85"/>
        <item sd="0" x="64"/>
        <item sd="0" x="83"/>
        <item sd="0" x="84"/>
        <item sd="0" x="77"/>
        <item sd="0" x="38"/>
        <item sd="0" x="52"/>
        <item sd="0" x="53"/>
        <item sd="0" x="37"/>
        <item sd="0" x="36"/>
        <item sd="0" x="51"/>
        <item sd="0" x="35"/>
        <item sd="0" x="49"/>
        <item sd="0" x="55"/>
        <item sd="0" x="50"/>
        <item sd="0" x="44"/>
        <item sd="0" x="54"/>
        <item sd="0" x="73"/>
        <item sd="0" x="89"/>
        <item sd="0" x="48"/>
        <item sd="0" x="90"/>
        <item sd="0" x="34"/>
        <item sd="0" x="47"/>
        <item sd="0" x="32"/>
        <item sd="0" x="75"/>
        <item sd="0" x="29"/>
        <item sd="0" x="27"/>
        <item sd="0" x="74"/>
        <item sd="0" x="46"/>
        <item sd="0" x="26"/>
        <item sd="0" x="9"/>
        <item sd="0" x="45"/>
        <item sd="0" x="23"/>
        <item sd="0" x="7"/>
        <item sd="0" x="22"/>
        <item sd="0" x="19"/>
        <item sd="0" x="21"/>
        <item sd="0" x="18"/>
        <item sd="0" x="72"/>
        <item sd="0" x="20"/>
        <item sd="0" x="24"/>
        <item sd="0" x="12"/>
        <item sd="0" x="2"/>
        <item sd="0" x="10"/>
        <item sd="0" x="17"/>
        <item sd="0" x="6"/>
        <item sd="0" x="11"/>
        <item sd="0" x="1"/>
        <item sd="0" x="5"/>
        <item sd="0" x="4"/>
        <item sd="0" x="71"/>
        <item sd="0" x="62"/>
        <item sd="0" x="42"/>
        <item sd="0" x="8"/>
        <item sd="0" x="13"/>
        <item sd="0" x="61"/>
        <item sd="0" x="3"/>
        <item sd="0" x="30"/>
        <item sd="0" x="33"/>
        <item sd="0" x="15"/>
        <item sd="0" x="39"/>
        <item sd="0" x="16"/>
        <item sd="0" x="63"/>
        <item sd="0" x="31"/>
        <item sd="0" x="76"/>
        <item sd="0" x="70"/>
        <item sd="0" x="41"/>
        <item sd="0" x="25"/>
        <item sd="0" x="57"/>
        <item sd="0" x="28"/>
        <item sd="0" x="14"/>
        <item sd="0" x="40"/>
        <item sd="0" x="43"/>
        <item sd="0" x="59"/>
        <item sd="0" x="60"/>
        <item sd="0" x="69"/>
        <item sd="0" x="58"/>
        <item sd="0" x="68"/>
        <item sd="0" x="0"/>
      </items>
    </pivotField>
    <pivotField axis="axisRow" compact="0" outline="0" showAll="0" defaultSubtotal="0">
      <items count="118">
        <item sd="0" x="19"/>
        <item sd="0" x="96"/>
        <item sd="0" x="31"/>
        <item sd="0" x="38"/>
        <item sd="0" x="69"/>
        <item sd="0" x="85"/>
        <item sd="0" x="83"/>
        <item sd="0" x="65"/>
        <item sd="0" x="72"/>
        <item sd="0" x="36"/>
        <item sd="0" x="34"/>
        <item sd="0" x="71"/>
        <item sd="0" x="70"/>
        <item sd="0" x="42"/>
        <item sd="0" x="37"/>
        <item sd="0" x="45"/>
        <item sd="0" x="64"/>
        <item sd="0" x="44"/>
        <item sd="0" x="41"/>
        <item sd="0" x="15"/>
        <item sd="0" x="43"/>
        <item sd="0" x="86"/>
        <item sd="0" x="68"/>
        <item sd="0" x="7"/>
        <item sd="0" x="60"/>
        <item sd="0" x="80"/>
        <item sd="0" x="77"/>
        <item sd="0" x="0"/>
        <item sd="0" x="40"/>
        <item sd="0" x="32"/>
        <item sd="0" x="6"/>
        <item sd="0" x="21"/>
        <item sd="0" x="14"/>
        <item sd="0" x="39"/>
        <item sd="0" x="16"/>
        <item sd="0" x="35"/>
        <item sd="0" x="33"/>
        <item sd="0" x="22"/>
        <item sd="0" x="84"/>
        <item sd="0" x="13"/>
        <item sd="0" x="4"/>
        <item sd="0" x="50"/>
        <item sd="0" x="73"/>
        <item sd="0" x="10"/>
        <item sd="0" x="26"/>
        <item sd="0" x="3"/>
        <item sd="0" x="27"/>
        <item sd="0" x="12"/>
        <item sd="0" x="30"/>
        <item sd="0" x="24"/>
        <item sd="0" x="29"/>
        <item sd="0" x="20"/>
        <item sd="0" x="1"/>
        <item sd="0" x="8"/>
        <item sd="0" x="28"/>
        <item sd="0" x="11"/>
        <item sd="0" x="23"/>
        <item sd="0" x="25"/>
        <item sd="0" x="62"/>
        <item sd="0" x="58"/>
        <item sd="0" x="55"/>
        <item sd="0" x="56"/>
        <item sd="0" x="18"/>
        <item sd="0" x="49"/>
        <item sd="0" x="47"/>
        <item sd="0" x="75"/>
        <item sd="0" x="2"/>
        <item sd="0" x="53"/>
        <item sd="0" x="9"/>
        <item sd="0" x="48"/>
        <item sd="0" x="59"/>
        <item sd="0" x="79"/>
        <item sd="0" x="5"/>
        <item sd="0" x="63"/>
        <item sd="0" x="78"/>
        <item sd="0" x="89"/>
        <item sd="0" x="94"/>
        <item sd="0" x="76"/>
        <item sd="0" x="17"/>
        <item sd="0" x="61"/>
        <item sd="0" x="46"/>
        <item sd="0" x="82"/>
        <item sd="0" x="81"/>
        <item sd="0" x="112"/>
        <item sd="0" x="74"/>
        <item sd="0" x="113"/>
        <item sd="0" x="90"/>
        <item sd="0" x="88"/>
        <item sd="0" x="57"/>
        <item sd="0" x="66"/>
        <item sd="0" x="51"/>
        <item sd="0" x="117"/>
        <item sd="0" x="102"/>
        <item sd="0" x="110"/>
        <item sd="0" x="101"/>
        <item sd="0" x="116"/>
        <item sd="0" x="98"/>
        <item sd="0" x="54"/>
        <item sd="0" x="95"/>
        <item sd="0" x="67"/>
        <item sd="0" x="52"/>
        <item sd="0" x="93"/>
        <item sd="0" x="97"/>
        <item sd="0" x="108"/>
        <item sd="0" x="111"/>
        <item sd="0" x="105"/>
        <item sd="0" x="99"/>
        <item sd="0" x="109"/>
        <item sd="0" x="107"/>
        <item sd="0" x="104"/>
        <item sd="0" x="106"/>
        <item sd="0" x="103"/>
        <item sd="0" x="114"/>
        <item sd="0" x="100"/>
        <item sd="0" x="115"/>
        <item sd="0" x="92"/>
        <item sd="0" x="91"/>
        <item sd="0" x="87"/>
      </items>
    </pivotField>
    <pivotField axis="axisRow" compact="0" outline="0" showAll="0" defaultSubtotal="0">
      <items count="133">
        <item sd="0" x="79"/>
        <item sd="0" x="110"/>
        <item sd="0" x="80"/>
        <item sd="0" x="123"/>
        <item sd="0" x="124"/>
        <item sd="0" x="114"/>
        <item sd="0" x="76"/>
        <item sd="0" x="115"/>
        <item sd="0" x="77"/>
        <item sd="0" x="94"/>
        <item sd="0" x="122"/>
        <item sd="0" x="48"/>
        <item sd="0" x="15"/>
        <item sd="0" x="105"/>
        <item sd="0" x="39"/>
        <item sd="0" x="46"/>
        <item sd="0" x="41"/>
        <item sd="0" x="36"/>
        <item sd="0" x="33"/>
        <item sd="0" x="0"/>
        <item sd="0" x="47"/>
        <item sd="0" x="31"/>
        <item sd="0" x="54"/>
        <item sd="0" x="108"/>
        <item sd="0" x="37"/>
        <item sd="0" x="50"/>
        <item sd="0" x="40"/>
        <item sd="0" x="49"/>
        <item sd="0" x="18"/>
        <item sd="0" x="107"/>
        <item sd="0" x="87"/>
        <item sd="0" x="8"/>
        <item sd="0" x="16"/>
        <item sd="0" x="109"/>
        <item sd="0" x="93"/>
        <item sd="0" x="78"/>
        <item sd="0" x="53"/>
        <item sd="0" x="51"/>
        <item sd="0" x="116"/>
        <item sd="0" x="71"/>
        <item sd="0" x="64"/>
        <item sd="0" x="52"/>
        <item sd="0" x="86"/>
        <item sd="0" x="72"/>
        <item sd="0" x="42"/>
        <item sd="0" x="117"/>
        <item sd="0" x="85"/>
        <item sd="0" x="58"/>
        <item sd="0" x="90"/>
        <item sd="0" x="84"/>
        <item sd="0" x="89"/>
        <item sd="0" x="104"/>
        <item sd="0" x="95"/>
        <item sd="0" x="119"/>
        <item sd="0" x="92"/>
        <item sd="0" x="91"/>
        <item sd="0" x="88"/>
        <item sd="0" x="100"/>
        <item sd="0" x="83"/>
        <item sd="0" x="101"/>
        <item sd="0" x="3"/>
        <item sd="0" x="23"/>
        <item sd="0" x="66"/>
        <item sd="0" x="61"/>
        <item sd="0" x="81"/>
        <item sd="0" x="106"/>
        <item sd="0" x="103"/>
        <item sd="0" x="38"/>
        <item sd="0" x="1"/>
        <item sd="0" x="30"/>
        <item sd="0" x="17"/>
        <item sd="0" x="35"/>
        <item sd="0" x="102"/>
        <item sd="0" x="96"/>
        <item sd="0" x="19"/>
        <item sd="0" x="63"/>
        <item sd="0" x="59"/>
        <item sd="0" x="43"/>
        <item sd="0" x="21"/>
        <item sd="0" x="26"/>
        <item sd="0" x="56"/>
        <item sd="0" x="60"/>
        <item sd="0" x="67"/>
        <item sd="0" x="74"/>
        <item sd="0" x="29"/>
        <item sd="0" x="32"/>
        <item sd="0" x="5"/>
        <item sd="0" x="44"/>
        <item sd="0" x="2"/>
        <item sd="0" x="22"/>
        <item sd="0" x="10"/>
        <item sd="0" x="20"/>
        <item sd="0" x="34"/>
        <item sd="0" x="24"/>
        <item sd="0" x="126"/>
        <item sd="0" x="69"/>
        <item sd="0" x="97"/>
        <item sd="0" x="4"/>
        <item sd="0" x="6"/>
        <item sd="0" x="55"/>
        <item sd="0" x="14"/>
        <item sd="0" x="57"/>
        <item sd="0" x="99"/>
        <item sd="0" x="25"/>
        <item sd="0" x="62"/>
        <item sd="0" x="9"/>
        <item sd="0" x="12"/>
        <item sd="0" x="68"/>
        <item sd="0" x="7"/>
        <item sd="0" x="65"/>
        <item sd="0" x="70"/>
        <item sd="0" x="27"/>
        <item sd="0" x="11"/>
        <item sd="0" x="13"/>
        <item sd="0" x="130"/>
        <item sd="0" x="98"/>
        <item sd="0" x="28"/>
        <item sd="0" x="131"/>
        <item sd="0" x="111"/>
        <item sd="0" x="125"/>
        <item sd="0" x="120"/>
        <item sd="0" x="127"/>
        <item sd="0" x="73"/>
        <item sd="0" x="132"/>
        <item sd="0" x="45"/>
        <item sd="0" x="129"/>
        <item sd="0" x="112"/>
        <item sd="0" x="75"/>
        <item sd="0" x="113"/>
        <item sd="0" x="82"/>
        <item sd="0" x="118"/>
        <item sd="0" x="128"/>
        <item sd="0" x="121"/>
      </items>
    </pivotField>
    <pivotField axis="axisRow" compact="0" outline="0" showAll="0" defaultSubtotal="0">
      <items count="65">
        <item sd="0" x="28"/>
        <item sd="0" x="22"/>
        <item sd="0" x="14"/>
        <item sd="0" x="61"/>
        <item sd="0" x="62"/>
        <item sd="0" x="0"/>
        <item sd="0" x="41"/>
        <item sd="0" x="45"/>
        <item sd="0" x="24"/>
        <item sd="0" x="47"/>
        <item sd="0" x="20"/>
        <item sd="0" x="26"/>
        <item sd="0" x="23"/>
        <item sd="0" x="25"/>
        <item sd="0" x="13"/>
        <item sd="0" x="31"/>
        <item sd="0" x="21"/>
        <item sd="0" x="29"/>
        <item sd="0" x="30"/>
        <item sd="0" x="27"/>
        <item sd="0" x="60"/>
        <item sd="0" x="55"/>
        <item sd="0" x="50"/>
        <item sd="0" x="44"/>
        <item sd="0" x="34"/>
        <item sd="0" x="38"/>
        <item sd="0" x="2"/>
        <item sd="0" x="40"/>
        <item sd="0" x="37"/>
        <item sd="0" x="53"/>
        <item sd="0" x="1"/>
        <item sd="0" x="48"/>
        <item sd="0" x="17"/>
        <item sd="0" x="19"/>
        <item sd="0" x="51"/>
        <item sd="0" x="49"/>
        <item sd="0" x="11"/>
        <item sd="0" x="4"/>
        <item sd="0" x="7"/>
        <item sd="0" x="3"/>
        <item sd="0" x="6"/>
        <item sd="0" x="15"/>
        <item sd="0" x="9"/>
        <item sd="0" x="12"/>
        <item sd="0" x="16"/>
        <item sd="0" x="39"/>
        <item sd="0" x="5"/>
        <item sd="0" x="18"/>
        <item sd="0" x="33"/>
        <item sd="0" x="8"/>
        <item sd="0" x="35"/>
        <item sd="0" x="10"/>
        <item sd="0" x="43"/>
        <item sd="0" x="32"/>
        <item sd="0" x="42"/>
        <item sd="0" x="57"/>
        <item sd="0" x="46"/>
        <item sd="0" x="54"/>
        <item sd="0" x="36"/>
        <item sd="0" x="64"/>
        <item sd="0" x="59"/>
        <item sd="0" x="52"/>
        <item sd="0" x="58"/>
        <item sd="0" x="63"/>
        <item sd="0" x="56"/>
      </items>
    </pivotField>
    <pivotField axis="axisRow" compact="0" outline="0" showAll="0" defaultSubtotal="0">
      <items count="143">
        <item sd="0" x="128"/>
        <item sd="0" x="129"/>
        <item sd="0" x="108"/>
        <item sd="0" x="138"/>
        <item sd="0" x="127"/>
        <item sd="0" x="116"/>
        <item sd="0" x="115"/>
        <item sd="0" x="66"/>
        <item sd="0" x="56"/>
        <item sd="0" x="123"/>
        <item sd="0" x="2"/>
        <item sd="0" x="1"/>
        <item sd="0" x="64"/>
        <item sd="0" x="89"/>
        <item sd="0" x="58"/>
        <item sd="0" x="59"/>
        <item sd="0" x="62"/>
        <item sd="0" x="60"/>
        <item sd="0" x="63"/>
        <item sd="0" x="91"/>
        <item sd="0" x="47"/>
        <item sd="0" x="61"/>
        <item sd="0" x="11"/>
        <item sd="0" x="4"/>
        <item sd="0" x="68"/>
        <item sd="0" x="9"/>
        <item sd="0" x="65"/>
        <item sd="0" x="96"/>
        <item sd="0" x="69"/>
        <item sd="0" x="95"/>
        <item sd="0" x="5"/>
        <item sd="0" x="99"/>
        <item sd="0" x="67"/>
        <item sd="0" x="3"/>
        <item sd="0" x="98"/>
        <item sd="0" x="6"/>
        <item sd="0" x="48"/>
        <item sd="0" x="87"/>
        <item sd="0" x="7"/>
        <item sd="0" x="88"/>
        <item sd="0" x="57"/>
        <item sd="0" x="101"/>
        <item sd="0" x="136"/>
        <item sd="0" x="46"/>
        <item sd="0" x="12"/>
        <item sd="0" x="14"/>
        <item sd="0" x="8"/>
        <item sd="0" x="97"/>
        <item sd="0" x="90"/>
        <item sd="0" x="22"/>
        <item sd="0" x="18"/>
        <item sd="0" x="141"/>
        <item sd="0" x="25"/>
        <item sd="0" x="13"/>
        <item sd="0" x="19"/>
        <item sd="0" x="23"/>
        <item sd="0" x="24"/>
        <item sd="0" x="27"/>
        <item sd="0" x="10"/>
        <item sd="0" x="28"/>
        <item sd="0" x="104"/>
        <item sd="0" x="21"/>
        <item sd="0" x="71"/>
        <item sd="0" x="131"/>
        <item sd="0" x="142"/>
        <item sd="0" x="33"/>
        <item sd="0" x="105"/>
        <item sd="0" x="49"/>
        <item sd="0" x="30"/>
        <item sd="0" x="26"/>
        <item sd="0" x="15"/>
        <item sd="0" x="137"/>
        <item sd="0" x="0"/>
        <item sd="0" x="35"/>
        <item sd="0" x="32"/>
        <item sd="0" x="29"/>
        <item sd="0" x="74"/>
        <item sd="0" x="100"/>
        <item sd="0" x="36"/>
        <item sd="0" x="17"/>
        <item sd="0" x="73"/>
        <item sd="0" x="39"/>
        <item sd="0" x="103"/>
        <item sd="0" x="134"/>
        <item sd="0" x="70"/>
        <item sd="0" x="107"/>
        <item sd="0" x="20"/>
        <item sd="0" x="44"/>
        <item sd="0" x="42"/>
        <item sd="0" x="132"/>
        <item sd="0" x="45"/>
        <item sd="0" x="43"/>
        <item sd="0" x="135"/>
        <item sd="0" x="72"/>
        <item sd="0" x="41"/>
        <item sd="0" x="16"/>
        <item sd="0" x="140"/>
        <item sd="0" x="75"/>
        <item sd="0" x="121"/>
        <item sd="0" x="122"/>
        <item sd="0" x="53"/>
        <item sd="0" x="133"/>
        <item sd="0" x="76"/>
        <item sd="0" x="139"/>
        <item sd="0" x="102"/>
        <item sd="0" x="50"/>
        <item sd="0" x="31"/>
        <item sd="0" x="52"/>
        <item sd="0" x="106"/>
        <item sd="0" x="51"/>
        <item sd="0" x="118"/>
        <item sd="0" x="34"/>
        <item sd="0" x="130"/>
        <item sd="0" x="120"/>
        <item sd="0" x="37"/>
        <item sd="0" x="54"/>
        <item sd="0" x="124"/>
        <item sd="0" x="38"/>
        <item sd="0" x="40"/>
        <item sd="0" x="109"/>
        <item sd="0" x="55"/>
        <item sd="0" x="92"/>
        <item sd="0" x="78"/>
        <item sd="0" x="125"/>
        <item sd="0" x="83"/>
        <item sd="0" x="93"/>
        <item sd="0" x="126"/>
        <item sd="0" x="119"/>
        <item sd="0" x="113"/>
        <item sd="0" x="110"/>
        <item sd="0" x="82"/>
        <item sd="0" x="112"/>
        <item sd="0" x="111"/>
        <item sd="0" x="77"/>
        <item sd="0" x="114"/>
        <item sd="0" x="117"/>
        <item sd="0" x="79"/>
        <item sd="0" x="80"/>
        <item sd="0" x="94"/>
        <item sd="0" x="86"/>
        <item sd="0" x="84"/>
        <item sd="0" x="85"/>
        <item sd="0" x="81"/>
      </items>
    </pivotField>
    <pivotField axis="axisRow" compact="0" outline="0" showAll="0" defaultSubtotal="0">
      <items count="34">
        <item sd="0" x="0"/>
        <item sd="0" x="7"/>
        <item sd="0" x="1"/>
        <item sd="0" x="2"/>
        <item sd="0" x="4"/>
        <item sd="0" x="8"/>
        <item sd="0" x="10"/>
        <item sd="0" x="6"/>
        <item sd="0" x="16"/>
        <item sd="0" x="22"/>
        <item sd="0" x="30"/>
        <item sd="0" x="24"/>
        <item sd="0" x="19"/>
        <item sd="0" x="23"/>
        <item sd="0" x="15"/>
        <item sd="0" x="21"/>
        <item sd="0" x="26"/>
        <item sd="0" x="3"/>
        <item sd="0" x="14"/>
        <item sd="0" x="20"/>
        <item sd="0" x="31"/>
        <item sd="0" x="11"/>
        <item sd="0" x="28"/>
        <item sd="0" x="27"/>
        <item sd="0" x="18"/>
        <item sd="0" x="17"/>
        <item sd="0" x="12"/>
        <item sd="0" x="32"/>
        <item sd="0" x="33"/>
        <item sd="0" x="13"/>
        <item sd="0" x="25"/>
        <item sd="0" x="9"/>
        <item sd="0" x="29"/>
        <item sd="0" x="5"/>
      </items>
    </pivotField>
    <pivotField axis="axisRow" compact="0" outline="0" showAll="0" defaultSubtotal="0">
      <items count="32">
        <item sd="0" x="0"/>
        <item sd="0" x="31"/>
        <item sd="0" x="15"/>
        <item sd="0" x="30"/>
        <item sd="0" x="9"/>
        <item sd="0" x="5"/>
        <item sd="0" x="22"/>
        <item sd="0" x="13"/>
        <item sd="0" x="12"/>
        <item sd="0" x="2"/>
        <item sd="0" x="16"/>
        <item sd="0" x="7"/>
        <item sd="0" x="18"/>
        <item sd="0" x="11"/>
        <item sd="0" x="4"/>
        <item sd="0" x="25"/>
        <item sd="0" x="6"/>
        <item sd="0" x="19"/>
        <item sd="0" x="24"/>
        <item sd="0" x="8"/>
        <item sd="0" x="3"/>
        <item sd="0" x="26"/>
        <item sd="0" x="1"/>
        <item sd="0" x="21"/>
        <item sd="0" x="23"/>
        <item sd="0" x="10"/>
        <item sd="0" x="14"/>
        <item sd="0" x="17"/>
        <item sd="0" x="20"/>
        <item sd="0" x="27"/>
        <item sd="0" x="28"/>
        <item sd="0" x="29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252">
    <format dxfId="272">
      <pivotArea type="all" dataOnly="0" outline="0" fieldPosition="0"/>
    </format>
    <format dxfId="271">
      <pivotArea outline="0" collapsedLevelsAreSubtotals="1" fieldPosition="0"/>
    </format>
    <format dxfId="270">
      <pivotArea dataOnly="0" labelOnly="1" grandRow="1" outline="0" fieldPosition="0"/>
    </format>
    <format dxfId="2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8">
      <pivotArea type="all" dataOnly="0" outline="0" fieldPosition="0"/>
    </format>
    <format dxfId="267">
      <pivotArea dataOnly="0" outline="0" fieldPosition="0">
        <references count="1">
          <reference field="4294967294" count="1">
            <x v="0"/>
          </reference>
        </references>
      </pivotArea>
    </format>
    <format dxfId="266">
      <pivotArea outline="0" fieldPosition="0">
        <references count="1">
          <reference field="4294967294" count="1">
            <x v="0"/>
          </reference>
        </references>
      </pivotArea>
    </format>
    <format dxfId="265">
      <pivotArea outline="0" fieldPosition="0">
        <references count="1">
          <reference field="4294967294" count="1">
            <x v="1"/>
          </reference>
        </references>
      </pivotArea>
    </format>
    <format dxfId="264">
      <pivotArea type="all" dataOnly="0" outline="0" fieldPosition="0"/>
    </format>
    <format dxfId="263">
      <pivotArea outline="0" collapsedLevelsAreSubtotals="1" fieldPosition="0"/>
    </format>
    <format dxfId="2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1">
      <pivotArea outline="0" fieldPosition="0">
        <references count="1">
          <reference field="4294967294" count="1" selected="0">
            <x v="1"/>
          </reference>
        </references>
      </pivotArea>
    </format>
    <format dxfId="260">
      <pivotArea dataOnly="0" outline="0" fieldPosition="0">
        <references count="1">
          <reference field="4294967294" count="1">
            <x v="1"/>
          </reference>
        </references>
      </pivotArea>
    </format>
    <format dxfId="259">
      <pivotArea type="all" dataOnly="0" outline="0" fieldPosition="0"/>
    </format>
    <format dxfId="258">
      <pivotArea type="all" dataOnly="0" outline="0" fieldPosition="0"/>
    </format>
    <format dxfId="257">
      <pivotArea outline="0" fieldPosition="0">
        <references count="1">
          <reference field="4294967294" count="1">
            <x v="2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30">
      <pivotArea dataOnly="0" labelOnly="1" outline="0" fieldPosition="0">
        <references count="1">
          <reference field="1" count="28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</reference>
        </references>
      </pivotArea>
    </format>
    <format dxfId="229">
      <pivotArea outline="0" collapsedLevelsAreSubtotals="1" fieldPosition="0"/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field="1" type="button" dataOnly="0" labelOnly="1" outline="0" axis="axisRow" fieldPosition="0"/>
    </format>
    <format dxfId="201">
      <pivotArea field="2" type="button" dataOnly="0" labelOnly="1" outline="0" axis="axisRow" fieldPosition="1"/>
    </format>
    <format dxfId="200">
      <pivotArea field="3" type="button" dataOnly="0" labelOnly="1" outline="0" axis="axisRow" fieldPosition="2"/>
    </format>
    <format dxfId="199">
      <pivotArea field="4" type="button" dataOnly="0" labelOnly="1" outline="0" axis="axisRow" fieldPosition="3"/>
    </format>
    <format dxfId="198">
      <pivotArea field="5" type="button" dataOnly="0" labelOnly="1" outline="0" axis="axisRow" fieldPosition="4"/>
    </format>
    <format dxfId="197">
      <pivotArea field="6" type="button" dataOnly="0" labelOnly="1" outline="0" axis="axisRow" fieldPosition="5"/>
    </format>
    <format dxfId="196">
      <pivotArea field="7" type="button" dataOnly="0" labelOnly="1" outline="0" axis="axisRow" fieldPosition="6"/>
    </format>
    <format dxfId="195">
      <pivotArea field="8" type="button" dataOnly="0" labelOnly="1" outline="0" axis="axisRow" fieldPosition="7"/>
    </format>
    <format dxfId="194">
      <pivotArea field="9" type="button" dataOnly="0" labelOnly="1" outline="0" axis="axisRow" fieldPosition="8"/>
    </format>
    <format dxfId="193">
      <pivotArea field="10" type="button" dataOnly="0" labelOnly="1" outline="0" axis="axisRow" fieldPosition="9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field="2" type="button" dataOnly="0" labelOnly="1" outline="0" axis="axisRow" fieldPosition="1"/>
    </format>
    <format dxfId="190">
      <pivotArea field="3" type="button" dataOnly="0" labelOnly="1" outline="0" axis="axisRow" fieldPosition="2"/>
    </format>
    <format dxfId="189">
      <pivotArea field="4" type="button" dataOnly="0" labelOnly="1" outline="0" axis="axisRow" fieldPosition="3"/>
    </format>
    <format dxfId="188">
      <pivotArea field="5" type="button" dataOnly="0" labelOnly="1" outline="0" axis="axisRow" fieldPosition="4"/>
    </format>
    <format dxfId="187">
      <pivotArea field="6" type="button" dataOnly="0" labelOnly="1" outline="0" axis="axisRow" fieldPosition="5"/>
    </format>
    <format dxfId="186">
      <pivotArea field="7" type="button" dataOnly="0" labelOnly="1" outline="0" axis="axisRow" fieldPosition="6"/>
    </format>
    <format dxfId="185">
      <pivotArea field="8" type="button" dataOnly="0" labelOnly="1" outline="0" axis="axisRow" fieldPosition="7"/>
    </format>
    <format dxfId="184">
      <pivotArea field="9" type="button" dataOnly="0" labelOnly="1" outline="0" axis="axisRow" fieldPosition="8"/>
    </format>
    <format dxfId="183">
      <pivotArea field="10" type="button" dataOnly="0" labelOnly="1" outline="0" axis="axisRow" fieldPosition="9"/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field="1" type="button" dataOnly="0" labelOnly="1" outline="0" axis="axisRow" fieldPosition="0"/>
    </format>
    <format dxfId="180">
      <pivotArea dataOnly="0" labelOnly="1" outline="0" fieldPosition="0">
        <references count="1">
          <reference field="1" count="1">
            <x v="0"/>
          </reference>
        </references>
      </pivotArea>
    </format>
    <format dxfId="179">
      <pivotArea dataOnly="0" labelOnly="1" outline="0" fieldPosition="0">
        <references count="1">
          <reference field="1" count="1">
            <x v="1"/>
          </reference>
        </references>
      </pivotArea>
    </format>
    <format dxfId="178">
      <pivotArea dataOnly="0" labelOnly="1" outline="0" fieldPosition="0">
        <references count="1">
          <reference field="1" count="1">
            <x v="2"/>
          </reference>
        </references>
      </pivotArea>
    </format>
    <format dxfId="177">
      <pivotArea dataOnly="0" labelOnly="1" outline="0" fieldPosition="0">
        <references count="1">
          <reference field="1" count="1">
            <x v="3"/>
          </reference>
        </references>
      </pivotArea>
    </format>
    <format dxfId="176">
      <pivotArea dataOnly="0" labelOnly="1" outline="0" fieldPosition="0">
        <references count="1">
          <reference field="1" count="1">
            <x v="4"/>
          </reference>
        </references>
      </pivotArea>
    </format>
    <format dxfId="175">
      <pivotArea dataOnly="0" labelOnly="1" outline="0" fieldPosition="0">
        <references count="1">
          <reference field="1" count="1">
            <x v="5"/>
          </reference>
        </references>
      </pivotArea>
    </format>
    <format dxfId="174">
      <pivotArea dataOnly="0" labelOnly="1" outline="0" fieldPosition="0">
        <references count="1">
          <reference field="1" count="1">
            <x v="6"/>
          </reference>
        </references>
      </pivotArea>
    </format>
    <format dxfId="173">
      <pivotArea dataOnly="0" labelOnly="1" outline="0" fieldPosition="0">
        <references count="1">
          <reference field="1" count="1">
            <x v="7"/>
          </reference>
        </references>
      </pivotArea>
    </format>
    <format dxfId="172">
      <pivotArea dataOnly="0" labelOnly="1" outline="0" fieldPosition="0">
        <references count="1">
          <reference field="1" count="1">
            <x v="8"/>
          </reference>
        </references>
      </pivotArea>
    </format>
    <format dxfId="171">
      <pivotArea dataOnly="0" labelOnly="1" outline="0" fieldPosition="0">
        <references count="1">
          <reference field="1" count="1">
            <x v="9"/>
          </reference>
        </references>
      </pivotArea>
    </format>
    <format dxfId="170">
      <pivotArea dataOnly="0" labelOnly="1" outline="0" fieldPosition="0">
        <references count="1">
          <reference field="1" count="1">
            <x v="10"/>
          </reference>
        </references>
      </pivotArea>
    </format>
    <format dxfId="169">
      <pivotArea dataOnly="0" labelOnly="1" outline="0" fieldPosition="0">
        <references count="1">
          <reference field="1" count="1">
            <x v="11"/>
          </reference>
        </references>
      </pivotArea>
    </format>
    <format dxfId="168">
      <pivotArea dataOnly="0" labelOnly="1" outline="0" fieldPosition="0">
        <references count="1">
          <reference field="1" count="1">
            <x v="12"/>
          </reference>
        </references>
      </pivotArea>
    </format>
    <format dxfId="167">
      <pivotArea dataOnly="0" labelOnly="1" outline="0" fieldPosition="0">
        <references count="1">
          <reference field="1" count="1">
            <x v="13"/>
          </reference>
        </references>
      </pivotArea>
    </format>
    <format dxfId="166">
      <pivotArea dataOnly="0" labelOnly="1" outline="0" fieldPosition="0">
        <references count="1">
          <reference field="1" count="1">
            <x v="14"/>
          </reference>
        </references>
      </pivotArea>
    </format>
    <format dxfId="165">
      <pivotArea dataOnly="0" labelOnly="1" outline="0" fieldPosition="0">
        <references count="1">
          <reference field="1" count="1">
            <x v="15"/>
          </reference>
        </references>
      </pivotArea>
    </format>
    <format dxfId="164">
      <pivotArea dataOnly="0" labelOnly="1" outline="0" fieldPosition="0">
        <references count="1">
          <reference field="1" count="1">
            <x v="16"/>
          </reference>
        </references>
      </pivotArea>
    </format>
    <format dxfId="163">
      <pivotArea dataOnly="0" labelOnly="1" outline="0" fieldPosition="0">
        <references count="1">
          <reference field="1" count="1">
            <x v="17"/>
          </reference>
        </references>
      </pivotArea>
    </format>
    <format dxfId="162">
      <pivotArea dataOnly="0" labelOnly="1" outline="0" fieldPosition="0">
        <references count="1">
          <reference field="1" count="1">
            <x v="18"/>
          </reference>
        </references>
      </pivotArea>
    </format>
    <format dxfId="161">
      <pivotArea dataOnly="0" labelOnly="1" outline="0" fieldPosition="0">
        <references count="1">
          <reference field="1" count="1">
            <x v="19"/>
          </reference>
        </references>
      </pivotArea>
    </format>
    <format dxfId="160">
      <pivotArea dataOnly="0" labelOnly="1" outline="0" fieldPosition="0">
        <references count="1">
          <reference field="1" count="1">
            <x v="20"/>
          </reference>
        </references>
      </pivotArea>
    </format>
    <format dxfId="159">
      <pivotArea dataOnly="0" labelOnly="1" outline="0" fieldPosition="0">
        <references count="1">
          <reference field="1" count="1">
            <x v="21"/>
          </reference>
        </references>
      </pivotArea>
    </format>
    <format dxfId="158">
      <pivotArea dataOnly="0" labelOnly="1" outline="0" fieldPosition="0">
        <references count="1">
          <reference field="1" count="1">
            <x v="22"/>
          </reference>
        </references>
      </pivotArea>
    </format>
    <format dxfId="157">
      <pivotArea dataOnly="0" labelOnly="1" outline="0" fieldPosition="0">
        <references count="1">
          <reference field="1" count="1">
            <x v="23"/>
          </reference>
        </references>
      </pivotArea>
    </format>
    <format dxfId="156">
      <pivotArea dataOnly="0" labelOnly="1" outline="0" fieldPosition="0">
        <references count="1">
          <reference field="1" count="1">
            <x v="24"/>
          </reference>
        </references>
      </pivotArea>
    </format>
    <format dxfId="155">
      <pivotArea dataOnly="0" labelOnly="1" outline="0" fieldPosition="0">
        <references count="1">
          <reference field="1" count="1">
            <x v="25"/>
          </reference>
        </references>
      </pivotArea>
    </format>
    <format dxfId="154">
      <pivotArea dataOnly="0" labelOnly="1" outline="0" fieldPosition="0">
        <references count="1">
          <reference field="1" count="1">
            <x v="26"/>
          </reference>
        </references>
      </pivotArea>
    </format>
    <format dxfId="153">
      <pivotArea dataOnly="0" labelOnly="1" outline="0" fieldPosition="0">
        <references count="1">
          <reference field="1" count="1">
            <x v="27"/>
          </reference>
        </references>
      </pivotArea>
    </format>
    <format dxfId="152">
      <pivotArea dataOnly="0" labelOnly="1" outline="0" fieldPosition="0">
        <references count="1">
          <reference field="1" count="1">
            <x v="28"/>
          </reference>
        </references>
      </pivotArea>
    </format>
    <format dxfId="151">
      <pivotArea dataOnly="0" labelOnly="1" outline="0" fieldPosition="0">
        <references count="1">
          <reference field="1" count="1">
            <x v="29"/>
          </reference>
        </references>
      </pivotArea>
    </format>
    <format dxfId="150">
      <pivotArea dataOnly="0" labelOnly="1" outline="0" fieldPosition="0">
        <references count="1">
          <reference field="1" count="1">
            <x v="30"/>
          </reference>
        </references>
      </pivotArea>
    </format>
    <format dxfId="149">
      <pivotArea dataOnly="0" labelOnly="1" outline="0" fieldPosition="0">
        <references count="1">
          <reference field="1" count="1">
            <x v="31"/>
          </reference>
        </references>
      </pivotArea>
    </format>
    <format dxfId="148">
      <pivotArea dataOnly="0" labelOnly="1" outline="0" fieldPosition="0">
        <references count="1">
          <reference field="1" count="1">
            <x v="32"/>
          </reference>
        </references>
      </pivotArea>
    </format>
    <format dxfId="147">
      <pivotArea dataOnly="0" labelOnly="1" outline="0" fieldPosition="0">
        <references count="1">
          <reference field="1" count="1">
            <x v="33"/>
          </reference>
        </references>
      </pivotArea>
    </format>
    <format dxfId="146">
      <pivotArea dataOnly="0" labelOnly="1" outline="0" fieldPosition="0">
        <references count="1">
          <reference field="1" count="1">
            <x v="34"/>
          </reference>
        </references>
      </pivotArea>
    </format>
    <format dxfId="145">
      <pivotArea dataOnly="0" labelOnly="1" outline="0" fieldPosition="0">
        <references count="1">
          <reference field="1" count="1">
            <x v="35"/>
          </reference>
        </references>
      </pivotArea>
    </format>
    <format dxfId="144">
      <pivotArea dataOnly="0" labelOnly="1" outline="0" fieldPosition="0">
        <references count="1">
          <reference field="1" count="1">
            <x v="36"/>
          </reference>
        </references>
      </pivotArea>
    </format>
    <format dxfId="143">
      <pivotArea dataOnly="0" labelOnly="1" outline="0" fieldPosition="0">
        <references count="1">
          <reference field="1" count="1">
            <x v="37"/>
          </reference>
        </references>
      </pivotArea>
    </format>
    <format dxfId="142">
      <pivotArea dataOnly="0" labelOnly="1" outline="0" fieldPosition="0">
        <references count="1">
          <reference field="1" count="1">
            <x v="38"/>
          </reference>
        </references>
      </pivotArea>
    </format>
    <format dxfId="141">
      <pivotArea dataOnly="0" labelOnly="1" outline="0" fieldPosition="0">
        <references count="1">
          <reference field="1" count="1">
            <x v="39"/>
          </reference>
        </references>
      </pivotArea>
    </format>
    <format dxfId="140">
      <pivotArea dataOnly="0" labelOnly="1" outline="0" fieldPosition="0">
        <references count="1">
          <reference field="1" count="1">
            <x v="40"/>
          </reference>
        </references>
      </pivotArea>
    </format>
    <format dxfId="139">
      <pivotArea dataOnly="0" labelOnly="1" outline="0" fieldPosition="0">
        <references count="1">
          <reference field="1" count="1">
            <x v="41"/>
          </reference>
        </references>
      </pivotArea>
    </format>
    <format dxfId="138">
      <pivotArea dataOnly="0" labelOnly="1" outline="0" fieldPosition="0">
        <references count="1">
          <reference field="1" count="1">
            <x v="42"/>
          </reference>
        </references>
      </pivotArea>
    </format>
    <format dxfId="137">
      <pivotArea dataOnly="0" labelOnly="1" outline="0" fieldPosition="0">
        <references count="1">
          <reference field="1" count="1">
            <x v="43"/>
          </reference>
        </references>
      </pivotArea>
    </format>
    <format dxfId="136">
      <pivotArea dataOnly="0" labelOnly="1" outline="0" fieldPosition="0">
        <references count="1">
          <reference field="1" count="1">
            <x v="44"/>
          </reference>
        </references>
      </pivotArea>
    </format>
    <format dxfId="135">
      <pivotArea dataOnly="0" labelOnly="1" outline="0" fieldPosition="0">
        <references count="1">
          <reference field="1" count="1">
            <x v="45"/>
          </reference>
        </references>
      </pivotArea>
    </format>
    <format dxfId="134">
      <pivotArea dataOnly="0" labelOnly="1" outline="0" fieldPosition="0">
        <references count="1">
          <reference field="1" count="1">
            <x v="46"/>
          </reference>
        </references>
      </pivotArea>
    </format>
    <format dxfId="133">
      <pivotArea dataOnly="0" labelOnly="1" outline="0" fieldPosition="0">
        <references count="1">
          <reference field="1" count="1">
            <x v="47"/>
          </reference>
        </references>
      </pivotArea>
    </format>
    <format dxfId="132">
      <pivotArea dataOnly="0" labelOnly="1" outline="0" fieldPosition="0">
        <references count="1">
          <reference field="1" count="1">
            <x v="48"/>
          </reference>
        </references>
      </pivotArea>
    </format>
    <format dxfId="131">
      <pivotArea dataOnly="0" labelOnly="1" outline="0" fieldPosition="0">
        <references count="1">
          <reference field="1" count="1">
            <x v="49"/>
          </reference>
        </references>
      </pivotArea>
    </format>
    <format dxfId="130">
      <pivotArea dataOnly="0" labelOnly="1" outline="0" fieldPosition="0">
        <references count="1">
          <reference field="1" count="1">
            <x v="50"/>
          </reference>
        </references>
      </pivotArea>
    </format>
    <format dxfId="129">
      <pivotArea dataOnly="0" labelOnly="1" outline="0" fieldPosition="0">
        <references count="1">
          <reference field="1" count="1">
            <x v="51"/>
          </reference>
        </references>
      </pivotArea>
    </format>
    <format dxfId="128">
      <pivotArea dataOnly="0" labelOnly="1" outline="0" fieldPosition="0">
        <references count="1">
          <reference field="1" count="1">
            <x v="52"/>
          </reference>
        </references>
      </pivotArea>
    </format>
    <format dxfId="127">
      <pivotArea dataOnly="0" labelOnly="1" outline="0" fieldPosition="0">
        <references count="1">
          <reference field="1" count="1">
            <x v="53"/>
          </reference>
        </references>
      </pivotArea>
    </format>
    <format dxfId="126">
      <pivotArea dataOnly="0" labelOnly="1" outline="0" fieldPosition="0">
        <references count="1">
          <reference field="1" count="1">
            <x v="54"/>
          </reference>
        </references>
      </pivotArea>
    </format>
    <format dxfId="125">
      <pivotArea dataOnly="0" labelOnly="1" outline="0" fieldPosition="0">
        <references count="1">
          <reference field="1" count="1">
            <x v="55"/>
          </reference>
        </references>
      </pivotArea>
    </format>
    <format dxfId="124">
      <pivotArea dataOnly="0" labelOnly="1" outline="0" fieldPosition="0">
        <references count="1">
          <reference field="1" count="1">
            <x v="56"/>
          </reference>
        </references>
      </pivotArea>
    </format>
    <format dxfId="123">
      <pivotArea dataOnly="0" labelOnly="1" outline="0" fieldPosition="0">
        <references count="1">
          <reference field="1" count="1">
            <x v="57"/>
          </reference>
        </references>
      </pivotArea>
    </format>
    <format dxfId="122">
      <pivotArea dataOnly="0" labelOnly="1" outline="0" fieldPosition="0">
        <references count="1">
          <reference field="1" count="1">
            <x v="58"/>
          </reference>
        </references>
      </pivotArea>
    </format>
    <format dxfId="121">
      <pivotArea dataOnly="0" labelOnly="1" outline="0" fieldPosition="0">
        <references count="1">
          <reference field="1" count="1">
            <x v="59"/>
          </reference>
        </references>
      </pivotArea>
    </format>
    <format dxfId="120">
      <pivotArea dataOnly="0" labelOnly="1" outline="0" fieldPosition="0">
        <references count="1">
          <reference field="1" count="1">
            <x v="60"/>
          </reference>
        </references>
      </pivotArea>
    </format>
    <format dxfId="119">
      <pivotArea dataOnly="0" labelOnly="1" outline="0" fieldPosition="0">
        <references count="1">
          <reference field="1" count="1">
            <x v="61"/>
          </reference>
        </references>
      </pivotArea>
    </format>
    <format dxfId="118">
      <pivotArea dataOnly="0" labelOnly="1" outline="0" fieldPosition="0">
        <references count="1">
          <reference field="1" count="1">
            <x v="62"/>
          </reference>
        </references>
      </pivotArea>
    </format>
    <format dxfId="117">
      <pivotArea dataOnly="0" labelOnly="1" outline="0" fieldPosition="0">
        <references count="1">
          <reference field="1" count="1">
            <x v="63"/>
          </reference>
        </references>
      </pivotArea>
    </format>
    <format dxfId="116">
      <pivotArea dataOnly="0" labelOnly="1" outline="0" fieldPosition="0">
        <references count="1">
          <reference field="1" count="1">
            <x v="64"/>
          </reference>
        </references>
      </pivotArea>
    </format>
    <format dxfId="115">
      <pivotArea dataOnly="0" labelOnly="1" outline="0" fieldPosition="0">
        <references count="1">
          <reference field="1" count="1">
            <x v="65"/>
          </reference>
        </references>
      </pivotArea>
    </format>
    <format dxfId="114">
      <pivotArea dataOnly="0" labelOnly="1" outline="0" fieldPosition="0">
        <references count="1">
          <reference field="1" count="1">
            <x v="66"/>
          </reference>
        </references>
      </pivotArea>
    </format>
    <format dxfId="113">
      <pivotArea dataOnly="0" labelOnly="1" outline="0" fieldPosition="0">
        <references count="1">
          <reference field="1" count="1">
            <x v="67"/>
          </reference>
        </references>
      </pivotArea>
    </format>
    <format dxfId="112">
      <pivotArea dataOnly="0" labelOnly="1" outline="0" fieldPosition="0">
        <references count="1">
          <reference field="1" count="1">
            <x v="68"/>
          </reference>
        </references>
      </pivotArea>
    </format>
    <format dxfId="111">
      <pivotArea dataOnly="0" labelOnly="1" outline="0" fieldPosition="0">
        <references count="1">
          <reference field="1" count="1">
            <x v="69"/>
          </reference>
        </references>
      </pivotArea>
    </format>
    <format dxfId="110">
      <pivotArea dataOnly="0" labelOnly="1" outline="0" fieldPosition="0">
        <references count="1">
          <reference field="1" count="1">
            <x v="70"/>
          </reference>
        </references>
      </pivotArea>
    </format>
    <format dxfId="109">
      <pivotArea dataOnly="0" labelOnly="1" outline="0" fieldPosition="0">
        <references count="1">
          <reference field="1" count="1">
            <x v="71"/>
          </reference>
        </references>
      </pivotArea>
    </format>
    <format dxfId="108">
      <pivotArea dataOnly="0" labelOnly="1" outline="0" fieldPosition="0">
        <references count="1">
          <reference field="1" count="1">
            <x v="72"/>
          </reference>
        </references>
      </pivotArea>
    </format>
    <format dxfId="107">
      <pivotArea dataOnly="0" labelOnly="1" outline="0" fieldPosition="0">
        <references count="1">
          <reference field="1" count="1">
            <x v="73"/>
          </reference>
        </references>
      </pivotArea>
    </format>
    <format dxfId="106">
      <pivotArea dataOnly="0" labelOnly="1" outline="0" fieldPosition="0">
        <references count="1">
          <reference field="1" count="1">
            <x v="74"/>
          </reference>
        </references>
      </pivotArea>
    </format>
    <format dxfId="105">
      <pivotArea dataOnly="0" labelOnly="1" outline="0" fieldPosition="0">
        <references count="1">
          <reference field="1" count="1">
            <x v="75"/>
          </reference>
        </references>
      </pivotArea>
    </format>
    <format dxfId="104">
      <pivotArea dataOnly="0" labelOnly="1" outline="0" fieldPosition="0">
        <references count="1">
          <reference field="1" count="1">
            <x v="76"/>
          </reference>
        </references>
      </pivotArea>
    </format>
    <format dxfId="103">
      <pivotArea dataOnly="0" labelOnly="1" outline="0" fieldPosition="0">
        <references count="1">
          <reference field="1" count="1">
            <x v="77"/>
          </reference>
        </references>
      </pivotArea>
    </format>
    <format dxfId="102">
      <pivotArea dataOnly="0" labelOnly="1" outline="0" fieldPosition="0">
        <references count="1">
          <reference field="1" count="1">
            <x v="78"/>
          </reference>
        </references>
      </pivotArea>
    </format>
    <format dxfId="101">
      <pivotArea dataOnly="0" labelOnly="1" outline="0" fieldPosition="0">
        <references count="1">
          <reference field="1" count="1">
            <x v="79"/>
          </reference>
        </references>
      </pivotArea>
    </format>
    <format dxfId="100">
      <pivotArea dataOnly="0" labelOnly="1" outline="0" fieldPosition="0">
        <references count="1">
          <reference field="1" count="1">
            <x v="80"/>
          </reference>
        </references>
      </pivotArea>
    </format>
    <format dxfId="99">
      <pivotArea dataOnly="0" labelOnly="1" outline="0" fieldPosition="0">
        <references count="1">
          <reference field="1" count="1">
            <x v="81"/>
          </reference>
        </references>
      </pivotArea>
    </format>
    <format dxfId="98">
      <pivotArea dataOnly="0" labelOnly="1" outline="0" fieldPosition="0">
        <references count="1">
          <reference field="1" count="1">
            <x v="82"/>
          </reference>
        </references>
      </pivotArea>
    </format>
    <format dxfId="97">
      <pivotArea dataOnly="0" labelOnly="1" outline="0" fieldPosition="0">
        <references count="1">
          <reference field="1" count="1">
            <x v="83"/>
          </reference>
        </references>
      </pivotArea>
    </format>
    <format dxfId="96">
      <pivotArea dataOnly="0" labelOnly="1" outline="0" fieldPosition="0">
        <references count="1">
          <reference field="1" count="1">
            <x v="84"/>
          </reference>
        </references>
      </pivotArea>
    </format>
    <format dxfId="95">
      <pivotArea dataOnly="0" labelOnly="1" outline="0" fieldPosition="0">
        <references count="1">
          <reference field="1" count="1">
            <x v="85"/>
          </reference>
        </references>
      </pivotArea>
    </format>
    <format dxfId="94">
      <pivotArea dataOnly="0" labelOnly="1" outline="0" fieldPosition="0">
        <references count="1">
          <reference field="1" count="1">
            <x v="86"/>
          </reference>
        </references>
      </pivotArea>
    </format>
    <format dxfId="93">
      <pivotArea dataOnly="0" labelOnly="1" outline="0" fieldPosition="0">
        <references count="1">
          <reference field="1" count="1">
            <x v="87"/>
          </reference>
        </references>
      </pivotArea>
    </format>
    <format dxfId="92">
      <pivotArea dataOnly="0" labelOnly="1" outline="0" fieldPosition="0">
        <references count="1">
          <reference field="1" count="1">
            <x v="88"/>
          </reference>
        </references>
      </pivotArea>
    </format>
    <format dxfId="91">
      <pivotArea dataOnly="0" labelOnly="1" outline="0" fieldPosition="0">
        <references count="1">
          <reference field="1" count="1">
            <x v="89"/>
          </reference>
        </references>
      </pivotArea>
    </format>
    <format dxfId="90">
      <pivotArea dataOnly="0" labelOnly="1" outline="0" fieldPosition="0">
        <references count="1">
          <reference field="1" count="1">
            <x v="90"/>
          </reference>
        </references>
      </pivotArea>
    </format>
    <format dxfId="89">
      <pivotArea dataOnly="0" labelOnly="1" outline="0" fieldPosition="0">
        <references count="1">
          <reference field="1" count="1">
            <x v="91"/>
          </reference>
        </references>
      </pivotArea>
    </format>
    <format dxfId="88">
      <pivotArea dataOnly="0" labelOnly="1" outline="0" fieldPosition="0">
        <references count="1">
          <reference field="1" count="1">
            <x v="92"/>
          </reference>
        </references>
      </pivotArea>
    </format>
    <format dxfId="87">
      <pivotArea dataOnly="0" labelOnly="1" outline="0" fieldPosition="0">
        <references count="1">
          <reference field="1" count="1">
            <x v="93"/>
          </reference>
        </references>
      </pivotArea>
    </format>
    <format dxfId="86">
      <pivotArea dataOnly="0" labelOnly="1" outline="0" fieldPosition="0">
        <references count="1">
          <reference field="1" count="1">
            <x v="94"/>
          </reference>
        </references>
      </pivotArea>
    </format>
    <format dxfId="85">
      <pivotArea dataOnly="0" labelOnly="1" outline="0" fieldPosition="0">
        <references count="1">
          <reference field="1" count="1">
            <x v="95"/>
          </reference>
        </references>
      </pivotArea>
    </format>
    <format dxfId="84">
      <pivotArea dataOnly="0" labelOnly="1" outline="0" fieldPosition="0">
        <references count="1">
          <reference field="1" count="1">
            <x v="96"/>
          </reference>
        </references>
      </pivotArea>
    </format>
    <format dxfId="83">
      <pivotArea dataOnly="0" labelOnly="1" outline="0" fieldPosition="0">
        <references count="1">
          <reference field="1" count="1">
            <x v="97"/>
          </reference>
        </references>
      </pivotArea>
    </format>
    <format dxfId="82">
      <pivotArea dataOnly="0" labelOnly="1" outline="0" fieldPosition="0">
        <references count="1">
          <reference field="1" count="1">
            <x v="98"/>
          </reference>
        </references>
      </pivotArea>
    </format>
    <format dxfId="81">
      <pivotArea dataOnly="0" labelOnly="1" outline="0" fieldPosition="0">
        <references count="1">
          <reference field="1" count="1">
            <x v="99"/>
          </reference>
        </references>
      </pivotArea>
    </format>
    <format dxfId="80">
      <pivotArea dataOnly="0" labelOnly="1" outline="0" fieldPosition="0">
        <references count="1">
          <reference field="1" count="1">
            <x v="100"/>
          </reference>
        </references>
      </pivotArea>
    </format>
    <format dxfId="79">
      <pivotArea dataOnly="0" labelOnly="1" outline="0" fieldPosition="0">
        <references count="1">
          <reference field="1" count="1">
            <x v="101"/>
          </reference>
        </references>
      </pivotArea>
    </format>
    <format dxfId="78">
      <pivotArea dataOnly="0" labelOnly="1" outline="0" fieldPosition="0">
        <references count="1">
          <reference field="1" count="1">
            <x v="102"/>
          </reference>
        </references>
      </pivotArea>
    </format>
    <format dxfId="77">
      <pivotArea dataOnly="0" labelOnly="1" outline="0" fieldPosition="0">
        <references count="1">
          <reference field="1" count="1">
            <x v="103"/>
          </reference>
        </references>
      </pivotArea>
    </format>
    <format dxfId="76">
      <pivotArea dataOnly="0" labelOnly="1" outline="0" fieldPosition="0">
        <references count="1">
          <reference field="1" count="1">
            <x v="104"/>
          </reference>
        </references>
      </pivotArea>
    </format>
    <format dxfId="75">
      <pivotArea dataOnly="0" labelOnly="1" outline="0" fieldPosition="0">
        <references count="1">
          <reference field="1" count="1">
            <x v="105"/>
          </reference>
        </references>
      </pivotArea>
    </format>
    <format dxfId="74">
      <pivotArea dataOnly="0" labelOnly="1" outline="0" fieldPosition="0">
        <references count="1">
          <reference field="1" count="1">
            <x v="106"/>
          </reference>
        </references>
      </pivotArea>
    </format>
    <format dxfId="73">
      <pivotArea dataOnly="0" labelOnly="1" outline="0" fieldPosition="0">
        <references count="1">
          <reference field="1" count="1">
            <x v="107"/>
          </reference>
        </references>
      </pivotArea>
    </format>
    <format dxfId="72">
      <pivotArea dataOnly="0" labelOnly="1" outline="0" fieldPosition="0">
        <references count="1">
          <reference field="1" count="1">
            <x v="108"/>
          </reference>
        </references>
      </pivotArea>
    </format>
    <format dxfId="71">
      <pivotArea dataOnly="0" labelOnly="1" outline="0" fieldPosition="0">
        <references count="1">
          <reference field="1" count="1">
            <x v="109"/>
          </reference>
        </references>
      </pivotArea>
    </format>
    <format dxfId="70">
      <pivotArea dataOnly="0" labelOnly="1" outline="0" fieldPosition="0">
        <references count="1">
          <reference field="1" count="1">
            <x v="110"/>
          </reference>
        </references>
      </pivotArea>
    </format>
    <format dxfId="69">
      <pivotArea dataOnly="0" labelOnly="1" outline="0" fieldPosition="0">
        <references count="1">
          <reference field="1" count="1">
            <x v="111"/>
          </reference>
        </references>
      </pivotArea>
    </format>
    <format dxfId="68">
      <pivotArea dataOnly="0" labelOnly="1" outline="0" fieldPosition="0">
        <references count="1">
          <reference field="1" count="1">
            <x v="112"/>
          </reference>
        </references>
      </pivotArea>
    </format>
    <format dxfId="67">
      <pivotArea dataOnly="0" labelOnly="1" outline="0" fieldPosition="0">
        <references count="1">
          <reference field="1" count="1">
            <x v="113"/>
          </reference>
        </references>
      </pivotArea>
    </format>
    <format dxfId="66">
      <pivotArea dataOnly="0" labelOnly="1" outline="0" fieldPosition="0">
        <references count="1">
          <reference field="1" count="1">
            <x v="114"/>
          </reference>
        </references>
      </pivotArea>
    </format>
    <format dxfId="65">
      <pivotArea dataOnly="0" labelOnly="1" outline="0" fieldPosition="0">
        <references count="1">
          <reference field="1" count="1">
            <x v="115"/>
          </reference>
        </references>
      </pivotArea>
    </format>
    <format dxfId="64">
      <pivotArea dataOnly="0" labelOnly="1" outline="0" fieldPosition="0">
        <references count="1">
          <reference field="1" count="1">
            <x v="116"/>
          </reference>
        </references>
      </pivotArea>
    </format>
    <format dxfId="63">
      <pivotArea dataOnly="0" labelOnly="1" outline="0" fieldPosition="0">
        <references count="1">
          <reference field="1" count="1">
            <x v="117"/>
          </reference>
        </references>
      </pivotArea>
    </format>
    <format dxfId="62">
      <pivotArea dataOnly="0" labelOnly="1" outline="0" fieldPosition="0">
        <references count="1">
          <reference field="1" count="1">
            <x v="118"/>
          </reference>
        </references>
      </pivotArea>
    </format>
    <format dxfId="61">
      <pivotArea dataOnly="0" labelOnly="1" outline="0" fieldPosition="0">
        <references count="1">
          <reference field="1" count="1">
            <x v="119"/>
          </reference>
        </references>
      </pivotArea>
    </format>
    <format dxfId="60">
      <pivotArea dataOnly="0" labelOnly="1" outline="0" fieldPosition="0">
        <references count="1">
          <reference field="1" count="1">
            <x v="120"/>
          </reference>
        </references>
      </pivotArea>
    </format>
    <format dxfId="59">
      <pivotArea dataOnly="0" labelOnly="1" outline="0" fieldPosition="0">
        <references count="1">
          <reference field="1" count="1">
            <x v="121"/>
          </reference>
        </references>
      </pivotArea>
    </format>
    <format dxfId="58">
      <pivotArea dataOnly="0" labelOnly="1" outline="0" fieldPosition="0">
        <references count="1">
          <reference field="1" count="1">
            <x v="122"/>
          </reference>
        </references>
      </pivotArea>
    </format>
    <format dxfId="57">
      <pivotArea dataOnly="0" labelOnly="1" outline="0" fieldPosition="0">
        <references count="1">
          <reference field="1" count="1">
            <x v="123"/>
          </reference>
        </references>
      </pivotArea>
    </format>
    <format dxfId="56">
      <pivotArea dataOnly="0" labelOnly="1" outline="0" fieldPosition="0">
        <references count="1">
          <reference field="1" count="1">
            <x v="124"/>
          </reference>
        </references>
      </pivotArea>
    </format>
    <format dxfId="55">
      <pivotArea dataOnly="0" labelOnly="1" outline="0" fieldPosition="0">
        <references count="1">
          <reference field="1" count="1">
            <x v="125"/>
          </reference>
        </references>
      </pivotArea>
    </format>
    <format dxfId="54">
      <pivotArea dataOnly="0" labelOnly="1" outline="0" fieldPosition="0">
        <references count="1">
          <reference field="1" count="1">
            <x v="126"/>
          </reference>
        </references>
      </pivotArea>
    </format>
    <format dxfId="53">
      <pivotArea dataOnly="0" labelOnly="1" outline="0" fieldPosition="0">
        <references count="1">
          <reference field="1" count="1">
            <x v="127"/>
          </reference>
        </references>
      </pivotArea>
    </format>
    <format dxfId="52">
      <pivotArea dataOnly="0" labelOnly="1" outline="0" fieldPosition="0">
        <references count="1">
          <reference field="1" count="1">
            <x v="128"/>
          </reference>
        </references>
      </pivotArea>
    </format>
    <format dxfId="51">
      <pivotArea dataOnly="0" labelOnly="1" outline="0" fieldPosition="0">
        <references count="1">
          <reference field="1" count="1">
            <x v="129"/>
          </reference>
        </references>
      </pivotArea>
    </format>
    <format dxfId="50">
      <pivotArea dataOnly="0" labelOnly="1" outline="0" fieldPosition="0">
        <references count="1">
          <reference field="1" count="1">
            <x v="130"/>
          </reference>
        </references>
      </pivotArea>
    </format>
    <format dxfId="49">
      <pivotArea dataOnly="0" labelOnly="1" outline="0" fieldPosition="0">
        <references count="1">
          <reference field="1" count="1">
            <x v="131"/>
          </reference>
        </references>
      </pivotArea>
    </format>
    <format dxfId="48">
      <pivotArea dataOnly="0" labelOnly="1" outline="0" fieldPosition="0">
        <references count="1">
          <reference field="1" count="1">
            <x v="132"/>
          </reference>
        </references>
      </pivotArea>
    </format>
    <format dxfId="47">
      <pivotArea dataOnly="0" labelOnly="1" outline="0" fieldPosition="0">
        <references count="1">
          <reference field="1" count="1">
            <x v="133"/>
          </reference>
        </references>
      </pivotArea>
    </format>
    <format dxfId="46">
      <pivotArea dataOnly="0" labelOnly="1" outline="0" fieldPosition="0">
        <references count="1">
          <reference field="1" count="1">
            <x v="134"/>
          </reference>
        </references>
      </pivotArea>
    </format>
    <format dxfId="45">
      <pivotArea dataOnly="0" labelOnly="1" outline="0" fieldPosition="0">
        <references count="1">
          <reference field="1" count="1">
            <x v="135"/>
          </reference>
        </references>
      </pivotArea>
    </format>
    <format dxfId="44">
      <pivotArea dataOnly="0" labelOnly="1" outline="0" fieldPosition="0">
        <references count="1">
          <reference field="1" count="1">
            <x v="136"/>
          </reference>
        </references>
      </pivotArea>
    </format>
    <format dxfId="43">
      <pivotArea dataOnly="0" labelOnly="1" outline="0" fieldPosition="0">
        <references count="1">
          <reference field="1" count="1">
            <x v="137"/>
          </reference>
        </references>
      </pivotArea>
    </format>
    <format dxfId="42">
      <pivotArea dataOnly="0" labelOnly="1" outline="0" fieldPosition="0">
        <references count="1">
          <reference field="1" count="1">
            <x v="138"/>
          </reference>
        </references>
      </pivotArea>
    </format>
    <format dxfId="41">
      <pivotArea dataOnly="0" labelOnly="1" outline="0" fieldPosition="0">
        <references count="1">
          <reference field="1" count="1">
            <x v="139"/>
          </reference>
        </references>
      </pivotArea>
    </format>
    <format dxfId="40">
      <pivotArea dataOnly="0" labelOnly="1" outline="0" fieldPosition="0">
        <references count="1">
          <reference field="1" count="1">
            <x v="140"/>
          </reference>
        </references>
      </pivotArea>
    </format>
    <format dxfId="39">
      <pivotArea dataOnly="0" labelOnly="1" outline="0" fieldPosition="0">
        <references count="1">
          <reference field="1" count="1">
            <x v="141"/>
          </reference>
        </references>
      </pivotArea>
    </format>
    <format dxfId="38">
      <pivotArea dataOnly="0" labelOnly="1" outline="0" fieldPosition="0">
        <references count="1">
          <reference field="1" count="1">
            <x v="142"/>
          </reference>
        </references>
      </pivotArea>
    </format>
    <format dxfId="37">
      <pivotArea dataOnly="0" labelOnly="1" outline="0" fieldPosition="0">
        <references count="1">
          <reference field="1" count="1">
            <x v="143"/>
          </reference>
        </references>
      </pivotArea>
    </format>
    <format dxfId="36">
      <pivotArea dataOnly="0" labelOnly="1" outline="0" fieldPosition="0">
        <references count="1">
          <reference field="1" count="1">
            <x v="144"/>
          </reference>
        </references>
      </pivotArea>
    </format>
    <format dxfId="35">
      <pivotArea dataOnly="0" labelOnly="1" outline="0" fieldPosition="0">
        <references count="1">
          <reference field="1" count="1">
            <x v="145"/>
          </reference>
        </references>
      </pivotArea>
    </format>
    <format dxfId="34">
      <pivotArea dataOnly="0" labelOnly="1" outline="0" fieldPosition="0">
        <references count="1">
          <reference field="1" count="1">
            <x v="146"/>
          </reference>
        </references>
      </pivotArea>
    </format>
    <format dxfId="33">
      <pivotArea dataOnly="0" labelOnly="1" outline="0" fieldPosition="0">
        <references count="1">
          <reference field="1" count="1">
            <x v="147"/>
          </reference>
        </references>
      </pivotArea>
    </format>
    <format dxfId="32">
      <pivotArea dataOnly="0" labelOnly="1" outline="0" fieldPosition="0">
        <references count="1">
          <reference field="1" count="1">
            <x v="148"/>
          </reference>
        </references>
      </pivotArea>
    </format>
    <format dxfId="31">
      <pivotArea dataOnly="0" labelOnly="1" outline="0" fieldPosition="0">
        <references count="1">
          <reference field="1" count="1">
            <x v="149"/>
          </reference>
        </references>
      </pivotArea>
    </format>
    <format dxfId="30">
      <pivotArea dataOnly="0" labelOnly="1" outline="0" fieldPosition="0">
        <references count="1">
          <reference field="1" count="1">
            <x v="150"/>
          </reference>
        </references>
      </pivotArea>
    </format>
    <format dxfId="29">
      <pivotArea dataOnly="0" labelOnly="1" outline="0" fieldPosition="0">
        <references count="1">
          <reference field="1" count="1">
            <x v="151"/>
          </reference>
        </references>
      </pivotArea>
    </format>
    <format dxfId="28">
      <pivotArea dataOnly="0" labelOnly="1" outline="0" fieldPosition="0">
        <references count="1">
          <reference field="1" count="1">
            <x v="152"/>
          </reference>
        </references>
      </pivotArea>
    </format>
    <format dxfId="27">
      <pivotArea dataOnly="0" labelOnly="1" outline="0" fieldPosition="0">
        <references count="1">
          <reference field="1" count="1">
            <x v="153"/>
          </reference>
        </references>
      </pivotArea>
    </format>
    <format dxfId="26">
      <pivotArea dataOnly="0" labelOnly="1" outline="0" fieldPosition="0">
        <references count="1">
          <reference field="1" count="1">
            <x v="154"/>
          </reference>
        </references>
      </pivotArea>
    </format>
    <format dxfId="25">
      <pivotArea dataOnly="0" labelOnly="1" outline="0" fieldPosition="0">
        <references count="1">
          <reference field="1" count="1">
            <x v="155"/>
          </reference>
        </references>
      </pivotArea>
    </format>
    <format dxfId="24">
      <pivotArea dataOnly="0" labelOnly="1" outline="0" fieldPosition="0">
        <references count="1">
          <reference field="1" count="1">
            <x v="156"/>
          </reference>
        </references>
      </pivotArea>
    </format>
    <format dxfId="23">
      <pivotArea dataOnly="0" labelOnly="1" outline="0" fieldPosition="0">
        <references count="1">
          <reference field="1" count="1">
            <x v="157"/>
          </reference>
        </references>
      </pivotArea>
    </format>
    <format dxfId="22">
      <pivotArea dataOnly="0" labelOnly="1" outline="0" fieldPosition="0">
        <references count="1">
          <reference field="1" count="1">
            <x v="158"/>
          </reference>
        </references>
      </pivotArea>
    </format>
    <format dxfId="21">
      <pivotArea dataOnly="0" labelOnly="1" outline="0" fieldPosition="0">
        <references count="1">
          <reference field="1" count="1">
            <x v="159"/>
          </reference>
        </references>
      </pivotArea>
    </format>
    <format dxfId="20">
      <pivotArea dataOnly="0" labelOnly="1" outline="0" fieldPosition="0">
        <references count="1">
          <reference field="1" count="1">
            <x v="160"/>
          </reference>
        </references>
      </pivotArea>
    </format>
    <format dxfId="19">
      <pivotArea dataOnly="0" labelOnly="1" outline="0" fieldPosition="0">
        <references count="1">
          <reference field="1" count="1">
            <x v="161"/>
          </reference>
        </references>
      </pivotArea>
    </format>
    <format dxfId="18">
      <pivotArea dataOnly="0" labelOnly="1" outline="0" fieldPosition="0">
        <references count="1">
          <reference field="1" count="1">
            <x v="162"/>
          </reference>
        </references>
      </pivotArea>
    </format>
    <format dxfId="17">
      <pivotArea dataOnly="0" labelOnly="1" outline="0" fieldPosition="0">
        <references count="1">
          <reference field="1" count="1">
            <x v="163"/>
          </reference>
        </references>
      </pivotArea>
    </format>
    <format dxfId="16">
      <pivotArea dataOnly="0" labelOnly="1" outline="0" fieldPosition="0">
        <references count="1">
          <reference field="1" count="1">
            <x v="164"/>
          </reference>
        </references>
      </pivotArea>
    </format>
    <format dxfId="15">
      <pivotArea dataOnly="0" labelOnly="1" outline="0" fieldPosition="0">
        <references count="1">
          <reference field="1" count="1">
            <x v="165"/>
          </reference>
        </references>
      </pivotArea>
    </format>
    <format dxfId="14">
      <pivotArea dataOnly="0" labelOnly="1" outline="0" fieldPosition="0">
        <references count="1">
          <reference field="1" count="1">
            <x v="166"/>
          </reference>
        </references>
      </pivotArea>
    </format>
    <format dxfId="13">
      <pivotArea dataOnly="0" labelOnly="1" outline="0" fieldPosition="0">
        <references count="1">
          <reference field="1" count="1">
            <x v="167"/>
          </reference>
        </references>
      </pivotArea>
    </format>
    <format dxfId="12">
      <pivotArea dataOnly="0" labelOnly="1" outline="0" fieldPosition="0">
        <references count="1">
          <reference field="1" count="1">
            <x v="168"/>
          </reference>
        </references>
      </pivotArea>
    </format>
    <format dxfId="11">
      <pivotArea dataOnly="0" labelOnly="1" outline="0" fieldPosition="0">
        <references count="1">
          <reference field="1" count="1">
            <x v="169"/>
          </reference>
        </references>
      </pivotArea>
    </format>
    <format dxfId="10">
      <pivotArea dataOnly="0" labelOnly="1" outline="0" fieldPosition="0">
        <references count="1">
          <reference field="1" count="1">
            <x v="170"/>
          </reference>
        </references>
      </pivotArea>
    </format>
    <format dxfId="9">
      <pivotArea dataOnly="0" labelOnly="1" outline="0" fieldPosition="0">
        <references count="1">
          <reference field="1" count="1">
            <x v="171"/>
          </reference>
        </references>
      </pivotArea>
    </format>
    <format dxfId="8">
      <pivotArea dataOnly="0" labelOnly="1" outline="0" fieldPosition="0">
        <references count="1">
          <reference field="1" count="1">
            <x v="172"/>
          </reference>
        </references>
      </pivotArea>
    </format>
    <format dxfId="7">
      <pivotArea dataOnly="0" labelOnly="1" outline="0" fieldPosition="0">
        <references count="1">
          <reference field="1" count="1">
            <x v="173"/>
          </reference>
        </references>
      </pivotArea>
    </format>
    <format dxfId="6">
      <pivotArea dataOnly="0" labelOnly="1" outline="0" fieldPosition="0">
        <references count="1">
          <reference field="1" count="1">
            <x v="174"/>
          </reference>
        </references>
      </pivotArea>
    </format>
    <format dxfId="5">
      <pivotArea dataOnly="0" labelOnly="1" outline="0" fieldPosition="0">
        <references count="1">
          <reference field="1" count="1">
            <x v="175"/>
          </reference>
        </references>
      </pivotArea>
    </format>
    <format dxfId="4">
      <pivotArea dataOnly="0" labelOnly="1" outline="0" fieldPosition="0">
        <references count="1">
          <reference field="1" count="1">
            <x v="176"/>
          </reference>
        </references>
      </pivotArea>
    </format>
    <format dxfId="3">
      <pivotArea dataOnly="0" labelOnly="1" outline="0" fieldPosition="0">
        <references count="1">
          <reference field="1" count="1">
            <x v="177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293" totalsRowShown="0" headerRowDxfId="242" dataDxfId="241" headerRowCellStyle="DarkHeader" dataCellStyle="Normal">
  <autoFilter ref="D79:Q293" xr:uid="{DB1D1E60-5E37-456A-AD85-0649D531840E}"/>
  <tableColumns count="14">
    <tableColumn id="1" xr3:uid="{57EDF41E-F06D-4819-BADE-3D62DE46F06C}" name="Record List" dataDxfId="239" dataCellStyle="Normal"/>
    <tableColumn id="2" xr3:uid="{CF70C9CE-83FE-40FA-8089-C68B39CF665A}" name="RI" dataDxfId="240" dataCellStyle="Normal"/>
    <tableColumn id="3" xr3:uid="{B8654690-502A-4FAF-9205-0118DABCB954}" name="Na" dataDxfId="250" dataCellStyle="Normal"/>
    <tableColumn id="4" xr3:uid="{5A5BA001-2F93-4E62-880C-C4E8BDB17EEB}" name="Mg" dataDxfId="249" dataCellStyle="Normal"/>
    <tableColumn id="5" xr3:uid="{D0FD5E6E-2237-4F67-87E4-47ADEDC6EC63}" name="Al" dataDxfId="248" dataCellStyle="Normal"/>
    <tableColumn id="6" xr3:uid="{3BBA7499-5D3F-4DCF-A2E7-559EA82A5CA7}" name="Si" dataDxfId="247" dataCellStyle="Normal"/>
    <tableColumn id="7" xr3:uid="{A293EA34-4330-4CBB-8849-6CEBE7D25342}" name="K" dataDxfId="246" dataCellStyle="Normal"/>
    <tableColumn id="8" xr3:uid="{E644385F-FB62-4568-AF06-77040A1A6811}" name="Ca" dataDxfId="245" dataCellStyle="Normal"/>
    <tableColumn id="9" xr3:uid="{35A9CB96-F42A-4829-B41A-09ACB147F7DD}" name="Ba" dataDxfId="244" dataCellStyle="Normal"/>
    <tableColumn id="10" xr3:uid="{02B18E72-87AF-4AEE-89F0-F7C80131D409}" name="Fe" dataDxfId="243" dataCellStyle="Normal"/>
    <tableColumn id="11" xr3:uid="{63DE4CDC-5A46-4D56-B4E7-E5FE36310326}" name="Type_of_glass" dataDxfId="238" dataCellStyle="Normal"/>
    <tableColumn id="12" xr3:uid="{CDD41C06-19C4-4111-8889-17C57B2A49E1}" name="index" dataDxfId="237" dataCellStyle="Normal"/>
    <tableColumn id="13" xr3:uid="{ABBD6E1F-5EE5-479D-8DF5-F1456DA3C4D5}" name="HasBlank" dataDxfId="236" dataCellStyle="Normal"/>
    <tableColumn id="14" xr3:uid="{FF9F0FDA-8C01-4655-AB26-29FD2E0D9FFE}" name="Record Hash" dataDxfId="23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253" dataDxfId="297" headerRowBorderDxfId="298">
  <autoFilter ref="B11:AA21" xr:uid="{034D1C74-BE18-490E-B396-097D407DA97D}"/>
  <tableColumns count="26">
    <tableColumn id="1" xr3:uid="{010A8E62-502A-4B19-B37A-BF59E03A068A}" name="Field" dataDxfId="296"/>
    <tableColumn id="2" xr3:uid="{AD236665-EC7C-404F-8915-AD7CD5510D0F}" name="Definition" dataDxfId="25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95"/>
    <tableColumn id="5" xr3:uid="{5006D683-9D12-4B97-9EF2-6D41AF6E0B35}" name="Distinct %" dataDxfId="294"/>
    <tableColumn id="6" xr3:uid="{3AFB42F8-9976-44FF-9239-74914D5BE035}" name="Missing %" dataDxfId="293"/>
    <tableColumn id="7" xr3:uid="{4BA41102-DB06-4180-9754-C88722FE82BD}" name="Memory Usage %" dataDxfId="292"/>
    <tableColumn id="8" xr3:uid="{D22319BD-3A80-40F3-84FC-A6D1627B2F29}" name="Memory Usage" dataDxfId="291"/>
    <tableColumn id="9" xr3:uid="{77FAEE19-B6C7-4056-8EF3-5EB877C820C4}" name="Distinct" dataDxfId="290"/>
    <tableColumn id="10" xr3:uid="{54FF47BF-594E-417B-9028-64A4DFE4D389}" name="Count" dataDxfId="289"/>
    <tableColumn id="11" xr3:uid="{54E587FE-36DC-4522-91DC-8B81B386217B}" name="Count %" dataDxfId="288"/>
    <tableColumn id="12" xr3:uid="{0DE21D83-93B1-480C-BE9C-379DA0E532C7}" name="Missing" dataDxfId="287"/>
    <tableColumn id="13" xr3:uid="{C4B407B9-B7FB-4DFC-A6B3-885C816BAF99}" name="Mean" dataDxfId="286"/>
    <tableColumn id="14" xr3:uid="{9796FD8E-D568-43E1-AC6E-BFAE7C7B7017}" name="Median" dataDxfId="285"/>
    <tableColumn id="15" xr3:uid="{A6A7BCED-DD2F-4B41-A84C-2F2674A38A53}" name="Mode" dataDxfId="284"/>
    <tableColumn id="16" xr3:uid="{46607FA5-244C-49C2-997C-B64EB2E94FDE}" name="Standard Deviation" dataDxfId="283"/>
    <tableColumn id="17" xr3:uid="{80BA1782-4C46-45CE-B3FB-40B70BA09AF9}" name="Variance" dataDxfId="282"/>
    <tableColumn id="18" xr3:uid="{EC3C5A76-EF95-419C-87A8-D8885B542521}" name="Min" dataDxfId="281"/>
    <tableColumn id="19" xr3:uid="{BFE545F8-810C-4F0A-A0B2-FF0AB9764A07}" name="5%" dataDxfId="280"/>
    <tableColumn id="20" xr3:uid="{77D31A9B-57B1-4422-8EF9-6320F00E0DB9}" name="25%" dataDxfId="279"/>
    <tableColumn id="21" xr3:uid="{7A350787-F0EA-4E65-B596-5D7253E75CD6}" name="50%" dataDxfId="278"/>
    <tableColumn id="22" xr3:uid="{FB4C260E-A19F-4908-9DBF-DB4AC630982A}" name="75%" dataDxfId="277"/>
    <tableColumn id="23" xr3:uid="{FBECC9F1-5BC8-4774-9475-EB2D6D28F1E2}" name="95%" dataDxfId="276"/>
    <tableColumn id="24" xr3:uid="{839CD532-ED80-4544-A8C8-E9E036764A84}" name="Max" dataDxfId="275"/>
    <tableColumn id="25" xr3:uid="{9DDA1FD6-82B1-4FBE-8BBD-B40C331930D2}" name="Range" dataDxfId="274"/>
    <tableColumn id="26" xr3:uid="{902A027A-FD65-44D4-B3D0-5B3883ACFA39}" name="IQR" dataDxfId="27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5" totalsRowShown="0" headerRowDxfId="342" dataDxfId="340" headerRowBorderDxfId="341" tableBorderDxfId="339" totalsRowBorderDxfId="338" headerRowCellStyle="DarkHeader">
  <autoFilter ref="C45:J75" xr:uid="{DD504193-DD3B-4BC5-B491-CD13C900E1D0}"/>
  <tableColumns count="8">
    <tableColumn id="1" xr3:uid="{428A065A-E650-48CD-82D8-DCD52C6ADF49}" name="Dataset" dataDxfId="337"/>
    <tableColumn id="2" xr3:uid="{59A978F6-B8DD-476D-83D1-DF4156BF2B65}" name="Field" dataDxfId="336"/>
    <tableColumn id="4" xr3:uid="{F13FAD31-2DAD-46F1-87AA-89BB89F55C7D}" name="Activity" dataDxfId="335"/>
    <tableColumn id="3" xr3:uid="{EEC05A6B-8FC2-4E70-83F0-CD177B8B3640}" name="Rows" dataDxfId="334"/>
    <tableColumn id="5" xr3:uid="{393C3242-A398-4640-8F14-23E67E5E58DD}" name="Columns" dataDxfId="333" dataCellStyle="Comma"/>
    <tableColumn id="6" xr3:uid="{FD0E5439-87A1-4303-9EA2-539C332536D5}" name="Datatype" dataDxfId="332"/>
    <tableColumn id="7" xr3:uid="{8B1A0719-0FD5-40F2-A5A8-CFCFA32E014A}" name="Production Time in Seconds" dataDxfId="331"/>
    <tableColumn id="8" xr3:uid="{B5BE7F10-5FBA-44EF-8324-B95D2ABA2298}" name="% of Production Time" dataDxfId="33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29" dataDxfId="327" headerRowBorderDxfId="328" tableBorderDxfId="326" totalsRowBorderDxfId="325">
  <tableColumns count="3">
    <tableColumn id="1" xr3:uid="{FFACC0FF-000E-4785-9C1A-22F01E7C2644}" name="Production Section" dataDxfId="324" dataCellStyle="DarkHeader"/>
    <tableColumn id="2" xr3:uid="{6A06C42D-D4AD-45CE-A81D-0918B410EAA9}" name="Production Time in Seconds" dataDxfId="323"/>
    <tableColumn id="3" xr3:uid="{2643AF23-A2E5-4438-810D-7531CB2D2E4E}" name="% of Production Time" dataDxfId="322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21" dataDxfId="319" headerRowBorderDxfId="320" tableBorderDxfId="318">
  <tableColumns count="2">
    <tableColumn id="1" xr3:uid="{9623C5AE-E7C2-4493-9B72-08667C9B2C60}" name="Environment Variable" dataDxfId="317" dataCellStyle="DarkHeader"/>
    <tableColumn id="2" xr3:uid="{E5E357AA-48FB-47EA-928A-80845B0CD7C9}" name="Value" dataDxfId="31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15" tableBorderDxfId="314" totalsRowBorderDxfId="313">
  <autoFilter ref="F9:G20" xr:uid="{A6117933-3C15-4FC8-ADF4-0EC66304DEE1}"/>
  <tableColumns count="2">
    <tableColumn id="1" xr3:uid="{EC70458D-5C3D-497C-AA06-AFCBD688FBDA}" name="Input Argument" dataDxfId="312" dataCellStyle="DarkHeader"/>
    <tableColumn id="2" xr3:uid="{FCA8AE27-3D46-4152-9A03-0F3EFBA2366A}" name="Value" dataDxfId="311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10" tableBorderDxfId="309" totalsRowBorderDxfId="308">
  <autoFilter ref="I9:J10" xr:uid="{6AF89CD0-DF40-4046-87D4-2BF660DDE636}"/>
  <tableColumns count="2">
    <tableColumn id="1" xr3:uid="{27FA7240-202E-4FAB-AD4A-DC169AFD6F56}" name="Error Type" dataDxfId="307" dataCellStyle="DarkHeader"/>
    <tableColumn id="2" xr3:uid="{C21354E4-3682-4AA0-B73A-2E689C89258C}" name="Value" dataDxfId="30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9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4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214</v>
      </c>
    </row>
    <row r="10" spans="1:23" ht="15" hidden="1" customHeight="1" outlineLevel="1">
      <c r="B10" s="32"/>
      <c r="C10" s="32"/>
      <c r="D10" s="69" t="s">
        <v>54</v>
      </c>
      <c r="E10" s="37">
        <v>10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96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0.99532710280373837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</row>
    <row r="16" spans="1:23" ht="10.199999999999999" hidden="1" customHeight="1" outlineLevel="1">
      <c r="B16" s="32"/>
      <c r="C16" s="32"/>
    </row>
    <row r="17" spans="1:17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</row>
    <row r="18" spans="1:17" ht="10.199999999999999" hidden="1" customHeight="1" outlineLevel="1"/>
    <row r="19" spans="1:17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35" t="s">
        <v>94</v>
      </c>
      <c r="P19" s="35" t="s">
        <v>39</v>
      </c>
      <c r="Q19" s="35" t="s">
        <v>95</v>
      </c>
    </row>
    <row r="20" spans="1:17" ht="10.199999999999999" customHeight="1"/>
    <row r="21" spans="1:17" ht="14.4" outlineLevel="1">
      <c r="B21" s="32"/>
      <c r="C21" s="70" t="s">
        <v>1</v>
      </c>
      <c r="D21" s="2" t="s">
        <v>8</v>
      </c>
    </row>
    <row r="22" spans="1:17" ht="10.199999999999999" customHeight="1" outlineLevel="1">
      <c r="B22" s="32"/>
      <c r="C22" s="32"/>
    </row>
    <row r="23" spans="1:17" ht="15" hidden="1" customHeight="1" outlineLevel="2">
      <c r="B23" s="32"/>
      <c r="C23" s="32"/>
      <c r="D23" s="28" t="s">
        <v>9</v>
      </c>
      <c r="E23" s="18" t="s">
        <v>97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97</v>
      </c>
      <c r="N23" s="18" t="s">
        <v>98</v>
      </c>
    </row>
    <row r="24" spans="1:17" ht="15" hidden="1" customHeight="1" outlineLevel="2">
      <c r="B24" s="32"/>
      <c r="C24" s="32"/>
      <c r="D24" s="3" t="s">
        <v>10</v>
      </c>
      <c r="E24" s="19">
        <v>0.83177570093457898</v>
      </c>
      <c r="F24" s="19">
        <v>0.66355140186915795</v>
      </c>
      <c r="G24" s="19">
        <v>0.43925233644859801</v>
      </c>
      <c r="H24" s="19">
        <v>0.55140186915887801</v>
      </c>
      <c r="I24" s="19">
        <v>0.62149532710280297</v>
      </c>
      <c r="J24" s="19">
        <v>0.30373831775700899</v>
      </c>
      <c r="K24" s="19">
        <v>0.66822429906542002</v>
      </c>
      <c r="L24" s="19">
        <v>0.15887850467289699</v>
      </c>
      <c r="M24" s="19">
        <v>0.14953271028037299</v>
      </c>
      <c r="N24" s="19">
        <v>2.8037383177569999E-2</v>
      </c>
    </row>
    <row r="25" spans="1:17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</row>
    <row r="26" spans="1:17" ht="15" hidden="1" customHeight="1" outlineLevel="2">
      <c r="B26" s="32"/>
      <c r="C26" s="32"/>
      <c r="D26" s="27" t="s">
        <v>12</v>
      </c>
      <c r="E26" s="19">
        <v>9.0909090909090898E-2</v>
      </c>
      <c r="F26" s="19">
        <v>9.0909090909090898E-2</v>
      </c>
      <c r="G26" s="19">
        <v>9.0909090909090898E-2</v>
      </c>
      <c r="H26" s="19">
        <v>9.0909090909090898E-2</v>
      </c>
      <c r="I26" s="19">
        <v>9.0909090909090898E-2</v>
      </c>
      <c r="J26" s="19">
        <v>9.0909090909090898E-2</v>
      </c>
      <c r="K26" s="19">
        <v>9.0909090909090898E-2</v>
      </c>
      <c r="L26" s="19">
        <v>9.0909090909090898E-2</v>
      </c>
      <c r="M26" s="19">
        <v>9.0909090909090898E-2</v>
      </c>
      <c r="N26" s="19">
        <v>9.0909090909090898E-2</v>
      </c>
    </row>
    <row r="27" spans="1:17" ht="15" hidden="1" customHeight="1" outlineLevel="2">
      <c r="B27" s="32"/>
      <c r="C27" s="32"/>
      <c r="D27" s="27" t="s">
        <v>13</v>
      </c>
      <c r="E27" s="20">
        <v>1712</v>
      </c>
      <c r="F27" s="20">
        <v>1712</v>
      </c>
      <c r="G27" s="20">
        <v>1712</v>
      </c>
      <c r="H27" s="20">
        <v>1712</v>
      </c>
      <c r="I27" s="20">
        <v>1712</v>
      </c>
      <c r="J27" s="20">
        <v>1712</v>
      </c>
      <c r="K27" s="20">
        <v>1712</v>
      </c>
      <c r="L27" s="20">
        <v>1712</v>
      </c>
      <c r="M27" s="20">
        <v>1712</v>
      </c>
      <c r="N27" s="20">
        <v>1712</v>
      </c>
    </row>
    <row r="28" spans="1:17" ht="15" hidden="1" customHeight="1" outlineLevel="2">
      <c r="B28" s="32"/>
      <c r="C28" s="32"/>
      <c r="D28" s="27" t="s">
        <v>14</v>
      </c>
      <c r="E28" s="20">
        <v>178</v>
      </c>
      <c r="F28" s="20">
        <v>142</v>
      </c>
      <c r="G28" s="20">
        <v>94</v>
      </c>
      <c r="H28" s="20">
        <v>118</v>
      </c>
      <c r="I28" s="20">
        <v>133</v>
      </c>
      <c r="J28" s="20">
        <v>65</v>
      </c>
      <c r="K28" s="20">
        <v>143</v>
      </c>
      <c r="L28" s="20">
        <v>34</v>
      </c>
      <c r="M28" s="20">
        <v>32</v>
      </c>
      <c r="N28" s="20">
        <v>6</v>
      </c>
    </row>
    <row r="29" spans="1:17" ht="15" hidden="1" customHeight="1" outlineLevel="2">
      <c r="B29" s="32"/>
      <c r="C29" s="32"/>
      <c r="D29" s="28" t="s">
        <v>15</v>
      </c>
      <c r="E29" s="20">
        <v>214</v>
      </c>
      <c r="F29" s="20">
        <v>214</v>
      </c>
      <c r="G29" s="20">
        <v>214</v>
      </c>
      <c r="H29" s="20">
        <v>214</v>
      </c>
      <c r="I29" s="20">
        <v>214</v>
      </c>
      <c r="J29" s="20">
        <v>214</v>
      </c>
      <c r="K29" s="20">
        <v>214</v>
      </c>
      <c r="L29" s="20">
        <v>214</v>
      </c>
      <c r="M29" s="20">
        <v>214</v>
      </c>
      <c r="N29" s="20">
        <v>214</v>
      </c>
    </row>
    <row r="30" spans="1:17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</row>
    <row r="31" spans="1:17" ht="10.199999999999999" hidden="1" customHeight="1" outlineLevel="2">
      <c r="B31" s="32"/>
      <c r="C31" s="32"/>
    </row>
    <row r="32" spans="1:17" ht="150" hidden="1" customHeight="1" outlineLevel="2"/>
    <row r="33" spans="2:14" ht="10.199999999999999" hidden="1" customHeight="1" outlineLevel="2"/>
    <row r="34" spans="2:14" ht="14.4" outlineLevel="1" collapsed="1">
      <c r="B34" s="32"/>
      <c r="C34" s="70" t="s">
        <v>1</v>
      </c>
      <c r="D34" s="2" t="s">
        <v>17</v>
      </c>
    </row>
    <row r="35" spans="2:14" ht="10.199999999999999" customHeight="1" outlineLevel="1">
      <c r="B35" s="32"/>
      <c r="C35" s="32"/>
    </row>
    <row r="36" spans="2:14" ht="15" hidden="1" customHeight="1" outlineLevel="2">
      <c r="B36" s="32"/>
      <c r="C36" s="32"/>
      <c r="D36" s="3" t="s">
        <v>18</v>
      </c>
      <c r="E36" s="21">
        <v>1.51836542056074</v>
      </c>
      <c r="F36" s="21">
        <v>13.4078504672897</v>
      </c>
      <c r="G36" s="21">
        <v>2.68453271028037</v>
      </c>
      <c r="H36" s="21">
        <v>1.4449065420560701</v>
      </c>
      <c r="I36" s="21">
        <v>72.650934579439195</v>
      </c>
      <c r="J36" s="21">
        <v>0.49705607476635499</v>
      </c>
      <c r="K36" s="21">
        <v>8.9569626168224303</v>
      </c>
      <c r="L36" s="21">
        <v>0.175046728971962</v>
      </c>
      <c r="M36" s="21">
        <v>5.7009345794392499E-2</v>
      </c>
      <c r="N36" s="21">
        <v>2.7803738317756999</v>
      </c>
    </row>
    <row r="37" spans="2:14" ht="15" hidden="1" customHeight="1" outlineLevel="2">
      <c r="B37" s="32"/>
      <c r="C37" s="32"/>
      <c r="D37" s="27" t="s">
        <v>19</v>
      </c>
      <c r="E37" s="21">
        <v>1.5176799999999999</v>
      </c>
      <c r="F37" s="21">
        <v>13.3</v>
      </c>
      <c r="G37" s="21">
        <v>3.48</v>
      </c>
      <c r="H37" s="21">
        <v>1.36</v>
      </c>
      <c r="I37" s="21">
        <v>72.790000000000006</v>
      </c>
      <c r="J37" s="21">
        <v>0.55500000000000005</v>
      </c>
      <c r="K37" s="21">
        <v>8.6</v>
      </c>
      <c r="L37" s="21">
        <v>0</v>
      </c>
      <c r="M37" s="21">
        <v>0</v>
      </c>
      <c r="N37" s="21">
        <v>2</v>
      </c>
    </row>
    <row r="38" spans="2:14" ht="15" hidden="1" customHeight="1" outlineLevel="2">
      <c r="B38" s="32"/>
      <c r="C38" s="32"/>
      <c r="D38" s="27" t="s">
        <v>20</v>
      </c>
      <c r="E38" s="21">
        <v>1.5159</v>
      </c>
      <c r="F38" s="21">
        <v>13</v>
      </c>
      <c r="G38" s="21">
        <v>0</v>
      </c>
      <c r="H38" s="21">
        <v>1.54</v>
      </c>
      <c r="I38" s="21">
        <v>72.86</v>
      </c>
      <c r="J38" s="21">
        <v>0</v>
      </c>
      <c r="K38" s="21">
        <v>8.0299999999999994</v>
      </c>
      <c r="L38" s="21">
        <v>0</v>
      </c>
      <c r="M38" s="21">
        <v>0</v>
      </c>
      <c r="N38" s="21">
        <v>2</v>
      </c>
    </row>
    <row r="39" spans="2:14" ht="15" hidden="1" customHeight="1" outlineLevel="2">
      <c r="B39" s="32"/>
      <c r="C39" s="32"/>
      <c r="D39" s="3" t="s">
        <v>21</v>
      </c>
      <c r="E39" s="21">
        <v>3.0368637393854299E-3</v>
      </c>
      <c r="F39" s="21">
        <v>0.816603555714983</v>
      </c>
      <c r="G39" s="21">
        <v>1.44240784487044</v>
      </c>
      <c r="H39" s="21">
        <v>0.49926964560048398</v>
      </c>
      <c r="I39" s="21">
        <v>0.77454579476511198</v>
      </c>
      <c r="J39" s="21">
        <v>0.65219184555898002</v>
      </c>
      <c r="K39" s="21">
        <v>1.42315348728139</v>
      </c>
      <c r="L39" s="21">
        <v>0.49721926059970301</v>
      </c>
      <c r="M39" s="21">
        <v>9.74387006365008E-2</v>
      </c>
      <c r="N39" s="21">
        <v>2.1037386462007501</v>
      </c>
    </row>
    <row r="40" spans="2:14" ht="15" hidden="1" customHeight="1" outlineLevel="2">
      <c r="B40" s="32"/>
      <c r="C40" s="32"/>
      <c r="D40" s="29" t="s">
        <v>22</v>
      </c>
      <c r="E40" s="21">
        <v>9.2225413715940696E-6</v>
      </c>
      <c r="F40" s="21">
        <v>0.66684136720635301</v>
      </c>
      <c r="G40" s="21">
        <v>2.0805403909437898</v>
      </c>
      <c r="H40" s="21">
        <v>0.249270179018033</v>
      </c>
      <c r="I40" s="21">
        <v>0.59992118818831897</v>
      </c>
      <c r="J40" s="21">
        <v>0.42535420341362801</v>
      </c>
      <c r="K40" s="21">
        <v>2.02536584836119</v>
      </c>
      <c r="L40" s="21">
        <v>0.24722699311131499</v>
      </c>
      <c r="M40" s="21">
        <v>9.4943003817296295E-3</v>
      </c>
      <c r="N40" s="21">
        <v>4.4257162915185697</v>
      </c>
    </row>
    <row r="41" spans="2:14" ht="10.199999999999999" hidden="1" customHeight="1" outlineLevel="2">
      <c r="B41" s="32"/>
      <c r="C41" s="32"/>
    </row>
    <row r="42" spans="2:14" ht="150" hidden="1" customHeight="1" outlineLevel="2"/>
    <row r="43" spans="2:14" ht="10.199999999999999" hidden="1" customHeight="1" outlineLevel="2"/>
    <row r="44" spans="2:14" ht="14.4" outlineLevel="1" collapsed="1">
      <c r="B44" s="32"/>
      <c r="C44" s="70" t="s">
        <v>1</v>
      </c>
      <c r="D44" s="2" t="s">
        <v>23</v>
      </c>
    </row>
    <row r="45" spans="2:14" ht="9.9" customHeight="1" outlineLevel="1">
      <c r="B45" s="32"/>
      <c r="C45" s="32"/>
    </row>
    <row r="46" spans="2:14" ht="15" hidden="1" customHeight="1" outlineLevel="2">
      <c r="B46" s="32"/>
      <c r="C46" s="32"/>
      <c r="D46" s="3" t="s">
        <v>24</v>
      </c>
      <c r="E46" s="21">
        <v>1.51115</v>
      </c>
      <c r="F46" s="21">
        <v>10.73</v>
      </c>
      <c r="G46" s="21">
        <v>0</v>
      </c>
      <c r="H46" s="21">
        <v>0.28999999999999998</v>
      </c>
      <c r="I46" s="21">
        <v>69.81</v>
      </c>
      <c r="J46" s="21">
        <v>0</v>
      </c>
      <c r="K46" s="21">
        <v>5.43</v>
      </c>
      <c r="L46" s="21">
        <v>0</v>
      </c>
      <c r="M46" s="21">
        <v>0</v>
      </c>
      <c r="N46" s="21">
        <v>1</v>
      </c>
    </row>
    <row r="47" spans="2:14" ht="15" hidden="1" customHeight="1" outlineLevel="2">
      <c r="B47" s="32"/>
      <c r="C47" s="32"/>
      <c r="D47" s="27">
        <v>0.05</v>
      </c>
      <c r="E47" s="21">
        <v>1.515401</v>
      </c>
      <c r="F47" s="21">
        <v>12.414999999999999</v>
      </c>
      <c r="G47" s="21">
        <v>0</v>
      </c>
      <c r="H47" s="21">
        <v>0.69599999999999995</v>
      </c>
      <c r="I47" s="21">
        <v>71.314999999999998</v>
      </c>
      <c r="J47" s="21">
        <v>0</v>
      </c>
      <c r="K47" s="21">
        <v>7.8125</v>
      </c>
      <c r="L47" s="21">
        <v>0</v>
      </c>
      <c r="M47" s="21">
        <v>0</v>
      </c>
      <c r="N47" s="21">
        <v>1</v>
      </c>
    </row>
    <row r="48" spans="2:14" ht="15" hidden="1" customHeight="1" outlineLevel="2">
      <c r="B48" s="32"/>
      <c r="C48" s="32"/>
      <c r="D48" s="28">
        <v>0.25</v>
      </c>
      <c r="E48" s="21">
        <v>1.5165225</v>
      </c>
      <c r="F48" s="21">
        <v>12.907500000000001</v>
      </c>
      <c r="G48" s="21">
        <v>2.11499999999999</v>
      </c>
      <c r="H48" s="21">
        <v>1.19</v>
      </c>
      <c r="I48" s="21">
        <v>72.28</v>
      </c>
      <c r="J48" s="21">
        <v>0.1225</v>
      </c>
      <c r="K48" s="21">
        <v>8.24</v>
      </c>
      <c r="L48" s="21">
        <v>0</v>
      </c>
      <c r="M48" s="21">
        <v>0</v>
      </c>
      <c r="N48" s="21">
        <v>1</v>
      </c>
    </row>
    <row r="49" spans="1:14" ht="15" hidden="1" customHeight="1" outlineLevel="2">
      <c r="B49" s="32"/>
      <c r="C49" s="32"/>
      <c r="D49" s="3">
        <v>0.5</v>
      </c>
      <c r="E49" s="21">
        <v>1.5176799999999999</v>
      </c>
      <c r="F49" s="21">
        <v>13.3</v>
      </c>
      <c r="G49" s="21">
        <v>3.48</v>
      </c>
      <c r="H49" s="21">
        <v>1.36</v>
      </c>
      <c r="I49" s="21">
        <v>72.790000000000006</v>
      </c>
      <c r="J49" s="21">
        <v>0.55500000000000005</v>
      </c>
      <c r="K49" s="21">
        <v>8.6</v>
      </c>
      <c r="L49" s="21">
        <v>0</v>
      </c>
      <c r="M49" s="21">
        <v>0</v>
      </c>
      <c r="N49" s="21">
        <v>2</v>
      </c>
    </row>
    <row r="50" spans="1:14" ht="15" hidden="1" customHeight="1" outlineLevel="2">
      <c r="B50" s="32"/>
      <c r="C50" s="32"/>
      <c r="D50" s="27">
        <v>0.75</v>
      </c>
      <c r="E50" s="21">
        <v>1.5191574999999999</v>
      </c>
      <c r="F50" s="21">
        <v>13.824999999999999</v>
      </c>
      <c r="G50" s="21">
        <v>3.6</v>
      </c>
      <c r="H50" s="21">
        <v>1.63</v>
      </c>
      <c r="I50" s="21">
        <v>73.087500000000006</v>
      </c>
      <c r="J50" s="21">
        <v>0.61</v>
      </c>
      <c r="K50" s="21">
        <v>9.1724999999999994</v>
      </c>
      <c r="L50" s="21">
        <v>0</v>
      </c>
      <c r="M50" s="21">
        <v>0.1</v>
      </c>
      <c r="N50" s="21">
        <v>3</v>
      </c>
    </row>
    <row r="51" spans="1:14" ht="15" hidden="1" customHeight="1" outlineLevel="2">
      <c r="B51" s="32"/>
      <c r="C51" s="32"/>
      <c r="D51" s="27">
        <v>0.95</v>
      </c>
      <c r="E51" s="21">
        <v>1.5236639999999999</v>
      </c>
      <c r="F51" s="21">
        <v>14.8535</v>
      </c>
      <c r="G51" s="21">
        <v>3.85</v>
      </c>
      <c r="H51" s="21">
        <v>2.3939999999999899</v>
      </c>
      <c r="I51" s="21">
        <v>73.517499999999998</v>
      </c>
      <c r="J51" s="21">
        <v>0.76</v>
      </c>
      <c r="K51" s="21">
        <v>11.561499999999899</v>
      </c>
      <c r="L51" s="21">
        <v>1.57</v>
      </c>
      <c r="M51" s="21">
        <v>0.26699999999999902</v>
      </c>
      <c r="N51" s="21">
        <v>7</v>
      </c>
    </row>
    <row r="52" spans="1:14" ht="15" hidden="1" customHeight="1" outlineLevel="2">
      <c r="B52" s="32"/>
      <c r="C52" s="32"/>
      <c r="D52" s="3" t="s">
        <v>25</v>
      </c>
      <c r="E52" s="21">
        <v>1.53393</v>
      </c>
      <c r="F52" s="21">
        <v>17.38</v>
      </c>
      <c r="G52" s="21">
        <v>4.49</v>
      </c>
      <c r="H52" s="21">
        <v>3.5</v>
      </c>
      <c r="I52" s="21">
        <v>75.41</v>
      </c>
      <c r="J52" s="21">
        <v>6.21</v>
      </c>
      <c r="K52" s="21">
        <v>16.190000000000001</v>
      </c>
      <c r="L52" s="21">
        <v>3.15</v>
      </c>
      <c r="M52" s="21">
        <v>0.51</v>
      </c>
      <c r="N52" s="21">
        <v>7</v>
      </c>
    </row>
    <row r="53" spans="1:14" ht="15" hidden="1" customHeight="1" outlineLevel="2">
      <c r="B53" s="32"/>
      <c r="C53" s="32"/>
      <c r="D53" s="27" t="s">
        <v>26</v>
      </c>
      <c r="E53" s="21">
        <v>2.2780000000000002E-2</v>
      </c>
      <c r="F53" s="21">
        <v>6.6499999999999897</v>
      </c>
      <c r="G53" s="21">
        <v>4.49</v>
      </c>
      <c r="H53" s="21">
        <v>3.21</v>
      </c>
      <c r="I53" s="21">
        <v>5.5999999999999899</v>
      </c>
      <c r="J53" s="21">
        <v>6.21</v>
      </c>
      <c r="K53" s="21">
        <v>10.76</v>
      </c>
      <c r="L53" s="21">
        <v>3.15</v>
      </c>
      <c r="M53" s="21">
        <v>0.51</v>
      </c>
      <c r="N53" s="21">
        <v>6</v>
      </c>
    </row>
    <row r="54" spans="1:14" ht="15" hidden="1" customHeight="1" outlineLevel="2">
      <c r="D54" s="3" t="s">
        <v>27</v>
      </c>
      <c r="E54" s="21">
        <v>2.6349999999999399E-3</v>
      </c>
      <c r="F54" s="21">
        <v>0.91749999999999798</v>
      </c>
      <c r="G54" s="21">
        <v>1.4850000000000001</v>
      </c>
      <c r="H54" s="21">
        <v>0.439999999999999</v>
      </c>
      <c r="I54" s="21">
        <v>0.80750000000000399</v>
      </c>
      <c r="J54" s="21">
        <v>0.48749999999999999</v>
      </c>
      <c r="K54" s="21">
        <v>0.932499999999999</v>
      </c>
      <c r="L54" s="21">
        <v>0</v>
      </c>
      <c r="M54" s="21">
        <v>0.1</v>
      </c>
      <c r="N54" s="21">
        <v>2</v>
      </c>
    </row>
    <row r="55" spans="1:14" ht="10.199999999999999" hidden="1" customHeight="1" outlineLevel="2"/>
    <row r="56" spans="1:14" ht="14.4" outlineLevel="1" collapsed="1">
      <c r="A56" s="32"/>
      <c r="B56" s="32"/>
      <c r="C56" s="70" t="s">
        <v>1</v>
      </c>
      <c r="D56" s="2" t="s">
        <v>28</v>
      </c>
    </row>
    <row r="57" spans="1:14" ht="9.9" customHeight="1" outlineLevel="1">
      <c r="A57" s="32"/>
      <c r="B57" s="32"/>
      <c r="C57" s="32"/>
    </row>
    <row r="58" spans="1:14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</row>
    <row r="59" spans="1:14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</row>
    <row r="60" spans="1:14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</row>
    <row r="61" spans="1:14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</row>
    <row r="62" spans="1:14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</row>
    <row r="63" spans="1:14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</row>
    <row r="64" spans="1:14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</row>
    <row r="65" spans="1:17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</row>
    <row r="66" spans="1:17" ht="10.199999999999999" hidden="1" customHeight="1" outlineLevel="2"/>
    <row r="67" spans="1:17" ht="14.4" outlineLevel="1" collapsed="1">
      <c r="A67" s="32"/>
      <c r="B67" s="32"/>
      <c r="C67" s="70" t="s">
        <v>1</v>
      </c>
      <c r="D67" s="2" t="s">
        <v>37</v>
      </c>
    </row>
    <row r="68" spans="1:17" ht="9.9" customHeight="1" outlineLevel="1">
      <c r="A68" s="32"/>
      <c r="B68" s="32"/>
    </row>
    <row r="69" spans="1:1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7" ht="10.199999999999999" hidden="1" customHeight="1" outlineLevel="1" collapsed="1"/>
    <row r="79" spans="1:17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6" t="s">
        <v>94</v>
      </c>
      <c r="P79" s="156" t="s">
        <v>39</v>
      </c>
      <c r="Q79" s="156" t="s">
        <v>95</v>
      </c>
    </row>
    <row r="80" spans="1:17" ht="15" customHeight="1">
      <c r="D80" s="157" t="b">
        <v>0</v>
      </c>
      <c r="E80" s="151">
        <v>1.52101</v>
      </c>
      <c r="F80" s="151">
        <v>13.64</v>
      </c>
      <c r="G80" s="151">
        <v>4.49</v>
      </c>
      <c r="H80" s="152">
        <v>1.1000000000000001</v>
      </c>
      <c r="I80" s="152">
        <v>71.78</v>
      </c>
      <c r="J80" s="152">
        <v>0.06</v>
      </c>
      <c r="K80" s="152">
        <v>8.75</v>
      </c>
      <c r="L80" s="152">
        <v>0</v>
      </c>
      <c r="M80" s="152">
        <v>0</v>
      </c>
      <c r="N80" s="152">
        <v>1</v>
      </c>
      <c r="O80" s="160">
        <v>0</v>
      </c>
      <c r="P80" s="160">
        <v>0</v>
      </c>
      <c r="Q80" s="160">
        <v>1.4898701135501814E+19</v>
      </c>
    </row>
    <row r="81" spans="4:17" ht="15" customHeight="1">
      <c r="D81" s="157" t="b">
        <v>0</v>
      </c>
      <c r="E81" s="151">
        <v>1.5176099999999999</v>
      </c>
      <c r="F81" s="151">
        <v>13.89</v>
      </c>
      <c r="G81" s="151">
        <v>3.6</v>
      </c>
      <c r="H81" s="152">
        <v>1.36</v>
      </c>
      <c r="I81" s="152">
        <v>72.73</v>
      </c>
      <c r="J81" s="152">
        <v>0.48</v>
      </c>
      <c r="K81" s="152">
        <v>7.83</v>
      </c>
      <c r="L81" s="152">
        <v>0</v>
      </c>
      <c r="M81" s="152">
        <v>0</v>
      </c>
      <c r="N81" s="152">
        <v>1</v>
      </c>
      <c r="O81" s="160">
        <v>1</v>
      </c>
      <c r="P81" s="160">
        <v>0</v>
      </c>
      <c r="Q81" s="160">
        <v>1.1452316381437544E+19</v>
      </c>
    </row>
    <row r="82" spans="4:17" ht="15" customHeight="1">
      <c r="D82" s="158" t="b">
        <v>0</v>
      </c>
      <c r="E82" s="153">
        <v>1.5161800000000001</v>
      </c>
      <c r="F82" s="151">
        <v>13.53</v>
      </c>
      <c r="G82" s="151">
        <v>3.55</v>
      </c>
      <c r="H82" s="152">
        <v>1.54</v>
      </c>
      <c r="I82" s="152">
        <v>72.989999999999995</v>
      </c>
      <c r="J82" s="152">
        <v>0.39</v>
      </c>
      <c r="K82" s="152">
        <v>7.78</v>
      </c>
      <c r="L82" s="152">
        <v>0</v>
      </c>
      <c r="M82" s="152">
        <v>0</v>
      </c>
      <c r="N82" s="152">
        <v>1</v>
      </c>
      <c r="O82" s="160">
        <v>2</v>
      </c>
      <c r="P82" s="160">
        <v>0</v>
      </c>
      <c r="Q82" s="160">
        <v>6.487806647166039E+18</v>
      </c>
    </row>
    <row r="83" spans="4:17" ht="15" customHeight="1">
      <c r="D83" s="158" t="b">
        <v>0</v>
      </c>
      <c r="E83" s="153">
        <v>1.51766</v>
      </c>
      <c r="F83" s="151">
        <v>13.21</v>
      </c>
      <c r="G83" s="151">
        <v>3.69</v>
      </c>
      <c r="H83" s="152">
        <v>1.29</v>
      </c>
      <c r="I83" s="152">
        <v>72.61</v>
      </c>
      <c r="J83" s="152">
        <v>0.56999999999999995</v>
      </c>
      <c r="K83" s="152">
        <v>8.2200000000000006</v>
      </c>
      <c r="L83" s="152">
        <v>0</v>
      </c>
      <c r="M83" s="152">
        <v>0</v>
      </c>
      <c r="N83" s="152">
        <v>1</v>
      </c>
      <c r="O83" s="160">
        <v>3</v>
      </c>
      <c r="P83" s="160">
        <v>0</v>
      </c>
      <c r="Q83" s="160">
        <v>1.1711899055346266E+19</v>
      </c>
    </row>
    <row r="84" spans="4:17" ht="15" customHeight="1">
      <c r="D84" s="158" t="b">
        <v>0</v>
      </c>
      <c r="E84" s="153">
        <v>1.51742</v>
      </c>
      <c r="F84" s="151">
        <v>13.27</v>
      </c>
      <c r="G84" s="151">
        <v>3.62</v>
      </c>
      <c r="H84" s="152">
        <v>1.24</v>
      </c>
      <c r="I84" s="152">
        <v>73.08</v>
      </c>
      <c r="J84" s="152">
        <v>0.55000000000000004</v>
      </c>
      <c r="K84" s="152">
        <v>8.07</v>
      </c>
      <c r="L84" s="152">
        <v>0</v>
      </c>
      <c r="M84" s="152">
        <v>0</v>
      </c>
      <c r="N84" s="152">
        <v>1</v>
      </c>
      <c r="O84" s="160">
        <v>4</v>
      </c>
      <c r="P84" s="160">
        <v>0</v>
      </c>
      <c r="Q84" s="160">
        <v>1.2138110875109655E+19</v>
      </c>
    </row>
    <row r="85" spans="4:17" ht="15" customHeight="1">
      <c r="D85" s="158" t="b">
        <v>0</v>
      </c>
      <c r="E85" s="153">
        <v>1.51596</v>
      </c>
      <c r="F85" s="151">
        <v>12.79</v>
      </c>
      <c r="G85" s="151">
        <v>3.61</v>
      </c>
      <c r="H85" s="152">
        <v>1.62</v>
      </c>
      <c r="I85" s="152">
        <v>72.97</v>
      </c>
      <c r="J85" s="152">
        <v>0.64</v>
      </c>
      <c r="K85" s="152">
        <v>8.07</v>
      </c>
      <c r="L85" s="152">
        <v>0</v>
      </c>
      <c r="M85" s="152">
        <v>0.26</v>
      </c>
      <c r="N85" s="152">
        <v>1</v>
      </c>
      <c r="O85" s="160">
        <v>5</v>
      </c>
      <c r="P85" s="160">
        <v>0</v>
      </c>
      <c r="Q85" s="160">
        <v>9.1254536533167974E+18</v>
      </c>
    </row>
    <row r="86" spans="4:17" ht="15" customHeight="1">
      <c r="D86" s="158" t="b">
        <v>0</v>
      </c>
      <c r="E86" s="153">
        <v>1.5174300000000001</v>
      </c>
      <c r="F86" s="151">
        <v>13.3</v>
      </c>
      <c r="G86" s="151">
        <v>3.6</v>
      </c>
      <c r="H86" s="152">
        <v>1.1399999999999999</v>
      </c>
      <c r="I86" s="152">
        <v>73.09</v>
      </c>
      <c r="J86" s="152">
        <v>0.57999999999999996</v>
      </c>
      <c r="K86" s="152">
        <v>8.17</v>
      </c>
      <c r="L86" s="152">
        <v>0</v>
      </c>
      <c r="M86" s="152">
        <v>0</v>
      </c>
      <c r="N86" s="152">
        <v>1</v>
      </c>
      <c r="O86" s="160">
        <v>6</v>
      </c>
      <c r="P86" s="160">
        <v>0</v>
      </c>
      <c r="Q86" s="160">
        <v>2.1777253879087214E+18</v>
      </c>
    </row>
    <row r="87" spans="4:17" ht="15" customHeight="1">
      <c r="D87" s="158" t="b">
        <v>0</v>
      </c>
      <c r="E87" s="153">
        <v>1.51756</v>
      </c>
      <c r="F87" s="151">
        <v>13.15</v>
      </c>
      <c r="G87" s="151">
        <v>3.61</v>
      </c>
      <c r="H87" s="152">
        <v>1.05</v>
      </c>
      <c r="I87" s="152">
        <v>73.239999999999995</v>
      </c>
      <c r="J87" s="152">
        <v>0.56999999999999995</v>
      </c>
      <c r="K87" s="152">
        <v>8.24</v>
      </c>
      <c r="L87" s="152">
        <v>0</v>
      </c>
      <c r="M87" s="152">
        <v>0</v>
      </c>
      <c r="N87" s="152">
        <v>1</v>
      </c>
      <c r="O87" s="160">
        <v>7</v>
      </c>
      <c r="P87" s="160">
        <v>0</v>
      </c>
      <c r="Q87" s="160">
        <v>3.1493819118896445E+18</v>
      </c>
    </row>
    <row r="88" spans="4:17" ht="15" customHeight="1">
      <c r="D88" s="158" t="b">
        <v>0</v>
      </c>
      <c r="E88" s="153">
        <v>1.51918</v>
      </c>
      <c r="F88" s="151">
        <v>14.04</v>
      </c>
      <c r="G88" s="151">
        <v>3.58</v>
      </c>
      <c r="H88" s="152">
        <v>1.37</v>
      </c>
      <c r="I88" s="152">
        <v>72.08</v>
      </c>
      <c r="J88" s="152">
        <v>0.56000000000000005</v>
      </c>
      <c r="K88" s="152">
        <v>8.3000000000000007</v>
      </c>
      <c r="L88" s="152">
        <v>0</v>
      </c>
      <c r="M88" s="152">
        <v>0</v>
      </c>
      <c r="N88" s="152">
        <v>1</v>
      </c>
      <c r="O88" s="160">
        <v>8</v>
      </c>
      <c r="P88" s="160">
        <v>0</v>
      </c>
      <c r="Q88" s="160">
        <v>1.219670981355889E+19</v>
      </c>
    </row>
    <row r="89" spans="4:17" ht="15" customHeight="1">
      <c r="D89" s="158" t="b">
        <v>0</v>
      </c>
      <c r="E89" s="153">
        <v>1.51755</v>
      </c>
      <c r="F89" s="151">
        <v>13</v>
      </c>
      <c r="G89" s="151">
        <v>3.6</v>
      </c>
      <c r="H89" s="152">
        <v>1.36</v>
      </c>
      <c r="I89" s="152">
        <v>72.989999999999995</v>
      </c>
      <c r="J89" s="152">
        <v>0.56999999999999995</v>
      </c>
      <c r="K89" s="152">
        <v>8.4</v>
      </c>
      <c r="L89" s="152">
        <v>0</v>
      </c>
      <c r="M89" s="152">
        <v>0.11</v>
      </c>
      <c r="N89" s="152">
        <v>1</v>
      </c>
      <c r="O89" s="160">
        <v>9</v>
      </c>
      <c r="P89" s="160">
        <v>0</v>
      </c>
      <c r="Q89" s="160">
        <v>8.2820619550055949E+17</v>
      </c>
    </row>
    <row r="90" spans="4:17" ht="15" customHeight="1">
      <c r="D90" s="158" t="b">
        <v>0</v>
      </c>
      <c r="E90" s="153">
        <v>1.5157099999999999</v>
      </c>
      <c r="F90" s="151">
        <v>12.72</v>
      </c>
      <c r="G90" s="151">
        <v>3.46</v>
      </c>
      <c r="H90" s="152">
        <v>1.56</v>
      </c>
      <c r="I90" s="152">
        <v>73.2</v>
      </c>
      <c r="J90" s="152">
        <v>0.67</v>
      </c>
      <c r="K90" s="152">
        <v>8.09</v>
      </c>
      <c r="L90" s="152">
        <v>0</v>
      </c>
      <c r="M90" s="152">
        <v>0.24</v>
      </c>
      <c r="N90" s="152">
        <v>1</v>
      </c>
      <c r="O90" s="160">
        <v>10</v>
      </c>
      <c r="P90" s="160">
        <v>0</v>
      </c>
      <c r="Q90" s="160">
        <v>4.6382000854055199E+18</v>
      </c>
    </row>
    <row r="91" spans="4:17" ht="15" customHeight="1">
      <c r="D91" s="158" t="b">
        <v>0</v>
      </c>
      <c r="E91" s="153">
        <v>1.51763</v>
      </c>
      <c r="F91" s="151">
        <v>12.8</v>
      </c>
      <c r="G91" s="151">
        <v>3.66</v>
      </c>
      <c r="H91" s="152">
        <v>1.27</v>
      </c>
      <c r="I91" s="152">
        <v>73.010000000000005</v>
      </c>
      <c r="J91" s="152">
        <v>0.6</v>
      </c>
      <c r="K91" s="152">
        <v>8.56</v>
      </c>
      <c r="L91" s="152">
        <v>0</v>
      </c>
      <c r="M91" s="152">
        <v>0</v>
      </c>
      <c r="N91" s="152">
        <v>1</v>
      </c>
      <c r="O91" s="160">
        <v>11</v>
      </c>
      <c r="P91" s="160">
        <v>0</v>
      </c>
      <c r="Q91" s="160">
        <v>1.82085905027926E+19</v>
      </c>
    </row>
    <row r="92" spans="4:17" ht="15" customHeight="1">
      <c r="D92" s="158" t="b">
        <v>0</v>
      </c>
      <c r="E92" s="153">
        <v>1.51589</v>
      </c>
      <c r="F92" s="151">
        <v>12.88</v>
      </c>
      <c r="G92" s="151">
        <v>3.43</v>
      </c>
      <c r="H92" s="152">
        <v>1.4</v>
      </c>
      <c r="I92" s="152">
        <v>73.28</v>
      </c>
      <c r="J92" s="152">
        <v>0.69</v>
      </c>
      <c r="K92" s="152">
        <v>8.0500000000000007</v>
      </c>
      <c r="L92" s="152">
        <v>0</v>
      </c>
      <c r="M92" s="152">
        <v>0.24</v>
      </c>
      <c r="N92" s="152">
        <v>1</v>
      </c>
      <c r="O92" s="160">
        <v>12</v>
      </c>
      <c r="P92" s="160">
        <v>0</v>
      </c>
      <c r="Q92" s="160">
        <v>1.3162592608045519E+19</v>
      </c>
    </row>
    <row r="93" spans="4:17" ht="15" customHeight="1">
      <c r="D93" s="158" t="b">
        <v>0</v>
      </c>
      <c r="E93" s="153">
        <v>1.5174799999999999</v>
      </c>
      <c r="F93" s="151">
        <v>12.86</v>
      </c>
      <c r="G93" s="151">
        <v>3.56</v>
      </c>
      <c r="H93" s="152">
        <v>1.27</v>
      </c>
      <c r="I93" s="152">
        <v>73.209999999999994</v>
      </c>
      <c r="J93" s="152">
        <v>0.54</v>
      </c>
      <c r="K93" s="152">
        <v>8.3800000000000008</v>
      </c>
      <c r="L93" s="152">
        <v>0</v>
      </c>
      <c r="M93" s="152">
        <v>0.17</v>
      </c>
      <c r="N93" s="152">
        <v>1</v>
      </c>
      <c r="O93" s="160">
        <v>13</v>
      </c>
      <c r="P93" s="160">
        <v>0</v>
      </c>
      <c r="Q93" s="160">
        <v>1.6362279792248367E+19</v>
      </c>
    </row>
    <row r="94" spans="4:17" ht="15" customHeight="1">
      <c r="D94" s="158" t="b">
        <v>0</v>
      </c>
      <c r="E94" s="153">
        <v>1.51763</v>
      </c>
      <c r="F94" s="151">
        <v>12.61</v>
      </c>
      <c r="G94" s="151">
        <v>3.59</v>
      </c>
      <c r="H94" s="152">
        <v>1.31</v>
      </c>
      <c r="I94" s="152">
        <v>73.290000000000006</v>
      </c>
      <c r="J94" s="152">
        <v>0.57999999999999996</v>
      </c>
      <c r="K94" s="152">
        <v>8.5</v>
      </c>
      <c r="L94" s="152">
        <v>0</v>
      </c>
      <c r="M94" s="152">
        <v>0</v>
      </c>
      <c r="N94" s="152">
        <v>1</v>
      </c>
      <c r="O94" s="160">
        <v>14</v>
      </c>
      <c r="P94" s="160">
        <v>0</v>
      </c>
      <c r="Q94" s="160">
        <v>3.8331469405431337E+18</v>
      </c>
    </row>
    <row r="95" spans="4:17" ht="15" customHeight="1">
      <c r="D95" s="158" t="b">
        <v>0</v>
      </c>
      <c r="E95" s="153">
        <v>1.5176099999999999</v>
      </c>
      <c r="F95" s="151">
        <v>12.81</v>
      </c>
      <c r="G95" s="151">
        <v>3.54</v>
      </c>
      <c r="H95" s="152">
        <v>1.23</v>
      </c>
      <c r="I95" s="152">
        <v>73.239999999999995</v>
      </c>
      <c r="J95" s="152">
        <v>0.57999999999999996</v>
      </c>
      <c r="K95" s="152">
        <v>8.39</v>
      </c>
      <c r="L95" s="152">
        <v>0</v>
      </c>
      <c r="M95" s="152">
        <v>0</v>
      </c>
      <c r="N95" s="152">
        <v>1</v>
      </c>
      <c r="O95" s="160">
        <v>15</v>
      </c>
      <c r="P95" s="160">
        <v>0</v>
      </c>
      <c r="Q95" s="160">
        <v>1.8027687542874558E+19</v>
      </c>
    </row>
    <row r="96" spans="4:17" ht="15" customHeight="1">
      <c r="D96" s="158" t="b">
        <v>0</v>
      </c>
      <c r="E96" s="153">
        <v>1.5178400000000001</v>
      </c>
      <c r="F96" s="151">
        <v>12.68</v>
      </c>
      <c r="G96" s="151">
        <v>3.67</v>
      </c>
      <c r="H96" s="152">
        <v>1.1599999999999999</v>
      </c>
      <c r="I96" s="152">
        <v>73.11</v>
      </c>
      <c r="J96" s="152">
        <v>0.61</v>
      </c>
      <c r="K96" s="152">
        <v>8.6999999999999993</v>
      </c>
      <c r="L96" s="152">
        <v>0</v>
      </c>
      <c r="M96" s="152">
        <v>0</v>
      </c>
      <c r="N96" s="152">
        <v>1</v>
      </c>
      <c r="O96" s="160">
        <v>16</v>
      </c>
      <c r="P96" s="160">
        <v>0</v>
      </c>
      <c r="Q96" s="160">
        <v>1.3899103540291009E+19</v>
      </c>
    </row>
    <row r="97" spans="4:17" ht="15" customHeight="1">
      <c r="D97" s="158" t="b">
        <v>0</v>
      </c>
      <c r="E97" s="153">
        <v>1.52196</v>
      </c>
      <c r="F97" s="151">
        <v>14.36</v>
      </c>
      <c r="G97" s="151">
        <v>3.85</v>
      </c>
      <c r="H97" s="152">
        <v>0.89</v>
      </c>
      <c r="I97" s="152">
        <v>71.36</v>
      </c>
      <c r="J97" s="152">
        <v>0.15</v>
      </c>
      <c r="K97" s="152">
        <v>9.15</v>
      </c>
      <c r="L97" s="152">
        <v>0</v>
      </c>
      <c r="M97" s="152">
        <v>0</v>
      </c>
      <c r="N97" s="152">
        <v>1</v>
      </c>
      <c r="O97" s="160">
        <v>17</v>
      </c>
      <c r="P97" s="160">
        <v>0</v>
      </c>
      <c r="Q97" s="160">
        <v>3.6644789500444068E+18</v>
      </c>
    </row>
    <row r="98" spans="4:17" ht="15" customHeight="1">
      <c r="D98" s="158" t="b">
        <v>0</v>
      </c>
      <c r="E98" s="153">
        <v>1.51911</v>
      </c>
      <c r="F98" s="151">
        <v>13.9</v>
      </c>
      <c r="G98" s="151">
        <v>3.73</v>
      </c>
      <c r="H98" s="152">
        <v>1.18</v>
      </c>
      <c r="I98" s="152">
        <v>72.12</v>
      </c>
      <c r="J98" s="152">
        <v>0.06</v>
      </c>
      <c r="K98" s="152">
        <v>8.89</v>
      </c>
      <c r="L98" s="152">
        <v>0</v>
      </c>
      <c r="M98" s="152">
        <v>0</v>
      </c>
      <c r="N98" s="152">
        <v>1</v>
      </c>
      <c r="O98" s="160">
        <v>18</v>
      </c>
      <c r="P98" s="160">
        <v>0</v>
      </c>
      <c r="Q98" s="160">
        <v>1.3461496247425059E+19</v>
      </c>
    </row>
    <row r="99" spans="4:17" ht="15" customHeight="1">
      <c r="D99" s="158" t="b">
        <v>0</v>
      </c>
      <c r="E99" s="153">
        <v>1.51735</v>
      </c>
      <c r="F99" s="151">
        <v>13.02</v>
      </c>
      <c r="G99" s="151">
        <v>3.54</v>
      </c>
      <c r="H99" s="152">
        <v>1.69</v>
      </c>
      <c r="I99" s="152">
        <v>72.73</v>
      </c>
      <c r="J99" s="152">
        <v>0.54</v>
      </c>
      <c r="K99" s="152">
        <v>8.44</v>
      </c>
      <c r="L99" s="152">
        <v>0</v>
      </c>
      <c r="M99" s="152">
        <v>7.0000000000000007E-2</v>
      </c>
      <c r="N99" s="152">
        <v>1</v>
      </c>
      <c r="O99" s="160">
        <v>19</v>
      </c>
      <c r="P99" s="160">
        <v>0</v>
      </c>
      <c r="Q99" s="160">
        <v>9.6878818953196278E+18</v>
      </c>
    </row>
    <row r="100" spans="4:17" ht="15" customHeight="1">
      <c r="D100" s="158" t="b">
        <v>0</v>
      </c>
      <c r="E100" s="153">
        <v>1.5175000000000001</v>
      </c>
      <c r="F100" s="151">
        <v>12.82</v>
      </c>
      <c r="G100" s="151">
        <v>3.55</v>
      </c>
      <c r="H100" s="152">
        <v>1.49</v>
      </c>
      <c r="I100" s="152">
        <v>72.75</v>
      </c>
      <c r="J100" s="152">
        <v>0.54</v>
      </c>
      <c r="K100" s="152">
        <v>8.52</v>
      </c>
      <c r="L100" s="152">
        <v>0</v>
      </c>
      <c r="M100" s="152">
        <v>0.19</v>
      </c>
      <c r="N100" s="152">
        <v>1</v>
      </c>
      <c r="O100" s="160">
        <v>20</v>
      </c>
      <c r="P100" s="160">
        <v>0</v>
      </c>
      <c r="Q100" s="160">
        <v>6.6489683220433234E+18</v>
      </c>
    </row>
    <row r="101" spans="4:17" ht="15" customHeight="1">
      <c r="D101" s="158" t="b">
        <v>0</v>
      </c>
      <c r="E101" s="153">
        <v>1.51966</v>
      </c>
      <c r="F101" s="151">
        <v>14.77</v>
      </c>
      <c r="G101" s="151">
        <v>3.75</v>
      </c>
      <c r="H101" s="152">
        <v>0.28999999999999998</v>
      </c>
      <c r="I101" s="152">
        <v>72.02</v>
      </c>
      <c r="J101" s="152">
        <v>0.03</v>
      </c>
      <c r="K101" s="152">
        <v>9</v>
      </c>
      <c r="L101" s="152">
        <v>0</v>
      </c>
      <c r="M101" s="152">
        <v>0</v>
      </c>
      <c r="N101" s="152">
        <v>1</v>
      </c>
      <c r="O101" s="160">
        <v>21</v>
      </c>
      <c r="P101" s="160">
        <v>0</v>
      </c>
      <c r="Q101" s="160">
        <v>1.0652662700684569E+19</v>
      </c>
    </row>
    <row r="102" spans="4:17" ht="15" customHeight="1">
      <c r="D102" s="158" t="b">
        <v>0</v>
      </c>
      <c r="E102" s="153">
        <v>1.51736</v>
      </c>
      <c r="F102" s="151">
        <v>12.78</v>
      </c>
      <c r="G102" s="151">
        <v>3.62</v>
      </c>
      <c r="H102" s="152">
        <v>1.29</v>
      </c>
      <c r="I102" s="152">
        <v>72.790000000000006</v>
      </c>
      <c r="J102" s="152">
        <v>0.59</v>
      </c>
      <c r="K102" s="152">
        <v>8.6999999999999993</v>
      </c>
      <c r="L102" s="152">
        <v>0</v>
      </c>
      <c r="M102" s="152">
        <v>0</v>
      </c>
      <c r="N102" s="152">
        <v>1</v>
      </c>
      <c r="O102" s="160">
        <v>22</v>
      </c>
      <c r="P102" s="160">
        <v>0</v>
      </c>
      <c r="Q102" s="160">
        <v>1.3400915465280995E+19</v>
      </c>
    </row>
    <row r="103" spans="4:17" ht="15" customHeight="1">
      <c r="D103" s="158" t="b">
        <v>0</v>
      </c>
      <c r="E103" s="153">
        <v>1.5175099999999999</v>
      </c>
      <c r="F103" s="151">
        <v>12.81</v>
      </c>
      <c r="G103" s="151">
        <v>3.57</v>
      </c>
      <c r="H103" s="152">
        <v>1.35</v>
      </c>
      <c r="I103" s="152">
        <v>73.02</v>
      </c>
      <c r="J103" s="152">
        <v>0.62</v>
      </c>
      <c r="K103" s="152">
        <v>8.59</v>
      </c>
      <c r="L103" s="152">
        <v>0</v>
      </c>
      <c r="M103" s="152">
        <v>0</v>
      </c>
      <c r="N103" s="152">
        <v>1</v>
      </c>
      <c r="O103" s="160">
        <v>23</v>
      </c>
      <c r="P103" s="160">
        <v>0</v>
      </c>
      <c r="Q103" s="160">
        <v>9.3796333784752005E+18</v>
      </c>
    </row>
    <row r="104" spans="4:17" ht="15" customHeight="1">
      <c r="D104" s="158" t="b">
        <v>0</v>
      </c>
      <c r="E104" s="153">
        <v>1.5172000000000001</v>
      </c>
      <c r="F104" s="151">
        <v>13.38</v>
      </c>
      <c r="G104" s="151">
        <v>3.5</v>
      </c>
      <c r="H104" s="152">
        <v>1.1499999999999999</v>
      </c>
      <c r="I104" s="152">
        <v>72.849999999999994</v>
      </c>
      <c r="J104" s="152">
        <v>0.5</v>
      </c>
      <c r="K104" s="152">
        <v>8.43</v>
      </c>
      <c r="L104" s="152">
        <v>0</v>
      </c>
      <c r="M104" s="152">
        <v>0</v>
      </c>
      <c r="N104" s="152">
        <v>1</v>
      </c>
      <c r="O104" s="160">
        <v>24</v>
      </c>
      <c r="P104" s="160">
        <v>0</v>
      </c>
      <c r="Q104" s="160">
        <v>1.5152092592537594E+19</v>
      </c>
    </row>
    <row r="105" spans="4:17" ht="15" customHeight="1">
      <c r="D105" s="158" t="b">
        <v>0</v>
      </c>
      <c r="E105" s="153">
        <v>1.5176400000000001</v>
      </c>
      <c r="F105" s="151">
        <v>12.98</v>
      </c>
      <c r="G105" s="151">
        <v>3.54</v>
      </c>
      <c r="H105" s="152">
        <v>1.21</v>
      </c>
      <c r="I105" s="152">
        <v>73</v>
      </c>
      <c r="J105" s="152">
        <v>0.65</v>
      </c>
      <c r="K105" s="152">
        <v>8.5299999999999994</v>
      </c>
      <c r="L105" s="152">
        <v>0</v>
      </c>
      <c r="M105" s="152">
        <v>0</v>
      </c>
      <c r="N105" s="152">
        <v>1</v>
      </c>
      <c r="O105" s="160">
        <v>25</v>
      </c>
      <c r="P105" s="160">
        <v>0</v>
      </c>
      <c r="Q105" s="160">
        <v>5.774733045968617E+17</v>
      </c>
    </row>
    <row r="106" spans="4:17" ht="15" customHeight="1">
      <c r="D106" s="158" t="b">
        <v>0</v>
      </c>
      <c r="E106" s="153">
        <v>1.51793</v>
      </c>
      <c r="F106" s="151">
        <v>13.21</v>
      </c>
      <c r="G106" s="151">
        <v>3.48</v>
      </c>
      <c r="H106" s="152">
        <v>1.41</v>
      </c>
      <c r="I106" s="152">
        <v>72.64</v>
      </c>
      <c r="J106" s="152">
        <v>0.59</v>
      </c>
      <c r="K106" s="152">
        <v>8.43</v>
      </c>
      <c r="L106" s="152">
        <v>0</v>
      </c>
      <c r="M106" s="152">
        <v>0</v>
      </c>
      <c r="N106" s="152">
        <v>1</v>
      </c>
      <c r="O106" s="160">
        <v>26</v>
      </c>
      <c r="P106" s="160">
        <v>0</v>
      </c>
      <c r="Q106" s="160">
        <v>1.7955785217550574E+19</v>
      </c>
    </row>
    <row r="107" spans="4:17" ht="15" customHeight="1">
      <c r="D107" s="158" t="b">
        <v>0</v>
      </c>
      <c r="E107" s="153">
        <v>1.5172099999999999</v>
      </c>
      <c r="F107" s="151">
        <v>12.87</v>
      </c>
      <c r="G107" s="151">
        <v>3.48</v>
      </c>
      <c r="H107" s="152">
        <v>1.33</v>
      </c>
      <c r="I107" s="152">
        <v>73.040000000000006</v>
      </c>
      <c r="J107" s="152">
        <v>0.56000000000000005</v>
      </c>
      <c r="K107" s="152">
        <v>8.43</v>
      </c>
      <c r="L107" s="152">
        <v>0</v>
      </c>
      <c r="M107" s="152">
        <v>0</v>
      </c>
      <c r="N107" s="152">
        <v>1</v>
      </c>
      <c r="O107" s="160">
        <v>27</v>
      </c>
      <c r="P107" s="160">
        <v>0</v>
      </c>
      <c r="Q107" s="160">
        <v>1.4108870351544482E+19</v>
      </c>
    </row>
    <row r="108" spans="4:17" ht="15" customHeight="1">
      <c r="D108" s="158" t="b">
        <v>0</v>
      </c>
      <c r="E108" s="153">
        <v>1.5176799999999999</v>
      </c>
      <c r="F108" s="151">
        <v>12.56</v>
      </c>
      <c r="G108" s="151">
        <v>3.52</v>
      </c>
      <c r="H108" s="152">
        <v>1.43</v>
      </c>
      <c r="I108" s="152">
        <v>73.150000000000006</v>
      </c>
      <c r="J108" s="152">
        <v>0.56999999999999995</v>
      </c>
      <c r="K108" s="152">
        <v>8.5399999999999991</v>
      </c>
      <c r="L108" s="152">
        <v>0</v>
      </c>
      <c r="M108" s="152">
        <v>0</v>
      </c>
      <c r="N108" s="152">
        <v>1</v>
      </c>
      <c r="O108" s="160">
        <v>28</v>
      </c>
      <c r="P108" s="160">
        <v>0</v>
      </c>
      <c r="Q108" s="160">
        <v>1.8202444066544286E+19</v>
      </c>
    </row>
    <row r="109" spans="4:17" ht="15" customHeight="1">
      <c r="D109" s="158" t="b">
        <v>0</v>
      </c>
      <c r="E109" s="153">
        <v>1.5178400000000001</v>
      </c>
      <c r="F109" s="151">
        <v>13.08</v>
      </c>
      <c r="G109" s="151">
        <v>3.49</v>
      </c>
      <c r="H109" s="152">
        <v>1.28</v>
      </c>
      <c r="I109" s="152">
        <v>72.86</v>
      </c>
      <c r="J109" s="152">
        <v>0.6</v>
      </c>
      <c r="K109" s="152">
        <v>8.49</v>
      </c>
      <c r="L109" s="152">
        <v>0</v>
      </c>
      <c r="M109" s="152">
        <v>0</v>
      </c>
      <c r="N109" s="152">
        <v>1</v>
      </c>
      <c r="O109" s="160">
        <v>29</v>
      </c>
      <c r="P109" s="160">
        <v>0</v>
      </c>
      <c r="Q109" s="160">
        <v>1.4982759641575386E+18</v>
      </c>
    </row>
    <row r="110" spans="4:17" ht="15" customHeight="1">
      <c r="D110" s="158" t="b">
        <v>0</v>
      </c>
      <c r="E110" s="153">
        <v>1.5176799999999999</v>
      </c>
      <c r="F110" s="151">
        <v>12.65</v>
      </c>
      <c r="G110" s="151">
        <v>3.56</v>
      </c>
      <c r="H110" s="152">
        <v>1.3</v>
      </c>
      <c r="I110" s="152">
        <v>73.08</v>
      </c>
      <c r="J110" s="152">
        <v>0.61</v>
      </c>
      <c r="K110" s="152">
        <v>8.69</v>
      </c>
      <c r="L110" s="152">
        <v>0</v>
      </c>
      <c r="M110" s="152">
        <v>0.14000000000000001</v>
      </c>
      <c r="N110" s="152">
        <v>1</v>
      </c>
      <c r="O110" s="160">
        <v>30</v>
      </c>
      <c r="P110" s="160">
        <v>0</v>
      </c>
      <c r="Q110" s="160">
        <v>9.4142354102742303E+18</v>
      </c>
    </row>
    <row r="111" spans="4:17" ht="15" customHeight="1">
      <c r="D111" s="158" t="b">
        <v>0</v>
      </c>
      <c r="E111" s="153">
        <v>1.5174700000000001</v>
      </c>
      <c r="F111" s="151">
        <v>12.84</v>
      </c>
      <c r="G111" s="151">
        <v>3.5</v>
      </c>
      <c r="H111" s="152">
        <v>1.1399999999999999</v>
      </c>
      <c r="I111" s="152">
        <v>73.27</v>
      </c>
      <c r="J111" s="152">
        <v>0.56000000000000005</v>
      </c>
      <c r="K111" s="152">
        <v>8.5500000000000007</v>
      </c>
      <c r="L111" s="152">
        <v>0</v>
      </c>
      <c r="M111" s="152">
        <v>0</v>
      </c>
      <c r="N111" s="152">
        <v>1</v>
      </c>
      <c r="O111" s="160">
        <v>31</v>
      </c>
      <c r="P111" s="160">
        <v>0</v>
      </c>
      <c r="Q111" s="160">
        <v>4.3545666104201288E+16</v>
      </c>
    </row>
    <row r="112" spans="4:17" ht="15" customHeight="1">
      <c r="D112" s="158" t="b">
        <v>0</v>
      </c>
      <c r="E112" s="153">
        <v>1.5177499999999999</v>
      </c>
      <c r="F112" s="151">
        <v>12.85</v>
      </c>
      <c r="G112" s="151">
        <v>3.48</v>
      </c>
      <c r="H112" s="152">
        <v>1.23</v>
      </c>
      <c r="I112" s="152">
        <v>72.97</v>
      </c>
      <c r="J112" s="152">
        <v>0.61</v>
      </c>
      <c r="K112" s="152">
        <v>8.56</v>
      </c>
      <c r="L112" s="152">
        <v>0.09</v>
      </c>
      <c r="M112" s="152">
        <v>0.22</v>
      </c>
      <c r="N112" s="152">
        <v>1</v>
      </c>
      <c r="O112" s="160">
        <v>32</v>
      </c>
      <c r="P112" s="160">
        <v>0</v>
      </c>
      <c r="Q112" s="160">
        <v>6.15888794944337E+18</v>
      </c>
    </row>
    <row r="113" spans="4:17" ht="15" customHeight="1">
      <c r="D113" s="158" t="b">
        <v>0</v>
      </c>
      <c r="E113" s="153">
        <v>1.51753</v>
      </c>
      <c r="F113" s="151">
        <v>12.57</v>
      </c>
      <c r="G113" s="151">
        <v>3.47</v>
      </c>
      <c r="H113" s="152">
        <v>1.38</v>
      </c>
      <c r="I113" s="152">
        <v>73.39</v>
      </c>
      <c r="J113" s="152">
        <v>0.6</v>
      </c>
      <c r="K113" s="152">
        <v>8.5500000000000007</v>
      </c>
      <c r="L113" s="152">
        <v>0</v>
      </c>
      <c r="M113" s="152">
        <v>0.06</v>
      </c>
      <c r="N113" s="152">
        <v>1</v>
      </c>
      <c r="O113" s="160">
        <v>33</v>
      </c>
      <c r="P113" s="160">
        <v>0</v>
      </c>
      <c r="Q113" s="160">
        <v>3.6125140164758175E+18</v>
      </c>
    </row>
    <row r="114" spans="4:17" ht="15" customHeight="1">
      <c r="D114" s="158" t="b">
        <v>0</v>
      </c>
      <c r="E114" s="153">
        <v>1.51783</v>
      </c>
      <c r="F114" s="151">
        <v>12.69</v>
      </c>
      <c r="G114" s="151">
        <v>3.54</v>
      </c>
      <c r="H114" s="152">
        <v>1.34</v>
      </c>
      <c r="I114" s="152">
        <v>72.95</v>
      </c>
      <c r="J114" s="152">
        <v>0.56999999999999995</v>
      </c>
      <c r="K114" s="152">
        <v>8.75</v>
      </c>
      <c r="L114" s="152">
        <v>0</v>
      </c>
      <c r="M114" s="152">
        <v>0</v>
      </c>
      <c r="N114" s="152">
        <v>1</v>
      </c>
      <c r="O114" s="160">
        <v>34</v>
      </c>
      <c r="P114" s="160">
        <v>0</v>
      </c>
      <c r="Q114" s="160">
        <v>7.0753382469445745E+18</v>
      </c>
    </row>
    <row r="115" spans="4:17" ht="15" customHeight="1">
      <c r="D115" s="158" t="b">
        <v>0</v>
      </c>
      <c r="E115" s="153">
        <v>1.5156700000000001</v>
      </c>
      <c r="F115" s="151">
        <v>13.29</v>
      </c>
      <c r="G115" s="151">
        <v>3.45</v>
      </c>
      <c r="H115" s="152">
        <v>1.21</v>
      </c>
      <c r="I115" s="152">
        <v>72.739999999999995</v>
      </c>
      <c r="J115" s="152">
        <v>0.56000000000000005</v>
      </c>
      <c r="K115" s="152">
        <v>8.57</v>
      </c>
      <c r="L115" s="152">
        <v>0</v>
      </c>
      <c r="M115" s="152">
        <v>0</v>
      </c>
      <c r="N115" s="152">
        <v>1</v>
      </c>
      <c r="O115" s="160">
        <v>35</v>
      </c>
      <c r="P115" s="160">
        <v>0</v>
      </c>
      <c r="Q115" s="160">
        <v>1.705096394860843E+19</v>
      </c>
    </row>
    <row r="116" spans="4:17" ht="15" customHeight="1">
      <c r="D116" s="158" t="b">
        <v>0</v>
      </c>
      <c r="E116" s="153">
        <v>1.5190900000000001</v>
      </c>
      <c r="F116" s="151">
        <v>13.89</v>
      </c>
      <c r="G116" s="151">
        <v>3.53</v>
      </c>
      <c r="H116" s="152">
        <v>1.32</v>
      </c>
      <c r="I116" s="152">
        <v>71.81</v>
      </c>
      <c r="J116" s="152">
        <v>0.51</v>
      </c>
      <c r="K116" s="152">
        <v>8.7799999999999994</v>
      </c>
      <c r="L116" s="152">
        <v>0.11</v>
      </c>
      <c r="M116" s="152">
        <v>0</v>
      </c>
      <c r="N116" s="152">
        <v>1</v>
      </c>
      <c r="O116" s="160">
        <v>36</v>
      </c>
      <c r="P116" s="160">
        <v>0</v>
      </c>
      <c r="Q116" s="160">
        <v>8.6606727993982956E+18</v>
      </c>
    </row>
    <row r="117" spans="4:17" ht="15" customHeight="1">
      <c r="D117" s="158" t="b">
        <v>0</v>
      </c>
      <c r="E117" s="153">
        <v>1.51797</v>
      </c>
      <c r="F117" s="151">
        <v>12.74</v>
      </c>
      <c r="G117" s="151">
        <v>3.48</v>
      </c>
      <c r="H117" s="152">
        <v>1.35</v>
      </c>
      <c r="I117" s="152">
        <v>72.959999999999994</v>
      </c>
      <c r="J117" s="152">
        <v>0.64</v>
      </c>
      <c r="K117" s="152">
        <v>8.68</v>
      </c>
      <c r="L117" s="152">
        <v>0</v>
      </c>
      <c r="M117" s="152">
        <v>0</v>
      </c>
      <c r="N117" s="152">
        <v>1</v>
      </c>
      <c r="O117" s="160">
        <v>37</v>
      </c>
      <c r="P117" s="160">
        <v>0</v>
      </c>
      <c r="Q117" s="160">
        <v>5.222725221116119E+18</v>
      </c>
    </row>
    <row r="118" spans="4:17" ht="15" customHeight="1">
      <c r="D118" s="158" t="b">
        <v>0</v>
      </c>
      <c r="E118" s="153">
        <v>1.52213</v>
      </c>
      <c r="F118" s="151">
        <v>14.21</v>
      </c>
      <c r="G118" s="151">
        <v>3.82</v>
      </c>
      <c r="H118" s="152">
        <v>0.47</v>
      </c>
      <c r="I118" s="152">
        <v>71.77</v>
      </c>
      <c r="J118" s="152">
        <v>0.11</v>
      </c>
      <c r="K118" s="152">
        <v>9.57</v>
      </c>
      <c r="L118" s="152">
        <v>0</v>
      </c>
      <c r="M118" s="152">
        <v>0</v>
      </c>
      <c r="N118" s="152">
        <v>1</v>
      </c>
      <c r="O118" s="160">
        <v>38</v>
      </c>
      <c r="P118" s="160">
        <v>0</v>
      </c>
      <c r="Q118" s="160">
        <v>5.6095750124438387E+17</v>
      </c>
    </row>
    <row r="119" spans="4:17" ht="15" customHeight="1">
      <c r="D119" s="158" t="b">
        <v>0</v>
      </c>
      <c r="E119" s="153">
        <v>1.52213</v>
      </c>
      <c r="F119" s="151">
        <v>14.21</v>
      </c>
      <c r="G119" s="151">
        <v>3.82</v>
      </c>
      <c r="H119" s="152">
        <v>0.47</v>
      </c>
      <c r="I119" s="152">
        <v>71.77</v>
      </c>
      <c r="J119" s="152">
        <v>0.11</v>
      </c>
      <c r="K119" s="152">
        <v>9.57</v>
      </c>
      <c r="L119" s="152">
        <v>0</v>
      </c>
      <c r="M119" s="152">
        <v>0</v>
      </c>
      <c r="N119" s="152">
        <v>1</v>
      </c>
      <c r="O119" s="160">
        <v>39</v>
      </c>
      <c r="P119" s="160">
        <v>0</v>
      </c>
      <c r="Q119" s="160">
        <v>8.1437884378881249E+18</v>
      </c>
    </row>
    <row r="120" spans="4:17" ht="15" customHeight="1">
      <c r="D120" s="158" t="b">
        <v>0</v>
      </c>
      <c r="E120" s="153">
        <v>1.51793</v>
      </c>
      <c r="F120" s="151">
        <v>12.79</v>
      </c>
      <c r="G120" s="151">
        <v>3.5</v>
      </c>
      <c r="H120" s="152">
        <v>1.1200000000000001</v>
      </c>
      <c r="I120" s="152">
        <v>73.03</v>
      </c>
      <c r="J120" s="152">
        <v>0.64</v>
      </c>
      <c r="K120" s="152">
        <v>8.77</v>
      </c>
      <c r="L120" s="152">
        <v>0</v>
      </c>
      <c r="M120" s="152">
        <v>0</v>
      </c>
      <c r="N120" s="152">
        <v>1</v>
      </c>
      <c r="O120" s="160">
        <v>40</v>
      </c>
      <c r="P120" s="160">
        <v>0</v>
      </c>
      <c r="Q120" s="160">
        <v>1.2359025146115725E+19</v>
      </c>
    </row>
    <row r="121" spans="4:17" ht="15" customHeight="1">
      <c r="D121" s="158" t="b">
        <v>0</v>
      </c>
      <c r="E121" s="153">
        <v>1.51755</v>
      </c>
      <c r="F121" s="151">
        <v>12.71</v>
      </c>
      <c r="G121" s="151">
        <v>3.42</v>
      </c>
      <c r="H121" s="152">
        <v>1.2</v>
      </c>
      <c r="I121" s="152">
        <v>73.2</v>
      </c>
      <c r="J121" s="152">
        <v>0.59</v>
      </c>
      <c r="K121" s="152">
        <v>8.64</v>
      </c>
      <c r="L121" s="152">
        <v>0</v>
      </c>
      <c r="M121" s="152">
        <v>0</v>
      </c>
      <c r="N121" s="152">
        <v>1</v>
      </c>
      <c r="O121" s="160">
        <v>41</v>
      </c>
      <c r="P121" s="160">
        <v>0</v>
      </c>
      <c r="Q121" s="160">
        <v>1.5334185702329448E+19</v>
      </c>
    </row>
    <row r="122" spans="4:17" ht="15" customHeight="1">
      <c r="D122" s="158" t="b">
        <v>0</v>
      </c>
      <c r="E122" s="153">
        <v>1.51779</v>
      </c>
      <c r="F122" s="151">
        <v>13.21</v>
      </c>
      <c r="G122" s="151">
        <v>3.39</v>
      </c>
      <c r="H122" s="152">
        <v>1.33</v>
      </c>
      <c r="I122" s="152">
        <v>72.760000000000005</v>
      </c>
      <c r="J122" s="152">
        <v>0.59</v>
      </c>
      <c r="K122" s="152">
        <v>8.59</v>
      </c>
      <c r="L122" s="152">
        <v>0</v>
      </c>
      <c r="M122" s="152">
        <v>0</v>
      </c>
      <c r="N122" s="152">
        <v>1</v>
      </c>
      <c r="O122" s="160">
        <v>42</v>
      </c>
      <c r="P122" s="160">
        <v>0</v>
      </c>
      <c r="Q122" s="160">
        <v>1.6411618748510022E+19</v>
      </c>
    </row>
    <row r="123" spans="4:17" ht="15" customHeight="1">
      <c r="D123" s="158" t="b">
        <v>0</v>
      </c>
      <c r="E123" s="153">
        <v>1.5221</v>
      </c>
      <c r="F123" s="151">
        <v>13.73</v>
      </c>
      <c r="G123" s="151">
        <v>3.84</v>
      </c>
      <c r="H123" s="152">
        <v>0.72</v>
      </c>
      <c r="I123" s="152">
        <v>71.760000000000005</v>
      </c>
      <c r="J123" s="152">
        <v>0.17</v>
      </c>
      <c r="K123" s="152">
        <v>9.74</v>
      </c>
      <c r="L123" s="152">
        <v>0</v>
      </c>
      <c r="M123" s="152">
        <v>0</v>
      </c>
      <c r="N123" s="152">
        <v>1</v>
      </c>
      <c r="O123" s="160">
        <v>43</v>
      </c>
      <c r="P123" s="160">
        <v>0</v>
      </c>
      <c r="Q123" s="160">
        <v>1.1164018580097708E+19</v>
      </c>
    </row>
    <row r="124" spans="4:17" ht="15" customHeight="1">
      <c r="D124" s="158" t="b">
        <v>0</v>
      </c>
      <c r="E124" s="153">
        <v>1.51786</v>
      </c>
      <c r="F124" s="151">
        <v>12.73</v>
      </c>
      <c r="G124" s="151">
        <v>3.43</v>
      </c>
      <c r="H124" s="152">
        <v>1.19</v>
      </c>
      <c r="I124" s="152">
        <v>72.95</v>
      </c>
      <c r="J124" s="152">
        <v>0.62</v>
      </c>
      <c r="K124" s="152">
        <v>8.76</v>
      </c>
      <c r="L124" s="152">
        <v>0</v>
      </c>
      <c r="M124" s="152">
        <v>0.3</v>
      </c>
      <c r="N124" s="152">
        <v>1</v>
      </c>
      <c r="O124" s="160">
        <v>44</v>
      </c>
      <c r="P124" s="160">
        <v>0</v>
      </c>
      <c r="Q124" s="160">
        <v>5.0550195421433638E+17</v>
      </c>
    </row>
    <row r="125" spans="4:17" ht="15" customHeight="1">
      <c r="D125" s="158" t="b">
        <v>0</v>
      </c>
      <c r="E125" s="153">
        <v>1.5189999999999999</v>
      </c>
      <c r="F125" s="151">
        <v>13.49</v>
      </c>
      <c r="G125" s="151">
        <v>3.48</v>
      </c>
      <c r="H125" s="152">
        <v>1.35</v>
      </c>
      <c r="I125" s="152">
        <v>71.95</v>
      </c>
      <c r="J125" s="152">
        <v>0.55000000000000004</v>
      </c>
      <c r="K125" s="152">
        <v>9</v>
      </c>
      <c r="L125" s="152">
        <v>0</v>
      </c>
      <c r="M125" s="152">
        <v>0</v>
      </c>
      <c r="N125" s="152">
        <v>1</v>
      </c>
      <c r="O125" s="160">
        <v>45</v>
      </c>
      <c r="P125" s="160">
        <v>0</v>
      </c>
      <c r="Q125" s="160">
        <v>1.7917046550072336E+19</v>
      </c>
    </row>
    <row r="126" spans="4:17" ht="15" customHeight="1">
      <c r="D126" s="158" t="b">
        <v>0</v>
      </c>
      <c r="E126" s="153">
        <v>1.5186900000000001</v>
      </c>
      <c r="F126" s="151">
        <v>13.19</v>
      </c>
      <c r="G126" s="151">
        <v>3.37</v>
      </c>
      <c r="H126" s="152">
        <v>1.18</v>
      </c>
      <c r="I126" s="152">
        <v>72.72</v>
      </c>
      <c r="J126" s="152">
        <v>0.56999999999999995</v>
      </c>
      <c r="K126" s="152">
        <v>8.83</v>
      </c>
      <c r="L126" s="152">
        <v>0</v>
      </c>
      <c r="M126" s="152">
        <v>0.16</v>
      </c>
      <c r="N126" s="152">
        <v>1</v>
      </c>
      <c r="O126" s="160">
        <v>46</v>
      </c>
      <c r="P126" s="160">
        <v>0</v>
      </c>
      <c r="Q126" s="160">
        <v>1.4123287080701915E+19</v>
      </c>
    </row>
    <row r="127" spans="4:17" ht="15" customHeight="1">
      <c r="D127" s="158" t="b">
        <v>0</v>
      </c>
      <c r="E127" s="153">
        <v>1.52667</v>
      </c>
      <c r="F127" s="151">
        <v>13.99</v>
      </c>
      <c r="G127" s="151">
        <v>3.7</v>
      </c>
      <c r="H127" s="152">
        <v>0.71</v>
      </c>
      <c r="I127" s="152">
        <v>71.569999999999993</v>
      </c>
      <c r="J127" s="152">
        <v>0.02</v>
      </c>
      <c r="K127" s="152">
        <v>9.82</v>
      </c>
      <c r="L127" s="152">
        <v>0</v>
      </c>
      <c r="M127" s="152">
        <v>0.1</v>
      </c>
      <c r="N127" s="152">
        <v>1</v>
      </c>
      <c r="O127" s="160">
        <v>47</v>
      </c>
      <c r="P127" s="160">
        <v>0</v>
      </c>
      <c r="Q127" s="160">
        <v>5.9395965237847439E+18</v>
      </c>
    </row>
    <row r="128" spans="4:17" ht="15" customHeight="1">
      <c r="D128" s="158" t="b">
        <v>0</v>
      </c>
      <c r="E128" s="153">
        <v>1.52223</v>
      </c>
      <c r="F128" s="151">
        <v>13.21</v>
      </c>
      <c r="G128" s="151">
        <v>3.77</v>
      </c>
      <c r="H128" s="152">
        <v>0.79</v>
      </c>
      <c r="I128" s="152">
        <v>71.989999999999995</v>
      </c>
      <c r="J128" s="152">
        <v>0.13</v>
      </c>
      <c r="K128" s="152">
        <v>10.02</v>
      </c>
      <c r="L128" s="152">
        <v>0</v>
      </c>
      <c r="M128" s="152">
        <v>0</v>
      </c>
      <c r="N128" s="152">
        <v>1</v>
      </c>
      <c r="O128" s="160">
        <v>48</v>
      </c>
      <c r="P128" s="160">
        <v>0</v>
      </c>
      <c r="Q128" s="160">
        <v>8.4726438506512333E+18</v>
      </c>
    </row>
    <row r="129" spans="4:17" ht="15" customHeight="1">
      <c r="D129" s="158" t="b">
        <v>0</v>
      </c>
      <c r="E129" s="153">
        <v>1.51898</v>
      </c>
      <c r="F129" s="151">
        <v>13.58</v>
      </c>
      <c r="G129" s="151">
        <v>3.35</v>
      </c>
      <c r="H129" s="152">
        <v>1.23</v>
      </c>
      <c r="I129" s="152">
        <v>72.08</v>
      </c>
      <c r="J129" s="152">
        <v>0.59</v>
      </c>
      <c r="K129" s="152">
        <v>8.91</v>
      </c>
      <c r="L129" s="152">
        <v>0</v>
      </c>
      <c r="M129" s="152">
        <v>0</v>
      </c>
      <c r="N129" s="152">
        <v>1</v>
      </c>
      <c r="O129" s="160">
        <v>49</v>
      </c>
      <c r="P129" s="160">
        <v>0</v>
      </c>
      <c r="Q129" s="160">
        <v>1.0307869458779197E+19</v>
      </c>
    </row>
    <row r="130" spans="4:17" ht="15" customHeight="1">
      <c r="D130" s="158" t="b">
        <v>0</v>
      </c>
      <c r="E130" s="153">
        <v>1.5232000000000001</v>
      </c>
      <c r="F130" s="151">
        <v>13.72</v>
      </c>
      <c r="G130" s="151">
        <v>3.72</v>
      </c>
      <c r="H130" s="152">
        <v>0.51</v>
      </c>
      <c r="I130" s="152">
        <v>71.75</v>
      </c>
      <c r="J130" s="152">
        <v>0.09</v>
      </c>
      <c r="K130" s="152">
        <v>10.06</v>
      </c>
      <c r="L130" s="152">
        <v>0</v>
      </c>
      <c r="M130" s="152">
        <v>0.16</v>
      </c>
      <c r="N130" s="152">
        <v>1</v>
      </c>
      <c r="O130" s="160">
        <v>50</v>
      </c>
      <c r="P130" s="160">
        <v>0</v>
      </c>
      <c r="Q130" s="160">
        <v>1.6079667571670295E+19</v>
      </c>
    </row>
    <row r="131" spans="4:17" ht="15" customHeight="1">
      <c r="D131" s="158" t="b">
        <v>0</v>
      </c>
      <c r="E131" s="153">
        <v>1.5192600000000001</v>
      </c>
      <c r="F131" s="151">
        <v>13.2</v>
      </c>
      <c r="G131" s="151">
        <v>3.33</v>
      </c>
      <c r="H131" s="152">
        <v>1.28</v>
      </c>
      <c r="I131" s="152">
        <v>72.36</v>
      </c>
      <c r="J131" s="152">
        <v>0.6</v>
      </c>
      <c r="K131" s="152">
        <v>9.14</v>
      </c>
      <c r="L131" s="152">
        <v>0</v>
      </c>
      <c r="M131" s="152">
        <v>0.11</v>
      </c>
      <c r="N131" s="152">
        <v>1</v>
      </c>
      <c r="O131" s="160">
        <v>51</v>
      </c>
      <c r="P131" s="160">
        <v>0</v>
      </c>
      <c r="Q131" s="160">
        <v>2.1139894385064044E+18</v>
      </c>
    </row>
    <row r="132" spans="4:17" ht="15" customHeight="1">
      <c r="D132" s="158" t="b">
        <v>0</v>
      </c>
      <c r="E132" s="153">
        <v>1.5180800000000001</v>
      </c>
      <c r="F132" s="151">
        <v>13.43</v>
      </c>
      <c r="G132" s="151">
        <v>2.87</v>
      </c>
      <c r="H132" s="152">
        <v>1.19</v>
      </c>
      <c r="I132" s="152">
        <v>72.84</v>
      </c>
      <c r="J132" s="152">
        <v>0.55000000000000004</v>
      </c>
      <c r="K132" s="152">
        <v>9.0299999999999994</v>
      </c>
      <c r="L132" s="152">
        <v>0</v>
      </c>
      <c r="M132" s="152">
        <v>0</v>
      </c>
      <c r="N132" s="152">
        <v>1</v>
      </c>
      <c r="O132" s="160">
        <v>52</v>
      </c>
      <c r="P132" s="160">
        <v>0</v>
      </c>
      <c r="Q132" s="160">
        <v>7.9998466752197158E+17</v>
      </c>
    </row>
    <row r="133" spans="4:17" ht="15" customHeight="1">
      <c r="D133" s="158" t="b">
        <v>0</v>
      </c>
      <c r="E133" s="153">
        <v>1.51837</v>
      </c>
      <c r="F133" s="151">
        <v>13.14</v>
      </c>
      <c r="G133" s="151">
        <v>2.84</v>
      </c>
      <c r="H133" s="152">
        <v>1.28</v>
      </c>
      <c r="I133" s="152">
        <v>72.849999999999994</v>
      </c>
      <c r="J133" s="152">
        <v>0.55000000000000004</v>
      </c>
      <c r="K133" s="152">
        <v>9.07</v>
      </c>
      <c r="L133" s="152">
        <v>0</v>
      </c>
      <c r="M133" s="152">
        <v>0</v>
      </c>
      <c r="N133" s="152">
        <v>1</v>
      </c>
      <c r="O133" s="160">
        <v>53</v>
      </c>
      <c r="P133" s="160">
        <v>0</v>
      </c>
      <c r="Q133" s="160">
        <v>8.0679734067844198E+18</v>
      </c>
    </row>
    <row r="134" spans="4:17" ht="15" customHeight="1">
      <c r="D134" s="158" t="b">
        <v>0</v>
      </c>
      <c r="E134" s="153">
        <v>1.5177799999999999</v>
      </c>
      <c r="F134" s="151">
        <v>13.21</v>
      </c>
      <c r="G134" s="151">
        <v>2.81</v>
      </c>
      <c r="H134" s="152">
        <v>1.29</v>
      </c>
      <c r="I134" s="152">
        <v>72.98</v>
      </c>
      <c r="J134" s="152">
        <v>0.51</v>
      </c>
      <c r="K134" s="152">
        <v>9.02</v>
      </c>
      <c r="L134" s="152">
        <v>0</v>
      </c>
      <c r="M134" s="152">
        <v>0.09</v>
      </c>
      <c r="N134" s="152">
        <v>1</v>
      </c>
      <c r="O134" s="160">
        <v>54</v>
      </c>
      <c r="P134" s="160">
        <v>0</v>
      </c>
      <c r="Q134" s="160">
        <v>1.5294428502340041E+19</v>
      </c>
    </row>
    <row r="135" spans="4:17" ht="15" customHeight="1">
      <c r="D135" s="158" t="b">
        <v>0</v>
      </c>
      <c r="E135" s="153">
        <v>1.51769</v>
      </c>
      <c r="F135" s="151">
        <v>12.45</v>
      </c>
      <c r="G135" s="151">
        <v>2.71</v>
      </c>
      <c r="H135" s="152">
        <v>1.29</v>
      </c>
      <c r="I135" s="152">
        <v>73.7</v>
      </c>
      <c r="J135" s="152">
        <v>0.56000000000000005</v>
      </c>
      <c r="K135" s="152">
        <v>9.06</v>
      </c>
      <c r="L135" s="152">
        <v>0</v>
      </c>
      <c r="M135" s="152">
        <v>0.24</v>
      </c>
      <c r="N135" s="152">
        <v>1</v>
      </c>
      <c r="O135" s="160">
        <v>55</v>
      </c>
      <c r="P135" s="160">
        <v>0</v>
      </c>
      <c r="Q135" s="160">
        <v>4.7755695369151034E+17</v>
      </c>
    </row>
    <row r="136" spans="4:17" ht="15" customHeight="1">
      <c r="D136" s="158" t="b">
        <v>0</v>
      </c>
      <c r="E136" s="153">
        <v>1.5121500000000001</v>
      </c>
      <c r="F136" s="151">
        <v>12.99</v>
      </c>
      <c r="G136" s="151">
        <v>3.47</v>
      </c>
      <c r="H136" s="152">
        <v>1.1200000000000001</v>
      </c>
      <c r="I136" s="152">
        <v>72.98</v>
      </c>
      <c r="J136" s="152">
        <v>0.62</v>
      </c>
      <c r="K136" s="152">
        <v>8.35</v>
      </c>
      <c r="L136" s="152">
        <v>0</v>
      </c>
      <c r="M136" s="152">
        <v>0.31</v>
      </c>
      <c r="N136" s="152">
        <v>1</v>
      </c>
      <c r="O136" s="160">
        <v>56</v>
      </c>
      <c r="P136" s="160">
        <v>0</v>
      </c>
      <c r="Q136" s="160">
        <v>8.2736441523425341E+18</v>
      </c>
    </row>
    <row r="137" spans="4:17" ht="15" customHeight="1">
      <c r="D137" s="158" t="b">
        <v>0</v>
      </c>
      <c r="E137" s="153">
        <v>1.51824</v>
      </c>
      <c r="F137" s="151">
        <v>12.87</v>
      </c>
      <c r="G137" s="151">
        <v>3.48</v>
      </c>
      <c r="H137" s="152">
        <v>1.29</v>
      </c>
      <c r="I137" s="152">
        <v>72.95</v>
      </c>
      <c r="J137" s="152">
        <v>0.6</v>
      </c>
      <c r="K137" s="152">
        <v>8.43</v>
      </c>
      <c r="L137" s="152">
        <v>0</v>
      </c>
      <c r="M137" s="152">
        <v>0</v>
      </c>
      <c r="N137" s="152">
        <v>1</v>
      </c>
      <c r="O137" s="160">
        <v>57</v>
      </c>
      <c r="P137" s="160">
        <v>0</v>
      </c>
      <c r="Q137" s="160">
        <v>6.9166164519361669E+18</v>
      </c>
    </row>
    <row r="138" spans="4:17" ht="15" customHeight="1">
      <c r="D138" s="158" t="b">
        <v>0</v>
      </c>
      <c r="E138" s="153">
        <v>1.5175399999999999</v>
      </c>
      <c r="F138" s="151">
        <v>13.48</v>
      </c>
      <c r="G138" s="151">
        <v>3.74</v>
      </c>
      <c r="H138" s="152">
        <v>1.17</v>
      </c>
      <c r="I138" s="152">
        <v>72.989999999999995</v>
      </c>
      <c r="J138" s="152">
        <v>0.59</v>
      </c>
      <c r="K138" s="152">
        <v>8.0299999999999994</v>
      </c>
      <c r="L138" s="152">
        <v>0</v>
      </c>
      <c r="M138" s="152">
        <v>0</v>
      </c>
      <c r="N138" s="152">
        <v>1</v>
      </c>
      <c r="O138" s="160">
        <v>58</v>
      </c>
      <c r="P138" s="160">
        <v>0</v>
      </c>
      <c r="Q138" s="160">
        <v>1.8146952881356997E+19</v>
      </c>
    </row>
    <row r="139" spans="4:17" ht="15" customHeight="1">
      <c r="D139" s="158" t="b">
        <v>0</v>
      </c>
      <c r="E139" s="153">
        <v>1.5175399999999999</v>
      </c>
      <c r="F139" s="151">
        <v>13.39</v>
      </c>
      <c r="G139" s="151">
        <v>3.66</v>
      </c>
      <c r="H139" s="152">
        <v>1.19</v>
      </c>
      <c r="I139" s="152">
        <v>72.790000000000006</v>
      </c>
      <c r="J139" s="152">
        <v>0.56999999999999995</v>
      </c>
      <c r="K139" s="152">
        <v>8.27</v>
      </c>
      <c r="L139" s="152">
        <v>0</v>
      </c>
      <c r="M139" s="152">
        <v>0.11</v>
      </c>
      <c r="N139" s="152">
        <v>1</v>
      </c>
      <c r="O139" s="160">
        <v>59</v>
      </c>
      <c r="P139" s="160">
        <v>0</v>
      </c>
      <c r="Q139" s="160">
        <v>1.7355046655640304E+19</v>
      </c>
    </row>
    <row r="140" spans="4:17" ht="15" customHeight="1">
      <c r="D140" s="158" t="b">
        <v>0</v>
      </c>
      <c r="E140" s="153">
        <v>1.51905</v>
      </c>
      <c r="F140" s="151">
        <v>13.6</v>
      </c>
      <c r="G140" s="151">
        <v>3.62</v>
      </c>
      <c r="H140" s="152">
        <v>1.1100000000000001</v>
      </c>
      <c r="I140" s="152">
        <v>72.64</v>
      </c>
      <c r="J140" s="152">
        <v>0.14000000000000001</v>
      </c>
      <c r="K140" s="152">
        <v>8.76</v>
      </c>
      <c r="L140" s="152">
        <v>0</v>
      </c>
      <c r="M140" s="152">
        <v>0</v>
      </c>
      <c r="N140" s="152">
        <v>1</v>
      </c>
      <c r="O140" s="160">
        <v>60</v>
      </c>
      <c r="P140" s="160">
        <v>0</v>
      </c>
      <c r="Q140" s="160">
        <v>1.1153410217703352E+19</v>
      </c>
    </row>
    <row r="141" spans="4:17" ht="15" customHeight="1">
      <c r="D141" s="158" t="b">
        <v>0</v>
      </c>
      <c r="E141" s="153">
        <v>1.5197700000000001</v>
      </c>
      <c r="F141" s="151">
        <v>13.81</v>
      </c>
      <c r="G141" s="151">
        <v>3.58</v>
      </c>
      <c r="H141" s="152">
        <v>1.32</v>
      </c>
      <c r="I141" s="152">
        <v>71.72</v>
      </c>
      <c r="J141" s="152">
        <v>0.12</v>
      </c>
      <c r="K141" s="152">
        <v>8.67</v>
      </c>
      <c r="L141" s="152">
        <v>0.69</v>
      </c>
      <c r="M141" s="152">
        <v>0</v>
      </c>
      <c r="N141" s="152">
        <v>1</v>
      </c>
      <c r="O141" s="160">
        <v>61</v>
      </c>
      <c r="P141" s="160">
        <v>0</v>
      </c>
      <c r="Q141" s="160">
        <v>3.8530557440866573E+17</v>
      </c>
    </row>
    <row r="142" spans="4:17" ht="15" customHeight="1">
      <c r="D142" s="158" t="b">
        <v>0</v>
      </c>
      <c r="E142" s="153">
        <v>1.52172</v>
      </c>
      <c r="F142" s="151">
        <v>13.51</v>
      </c>
      <c r="G142" s="151">
        <v>3.86</v>
      </c>
      <c r="H142" s="152">
        <v>0.88</v>
      </c>
      <c r="I142" s="152">
        <v>71.790000000000006</v>
      </c>
      <c r="J142" s="152">
        <v>0.23</v>
      </c>
      <c r="K142" s="152">
        <v>9.5399999999999991</v>
      </c>
      <c r="L142" s="152">
        <v>0</v>
      </c>
      <c r="M142" s="152">
        <v>0.11</v>
      </c>
      <c r="N142" s="152">
        <v>1</v>
      </c>
      <c r="O142" s="160">
        <v>62</v>
      </c>
      <c r="P142" s="160">
        <v>0</v>
      </c>
      <c r="Q142" s="160">
        <v>1.0734698147621154E+17</v>
      </c>
    </row>
    <row r="143" spans="4:17" ht="15" customHeight="1">
      <c r="D143" s="158" t="b">
        <v>0</v>
      </c>
      <c r="E143" s="153">
        <v>1.52227</v>
      </c>
      <c r="F143" s="151">
        <v>14.17</v>
      </c>
      <c r="G143" s="151">
        <v>3.81</v>
      </c>
      <c r="H143" s="152">
        <v>0.78</v>
      </c>
      <c r="I143" s="152">
        <v>71.349999999999994</v>
      </c>
      <c r="J143" s="152">
        <v>0</v>
      </c>
      <c r="K143" s="152">
        <v>9.69</v>
      </c>
      <c r="L143" s="152">
        <v>0</v>
      </c>
      <c r="M143" s="152">
        <v>0</v>
      </c>
      <c r="N143" s="152">
        <v>1</v>
      </c>
      <c r="O143" s="160">
        <v>63</v>
      </c>
      <c r="P143" s="160">
        <v>0</v>
      </c>
      <c r="Q143" s="160">
        <v>3.5068302468992532E+18</v>
      </c>
    </row>
    <row r="144" spans="4:17" ht="15" customHeight="1">
      <c r="D144" s="158" t="b">
        <v>0</v>
      </c>
      <c r="E144" s="153">
        <v>1.52172</v>
      </c>
      <c r="F144" s="151">
        <v>13.48</v>
      </c>
      <c r="G144" s="151">
        <v>3.74</v>
      </c>
      <c r="H144" s="152">
        <v>0.9</v>
      </c>
      <c r="I144" s="152">
        <v>72.010000000000005</v>
      </c>
      <c r="J144" s="152">
        <v>0.18</v>
      </c>
      <c r="K144" s="152">
        <v>9.61</v>
      </c>
      <c r="L144" s="152">
        <v>0</v>
      </c>
      <c r="M144" s="152">
        <v>7.0000000000000007E-2</v>
      </c>
      <c r="N144" s="152">
        <v>1</v>
      </c>
      <c r="O144" s="160">
        <v>64</v>
      </c>
      <c r="P144" s="160">
        <v>0</v>
      </c>
      <c r="Q144" s="160">
        <v>6.4117239283645164E+18</v>
      </c>
    </row>
    <row r="145" spans="4:17" ht="15" customHeight="1">
      <c r="D145" s="158" t="b">
        <v>0</v>
      </c>
      <c r="E145" s="153">
        <v>1.5209900000000001</v>
      </c>
      <c r="F145" s="151">
        <v>13.69</v>
      </c>
      <c r="G145" s="151">
        <v>3.59</v>
      </c>
      <c r="H145" s="152">
        <v>1.1200000000000001</v>
      </c>
      <c r="I145" s="152">
        <v>71.959999999999994</v>
      </c>
      <c r="J145" s="152">
        <v>0.09</v>
      </c>
      <c r="K145" s="152">
        <v>9.4</v>
      </c>
      <c r="L145" s="152">
        <v>0</v>
      </c>
      <c r="M145" s="152">
        <v>0</v>
      </c>
      <c r="N145" s="152">
        <v>1</v>
      </c>
      <c r="O145" s="160">
        <v>65</v>
      </c>
      <c r="P145" s="160">
        <v>0</v>
      </c>
      <c r="Q145" s="160">
        <v>1.1270447503180661E+19</v>
      </c>
    </row>
    <row r="146" spans="4:17" ht="15" customHeight="1">
      <c r="D146" s="158" t="b">
        <v>0</v>
      </c>
      <c r="E146" s="153">
        <v>1.52152</v>
      </c>
      <c r="F146" s="151">
        <v>13.05</v>
      </c>
      <c r="G146" s="151">
        <v>3.65</v>
      </c>
      <c r="H146" s="152">
        <v>0.87</v>
      </c>
      <c r="I146" s="152">
        <v>72.22</v>
      </c>
      <c r="J146" s="152">
        <v>0.19</v>
      </c>
      <c r="K146" s="152">
        <v>9.85</v>
      </c>
      <c r="L146" s="152">
        <v>0</v>
      </c>
      <c r="M146" s="152">
        <v>0.17</v>
      </c>
      <c r="N146" s="152">
        <v>1</v>
      </c>
      <c r="O146" s="160">
        <v>66</v>
      </c>
      <c r="P146" s="160">
        <v>0</v>
      </c>
      <c r="Q146" s="160">
        <v>7.2605215081065595E+18</v>
      </c>
    </row>
    <row r="147" spans="4:17" ht="15" customHeight="1">
      <c r="D147" s="158" t="b">
        <v>0</v>
      </c>
      <c r="E147" s="153">
        <v>1.52152</v>
      </c>
      <c r="F147" s="151">
        <v>13.05</v>
      </c>
      <c r="G147" s="151">
        <v>3.65</v>
      </c>
      <c r="H147" s="152">
        <v>0.87</v>
      </c>
      <c r="I147" s="152">
        <v>72.319999999999993</v>
      </c>
      <c r="J147" s="152">
        <v>0.19</v>
      </c>
      <c r="K147" s="152">
        <v>9.85</v>
      </c>
      <c r="L147" s="152">
        <v>0</v>
      </c>
      <c r="M147" s="152">
        <v>0.17</v>
      </c>
      <c r="N147" s="152">
        <v>1</v>
      </c>
      <c r="O147" s="160">
        <v>67</v>
      </c>
      <c r="P147" s="160">
        <v>0</v>
      </c>
      <c r="Q147" s="160">
        <v>1.4862850280404163E+19</v>
      </c>
    </row>
    <row r="148" spans="4:17" ht="15" customHeight="1">
      <c r="D148" s="158" t="b">
        <v>0</v>
      </c>
      <c r="E148" s="153">
        <v>1.52152</v>
      </c>
      <c r="F148" s="151">
        <v>13.12</v>
      </c>
      <c r="G148" s="151">
        <v>3.58</v>
      </c>
      <c r="H148" s="152">
        <v>0.9</v>
      </c>
      <c r="I148" s="152">
        <v>72.2</v>
      </c>
      <c r="J148" s="152">
        <v>0.23</v>
      </c>
      <c r="K148" s="152">
        <v>9.82</v>
      </c>
      <c r="L148" s="152">
        <v>0</v>
      </c>
      <c r="M148" s="152">
        <v>0.16</v>
      </c>
      <c r="N148" s="152">
        <v>1</v>
      </c>
      <c r="O148" s="160">
        <v>68</v>
      </c>
      <c r="P148" s="160">
        <v>0</v>
      </c>
      <c r="Q148" s="160">
        <v>1.2647272228351508E+19</v>
      </c>
    </row>
    <row r="149" spans="4:17" ht="15" customHeight="1">
      <c r="D149" s="158" t="b">
        <v>0</v>
      </c>
      <c r="E149" s="153">
        <v>1.5229999999999999</v>
      </c>
      <c r="F149" s="151">
        <v>13.31</v>
      </c>
      <c r="G149" s="151">
        <v>3.58</v>
      </c>
      <c r="H149" s="152">
        <v>0.82</v>
      </c>
      <c r="I149" s="152">
        <v>71.989999999999995</v>
      </c>
      <c r="J149" s="152">
        <v>0.12</v>
      </c>
      <c r="K149" s="152">
        <v>10.17</v>
      </c>
      <c r="L149" s="152">
        <v>0</v>
      </c>
      <c r="M149" s="152">
        <v>0.03</v>
      </c>
      <c r="N149" s="152">
        <v>1</v>
      </c>
      <c r="O149" s="160">
        <v>69</v>
      </c>
      <c r="P149" s="160">
        <v>0</v>
      </c>
      <c r="Q149" s="160">
        <v>1.7615794823609125E+19</v>
      </c>
    </row>
    <row r="150" spans="4:17" ht="15" customHeight="1">
      <c r="D150" s="158" t="b">
        <v>0</v>
      </c>
      <c r="E150" s="153">
        <v>1.5157400000000001</v>
      </c>
      <c r="F150" s="151">
        <v>14.86</v>
      </c>
      <c r="G150" s="151">
        <v>3.67</v>
      </c>
      <c r="H150" s="152">
        <v>1.74</v>
      </c>
      <c r="I150" s="152">
        <v>71.87</v>
      </c>
      <c r="J150" s="152">
        <v>0.16</v>
      </c>
      <c r="K150" s="152">
        <v>7.36</v>
      </c>
      <c r="L150" s="152">
        <v>0</v>
      </c>
      <c r="M150" s="152">
        <v>0.12</v>
      </c>
      <c r="N150" s="152">
        <v>2</v>
      </c>
      <c r="O150" s="160">
        <v>70</v>
      </c>
      <c r="P150" s="160">
        <v>0</v>
      </c>
      <c r="Q150" s="160">
        <v>1.1410450549984692E+19</v>
      </c>
    </row>
    <row r="151" spans="4:17" ht="15" customHeight="1">
      <c r="D151" s="158" t="b">
        <v>0</v>
      </c>
      <c r="E151" s="153">
        <v>1.5184800000000001</v>
      </c>
      <c r="F151" s="151">
        <v>13.64</v>
      </c>
      <c r="G151" s="151">
        <v>3.87</v>
      </c>
      <c r="H151" s="152">
        <v>1.27</v>
      </c>
      <c r="I151" s="152">
        <v>71.959999999999994</v>
      </c>
      <c r="J151" s="152">
        <v>0.54</v>
      </c>
      <c r="K151" s="152">
        <v>8.32</v>
      </c>
      <c r="L151" s="152">
        <v>0</v>
      </c>
      <c r="M151" s="152">
        <v>0.32</v>
      </c>
      <c r="N151" s="152">
        <v>2</v>
      </c>
      <c r="O151" s="160">
        <v>71</v>
      </c>
      <c r="P151" s="160">
        <v>0</v>
      </c>
      <c r="Q151" s="160">
        <v>1.2465710035087849E+19</v>
      </c>
    </row>
    <row r="152" spans="4:17" ht="15" customHeight="1">
      <c r="D152" s="158" t="b">
        <v>0</v>
      </c>
      <c r="E152" s="153">
        <v>1.51593</v>
      </c>
      <c r="F152" s="151">
        <v>13.09</v>
      </c>
      <c r="G152" s="151">
        <v>3.59</v>
      </c>
      <c r="H152" s="152">
        <v>1.52</v>
      </c>
      <c r="I152" s="152">
        <v>73.099999999999994</v>
      </c>
      <c r="J152" s="152">
        <v>0.67</v>
      </c>
      <c r="K152" s="152">
        <v>7.83</v>
      </c>
      <c r="L152" s="152">
        <v>0</v>
      </c>
      <c r="M152" s="152">
        <v>0</v>
      </c>
      <c r="N152" s="152">
        <v>2</v>
      </c>
      <c r="O152" s="160">
        <v>72</v>
      </c>
      <c r="P152" s="160">
        <v>0</v>
      </c>
      <c r="Q152" s="160">
        <v>1.6158565548632486E+19</v>
      </c>
    </row>
    <row r="153" spans="4:17" ht="15" customHeight="1">
      <c r="D153" s="158" t="b">
        <v>0</v>
      </c>
      <c r="E153" s="153">
        <v>1.51631</v>
      </c>
      <c r="F153" s="151">
        <v>13.34</v>
      </c>
      <c r="G153" s="151">
        <v>3.57</v>
      </c>
      <c r="H153" s="152">
        <v>1.57</v>
      </c>
      <c r="I153" s="152">
        <v>72.87</v>
      </c>
      <c r="J153" s="152">
        <v>0.61</v>
      </c>
      <c r="K153" s="152">
        <v>7.89</v>
      </c>
      <c r="L153" s="152">
        <v>0</v>
      </c>
      <c r="M153" s="152">
        <v>0</v>
      </c>
      <c r="N153" s="152">
        <v>2</v>
      </c>
      <c r="O153" s="160">
        <v>73</v>
      </c>
      <c r="P153" s="160">
        <v>0</v>
      </c>
      <c r="Q153" s="160">
        <v>1.6262607711811527E+19</v>
      </c>
    </row>
    <row r="154" spans="4:17" ht="15" customHeight="1">
      <c r="D154" s="158" t="b">
        <v>0</v>
      </c>
      <c r="E154" s="153">
        <v>1.51596</v>
      </c>
      <c r="F154" s="151">
        <v>13.02</v>
      </c>
      <c r="G154" s="151">
        <v>3.56</v>
      </c>
      <c r="H154" s="152">
        <v>1.54</v>
      </c>
      <c r="I154" s="152">
        <v>73.11</v>
      </c>
      <c r="J154" s="152">
        <v>0.72</v>
      </c>
      <c r="K154" s="152">
        <v>7.9</v>
      </c>
      <c r="L154" s="152">
        <v>0</v>
      </c>
      <c r="M154" s="152">
        <v>0</v>
      </c>
      <c r="N154" s="152">
        <v>2</v>
      </c>
      <c r="O154" s="160">
        <v>74</v>
      </c>
      <c r="P154" s="160">
        <v>0</v>
      </c>
      <c r="Q154" s="160">
        <v>1.3931059571021316E+19</v>
      </c>
    </row>
    <row r="155" spans="4:17" ht="15" customHeight="1">
      <c r="D155" s="158" t="b">
        <v>0</v>
      </c>
      <c r="E155" s="153">
        <v>1.5159</v>
      </c>
      <c r="F155" s="151">
        <v>13.02</v>
      </c>
      <c r="G155" s="151">
        <v>3.58</v>
      </c>
      <c r="H155" s="152">
        <v>1.51</v>
      </c>
      <c r="I155" s="152">
        <v>73.12</v>
      </c>
      <c r="J155" s="152">
        <v>0.69</v>
      </c>
      <c r="K155" s="152">
        <v>7.96</v>
      </c>
      <c r="L155" s="152">
        <v>0</v>
      </c>
      <c r="M155" s="152">
        <v>0</v>
      </c>
      <c r="N155" s="152">
        <v>2</v>
      </c>
      <c r="O155" s="160">
        <v>75</v>
      </c>
      <c r="P155" s="160">
        <v>0</v>
      </c>
      <c r="Q155" s="160">
        <v>1.5514887740452063E+19</v>
      </c>
    </row>
    <row r="156" spans="4:17" ht="15" customHeight="1">
      <c r="D156" s="158" t="b">
        <v>0</v>
      </c>
      <c r="E156" s="153">
        <v>1.5164500000000001</v>
      </c>
      <c r="F156" s="151">
        <v>13.44</v>
      </c>
      <c r="G156" s="151">
        <v>3.61</v>
      </c>
      <c r="H156" s="152">
        <v>1.54</v>
      </c>
      <c r="I156" s="152">
        <v>72.39</v>
      </c>
      <c r="J156" s="152">
        <v>0.66</v>
      </c>
      <c r="K156" s="152">
        <v>8.0299999999999994</v>
      </c>
      <c r="L156" s="152">
        <v>0</v>
      </c>
      <c r="M156" s="152">
        <v>0</v>
      </c>
      <c r="N156" s="152">
        <v>2</v>
      </c>
      <c r="O156" s="160">
        <v>76</v>
      </c>
      <c r="P156" s="160">
        <v>0</v>
      </c>
      <c r="Q156" s="160">
        <v>1.8444135329337856E+19</v>
      </c>
    </row>
    <row r="157" spans="4:17" ht="15" customHeight="1">
      <c r="D157" s="158" t="b">
        <v>0</v>
      </c>
      <c r="E157" s="153">
        <v>1.51627</v>
      </c>
      <c r="F157" s="151">
        <v>13</v>
      </c>
      <c r="G157" s="151">
        <v>3.58</v>
      </c>
      <c r="H157" s="152">
        <v>1.54</v>
      </c>
      <c r="I157" s="152">
        <v>72.83</v>
      </c>
      <c r="J157" s="152">
        <v>0.61</v>
      </c>
      <c r="K157" s="152">
        <v>8.0399999999999991</v>
      </c>
      <c r="L157" s="152">
        <v>0</v>
      </c>
      <c r="M157" s="152">
        <v>0</v>
      </c>
      <c r="N157" s="152">
        <v>2</v>
      </c>
      <c r="O157" s="160">
        <v>77</v>
      </c>
      <c r="P157" s="160">
        <v>0</v>
      </c>
      <c r="Q157" s="160">
        <v>8.3441708235998761E+18</v>
      </c>
    </row>
    <row r="158" spans="4:17" ht="15" customHeight="1">
      <c r="D158" s="158" t="b">
        <v>0</v>
      </c>
      <c r="E158" s="153">
        <v>1.51613</v>
      </c>
      <c r="F158" s="151">
        <v>13.92</v>
      </c>
      <c r="G158" s="151">
        <v>3.52</v>
      </c>
      <c r="H158" s="152">
        <v>1.25</v>
      </c>
      <c r="I158" s="152">
        <v>72.88</v>
      </c>
      <c r="J158" s="152">
        <v>0.37</v>
      </c>
      <c r="K158" s="152">
        <v>7.94</v>
      </c>
      <c r="L158" s="152">
        <v>0</v>
      </c>
      <c r="M158" s="152">
        <v>0.14000000000000001</v>
      </c>
      <c r="N158" s="152">
        <v>2</v>
      </c>
      <c r="O158" s="160">
        <v>78</v>
      </c>
      <c r="P158" s="160">
        <v>0</v>
      </c>
      <c r="Q158" s="160">
        <v>7.1149775745601669E+18</v>
      </c>
    </row>
    <row r="159" spans="4:17" ht="15" customHeight="1">
      <c r="D159" s="158" t="b">
        <v>0</v>
      </c>
      <c r="E159" s="153">
        <v>1.5159</v>
      </c>
      <c r="F159" s="151">
        <v>12.82</v>
      </c>
      <c r="G159" s="151">
        <v>3.52</v>
      </c>
      <c r="H159" s="152">
        <v>1.9</v>
      </c>
      <c r="I159" s="152">
        <v>72.86</v>
      </c>
      <c r="J159" s="152">
        <v>0.69</v>
      </c>
      <c r="K159" s="152">
        <v>7.97</v>
      </c>
      <c r="L159" s="152">
        <v>0</v>
      </c>
      <c r="M159" s="152">
        <v>0</v>
      </c>
      <c r="N159" s="152">
        <v>2</v>
      </c>
      <c r="O159" s="160">
        <v>79</v>
      </c>
      <c r="P159" s="160">
        <v>0</v>
      </c>
      <c r="Q159" s="160">
        <v>1.5597970781871991E+19</v>
      </c>
    </row>
    <row r="160" spans="4:17" ht="15" customHeight="1">
      <c r="D160" s="158" t="b">
        <v>0</v>
      </c>
      <c r="E160" s="153">
        <v>1.5159199999999999</v>
      </c>
      <c r="F160" s="151">
        <v>12.86</v>
      </c>
      <c r="G160" s="151">
        <v>3.52</v>
      </c>
      <c r="H160" s="152">
        <v>2.12</v>
      </c>
      <c r="I160" s="152">
        <v>72.66</v>
      </c>
      <c r="J160" s="152">
        <v>0.69</v>
      </c>
      <c r="K160" s="152">
        <v>7.97</v>
      </c>
      <c r="L160" s="152">
        <v>0</v>
      </c>
      <c r="M160" s="152">
        <v>0</v>
      </c>
      <c r="N160" s="152">
        <v>2</v>
      </c>
      <c r="O160" s="160">
        <v>80</v>
      </c>
      <c r="P160" s="160">
        <v>0</v>
      </c>
      <c r="Q160" s="160">
        <v>2.2922766822501604E+18</v>
      </c>
    </row>
    <row r="161" spans="4:17" ht="15" customHeight="1">
      <c r="D161" s="158" t="b">
        <v>0</v>
      </c>
      <c r="E161" s="153">
        <v>1.51593</v>
      </c>
      <c r="F161" s="151">
        <v>13.25</v>
      </c>
      <c r="G161" s="151">
        <v>3.45</v>
      </c>
      <c r="H161" s="152">
        <v>1.43</v>
      </c>
      <c r="I161" s="152">
        <v>73.17</v>
      </c>
      <c r="J161" s="152">
        <v>0.61</v>
      </c>
      <c r="K161" s="152">
        <v>7.86</v>
      </c>
      <c r="L161" s="152">
        <v>0</v>
      </c>
      <c r="M161" s="152">
        <v>0</v>
      </c>
      <c r="N161" s="152">
        <v>2</v>
      </c>
      <c r="O161" s="160">
        <v>81</v>
      </c>
      <c r="P161" s="160">
        <v>0</v>
      </c>
      <c r="Q161" s="160">
        <v>1.34527758960442E+19</v>
      </c>
    </row>
    <row r="162" spans="4:17" ht="15" customHeight="1">
      <c r="D162" s="158" t="b">
        <v>0</v>
      </c>
      <c r="E162" s="153">
        <v>1.5164599999999999</v>
      </c>
      <c r="F162" s="151">
        <v>13.41</v>
      </c>
      <c r="G162" s="151">
        <v>3.55</v>
      </c>
      <c r="H162" s="152">
        <v>1.25</v>
      </c>
      <c r="I162" s="152">
        <v>72.81</v>
      </c>
      <c r="J162" s="152">
        <v>0.68</v>
      </c>
      <c r="K162" s="152">
        <v>8.1</v>
      </c>
      <c r="L162" s="152">
        <v>0</v>
      </c>
      <c r="M162" s="152">
        <v>0</v>
      </c>
      <c r="N162" s="152">
        <v>2</v>
      </c>
      <c r="O162" s="160">
        <v>82</v>
      </c>
      <c r="P162" s="160">
        <v>0</v>
      </c>
      <c r="Q162" s="160">
        <v>1.5696663732969404E+19</v>
      </c>
    </row>
    <row r="163" spans="4:17" ht="15" customHeight="1">
      <c r="D163" s="158" t="b">
        <v>0</v>
      </c>
      <c r="E163" s="153">
        <v>1.5159400000000001</v>
      </c>
      <c r="F163" s="151">
        <v>13.09</v>
      </c>
      <c r="G163" s="151">
        <v>3.52</v>
      </c>
      <c r="H163" s="152">
        <v>1.55</v>
      </c>
      <c r="I163" s="152">
        <v>72.87</v>
      </c>
      <c r="J163" s="152">
        <v>0.68</v>
      </c>
      <c r="K163" s="152">
        <v>8.0500000000000007</v>
      </c>
      <c r="L163" s="152">
        <v>0</v>
      </c>
      <c r="M163" s="152">
        <v>0.09</v>
      </c>
      <c r="N163" s="152">
        <v>2</v>
      </c>
      <c r="O163" s="160">
        <v>83</v>
      </c>
      <c r="P163" s="160">
        <v>0</v>
      </c>
      <c r="Q163" s="160">
        <v>1.1065037881588228E+19</v>
      </c>
    </row>
    <row r="164" spans="4:17" ht="15" customHeight="1">
      <c r="D164" s="158" t="b">
        <v>0</v>
      </c>
      <c r="E164" s="153">
        <v>1.5140899999999999</v>
      </c>
      <c r="F164" s="151">
        <v>14.25</v>
      </c>
      <c r="G164" s="151">
        <v>3.09</v>
      </c>
      <c r="H164" s="152">
        <v>2.08</v>
      </c>
      <c r="I164" s="152">
        <v>72.28</v>
      </c>
      <c r="J164" s="152">
        <v>1.1000000000000001</v>
      </c>
      <c r="K164" s="152">
        <v>7.08</v>
      </c>
      <c r="L164" s="152">
        <v>0</v>
      </c>
      <c r="M164" s="152">
        <v>0</v>
      </c>
      <c r="N164" s="152">
        <v>2</v>
      </c>
      <c r="O164" s="160">
        <v>84</v>
      </c>
      <c r="P164" s="160">
        <v>0</v>
      </c>
      <c r="Q164" s="160">
        <v>8.7710226927621427E+18</v>
      </c>
    </row>
    <row r="165" spans="4:17" ht="15" customHeight="1">
      <c r="D165" s="158" t="b">
        <v>0</v>
      </c>
      <c r="E165" s="153">
        <v>1.5162500000000001</v>
      </c>
      <c r="F165" s="151">
        <v>13.36</v>
      </c>
      <c r="G165" s="151">
        <v>3.58</v>
      </c>
      <c r="H165" s="152">
        <v>1.49</v>
      </c>
      <c r="I165" s="152">
        <v>72.72</v>
      </c>
      <c r="J165" s="152">
        <v>0.45</v>
      </c>
      <c r="K165" s="152">
        <v>8.2100000000000009</v>
      </c>
      <c r="L165" s="152">
        <v>0</v>
      </c>
      <c r="M165" s="152">
        <v>0</v>
      </c>
      <c r="N165" s="152">
        <v>2</v>
      </c>
      <c r="O165" s="160">
        <v>85</v>
      </c>
      <c r="P165" s="160">
        <v>0</v>
      </c>
      <c r="Q165" s="160">
        <v>5.9883302413961482E+18</v>
      </c>
    </row>
    <row r="166" spans="4:17" ht="15" customHeight="1">
      <c r="D166" s="158" t="b">
        <v>0</v>
      </c>
      <c r="E166" s="153">
        <v>1.51569</v>
      </c>
      <c r="F166" s="151">
        <v>13.24</v>
      </c>
      <c r="G166" s="151">
        <v>3.49</v>
      </c>
      <c r="H166" s="152">
        <v>1.47</v>
      </c>
      <c r="I166" s="152">
        <v>73.25</v>
      </c>
      <c r="J166" s="152">
        <v>0.38</v>
      </c>
      <c r="K166" s="152">
        <v>8.0299999999999994</v>
      </c>
      <c r="L166" s="152">
        <v>0</v>
      </c>
      <c r="M166" s="152">
        <v>0</v>
      </c>
      <c r="N166" s="152">
        <v>2</v>
      </c>
      <c r="O166" s="160">
        <v>86</v>
      </c>
      <c r="P166" s="160">
        <v>0</v>
      </c>
      <c r="Q166" s="160">
        <v>1.9961449318753098E+18</v>
      </c>
    </row>
    <row r="167" spans="4:17" ht="15" customHeight="1">
      <c r="D167" s="158" t="b">
        <v>0</v>
      </c>
      <c r="E167" s="153">
        <v>1.5164500000000001</v>
      </c>
      <c r="F167" s="151">
        <v>13.4</v>
      </c>
      <c r="G167" s="151">
        <v>3.49</v>
      </c>
      <c r="H167" s="152">
        <v>1.52</v>
      </c>
      <c r="I167" s="152">
        <v>72.650000000000006</v>
      </c>
      <c r="J167" s="152">
        <v>0.67</v>
      </c>
      <c r="K167" s="152">
        <v>8.08</v>
      </c>
      <c r="L167" s="152">
        <v>0</v>
      </c>
      <c r="M167" s="152">
        <v>0.1</v>
      </c>
      <c r="N167" s="152">
        <v>2</v>
      </c>
      <c r="O167" s="160">
        <v>87</v>
      </c>
      <c r="P167" s="160">
        <v>0</v>
      </c>
      <c r="Q167" s="160">
        <v>6.2138686314207304E+18</v>
      </c>
    </row>
    <row r="168" spans="4:17" ht="15" customHeight="1">
      <c r="D168" s="158" t="b">
        <v>0</v>
      </c>
      <c r="E168" s="153">
        <v>1.5161800000000001</v>
      </c>
      <c r="F168" s="151">
        <v>13.01</v>
      </c>
      <c r="G168" s="151">
        <v>3.5</v>
      </c>
      <c r="H168" s="152">
        <v>1.48</v>
      </c>
      <c r="I168" s="152">
        <v>72.89</v>
      </c>
      <c r="J168" s="152">
        <v>0.6</v>
      </c>
      <c r="K168" s="152">
        <v>8.1199999999999992</v>
      </c>
      <c r="L168" s="152">
        <v>0</v>
      </c>
      <c r="M168" s="152">
        <v>0</v>
      </c>
      <c r="N168" s="152">
        <v>2</v>
      </c>
      <c r="O168" s="160">
        <v>88</v>
      </c>
      <c r="P168" s="160">
        <v>0</v>
      </c>
      <c r="Q168" s="160">
        <v>1.5569722699281302E+19</v>
      </c>
    </row>
    <row r="169" spans="4:17" ht="15" customHeight="1">
      <c r="D169" s="158" t="b">
        <v>0</v>
      </c>
      <c r="E169" s="153">
        <v>1.5164</v>
      </c>
      <c r="F169" s="151">
        <v>12.55</v>
      </c>
      <c r="G169" s="151">
        <v>3.48</v>
      </c>
      <c r="H169" s="152">
        <v>1.87</v>
      </c>
      <c r="I169" s="152">
        <v>73.23</v>
      </c>
      <c r="J169" s="152">
        <v>0.63</v>
      </c>
      <c r="K169" s="152">
        <v>8.08</v>
      </c>
      <c r="L169" s="152">
        <v>0</v>
      </c>
      <c r="M169" s="152">
        <v>0.09</v>
      </c>
      <c r="N169" s="152">
        <v>2</v>
      </c>
      <c r="O169" s="160">
        <v>89</v>
      </c>
      <c r="P169" s="160">
        <v>0</v>
      </c>
      <c r="Q169" s="160">
        <v>1.3939193364913545E+19</v>
      </c>
    </row>
    <row r="170" spans="4:17" ht="15" customHeight="1">
      <c r="D170" s="158" t="b">
        <v>0</v>
      </c>
      <c r="E170" s="153">
        <v>1.51841</v>
      </c>
      <c r="F170" s="151">
        <v>12.93</v>
      </c>
      <c r="G170" s="151">
        <v>3.74</v>
      </c>
      <c r="H170" s="152">
        <v>1.1100000000000001</v>
      </c>
      <c r="I170" s="152">
        <v>72.28</v>
      </c>
      <c r="J170" s="152">
        <v>0.64</v>
      </c>
      <c r="K170" s="152">
        <v>8.9600000000000009</v>
      </c>
      <c r="L170" s="152">
        <v>0</v>
      </c>
      <c r="M170" s="152">
        <v>0.22</v>
      </c>
      <c r="N170" s="152">
        <v>2</v>
      </c>
      <c r="O170" s="160">
        <v>90</v>
      </c>
      <c r="P170" s="160">
        <v>0</v>
      </c>
      <c r="Q170" s="160">
        <v>1.4804780648740696E+19</v>
      </c>
    </row>
    <row r="171" spans="4:17" ht="15" customHeight="1">
      <c r="D171" s="158" t="b">
        <v>0</v>
      </c>
      <c r="E171" s="153">
        <v>1.5160499999999999</v>
      </c>
      <c r="F171" s="151">
        <v>12.9</v>
      </c>
      <c r="G171" s="151">
        <v>3.44</v>
      </c>
      <c r="H171" s="152">
        <v>1.45</v>
      </c>
      <c r="I171" s="152">
        <v>73.06</v>
      </c>
      <c r="J171" s="152">
        <v>0.44</v>
      </c>
      <c r="K171" s="152">
        <v>8.27</v>
      </c>
      <c r="L171" s="152">
        <v>0</v>
      </c>
      <c r="M171" s="152">
        <v>0</v>
      </c>
      <c r="N171" s="152">
        <v>2</v>
      </c>
      <c r="O171" s="160">
        <v>91</v>
      </c>
      <c r="P171" s="160">
        <v>0</v>
      </c>
      <c r="Q171" s="160">
        <v>1.5972345824075432E+19</v>
      </c>
    </row>
    <row r="172" spans="4:17" ht="15" customHeight="1">
      <c r="D172" s="158" t="b">
        <v>0</v>
      </c>
      <c r="E172" s="153">
        <v>1.5158799999999999</v>
      </c>
      <c r="F172" s="151">
        <v>13.12</v>
      </c>
      <c r="G172" s="151">
        <v>3.41</v>
      </c>
      <c r="H172" s="152">
        <v>1.58</v>
      </c>
      <c r="I172" s="152">
        <v>73.260000000000005</v>
      </c>
      <c r="J172" s="152">
        <v>7.0000000000000007E-2</v>
      </c>
      <c r="K172" s="152">
        <v>8.39</v>
      </c>
      <c r="L172" s="152">
        <v>0</v>
      </c>
      <c r="M172" s="152">
        <v>0.19</v>
      </c>
      <c r="N172" s="152">
        <v>2</v>
      </c>
      <c r="O172" s="160">
        <v>92</v>
      </c>
      <c r="P172" s="160">
        <v>0</v>
      </c>
      <c r="Q172" s="160">
        <v>1.4655286328862614E+19</v>
      </c>
    </row>
    <row r="173" spans="4:17" ht="15" customHeight="1">
      <c r="D173" s="158" t="b">
        <v>0</v>
      </c>
      <c r="E173" s="153">
        <v>1.5159</v>
      </c>
      <c r="F173" s="151">
        <v>13.24</v>
      </c>
      <c r="G173" s="151">
        <v>3.34</v>
      </c>
      <c r="H173" s="152">
        <v>1.47</v>
      </c>
      <c r="I173" s="152">
        <v>73.099999999999994</v>
      </c>
      <c r="J173" s="152">
        <v>0.39</v>
      </c>
      <c r="K173" s="152">
        <v>8.2200000000000006</v>
      </c>
      <c r="L173" s="152">
        <v>0</v>
      </c>
      <c r="M173" s="152">
        <v>0</v>
      </c>
      <c r="N173" s="152">
        <v>2</v>
      </c>
      <c r="O173" s="160">
        <v>93</v>
      </c>
      <c r="P173" s="160">
        <v>0</v>
      </c>
      <c r="Q173" s="160">
        <v>1.2865549011964289E+19</v>
      </c>
    </row>
    <row r="174" spans="4:17" ht="15" customHeight="1">
      <c r="D174" s="158" t="b">
        <v>0</v>
      </c>
      <c r="E174" s="153">
        <v>1.5162899999999999</v>
      </c>
      <c r="F174" s="151">
        <v>12.71</v>
      </c>
      <c r="G174" s="151">
        <v>3.33</v>
      </c>
      <c r="H174" s="152">
        <v>1.49</v>
      </c>
      <c r="I174" s="152">
        <v>73.28</v>
      </c>
      <c r="J174" s="152">
        <v>0.67</v>
      </c>
      <c r="K174" s="152">
        <v>8.24</v>
      </c>
      <c r="L174" s="152">
        <v>0</v>
      </c>
      <c r="M174" s="152">
        <v>0</v>
      </c>
      <c r="N174" s="152">
        <v>2</v>
      </c>
      <c r="O174" s="160">
        <v>94</v>
      </c>
      <c r="P174" s="160">
        <v>0</v>
      </c>
      <c r="Q174" s="160">
        <v>1.259411369862487E+19</v>
      </c>
    </row>
    <row r="175" spans="4:17" ht="15" customHeight="1">
      <c r="D175" s="158" t="b">
        <v>0</v>
      </c>
      <c r="E175" s="153">
        <v>1.5185999999999999</v>
      </c>
      <c r="F175" s="151">
        <v>13.36</v>
      </c>
      <c r="G175" s="151">
        <v>3.43</v>
      </c>
      <c r="H175" s="152">
        <v>1.43</v>
      </c>
      <c r="I175" s="152">
        <v>72.260000000000005</v>
      </c>
      <c r="J175" s="152">
        <v>0.51</v>
      </c>
      <c r="K175" s="152">
        <v>8.6</v>
      </c>
      <c r="L175" s="152">
        <v>0</v>
      </c>
      <c r="M175" s="152">
        <v>0</v>
      </c>
      <c r="N175" s="152">
        <v>2</v>
      </c>
      <c r="O175" s="160">
        <v>95</v>
      </c>
      <c r="P175" s="160">
        <v>0</v>
      </c>
      <c r="Q175" s="160">
        <v>1.5322410696657981E+19</v>
      </c>
    </row>
    <row r="176" spans="4:17" ht="15" customHeight="1">
      <c r="D176" s="158" t="b">
        <v>0</v>
      </c>
      <c r="E176" s="153">
        <v>1.51841</v>
      </c>
      <c r="F176" s="151">
        <v>13.02</v>
      </c>
      <c r="G176" s="151">
        <v>3.62</v>
      </c>
      <c r="H176" s="152">
        <v>1.06</v>
      </c>
      <c r="I176" s="152">
        <v>72.34</v>
      </c>
      <c r="J176" s="152">
        <v>0.64</v>
      </c>
      <c r="K176" s="152">
        <v>9.1300000000000008</v>
      </c>
      <c r="L176" s="152">
        <v>0</v>
      </c>
      <c r="M176" s="152">
        <v>0.15</v>
      </c>
      <c r="N176" s="152">
        <v>2</v>
      </c>
      <c r="O176" s="160">
        <v>96</v>
      </c>
      <c r="P176" s="160">
        <v>0</v>
      </c>
      <c r="Q176" s="160">
        <v>1.771633611740492E+19</v>
      </c>
    </row>
    <row r="177" spans="4:17" ht="15" customHeight="1">
      <c r="D177" s="158" t="b">
        <v>0</v>
      </c>
      <c r="E177" s="153">
        <v>1.5174300000000001</v>
      </c>
      <c r="F177" s="151">
        <v>12.2</v>
      </c>
      <c r="G177" s="151">
        <v>3.25</v>
      </c>
      <c r="H177" s="152">
        <v>1.1599999999999999</v>
      </c>
      <c r="I177" s="152">
        <v>73.55</v>
      </c>
      <c r="J177" s="152">
        <v>0.62</v>
      </c>
      <c r="K177" s="152">
        <v>8.9</v>
      </c>
      <c r="L177" s="152">
        <v>0</v>
      </c>
      <c r="M177" s="152">
        <v>0.24</v>
      </c>
      <c r="N177" s="152">
        <v>2</v>
      </c>
      <c r="O177" s="160">
        <v>97</v>
      </c>
      <c r="P177" s="160">
        <v>0</v>
      </c>
      <c r="Q177" s="160">
        <v>1.400119361775455E+19</v>
      </c>
    </row>
    <row r="178" spans="4:17" ht="15" customHeight="1">
      <c r="D178" s="158" t="b">
        <v>0</v>
      </c>
      <c r="E178" s="153">
        <v>1.5168900000000001</v>
      </c>
      <c r="F178" s="151">
        <v>12.67</v>
      </c>
      <c r="G178" s="151">
        <v>2.88</v>
      </c>
      <c r="H178" s="152">
        <v>1.71</v>
      </c>
      <c r="I178" s="152">
        <v>73.209999999999994</v>
      </c>
      <c r="J178" s="152">
        <v>0.73</v>
      </c>
      <c r="K178" s="152">
        <v>8.5399999999999991</v>
      </c>
      <c r="L178" s="152">
        <v>0</v>
      </c>
      <c r="M178" s="152">
        <v>0</v>
      </c>
      <c r="N178" s="152">
        <v>2</v>
      </c>
      <c r="O178" s="160">
        <v>98</v>
      </c>
      <c r="P178" s="160">
        <v>0</v>
      </c>
      <c r="Q178" s="160">
        <v>1.9614555129716918E+18</v>
      </c>
    </row>
    <row r="179" spans="4:17" ht="15" customHeight="1">
      <c r="D179" s="158" t="b">
        <v>0</v>
      </c>
      <c r="E179" s="153">
        <v>1.5181100000000001</v>
      </c>
      <c r="F179" s="151">
        <v>12.96</v>
      </c>
      <c r="G179" s="151">
        <v>2.96</v>
      </c>
      <c r="H179" s="152">
        <v>1.43</v>
      </c>
      <c r="I179" s="152">
        <v>72.92</v>
      </c>
      <c r="J179" s="152">
        <v>0.6</v>
      </c>
      <c r="K179" s="152">
        <v>8.7899999999999991</v>
      </c>
      <c r="L179" s="152">
        <v>0.14000000000000001</v>
      </c>
      <c r="M179" s="152">
        <v>0</v>
      </c>
      <c r="N179" s="152">
        <v>2</v>
      </c>
      <c r="O179" s="160">
        <v>99</v>
      </c>
      <c r="P179" s="160">
        <v>0</v>
      </c>
      <c r="Q179" s="160">
        <v>1.2526216482792587E+19</v>
      </c>
    </row>
    <row r="180" spans="4:17" ht="15" customHeight="1">
      <c r="D180" s="158" t="b">
        <v>0</v>
      </c>
      <c r="E180" s="153">
        <v>1.5165500000000001</v>
      </c>
      <c r="F180" s="151">
        <v>12.75</v>
      </c>
      <c r="G180" s="151">
        <v>2.85</v>
      </c>
      <c r="H180" s="152">
        <v>1.44</v>
      </c>
      <c r="I180" s="152">
        <v>73.27</v>
      </c>
      <c r="J180" s="152">
        <v>0.56999999999999995</v>
      </c>
      <c r="K180" s="152">
        <v>8.7899999999999991</v>
      </c>
      <c r="L180" s="152">
        <v>0.11</v>
      </c>
      <c r="M180" s="152">
        <v>0.22</v>
      </c>
      <c r="N180" s="152">
        <v>2</v>
      </c>
      <c r="O180" s="160">
        <v>100</v>
      </c>
      <c r="P180" s="160">
        <v>0</v>
      </c>
      <c r="Q180" s="160">
        <v>1.6803446488907629E+19</v>
      </c>
    </row>
    <row r="181" spans="4:17" ht="15" customHeight="1">
      <c r="D181" s="158" t="b">
        <v>0</v>
      </c>
      <c r="E181" s="153">
        <v>1.5173000000000001</v>
      </c>
      <c r="F181" s="151">
        <v>12.35</v>
      </c>
      <c r="G181" s="151">
        <v>2.72</v>
      </c>
      <c r="H181" s="152">
        <v>1.63</v>
      </c>
      <c r="I181" s="152">
        <v>72.87</v>
      </c>
      <c r="J181" s="152">
        <v>0.7</v>
      </c>
      <c r="K181" s="152">
        <v>9.23</v>
      </c>
      <c r="L181" s="152">
        <v>0</v>
      </c>
      <c r="M181" s="152">
        <v>0</v>
      </c>
      <c r="N181" s="152">
        <v>2</v>
      </c>
      <c r="O181" s="160">
        <v>101</v>
      </c>
      <c r="P181" s="160">
        <v>0</v>
      </c>
      <c r="Q181" s="160">
        <v>1.0559342937058253E+19</v>
      </c>
    </row>
    <row r="182" spans="4:17" ht="15" customHeight="1">
      <c r="D182" s="158" t="b">
        <v>0</v>
      </c>
      <c r="E182" s="153">
        <v>1.5182</v>
      </c>
      <c r="F182" s="151">
        <v>12.62</v>
      </c>
      <c r="G182" s="151">
        <v>2.76</v>
      </c>
      <c r="H182" s="152">
        <v>0.83</v>
      </c>
      <c r="I182" s="152">
        <v>73.81</v>
      </c>
      <c r="J182" s="152">
        <v>0.35</v>
      </c>
      <c r="K182" s="152">
        <v>9.42</v>
      </c>
      <c r="L182" s="152">
        <v>0</v>
      </c>
      <c r="M182" s="152">
        <v>0.2</v>
      </c>
      <c r="N182" s="152">
        <v>2</v>
      </c>
      <c r="O182" s="160">
        <v>102</v>
      </c>
      <c r="P182" s="160">
        <v>0</v>
      </c>
      <c r="Q182" s="160">
        <v>6.1844012752917012E+18</v>
      </c>
    </row>
    <row r="183" spans="4:17" ht="15" customHeight="1">
      <c r="D183" s="158" t="b">
        <v>0</v>
      </c>
      <c r="E183" s="153">
        <v>1.52725</v>
      </c>
      <c r="F183" s="151">
        <v>13.8</v>
      </c>
      <c r="G183" s="151">
        <v>3.15</v>
      </c>
      <c r="H183" s="152">
        <v>0.66</v>
      </c>
      <c r="I183" s="152">
        <v>70.569999999999993</v>
      </c>
      <c r="J183" s="152">
        <v>0.08</v>
      </c>
      <c r="K183" s="152">
        <v>11.64</v>
      </c>
      <c r="L183" s="152">
        <v>0</v>
      </c>
      <c r="M183" s="152">
        <v>0</v>
      </c>
      <c r="N183" s="152">
        <v>2</v>
      </c>
      <c r="O183" s="160">
        <v>103</v>
      </c>
      <c r="P183" s="160">
        <v>0</v>
      </c>
      <c r="Q183" s="160">
        <v>6.9822814427762509E+17</v>
      </c>
    </row>
    <row r="184" spans="4:17" ht="15" customHeight="1">
      <c r="D184" s="158" t="b">
        <v>0</v>
      </c>
      <c r="E184" s="153">
        <v>1.5241</v>
      </c>
      <c r="F184" s="151">
        <v>13.83</v>
      </c>
      <c r="G184" s="151">
        <v>2.9</v>
      </c>
      <c r="H184" s="152">
        <v>1.17</v>
      </c>
      <c r="I184" s="152">
        <v>71.150000000000006</v>
      </c>
      <c r="J184" s="152">
        <v>0.08</v>
      </c>
      <c r="K184" s="152">
        <v>10.79</v>
      </c>
      <c r="L184" s="152">
        <v>0</v>
      </c>
      <c r="M184" s="152">
        <v>0</v>
      </c>
      <c r="N184" s="152">
        <v>2</v>
      </c>
      <c r="O184" s="160">
        <v>104</v>
      </c>
      <c r="P184" s="160">
        <v>0</v>
      </c>
      <c r="Q184" s="160">
        <v>1.6810474909155117E+19</v>
      </c>
    </row>
    <row r="185" spans="4:17" ht="15" customHeight="1">
      <c r="D185" s="158" t="b">
        <v>0</v>
      </c>
      <c r="E185" s="153">
        <v>1.52475</v>
      </c>
      <c r="F185" s="151">
        <v>11.45</v>
      </c>
      <c r="G185" s="151">
        <v>0</v>
      </c>
      <c r="H185" s="152">
        <v>1.88</v>
      </c>
      <c r="I185" s="152">
        <v>72.19</v>
      </c>
      <c r="J185" s="152">
        <v>0.81</v>
      </c>
      <c r="K185" s="152">
        <v>13.24</v>
      </c>
      <c r="L185" s="152">
        <v>0</v>
      </c>
      <c r="M185" s="152">
        <v>0.34</v>
      </c>
      <c r="N185" s="152">
        <v>2</v>
      </c>
      <c r="O185" s="160">
        <v>105</v>
      </c>
      <c r="P185" s="160">
        <v>0</v>
      </c>
      <c r="Q185" s="160">
        <v>1.4102285328068723E+19</v>
      </c>
    </row>
    <row r="186" spans="4:17" ht="15" customHeight="1">
      <c r="D186" s="158" t="b">
        <v>0</v>
      </c>
      <c r="E186" s="153">
        <v>1.53125</v>
      </c>
      <c r="F186" s="151">
        <v>10.73</v>
      </c>
      <c r="G186" s="151">
        <v>0</v>
      </c>
      <c r="H186" s="152">
        <v>2.1</v>
      </c>
      <c r="I186" s="152">
        <v>69.81</v>
      </c>
      <c r="J186" s="152">
        <v>0.57999999999999996</v>
      </c>
      <c r="K186" s="152">
        <v>13.3</v>
      </c>
      <c r="L186" s="152">
        <v>3.15</v>
      </c>
      <c r="M186" s="152">
        <v>0.28000000000000003</v>
      </c>
      <c r="N186" s="152">
        <v>2</v>
      </c>
      <c r="O186" s="160">
        <v>106</v>
      </c>
      <c r="P186" s="160">
        <v>0</v>
      </c>
      <c r="Q186" s="160">
        <v>5.574636798955434E+18</v>
      </c>
    </row>
    <row r="187" spans="4:17" ht="15" customHeight="1">
      <c r="D187" s="158" t="b">
        <v>0</v>
      </c>
      <c r="E187" s="153">
        <v>1.53393</v>
      </c>
      <c r="F187" s="151">
        <v>12.3</v>
      </c>
      <c r="G187" s="151">
        <v>0</v>
      </c>
      <c r="H187" s="152">
        <v>1</v>
      </c>
      <c r="I187" s="152">
        <v>70.16</v>
      </c>
      <c r="J187" s="152">
        <v>0.12</v>
      </c>
      <c r="K187" s="152">
        <v>16.190000000000001</v>
      </c>
      <c r="L187" s="152">
        <v>0</v>
      </c>
      <c r="M187" s="152">
        <v>0.24</v>
      </c>
      <c r="N187" s="152">
        <v>2</v>
      </c>
      <c r="O187" s="160">
        <v>107</v>
      </c>
      <c r="P187" s="160">
        <v>0</v>
      </c>
      <c r="Q187" s="160">
        <v>1.6285680973990654E+19</v>
      </c>
    </row>
    <row r="188" spans="4:17" ht="15" customHeight="1">
      <c r="D188" s="158" t="b">
        <v>0</v>
      </c>
      <c r="E188" s="153">
        <v>1.5222199999999999</v>
      </c>
      <c r="F188" s="151">
        <v>14.43</v>
      </c>
      <c r="G188" s="151">
        <v>0</v>
      </c>
      <c r="H188" s="152">
        <v>1</v>
      </c>
      <c r="I188" s="152">
        <v>72.67</v>
      </c>
      <c r="J188" s="152">
        <v>0.1</v>
      </c>
      <c r="K188" s="152">
        <v>11.52</v>
      </c>
      <c r="L188" s="152">
        <v>0</v>
      </c>
      <c r="M188" s="152">
        <v>0.08</v>
      </c>
      <c r="N188" s="152">
        <v>2</v>
      </c>
      <c r="O188" s="160">
        <v>108</v>
      </c>
      <c r="P188" s="160">
        <v>0</v>
      </c>
      <c r="Q188" s="160">
        <v>1.3960551474562234E+19</v>
      </c>
    </row>
    <row r="189" spans="4:17" ht="15" customHeight="1">
      <c r="D189" s="158" t="b">
        <v>0</v>
      </c>
      <c r="E189" s="153">
        <v>1.5181800000000001</v>
      </c>
      <c r="F189" s="151">
        <v>13.72</v>
      </c>
      <c r="G189" s="151">
        <v>0</v>
      </c>
      <c r="H189" s="152">
        <v>0.56000000000000005</v>
      </c>
      <c r="I189" s="152">
        <v>74.45</v>
      </c>
      <c r="J189" s="152">
        <v>0</v>
      </c>
      <c r="K189" s="152">
        <v>10.99</v>
      </c>
      <c r="L189" s="152">
        <v>0</v>
      </c>
      <c r="M189" s="152">
        <v>0</v>
      </c>
      <c r="N189" s="152">
        <v>2</v>
      </c>
      <c r="O189" s="160">
        <v>109</v>
      </c>
      <c r="P189" s="160">
        <v>0</v>
      </c>
      <c r="Q189" s="160">
        <v>1.652463555387854E+19</v>
      </c>
    </row>
    <row r="190" spans="4:17" ht="15" customHeight="1">
      <c r="D190" s="158" t="b">
        <v>0</v>
      </c>
      <c r="E190" s="153">
        <v>1.52664</v>
      </c>
      <c r="F190" s="151">
        <v>11.23</v>
      </c>
      <c r="G190" s="151">
        <v>0</v>
      </c>
      <c r="H190" s="152">
        <v>0.77</v>
      </c>
      <c r="I190" s="152">
        <v>73.209999999999994</v>
      </c>
      <c r="J190" s="152">
        <v>0</v>
      </c>
      <c r="K190" s="152">
        <v>14.68</v>
      </c>
      <c r="L190" s="152">
        <v>0</v>
      </c>
      <c r="M190" s="152">
        <v>0</v>
      </c>
      <c r="N190" s="152">
        <v>2</v>
      </c>
      <c r="O190" s="160">
        <v>110</v>
      </c>
      <c r="P190" s="160">
        <v>0</v>
      </c>
      <c r="Q190" s="160">
        <v>1.6140476129807151E+19</v>
      </c>
    </row>
    <row r="191" spans="4:17" ht="15" customHeight="1">
      <c r="D191" s="158" t="b">
        <v>0</v>
      </c>
      <c r="E191" s="153">
        <v>1.52739</v>
      </c>
      <c r="F191" s="151">
        <v>11.02</v>
      </c>
      <c r="G191" s="151">
        <v>0</v>
      </c>
      <c r="H191" s="152">
        <v>0.75</v>
      </c>
      <c r="I191" s="152">
        <v>73.08</v>
      </c>
      <c r="J191" s="152">
        <v>0</v>
      </c>
      <c r="K191" s="152">
        <v>14.96</v>
      </c>
      <c r="L191" s="152">
        <v>0</v>
      </c>
      <c r="M191" s="152">
        <v>0</v>
      </c>
      <c r="N191" s="152">
        <v>2</v>
      </c>
      <c r="O191" s="160">
        <v>111</v>
      </c>
      <c r="P191" s="160">
        <v>0</v>
      </c>
      <c r="Q191" s="160">
        <v>9.1920899937042278E+17</v>
      </c>
    </row>
    <row r="192" spans="4:17" ht="15" customHeight="1">
      <c r="D192" s="158" t="b">
        <v>0</v>
      </c>
      <c r="E192" s="153">
        <v>1.5277700000000001</v>
      </c>
      <c r="F192" s="151">
        <v>12.64</v>
      </c>
      <c r="G192" s="151">
        <v>0</v>
      </c>
      <c r="H192" s="152">
        <v>0.67</v>
      </c>
      <c r="I192" s="152">
        <v>72.02</v>
      </c>
      <c r="J192" s="152">
        <v>0.06</v>
      </c>
      <c r="K192" s="152">
        <v>14.4</v>
      </c>
      <c r="L192" s="152">
        <v>0</v>
      </c>
      <c r="M192" s="152">
        <v>0</v>
      </c>
      <c r="N192" s="152">
        <v>2</v>
      </c>
      <c r="O192" s="160">
        <v>112</v>
      </c>
      <c r="P192" s="160">
        <v>0</v>
      </c>
      <c r="Q192" s="160">
        <v>2.6292911725513042E+18</v>
      </c>
    </row>
    <row r="193" spans="4:17" ht="15" customHeight="1">
      <c r="D193" s="158" t="b">
        <v>0</v>
      </c>
      <c r="E193" s="153">
        <v>1.51892</v>
      </c>
      <c r="F193" s="151">
        <v>13.46</v>
      </c>
      <c r="G193" s="151">
        <v>3.83</v>
      </c>
      <c r="H193" s="152">
        <v>1.26</v>
      </c>
      <c r="I193" s="152">
        <v>72.55</v>
      </c>
      <c r="J193" s="152">
        <v>0.56999999999999995</v>
      </c>
      <c r="K193" s="152">
        <v>8.2100000000000009</v>
      </c>
      <c r="L193" s="152">
        <v>0</v>
      </c>
      <c r="M193" s="152">
        <v>0.14000000000000001</v>
      </c>
      <c r="N193" s="152">
        <v>2</v>
      </c>
      <c r="O193" s="160">
        <v>113</v>
      </c>
      <c r="P193" s="160">
        <v>0</v>
      </c>
      <c r="Q193" s="160">
        <v>1.6038950555873872E+19</v>
      </c>
    </row>
    <row r="194" spans="4:17" ht="15" customHeight="1">
      <c r="D194" s="158" t="b">
        <v>0</v>
      </c>
      <c r="E194" s="153">
        <v>1.51847</v>
      </c>
      <c r="F194" s="151">
        <v>13.1</v>
      </c>
      <c r="G194" s="151">
        <v>3.97</v>
      </c>
      <c r="H194" s="152">
        <v>1.19</v>
      </c>
      <c r="I194" s="152">
        <v>72.44</v>
      </c>
      <c r="J194" s="152">
        <v>0.6</v>
      </c>
      <c r="K194" s="152">
        <v>8.43</v>
      </c>
      <c r="L194" s="152">
        <v>0</v>
      </c>
      <c r="M194" s="152">
        <v>0</v>
      </c>
      <c r="N194" s="152">
        <v>2</v>
      </c>
      <c r="O194" s="160">
        <v>114</v>
      </c>
      <c r="P194" s="160">
        <v>0</v>
      </c>
      <c r="Q194" s="160">
        <v>9.3895451686856684E+18</v>
      </c>
    </row>
    <row r="195" spans="4:17" ht="15" customHeight="1">
      <c r="D195" s="158" t="b">
        <v>0</v>
      </c>
      <c r="E195" s="153">
        <v>1.5184599999999999</v>
      </c>
      <c r="F195" s="151">
        <v>13.41</v>
      </c>
      <c r="G195" s="151">
        <v>3.89</v>
      </c>
      <c r="H195" s="152">
        <v>1.33</v>
      </c>
      <c r="I195" s="152">
        <v>72.38</v>
      </c>
      <c r="J195" s="152">
        <v>0.51</v>
      </c>
      <c r="K195" s="152">
        <v>8.2799999999999994</v>
      </c>
      <c r="L195" s="152">
        <v>0</v>
      </c>
      <c r="M195" s="152">
        <v>0</v>
      </c>
      <c r="N195" s="152">
        <v>2</v>
      </c>
      <c r="O195" s="160">
        <v>115</v>
      </c>
      <c r="P195" s="160">
        <v>0</v>
      </c>
      <c r="Q195" s="160">
        <v>1.398934890434285E+19</v>
      </c>
    </row>
    <row r="196" spans="4:17" ht="15" customHeight="1">
      <c r="D196" s="158" t="b">
        <v>0</v>
      </c>
      <c r="E196" s="153">
        <v>1.5182899999999999</v>
      </c>
      <c r="F196" s="151">
        <v>13.24</v>
      </c>
      <c r="G196" s="151">
        <v>3.9</v>
      </c>
      <c r="H196" s="152">
        <v>1.41</v>
      </c>
      <c r="I196" s="152">
        <v>72.33</v>
      </c>
      <c r="J196" s="152">
        <v>0.55000000000000004</v>
      </c>
      <c r="K196" s="152">
        <v>8.31</v>
      </c>
      <c r="L196" s="152">
        <v>0</v>
      </c>
      <c r="M196" s="152">
        <v>0.1</v>
      </c>
      <c r="N196" s="152">
        <v>2</v>
      </c>
      <c r="O196" s="160">
        <v>116</v>
      </c>
      <c r="P196" s="160">
        <v>0</v>
      </c>
      <c r="Q196" s="160">
        <v>8.0483976651592847E+18</v>
      </c>
    </row>
    <row r="197" spans="4:17" ht="15" customHeight="1">
      <c r="D197" s="158" t="b">
        <v>0</v>
      </c>
      <c r="E197" s="153">
        <v>1.51708</v>
      </c>
      <c r="F197" s="151">
        <v>13.72</v>
      </c>
      <c r="G197" s="151">
        <v>3.68</v>
      </c>
      <c r="H197" s="152">
        <v>1.81</v>
      </c>
      <c r="I197" s="152">
        <v>72.06</v>
      </c>
      <c r="J197" s="152">
        <v>0.64</v>
      </c>
      <c r="K197" s="152">
        <v>7.88</v>
      </c>
      <c r="L197" s="152">
        <v>0</v>
      </c>
      <c r="M197" s="152">
        <v>0</v>
      </c>
      <c r="N197" s="152">
        <v>2</v>
      </c>
      <c r="O197" s="160">
        <v>117</v>
      </c>
      <c r="P197" s="160">
        <v>0</v>
      </c>
      <c r="Q197" s="160">
        <v>6.6146364334193019E+18</v>
      </c>
    </row>
    <row r="198" spans="4:17" ht="15" customHeight="1">
      <c r="D198" s="158" t="b">
        <v>0</v>
      </c>
      <c r="E198" s="153">
        <v>1.5167299999999999</v>
      </c>
      <c r="F198" s="151">
        <v>13.3</v>
      </c>
      <c r="G198" s="151">
        <v>3.64</v>
      </c>
      <c r="H198" s="152">
        <v>1.53</v>
      </c>
      <c r="I198" s="152">
        <v>72.53</v>
      </c>
      <c r="J198" s="152">
        <v>0.65</v>
      </c>
      <c r="K198" s="152">
        <v>8.0299999999999994</v>
      </c>
      <c r="L198" s="152">
        <v>0</v>
      </c>
      <c r="M198" s="152">
        <v>0.28999999999999998</v>
      </c>
      <c r="N198" s="152">
        <v>2</v>
      </c>
      <c r="O198" s="160">
        <v>118</v>
      </c>
      <c r="P198" s="160">
        <v>0</v>
      </c>
      <c r="Q198" s="160">
        <v>7.5811727311750615E+18</v>
      </c>
    </row>
    <row r="199" spans="4:17" ht="15" customHeight="1">
      <c r="D199" s="158" t="b">
        <v>0</v>
      </c>
      <c r="E199" s="153">
        <v>1.5165200000000001</v>
      </c>
      <c r="F199" s="151">
        <v>13.56</v>
      </c>
      <c r="G199" s="151">
        <v>3.57</v>
      </c>
      <c r="H199" s="152">
        <v>1.47</v>
      </c>
      <c r="I199" s="152">
        <v>72.45</v>
      </c>
      <c r="J199" s="152">
        <v>0.64</v>
      </c>
      <c r="K199" s="152">
        <v>7.96</v>
      </c>
      <c r="L199" s="152">
        <v>0</v>
      </c>
      <c r="M199" s="152">
        <v>0</v>
      </c>
      <c r="N199" s="152">
        <v>2</v>
      </c>
      <c r="O199" s="160">
        <v>119</v>
      </c>
      <c r="P199" s="160">
        <v>0</v>
      </c>
      <c r="Q199" s="160">
        <v>3.394372229211905E+18</v>
      </c>
    </row>
    <row r="200" spans="4:17" ht="15" customHeight="1">
      <c r="D200" s="158" t="b">
        <v>0</v>
      </c>
      <c r="E200" s="153">
        <v>1.51844</v>
      </c>
      <c r="F200" s="151">
        <v>13.25</v>
      </c>
      <c r="G200" s="151">
        <v>3.76</v>
      </c>
      <c r="H200" s="152">
        <v>1.32</v>
      </c>
      <c r="I200" s="152">
        <v>72.400000000000006</v>
      </c>
      <c r="J200" s="152">
        <v>0.57999999999999996</v>
      </c>
      <c r="K200" s="152">
        <v>8.42</v>
      </c>
      <c r="L200" s="152">
        <v>0</v>
      </c>
      <c r="M200" s="152">
        <v>0</v>
      </c>
      <c r="N200" s="152">
        <v>2</v>
      </c>
      <c r="O200" s="160">
        <v>120</v>
      </c>
      <c r="P200" s="160">
        <v>0</v>
      </c>
      <c r="Q200" s="160">
        <v>1.7974260524390351E+19</v>
      </c>
    </row>
    <row r="201" spans="4:17" ht="15" customHeight="1">
      <c r="D201" s="158" t="b">
        <v>0</v>
      </c>
      <c r="E201" s="153">
        <v>1.5166299999999999</v>
      </c>
      <c r="F201" s="151">
        <v>12.93</v>
      </c>
      <c r="G201" s="151">
        <v>3.54</v>
      </c>
      <c r="H201" s="152">
        <v>1.62</v>
      </c>
      <c r="I201" s="152">
        <v>72.959999999999994</v>
      </c>
      <c r="J201" s="152">
        <v>0.64</v>
      </c>
      <c r="K201" s="152">
        <v>8.0299999999999994</v>
      </c>
      <c r="L201" s="152">
        <v>0</v>
      </c>
      <c r="M201" s="152">
        <v>0.21</v>
      </c>
      <c r="N201" s="152">
        <v>2</v>
      </c>
      <c r="O201" s="160">
        <v>121</v>
      </c>
      <c r="P201" s="160">
        <v>0</v>
      </c>
      <c r="Q201" s="160">
        <v>6.483528148871125E+18</v>
      </c>
    </row>
    <row r="202" spans="4:17" ht="15" customHeight="1">
      <c r="D202" s="158" t="b">
        <v>0</v>
      </c>
      <c r="E202" s="153">
        <v>1.5168699999999999</v>
      </c>
      <c r="F202" s="151">
        <v>13.23</v>
      </c>
      <c r="G202" s="151">
        <v>3.54</v>
      </c>
      <c r="H202" s="152">
        <v>1.48</v>
      </c>
      <c r="I202" s="152">
        <v>72.84</v>
      </c>
      <c r="J202" s="152">
        <v>0.56000000000000005</v>
      </c>
      <c r="K202" s="152">
        <v>8.1</v>
      </c>
      <c r="L202" s="152">
        <v>0</v>
      </c>
      <c r="M202" s="152">
        <v>0</v>
      </c>
      <c r="N202" s="152">
        <v>2</v>
      </c>
      <c r="O202" s="160">
        <v>122</v>
      </c>
      <c r="P202" s="160">
        <v>0</v>
      </c>
      <c r="Q202" s="160">
        <v>6.1754662698171597E+18</v>
      </c>
    </row>
    <row r="203" spans="4:17" ht="15" customHeight="1">
      <c r="D203" s="158" t="b">
        <v>0</v>
      </c>
      <c r="E203" s="153">
        <v>1.5170699999999999</v>
      </c>
      <c r="F203" s="151">
        <v>13.48</v>
      </c>
      <c r="G203" s="151">
        <v>3.48</v>
      </c>
      <c r="H203" s="152">
        <v>1.71</v>
      </c>
      <c r="I203" s="152">
        <v>72.52</v>
      </c>
      <c r="J203" s="152">
        <v>0.62</v>
      </c>
      <c r="K203" s="152">
        <v>7.99</v>
      </c>
      <c r="L203" s="152">
        <v>0</v>
      </c>
      <c r="M203" s="152">
        <v>0</v>
      </c>
      <c r="N203" s="152">
        <v>2</v>
      </c>
      <c r="O203" s="160">
        <v>123</v>
      </c>
      <c r="P203" s="160">
        <v>0</v>
      </c>
      <c r="Q203" s="160">
        <v>1.6577378610575331E+19</v>
      </c>
    </row>
    <row r="204" spans="4:17" ht="15" customHeight="1">
      <c r="D204" s="158" t="b">
        <v>0</v>
      </c>
      <c r="E204" s="153">
        <v>1.5217700000000001</v>
      </c>
      <c r="F204" s="151">
        <v>13.2</v>
      </c>
      <c r="G204" s="151">
        <v>3.68</v>
      </c>
      <c r="H204" s="152">
        <v>1.1499999999999999</v>
      </c>
      <c r="I204" s="152">
        <v>72.75</v>
      </c>
      <c r="J204" s="152">
        <v>0.54</v>
      </c>
      <c r="K204" s="152">
        <v>8.52</v>
      </c>
      <c r="L204" s="152">
        <v>0</v>
      </c>
      <c r="M204" s="152">
        <v>0</v>
      </c>
      <c r="N204" s="152">
        <v>2</v>
      </c>
      <c r="O204" s="160">
        <v>124</v>
      </c>
      <c r="P204" s="160">
        <v>0</v>
      </c>
      <c r="Q204" s="160">
        <v>1.6801324844116853E+19</v>
      </c>
    </row>
    <row r="205" spans="4:17" ht="15" customHeight="1">
      <c r="D205" s="158" t="b">
        <v>0</v>
      </c>
      <c r="E205" s="153">
        <v>1.5187200000000001</v>
      </c>
      <c r="F205" s="151">
        <v>12.93</v>
      </c>
      <c r="G205" s="151">
        <v>3.66</v>
      </c>
      <c r="H205" s="152">
        <v>1.56</v>
      </c>
      <c r="I205" s="152">
        <v>72.510000000000005</v>
      </c>
      <c r="J205" s="152">
        <v>0.57999999999999996</v>
      </c>
      <c r="K205" s="152">
        <v>8.5500000000000007</v>
      </c>
      <c r="L205" s="152">
        <v>0</v>
      </c>
      <c r="M205" s="152">
        <v>0.12</v>
      </c>
      <c r="N205" s="152">
        <v>2</v>
      </c>
      <c r="O205" s="160">
        <v>125</v>
      </c>
      <c r="P205" s="160">
        <v>0</v>
      </c>
      <c r="Q205" s="160">
        <v>1.5012077837791685E+19</v>
      </c>
    </row>
    <row r="206" spans="4:17" ht="15" customHeight="1">
      <c r="D206" s="158" t="b">
        <v>0</v>
      </c>
      <c r="E206" s="153">
        <v>1.51667</v>
      </c>
      <c r="F206" s="151">
        <v>12.94</v>
      </c>
      <c r="G206" s="151">
        <v>3.61</v>
      </c>
      <c r="H206" s="152">
        <v>1.26</v>
      </c>
      <c r="I206" s="152">
        <v>72.75</v>
      </c>
      <c r="J206" s="152">
        <v>0.56000000000000005</v>
      </c>
      <c r="K206" s="152">
        <v>8.6</v>
      </c>
      <c r="L206" s="152">
        <v>0</v>
      </c>
      <c r="M206" s="152">
        <v>0</v>
      </c>
      <c r="N206" s="152">
        <v>2</v>
      </c>
      <c r="O206" s="160">
        <v>126</v>
      </c>
      <c r="P206" s="160">
        <v>0</v>
      </c>
      <c r="Q206" s="160">
        <v>2.5913054789973192E+18</v>
      </c>
    </row>
    <row r="207" spans="4:17" ht="15" customHeight="1">
      <c r="D207" s="158" t="b">
        <v>0</v>
      </c>
      <c r="E207" s="153">
        <v>1.52081</v>
      </c>
      <c r="F207" s="151">
        <v>13.78</v>
      </c>
      <c r="G207" s="151">
        <v>2.2799999999999998</v>
      </c>
      <c r="H207" s="152">
        <v>1.43</v>
      </c>
      <c r="I207" s="152">
        <v>71.989999999999995</v>
      </c>
      <c r="J207" s="152">
        <v>0.49</v>
      </c>
      <c r="K207" s="152">
        <v>9.85</v>
      </c>
      <c r="L207" s="152">
        <v>0</v>
      </c>
      <c r="M207" s="152">
        <v>0.17</v>
      </c>
      <c r="N207" s="152">
        <v>2</v>
      </c>
      <c r="O207" s="160">
        <v>127</v>
      </c>
      <c r="P207" s="160">
        <v>0</v>
      </c>
      <c r="Q207" s="160">
        <v>1.7834291086102952E+19</v>
      </c>
    </row>
    <row r="208" spans="4:17" ht="15" customHeight="1">
      <c r="D208" s="158" t="b">
        <v>0</v>
      </c>
      <c r="E208" s="153">
        <v>1.52068</v>
      </c>
      <c r="F208" s="151">
        <v>13.55</v>
      </c>
      <c r="G208" s="151">
        <v>2.09</v>
      </c>
      <c r="H208" s="152">
        <v>1.67</v>
      </c>
      <c r="I208" s="152">
        <v>72.180000000000007</v>
      </c>
      <c r="J208" s="152">
        <v>0.53</v>
      </c>
      <c r="K208" s="152">
        <v>9.57</v>
      </c>
      <c r="L208" s="152">
        <v>0.27</v>
      </c>
      <c r="M208" s="152">
        <v>0.17</v>
      </c>
      <c r="N208" s="152">
        <v>2</v>
      </c>
      <c r="O208" s="160">
        <v>128</v>
      </c>
      <c r="P208" s="160">
        <v>0</v>
      </c>
      <c r="Q208" s="160">
        <v>1.5861874678083762E+19</v>
      </c>
    </row>
    <row r="209" spans="4:17" ht="15" customHeight="1">
      <c r="D209" s="158" t="b">
        <v>0</v>
      </c>
      <c r="E209" s="153">
        <v>1.5202</v>
      </c>
      <c r="F209" s="151">
        <v>13.98</v>
      </c>
      <c r="G209" s="151">
        <v>1.35</v>
      </c>
      <c r="H209" s="152">
        <v>1.63</v>
      </c>
      <c r="I209" s="152">
        <v>71.760000000000005</v>
      </c>
      <c r="J209" s="152">
        <v>0.39</v>
      </c>
      <c r="K209" s="152">
        <v>10.56</v>
      </c>
      <c r="L209" s="152">
        <v>0</v>
      </c>
      <c r="M209" s="152">
        <v>0.18</v>
      </c>
      <c r="N209" s="152">
        <v>2</v>
      </c>
      <c r="O209" s="160">
        <v>129</v>
      </c>
      <c r="P209" s="160">
        <v>0</v>
      </c>
      <c r="Q209" s="160">
        <v>1.6026158999200831E+19</v>
      </c>
    </row>
    <row r="210" spans="4:17" ht="15" customHeight="1">
      <c r="D210" s="158" t="b">
        <v>0</v>
      </c>
      <c r="E210" s="153">
        <v>1.5217700000000001</v>
      </c>
      <c r="F210" s="151">
        <v>13.75</v>
      </c>
      <c r="G210" s="151">
        <v>1.01</v>
      </c>
      <c r="H210" s="152">
        <v>1.36</v>
      </c>
      <c r="I210" s="152">
        <v>72.19</v>
      </c>
      <c r="J210" s="152">
        <v>0.33</v>
      </c>
      <c r="K210" s="152">
        <v>11.14</v>
      </c>
      <c r="L210" s="152">
        <v>0</v>
      </c>
      <c r="M210" s="152">
        <v>0</v>
      </c>
      <c r="N210" s="152">
        <v>2</v>
      </c>
      <c r="O210" s="160">
        <v>130</v>
      </c>
      <c r="P210" s="160">
        <v>0</v>
      </c>
      <c r="Q210" s="160">
        <v>1.781880407131863E+19</v>
      </c>
    </row>
    <row r="211" spans="4:17" ht="15" customHeight="1">
      <c r="D211" s="158" t="b">
        <v>0</v>
      </c>
      <c r="E211" s="153">
        <v>1.5261400000000001</v>
      </c>
      <c r="F211" s="151">
        <v>13.7</v>
      </c>
      <c r="G211" s="151">
        <v>0</v>
      </c>
      <c r="H211" s="152">
        <v>1.36</v>
      </c>
      <c r="I211" s="152">
        <v>71.239999999999995</v>
      </c>
      <c r="J211" s="152">
        <v>0.19</v>
      </c>
      <c r="K211" s="152">
        <v>13.44</v>
      </c>
      <c r="L211" s="152">
        <v>0</v>
      </c>
      <c r="M211" s="152">
        <v>0.1</v>
      </c>
      <c r="N211" s="152">
        <v>2</v>
      </c>
      <c r="O211" s="160">
        <v>131</v>
      </c>
      <c r="P211" s="160">
        <v>0</v>
      </c>
      <c r="Q211" s="160">
        <v>8.8820846455829688E+18</v>
      </c>
    </row>
    <row r="212" spans="4:17" ht="15" customHeight="1">
      <c r="D212" s="158" t="b">
        <v>0</v>
      </c>
      <c r="E212" s="153">
        <v>1.51813</v>
      </c>
      <c r="F212" s="151">
        <v>13.43</v>
      </c>
      <c r="G212" s="151">
        <v>3.98</v>
      </c>
      <c r="H212" s="152">
        <v>1.18</v>
      </c>
      <c r="I212" s="152">
        <v>72.489999999999995</v>
      </c>
      <c r="J212" s="152">
        <v>0.57999999999999996</v>
      </c>
      <c r="K212" s="152">
        <v>8.15</v>
      </c>
      <c r="L212" s="152">
        <v>0</v>
      </c>
      <c r="M212" s="152">
        <v>0</v>
      </c>
      <c r="N212" s="152">
        <v>2</v>
      </c>
      <c r="O212" s="160">
        <v>132</v>
      </c>
      <c r="P212" s="160">
        <v>0</v>
      </c>
      <c r="Q212" s="160">
        <v>5.3333580506253916E+18</v>
      </c>
    </row>
    <row r="213" spans="4:17" ht="15" customHeight="1">
      <c r="D213" s="158" t="b">
        <v>0</v>
      </c>
      <c r="E213" s="153">
        <v>1.518</v>
      </c>
      <c r="F213" s="151">
        <v>13.71</v>
      </c>
      <c r="G213" s="151">
        <v>3.93</v>
      </c>
      <c r="H213" s="152">
        <v>1.54</v>
      </c>
      <c r="I213" s="152">
        <v>71.81</v>
      </c>
      <c r="J213" s="152">
        <v>0.54</v>
      </c>
      <c r="K213" s="152">
        <v>8.2100000000000009</v>
      </c>
      <c r="L213" s="152">
        <v>0</v>
      </c>
      <c r="M213" s="152">
        <v>0.15</v>
      </c>
      <c r="N213" s="152">
        <v>2</v>
      </c>
      <c r="O213" s="160">
        <v>133</v>
      </c>
      <c r="P213" s="160">
        <v>0</v>
      </c>
      <c r="Q213" s="160">
        <v>9.7633142685414154E+18</v>
      </c>
    </row>
    <row r="214" spans="4:17" ht="15" customHeight="1">
      <c r="D214" s="158" t="b">
        <v>0</v>
      </c>
      <c r="E214" s="153">
        <v>1.5181100000000001</v>
      </c>
      <c r="F214" s="151">
        <v>13.33</v>
      </c>
      <c r="G214" s="151">
        <v>3.85</v>
      </c>
      <c r="H214" s="152">
        <v>1.25</v>
      </c>
      <c r="I214" s="152">
        <v>72.78</v>
      </c>
      <c r="J214" s="152">
        <v>0.52</v>
      </c>
      <c r="K214" s="152">
        <v>8.1199999999999992</v>
      </c>
      <c r="L214" s="152">
        <v>0</v>
      </c>
      <c r="M214" s="152">
        <v>0</v>
      </c>
      <c r="N214" s="152">
        <v>2</v>
      </c>
      <c r="O214" s="160">
        <v>134</v>
      </c>
      <c r="P214" s="160">
        <v>0</v>
      </c>
      <c r="Q214" s="160">
        <v>1.7981395390584048E+19</v>
      </c>
    </row>
    <row r="215" spans="4:17" ht="15" customHeight="1">
      <c r="D215" s="158" t="b">
        <v>0</v>
      </c>
      <c r="E215" s="153">
        <v>1.51789</v>
      </c>
      <c r="F215" s="151">
        <v>13.19</v>
      </c>
      <c r="G215" s="151">
        <v>3.9</v>
      </c>
      <c r="H215" s="152">
        <v>1.3</v>
      </c>
      <c r="I215" s="152">
        <v>72.33</v>
      </c>
      <c r="J215" s="152">
        <v>0.55000000000000004</v>
      </c>
      <c r="K215" s="152">
        <v>8.44</v>
      </c>
      <c r="L215" s="152">
        <v>0</v>
      </c>
      <c r="M215" s="152">
        <v>0.28000000000000003</v>
      </c>
      <c r="N215" s="152">
        <v>2</v>
      </c>
      <c r="O215" s="160">
        <v>135</v>
      </c>
      <c r="P215" s="160">
        <v>0</v>
      </c>
      <c r="Q215" s="160">
        <v>1.5698738232343816E+19</v>
      </c>
    </row>
    <row r="216" spans="4:17" ht="15" customHeight="1">
      <c r="D216" s="158" t="b">
        <v>0</v>
      </c>
      <c r="E216" s="153">
        <v>1.51806</v>
      </c>
      <c r="F216" s="151">
        <v>13</v>
      </c>
      <c r="G216" s="151">
        <v>3.8</v>
      </c>
      <c r="H216" s="152">
        <v>1.08</v>
      </c>
      <c r="I216" s="152">
        <v>73.069999999999993</v>
      </c>
      <c r="J216" s="152">
        <v>0.56000000000000005</v>
      </c>
      <c r="K216" s="152">
        <v>8.3800000000000008</v>
      </c>
      <c r="L216" s="152">
        <v>0</v>
      </c>
      <c r="M216" s="152">
        <v>0.12</v>
      </c>
      <c r="N216" s="152">
        <v>2</v>
      </c>
      <c r="O216" s="160">
        <v>136</v>
      </c>
      <c r="P216" s="160">
        <v>0</v>
      </c>
      <c r="Q216" s="160">
        <v>6.6411897875116687E+18</v>
      </c>
    </row>
    <row r="217" spans="4:17" ht="15" customHeight="1">
      <c r="D217" s="158" t="b">
        <v>0</v>
      </c>
      <c r="E217" s="153">
        <v>1.51711</v>
      </c>
      <c r="F217" s="151">
        <v>12.89</v>
      </c>
      <c r="G217" s="151">
        <v>3.62</v>
      </c>
      <c r="H217" s="152">
        <v>1.57</v>
      </c>
      <c r="I217" s="152">
        <v>72.959999999999994</v>
      </c>
      <c r="J217" s="152">
        <v>0.61</v>
      </c>
      <c r="K217" s="152">
        <v>8.11</v>
      </c>
      <c r="L217" s="152">
        <v>0</v>
      </c>
      <c r="M217" s="152">
        <v>0</v>
      </c>
      <c r="N217" s="152">
        <v>2</v>
      </c>
      <c r="O217" s="160">
        <v>137</v>
      </c>
      <c r="P217" s="160">
        <v>0</v>
      </c>
      <c r="Q217" s="160">
        <v>8.7305770929908152E+18</v>
      </c>
    </row>
    <row r="218" spans="4:17" ht="15" customHeight="1">
      <c r="D218" s="158" t="b">
        <v>0</v>
      </c>
      <c r="E218" s="153">
        <v>1.51674</v>
      </c>
      <c r="F218" s="151">
        <v>12.79</v>
      </c>
      <c r="G218" s="151">
        <v>3.52</v>
      </c>
      <c r="H218" s="152">
        <v>1.54</v>
      </c>
      <c r="I218" s="152">
        <v>73.36</v>
      </c>
      <c r="J218" s="152">
        <v>0.66</v>
      </c>
      <c r="K218" s="152">
        <v>7.9</v>
      </c>
      <c r="L218" s="152">
        <v>0</v>
      </c>
      <c r="M218" s="152">
        <v>0</v>
      </c>
      <c r="N218" s="152">
        <v>2</v>
      </c>
      <c r="O218" s="160">
        <v>138</v>
      </c>
      <c r="P218" s="160">
        <v>0</v>
      </c>
      <c r="Q218" s="160">
        <v>1.1062389789209913E+19</v>
      </c>
    </row>
    <row r="219" spans="4:17" ht="15" customHeight="1">
      <c r="D219" s="158" t="b">
        <v>0</v>
      </c>
      <c r="E219" s="153">
        <v>1.51674</v>
      </c>
      <c r="F219" s="151">
        <v>12.87</v>
      </c>
      <c r="G219" s="151">
        <v>3.56</v>
      </c>
      <c r="H219" s="152">
        <v>1.64</v>
      </c>
      <c r="I219" s="152">
        <v>73.14</v>
      </c>
      <c r="J219" s="152">
        <v>0.65</v>
      </c>
      <c r="K219" s="152">
        <v>7.99</v>
      </c>
      <c r="L219" s="152">
        <v>0</v>
      </c>
      <c r="M219" s="152">
        <v>0</v>
      </c>
      <c r="N219" s="152">
        <v>2</v>
      </c>
      <c r="O219" s="160">
        <v>139</v>
      </c>
      <c r="P219" s="160">
        <v>0</v>
      </c>
      <c r="Q219" s="160">
        <v>6.5454277106357391E+18</v>
      </c>
    </row>
    <row r="220" spans="4:17" ht="15" customHeight="1">
      <c r="D220" s="158" t="b">
        <v>0</v>
      </c>
      <c r="E220" s="153">
        <v>1.5168999999999999</v>
      </c>
      <c r="F220" s="151">
        <v>13.33</v>
      </c>
      <c r="G220" s="151">
        <v>3.54</v>
      </c>
      <c r="H220" s="152">
        <v>1.61</v>
      </c>
      <c r="I220" s="152">
        <v>72.540000000000006</v>
      </c>
      <c r="J220" s="152">
        <v>0.68</v>
      </c>
      <c r="K220" s="152">
        <v>8.11</v>
      </c>
      <c r="L220" s="152">
        <v>0</v>
      </c>
      <c r="M220" s="152">
        <v>0</v>
      </c>
      <c r="N220" s="152">
        <v>2</v>
      </c>
      <c r="O220" s="160">
        <v>140</v>
      </c>
      <c r="P220" s="160">
        <v>0</v>
      </c>
      <c r="Q220" s="160">
        <v>1.3407356814972522E+19</v>
      </c>
    </row>
    <row r="221" spans="4:17" ht="15" customHeight="1">
      <c r="D221" s="158" t="b">
        <v>0</v>
      </c>
      <c r="E221" s="153">
        <v>1.51851</v>
      </c>
      <c r="F221" s="151">
        <v>13.2</v>
      </c>
      <c r="G221" s="151">
        <v>3.63</v>
      </c>
      <c r="H221" s="152">
        <v>1.07</v>
      </c>
      <c r="I221" s="152">
        <v>72.83</v>
      </c>
      <c r="J221" s="152">
        <v>0.56999999999999995</v>
      </c>
      <c r="K221" s="152">
        <v>8.41</v>
      </c>
      <c r="L221" s="152">
        <v>0.09</v>
      </c>
      <c r="M221" s="152">
        <v>0.17</v>
      </c>
      <c r="N221" s="152">
        <v>2</v>
      </c>
      <c r="O221" s="160">
        <v>141</v>
      </c>
      <c r="P221" s="160">
        <v>0</v>
      </c>
      <c r="Q221" s="160">
        <v>7.6573217127276493E+17</v>
      </c>
    </row>
    <row r="222" spans="4:17" ht="15" customHeight="1">
      <c r="D222" s="158" t="b">
        <v>0</v>
      </c>
      <c r="E222" s="153">
        <v>1.5166200000000001</v>
      </c>
      <c r="F222" s="151">
        <v>12.85</v>
      </c>
      <c r="G222" s="151">
        <v>3.51</v>
      </c>
      <c r="H222" s="152">
        <v>1.44</v>
      </c>
      <c r="I222" s="152">
        <v>73.010000000000005</v>
      </c>
      <c r="J222" s="152">
        <v>0.68</v>
      </c>
      <c r="K222" s="152">
        <v>8.23</v>
      </c>
      <c r="L222" s="152">
        <v>0.06</v>
      </c>
      <c r="M222" s="152">
        <v>0.25</v>
      </c>
      <c r="N222" s="152">
        <v>2</v>
      </c>
      <c r="O222" s="160">
        <v>142</v>
      </c>
      <c r="P222" s="160">
        <v>0</v>
      </c>
      <c r="Q222" s="160">
        <v>1.0963763870795301E+19</v>
      </c>
    </row>
    <row r="223" spans="4:17" ht="15" customHeight="1">
      <c r="D223" s="158" t="b">
        <v>0</v>
      </c>
      <c r="E223" s="153">
        <v>1.51709</v>
      </c>
      <c r="F223" s="151">
        <v>13</v>
      </c>
      <c r="G223" s="151">
        <v>3.47</v>
      </c>
      <c r="H223" s="152">
        <v>1.79</v>
      </c>
      <c r="I223" s="152">
        <v>72.72</v>
      </c>
      <c r="J223" s="152">
        <v>0.66</v>
      </c>
      <c r="K223" s="152">
        <v>8.18</v>
      </c>
      <c r="L223" s="152">
        <v>0</v>
      </c>
      <c r="M223" s="152">
        <v>0</v>
      </c>
      <c r="N223" s="152">
        <v>2</v>
      </c>
      <c r="O223" s="160">
        <v>143</v>
      </c>
      <c r="P223" s="160">
        <v>0</v>
      </c>
      <c r="Q223" s="160">
        <v>6.6805433954083287E+18</v>
      </c>
    </row>
    <row r="224" spans="4:17" ht="15" customHeight="1">
      <c r="D224" s="158" t="b">
        <v>0</v>
      </c>
      <c r="E224" s="153">
        <v>1.5165999999999999</v>
      </c>
      <c r="F224" s="151">
        <v>12.99</v>
      </c>
      <c r="G224" s="151">
        <v>3.18</v>
      </c>
      <c r="H224" s="152">
        <v>1.23</v>
      </c>
      <c r="I224" s="152">
        <v>72.97</v>
      </c>
      <c r="J224" s="152">
        <v>0.57999999999999996</v>
      </c>
      <c r="K224" s="152">
        <v>8.81</v>
      </c>
      <c r="L224" s="152">
        <v>0</v>
      </c>
      <c r="M224" s="152">
        <v>0.24</v>
      </c>
      <c r="N224" s="152">
        <v>2</v>
      </c>
      <c r="O224" s="160">
        <v>144</v>
      </c>
      <c r="P224" s="160">
        <v>0</v>
      </c>
      <c r="Q224" s="160">
        <v>1.5294179340927668E+19</v>
      </c>
    </row>
    <row r="225" spans="4:17" ht="15" customHeight="1">
      <c r="D225" s="158" t="b">
        <v>0</v>
      </c>
      <c r="E225" s="153">
        <v>1.5183899999999999</v>
      </c>
      <c r="F225" s="151">
        <v>12.85</v>
      </c>
      <c r="G225" s="151">
        <v>3.67</v>
      </c>
      <c r="H225" s="152">
        <v>1.24</v>
      </c>
      <c r="I225" s="152">
        <v>72.569999999999993</v>
      </c>
      <c r="J225" s="152">
        <v>0.62</v>
      </c>
      <c r="K225" s="152">
        <v>8.68</v>
      </c>
      <c r="L225" s="152">
        <v>0</v>
      </c>
      <c r="M225" s="152">
        <v>0.35</v>
      </c>
      <c r="N225" s="152">
        <v>2</v>
      </c>
      <c r="O225" s="160">
        <v>145</v>
      </c>
      <c r="P225" s="160">
        <v>0</v>
      </c>
      <c r="Q225" s="160">
        <v>1.7242436414944772E+19</v>
      </c>
    </row>
    <row r="226" spans="4:17" ht="15" customHeight="1">
      <c r="D226" s="158" t="b">
        <v>0</v>
      </c>
      <c r="E226" s="153">
        <v>1.51769</v>
      </c>
      <c r="F226" s="151">
        <v>13.65</v>
      </c>
      <c r="G226" s="151">
        <v>3.66</v>
      </c>
      <c r="H226" s="152">
        <v>1.1100000000000001</v>
      </c>
      <c r="I226" s="152">
        <v>72.77</v>
      </c>
      <c r="J226" s="152">
        <v>0.11</v>
      </c>
      <c r="K226" s="152">
        <v>8.6</v>
      </c>
      <c r="L226" s="152">
        <v>0</v>
      </c>
      <c r="M226" s="152">
        <v>0</v>
      </c>
      <c r="N226" s="152">
        <v>3</v>
      </c>
      <c r="O226" s="160">
        <v>146</v>
      </c>
      <c r="P226" s="160">
        <v>0</v>
      </c>
      <c r="Q226" s="160">
        <v>1.4955076603437304E+19</v>
      </c>
    </row>
    <row r="227" spans="4:17" ht="15" customHeight="1">
      <c r="D227" s="158" t="b">
        <v>0</v>
      </c>
      <c r="E227" s="153">
        <v>1.5161</v>
      </c>
      <c r="F227" s="151">
        <v>13.33</v>
      </c>
      <c r="G227" s="151">
        <v>3.53</v>
      </c>
      <c r="H227" s="152">
        <v>1.34</v>
      </c>
      <c r="I227" s="152">
        <v>72.67</v>
      </c>
      <c r="J227" s="152">
        <v>0.56000000000000005</v>
      </c>
      <c r="K227" s="152">
        <v>8.33</v>
      </c>
      <c r="L227" s="152">
        <v>0</v>
      </c>
      <c r="M227" s="152">
        <v>0</v>
      </c>
      <c r="N227" s="152">
        <v>3</v>
      </c>
      <c r="O227" s="160">
        <v>147</v>
      </c>
      <c r="P227" s="160">
        <v>0</v>
      </c>
      <c r="Q227" s="160">
        <v>3.9096102987356998E+17</v>
      </c>
    </row>
    <row r="228" spans="4:17" ht="15" customHeight="1">
      <c r="D228" s="158" t="b">
        <v>0</v>
      </c>
      <c r="E228" s="153">
        <v>1.5166999999999999</v>
      </c>
      <c r="F228" s="151">
        <v>13.24</v>
      </c>
      <c r="G228" s="151">
        <v>3.57</v>
      </c>
      <c r="H228" s="152">
        <v>1.38</v>
      </c>
      <c r="I228" s="152">
        <v>72.7</v>
      </c>
      <c r="J228" s="152">
        <v>0.56000000000000005</v>
      </c>
      <c r="K228" s="152">
        <v>8.44</v>
      </c>
      <c r="L228" s="152">
        <v>0</v>
      </c>
      <c r="M228" s="152">
        <v>0.1</v>
      </c>
      <c r="N228" s="152">
        <v>3</v>
      </c>
      <c r="O228" s="160">
        <v>148</v>
      </c>
      <c r="P228" s="160">
        <v>0</v>
      </c>
      <c r="Q228" s="160">
        <v>1.1469495952392657E+19</v>
      </c>
    </row>
    <row r="229" spans="4:17" ht="15" customHeight="1">
      <c r="D229" s="158" t="b">
        <v>0</v>
      </c>
      <c r="E229" s="153">
        <v>1.5164299999999999</v>
      </c>
      <c r="F229" s="151">
        <v>12.16</v>
      </c>
      <c r="G229" s="151">
        <v>3.52</v>
      </c>
      <c r="H229" s="152">
        <v>1.35</v>
      </c>
      <c r="I229" s="152">
        <v>72.89</v>
      </c>
      <c r="J229" s="152">
        <v>0.56999999999999995</v>
      </c>
      <c r="K229" s="152">
        <v>8.5299999999999994</v>
      </c>
      <c r="L229" s="152">
        <v>0</v>
      </c>
      <c r="M229" s="152">
        <v>0</v>
      </c>
      <c r="N229" s="152">
        <v>3</v>
      </c>
      <c r="O229" s="160">
        <v>149</v>
      </c>
      <c r="P229" s="160">
        <v>0</v>
      </c>
      <c r="Q229" s="160">
        <v>1.0974803991688456E+19</v>
      </c>
    </row>
    <row r="230" spans="4:17" ht="15" customHeight="1">
      <c r="D230" s="158" t="b">
        <v>0</v>
      </c>
      <c r="E230" s="153">
        <v>1.5166500000000001</v>
      </c>
      <c r="F230" s="151">
        <v>13.14</v>
      </c>
      <c r="G230" s="151">
        <v>3.45</v>
      </c>
      <c r="H230" s="152">
        <v>1.76</v>
      </c>
      <c r="I230" s="152">
        <v>72.48</v>
      </c>
      <c r="J230" s="152">
        <v>0.6</v>
      </c>
      <c r="K230" s="152">
        <v>8.3800000000000008</v>
      </c>
      <c r="L230" s="152">
        <v>0</v>
      </c>
      <c r="M230" s="152">
        <v>0.17</v>
      </c>
      <c r="N230" s="152">
        <v>3</v>
      </c>
      <c r="O230" s="160">
        <v>150</v>
      </c>
      <c r="P230" s="160">
        <v>0</v>
      </c>
      <c r="Q230" s="160">
        <v>5.3753280520104069E+18</v>
      </c>
    </row>
    <row r="231" spans="4:17" ht="15" customHeight="1">
      <c r="D231" s="158" t="b">
        <v>0</v>
      </c>
      <c r="E231" s="153">
        <v>1.5212699999999999</v>
      </c>
      <c r="F231" s="151">
        <v>14.32</v>
      </c>
      <c r="G231" s="151">
        <v>3.9</v>
      </c>
      <c r="H231" s="152">
        <v>0.83</v>
      </c>
      <c r="I231" s="152">
        <v>71.5</v>
      </c>
      <c r="J231" s="152">
        <v>0</v>
      </c>
      <c r="K231" s="152">
        <v>9.49</v>
      </c>
      <c r="L231" s="152">
        <v>0</v>
      </c>
      <c r="M231" s="152">
        <v>0</v>
      </c>
      <c r="N231" s="152">
        <v>3</v>
      </c>
      <c r="O231" s="160">
        <v>151</v>
      </c>
      <c r="P231" s="160">
        <v>0</v>
      </c>
      <c r="Q231" s="160">
        <v>1.5558709685898381E+19</v>
      </c>
    </row>
    <row r="232" spans="4:17" ht="15" customHeight="1">
      <c r="D232" s="158" t="b">
        <v>0</v>
      </c>
      <c r="E232" s="153">
        <v>1.51779</v>
      </c>
      <c r="F232" s="151">
        <v>13.64</v>
      </c>
      <c r="G232" s="151">
        <v>3.65</v>
      </c>
      <c r="H232" s="152">
        <v>0.65</v>
      </c>
      <c r="I232" s="152">
        <v>73</v>
      </c>
      <c r="J232" s="152">
        <v>0.06</v>
      </c>
      <c r="K232" s="152">
        <v>8.93</v>
      </c>
      <c r="L232" s="152">
        <v>0</v>
      </c>
      <c r="M232" s="152">
        <v>0</v>
      </c>
      <c r="N232" s="152">
        <v>3</v>
      </c>
      <c r="O232" s="160">
        <v>152</v>
      </c>
      <c r="P232" s="160">
        <v>0</v>
      </c>
      <c r="Q232" s="160">
        <v>1.6479197111845351E+19</v>
      </c>
    </row>
    <row r="233" spans="4:17" ht="15" customHeight="1">
      <c r="D233" s="158" t="b">
        <v>0</v>
      </c>
      <c r="E233" s="153">
        <v>1.5161</v>
      </c>
      <c r="F233" s="151">
        <v>13.42</v>
      </c>
      <c r="G233" s="151">
        <v>3.4</v>
      </c>
      <c r="H233" s="152">
        <v>1.22</v>
      </c>
      <c r="I233" s="152">
        <v>72.69</v>
      </c>
      <c r="J233" s="152">
        <v>0.59</v>
      </c>
      <c r="K233" s="152">
        <v>8.32</v>
      </c>
      <c r="L233" s="152">
        <v>0</v>
      </c>
      <c r="M233" s="152">
        <v>0</v>
      </c>
      <c r="N233" s="152">
        <v>3</v>
      </c>
      <c r="O233" s="160">
        <v>153</v>
      </c>
      <c r="P233" s="160">
        <v>0</v>
      </c>
      <c r="Q233" s="160">
        <v>1.6642921517523825E+19</v>
      </c>
    </row>
    <row r="234" spans="4:17" ht="15" customHeight="1">
      <c r="D234" s="158" t="b">
        <v>0</v>
      </c>
      <c r="E234" s="153">
        <v>1.51694</v>
      </c>
      <c r="F234" s="151">
        <v>12.86</v>
      </c>
      <c r="G234" s="151">
        <v>3.58</v>
      </c>
      <c r="H234" s="152">
        <v>1.31</v>
      </c>
      <c r="I234" s="152">
        <v>72.61</v>
      </c>
      <c r="J234" s="152">
        <v>0.61</v>
      </c>
      <c r="K234" s="152">
        <v>8.7899999999999991</v>
      </c>
      <c r="L234" s="152">
        <v>0</v>
      </c>
      <c r="M234" s="152">
        <v>0</v>
      </c>
      <c r="N234" s="152">
        <v>3</v>
      </c>
      <c r="O234" s="160">
        <v>154</v>
      </c>
      <c r="P234" s="160">
        <v>0</v>
      </c>
      <c r="Q234" s="160">
        <v>1.6989637665278632E+19</v>
      </c>
    </row>
    <row r="235" spans="4:17" ht="15" customHeight="1">
      <c r="D235" s="158" t="b">
        <v>0</v>
      </c>
      <c r="E235" s="153">
        <v>1.5164599999999999</v>
      </c>
      <c r="F235" s="151">
        <v>13.04</v>
      </c>
      <c r="G235" s="151">
        <v>3.4</v>
      </c>
      <c r="H235" s="152">
        <v>1.26</v>
      </c>
      <c r="I235" s="152">
        <v>73.010000000000005</v>
      </c>
      <c r="J235" s="152">
        <v>0.52</v>
      </c>
      <c r="K235" s="152">
        <v>8.58</v>
      </c>
      <c r="L235" s="152">
        <v>0</v>
      </c>
      <c r="M235" s="152">
        <v>0</v>
      </c>
      <c r="N235" s="152">
        <v>3</v>
      </c>
      <c r="O235" s="160">
        <v>155</v>
      </c>
      <c r="P235" s="160">
        <v>0</v>
      </c>
      <c r="Q235" s="160">
        <v>6.1569166842601318E+18</v>
      </c>
    </row>
    <row r="236" spans="4:17" ht="15" customHeight="1">
      <c r="D236" s="158" t="b">
        <v>0</v>
      </c>
      <c r="E236" s="153">
        <v>1.5165500000000001</v>
      </c>
      <c r="F236" s="151">
        <v>13.41</v>
      </c>
      <c r="G236" s="151">
        <v>3.39</v>
      </c>
      <c r="H236" s="152">
        <v>1.28</v>
      </c>
      <c r="I236" s="152">
        <v>72.64</v>
      </c>
      <c r="J236" s="152">
        <v>0.52</v>
      </c>
      <c r="K236" s="152">
        <v>8.65</v>
      </c>
      <c r="L236" s="152">
        <v>0</v>
      </c>
      <c r="M236" s="152">
        <v>0</v>
      </c>
      <c r="N236" s="152">
        <v>3</v>
      </c>
      <c r="O236" s="160">
        <v>156</v>
      </c>
      <c r="P236" s="160">
        <v>0</v>
      </c>
      <c r="Q236" s="160">
        <v>1.1674112469613746E+19</v>
      </c>
    </row>
    <row r="237" spans="4:17" ht="15" customHeight="1">
      <c r="D237" s="158" t="b">
        <v>0</v>
      </c>
      <c r="E237" s="153">
        <v>1.52121</v>
      </c>
      <c r="F237" s="151">
        <v>14.03</v>
      </c>
      <c r="G237" s="151">
        <v>3.76</v>
      </c>
      <c r="H237" s="152">
        <v>0.57999999999999996</v>
      </c>
      <c r="I237" s="152">
        <v>71.790000000000006</v>
      </c>
      <c r="J237" s="152">
        <v>0.11</v>
      </c>
      <c r="K237" s="152">
        <v>9.65</v>
      </c>
      <c r="L237" s="152">
        <v>0</v>
      </c>
      <c r="M237" s="152">
        <v>0</v>
      </c>
      <c r="N237" s="152">
        <v>3</v>
      </c>
      <c r="O237" s="160">
        <v>157</v>
      </c>
      <c r="P237" s="160">
        <v>0</v>
      </c>
      <c r="Q237" s="160">
        <v>7.1740725166282739E+17</v>
      </c>
    </row>
    <row r="238" spans="4:17" ht="15" customHeight="1">
      <c r="D238" s="158" t="b">
        <v>0</v>
      </c>
      <c r="E238" s="153">
        <v>1.51776</v>
      </c>
      <c r="F238" s="151">
        <v>13.53</v>
      </c>
      <c r="G238" s="151">
        <v>3.41</v>
      </c>
      <c r="H238" s="152">
        <v>1.52</v>
      </c>
      <c r="I238" s="152">
        <v>72.040000000000006</v>
      </c>
      <c r="J238" s="152">
        <v>0.57999999999999996</v>
      </c>
      <c r="K238" s="152">
        <v>8.7899999999999991</v>
      </c>
      <c r="L238" s="152">
        <v>0</v>
      </c>
      <c r="M238" s="152">
        <v>0</v>
      </c>
      <c r="N238" s="152">
        <v>3</v>
      </c>
      <c r="O238" s="160">
        <v>158</v>
      </c>
      <c r="P238" s="160">
        <v>0</v>
      </c>
      <c r="Q238" s="160">
        <v>3.8885569207119176E+18</v>
      </c>
    </row>
    <row r="239" spans="4:17" ht="15" customHeight="1">
      <c r="D239" s="158" t="b">
        <v>0</v>
      </c>
      <c r="E239" s="153">
        <v>1.51796</v>
      </c>
      <c r="F239" s="151">
        <v>13.5</v>
      </c>
      <c r="G239" s="151">
        <v>3.36</v>
      </c>
      <c r="H239" s="152">
        <v>1.63</v>
      </c>
      <c r="I239" s="152">
        <v>71.94</v>
      </c>
      <c r="J239" s="152">
        <v>0.56999999999999995</v>
      </c>
      <c r="K239" s="152">
        <v>8.81</v>
      </c>
      <c r="L239" s="152">
        <v>0</v>
      </c>
      <c r="M239" s="152">
        <v>0.09</v>
      </c>
      <c r="N239" s="152">
        <v>3</v>
      </c>
      <c r="O239" s="160">
        <v>159</v>
      </c>
      <c r="P239" s="160">
        <v>0</v>
      </c>
      <c r="Q239" s="160">
        <v>1.1007911926924302E+19</v>
      </c>
    </row>
    <row r="240" spans="4:17" ht="15" customHeight="1">
      <c r="D240" s="158" t="b">
        <v>0</v>
      </c>
      <c r="E240" s="153">
        <v>1.5183199999999999</v>
      </c>
      <c r="F240" s="151">
        <v>13.33</v>
      </c>
      <c r="G240" s="151">
        <v>3.34</v>
      </c>
      <c r="H240" s="152">
        <v>1.54</v>
      </c>
      <c r="I240" s="152">
        <v>72.14</v>
      </c>
      <c r="J240" s="152">
        <v>0.56000000000000005</v>
      </c>
      <c r="K240" s="152">
        <v>8.99</v>
      </c>
      <c r="L240" s="152">
        <v>0</v>
      </c>
      <c r="M240" s="152">
        <v>0</v>
      </c>
      <c r="N240" s="152">
        <v>3</v>
      </c>
      <c r="O240" s="160">
        <v>160</v>
      </c>
      <c r="P240" s="160">
        <v>0</v>
      </c>
      <c r="Q240" s="160">
        <v>1.439881887757116E+19</v>
      </c>
    </row>
    <row r="241" spans="4:17" ht="15" customHeight="1">
      <c r="D241" s="158" t="b">
        <v>0</v>
      </c>
      <c r="E241" s="153">
        <v>1.5193399999999999</v>
      </c>
      <c r="F241" s="151">
        <v>13.64</v>
      </c>
      <c r="G241" s="151">
        <v>3.54</v>
      </c>
      <c r="H241" s="152">
        <v>0.75</v>
      </c>
      <c r="I241" s="152">
        <v>72.650000000000006</v>
      </c>
      <c r="J241" s="152">
        <v>0.16</v>
      </c>
      <c r="K241" s="152">
        <v>8.89</v>
      </c>
      <c r="L241" s="152">
        <v>0.15</v>
      </c>
      <c r="M241" s="152">
        <v>0.24</v>
      </c>
      <c r="N241" s="152">
        <v>3</v>
      </c>
      <c r="O241" s="160">
        <v>161</v>
      </c>
      <c r="P241" s="160">
        <v>0</v>
      </c>
      <c r="Q241" s="160">
        <v>1.7095457520782434E+19</v>
      </c>
    </row>
    <row r="242" spans="4:17" ht="15" customHeight="1">
      <c r="D242" s="158" t="b">
        <v>0</v>
      </c>
      <c r="E242" s="153">
        <v>1.5221100000000001</v>
      </c>
      <c r="F242" s="151">
        <v>14.19</v>
      </c>
      <c r="G242" s="151">
        <v>3.78</v>
      </c>
      <c r="H242" s="152">
        <v>0.91</v>
      </c>
      <c r="I242" s="152">
        <v>71.36</v>
      </c>
      <c r="J242" s="152">
        <v>0.23</v>
      </c>
      <c r="K242" s="152">
        <v>9.14</v>
      </c>
      <c r="L242" s="152">
        <v>0</v>
      </c>
      <c r="M242" s="152">
        <v>0.37</v>
      </c>
      <c r="N242" s="152">
        <v>3</v>
      </c>
      <c r="O242" s="160">
        <v>162</v>
      </c>
      <c r="P242" s="160">
        <v>0</v>
      </c>
      <c r="Q242" s="160">
        <v>1.1486075011476279E+18</v>
      </c>
    </row>
    <row r="243" spans="4:17" ht="15" customHeight="1">
      <c r="D243" s="158" t="b">
        <v>0</v>
      </c>
      <c r="E243" s="153">
        <v>1.5151399999999999</v>
      </c>
      <c r="F243" s="151">
        <v>14.01</v>
      </c>
      <c r="G243" s="151">
        <v>2.68</v>
      </c>
      <c r="H243" s="152">
        <v>3.5</v>
      </c>
      <c r="I243" s="152">
        <v>69.89</v>
      </c>
      <c r="J243" s="152">
        <v>1.68</v>
      </c>
      <c r="K243" s="152">
        <v>5.87</v>
      </c>
      <c r="L243" s="152">
        <v>2.2000000000000002</v>
      </c>
      <c r="M243" s="152">
        <v>0</v>
      </c>
      <c r="N243" s="152">
        <v>5</v>
      </c>
      <c r="O243" s="160">
        <v>163</v>
      </c>
      <c r="P243" s="160">
        <v>0</v>
      </c>
      <c r="Q243" s="160">
        <v>1.8074327942571201E+19</v>
      </c>
    </row>
    <row r="244" spans="4:17" ht="15" customHeight="1">
      <c r="D244" s="158" t="b">
        <v>0</v>
      </c>
      <c r="E244" s="153">
        <v>1.51915</v>
      </c>
      <c r="F244" s="151">
        <v>12.73</v>
      </c>
      <c r="G244" s="151">
        <v>1.85</v>
      </c>
      <c r="H244" s="152">
        <v>1.86</v>
      </c>
      <c r="I244" s="152">
        <v>72.69</v>
      </c>
      <c r="J244" s="152">
        <v>0.6</v>
      </c>
      <c r="K244" s="152">
        <v>10.09</v>
      </c>
      <c r="L244" s="152">
        <v>0</v>
      </c>
      <c r="M244" s="152">
        <v>0</v>
      </c>
      <c r="N244" s="152">
        <v>5</v>
      </c>
      <c r="O244" s="160">
        <v>164</v>
      </c>
      <c r="P244" s="160">
        <v>0</v>
      </c>
      <c r="Q244" s="160">
        <v>1.3642826180132334E+19</v>
      </c>
    </row>
    <row r="245" spans="4:17" ht="15" customHeight="1">
      <c r="D245" s="158" t="b">
        <v>0</v>
      </c>
      <c r="E245" s="153">
        <v>1.5217099999999999</v>
      </c>
      <c r="F245" s="151">
        <v>11.56</v>
      </c>
      <c r="G245" s="151">
        <v>1.88</v>
      </c>
      <c r="H245" s="152">
        <v>1.56</v>
      </c>
      <c r="I245" s="152">
        <v>72.86</v>
      </c>
      <c r="J245" s="152">
        <v>0.47</v>
      </c>
      <c r="K245" s="152">
        <v>11.41</v>
      </c>
      <c r="L245" s="152">
        <v>0</v>
      </c>
      <c r="M245" s="152">
        <v>0</v>
      </c>
      <c r="N245" s="152">
        <v>5</v>
      </c>
      <c r="O245" s="160">
        <v>165</v>
      </c>
      <c r="P245" s="160">
        <v>0</v>
      </c>
      <c r="Q245" s="160">
        <v>1.2788765702745305E+19</v>
      </c>
    </row>
    <row r="246" spans="4:17" ht="15" customHeight="1">
      <c r="D246" s="158" t="b">
        <v>0</v>
      </c>
      <c r="E246" s="153">
        <v>1.5215099999999999</v>
      </c>
      <c r="F246" s="151">
        <v>11.03</v>
      </c>
      <c r="G246" s="151">
        <v>1.71</v>
      </c>
      <c r="H246" s="152">
        <v>1.56</v>
      </c>
      <c r="I246" s="152">
        <v>73.44</v>
      </c>
      <c r="J246" s="152">
        <v>0.57999999999999996</v>
      </c>
      <c r="K246" s="152">
        <v>11.62</v>
      </c>
      <c r="L246" s="152">
        <v>0</v>
      </c>
      <c r="M246" s="152">
        <v>0</v>
      </c>
      <c r="N246" s="152">
        <v>5</v>
      </c>
      <c r="O246" s="160">
        <v>166</v>
      </c>
      <c r="P246" s="160">
        <v>0</v>
      </c>
      <c r="Q246" s="160">
        <v>8.5885572449035745E+18</v>
      </c>
    </row>
    <row r="247" spans="4:17" ht="15" customHeight="1">
      <c r="D247" s="158" t="b">
        <v>0</v>
      </c>
      <c r="E247" s="153">
        <v>1.51969</v>
      </c>
      <c r="F247" s="151">
        <v>12.64</v>
      </c>
      <c r="G247" s="151">
        <v>0</v>
      </c>
      <c r="H247" s="152">
        <v>1.65</v>
      </c>
      <c r="I247" s="152">
        <v>73.75</v>
      </c>
      <c r="J247" s="152">
        <v>0.38</v>
      </c>
      <c r="K247" s="152">
        <v>11.53</v>
      </c>
      <c r="L247" s="152">
        <v>0</v>
      </c>
      <c r="M247" s="152">
        <v>0</v>
      </c>
      <c r="N247" s="152">
        <v>5</v>
      </c>
      <c r="O247" s="160">
        <v>167</v>
      </c>
      <c r="P247" s="160">
        <v>0</v>
      </c>
      <c r="Q247" s="160">
        <v>1.538443727667345E+19</v>
      </c>
    </row>
    <row r="248" spans="4:17" ht="15" customHeight="1">
      <c r="D248" s="158" t="b">
        <v>0</v>
      </c>
      <c r="E248" s="153">
        <v>1.5166599999999999</v>
      </c>
      <c r="F248" s="151">
        <v>12.86</v>
      </c>
      <c r="G248" s="151">
        <v>0</v>
      </c>
      <c r="H248" s="152">
        <v>1.83</v>
      </c>
      <c r="I248" s="152">
        <v>73.88</v>
      </c>
      <c r="J248" s="152">
        <v>0.97</v>
      </c>
      <c r="K248" s="152">
        <v>10.17</v>
      </c>
      <c r="L248" s="152">
        <v>0</v>
      </c>
      <c r="M248" s="152">
        <v>0</v>
      </c>
      <c r="N248" s="152">
        <v>5</v>
      </c>
      <c r="O248" s="160">
        <v>168</v>
      </c>
      <c r="P248" s="160">
        <v>0</v>
      </c>
      <c r="Q248" s="160">
        <v>1.4796830410648904E+19</v>
      </c>
    </row>
    <row r="249" spans="4:17" ht="15" customHeight="1">
      <c r="D249" s="158" t="b">
        <v>0</v>
      </c>
      <c r="E249" s="153">
        <v>1.5199400000000001</v>
      </c>
      <c r="F249" s="151">
        <v>13.27</v>
      </c>
      <c r="G249" s="151">
        <v>0</v>
      </c>
      <c r="H249" s="152">
        <v>1.76</v>
      </c>
      <c r="I249" s="152">
        <v>73.03</v>
      </c>
      <c r="J249" s="152">
        <v>0.47</v>
      </c>
      <c r="K249" s="152">
        <v>11.32</v>
      </c>
      <c r="L249" s="152">
        <v>0</v>
      </c>
      <c r="M249" s="152">
        <v>0</v>
      </c>
      <c r="N249" s="152">
        <v>5</v>
      </c>
      <c r="O249" s="160">
        <v>169</v>
      </c>
      <c r="P249" s="160">
        <v>0</v>
      </c>
      <c r="Q249" s="160">
        <v>8.1819819559737938E+18</v>
      </c>
    </row>
    <row r="250" spans="4:17" ht="15" customHeight="1">
      <c r="D250" s="158" t="b">
        <v>0</v>
      </c>
      <c r="E250" s="153">
        <v>1.52369</v>
      </c>
      <c r="F250" s="151">
        <v>13.44</v>
      </c>
      <c r="G250" s="151">
        <v>0</v>
      </c>
      <c r="H250" s="152">
        <v>1.58</v>
      </c>
      <c r="I250" s="152">
        <v>72.22</v>
      </c>
      <c r="J250" s="152">
        <v>0.32</v>
      </c>
      <c r="K250" s="152">
        <v>12.24</v>
      </c>
      <c r="L250" s="152">
        <v>0</v>
      </c>
      <c r="M250" s="152">
        <v>0</v>
      </c>
      <c r="N250" s="152">
        <v>5</v>
      </c>
      <c r="O250" s="160">
        <v>170</v>
      </c>
      <c r="P250" s="160">
        <v>0</v>
      </c>
      <c r="Q250" s="160">
        <v>7.256883809168938E+18</v>
      </c>
    </row>
    <row r="251" spans="4:17" ht="15" customHeight="1">
      <c r="D251" s="158" t="b">
        <v>0</v>
      </c>
      <c r="E251" s="153">
        <v>1.5131600000000001</v>
      </c>
      <c r="F251" s="151">
        <v>13.02</v>
      </c>
      <c r="G251" s="151">
        <v>0</v>
      </c>
      <c r="H251" s="152">
        <v>3.04</v>
      </c>
      <c r="I251" s="152">
        <v>70.48</v>
      </c>
      <c r="J251" s="152">
        <v>6.21</v>
      </c>
      <c r="K251" s="152">
        <v>6.96</v>
      </c>
      <c r="L251" s="152">
        <v>0</v>
      </c>
      <c r="M251" s="152">
        <v>0</v>
      </c>
      <c r="N251" s="152">
        <v>5</v>
      </c>
      <c r="O251" s="160">
        <v>171</v>
      </c>
      <c r="P251" s="160">
        <v>0</v>
      </c>
      <c r="Q251" s="160">
        <v>9.0685403746615491E+18</v>
      </c>
    </row>
    <row r="252" spans="4:17" ht="15" customHeight="1">
      <c r="D252" s="158" t="b">
        <v>0</v>
      </c>
      <c r="E252" s="153">
        <v>1.5132099999999999</v>
      </c>
      <c r="F252" s="151">
        <v>13</v>
      </c>
      <c r="G252" s="151">
        <v>0</v>
      </c>
      <c r="H252" s="152">
        <v>3.02</v>
      </c>
      <c r="I252" s="152">
        <v>70.7</v>
      </c>
      <c r="J252" s="152">
        <v>6.21</v>
      </c>
      <c r="K252" s="152">
        <v>6.93</v>
      </c>
      <c r="L252" s="152">
        <v>0</v>
      </c>
      <c r="M252" s="152">
        <v>0</v>
      </c>
      <c r="N252" s="152">
        <v>5</v>
      </c>
      <c r="O252" s="160">
        <v>172</v>
      </c>
      <c r="P252" s="160">
        <v>0</v>
      </c>
      <c r="Q252" s="160">
        <v>1.6400418959968598E+19</v>
      </c>
    </row>
    <row r="253" spans="4:17" ht="15" customHeight="1">
      <c r="D253" s="158" t="b">
        <v>0</v>
      </c>
      <c r="E253" s="153">
        <v>1.5204299999999999</v>
      </c>
      <c r="F253" s="151">
        <v>13.38</v>
      </c>
      <c r="G253" s="151">
        <v>0</v>
      </c>
      <c r="H253" s="152">
        <v>1.4</v>
      </c>
      <c r="I253" s="152">
        <v>72.25</v>
      </c>
      <c r="J253" s="152">
        <v>0.33</v>
      </c>
      <c r="K253" s="152">
        <v>12.5</v>
      </c>
      <c r="L253" s="152">
        <v>0</v>
      </c>
      <c r="M253" s="152">
        <v>0</v>
      </c>
      <c r="N253" s="152">
        <v>5</v>
      </c>
      <c r="O253" s="160">
        <v>173</v>
      </c>
      <c r="P253" s="160">
        <v>0</v>
      </c>
      <c r="Q253" s="160">
        <v>1.828829720325796E+19</v>
      </c>
    </row>
    <row r="254" spans="4:17" ht="15" customHeight="1">
      <c r="D254" s="158" t="b">
        <v>0</v>
      </c>
      <c r="E254" s="153">
        <v>1.52058</v>
      </c>
      <c r="F254" s="151">
        <v>12.85</v>
      </c>
      <c r="G254" s="151">
        <v>1.61</v>
      </c>
      <c r="H254" s="152">
        <v>2.17</v>
      </c>
      <c r="I254" s="152">
        <v>72.180000000000007</v>
      </c>
      <c r="J254" s="152">
        <v>0.76</v>
      </c>
      <c r="K254" s="152">
        <v>9.6999999999999993</v>
      </c>
      <c r="L254" s="152">
        <v>0.24</v>
      </c>
      <c r="M254" s="152">
        <v>0.51</v>
      </c>
      <c r="N254" s="152">
        <v>5</v>
      </c>
      <c r="O254" s="160">
        <v>174</v>
      </c>
      <c r="P254" s="160">
        <v>0</v>
      </c>
      <c r="Q254" s="160">
        <v>1.467209106944213E+18</v>
      </c>
    </row>
    <row r="255" spans="4:17" ht="15" customHeight="1">
      <c r="D255" s="158" t="b">
        <v>0</v>
      </c>
      <c r="E255" s="153">
        <v>1.52119</v>
      </c>
      <c r="F255" s="151">
        <v>12.97</v>
      </c>
      <c r="G255" s="151">
        <v>0.33</v>
      </c>
      <c r="H255" s="152">
        <v>1.51</v>
      </c>
      <c r="I255" s="152">
        <v>73.39</v>
      </c>
      <c r="J255" s="152">
        <v>0.13</v>
      </c>
      <c r="K255" s="152">
        <v>11.27</v>
      </c>
      <c r="L255" s="152">
        <v>0</v>
      </c>
      <c r="M255" s="152">
        <v>0.28000000000000003</v>
      </c>
      <c r="N255" s="152">
        <v>5</v>
      </c>
      <c r="O255" s="160">
        <v>175</v>
      </c>
      <c r="P255" s="160">
        <v>0</v>
      </c>
      <c r="Q255" s="160">
        <v>1.7461831329815327E+19</v>
      </c>
    </row>
    <row r="256" spans="4:17" ht="15" customHeight="1">
      <c r="D256" s="158" t="b">
        <v>0</v>
      </c>
      <c r="E256" s="153">
        <v>1.51905</v>
      </c>
      <c r="F256" s="151">
        <v>14</v>
      </c>
      <c r="G256" s="151">
        <v>2.39</v>
      </c>
      <c r="H256" s="152">
        <v>1.56</v>
      </c>
      <c r="I256" s="152">
        <v>72.37</v>
      </c>
      <c r="J256" s="152">
        <v>0</v>
      </c>
      <c r="K256" s="152">
        <v>9.57</v>
      </c>
      <c r="L256" s="152">
        <v>0</v>
      </c>
      <c r="M256" s="152">
        <v>0</v>
      </c>
      <c r="N256" s="152">
        <v>6</v>
      </c>
      <c r="O256" s="160">
        <v>176</v>
      </c>
      <c r="P256" s="160">
        <v>0</v>
      </c>
      <c r="Q256" s="160">
        <v>1.6089846413667326E+19</v>
      </c>
    </row>
    <row r="257" spans="4:17" ht="15" customHeight="1">
      <c r="D257" s="158" t="b">
        <v>0</v>
      </c>
      <c r="E257" s="153">
        <v>1.5193700000000001</v>
      </c>
      <c r="F257" s="151">
        <v>13.79</v>
      </c>
      <c r="G257" s="151">
        <v>2.41</v>
      </c>
      <c r="H257" s="152">
        <v>1.19</v>
      </c>
      <c r="I257" s="152">
        <v>72.760000000000005</v>
      </c>
      <c r="J257" s="152">
        <v>0</v>
      </c>
      <c r="K257" s="152">
        <v>9.77</v>
      </c>
      <c r="L257" s="152">
        <v>0</v>
      </c>
      <c r="M257" s="152">
        <v>0</v>
      </c>
      <c r="N257" s="152">
        <v>6</v>
      </c>
      <c r="O257" s="160">
        <v>177</v>
      </c>
      <c r="P257" s="160">
        <v>0</v>
      </c>
      <c r="Q257" s="160">
        <v>1.1631205733021506E+19</v>
      </c>
    </row>
    <row r="258" spans="4:17" ht="15" customHeight="1">
      <c r="D258" s="158" t="b">
        <v>0</v>
      </c>
      <c r="E258" s="153">
        <v>1.5182899999999999</v>
      </c>
      <c r="F258" s="151">
        <v>14.46</v>
      </c>
      <c r="G258" s="151">
        <v>2.2400000000000002</v>
      </c>
      <c r="H258" s="152">
        <v>1.62</v>
      </c>
      <c r="I258" s="152">
        <v>72.38</v>
      </c>
      <c r="J258" s="152">
        <v>0</v>
      </c>
      <c r="K258" s="152">
        <v>9.26</v>
      </c>
      <c r="L258" s="152">
        <v>0</v>
      </c>
      <c r="M258" s="152">
        <v>0</v>
      </c>
      <c r="N258" s="152">
        <v>6</v>
      </c>
      <c r="O258" s="160">
        <v>178</v>
      </c>
      <c r="P258" s="160">
        <v>0</v>
      </c>
      <c r="Q258" s="160">
        <v>1.3234698266884164E+19</v>
      </c>
    </row>
    <row r="259" spans="4:17" ht="15" customHeight="1">
      <c r="D259" s="158" t="b">
        <v>0</v>
      </c>
      <c r="E259" s="153">
        <v>1.5185200000000001</v>
      </c>
      <c r="F259" s="151">
        <v>14.09</v>
      </c>
      <c r="G259" s="151">
        <v>2.19</v>
      </c>
      <c r="H259" s="152">
        <v>1.66</v>
      </c>
      <c r="I259" s="152">
        <v>72.67</v>
      </c>
      <c r="J259" s="152">
        <v>0</v>
      </c>
      <c r="K259" s="152">
        <v>9.32</v>
      </c>
      <c r="L259" s="152">
        <v>0</v>
      </c>
      <c r="M259" s="152">
        <v>0</v>
      </c>
      <c r="N259" s="152">
        <v>6</v>
      </c>
      <c r="O259" s="160">
        <v>179</v>
      </c>
      <c r="P259" s="160">
        <v>0</v>
      </c>
      <c r="Q259" s="160">
        <v>1.321119314952372E+19</v>
      </c>
    </row>
    <row r="260" spans="4:17" ht="15" customHeight="1">
      <c r="D260" s="158" t="b">
        <v>0</v>
      </c>
      <c r="E260" s="153">
        <v>1.5129900000000001</v>
      </c>
      <c r="F260" s="151">
        <v>14.4</v>
      </c>
      <c r="G260" s="151">
        <v>1.74</v>
      </c>
      <c r="H260" s="152">
        <v>1.54</v>
      </c>
      <c r="I260" s="152">
        <v>74.55</v>
      </c>
      <c r="J260" s="152">
        <v>0</v>
      </c>
      <c r="K260" s="152">
        <v>7.59</v>
      </c>
      <c r="L260" s="152">
        <v>0</v>
      </c>
      <c r="M260" s="152">
        <v>0</v>
      </c>
      <c r="N260" s="152">
        <v>6</v>
      </c>
      <c r="O260" s="160">
        <v>180</v>
      </c>
      <c r="P260" s="160">
        <v>0</v>
      </c>
      <c r="Q260" s="160">
        <v>4.1901306299901102E+18</v>
      </c>
    </row>
    <row r="261" spans="4:17" ht="15" customHeight="1">
      <c r="D261" s="158" t="b">
        <v>0</v>
      </c>
      <c r="E261" s="153">
        <v>1.51888</v>
      </c>
      <c r="F261" s="151">
        <v>14.99</v>
      </c>
      <c r="G261" s="151">
        <v>0.78</v>
      </c>
      <c r="H261" s="152">
        <v>1.74</v>
      </c>
      <c r="I261" s="152">
        <v>72.5</v>
      </c>
      <c r="J261" s="152">
        <v>0</v>
      </c>
      <c r="K261" s="152">
        <v>9.9499999999999993</v>
      </c>
      <c r="L261" s="152">
        <v>0</v>
      </c>
      <c r="M261" s="152">
        <v>0</v>
      </c>
      <c r="N261" s="152">
        <v>6</v>
      </c>
      <c r="O261" s="160">
        <v>181</v>
      </c>
      <c r="P261" s="160">
        <v>0</v>
      </c>
      <c r="Q261" s="160">
        <v>1.16823999333917E+19</v>
      </c>
    </row>
    <row r="262" spans="4:17" ht="15" customHeight="1">
      <c r="D262" s="158" t="b">
        <v>0</v>
      </c>
      <c r="E262" s="153">
        <v>1.5191600000000001</v>
      </c>
      <c r="F262" s="151">
        <v>14.15</v>
      </c>
      <c r="G262" s="151">
        <v>0</v>
      </c>
      <c r="H262" s="152">
        <v>2.09</v>
      </c>
      <c r="I262" s="152">
        <v>72.739999999999995</v>
      </c>
      <c r="J262" s="152">
        <v>0</v>
      </c>
      <c r="K262" s="152">
        <v>10.88</v>
      </c>
      <c r="L262" s="152">
        <v>0</v>
      </c>
      <c r="M262" s="152">
        <v>0</v>
      </c>
      <c r="N262" s="152">
        <v>6</v>
      </c>
      <c r="O262" s="160">
        <v>182</v>
      </c>
      <c r="P262" s="160">
        <v>0</v>
      </c>
      <c r="Q262" s="160">
        <v>4.8183016469772155E+18</v>
      </c>
    </row>
    <row r="263" spans="4:17" ht="15" customHeight="1">
      <c r="D263" s="158" t="b">
        <v>0</v>
      </c>
      <c r="E263" s="153">
        <v>1.51969</v>
      </c>
      <c r="F263" s="151">
        <v>14.56</v>
      </c>
      <c r="G263" s="151">
        <v>0</v>
      </c>
      <c r="H263" s="152">
        <v>0.56000000000000005</v>
      </c>
      <c r="I263" s="152">
        <v>73.48</v>
      </c>
      <c r="J263" s="152">
        <v>0</v>
      </c>
      <c r="K263" s="152">
        <v>11.22</v>
      </c>
      <c r="L263" s="152">
        <v>0</v>
      </c>
      <c r="M263" s="152">
        <v>0</v>
      </c>
      <c r="N263" s="152">
        <v>6</v>
      </c>
      <c r="O263" s="160">
        <v>183</v>
      </c>
      <c r="P263" s="160">
        <v>0</v>
      </c>
      <c r="Q263" s="160">
        <v>1.1954526869143474E+19</v>
      </c>
    </row>
    <row r="264" spans="4:17" ht="15" customHeight="1">
      <c r="D264" s="158" t="b">
        <v>0</v>
      </c>
      <c r="E264" s="153">
        <v>1.51115</v>
      </c>
      <c r="F264" s="151">
        <v>17.38</v>
      </c>
      <c r="G264" s="151">
        <v>0</v>
      </c>
      <c r="H264" s="152">
        <v>0.34</v>
      </c>
      <c r="I264" s="152">
        <v>75.41</v>
      </c>
      <c r="J264" s="152">
        <v>0</v>
      </c>
      <c r="K264" s="152">
        <v>6.65</v>
      </c>
      <c r="L264" s="152">
        <v>0</v>
      </c>
      <c r="M264" s="152">
        <v>0</v>
      </c>
      <c r="N264" s="152">
        <v>6</v>
      </c>
      <c r="O264" s="160">
        <v>184</v>
      </c>
      <c r="P264" s="160">
        <v>0</v>
      </c>
      <c r="Q264" s="160">
        <v>1.6805184927596917E+19</v>
      </c>
    </row>
    <row r="265" spans="4:17" ht="15" customHeight="1">
      <c r="D265" s="158" t="b">
        <v>0</v>
      </c>
      <c r="E265" s="153">
        <v>1.5113099999999999</v>
      </c>
      <c r="F265" s="151">
        <v>13.69</v>
      </c>
      <c r="G265" s="151">
        <v>3.2</v>
      </c>
      <c r="H265" s="152">
        <v>1.81</v>
      </c>
      <c r="I265" s="152">
        <v>72.81</v>
      </c>
      <c r="J265" s="152">
        <v>1.76</v>
      </c>
      <c r="K265" s="152">
        <v>5.43</v>
      </c>
      <c r="L265" s="152">
        <v>1.19</v>
      </c>
      <c r="M265" s="152">
        <v>0</v>
      </c>
      <c r="N265" s="152">
        <v>7</v>
      </c>
      <c r="O265" s="160">
        <v>185</v>
      </c>
      <c r="P265" s="160">
        <v>0</v>
      </c>
      <c r="Q265" s="160">
        <v>3.787096117879148E+18</v>
      </c>
    </row>
    <row r="266" spans="4:17" ht="15" customHeight="1">
      <c r="D266" s="158" t="b">
        <v>0</v>
      </c>
      <c r="E266" s="153">
        <v>1.5183800000000001</v>
      </c>
      <c r="F266" s="151">
        <v>14.32</v>
      </c>
      <c r="G266" s="151">
        <v>3.26</v>
      </c>
      <c r="H266" s="152">
        <v>2.2200000000000002</v>
      </c>
      <c r="I266" s="152">
        <v>71.25</v>
      </c>
      <c r="J266" s="152">
        <v>1.46</v>
      </c>
      <c r="K266" s="152">
        <v>5.79</v>
      </c>
      <c r="L266" s="152">
        <v>1.63</v>
      </c>
      <c r="M266" s="152">
        <v>0</v>
      </c>
      <c r="N266" s="152">
        <v>7</v>
      </c>
      <c r="O266" s="160">
        <v>186</v>
      </c>
      <c r="P266" s="160">
        <v>0</v>
      </c>
      <c r="Q266" s="160">
        <v>1.5598216430864841E+19</v>
      </c>
    </row>
    <row r="267" spans="4:17" ht="15" customHeight="1">
      <c r="D267" s="158" t="b">
        <v>0</v>
      </c>
      <c r="E267" s="153">
        <v>1.52315</v>
      </c>
      <c r="F267" s="151">
        <v>13.44</v>
      </c>
      <c r="G267" s="151">
        <v>3.34</v>
      </c>
      <c r="H267" s="152">
        <v>1.23</v>
      </c>
      <c r="I267" s="152">
        <v>72.38</v>
      </c>
      <c r="J267" s="152">
        <v>0.6</v>
      </c>
      <c r="K267" s="152">
        <v>8.83</v>
      </c>
      <c r="L267" s="152">
        <v>0</v>
      </c>
      <c r="M267" s="152">
        <v>0</v>
      </c>
      <c r="N267" s="152">
        <v>7</v>
      </c>
      <c r="O267" s="160">
        <v>187</v>
      </c>
      <c r="P267" s="160">
        <v>0</v>
      </c>
      <c r="Q267" s="160">
        <v>8.4729624933347615E+18</v>
      </c>
    </row>
    <row r="268" spans="4:17" ht="15" customHeight="1">
      <c r="D268" s="158" t="b">
        <v>0</v>
      </c>
      <c r="E268" s="153">
        <v>1.52247</v>
      </c>
      <c r="F268" s="151">
        <v>14.86</v>
      </c>
      <c r="G268" s="151">
        <v>2.2000000000000002</v>
      </c>
      <c r="H268" s="152">
        <v>2.06</v>
      </c>
      <c r="I268" s="152">
        <v>70.260000000000005</v>
      </c>
      <c r="J268" s="152">
        <v>0.76</v>
      </c>
      <c r="K268" s="152">
        <v>9.76</v>
      </c>
      <c r="L268" s="152">
        <v>0</v>
      </c>
      <c r="M268" s="152">
        <v>0</v>
      </c>
      <c r="N268" s="152">
        <v>7</v>
      </c>
      <c r="O268" s="160">
        <v>188</v>
      </c>
      <c r="P268" s="160">
        <v>0</v>
      </c>
      <c r="Q268" s="160">
        <v>1.690072946634443E+19</v>
      </c>
    </row>
    <row r="269" spans="4:17" ht="15" customHeight="1">
      <c r="D269" s="158" t="b">
        <v>0</v>
      </c>
      <c r="E269" s="153">
        <v>1.5236499999999999</v>
      </c>
      <c r="F269" s="151">
        <v>15.79</v>
      </c>
      <c r="G269" s="151">
        <v>1.83</v>
      </c>
      <c r="H269" s="152">
        <v>1.31</v>
      </c>
      <c r="I269" s="152">
        <v>70.430000000000007</v>
      </c>
      <c r="J269" s="152">
        <v>0.31</v>
      </c>
      <c r="K269" s="152">
        <v>8.61</v>
      </c>
      <c r="L269" s="152">
        <v>1.68</v>
      </c>
      <c r="M269" s="152">
        <v>0</v>
      </c>
      <c r="N269" s="152">
        <v>7</v>
      </c>
      <c r="O269" s="160">
        <v>189</v>
      </c>
      <c r="P269" s="160">
        <v>0</v>
      </c>
      <c r="Q269" s="160">
        <v>1.18152969466937E+19</v>
      </c>
    </row>
    <row r="270" spans="4:17" ht="15" customHeight="1">
      <c r="D270" s="158" t="b">
        <v>0</v>
      </c>
      <c r="E270" s="153">
        <v>1.51613</v>
      </c>
      <c r="F270" s="151">
        <v>13.88</v>
      </c>
      <c r="G270" s="151">
        <v>1.78</v>
      </c>
      <c r="H270" s="152">
        <v>1.79</v>
      </c>
      <c r="I270" s="152">
        <v>73.099999999999994</v>
      </c>
      <c r="J270" s="152">
        <v>0</v>
      </c>
      <c r="K270" s="152">
        <v>8.67</v>
      </c>
      <c r="L270" s="152">
        <v>0.76</v>
      </c>
      <c r="M270" s="152">
        <v>0</v>
      </c>
      <c r="N270" s="152">
        <v>7</v>
      </c>
      <c r="O270" s="160">
        <v>190</v>
      </c>
      <c r="P270" s="160">
        <v>0</v>
      </c>
      <c r="Q270" s="160">
        <v>1.120220251197584E+19</v>
      </c>
    </row>
    <row r="271" spans="4:17" ht="15" customHeight="1">
      <c r="D271" s="158" t="b">
        <v>0</v>
      </c>
      <c r="E271" s="153">
        <v>1.5160199999999999</v>
      </c>
      <c r="F271" s="151">
        <v>14.85</v>
      </c>
      <c r="G271" s="151">
        <v>0</v>
      </c>
      <c r="H271" s="152">
        <v>2.38</v>
      </c>
      <c r="I271" s="152">
        <v>73.28</v>
      </c>
      <c r="J271" s="152">
        <v>0</v>
      </c>
      <c r="K271" s="152">
        <v>8.76</v>
      </c>
      <c r="L271" s="152">
        <v>0.64</v>
      </c>
      <c r="M271" s="152">
        <v>0.09</v>
      </c>
      <c r="N271" s="152">
        <v>7</v>
      </c>
      <c r="O271" s="160">
        <v>191</v>
      </c>
      <c r="P271" s="160">
        <v>0</v>
      </c>
      <c r="Q271" s="160">
        <v>1.825440193049982E+19</v>
      </c>
    </row>
    <row r="272" spans="4:17" ht="15" customHeight="1">
      <c r="D272" s="158" t="b">
        <v>0</v>
      </c>
      <c r="E272" s="153">
        <v>1.51623</v>
      </c>
      <c r="F272" s="151">
        <v>14.2</v>
      </c>
      <c r="G272" s="151">
        <v>0</v>
      </c>
      <c r="H272" s="152">
        <v>2.79</v>
      </c>
      <c r="I272" s="152">
        <v>73.459999999999994</v>
      </c>
      <c r="J272" s="152">
        <v>0.04</v>
      </c>
      <c r="K272" s="152">
        <v>9.0399999999999991</v>
      </c>
      <c r="L272" s="152">
        <v>0.4</v>
      </c>
      <c r="M272" s="152">
        <v>0.09</v>
      </c>
      <c r="N272" s="152">
        <v>7</v>
      </c>
      <c r="O272" s="160">
        <v>192</v>
      </c>
      <c r="P272" s="160">
        <v>0</v>
      </c>
      <c r="Q272" s="160">
        <v>1.0970502848756965E+19</v>
      </c>
    </row>
    <row r="273" spans="4:17" ht="15" customHeight="1">
      <c r="D273" s="158" t="b">
        <v>0</v>
      </c>
      <c r="E273" s="153">
        <v>1.51719</v>
      </c>
      <c r="F273" s="151">
        <v>14.75</v>
      </c>
      <c r="G273" s="151">
        <v>0</v>
      </c>
      <c r="H273" s="152">
        <v>2</v>
      </c>
      <c r="I273" s="152">
        <v>73.02</v>
      </c>
      <c r="J273" s="152">
        <v>0</v>
      </c>
      <c r="K273" s="152">
        <v>8.5299999999999994</v>
      </c>
      <c r="L273" s="152">
        <v>1.59</v>
      </c>
      <c r="M273" s="152">
        <v>0.08</v>
      </c>
      <c r="N273" s="152">
        <v>7</v>
      </c>
      <c r="O273" s="160">
        <v>193</v>
      </c>
      <c r="P273" s="160">
        <v>0</v>
      </c>
      <c r="Q273" s="160">
        <v>1.5617567213802498E+19</v>
      </c>
    </row>
    <row r="274" spans="4:17" ht="15" customHeight="1">
      <c r="D274" s="158" t="b">
        <v>0</v>
      </c>
      <c r="E274" s="153">
        <v>1.5168299999999999</v>
      </c>
      <c r="F274" s="151">
        <v>14.56</v>
      </c>
      <c r="G274" s="151">
        <v>0</v>
      </c>
      <c r="H274" s="152">
        <v>1.98</v>
      </c>
      <c r="I274" s="152">
        <v>73.290000000000006</v>
      </c>
      <c r="J274" s="152">
        <v>0</v>
      </c>
      <c r="K274" s="152">
        <v>8.52</v>
      </c>
      <c r="L274" s="152">
        <v>1.57</v>
      </c>
      <c r="M274" s="152">
        <v>7.0000000000000007E-2</v>
      </c>
      <c r="N274" s="152">
        <v>7</v>
      </c>
      <c r="O274" s="160">
        <v>194</v>
      </c>
      <c r="P274" s="160">
        <v>0</v>
      </c>
      <c r="Q274" s="160">
        <v>1.4885722819263687E+19</v>
      </c>
    </row>
    <row r="275" spans="4:17" ht="15" customHeight="1">
      <c r="D275" s="158" t="b">
        <v>0</v>
      </c>
      <c r="E275" s="153">
        <v>1.51545</v>
      </c>
      <c r="F275" s="151">
        <v>14.14</v>
      </c>
      <c r="G275" s="151">
        <v>0</v>
      </c>
      <c r="H275" s="152">
        <v>2.68</v>
      </c>
      <c r="I275" s="152">
        <v>73.39</v>
      </c>
      <c r="J275" s="152">
        <v>0.08</v>
      </c>
      <c r="K275" s="152">
        <v>9.07</v>
      </c>
      <c r="L275" s="152">
        <v>0.61</v>
      </c>
      <c r="M275" s="152">
        <v>0.05</v>
      </c>
      <c r="N275" s="152">
        <v>7</v>
      </c>
      <c r="O275" s="160">
        <v>195</v>
      </c>
      <c r="P275" s="160">
        <v>0</v>
      </c>
      <c r="Q275" s="160">
        <v>1.0564505495961733E+19</v>
      </c>
    </row>
    <row r="276" spans="4:17" ht="15" customHeight="1">
      <c r="D276" s="158" t="b">
        <v>0</v>
      </c>
      <c r="E276" s="153">
        <v>1.51556</v>
      </c>
      <c r="F276" s="151">
        <v>13.87</v>
      </c>
      <c r="G276" s="151">
        <v>0</v>
      </c>
      <c r="H276" s="152">
        <v>2.54</v>
      </c>
      <c r="I276" s="152">
        <v>73.23</v>
      </c>
      <c r="J276" s="152">
        <v>0.14000000000000001</v>
      </c>
      <c r="K276" s="152">
        <v>9.41</v>
      </c>
      <c r="L276" s="152">
        <v>0.81</v>
      </c>
      <c r="M276" s="152">
        <v>0.01</v>
      </c>
      <c r="N276" s="152">
        <v>7</v>
      </c>
      <c r="O276" s="160">
        <v>196</v>
      </c>
      <c r="P276" s="160">
        <v>0</v>
      </c>
      <c r="Q276" s="160">
        <v>1.4122925094893191E+19</v>
      </c>
    </row>
    <row r="277" spans="4:17" ht="15" customHeight="1">
      <c r="D277" s="158" t="b">
        <v>0</v>
      </c>
      <c r="E277" s="153">
        <v>1.5172699999999999</v>
      </c>
      <c r="F277" s="151">
        <v>14.7</v>
      </c>
      <c r="G277" s="151">
        <v>0</v>
      </c>
      <c r="H277" s="152">
        <v>2.34</v>
      </c>
      <c r="I277" s="152">
        <v>73.28</v>
      </c>
      <c r="J277" s="152">
        <v>0</v>
      </c>
      <c r="K277" s="152">
        <v>8.9499999999999993</v>
      </c>
      <c r="L277" s="152">
        <v>0.66</v>
      </c>
      <c r="M277" s="152">
        <v>0</v>
      </c>
      <c r="N277" s="152">
        <v>7</v>
      </c>
      <c r="O277" s="160">
        <v>197</v>
      </c>
      <c r="P277" s="160">
        <v>0</v>
      </c>
      <c r="Q277" s="160">
        <v>4.8182421128679229E+18</v>
      </c>
    </row>
    <row r="278" spans="4:17" ht="15" customHeight="1">
      <c r="D278" s="158" t="b">
        <v>0</v>
      </c>
      <c r="E278" s="153">
        <v>1.5153099999999999</v>
      </c>
      <c r="F278" s="151">
        <v>14.38</v>
      </c>
      <c r="G278" s="151">
        <v>0</v>
      </c>
      <c r="H278" s="152">
        <v>2.66</v>
      </c>
      <c r="I278" s="152">
        <v>73.099999999999994</v>
      </c>
      <c r="J278" s="152">
        <v>0.04</v>
      </c>
      <c r="K278" s="152">
        <v>9.08</v>
      </c>
      <c r="L278" s="152">
        <v>0.64</v>
      </c>
      <c r="M278" s="152">
        <v>0</v>
      </c>
      <c r="N278" s="152">
        <v>7</v>
      </c>
      <c r="O278" s="160">
        <v>198</v>
      </c>
      <c r="P278" s="160">
        <v>0</v>
      </c>
      <c r="Q278" s="160">
        <v>7.8014825716297088E+17</v>
      </c>
    </row>
    <row r="279" spans="4:17" ht="15" customHeight="1">
      <c r="D279" s="158" t="b">
        <v>0</v>
      </c>
      <c r="E279" s="153">
        <v>1.5160899999999999</v>
      </c>
      <c r="F279" s="151">
        <v>15.01</v>
      </c>
      <c r="G279" s="151">
        <v>0</v>
      </c>
      <c r="H279" s="152">
        <v>2.5099999999999998</v>
      </c>
      <c r="I279" s="152">
        <v>73.05</v>
      </c>
      <c r="J279" s="152">
        <v>0.05</v>
      </c>
      <c r="K279" s="152">
        <v>8.83</v>
      </c>
      <c r="L279" s="152">
        <v>0.53</v>
      </c>
      <c r="M279" s="152">
        <v>0</v>
      </c>
      <c r="N279" s="152">
        <v>7</v>
      </c>
      <c r="O279" s="160">
        <v>199</v>
      </c>
      <c r="P279" s="160">
        <v>0</v>
      </c>
      <c r="Q279" s="160">
        <v>7.8805286553349765E+18</v>
      </c>
    </row>
    <row r="280" spans="4:17" ht="15" customHeight="1">
      <c r="D280" s="158" t="b">
        <v>0</v>
      </c>
      <c r="E280" s="153">
        <v>1.51508</v>
      </c>
      <c r="F280" s="151">
        <v>15.15</v>
      </c>
      <c r="G280" s="151">
        <v>0</v>
      </c>
      <c r="H280" s="152">
        <v>2.25</v>
      </c>
      <c r="I280" s="152">
        <v>73.5</v>
      </c>
      <c r="J280" s="152">
        <v>0</v>
      </c>
      <c r="K280" s="152">
        <v>8.34</v>
      </c>
      <c r="L280" s="152">
        <v>0.63</v>
      </c>
      <c r="M280" s="152">
        <v>0</v>
      </c>
      <c r="N280" s="152">
        <v>7</v>
      </c>
      <c r="O280" s="160">
        <v>200</v>
      </c>
      <c r="P280" s="160">
        <v>0</v>
      </c>
      <c r="Q280" s="160">
        <v>1.8258023122461819E+19</v>
      </c>
    </row>
    <row r="281" spans="4:17" ht="15" customHeight="1">
      <c r="D281" s="158" t="b">
        <v>0</v>
      </c>
      <c r="E281" s="153">
        <v>1.5165299999999999</v>
      </c>
      <c r="F281" s="151">
        <v>11.95</v>
      </c>
      <c r="G281" s="151">
        <v>0</v>
      </c>
      <c r="H281" s="152">
        <v>1.19</v>
      </c>
      <c r="I281" s="152">
        <v>75.180000000000007</v>
      </c>
      <c r="J281" s="152">
        <v>2.7</v>
      </c>
      <c r="K281" s="152">
        <v>8.93</v>
      </c>
      <c r="L281" s="152">
        <v>0</v>
      </c>
      <c r="M281" s="152">
        <v>0</v>
      </c>
      <c r="N281" s="152">
        <v>7</v>
      </c>
      <c r="O281" s="160">
        <v>201</v>
      </c>
      <c r="P281" s="160">
        <v>0</v>
      </c>
      <c r="Q281" s="160">
        <v>1.4872216059210504E+19</v>
      </c>
    </row>
    <row r="282" spans="4:17" ht="15" customHeight="1">
      <c r="D282" s="158" t="b">
        <v>0</v>
      </c>
      <c r="E282" s="153">
        <v>1.5151399999999999</v>
      </c>
      <c r="F282" s="151">
        <v>14.85</v>
      </c>
      <c r="G282" s="151">
        <v>0</v>
      </c>
      <c r="H282" s="152">
        <v>2.42</v>
      </c>
      <c r="I282" s="152">
        <v>73.72</v>
      </c>
      <c r="J282" s="152">
        <v>0</v>
      </c>
      <c r="K282" s="152">
        <v>8.39</v>
      </c>
      <c r="L282" s="152">
        <v>0.56000000000000005</v>
      </c>
      <c r="M282" s="152">
        <v>0</v>
      </c>
      <c r="N282" s="152">
        <v>7</v>
      </c>
      <c r="O282" s="160">
        <v>202</v>
      </c>
      <c r="P282" s="160">
        <v>0</v>
      </c>
      <c r="Q282" s="160">
        <v>8.8058553845929544E+18</v>
      </c>
    </row>
    <row r="283" spans="4:17" ht="15" customHeight="1">
      <c r="D283" s="158" t="b">
        <v>0</v>
      </c>
      <c r="E283" s="153">
        <v>1.51658</v>
      </c>
      <c r="F283" s="151">
        <v>14.8</v>
      </c>
      <c r="G283" s="151">
        <v>0</v>
      </c>
      <c r="H283" s="152">
        <v>1.99</v>
      </c>
      <c r="I283" s="152">
        <v>73.11</v>
      </c>
      <c r="J283" s="152">
        <v>0</v>
      </c>
      <c r="K283" s="152">
        <v>8.2799999999999994</v>
      </c>
      <c r="L283" s="152">
        <v>1.71</v>
      </c>
      <c r="M283" s="152">
        <v>0</v>
      </c>
      <c r="N283" s="152">
        <v>7</v>
      </c>
      <c r="O283" s="160">
        <v>203</v>
      </c>
      <c r="P283" s="160">
        <v>0</v>
      </c>
      <c r="Q283" s="160">
        <v>1.5595675286319118E+19</v>
      </c>
    </row>
    <row r="284" spans="4:17" ht="15" customHeight="1">
      <c r="D284" s="158" t="b">
        <v>0</v>
      </c>
      <c r="E284" s="153">
        <v>1.51617</v>
      </c>
      <c r="F284" s="151">
        <v>14.95</v>
      </c>
      <c r="G284" s="151">
        <v>0</v>
      </c>
      <c r="H284" s="152">
        <v>2.27</v>
      </c>
      <c r="I284" s="152">
        <v>73.3</v>
      </c>
      <c r="J284" s="152">
        <v>0</v>
      </c>
      <c r="K284" s="152">
        <v>8.7100000000000009</v>
      </c>
      <c r="L284" s="152">
        <v>0.67</v>
      </c>
      <c r="M284" s="152">
        <v>0</v>
      </c>
      <c r="N284" s="152">
        <v>7</v>
      </c>
      <c r="O284" s="160">
        <v>204</v>
      </c>
      <c r="P284" s="160">
        <v>0</v>
      </c>
      <c r="Q284" s="160">
        <v>8.3674689895826227E+18</v>
      </c>
    </row>
    <row r="285" spans="4:17" ht="15" customHeight="1">
      <c r="D285" s="158" t="b">
        <v>0</v>
      </c>
      <c r="E285" s="153">
        <v>1.51732</v>
      </c>
      <c r="F285" s="151">
        <v>14.95</v>
      </c>
      <c r="G285" s="151">
        <v>0</v>
      </c>
      <c r="H285" s="152">
        <v>1.8</v>
      </c>
      <c r="I285" s="152">
        <v>72.989999999999995</v>
      </c>
      <c r="J285" s="152">
        <v>0</v>
      </c>
      <c r="K285" s="152">
        <v>8.61</v>
      </c>
      <c r="L285" s="152">
        <v>1.55</v>
      </c>
      <c r="M285" s="152">
        <v>0</v>
      </c>
      <c r="N285" s="152">
        <v>7</v>
      </c>
      <c r="O285" s="160">
        <v>205</v>
      </c>
      <c r="P285" s="160">
        <v>0</v>
      </c>
      <c r="Q285" s="160">
        <v>1.2040726323564298E+18</v>
      </c>
    </row>
    <row r="286" spans="4:17" ht="15" customHeight="1">
      <c r="D286" s="158" t="b">
        <v>0</v>
      </c>
      <c r="E286" s="153">
        <v>1.5164500000000001</v>
      </c>
      <c r="F286" s="151">
        <v>14.94</v>
      </c>
      <c r="G286" s="151">
        <v>0</v>
      </c>
      <c r="H286" s="152">
        <v>1.87</v>
      </c>
      <c r="I286" s="152">
        <v>73.11</v>
      </c>
      <c r="J286" s="152">
        <v>0</v>
      </c>
      <c r="K286" s="152">
        <v>8.67</v>
      </c>
      <c r="L286" s="152">
        <v>1.38</v>
      </c>
      <c r="M286" s="152">
        <v>0</v>
      </c>
      <c r="N286" s="152">
        <v>7</v>
      </c>
      <c r="O286" s="160">
        <v>206</v>
      </c>
      <c r="P286" s="160">
        <v>0</v>
      </c>
      <c r="Q286" s="160">
        <v>1.2769188097211296E+19</v>
      </c>
    </row>
    <row r="287" spans="4:17" ht="15" customHeight="1">
      <c r="D287" s="158" t="b">
        <v>0</v>
      </c>
      <c r="E287" s="153">
        <v>1.51831</v>
      </c>
      <c r="F287" s="151">
        <v>14.39</v>
      </c>
      <c r="G287" s="151">
        <v>0</v>
      </c>
      <c r="H287" s="152">
        <v>1.82</v>
      </c>
      <c r="I287" s="152">
        <v>72.86</v>
      </c>
      <c r="J287" s="152">
        <v>1.41</v>
      </c>
      <c r="K287" s="152">
        <v>6.47</v>
      </c>
      <c r="L287" s="152">
        <v>2.88</v>
      </c>
      <c r="M287" s="152">
        <v>0</v>
      </c>
      <c r="N287" s="152">
        <v>7</v>
      </c>
      <c r="O287" s="160">
        <v>207</v>
      </c>
      <c r="P287" s="160">
        <v>0</v>
      </c>
      <c r="Q287" s="160">
        <v>3.1268012280819164E+18</v>
      </c>
    </row>
    <row r="288" spans="4:17" ht="15" customHeight="1">
      <c r="D288" s="158" t="b">
        <v>0</v>
      </c>
      <c r="E288" s="153">
        <v>1.5164</v>
      </c>
      <c r="F288" s="151">
        <v>14.37</v>
      </c>
      <c r="G288" s="151">
        <v>0</v>
      </c>
      <c r="H288" s="152">
        <v>2.74</v>
      </c>
      <c r="I288" s="152">
        <v>72.849999999999994</v>
      </c>
      <c r="J288" s="152">
        <v>0</v>
      </c>
      <c r="K288" s="152">
        <v>9.4499999999999993</v>
      </c>
      <c r="L288" s="152">
        <v>0.54</v>
      </c>
      <c r="M288" s="152">
        <v>0</v>
      </c>
      <c r="N288" s="152">
        <v>7</v>
      </c>
      <c r="O288" s="160">
        <v>208</v>
      </c>
      <c r="P288" s="160">
        <v>0</v>
      </c>
      <c r="Q288" s="160">
        <v>9.4367318113185894E+18</v>
      </c>
    </row>
    <row r="289" spans="4:17" ht="15" customHeight="1">
      <c r="D289" s="158" t="b">
        <v>0</v>
      </c>
      <c r="E289" s="153">
        <v>1.51623</v>
      </c>
      <c r="F289" s="151">
        <v>14.14</v>
      </c>
      <c r="G289" s="151">
        <v>0</v>
      </c>
      <c r="H289" s="152">
        <v>2.88</v>
      </c>
      <c r="I289" s="152">
        <v>72.61</v>
      </c>
      <c r="J289" s="152">
        <v>0.08</v>
      </c>
      <c r="K289" s="152">
        <v>9.18</v>
      </c>
      <c r="L289" s="152">
        <v>1.06</v>
      </c>
      <c r="M289" s="152">
        <v>0</v>
      </c>
      <c r="N289" s="152">
        <v>7</v>
      </c>
      <c r="O289" s="160">
        <v>209</v>
      </c>
      <c r="P289" s="160">
        <v>0</v>
      </c>
      <c r="Q289" s="160">
        <v>8.3549682915696973E+17</v>
      </c>
    </row>
    <row r="290" spans="4:17" ht="15" customHeight="1">
      <c r="D290" s="158" t="b">
        <v>0</v>
      </c>
      <c r="E290" s="153">
        <v>1.51685</v>
      </c>
      <c r="F290" s="151">
        <v>14.92</v>
      </c>
      <c r="G290" s="151">
        <v>0</v>
      </c>
      <c r="H290" s="152">
        <v>1.99</v>
      </c>
      <c r="I290" s="152">
        <v>73.06</v>
      </c>
      <c r="J290" s="152">
        <v>0</v>
      </c>
      <c r="K290" s="152">
        <v>8.4</v>
      </c>
      <c r="L290" s="152">
        <v>1.59</v>
      </c>
      <c r="M290" s="152">
        <v>0</v>
      </c>
      <c r="N290" s="152">
        <v>7</v>
      </c>
      <c r="O290" s="160">
        <v>210</v>
      </c>
      <c r="P290" s="160">
        <v>0</v>
      </c>
      <c r="Q290" s="160">
        <v>6.3015553265632696E+18</v>
      </c>
    </row>
    <row r="291" spans="4:17" ht="15" customHeight="1">
      <c r="D291" s="158" t="b">
        <v>0</v>
      </c>
      <c r="E291" s="153">
        <v>1.5206500000000001</v>
      </c>
      <c r="F291" s="151">
        <v>14.36</v>
      </c>
      <c r="G291" s="151">
        <v>0</v>
      </c>
      <c r="H291" s="152">
        <v>2.02</v>
      </c>
      <c r="I291" s="152">
        <v>73.42</v>
      </c>
      <c r="J291" s="152">
        <v>0</v>
      </c>
      <c r="K291" s="152">
        <v>8.44</v>
      </c>
      <c r="L291" s="152">
        <v>1.64</v>
      </c>
      <c r="M291" s="152">
        <v>0</v>
      </c>
      <c r="N291" s="152">
        <v>7</v>
      </c>
      <c r="O291" s="160">
        <v>211</v>
      </c>
      <c r="P291" s="160">
        <v>0</v>
      </c>
      <c r="Q291" s="160">
        <v>2.3187765894620723E+18</v>
      </c>
    </row>
    <row r="292" spans="4:17" ht="15" customHeight="1">
      <c r="D292" s="158" t="b">
        <v>0</v>
      </c>
      <c r="E292" s="153">
        <v>1.51651</v>
      </c>
      <c r="F292" s="151">
        <v>14.38</v>
      </c>
      <c r="G292" s="151">
        <v>0</v>
      </c>
      <c r="H292" s="152">
        <v>1.94</v>
      </c>
      <c r="I292" s="152">
        <v>73.61</v>
      </c>
      <c r="J292" s="152">
        <v>0</v>
      </c>
      <c r="K292" s="152">
        <v>8.48</v>
      </c>
      <c r="L292" s="152">
        <v>1.57</v>
      </c>
      <c r="M292" s="152">
        <v>0</v>
      </c>
      <c r="N292" s="152">
        <v>7</v>
      </c>
      <c r="O292" s="160">
        <v>212</v>
      </c>
      <c r="P292" s="160">
        <v>0</v>
      </c>
      <c r="Q292" s="160">
        <v>2.0573176996508708E+18</v>
      </c>
    </row>
    <row r="293" spans="4:17" ht="15" customHeight="1">
      <c r="D293" s="159" t="b">
        <v>0</v>
      </c>
      <c r="E293" s="154">
        <v>1.51711</v>
      </c>
      <c r="F293" s="155">
        <v>14.23</v>
      </c>
      <c r="G293" s="155">
        <v>0</v>
      </c>
      <c r="H293" s="152">
        <v>2.08</v>
      </c>
      <c r="I293" s="152">
        <v>73.36</v>
      </c>
      <c r="J293" s="152">
        <v>0</v>
      </c>
      <c r="K293" s="152">
        <v>8.6199999999999992</v>
      </c>
      <c r="L293" s="152">
        <v>1.67</v>
      </c>
      <c r="M293" s="152">
        <v>0</v>
      </c>
      <c r="N293" s="152">
        <v>7</v>
      </c>
      <c r="O293" s="160">
        <v>213</v>
      </c>
      <c r="P293" s="160">
        <v>0</v>
      </c>
      <c r="Q293" s="160">
        <v>1.3610114478952542E+19</v>
      </c>
    </row>
  </sheetData>
  <mergeCells count="1">
    <mergeCell ref="E7:F7"/>
  </mergeCells>
  <phoneticPr fontId="34" type="noConversion"/>
  <conditionalFormatting sqref="E23:G30 E36:G40 E46:G54">
    <cfRule type="cellIs" dxfId="305" priority="22" operator="equal">
      <formula>0</formula>
    </cfRule>
  </conditionalFormatting>
  <conditionalFormatting sqref="D80:D293">
    <cfRule type="cellIs" dxfId="304" priority="21" operator="notEqual">
      <formula>FALSE</formula>
    </cfRule>
  </conditionalFormatting>
  <conditionalFormatting sqref="E17:N17">
    <cfRule type="cellIs" dxfId="30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02" priority="16"/>
  </conditionalFormatting>
  <conditionalFormatting sqref="E15:N15">
    <cfRule type="cellIs" dxfId="301" priority="14" operator="notEqual">
      <formula>"Definition"</formula>
    </cfRule>
  </conditionalFormatting>
  <conditionalFormatting sqref="E7">
    <cfRule type="cellIs" dxfId="300" priority="13" operator="notEqual">
      <formula>"Dataset Description"</formula>
    </cfRule>
  </conditionalFormatting>
  <conditionalFormatting sqref="E58:G65">
    <cfRule type="cellIs" dxfId="29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255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2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214</v>
      </c>
      <c r="AA5" s="9"/>
    </row>
    <row r="6" spans="1:27" ht="15" customHeight="1">
      <c r="B6" s="38" t="s">
        <v>54</v>
      </c>
      <c r="C6" s="37">
        <v>10</v>
      </c>
      <c r="AA6" s="4"/>
    </row>
    <row r="7" spans="1:27" ht="15" customHeight="1">
      <c r="B7" s="38" t="s">
        <v>13</v>
      </c>
      <c r="C7" s="37" t="s">
        <v>96</v>
      </c>
      <c r="AA7" s="4"/>
    </row>
    <row r="8" spans="1:27" ht="15" customHeight="1">
      <c r="B8" s="38" t="s">
        <v>55</v>
      </c>
      <c r="C8" s="65">
        <v>0.99532710280373837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97</v>
      </c>
      <c r="F12" s="64">
        <v>0.83177570093457898</v>
      </c>
      <c r="G12" s="64">
        <v>0</v>
      </c>
      <c r="H12" s="64">
        <v>9.0909090909090898E-2</v>
      </c>
      <c r="I12" s="61">
        <v>1712</v>
      </c>
      <c r="J12" s="61">
        <v>178</v>
      </c>
      <c r="K12" s="61">
        <v>214</v>
      </c>
      <c r="L12" s="62">
        <v>1</v>
      </c>
      <c r="M12" s="61">
        <v>0</v>
      </c>
      <c r="N12" s="63">
        <v>1.51836542056074</v>
      </c>
      <c r="O12" s="63">
        <v>1.5176799999999999</v>
      </c>
      <c r="P12" s="63">
        <v>1.5159</v>
      </c>
      <c r="Q12" s="63">
        <v>3.0368637393854299E-3</v>
      </c>
      <c r="R12" s="63">
        <v>9.2225413715940696E-6</v>
      </c>
      <c r="S12" s="63">
        <v>1.51115</v>
      </c>
      <c r="T12" s="63">
        <v>1.515401</v>
      </c>
      <c r="U12" s="63">
        <v>1.5165225</v>
      </c>
      <c r="V12" s="63">
        <v>1.5176799999999999</v>
      </c>
      <c r="W12" s="63">
        <v>1.5191574999999999</v>
      </c>
      <c r="X12" s="63">
        <v>1.5236639999999999</v>
      </c>
      <c r="Y12" s="63">
        <v>1.53393</v>
      </c>
      <c r="Z12" s="63">
        <v>2.2780000000000002E-2</v>
      </c>
      <c r="AA12" s="63">
        <v>2.6349999999999399E-3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97</v>
      </c>
      <c r="F13" s="140">
        <v>0.66355140186915795</v>
      </c>
      <c r="G13" s="140">
        <v>0</v>
      </c>
      <c r="H13" s="140">
        <v>9.0909090909090898E-2</v>
      </c>
      <c r="I13" s="61">
        <v>1712</v>
      </c>
      <c r="J13" s="61">
        <v>142</v>
      </c>
      <c r="K13" s="61">
        <v>214</v>
      </c>
      <c r="L13" s="62">
        <v>1</v>
      </c>
      <c r="M13" s="61">
        <v>0</v>
      </c>
      <c r="N13" s="63">
        <v>13.4078504672897</v>
      </c>
      <c r="O13" s="63">
        <v>13.3</v>
      </c>
      <c r="P13" s="63">
        <v>13</v>
      </c>
      <c r="Q13" s="63">
        <v>0.816603555714983</v>
      </c>
      <c r="R13" s="63">
        <v>0.66684136720635301</v>
      </c>
      <c r="S13" s="63">
        <v>10.73</v>
      </c>
      <c r="T13" s="63">
        <v>12.414999999999999</v>
      </c>
      <c r="U13" s="63">
        <v>12.907500000000001</v>
      </c>
      <c r="V13" s="63">
        <v>13.3</v>
      </c>
      <c r="W13" s="63">
        <v>13.824999999999999</v>
      </c>
      <c r="X13" s="63">
        <v>14.8535</v>
      </c>
      <c r="Y13" s="63">
        <v>17.38</v>
      </c>
      <c r="Z13" s="63">
        <v>6.6499999999999897</v>
      </c>
      <c r="AA13" s="63">
        <v>0.91749999999999798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97</v>
      </c>
      <c r="F14" s="140">
        <v>0.43925233644859801</v>
      </c>
      <c r="G14" s="140">
        <v>0</v>
      </c>
      <c r="H14" s="140">
        <v>9.0909090909090898E-2</v>
      </c>
      <c r="I14" s="61">
        <v>1712</v>
      </c>
      <c r="J14" s="61">
        <v>94</v>
      </c>
      <c r="K14" s="61">
        <v>214</v>
      </c>
      <c r="L14" s="62">
        <v>1</v>
      </c>
      <c r="M14" s="61">
        <v>0</v>
      </c>
      <c r="N14" s="63">
        <v>2.68453271028037</v>
      </c>
      <c r="O14" s="63">
        <v>3.48</v>
      </c>
      <c r="P14" s="63">
        <v>0</v>
      </c>
      <c r="Q14" s="63">
        <v>1.44240784487044</v>
      </c>
      <c r="R14" s="63">
        <v>2.0805403909437898</v>
      </c>
      <c r="S14" s="63">
        <v>0</v>
      </c>
      <c r="T14" s="63">
        <v>0</v>
      </c>
      <c r="U14" s="63">
        <v>2.11499999999999</v>
      </c>
      <c r="V14" s="63">
        <v>3.48</v>
      </c>
      <c r="W14" s="63">
        <v>3.6</v>
      </c>
      <c r="X14" s="63">
        <v>3.85</v>
      </c>
      <c r="Y14" s="63">
        <v>4.49</v>
      </c>
      <c r="Z14" s="63">
        <v>4.49</v>
      </c>
      <c r="AA14" s="63">
        <v>1.4850000000000001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97</v>
      </c>
      <c r="F15" s="140">
        <v>0.55140186915887801</v>
      </c>
      <c r="G15" s="140">
        <v>0</v>
      </c>
      <c r="H15" s="140">
        <v>9.0909090909090898E-2</v>
      </c>
      <c r="I15" s="61">
        <v>1712</v>
      </c>
      <c r="J15" s="61">
        <v>118</v>
      </c>
      <c r="K15" s="61">
        <v>214</v>
      </c>
      <c r="L15" s="62">
        <v>1</v>
      </c>
      <c r="M15" s="61">
        <v>0</v>
      </c>
      <c r="N15" s="63">
        <v>1.4449065420560701</v>
      </c>
      <c r="O15" s="63">
        <v>1.36</v>
      </c>
      <c r="P15" s="63">
        <v>1.54</v>
      </c>
      <c r="Q15" s="63">
        <v>0.49926964560048398</v>
      </c>
      <c r="R15" s="63">
        <v>0.249270179018033</v>
      </c>
      <c r="S15" s="63">
        <v>0.28999999999999998</v>
      </c>
      <c r="T15" s="63">
        <v>0.69599999999999995</v>
      </c>
      <c r="U15" s="63">
        <v>1.19</v>
      </c>
      <c r="V15" s="63">
        <v>1.36</v>
      </c>
      <c r="W15" s="63">
        <v>1.63</v>
      </c>
      <c r="X15" s="63">
        <v>2.3939999999999899</v>
      </c>
      <c r="Y15" s="63">
        <v>3.5</v>
      </c>
      <c r="Z15" s="63">
        <v>3.21</v>
      </c>
      <c r="AA15" s="63">
        <v>0.439999999999999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97</v>
      </c>
      <c r="F16" s="140">
        <v>0.62149532710280297</v>
      </c>
      <c r="G16" s="140">
        <v>0</v>
      </c>
      <c r="H16" s="140">
        <v>9.0909090909090898E-2</v>
      </c>
      <c r="I16" s="61">
        <v>1712</v>
      </c>
      <c r="J16" s="61">
        <v>133</v>
      </c>
      <c r="K16" s="61">
        <v>214</v>
      </c>
      <c r="L16" s="62">
        <v>1</v>
      </c>
      <c r="M16" s="61">
        <v>0</v>
      </c>
      <c r="N16" s="63">
        <v>72.650934579439195</v>
      </c>
      <c r="O16" s="63">
        <v>72.790000000000006</v>
      </c>
      <c r="P16" s="63">
        <v>72.86</v>
      </c>
      <c r="Q16" s="63">
        <v>0.77454579476511198</v>
      </c>
      <c r="R16" s="63">
        <v>0.59992118818831897</v>
      </c>
      <c r="S16" s="63">
        <v>69.81</v>
      </c>
      <c r="T16" s="63">
        <v>71.314999999999998</v>
      </c>
      <c r="U16" s="63">
        <v>72.28</v>
      </c>
      <c r="V16" s="63">
        <v>72.790000000000006</v>
      </c>
      <c r="W16" s="63">
        <v>73.087500000000006</v>
      </c>
      <c r="X16" s="63">
        <v>73.517499999999998</v>
      </c>
      <c r="Y16" s="63">
        <v>75.41</v>
      </c>
      <c r="Z16" s="63">
        <v>5.5999999999999899</v>
      </c>
      <c r="AA16" s="63">
        <v>0.80750000000000399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97</v>
      </c>
      <c r="F17" s="140">
        <v>0.30373831775700899</v>
      </c>
      <c r="G17" s="140">
        <v>0</v>
      </c>
      <c r="H17" s="140">
        <v>9.0909090909090898E-2</v>
      </c>
      <c r="I17" s="61">
        <v>1712</v>
      </c>
      <c r="J17" s="61">
        <v>65</v>
      </c>
      <c r="K17" s="61">
        <v>214</v>
      </c>
      <c r="L17" s="62">
        <v>1</v>
      </c>
      <c r="M17" s="61">
        <v>0</v>
      </c>
      <c r="N17" s="63">
        <v>0.49705607476635499</v>
      </c>
      <c r="O17" s="63">
        <v>0.55500000000000005</v>
      </c>
      <c r="P17" s="63">
        <v>0</v>
      </c>
      <c r="Q17" s="63">
        <v>0.65219184555898002</v>
      </c>
      <c r="R17" s="63">
        <v>0.42535420341362801</v>
      </c>
      <c r="S17" s="63">
        <v>0</v>
      </c>
      <c r="T17" s="63">
        <v>0</v>
      </c>
      <c r="U17" s="63">
        <v>0.1225</v>
      </c>
      <c r="V17" s="63">
        <v>0.55500000000000005</v>
      </c>
      <c r="W17" s="63">
        <v>0.61</v>
      </c>
      <c r="X17" s="63">
        <v>0.76</v>
      </c>
      <c r="Y17" s="63">
        <v>6.21</v>
      </c>
      <c r="Z17" s="63">
        <v>6.21</v>
      </c>
      <c r="AA17" s="63">
        <v>0.48749999999999999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97</v>
      </c>
      <c r="F18" s="140">
        <v>0.66822429906542002</v>
      </c>
      <c r="G18" s="140">
        <v>0</v>
      </c>
      <c r="H18" s="140">
        <v>9.0909090909090898E-2</v>
      </c>
      <c r="I18" s="61">
        <v>1712</v>
      </c>
      <c r="J18" s="61">
        <v>143</v>
      </c>
      <c r="K18" s="61">
        <v>214</v>
      </c>
      <c r="L18" s="62">
        <v>1</v>
      </c>
      <c r="M18" s="61">
        <v>0</v>
      </c>
      <c r="N18" s="63">
        <v>8.9569626168224303</v>
      </c>
      <c r="O18" s="63">
        <v>8.6</v>
      </c>
      <c r="P18" s="63">
        <v>8.0299999999999994</v>
      </c>
      <c r="Q18" s="63">
        <v>1.42315348728139</v>
      </c>
      <c r="R18" s="63">
        <v>2.02536584836119</v>
      </c>
      <c r="S18" s="63">
        <v>5.43</v>
      </c>
      <c r="T18" s="63">
        <v>7.8125</v>
      </c>
      <c r="U18" s="63">
        <v>8.24</v>
      </c>
      <c r="V18" s="63">
        <v>8.6</v>
      </c>
      <c r="W18" s="63">
        <v>9.1724999999999994</v>
      </c>
      <c r="X18" s="63">
        <v>11.561499999999899</v>
      </c>
      <c r="Y18" s="63">
        <v>16.190000000000001</v>
      </c>
      <c r="Z18" s="63">
        <v>10.76</v>
      </c>
      <c r="AA18" s="63">
        <v>0.932499999999999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97</v>
      </c>
      <c r="F19" s="140">
        <v>0.15887850467289699</v>
      </c>
      <c r="G19" s="140">
        <v>0</v>
      </c>
      <c r="H19" s="140">
        <v>9.0909090909090898E-2</v>
      </c>
      <c r="I19" s="61">
        <v>1712</v>
      </c>
      <c r="J19" s="61">
        <v>34</v>
      </c>
      <c r="K19" s="61">
        <v>214</v>
      </c>
      <c r="L19" s="62">
        <v>1</v>
      </c>
      <c r="M19" s="61">
        <v>0</v>
      </c>
      <c r="N19" s="63">
        <v>0.175046728971962</v>
      </c>
      <c r="O19" s="63">
        <v>0</v>
      </c>
      <c r="P19" s="63">
        <v>0</v>
      </c>
      <c r="Q19" s="63">
        <v>0.49721926059970301</v>
      </c>
      <c r="R19" s="63">
        <v>0.24722699311131499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1.57</v>
      </c>
      <c r="Y19" s="63">
        <v>3.15</v>
      </c>
      <c r="Z19" s="63">
        <v>3.15</v>
      </c>
      <c r="AA19" s="63">
        <v>0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97</v>
      </c>
      <c r="F20" s="140">
        <v>0.14953271028037299</v>
      </c>
      <c r="G20" s="140">
        <v>0</v>
      </c>
      <c r="H20" s="140">
        <v>9.0909090909090898E-2</v>
      </c>
      <c r="I20" s="61">
        <v>1712</v>
      </c>
      <c r="J20" s="61">
        <v>32</v>
      </c>
      <c r="K20" s="61">
        <v>214</v>
      </c>
      <c r="L20" s="62">
        <v>1</v>
      </c>
      <c r="M20" s="61">
        <v>0</v>
      </c>
      <c r="N20" s="63">
        <v>5.7009345794392499E-2</v>
      </c>
      <c r="O20" s="63">
        <v>0</v>
      </c>
      <c r="P20" s="63">
        <v>0</v>
      </c>
      <c r="Q20" s="63">
        <v>9.74387006365008E-2</v>
      </c>
      <c r="R20" s="63">
        <v>9.4943003817296295E-3</v>
      </c>
      <c r="S20" s="63">
        <v>0</v>
      </c>
      <c r="T20" s="63">
        <v>0</v>
      </c>
      <c r="U20" s="63">
        <v>0</v>
      </c>
      <c r="V20" s="63">
        <v>0</v>
      </c>
      <c r="W20" s="63">
        <v>0.1</v>
      </c>
      <c r="X20" s="63">
        <v>0.26699999999999902</v>
      </c>
      <c r="Y20" s="63">
        <v>0.51</v>
      </c>
      <c r="Z20" s="63">
        <v>0.51</v>
      </c>
      <c r="AA20" s="63">
        <v>0.1</v>
      </c>
    </row>
    <row r="21" spans="2:27" ht="15" customHeight="1">
      <c r="B21" s="141" t="s">
        <v>93</v>
      </c>
      <c r="C2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43" t="s">
        <v>98</v>
      </c>
      <c r="F21" s="144">
        <v>2.8037383177569999E-2</v>
      </c>
      <c r="G21" s="144">
        <v>0</v>
      </c>
      <c r="H21" s="144">
        <v>9.0909090909090898E-2</v>
      </c>
      <c r="I21" s="145">
        <v>1712</v>
      </c>
      <c r="J21" s="145">
        <v>6</v>
      </c>
      <c r="K21" s="145">
        <v>214</v>
      </c>
      <c r="L21" s="146">
        <v>1</v>
      </c>
      <c r="M21" s="145">
        <v>0</v>
      </c>
      <c r="N21" s="147">
        <v>2.7803738317756999</v>
      </c>
      <c r="O21" s="147">
        <v>2</v>
      </c>
      <c r="P21" s="147">
        <v>2</v>
      </c>
      <c r="Q21" s="147">
        <v>2.1037386462007501</v>
      </c>
      <c r="R21" s="147">
        <v>4.4257162915185697</v>
      </c>
      <c r="S21" s="147">
        <v>1</v>
      </c>
      <c r="T21" s="147">
        <v>1</v>
      </c>
      <c r="U21" s="147">
        <v>1</v>
      </c>
      <c r="V21" s="147">
        <v>2</v>
      </c>
      <c r="W21" s="147">
        <v>3</v>
      </c>
      <c r="X21" s="147">
        <v>7</v>
      </c>
      <c r="Y21" s="147">
        <v>7</v>
      </c>
      <c r="Z21" s="147">
        <v>6</v>
      </c>
      <c r="AA21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2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8.5546875" style="12" bestFit="1" customWidth="1"/>
    <col min="5" max="5" width="9" style="12" bestFit="1" customWidth="1"/>
    <col min="6" max="6" width="8" style="12" bestFit="1" customWidth="1"/>
    <col min="7" max="7" width="7.6640625" style="12" bestFit="1" customWidth="1"/>
    <col min="8" max="8" width="7.33203125" style="12" bestFit="1" customWidth="1"/>
    <col min="9" max="9" width="8.21875" style="12" bestFit="1" customWidth="1"/>
    <col min="10" max="10" width="8.33203125" style="12" bestFit="1" customWidth="1"/>
    <col min="11" max="11" width="8.109375" style="12" bestFit="1" customWidth="1"/>
    <col min="12" max="12" width="1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Glass Identification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1.51115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4.6728971962616819E-3</v>
      </c>
    </row>
    <row r="11" spans="1:17" ht="15" customHeight="1">
      <c r="C11" s="161">
        <v>1.5113099999999999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4.6728971962616819E-3</v>
      </c>
    </row>
    <row r="12" spans="1:17" ht="15" customHeight="1">
      <c r="C12" s="161">
        <v>1.5121500000000001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4.6728971962616819E-3</v>
      </c>
    </row>
    <row r="13" spans="1:17" ht="15" customHeight="1">
      <c r="C13" s="161">
        <v>1.5129900000000001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4.6728971962616819E-3</v>
      </c>
    </row>
    <row r="14" spans="1:17" ht="15" customHeight="1">
      <c r="C14" s="161">
        <v>1.5131600000000001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4.6728971962616819E-3</v>
      </c>
    </row>
    <row r="15" spans="1:17" ht="15" customHeight="1">
      <c r="C15" s="161">
        <v>1.5132099999999999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4.6728971962616819E-3</v>
      </c>
    </row>
    <row r="16" spans="1:17" ht="15" customHeight="1">
      <c r="C16" s="161">
        <v>1.5140899999999999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4.6728971962616819E-3</v>
      </c>
    </row>
    <row r="17" spans="3:15" ht="15" customHeight="1">
      <c r="C17" s="161">
        <v>1.51508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4.6728971962616819E-3</v>
      </c>
    </row>
    <row r="18" spans="3:15" ht="15" customHeight="1">
      <c r="C18" s="161">
        <v>1.5151399999999999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9.3457943925233638E-3</v>
      </c>
    </row>
    <row r="19" spans="3:15" ht="15" customHeight="1">
      <c r="C19" s="161">
        <v>1.5153099999999999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4.6728971962616819E-3</v>
      </c>
    </row>
    <row r="20" spans="3:15" ht="15" customHeight="1">
      <c r="C20" s="161">
        <v>1.51545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4.6728971962616819E-3</v>
      </c>
    </row>
    <row r="21" spans="3:15" ht="15" customHeight="1">
      <c r="C21" s="161">
        <v>1.51556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4.6728971962616819E-3</v>
      </c>
    </row>
    <row r="22" spans="3:15" ht="15" customHeight="1">
      <c r="C22" s="161">
        <v>1.5156700000000001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4.6728971962616819E-3</v>
      </c>
    </row>
    <row r="23" spans="3:15" ht="15" customHeight="1">
      <c r="C23" s="161">
        <v>1.51569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4.6728971962616819E-3</v>
      </c>
    </row>
    <row r="24" spans="3:15" ht="15" customHeight="1">
      <c r="C24" s="161">
        <v>1.5157099999999999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4.6728971962616819E-3</v>
      </c>
    </row>
    <row r="25" spans="3:15" ht="15" customHeight="1">
      <c r="C25" s="161">
        <v>1.5157400000000001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4.6728971962616819E-3</v>
      </c>
    </row>
    <row r="26" spans="3:15" ht="15" customHeight="1">
      <c r="C26" s="161">
        <v>1.5158799999999999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4.6728971962616819E-3</v>
      </c>
    </row>
    <row r="27" spans="3:15" ht="15" customHeight="1">
      <c r="C27" s="161">
        <v>1.51589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4.6728971962616819E-3</v>
      </c>
    </row>
    <row r="28" spans="3:15" ht="15" customHeight="1">
      <c r="C28" s="161">
        <v>1.5159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1.4018691588785047E-2</v>
      </c>
    </row>
    <row r="29" spans="3:15" ht="15" customHeight="1">
      <c r="C29" s="161">
        <v>1.5159199999999999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4.6728971962616819E-3</v>
      </c>
    </row>
    <row r="30" spans="3:15" ht="15" customHeight="1">
      <c r="C30" s="161">
        <v>1.51593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9.3457943925233638E-3</v>
      </c>
    </row>
    <row r="31" spans="3:15" ht="15" customHeight="1">
      <c r="C31" s="161">
        <v>1.5159400000000001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4.6728971962616819E-3</v>
      </c>
    </row>
    <row r="32" spans="3:15" ht="15" customHeight="1">
      <c r="C32" s="161">
        <v>1.51596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9.3457943925233638E-3</v>
      </c>
    </row>
    <row r="33" spans="3:15" ht="15" customHeight="1">
      <c r="C33" s="161">
        <v>1.5160199999999999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4.6728971962616819E-3</v>
      </c>
    </row>
    <row r="34" spans="3:15" ht="15" customHeight="1">
      <c r="C34" s="161">
        <v>1.5160499999999999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4.6728971962616819E-3</v>
      </c>
    </row>
    <row r="35" spans="3:15" ht="15" customHeight="1">
      <c r="C35" s="161">
        <v>1.5160899999999999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4.6728971962616819E-3</v>
      </c>
    </row>
    <row r="36" spans="3:15" ht="15" customHeight="1">
      <c r="C36" s="161">
        <v>1.5161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9.3457943925233638E-3</v>
      </c>
    </row>
    <row r="37" spans="3:15" ht="15" customHeight="1">
      <c r="C37" s="161">
        <v>1.51613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9.3457943925233638E-3</v>
      </c>
    </row>
    <row r="38" spans="3:15" ht="15" customHeight="1">
      <c r="C38" s="161">
        <v>1.51617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4.6728971962616819E-3</v>
      </c>
    </row>
    <row r="39" spans="3:15" ht="15" customHeight="1">
      <c r="C39" s="161">
        <v>1.5161800000000001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9.3457943925233638E-3</v>
      </c>
    </row>
    <row r="40" spans="3:15" ht="15" customHeight="1">
      <c r="C40" s="161">
        <v>1.51623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9.3457943925233638E-3</v>
      </c>
    </row>
    <row r="41" spans="3:15" ht="15" customHeight="1">
      <c r="C41" s="161">
        <v>1.5162500000000001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4.6728971962616819E-3</v>
      </c>
    </row>
    <row r="42" spans="3:15" ht="15" customHeight="1">
      <c r="C42" s="161">
        <v>1.51627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4.6728971962616819E-3</v>
      </c>
    </row>
    <row r="43" spans="3:15" ht="15" customHeight="1">
      <c r="C43" s="161">
        <v>1.5162899999999999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4.6728971962616819E-3</v>
      </c>
    </row>
    <row r="44" spans="3:15" ht="15" customHeight="1">
      <c r="C44" s="161">
        <v>1.51631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4.6728971962616819E-3</v>
      </c>
    </row>
    <row r="45" spans="3:15" ht="15" customHeight="1">
      <c r="C45" s="161">
        <v>1.5164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9.3457943925233638E-3</v>
      </c>
    </row>
    <row r="46" spans="3:15" ht="15" customHeight="1">
      <c r="C46" s="161">
        <v>1.5164299999999999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4.6728971962616819E-3</v>
      </c>
    </row>
    <row r="47" spans="3:15" ht="15" customHeight="1">
      <c r="C47" s="161">
        <v>1.5164500000000001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1.4018691588785047E-2</v>
      </c>
    </row>
    <row r="48" spans="3:15" ht="15" customHeight="1">
      <c r="C48" s="161">
        <v>1.5164599999999999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9.3457943925233638E-3</v>
      </c>
    </row>
    <row r="49" spans="3:15" ht="15" customHeight="1">
      <c r="C49" s="161">
        <v>1.51651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4.6728971962616819E-3</v>
      </c>
    </row>
    <row r="50" spans="3:15" ht="15" customHeight="1">
      <c r="C50" s="161">
        <v>1.5165200000000001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4.6728971962616819E-3</v>
      </c>
    </row>
    <row r="51" spans="3:15" ht="15" customHeight="1">
      <c r="C51" s="161">
        <v>1.5165299999999999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4.6728971962616819E-3</v>
      </c>
    </row>
    <row r="52" spans="3:15" ht="15" customHeight="1">
      <c r="C52" s="161">
        <v>1.5165500000000001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9.3457943925233638E-3</v>
      </c>
    </row>
    <row r="53" spans="3:15" ht="15" customHeight="1">
      <c r="C53" s="161">
        <v>1.51658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4.6728971962616819E-3</v>
      </c>
    </row>
    <row r="54" spans="3:15" ht="15" customHeight="1">
      <c r="C54" s="161">
        <v>1.5165999999999999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4.6728971962616819E-3</v>
      </c>
    </row>
    <row r="55" spans="3:15" ht="15" customHeight="1">
      <c r="C55" s="161">
        <v>1.5166200000000001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4.6728971962616819E-3</v>
      </c>
    </row>
    <row r="56" spans="3:15" ht="15" customHeight="1">
      <c r="C56" s="161">
        <v>1.5166299999999999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4.6728971962616819E-3</v>
      </c>
    </row>
    <row r="57" spans="3:15" ht="15" customHeight="1">
      <c r="C57" s="161">
        <v>1.5166500000000001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4.6728971962616819E-3</v>
      </c>
    </row>
    <row r="58" spans="3:15" ht="15" customHeight="1">
      <c r="C58" s="161">
        <v>1.5166599999999999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4.6728971962616819E-3</v>
      </c>
    </row>
    <row r="59" spans="3:15" ht="15" customHeight="1">
      <c r="C59" s="161">
        <v>1.51667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4.6728971962616819E-3</v>
      </c>
    </row>
    <row r="60" spans="3:15" ht="15" customHeight="1">
      <c r="C60" s="161">
        <v>1.5166999999999999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4.6728971962616819E-3</v>
      </c>
    </row>
    <row r="61" spans="3:15" ht="15" customHeight="1">
      <c r="C61" s="161">
        <v>1.5167299999999999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4.6728971962616819E-3</v>
      </c>
    </row>
    <row r="62" spans="3:15" ht="15" customHeight="1">
      <c r="C62" s="161">
        <v>1.51674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9.3457943925233638E-3</v>
      </c>
    </row>
    <row r="63" spans="3:15" ht="15" customHeight="1">
      <c r="C63" s="161">
        <v>1.5168299999999999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4.6728971962616819E-3</v>
      </c>
    </row>
    <row r="64" spans="3:15" ht="15" customHeight="1">
      <c r="C64" s="161">
        <v>1.51685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4.6728971962616819E-3</v>
      </c>
    </row>
    <row r="65" spans="3:15" ht="15" customHeight="1">
      <c r="C65" s="161">
        <v>1.5168699999999999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4.6728971962616819E-3</v>
      </c>
    </row>
    <row r="66" spans="3:15" ht="15" customHeight="1">
      <c r="C66" s="161">
        <v>1.5168900000000001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4.6728971962616819E-3</v>
      </c>
    </row>
    <row r="67" spans="3:15" ht="15" customHeight="1">
      <c r="C67" s="161">
        <v>1.5168999999999999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4.6728971962616819E-3</v>
      </c>
    </row>
    <row r="68" spans="3:15" ht="15" customHeight="1">
      <c r="C68" s="161">
        <v>1.51694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4.6728971962616819E-3</v>
      </c>
    </row>
    <row r="69" spans="3:15" ht="15" customHeight="1">
      <c r="C69" s="161">
        <v>1.5170699999999999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4.6728971962616819E-3</v>
      </c>
    </row>
    <row r="70" spans="3:15" ht="15" customHeight="1">
      <c r="C70" s="161">
        <v>1.51708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4.6728971962616819E-3</v>
      </c>
    </row>
    <row r="71" spans="3:15" ht="15" customHeight="1">
      <c r="C71" s="161">
        <v>1.51709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4.6728971962616819E-3</v>
      </c>
    </row>
    <row r="72" spans="3:15" ht="15" customHeight="1">
      <c r="C72" s="161">
        <v>1.51711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9.3457943925233638E-3</v>
      </c>
    </row>
    <row r="73" spans="3:15" ht="15" customHeight="1">
      <c r="C73" s="161">
        <v>1.51719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4.6728971962616819E-3</v>
      </c>
    </row>
    <row r="74" spans="3:15" ht="15" customHeight="1">
      <c r="C74" s="161">
        <v>1.5172000000000001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4.6728971962616819E-3</v>
      </c>
    </row>
    <row r="75" spans="3:15" ht="15" customHeight="1">
      <c r="C75" s="161">
        <v>1.5172099999999999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4.6728971962616819E-3</v>
      </c>
    </row>
    <row r="76" spans="3:15" ht="15" customHeight="1">
      <c r="C76" s="161">
        <v>1.5172699999999999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4.6728971962616819E-3</v>
      </c>
    </row>
    <row r="77" spans="3:15" ht="15" customHeight="1">
      <c r="C77" s="161">
        <v>1.5173000000000001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4.6728971962616819E-3</v>
      </c>
    </row>
    <row r="78" spans="3:15" ht="15" customHeight="1">
      <c r="C78" s="161">
        <v>1.51732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4.6728971962616819E-3</v>
      </c>
    </row>
    <row r="79" spans="3:15" ht="15" customHeight="1">
      <c r="C79" s="161">
        <v>1.51735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4.6728971962616819E-3</v>
      </c>
    </row>
    <row r="80" spans="3:15" ht="15" customHeight="1">
      <c r="C80" s="161">
        <v>1.51736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4.6728971962616819E-3</v>
      </c>
    </row>
    <row r="81" spans="3:15" ht="15" customHeight="1">
      <c r="C81" s="161">
        <v>1.51742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4.6728971962616819E-3</v>
      </c>
    </row>
    <row r="82" spans="3:15" ht="15" customHeight="1">
      <c r="C82" s="161">
        <v>1.5174300000000001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9.3457943925233638E-3</v>
      </c>
    </row>
    <row r="83" spans="3:15" ht="15" customHeight="1">
      <c r="C83" s="161">
        <v>1.5174700000000001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4.6728971962616819E-3</v>
      </c>
    </row>
    <row r="84" spans="3:15" ht="15" customHeight="1">
      <c r="C84" s="161">
        <v>1.5174799999999999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4.6728971962616819E-3</v>
      </c>
    </row>
    <row r="85" spans="3:15" ht="15" customHeight="1">
      <c r="C85" s="161">
        <v>1.5175000000000001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4.6728971962616819E-3</v>
      </c>
    </row>
    <row r="86" spans="3:15" ht="15" customHeight="1">
      <c r="C86" s="161">
        <v>1.5175099999999999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4.6728971962616819E-3</v>
      </c>
    </row>
    <row r="87" spans="3:15" ht="15" customHeight="1">
      <c r="C87" s="161">
        <v>1.51753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4.6728971962616819E-3</v>
      </c>
    </row>
    <row r="88" spans="3:15" ht="15" customHeight="1">
      <c r="C88" s="161">
        <v>1.5175399999999999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9.3457943925233638E-3</v>
      </c>
    </row>
    <row r="89" spans="3:15" ht="15" customHeight="1">
      <c r="C89" s="161">
        <v>1.51755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9.3457943925233638E-3</v>
      </c>
    </row>
    <row r="90" spans="3:15" ht="15" customHeight="1">
      <c r="C90" s="161">
        <v>1.51756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4.6728971962616819E-3</v>
      </c>
    </row>
    <row r="91" spans="3:15" ht="15" customHeight="1">
      <c r="C91" s="161">
        <v>1.5176099999999999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9.3457943925233638E-3</v>
      </c>
    </row>
    <row r="92" spans="3:15" ht="15" customHeight="1">
      <c r="C92" s="161">
        <v>1.51763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9.3457943925233638E-3</v>
      </c>
    </row>
    <row r="93" spans="3:15" ht="15" customHeight="1">
      <c r="C93" s="161">
        <v>1.5176400000000001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4.6728971962616819E-3</v>
      </c>
    </row>
    <row r="94" spans="3:15" ht="15" customHeight="1">
      <c r="C94" s="161">
        <v>1.51766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4.6728971962616819E-3</v>
      </c>
    </row>
    <row r="95" spans="3:15" ht="15" customHeight="1">
      <c r="C95" s="161">
        <v>1.5176799999999999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9.3457943925233638E-3</v>
      </c>
    </row>
    <row r="96" spans="3:15" ht="15" customHeight="1">
      <c r="C96" s="161">
        <v>1.51769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9.3457943925233638E-3</v>
      </c>
    </row>
    <row r="97" spans="3:15" ht="15" customHeight="1">
      <c r="C97" s="161">
        <v>1.5177499999999999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4.6728971962616819E-3</v>
      </c>
    </row>
    <row r="98" spans="3:15" ht="15" customHeight="1">
      <c r="C98" s="161">
        <v>1.51776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4.6728971962616819E-3</v>
      </c>
    </row>
    <row r="99" spans="3:15" ht="15" customHeight="1">
      <c r="C99" s="161">
        <v>1.5177799999999999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4.6728971962616819E-3</v>
      </c>
    </row>
    <row r="100" spans="3:15" ht="15" customHeight="1">
      <c r="C100" s="161">
        <v>1.51779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9.3457943925233638E-3</v>
      </c>
    </row>
    <row r="101" spans="3:15" ht="15" customHeight="1">
      <c r="C101" s="161">
        <v>1.51783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4.6728971962616819E-3</v>
      </c>
    </row>
    <row r="102" spans="3:15" ht="15" customHeight="1">
      <c r="C102" s="161">
        <v>1.5178400000000001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9.3457943925233638E-3</v>
      </c>
    </row>
    <row r="103" spans="3:15" ht="15" customHeight="1">
      <c r="C103" s="161">
        <v>1.51786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4.6728971962616819E-3</v>
      </c>
    </row>
    <row r="104" spans="3:15" ht="15" customHeight="1">
      <c r="C104" s="161">
        <v>1.51789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4.6728971962616819E-3</v>
      </c>
    </row>
    <row r="105" spans="3:15" ht="15" customHeight="1">
      <c r="C105" s="161">
        <v>1.51793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9.3457943925233638E-3</v>
      </c>
    </row>
    <row r="106" spans="3:15" ht="15" customHeight="1">
      <c r="C106" s="161">
        <v>1.51796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4.6728971962616819E-3</v>
      </c>
    </row>
    <row r="107" spans="3:15" ht="15" customHeight="1">
      <c r="C107" s="161">
        <v>1.51797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4.6728971962616819E-3</v>
      </c>
    </row>
    <row r="108" spans="3:15" ht="15" customHeight="1">
      <c r="C108" s="161">
        <v>1.518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4.6728971962616819E-3</v>
      </c>
    </row>
    <row r="109" spans="3:15" ht="15" customHeight="1">
      <c r="C109" s="161">
        <v>1.51806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4.6728971962616819E-3</v>
      </c>
    </row>
    <row r="110" spans="3:15" ht="15" customHeight="1">
      <c r="C110" s="161">
        <v>1.5180800000000001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4.6728971962616819E-3</v>
      </c>
    </row>
    <row r="111" spans="3:15" ht="15" customHeight="1">
      <c r="C111" s="161">
        <v>1.5181100000000001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9.3457943925233638E-3</v>
      </c>
    </row>
    <row r="112" spans="3:15" ht="15" customHeight="1">
      <c r="C112" s="161">
        <v>1.51813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4.6728971962616819E-3</v>
      </c>
    </row>
    <row r="113" spans="3:15" ht="15" customHeight="1">
      <c r="C113" s="161">
        <v>1.5181800000000001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4.6728971962616819E-3</v>
      </c>
    </row>
    <row r="114" spans="3:15" ht="15" customHeight="1">
      <c r="C114" s="161">
        <v>1.5182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4.6728971962616819E-3</v>
      </c>
    </row>
    <row r="115" spans="3:15" ht="15" customHeight="1">
      <c r="C115" s="161">
        <v>1.51824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4.6728971962616819E-3</v>
      </c>
    </row>
    <row r="116" spans="3:15" ht="15" customHeight="1">
      <c r="C116" s="161">
        <v>1.5182899999999999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9.3457943925233638E-3</v>
      </c>
    </row>
    <row r="117" spans="3:15" ht="15" customHeight="1">
      <c r="C117" s="161">
        <v>1.51831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4.6728971962616819E-3</v>
      </c>
    </row>
    <row r="118" spans="3:15" ht="15" customHeight="1">
      <c r="C118" s="161">
        <v>1.5183199999999999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4.6728971962616819E-3</v>
      </c>
    </row>
    <row r="119" spans="3:15" ht="15" customHeight="1">
      <c r="C119" s="161">
        <v>1.51837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4.6728971962616819E-3</v>
      </c>
    </row>
    <row r="120" spans="3:15" ht="15" customHeight="1">
      <c r="C120" s="161">
        <v>1.5183800000000001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4.6728971962616819E-3</v>
      </c>
    </row>
    <row r="121" spans="3:15" ht="15" customHeight="1">
      <c r="C121" s="161">
        <v>1.5183899999999999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4.6728971962616819E-3</v>
      </c>
    </row>
    <row r="122" spans="3:15" ht="15" customHeight="1">
      <c r="C122" s="161">
        <v>1.51841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9.3457943925233638E-3</v>
      </c>
    </row>
    <row r="123" spans="3:15" ht="15" customHeight="1">
      <c r="C123" s="161">
        <v>1.51844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4.6728971962616819E-3</v>
      </c>
    </row>
    <row r="124" spans="3:15" ht="15" customHeight="1">
      <c r="C124" s="161">
        <v>1.5184599999999999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4.6728971962616819E-3</v>
      </c>
    </row>
    <row r="125" spans="3:15" ht="15" customHeight="1">
      <c r="C125" s="161">
        <v>1.51847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4.6728971962616819E-3</v>
      </c>
    </row>
    <row r="126" spans="3:15" ht="15" customHeight="1">
      <c r="C126" s="161">
        <v>1.5184800000000001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4.6728971962616819E-3</v>
      </c>
    </row>
    <row r="127" spans="3:15" ht="15" customHeight="1">
      <c r="C127" s="161">
        <v>1.51851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4.6728971962616819E-3</v>
      </c>
    </row>
    <row r="128" spans="3:15" ht="15" customHeight="1">
      <c r="C128" s="161">
        <v>1.5185200000000001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4.6728971962616819E-3</v>
      </c>
    </row>
    <row r="129" spans="3:15" ht="15" customHeight="1">
      <c r="C129" s="161">
        <v>1.5185999999999999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4.6728971962616819E-3</v>
      </c>
    </row>
    <row r="130" spans="3:15" ht="15" customHeight="1">
      <c r="C130" s="161">
        <v>1.5186900000000001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4.6728971962616819E-3</v>
      </c>
    </row>
    <row r="131" spans="3:15" ht="15" customHeight="1">
      <c r="C131" s="161">
        <v>1.5187200000000001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4.6728971962616819E-3</v>
      </c>
    </row>
    <row r="132" spans="3:15" ht="15" customHeight="1">
      <c r="C132" s="161">
        <v>1.51888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4.6728971962616819E-3</v>
      </c>
    </row>
    <row r="133" spans="3:15" ht="15" customHeight="1">
      <c r="C133" s="161">
        <v>1.51892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4.6728971962616819E-3</v>
      </c>
    </row>
    <row r="134" spans="3:15" ht="15" customHeight="1">
      <c r="C134" s="161">
        <v>1.51898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4.6728971962616819E-3</v>
      </c>
    </row>
    <row r="135" spans="3:15" ht="15" customHeight="1">
      <c r="C135" s="161">
        <v>1.5189999999999999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4.6728971962616819E-3</v>
      </c>
    </row>
    <row r="136" spans="3:15" ht="15" customHeight="1">
      <c r="C136" s="161">
        <v>1.51905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9.3457943925233638E-3</v>
      </c>
    </row>
    <row r="137" spans="3:15" ht="15" customHeight="1">
      <c r="C137" s="161">
        <v>1.5190900000000001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4.6728971962616819E-3</v>
      </c>
    </row>
    <row r="138" spans="3:15" ht="15" customHeight="1">
      <c r="C138" s="161">
        <v>1.51911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4.6728971962616819E-3</v>
      </c>
    </row>
    <row r="139" spans="3:15" ht="15" customHeight="1">
      <c r="C139" s="161">
        <v>1.51915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4.6728971962616819E-3</v>
      </c>
    </row>
    <row r="140" spans="3:15" ht="15" customHeight="1">
      <c r="C140" s="161">
        <v>1.5191600000000001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4.6728971962616819E-3</v>
      </c>
    </row>
    <row r="141" spans="3:15" ht="15" customHeight="1">
      <c r="C141" s="161">
        <v>1.51918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4.6728971962616819E-3</v>
      </c>
    </row>
    <row r="142" spans="3:15" ht="15" customHeight="1">
      <c r="C142" s="161">
        <v>1.5192600000000001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4.6728971962616819E-3</v>
      </c>
    </row>
    <row r="143" spans="3:15" ht="15" customHeight="1">
      <c r="C143" s="161">
        <v>1.5193399999999999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4.6728971962616819E-3</v>
      </c>
    </row>
    <row r="144" spans="3:15" ht="15" customHeight="1">
      <c r="C144" s="161">
        <v>1.5193700000000001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4.6728971962616819E-3</v>
      </c>
    </row>
    <row r="145" spans="3:15" ht="15" customHeight="1">
      <c r="C145" s="161">
        <v>1.51966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4.6728971962616819E-3</v>
      </c>
    </row>
    <row r="146" spans="3:15" ht="15" customHeight="1">
      <c r="C146" s="161">
        <v>1.51969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9.3457943925233638E-3</v>
      </c>
    </row>
    <row r="147" spans="3:15" ht="15" customHeight="1">
      <c r="C147" s="161">
        <v>1.5197700000000001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4.6728971962616819E-3</v>
      </c>
    </row>
    <row r="148" spans="3:15" ht="15" customHeight="1">
      <c r="C148" s="161">
        <v>1.5199400000000001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4.6728971962616819E-3</v>
      </c>
    </row>
    <row r="149" spans="3:15" ht="15" customHeight="1">
      <c r="C149" s="161">
        <v>1.5202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4.6728971962616819E-3</v>
      </c>
    </row>
    <row r="150" spans="3:15" ht="15" customHeight="1">
      <c r="C150" s="161">
        <v>1.5204299999999999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4.6728971962616819E-3</v>
      </c>
    </row>
    <row r="151" spans="3:15" ht="15" customHeight="1">
      <c r="C151" s="161">
        <v>1.52058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4.6728971962616819E-3</v>
      </c>
    </row>
    <row r="152" spans="3:15" ht="15" customHeight="1">
      <c r="C152" s="161">
        <v>1.5206500000000001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4.6728971962616819E-3</v>
      </c>
    </row>
    <row r="153" spans="3:15" ht="15" customHeight="1">
      <c r="C153" s="161">
        <v>1.52068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4.6728971962616819E-3</v>
      </c>
    </row>
    <row r="154" spans="3:15" ht="15" customHeight="1">
      <c r="C154" s="161">
        <v>1.52081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4.6728971962616819E-3</v>
      </c>
    </row>
    <row r="155" spans="3:15" ht="15" customHeight="1">
      <c r="C155" s="161">
        <v>1.5209900000000001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4.6728971962616819E-3</v>
      </c>
    </row>
    <row r="156" spans="3:15" ht="15" customHeight="1">
      <c r="C156" s="161">
        <v>1.52101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4.6728971962616819E-3</v>
      </c>
    </row>
    <row r="157" spans="3:15" ht="15" customHeight="1">
      <c r="C157" s="161">
        <v>1.52119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4.6728971962616819E-3</v>
      </c>
    </row>
    <row r="158" spans="3:15" ht="15" customHeight="1">
      <c r="C158" s="161">
        <v>1.52121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4.6728971962616819E-3</v>
      </c>
    </row>
    <row r="159" spans="3:15" ht="15" customHeight="1">
      <c r="C159" s="161">
        <v>1.5212699999999999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4.6728971962616819E-3</v>
      </c>
    </row>
    <row r="160" spans="3:15" ht="15" customHeight="1">
      <c r="C160" s="161">
        <v>1.5215099999999999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4.6728971962616819E-3</v>
      </c>
    </row>
    <row r="161" spans="3:15" ht="15" customHeight="1">
      <c r="C161" s="161">
        <v>1.52152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1.4018691588785047E-2</v>
      </c>
    </row>
    <row r="162" spans="3:15" ht="15" customHeight="1">
      <c r="C162" s="161">
        <v>1.5217099999999999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4.6728971962616819E-3</v>
      </c>
    </row>
    <row r="163" spans="3:15" ht="15" customHeight="1">
      <c r="C163" s="161">
        <v>1.52172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9.3457943925233638E-3</v>
      </c>
    </row>
    <row r="164" spans="3:15" ht="15" customHeight="1">
      <c r="C164" s="161">
        <v>1.5217700000000001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9.3457943925233638E-3</v>
      </c>
    </row>
    <row r="165" spans="3:15" ht="15" customHeight="1">
      <c r="C165" s="161">
        <v>1.52196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4.6728971962616819E-3</v>
      </c>
    </row>
    <row r="166" spans="3:15" ht="15" customHeight="1">
      <c r="C166" s="161">
        <v>1.5221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4.6728971962616819E-3</v>
      </c>
    </row>
    <row r="167" spans="3:15" ht="15" customHeight="1">
      <c r="C167" s="161">
        <v>1.5221100000000001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4.6728971962616819E-3</v>
      </c>
    </row>
    <row r="168" spans="3:15" ht="15" customHeight="1">
      <c r="C168" s="161">
        <v>1.52213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9.3457943925233638E-3</v>
      </c>
    </row>
    <row r="169" spans="3:15" ht="15" customHeight="1">
      <c r="C169" s="161">
        <v>1.5222199999999999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4.6728971962616819E-3</v>
      </c>
    </row>
    <row r="170" spans="3:15" ht="15" customHeight="1">
      <c r="C170" s="161">
        <v>1.52223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4.6728971962616819E-3</v>
      </c>
    </row>
    <row r="171" spans="3:15" ht="15" customHeight="1">
      <c r="C171" s="161">
        <v>1.52227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4.6728971962616819E-3</v>
      </c>
    </row>
    <row r="172" spans="3:15" ht="15" customHeight="1">
      <c r="C172" s="161">
        <v>1.52247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4.6728971962616819E-3</v>
      </c>
    </row>
    <row r="173" spans="3:15" ht="15" customHeight="1">
      <c r="C173" s="161">
        <v>1.5229999999999999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4.6728971962616819E-3</v>
      </c>
    </row>
    <row r="174" spans="3:15" ht="15" customHeight="1">
      <c r="C174" s="161">
        <v>1.52315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4.6728971962616819E-3</v>
      </c>
    </row>
    <row r="175" spans="3:15" ht="15" customHeight="1">
      <c r="C175" s="161">
        <v>1.5232000000000001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4.6728971962616819E-3</v>
      </c>
    </row>
    <row r="176" spans="3:15" ht="15" customHeight="1">
      <c r="C176" s="161">
        <v>1.5236499999999999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4.6728971962616819E-3</v>
      </c>
    </row>
    <row r="177" spans="3:15" ht="15" customHeight="1">
      <c r="C177" s="161">
        <v>1.52369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4.6728971962616819E-3</v>
      </c>
    </row>
    <row r="178" spans="3:15" ht="15" customHeight="1">
      <c r="C178" s="161">
        <v>1.5241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4.6728971962616819E-3</v>
      </c>
    </row>
    <row r="179" spans="3:15" ht="15" customHeight="1">
      <c r="C179" s="161">
        <v>1.52475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4.6728971962616819E-3</v>
      </c>
    </row>
    <row r="180" spans="3:15" ht="15" customHeight="1">
      <c r="C180" s="161">
        <v>1.5261400000000001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4.6728971962616819E-3</v>
      </c>
    </row>
    <row r="181" spans="3:15" ht="15" customHeight="1">
      <c r="C181" s="161">
        <v>1.52664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4.6728971962616819E-3</v>
      </c>
    </row>
    <row r="182" spans="3:15" ht="15" customHeight="1">
      <c r="C182" s="161">
        <v>1.52667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4.6728971962616819E-3</v>
      </c>
    </row>
    <row r="183" spans="3:15" ht="15" customHeight="1">
      <c r="C183" s="161">
        <v>1.52725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4.6728971962616819E-3</v>
      </c>
    </row>
    <row r="184" spans="3:15" ht="15" customHeight="1">
      <c r="C184" s="161">
        <v>1.52739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4.6728971962616819E-3</v>
      </c>
    </row>
    <row r="185" spans="3:15" ht="15" customHeight="1">
      <c r="C185" s="161">
        <v>1.5277700000000001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4.6728971962616819E-3</v>
      </c>
    </row>
    <row r="186" spans="3:15" ht="15" customHeight="1">
      <c r="C186" s="161">
        <v>1.53125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4.6728971962616819E-3</v>
      </c>
    </row>
    <row r="187" spans="3:15" ht="15" customHeight="1">
      <c r="C187" s="161">
        <v>1.53393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/>
      <c r="O187" s="167">
        <v>4.6728971962616819E-3</v>
      </c>
    </row>
    <row r="188" spans="3:15" ht="15" customHeight="1">
      <c r="C188" s="161" t="s">
        <v>99</v>
      </c>
      <c r="D188" s="161"/>
      <c r="E188" s="161"/>
      <c r="F188" s="161"/>
      <c r="G188" s="161"/>
      <c r="H188" s="161"/>
      <c r="I188" s="161"/>
      <c r="J188" s="161"/>
      <c r="K188" s="161"/>
      <c r="L188" s="161"/>
      <c r="M188" s="165">
        <v>0</v>
      </c>
      <c r="N188" s="166"/>
      <c r="O188" s="167">
        <v>1</v>
      </c>
    </row>
    <row r="189" spans="3:15" ht="15" customHeight="1">
      <c r="C189"/>
      <c r="D189"/>
      <c r="E189"/>
      <c r="F189"/>
      <c r="G189"/>
    </row>
    <row r="190" spans="3:15" ht="15" customHeight="1">
      <c r="C190"/>
      <c r="D190"/>
      <c r="E190"/>
      <c r="F190"/>
      <c r="G190"/>
    </row>
    <row r="191" spans="3:15" ht="15" customHeight="1">
      <c r="C191"/>
      <c r="D191"/>
      <c r="E191"/>
      <c r="F191"/>
      <c r="G191"/>
    </row>
    <row r="192" spans="3:15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</sheetData>
  <conditionalFormatting pivot="1" sqref="M10:M18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100</v>
      </c>
      <c r="D10" s="95" t="s">
        <v>101</v>
      </c>
      <c r="F10" s="110" t="s">
        <v>123</v>
      </c>
      <c r="G10" s="123" t="s">
        <v>83</v>
      </c>
      <c r="I10" s="115" t="s">
        <v>136</v>
      </c>
      <c r="J10" s="116" t="s">
        <v>137</v>
      </c>
      <c r="L10" s="78"/>
    </row>
    <row r="11" spans="2:12" ht="15" hidden="1" customHeight="1" outlineLevel="1">
      <c r="C11" s="94" t="s">
        <v>102</v>
      </c>
      <c r="D11" s="95" t="s">
        <v>103</v>
      </c>
      <c r="F11" s="111" t="s">
        <v>124</v>
      </c>
      <c r="G11" s="124" t="s">
        <v>125</v>
      </c>
      <c r="I11" s="115"/>
      <c r="J11" s="116"/>
    </row>
    <row r="12" spans="2:12" ht="15" hidden="1" customHeight="1" outlineLevel="1">
      <c r="C12" s="94" t="s">
        <v>104</v>
      </c>
      <c r="D12" s="95">
        <v>16</v>
      </c>
      <c r="F12" s="111" t="s">
        <v>126</v>
      </c>
      <c r="G12" s="124" t="s">
        <v>127</v>
      </c>
      <c r="H12"/>
      <c r="I12"/>
      <c r="J12"/>
      <c r="K12"/>
    </row>
    <row r="13" spans="2:12" ht="15" hidden="1" customHeight="1" outlineLevel="1">
      <c r="C13" s="94" t="s">
        <v>105</v>
      </c>
      <c r="D13" s="95" t="b">
        <v>0</v>
      </c>
      <c r="F13" s="111" t="s">
        <v>128</v>
      </c>
      <c r="G13" s="124" t="s">
        <v>127</v>
      </c>
      <c r="H13"/>
      <c r="I13"/>
      <c r="J13"/>
      <c r="K13"/>
    </row>
    <row r="14" spans="2:12" ht="15" hidden="1" customHeight="1" outlineLevel="1">
      <c r="C14" s="94" t="s">
        <v>106</v>
      </c>
      <c r="D14" s="95" t="b">
        <v>1</v>
      </c>
      <c r="F14" s="111" t="s">
        <v>129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107</v>
      </c>
      <c r="D15" s="95" t="s">
        <v>108</v>
      </c>
      <c r="F15" s="111" t="s">
        <v>130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109</v>
      </c>
      <c r="D16" s="95">
        <v>46178</v>
      </c>
      <c r="F16" s="111" t="s">
        <v>131</v>
      </c>
      <c r="G16" s="124" t="s">
        <v>132</v>
      </c>
      <c r="H16"/>
      <c r="I16"/>
      <c r="J16"/>
      <c r="K16"/>
    </row>
    <row r="17" spans="2:25" ht="15" hidden="1" customHeight="1" outlineLevel="1">
      <c r="C17" s="94" t="s">
        <v>110</v>
      </c>
      <c r="D17" s="95">
        <v>11</v>
      </c>
      <c r="F17" s="111" t="s">
        <v>133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111</v>
      </c>
      <c r="D18" s="95" t="s">
        <v>112</v>
      </c>
      <c r="F18" s="111" t="s">
        <v>134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113</v>
      </c>
      <c r="D19" s="95" t="s">
        <v>114</v>
      </c>
      <c r="F19" s="111" t="s">
        <v>135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115</v>
      </c>
      <c r="D20" s="95" t="s">
        <v>116</v>
      </c>
      <c r="F20" s="125" t="s">
        <v>105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117</v>
      </c>
      <c r="D21" s="95" t="s">
        <v>118</v>
      </c>
      <c r="F21"/>
      <c r="G21"/>
      <c r="H21"/>
      <c r="I21"/>
      <c r="J21"/>
      <c r="K21"/>
    </row>
    <row r="22" spans="2:25" ht="15" hidden="1" customHeight="1" outlineLevel="1">
      <c r="C22" s="94" t="s">
        <v>119</v>
      </c>
      <c r="D22" s="95" t="s">
        <v>120</v>
      </c>
      <c r="F22"/>
      <c r="G22"/>
      <c r="H22"/>
      <c r="I22"/>
      <c r="J22"/>
      <c r="K22"/>
    </row>
    <row r="23" spans="2:25" ht="15" hidden="1" customHeight="1" outlineLevel="1">
      <c r="C23" s="94" t="s">
        <v>121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20</v>
      </c>
      <c r="E29" s="97"/>
      <c r="X29" s="83"/>
      <c r="Y29" s="78"/>
    </row>
    <row r="30" spans="2:25" ht="15" customHeight="1">
      <c r="C30" s="99" t="s">
        <v>68</v>
      </c>
      <c r="D30" s="85">
        <v>10</v>
      </c>
      <c r="E30" s="97"/>
      <c r="X30" s="83"/>
    </row>
    <row r="31" spans="2:25" ht="15" customHeight="1">
      <c r="C31" s="99" t="s">
        <v>69</v>
      </c>
      <c r="D31" s="85">
        <v>214</v>
      </c>
      <c r="E31" s="97"/>
      <c r="K31" s="100"/>
      <c r="X31" s="83"/>
    </row>
    <row r="32" spans="2:25" ht="15" customHeight="1">
      <c r="C32" s="99" t="s">
        <v>70</v>
      </c>
      <c r="D32" s="86">
        <v>15.988555431365967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6.6209201812744141</v>
      </c>
      <c r="E35" s="127">
        <v>0.41410320737507067</v>
      </c>
    </row>
    <row r="36" spans="2:24" ht="15" customHeight="1">
      <c r="C36" s="104" t="s">
        <v>138</v>
      </c>
      <c r="D36" s="129">
        <v>7.915377140045166</v>
      </c>
      <c r="E36" s="127">
        <v>0.49506457887022887</v>
      </c>
      <c r="K36" s="100"/>
    </row>
    <row r="37" spans="2:24" ht="15" customHeight="1">
      <c r="C37" s="104" t="s">
        <v>139</v>
      </c>
      <c r="D37" s="129">
        <v>0.51777005195617676</v>
      </c>
      <c r="E37" s="127">
        <v>3.2383752307453349E-2</v>
      </c>
      <c r="K37" s="100"/>
    </row>
    <row r="38" spans="2:24" ht="15" customHeight="1">
      <c r="C38" s="104" t="s">
        <v>140</v>
      </c>
      <c r="D38" s="129">
        <v>0.64722967147827148</v>
      </c>
      <c r="E38" s="127">
        <v>4.0480760306624973E-2</v>
      </c>
      <c r="K38" s="100"/>
    </row>
    <row r="39" spans="2:24" ht="15" customHeight="1">
      <c r="C39" s="104" t="s">
        <v>75</v>
      </c>
      <c r="D39" s="129">
        <v>0.58840465545654297</v>
      </c>
      <c r="E39" s="127">
        <v>3.6801569628963172E-2</v>
      </c>
      <c r="N39" s="79"/>
    </row>
    <row r="40" spans="2:24" ht="15" customHeight="1">
      <c r="C40" s="104" t="s">
        <v>76</v>
      </c>
      <c r="D40" s="129">
        <v>4.1300492286682129</v>
      </c>
      <c r="E40" s="127">
        <v>0.25831252837717283</v>
      </c>
    </row>
    <row r="41" spans="2:24" ht="15" customHeight="1">
      <c r="C41" s="105" t="s">
        <v>141</v>
      </c>
      <c r="D41" s="130">
        <v>2.1290829181671143</v>
      </c>
      <c r="E41" s="128">
        <v>0.13316276907763183</v>
      </c>
    </row>
    <row r="42" spans="2:24" ht="15" customHeight="1">
      <c r="C42" s="169" t="s">
        <v>77</v>
      </c>
      <c r="D42" s="130">
        <v>6.0630083084106445E-2</v>
      </c>
      <c r="E42" s="128">
        <v>3.7920879849230871E-3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142</v>
      </c>
      <c r="F46" s="113">
        <v>214</v>
      </c>
      <c r="G46" s="109">
        <v>10</v>
      </c>
      <c r="H46" s="108" t="s">
        <v>97</v>
      </c>
      <c r="I46" s="131">
        <v>9.1579437255859375E-2</v>
      </c>
      <c r="J46" s="127">
        <v>5.7278048456937914E-3</v>
      </c>
    </row>
    <row r="47" spans="2:24" ht="15" customHeight="1">
      <c r="C47" s="117" t="s">
        <v>83</v>
      </c>
      <c r="D47" s="118" t="s">
        <v>85</v>
      </c>
      <c r="E47" s="118" t="s">
        <v>142</v>
      </c>
      <c r="F47" s="113">
        <v>214</v>
      </c>
      <c r="G47" s="109">
        <v>10</v>
      </c>
      <c r="H47" s="108" t="s">
        <v>97</v>
      </c>
      <c r="I47" s="131">
        <v>0.13877034187316895</v>
      </c>
      <c r="J47" s="127">
        <v>8.6793439710601151E-3</v>
      </c>
    </row>
    <row r="48" spans="2:24" ht="15" customHeight="1">
      <c r="C48" s="117" t="s">
        <v>83</v>
      </c>
      <c r="D48" s="118" t="s">
        <v>86</v>
      </c>
      <c r="E48" s="118" t="s">
        <v>142</v>
      </c>
      <c r="F48" s="113">
        <v>214</v>
      </c>
      <c r="G48" s="109">
        <v>10</v>
      </c>
      <c r="H48" s="108" t="s">
        <v>97</v>
      </c>
      <c r="I48" s="131">
        <v>0.16137790679931641</v>
      </c>
      <c r="J48" s="127">
        <v>1.0093326452428109E-2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142</v>
      </c>
      <c r="F49" s="171">
        <v>214</v>
      </c>
      <c r="G49" s="109">
        <v>10</v>
      </c>
      <c r="H49" s="113" t="s">
        <v>97</v>
      </c>
      <c r="I49" s="131">
        <v>0.16773557662963867</v>
      </c>
      <c r="J49" s="172">
        <v>1.0490964755879368E-2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142</v>
      </c>
      <c r="F50" s="171">
        <v>214</v>
      </c>
      <c r="G50" s="109">
        <v>10</v>
      </c>
      <c r="H50" s="113" t="s">
        <v>97</v>
      </c>
      <c r="I50" s="131">
        <v>0.2420189380645752</v>
      </c>
      <c r="J50" s="172">
        <v>1.5136992404998056E-2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142</v>
      </c>
      <c r="F51" s="171">
        <v>214</v>
      </c>
      <c r="G51" s="109">
        <v>10</v>
      </c>
      <c r="H51" s="113" t="s">
        <v>97</v>
      </c>
      <c r="I51" s="131">
        <v>0.25528645515441895</v>
      </c>
      <c r="J51" s="172">
        <v>1.5966804761949071E-2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142</v>
      </c>
      <c r="F52" s="171">
        <v>214</v>
      </c>
      <c r="G52" s="109">
        <v>10</v>
      </c>
      <c r="H52" s="113" t="s">
        <v>97</v>
      </c>
      <c r="I52" s="131">
        <v>0.34058213233947754</v>
      </c>
      <c r="J52" s="172">
        <v>2.1301593965035743E-2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142</v>
      </c>
      <c r="F53" s="171">
        <v>214</v>
      </c>
      <c r="G53" s="109">
        <v>10</v>
      </c>
      <c r="H53" s="113" t="s">
        <v>97</v>
      </c>
      <c r="I53" s="131">
        <v>0.17695355415344238</v>
      </c>
      <c r="J53" s="172">
        <v>1.1067500033998924E-2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142</v>
      </c>
      <c r="F54" s="171">
        <v>214</v>
      </c>
      <c r="G54" s="109">
        <v>10</v>
      </c>
      <c r="H54" s="113" t="s">
        <v>97</v>
      </c>
      <c r="I54" s="131">
        <v>0.24085569381713867</v>
      </c>
      <c r="J54" s="172">
        <v>1.5064237688034931E-2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142</v>
      </c>
      <c r="F55" s="171">
        <v>214</v>
      </c>
      <c r="G55" s="109">
        <v>10</v>
      </c>
      <c r="H55" s="113" t="s">
        <v>98</v>
      </c>
      <c r="I55" s="131">
        <v>0.19626474380493164</v>
      </c>
      <c r="J55" s="172">
        <v>1.2275311841718184E-2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143</v>
      </c>
      <c r="F56" s="171">
        <v>214</v>
      </c>
      <c r="G56" s="109">
        <v>10</v>
      </c>
      <c r="H56" s="113" t="s">
        <v>97</v>
      </c>
      <c r="I56" s="131">
        <v>0.23079228401184082</v>
      </c>
      <c r="J56" s="172">
        <v>1.4434825134582061E-2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144</v>
      </c>
      <c r="F57" s="171">
        <v>214</v>
      </c>
      <c r="G57" s="109">
        <v>10</v>
      </c>
      <c r="H57" s="113" t="s">
        <v>97</v>
      </c>
      <c r="I57" s="131">
        <v>0.2024075984954834</v>
      </c>
      <c r="J57" s="172">
        <v>1.2659514605103084E-2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143</v>
      </c>
      <c r="F58" s="171">
        <v>214</v>
      </c>
      <c r="G58" s="109">
        <v>10</v>
      </c>
      <c r="H58" s="113" t="s">
        <v>97</v>
      </c>
      <c r="I58" s="131">
        <v>0.29319906234741211</v>
      </c>
      <c r="J58" s="172">
        <v>1.8338035921474653E-2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144</v>
      </c>
      <c r="F59" s="171">
        <v>214</v>
      </c>
      <c r="G59" s="109">
        <v>10</v>
      </c>
      <c r="H59" s="113" t="s">
        <v>97</v>
      </c>
      <c r="I59" s="131">
        <v>0.17905020713806152</v>
      </c>
      <c r="J59" s="172">
        <v>1.1198634483880811E-2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143</v>
      </c>
      <c r="F60" s="171">
        <v>214</v>
      </c>
      <c r="G60" s="109">
        <v>10</v>
      </c>
      <c r="H60" s="113" t="s">
        <v>97</v>
      </c>
      <c r="I60" s="131">
        <v>0.22700023651123047</v>
      </c>
      <c r="J60" s="172">
        <v>1.4197652809659227E-2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144</v>
      </c>
      <c r="F61" s="171">
        <v>214</v>
      </c>
      <c r="G61" s="109">
        <v>10</v>
      </c>
      <c r="H61" s="113" t="s">
        <v>97</v>
      </c>
      <c r="I61" s="131">
        <v>0.14657473564147949</v>
      </c>
      <c r="J61" s="172">
        <v>9.1674671325831618E-3</v>
      </c>
      <c r="K61"/>
    </row>
    <row r="62" spans="1:11">
      <c r="C62" s="170" t="s">
        <v>83</v>
      </c>
      <c r="D62" s="170" t="s">
        <v>87</v>
      </c>
      <c r="E62" s="117" t="s">
        <v>143</v>
      </c>
      <c r="F62" s="171">
        <v>214</v>
      </c>
      <c r="G62" s="109">
        <v>10</v>
      </c>
      <c r="H62" s="113" t="s">
        <v>97</v>
      </c>
      <c r="I62" s="131">
        <v>0.20662784576416016</v>
      </c>
      <c r="J62" s="172">
        <v>1.2923468539303592E-2</v>
      </c>
    </row>
    <row r="63" spans="1:11">
      <c r="C63" s="170" t="s">
        <v>83</v>
      </c>
      <c r="D63" s="170" t="s">
        <v>87</v>
      </c>
      <c r="E63" s="117" t="s">
        <v>144</v>
      </c>
      <c r="F63" s="171">
        <v>214</v>
      </c>
      <c r="G63" s="109">
        <v>10</v>
      </c>
      <c r="H63" s="113" t="s">
        <v>97</v>
      </c>
      <c r="I63" s="131">
        <v>0.15248823165893555</v>
      </c>
      <c r="J63" s="172">
        <v>9.5373247355420472E-3</v>
      </c>
    </row>
    <row r="64" spans="1:11">
      <c r="C64" s="170" t="s">
        <v>83</v>
      </c>
      <c r="D64" s="170" t="s">
        <v>88</v>
      </c>
      <c r="E64" s="117" t="s">
        <v>143</v>
      </c>
      <c r="F64" s="171">
        <v>214</v>
      </c>
      <c r="G64" s="109">
        <v>10</v>
      </c>
      <c r="H64" s="113" t="s">
        <v>97</v>
      </c>
      <c r="I64" s="131">
        <v>0.20925307273864746</v>
      </c>
      <c r="J64" s="172">
        <v>1.3087662470125681E-2</v>
      </c>
    </row>
    <row r="65" spans="3:10">
      <c r="C65" s="170" t="s">
        <v>83</v>
      </c>
      <c r="D65" s="170" t="s">
        <v>88</v>
      </c>
      <c r="E65" s="117" t="s">
        <v>144</v>
      </c>
      <c r="F65" s="171">
        <v>214</v>
      </c>
      <c r="G65" s="109">
        <v>10</v>
      </c>
      <c r="H65" s="113" t="s">
        <v>97</v>
      </c>
      <c r="I65" s="131">
        <v>0.20115160942077637</v>
      </c>
      <c r="J65" s="172">
        <v>1.2580959194371018E-2</v>
      </c>
    </row>
    <row r="66" spans="3:10">
      <c r="C66" s="170" t="s">
        <v>83</v>
      </c>
      <c r="D66" s="170" t="s">
        <v>89</v>
      </c>
      <c r="E66" s="117" t="s">
        <v>143</v>
      </c>
      <c r="F66" s="171">
        <v>214</v>
      </c>
      <c r="G66" s="109">
        <v>10</v>
      </c>
      <c r="H66" s="113" t="s">
        <v>97</v>
      </c>
      <c r="I66" s="131">
        <v>0.20110344886779785</v>
      </c>
      <c r="J66" s="172">
        <v>1.2577947008917739E-2</v>
      </c>
    </row>
    <row r="67" spans="3:10">
      <c r="C67" s="170" t="s">
        <v>83</v>
      </c>
      <c r="D67" s="170" t="s">
        <v>89</v>
      </c>
      <c r="E67" s="117" t="s">
        <v>144</v>
      </c>
      <c r="F67" s="171">
        <v>214</v>
      </c>
      <c r="G67" s="109">
        <v>10</v>
      </c>
      <c r="H67" s="113" t="s">
        <v>97</v>
      </c>
      <c r="I67" s="131">
        <v>0.14750981330871582</v>
      </c>
      <c r="J67" s="172">
        <v>9.2259512481661452E-3</v>
      </c>
    </row>
    <row r="68" spans="3:10">
      <c r="C68" s="170" t="s">
        <v>83</v>
      </c>
      <c r="D68" s="170" t="s">
        <v>90</v>
      </c>
      <c r="E68" s="117" t="s">
        <v>143</v>
      </c>
      <c r="F68" s="171">
        <v>214</v>
      </c>
      <c r="G68" s="109">
        <v>10</v>
      </c>
      <c r="H68" s="113" t="s">
        <v>97</v>
      </c>
      <c r="I68" s="131">
        <v>0.19910573959350586</v>
      </c>
      <c r="J68" s="172">
        <v>1.2453000959843334E-2</v>
      </c>
    </row>
    <row r="69" spans="3:10">
      <c r="C69" s="170" t="s">
        <v>83</v>
      </c>
      <c r="D69" s="170" t="s">
        <v>90</v>
      </c>
      <c r="E69" s="117" t="s">
        <v>144</v>
      </c>
      <c r="F69" s="171">
        <v>214</v>
      </c>
      <c r="G69" s="109">
        <v>10</v>
      </c>
      <c r="H69" s="113" t="s">
        <v>97</v>
      </c>
      <c r="I69" s="131">
        <v>0.16000604629516602</v>
      </c>
      <c r="J69" s="172">
        <v>1.0007523902437162E-2</v>
      </c>
    </row>
    <row r="70" spans="3:10">
      <c r="C70" s="170" t="s">
        <v>83</v>
      </c>
      <c r="D70" s="170" t="s">
        <v>91</v>
      </c>
      <c r="E70" s="117" t="s">
        <v>143</v>
      </c>
      <c r="F70" s="171">
        <v>214</v>
      </c>
      <c r="G70" s="109">
        <v>10</v>
      </c>
      <c r="H70" s="113" t="s">
        <v>97</v>
      </c>
      <c r="I70" s="131">
        <v>0.20380544662475586</v>
      </c>
      <c r="J70" s="172">
        <v>1.2746942542294066E-2</v>
      </c>
    </row>
    <row r="71" spans="3:10">
      <c r="C71" s="170" t="s">
        <v>83</v>
      </c>
      <c r="D71" s="170" t="s">
        <v>91</v>
      </c>
      <c r="E71" s="117" t="s">
        <v>144</v>
      </c>
      <c r="F71" s="171">
        <v>214</v>
      </c>
      <c r="G71" s="109">
        <v>10</v>
      </c>
      <c r="H71" s="113" t="s">
        <v>97</v>
      </c>
      <c r="I71" s="131">
        <v>0.15709018707275391</v>
      </c>
      <c r="J71" s="172">
        <v>9.8251524762311727E-3</v>
      </c>
    </row>
    <row r="72" spans="3:10">
      <c r="C72" s="170" t="s">
        <v>83</v>
      </c>
      <c r="D72" s="170" t="s">
        <v>92</v>
      </c>
      <c r="E72" s="117" t="s">
        <v>143</v>
      </c>
      <c r="F72" s="171">
        <v>214</v>
      </c>
      <c r="G72" s="109">
        <v>10</v>
      </c>
      <c r="H72" s="113" t="s">
        <v>97</v>
      </c>
      <c r="I72" s="131">
        <v>0.18072319030761719</v>
      </c>
      <c r="J72" s="172">
        <v>1.1303270648859342E-2</v>
      </c>
    </row>
    <row r="73" spans="3:10">
      <c r="C73" s="170" t="s">
        <v>83</v>
      </c>
      <c r="D73" s="170" t="s">
        <v>92</v>
      </c>
      <c r="E73" s="117" t="s">
        <v>144</v>
      </c>
      <c r="F73" s="171">
        <v>214</v>
      </c>
      <c r="G73" s="109">
        <v>10</v>
      </c>
      <c r="H73" s="113" t="s">
        <v>97</v>
      </c>
      <c r="I73" s="131">
        <v>0.14220762252807617</v>
      </c>
      <c r="J73" s="172">
        <v>8.8943275239310674E-3</v>
      </c>
    </row>
    <row r="74" spans="3:10">
      <c r="C74" s="170" t="s">
        <v>83</v>
      </c>
      <c r="D74" s="170" t="s">
        <v>93</v>
      </c>
      <c r="E74" s="117" t="s">
        <v>143</v>
      </c>
      <c r="F74" s="171">
        <v>214</v>
      </c>
      <c r="G74" s="109">
        <v>10</v>
      </c>
      <c r="H74" s="113" t="s">
        <v>98</v>
      </c>
      <c r="I74" s="131">
        <v>0.26226520538330078</v>
      </c>
      <c r="J74" s="172">
        <v>1.6403288328300299E-2</v>
      </c>
    </row>
    <row r="75" spans="3:10">
      <c r="C75" s="173" t="s">
        <v>83</v>
      </c>
      <c r="D75" s="173" t="s">
        <v>93</v>
      </c>
      <c r="E75" s="174" t="s">
        <v>144</v>
      </c>
      <c r="F75" s="175">
        <v>214</v>
      </c>
      <c r="G75" s="176">
        <v>10</v>
      </c>
      <c r="H75" s="177" t="s">
        <v>98</v>
      </c>
      <c r="I75" s="178">
        <v>0.35152769088745117</v>
      </c>
      <c r="J75" s="179">
        <v>2.1986180212434828E-2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2026-06-06T00:14:05Z</dcterms:modified>
</cp:coreProperties>
</file>