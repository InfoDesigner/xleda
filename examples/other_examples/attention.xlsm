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99790BF-CBEE-4356-B6CA-C20FAC775E50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Analysis'!$E$7:$I$7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Analysis'!$E$60:$I$60</definedName>
    <definedName name="FieldList2" localSheetId="4">#REF!</definedName>
    <definedName name="FieldList2" localSheetId="3">#REF!</definedName>
    <definedName name="FieldList2">'Field Analysis'!$E$61:$I$61</definedName>
    <definedName name="FieldList3" localSheetId="4">#REF!</definedName>
    <definedName name="FieldList3" localSheetId="3">#REF!</definedName>
    <definedName name="FieldList3">'Field Analysis'!$E$62:$I$62</definedName>
    <definedName name="FieldList4" localSheetId="4">#REF!</definedName>
    <definedName name="FieldList4" localSheetId="3">#REF!</definedName>
    <definedName name="FieldList4">'Field Analysis'!$E$63:$I$63</definedName>
    <definedName name="FieldList5" localSheetId="4">#REF!</definedName>
    <definedName name="FieldList5" localSheetId="3">#REF!</definedName>
    <definedName name="FieldList5">'Field Analysis'!$E$64:$I$64</definedName>
    <definedName name="FieldList6" localSheetId="4">#REF!</definedName>
    <definedName name="FieldList6" localSheetId="3">#REF!</definedName>
    <definedName name="FieldList6">'Field Analysis'!$E$65:$I$65</definedName>
    <definedName name="FieldList7" localSheetId="4">#REF!</definedName>
    <definedName name="FieldList7" localSheetId="3">#REF!</definedName>
    <definedName name="FieldList7">'Field Analysis'!$E$66:$I$66</definedName>
    <definedName name="FieldList8" localSheetId="4">#REF!</definedName>
    <definedName name="FieldList8" localSheetId="3">#REF!</definedName>
    <definedName name="FieldList8">'Field Analysis'!$E$67:$I$67</definedName>
    <definedName name="FieldLists">'Field Analysis'!$D$60:$J$67</definedName>
    <definedName name="FieldRange" localSheetId="4">#REF!</definedName>
    <definedName name="FieldRange" localSheetId="3">#REF!</definedName>
    <definedName name="FieldRange">'Field Analysis'!$E$81:$I$81</definedName>
    <definedName name="FormatRange">'Field Analysis'!$G:$G</definedName>
    <definedName name="Headers">'Field Analysis'!$E$11:$I$11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Analysis'!$E$9:$I$9</definedName>
    <definedName name="Percentiles">'Field Analysis'!$D$48:$D$57</definedName>
    <definedName name="RecordHashes">'Field Analysis'!$L$82:$L$141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Analysis'!$C$11:$H$11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8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C11" i="27"/>
  <c r="C12" i="27"/>
  <c r="C13" i="27"/>
  <c r="C14" i="27"/>
  <c r="C15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<sst xmlns="http://schemas.openxmlformats.org/spreadsheetml/2006/main" count="199" uniqueCount="73">
  <si>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</si>
  <si>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</si>
  <si>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</si>
  <si>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</si>
  <si>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</si>
  <si>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</si>
  <si>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</si>
  <si>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</si>
  <si>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</si>
  <si>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</si>
  <si>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</si>
  <si>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</si>
  <si>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</si>
  <si>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</si>
  <si>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</si>
  <si>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</si>
  <si>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</si>
  <si>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</si>
  <si>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</si>
  <si>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</si>
  <si>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</si>
  <si>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</si>
  <si>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</si>
  <si>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</si>
  <si>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</si>
  <si>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</si>
  <si>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</si>
  <si>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</si>
  <si>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</si>
  <si>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</si>
  <si>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</si>
  <si>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</si>
  <si>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</si>
  <si>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</si>
  <si>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</si>
  <si>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</si>
  <si>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</si>
  <si>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</si>
  <si>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</si>
  <si>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</si>
  <si>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</si>
  <si>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</si>
  <si>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</si>
  <si>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</si>
  <si>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</si>
  <si>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</si>
  <si>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</si>
  <si>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</si>
  <si>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</si>
  <si>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</si>
  <si>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</si>
  <si>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</si>
  <si>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</si>
  <si>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</si>
  <si>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</si>
  <si>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</si>
  <si>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</si>
  <si>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</si>
  <si>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Attention</t>
  </si>
  <si>
    <t>2,952 bytes</t>
  </si>
  <si>
    <t>Unnamed: 0</t>
  </si>
  <si>
    <t>subject</t>
  </si>
  <si>
    <t>attention</t>
  </si>
  <si>
    <t>solutions</t>
  </si>
  <si>
    <t>score</t>
  </si>
  <si>
    <t>index</t>
  </si>
  <si>
    <t>Record Hash</t>
  </si>
  <si>
    <t>int64</t>
  </si>
  <si>
    <t>str</t>
  </si>
  <si>
    <t>float64</t>
  </si>
  <si>
    <t>divided</t>
  </si>
  <si>
    <t>focused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</si>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</sst>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6A93C4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4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A93C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2"/>
      <tableStyleElement type="headerRow" dxfId="141"/>
      <tableStyleElement type="totalRow" dxfId="140"/>
    </tableStyle>
    <tableStyle name="DarkTable" pivot="0" count="2" xr9:uid="{97C242D2-6F6D-4549-9428-17456D609B35}">
      <tableStyleElement type="wholeTable" dxfId="139"/>
      <tableStyleElement type="headerRow" dxfId="138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C2CF1338-6D0E-3619-A35A-CD9424B96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5E1E72A2-8F3D-B351-8EDE-F8898379F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subject">
          <a:extLst>
            <a:ext uri="{FF2B5EF4-FFF2-40B4-BE49-F238E27FC236}">
              <a16:creationId xmlns:a16="http://schemas.microsoft.com/office/drawing/2014/main" id="{96BCD44B-52F7-F7C3-9D7F-7F944E147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subject">
          <a:extLst>
            <a:ext uri="{FF2B5EF4-FFF2-40B4-BE49-F238E27FC236}">
              <a16:creationId xmlns:a16="http://schemas.microsoft.com/office/drawing/2014/main" id="{320333DA-0DC0-A1A6-C257-FC34DCBAD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attention">
          <a:extLst>
            <a:ext uri="{FF2B5EF4-FFF2-40B4-BE49-F238E27FC236}">
              <a16:creationId xmlns:a16="http://schemas.microsoft.com/office/drawing/2014/main" id="{E6AB1580-D7E4-8B23-2346-B0F38F271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solutions">
          <a:extLst>
            <a:ext uri="{FF2B5EF4-FFF2-40B4-BE49-F238E27FC236}">
              <a16:creationId xmlns:a16="http://schemas.microsoft.com/office/drawing/2014/main" id="{43187B7E-02F6-F73B-A273-97CC537BE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3" name="histogram_solutions">
          <a:extLst>
            <a:ext uri="{FF2B5EF4-FFF2-40B4-BE49-F238E27FC236}">
              <a16:creationId xmlns:a16="http://schemas.microsoft.com/office/drawing/2014/main" id="{447BEED3-F00D-8096-4819-B452AF590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5" name="composition_score">
          <a:extLst>
            <a:ext uri="{FF2B5EF4-FFF2-40B4-BE49-F238E27FC236}">
              <a16:creationId xmlns:a16="http://schemas.microsoft.com/office/drawing/2014/main" id="{6A70C08C-0E60-9CCD-0D59-4789EDE95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7" name="histogram_score">
          <a:extLst>
            <a:ext uri="{FF2B5EF4-FFF2-40B4-BE49-F238E27FC236}">
              <a16:creationId xmlns:a16="http://schemas.microsoft.com/office/drawing/2014/main" id="{BDC85BF4-793D-1432-5A3C-4DE64B860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4140625001" createdVersion="8" refreshedVersion="8" minRefreshableVersion="3" recordCount="6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index" numFmtId="0">
      <sharedItems containsSemiMixedTypes="0" containsString="0" containsNumber="1" containsInteger="1" minValue="0" maxValue="5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716951205903187E+17" maxValue="1.705500772749533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0"/>
    <n v="6.4574533928469606E+18"/>
  </r>
  <r>
    <b v="0"/>
    <x v="1"/>
    <x v="1"/>
    <x v="0"/>
    <x v="0"/>
    <x v="1"/>
    <n v="1"/>
    <n v="0"/>
    <n v="2.5990946002795802E+18"/>
  </r>
  <r>
    <b v="0"/>
    <x v="2"/>
    <x v="2"/>
    <x v="0"/>
    <x v="0"/>
    <x v="1"/>
    <n v="2"/>
    <n v="0"/>
    <n v="8.0914409693109576E+18"/>
  </r>
  <r>
    <b v="0"/>
    <x v="3"/>
    <x v="3"/>
    <x v="0"/>
    <x v="0"/>
    <x v="2"/>
    <n v="3"/>
    <n v="0"/>
    <n v="1.0514444349679395E+19"/>
  </r>
  <r>
    <b v="0"/>
    <x v="4"/>
    <x v="4"/>
    <x v="0"/>
    <x v="0"/>
    <x v="3"/>
    <n v="4"/>
    <n v="0"/>
    <n v="4.422957939838848E+18"/>
  </r>
  <r>
    <b v="0"/>
    <x v="5"/>
    <x v="5"/>
    <x v="0"/>
    <x v="0"/>
    <x v="2"/>
    <n v="5"/>
    <n v="0"/>
    <n v="1.5034848021966442E+19"/>
  </r>
  <r>
    <b v="0"/>
    <x v="6"/>
    <x v="6"/>
    <x v="0"/>
    <x v="0"/>
    <x v="2"/>
    <n v="6"/>
    <n v="0"/>
    <n v="6.2834809266147236E+18"/>
  </r>
  <r>
    <b v="0"/>
    <x v="7"/>
    <x v="7"/>
    <x v="0"/>
    <x v="0"/>
    <x v="2"/>
    <n v="7"/>
    <n v="0"/>
    <n v="6.8323091510754355E+18"/>
  </r>
  <r>
    <b v="0"/>
    <x v="8"/>
    <x v="8"/>
    <x v="0"/>
    <x v="0"/>
    <x v="0"/>
    <n v="8"/>
    <n v="0"/>
    <n v="1.3176130448454101E+19"/>
  </r>
  <r>
    <b v="0"/>
    <x v="9"/>
    <x v="9"/>
    <x v="0"/>
    <x v="0"/>
    <x v="4"/>
    <n v="9"/>
    <n v="0"/>
    <n v="5.0716951205903187E+17"/>
  </r>
  <r>
    <b v="0"/>
    <x v="10"/>
    <x v="10"/>
    <x v="1"/>
    <x v="0"/>
    <x v="4"/>
    <n v="10"/>
    <n v="0"/>
    <n v="1.0868605597970043E+19"/>
  </r>
  <r>
    <b v="0"/>
    <x v="11"/>
    <x v="11"/>
    <x v="1"/>
    <x v="0"/>
    <x v="5"/>
    <n v="11"/>
    <n v="0"/>
    <n v="1.2624076349888774E+19"/>
  </r>
  <r>
    <b v="0"/>
    <x v="12"/>
    <x v="12"/>
    <x v="1"/>
    <x v="0"/>
    <x v="4"/>
    <n v="12"/>
    <n v="0"/>
    <n v="9.7514599181414072E+18"/>
  </r>
  <r>
    <b v="0"/>
    <x v="13"/>
    <x v="13"/>
    <x v="1"/>
    <x v="0"/>
    <x v="5"/>
    <n v="13"/>
    <n v="0"/>
    <n v="4.7622122821286851E+18"/>
  </r>
  <r>
    <b v="0"/>
    <x v="14"/>
    <x v="14"/>
    <x v="1"/>
    <x v="0"/>
    <x v="5"/>
    <n v="14"/>
    <n v="0"/>
    <n v="1.5771783587052943E+19"/>
  </r>
  <r>
    <b v="0"/>
    <x v="15"/>
    <x v="15"/>
    <x v="1"/>
    <x v="0"/>
    <x v="4"/>
    <n v="15"/>
    <n v="0"/>
    <n v="1.4997455810444319E+19"/>
  </r>
  <r>
    <b v="0"/>
    <x v="16"/>
    <x v="16"/>
    <x v="1"/>
    <x v="0"/>
    <x v="6"/>
    <n v="16"/>
    <n v="0"/>
    <n v="6.979888154999042E+18"/>
  </r>
  <r>
    <b v="0"/>
    <x v="17"/>
    <x v="17"/>
    <x v="1"/>
    <x v="0"/>
    <x v="6"/>
    <n v="17"/>
    <n v="0"/>
    <n v="1.0366219637450232E+19"/>
  </r>
  <r>
    <b v="0"/>
    <x v="18"/>
    <x v="18"/>
    <x v="1"/>
    <x v="0"/>
    <x v="2"/>
    <n v="18"/>
    <n v="0"/>
    <n v="7.8312139266412196E+18"/>
  </r>
  <r>
    <b v="0"/>
    <x v="19"/>
    <x v="19"/>
    <x v="1"/>
    <x v="0"/>
    <x v="4"/>
    <n v="19"/>
    <n v="0"/>
    <n v="1.1289015025437194E+19"/>
  </r>
  <r>
    <b v="0"/>
    <x v="20"/>
    <x v="0"/>
    <x v="0"/>
    <x v="1"/>
    <x v="3"/>
    <n v="20"/>
    <n v="0"/>
    <n v="5.0277255142544712E+18"/>
  </r>
  <r>
    <b v="0"/>
    <x v="21"/>
    <x v="1"/>
    <x v="0"/>
    <x v="1"/>
    <x v="3"/>
    <n v="21"/>
    <n v="0"/>
    <n v="1.6237163381613861E+19"/>
  </r>
  <r>
    <b v="0"/>
    <x v="22"/>
    <x v="2"/>
    <x v="0"/>
    <x v="1"/>
    <x v="2"/>
    <n v="22"/>
    <n v="0"/>
    <n v="4.9065122822121943E+18"/>
  </r>
  <r>
    <b v="0"/>
    <x v="23"/>
    <x v="3"/>
    <x v="0"/>
    <x v="1"/>
    <x v="6"/>
    <n v="23"/>
    <n v="0"/>
    <n v="1.02528925901638E+19"/>
  </r>
  <r>
    <b v="0"/>
    <x v="24"/>
    <x v="4"/>
    <x v="0"/>
    <x v="1"/>
    <x v="2"/>
    <n v="24"/>
    <n v="0"/>
    <n v="1.1372757816479554E+19"/>
  </r>
  <r>
    <b v="0"/>
    <x v="25"/>
    <x v="5"/>
    <x v="0"/>
    <x v="1"/>
    <x v="2"/>
    <n v="25"/>
    <n v="0"/>
    <n v="8.8431010884506962E+18"/>
  </r>
  <r>
    <b v="0"/>
    <x v="26"/>
    <x v="6"/>
    <x v="0"/>
    <x v="1"/>
    <x v="7"/>
    <n v="26"/>
    <n v="0"/>
    <n v="1.4562216221735432E+19"/>
  </r>
  <r>
    <b v="0"/>
    <x v="27"/>
    <x v="7"/>
    <x v="0"/>
    <x v="1"/>
    <x v="6"/>
    <n v="27"/>
    <n v="0"/>
    <n v="1.0731592295676256E+19"/>
  </r>
  <r>
    <b v="0"/>
    <x v="28"/>
    <x v="8"/>
    <x v="0"/>
    <x v="1"/>
    <x v="1"/>
    <n v="28"/>
    <n v="0"/>
    <n v="1.6993868498685639E+19"/>
  </r>
  <r>
    <b v="0"/>
    <x v="29"/>
    <x v="9"/>
    <x v="0"/>
    <x v="1"/>
    <x v="2"/>
    <n v="29"/>
    <n v="0"/>
    <n v="6.9305386164244859E+18"/>
  </r>
  <r>
    <b v="0"/>
    <x v="30"/>
    <x v="10"/>
    <x v="1"/>
    <x v="1"/>
    <x v="2"/>
    <n v="30"/>
    <n v="0"/>
    <n v="6.0980770774717829E+18"/>
  </r>
  <r>
    <b v="0"/>
    <x v="31"/>
    <x v="11"/>
    <x v="1"/>
    <x v="1"/>
    <x v="8"/>
    <n v="31"/>
    <n v="0"/>
    <n v="1.577611069617911E+19"/>
  </r>
  <r>
    <b v="0"/>
    <x v="32"/>
    <x v="12"/>
    <x v="1"/>
    <x v="1"/>
    <x v="2"/>
    <n v="32"/>
    <n v="0"/>
    <n v="1.4384088275227949E+19"/>
  </r>
  <r>
    <b v="0"/>
    <x v="33"/>
    <x v="13"/>
    <x v="1"/>
    <x v="1"/>
    <x v="5"/>
    <n v="33"/>
    <n v="0"/>
    <n v="7.1850419446047398E+17"/>
  </r>
  <r>
    <b v="0"/>
    <x v="34"/>
    <x v="14"/>
    <x v="1"/>
    <x v="1"/>
    <x v="5"/>
    <n v="34"/>
    <n v="0"/>
    <n v="7.8834855461149082E+18"/>
  </r>
  <r>
    <b v="0"/>
    <x v="35"/>
    <x v="15"/>
    <x v="1"/>
    <x v="1"/>
    <x v="5"/>
    <n v="35"/>
    <n v="0"/>
    <n v="1.1982093373640934E+18"/>
  </r>
  <r>
    <b v="0"/>
    <x v="36"/>
    <x v="16"/>
    <x v="1"/>
    <x v="1"/>
    <x v="6"/>
    <n v="36"/>
    <n v="0"/>
    <n v="5.7886015827118807E+18"/>
  </r>
  <r>
    <b v="0"/>
    <x v="37"/>
    <x v="17"/>
    <x v="1"/>
    <x v="1"/>
    <x v="5"/>
    <n v="37"/>
    <n v="0"/>
    <n v="5.3463419602609316E+18"/>
  </r>
  <r>
    <b v="0"/>
    <x v="38"/>
    <x v="18"/>
    <x v="1"/>
    <x v="1"/>
    <x v="4"/>
    <n v="38"/>
    <n v="0"/>
    <n v="1.1062483968308691E+19"/>
  </r>
  <r>
    <b v="0"/>
    <x v="39"/>
    <x v="19"/>
    <x v="1"/>
    <x v="1"/>
    <x v="4"/>
    <n v="39"/>
    <n v="0"/>
    <n v="1.5655786404813789E+19"/>
  </r>
  <r>
    <b v="0"/>
    <x v="40"/>
    <x v="0"/>
    <x v="0"/>
    <x v="2"/>
    <x v="6"/>
    <n v="40"/>
    <n v="0"/>
    <n v="1.2924760724657525E+19"/>
  </r>
  <r>
    <b v="0"/>
    <x v="41"/>
    <x v="1"/>
    <x v="0"/>
    <x v="2"/>
    <x v="2"/>
    <n v="41"/>
    <n v="0"/>
    <n v="1.5888440451188287E+19"/>
  </r>
  <r>
    <b v="0"/>
    <x v="42"/>
    <x v="2"/>
    <x v="0"/>
    <x v="2"/>
    <x v="4"/>
    <n v="42"/>
    <n v="0"/>
    <n v="1.573285008968318E+19"/>
  </r>
  <r>
    <b v="0"/>
    <x v="43"/>
    <x v="3"/>
    <x v="0"/>
    <x v="2"/>
    <x v="2"/>
    <n v="43"/>
    <n v="0"/>
    <n v="3.4521232630528727E+18"/>
  </r>
  <r>
    <b v="0"/>
    <x v="44"/>
    <x v="4"/>
    <x v="0"/>
    <x v="2"/>
    <x v="5"/>
    <n v="44"/>
    <n v="0"/>
    <n v="1.7055007727495338E+19"/>
  </r>
  <r>
    <b v="0"/>
    <x v="45"/>
    <x v="5"/>
    <x v="0"/>
    <x v="2"/>
    <x v="4"/>
    <n v="45"/>
    <n v="0"/>
    <n v="3.4344431844385674E+18"/>
  </r>
  <r>
    <b v="0"/>
    <x v="46"/>
    <x v="6"/>
    <x v="0"/>
    <x v="2"/>
    <x v="4"/>
    <n v="46"/>
    <n v="0"/>
    <n v="2.7160096377432202E+18"/>
  </r>
  <r>
    <b v="0"/>
    <x v="47"/>
    <x v="7"/>
    <x v="0"/>
    <x v="2"/>
    <x v="5"/>
    <n v="47"/>
    <n v="0"/>
    <n v="1.0557631974468135E+19"/>
  </r>
  <r>
    <b v="0"/>
    <x v="48"/>
    <x v="8"/>
    <x v="0"/>
    <x v="2"/>
    <x v="6"/>
    <n v="48"/>
    <n v="0"/>
    <n v="3.9299830872627267E+18"/>
  </r>
  <r>
    <b v="0"/>
    <x v="49"/>
    <x v="9"/>
    <x v="0"/>
    <x v="2"/>
    <x v="4"/>
    <n v="49"/>
    <n v="0"/>
    <n v="3.3582240764467103E+18"/>
  </r>
  <r>
    <b v="0"/>
    <x v="50"/>
    <x v="10"/>
    <x v="1"/>
    <x v="2"/>
    <x v="4"/>
    <n v="50"/>
    <n v="0"/>
    <n v="8.429227019261143E+18"/>
  </r>
  <r>
    <b v="0"/>
    <x v="51"/>
    <x v="11"/>
    <x v="1"/>
    <x v="2"/>
    <x v="5"/>
    <n v="51"/>
    <n v="0"/>
    <n v="8.1271742869883013E+18"/>
  </r>
  <r>
    <b v="0"/>
    <x v="52"/>
    <x v="12"/>
    <x v="1"/>
    <x v="2"/>
    <x v="8"/>
    <n v="52"/>
    <n v="0"/>
    <n v="1.4170503894100017E+19"/>
  </r>
  <r>
    <b v="0"/>
    <x v="53"/>
    <x v="13"/>
    <x v="1"/>
    <x v="2"/>
    <x v="6"/>
    <n v="53"/>
    <n v="0"/>
    <n v="1.1828203545793874E+19"/>
  </r>
  <r>
    <b v="0"/>
    <x v="54"/>
    <x v="14"/>
    <x v="1"/>
    <x v="2"/>
    <x v="6"/>
    <n v="54"/>
    <n v="0"/>
    <n v="1.6171024712272615E+19"/>
  </r>
  <r>
    <b v="0"/>
    <x v="55"/>
    <x v="15"/>
    <x v="1"/>
    <x v="2"/>
    <x v="6"/>
    <n v="55"/>
    <n v="0"/>
    <n v="1.0287028351868174E+19"/>
  </r>
  <r>
    <b v="0"/>
    <x v="56"/>
    <x v="16"/>
    <x v="1"/>
    <x v="2"/>
    <x v="4"/>
    <n v="56"/>
    <n v="0"/>
    <n v="9.957775407236471E+17"/>
  </r>
  <r>
    <b v="0"/>
    <x v="57"/>
    <x v="17"/>
    <x v="1"/>
    <x v="2"/>
    <x v="4"/>
    <n v="57"/>
    <n v="0"/>
    <n v="1.0235404904753902E+18"/>
  </r>
  <r>
    <b v="0"/>
    <x v="58"/>
    <x v="18"/>
    <x v="1"/>
    <x v="2"/>
    <x v="4"/>
    <n v="58"/>
    <n v="0"/>
    <n v="1.1465180550904411E+18"/>
  </r>
  <r>
    <b v="0"/>
    <x v="59"/>
    <x v="19"/>
    <x v="1"/>
    <x v="2"/>
    <x v="2"/>
    <n v="59"/>
    <n v="0"/>
    <n v="4.778877313319053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69" firstHeaderRow="0" firstDataRow="1" firstDataCol="5"/>
  <pivotFields count="9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89">
    <format dxfId="104">
      <pivotArea type="all" dataOnly="0" outline="0" fieldPosition="0"/>
    </format>
    <format dxfId="103">
      <pivotArea outline="0" collapsedLevelsAreSubtotals="1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0">
      <pivotArea type="all" dataOnly="0" outline="0" fieldPosition="0"/>
    </format>
    <format dxfId="99">
      <pivotArea dataOnly="0" outline="0" fieldPosition="0">
        <references count="1">
          <reference field="4294967294" count="1">
            <x v="0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outline="0" fieldPosition="0">
        <references count="1">
          <reference field="4294967294" count="1" selected="0">
            <x v="1"/>
          </reference>
        </references>
      </pivotArea>
    </format>
    <format dxfId="92">
      <pivotArea dataOnly="0" outline="0" fieldPosition="0">
        <references count="1">
          <reference field="4294967294" count="1">
            <x v="1"/>
          </reference>
        </references>
      </pivotArea>
    </format>
    <format dxfId="91">
      <pivotArea type="all" dataOnly="0" outline="0" fieldPosition="0"/>
    </format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1" type="button" dataOnly="0" labelOnly="1" outline="0" axis="axisRow" fieldPosition="0"/>
    </format>
    <format dxfId="70">
      <pivotArea field="2" type="button" dataOnly="0" labelOnly="1" outline="0" axis="axisRow" fieldPosition="1"/>
    </format>
    <format dxfId="69">
      <pivotArea field="3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5" type="button" dataOnly="0" labelOnly="1" outline="0" axis="axisRow" fieldPosition="4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dataOnly="0" labelOnly="1" outline="0" fieldPosition="0">
        <references count="1">
          <reference field="1" count="1">
            <x v="0"/>
          </reference>
        </references>
      </pivotArea>
    </format>
    <format dxfId="63">
      <pivotArea dataOnly="0" labelOnly="1" outline="0" fieldPosition="0">
        <references count="1">
          <reference field="1" count="1">
            <x v="1"/>
          </reference>
        </references>
      </pivotArea>
    </format>
    <format dxfId="62">
      <pivotArea dataOnly="0" labelOnly="1" outline="0" fieldPosition="0">
        <references count="1">
          <reference field="1" count="1">
            <x v="2"/>
          </reference>
        </references>
      </pivotArea>
    </format>
    <format dxfId="61">
      <pivotArea dataOnly="0" labelOnly="1" outline="0" fieldPosition="0">
        <references count="1">
          <reference field="1" count="1">
            <x v="3"/>
          </reference>
        </references>
      </pivotArea>
    </format>
    <format dxfId="60">
      <pivotArea dataOnly="0" labelOnly="1" outline="0" fieldPosition="0">
        <references count="1">
          <reference field="1" count="1">
            <x v="4"/>
          </reference>
        </references>
      </pivotArea>
    </format>
    <format dxfId="59">
      <pivotArea dataOnly="0" labelOnly="1" outline="0" fieldPosition="0">
        <references count="1">
          <reference field="1" count="1">
            <x v="5"/>
          </reference>
        </references>
      </pivotArea>
    </format>
    <format dxfId="58">
      <pivotArea dataOnly="0" labelOnly="1" outline="0" fieldPosition="0">
        <references count="1">
          <reference field="1" count="1">
            <x v="6"/>
          </reference>
        </references>
      </pivotArea>
    </format>
    <format dxfId="57">
      <pivotArea dataOnly="0" labelOnly="1" outline="0" fieldPosition="0">
        <references count="1">
          <reference field="1" count="1">
            <x v="7"/>
          </reference>
        </references>
      </pivotArea>
    </format>
    <format dxfId="56">
      <pivotArea dataOnly="0" labelOnly="1" outline="0" fieldPosition="0">
        <references count="1">
          <reference field="1" count="1">
            <x v="8"/>
          </reference>
        </references>
      </pivotArea>
    </format>
    <format dxfId="55">
      <pivotArea dataOnly="0" labelOnly="1" outline="0" fieldPosition="0">
        <references count="1">
          <reference field="1" count="1">
            <x v="9"/>
          </reference>
        </references>
      </pivotArea>
    </format>
    <format dxfId="54">
      <pivotArea dataOnly="0" labelOnly="1" outline="0" fieldPosition="0">
        <references count="1">
          <reference field="1" count="1">
            <x v="10"/>
          </reference>
        </references>
      </pivotArea>
    </format>
    <format dxfId="53">
      <pivotArea dataOnly="0" labelOnly="1" outline="0" fieldPosition="0">
        <references count="1">
          <reference field="1" count="1">
            <x v="11"/>
          </reference>
        </references>
      </pivotArea>
    </format>
    <format dxfId="52">
      <pivotArea dataOnly="0" labelOnly="1" outline="0" fieldPosition="0">
        <references count="1">
          <reference field="1" count="1">
            <x v="12"/>
          </reference>
        </references>
      </pivotArea>
    </format>
    <format dxfId="51">
      <pivotArea dataOnly="0" labelOnly="1" outline="0" fieldPosition="0">
        <references count="1">
          <reference field="1" count="1">
            <x v="13"/>
          </reference>
        </references>
      </pivotArea>
    </format>
    <format dxfId="50">
      <pivotArea dataOnly="0" labelOnly="1" outline="0" fieldPosition="0">
        <references count="1">
          <reference field="1" count="1">
            <x v="14"/>
          </reference>
        </references>
      </pivotArea>
    </format>
    <format dxfId="49">
      <pivotArea dataOnly="0" labelOnly="1" outline="0" fieldPosition="0">
        <references count="1">
          <reference field="1" count="1">
            <x v="15"/>
          </reference>
        </references>
      </pivotArea>
    </format>
    <format dxfId="48">
      <pivotArea dataOnly="0" labelOnly="1" outline="0" fieldPosition="0">
        <references count="1">
          <reference field="1" count="1">
            <x v="16"/>
          </reference>
        </references>
      </pivotArea>
    </format>
    <format dxfId="47">
      <pivotArea dataOnly="0" labelOnly="1" outline="0" fieldPosition="0">
        <references count="1">
          <reference field="1" count="1">
            <x v="17"/>
          </reference>
        </references>
      </pivotArea>
    </format>
    <format dxfId="46">
      <pivotArea dataOnly="0" labelOnly="1" outline="0" fieldPosition="0">
        <references count="1">
          <reference field="1" count="1">
            <x v="18"/>
          </reference>
        </references>
      </pivotArea>
    </format>
    <format dxfId="45">
      <pivotArea dataOnly="0" labelOnly="1" outline="0" fieldPosition="0">
        <references count="1">
          <reference field="1" count="1">
            <x v="19"/>
          </reference>
        </references>
      </pivotArea>
    </format>
    <format dxfId="44">
      <pivotArea dataOnly="0" labelOnly="1" outline="0" fieldPosition="0">
        <references count="1">
          <reference field="1" count="1">
            <x v="20"/>
          </reference>
        </references>
      </pivotArea>
    </format>
    <format dxfId="43">
      <pivotArea dataOnly="0" labelOnly="1" outline="0" fieldPosition="0">
        <references count="1">
          <reference field="1" count="1">
            <x v="21"/>
          </reference>
        </references>
      </pivotArea>
    </format>
    <format dxfId="42">
      <pivotArea dataOnly="0" labelOnly="1" outline="0" fieldPosition="0">
        <references count="1">
          <reference field="1" count="1">
            <x v="22"/>
          </reference>
        </references>
      </pivotArea>
    </format>
    <format dxfId="41">
      <pivotArea dataOnly="0" labelOnly="1" outline="0" fieldPosition="0">
        <references count="1">
          <reference field="1" count="1">
            <x v="23"/>
          </reference>
        </references>
      </pivotArea>
    </format>
    <format dxfId="40">
      <pivotArea dataOnly="0" labelOnly="1" outline="0" fieldPosition="0">
        <references count="1">
          <reference field="1" count="1">
            <x v="24"/>
          </reference>
        </references>
      </pivotArea>
    </format>
    <format dxfId="39">
      <pivotArea dataOnly="0" labelOnly="1" outline="0" fieldPosition="0">
        <references count="1">
          <reference field="1" count="1">
            <x v="25"/>
          </reference>
        </references>
      </pivotArea>
    </format>
    <format dxfId="38">
      <pivotArea dataOnly="0" labelOnly="1" outline="0" fieldPosition="0">
        <references count="1">
          <reference field="1" count="1">
            <x v="26"/>
          </reference>
        </references>
      </pivotArea>
    </format>
    <format dxfId="37">
      <pivotArea dataOnly="0" labelOnly="1" outline="0" fieldPosition="0">
        <references count="1">
          <reference field="1" count="1">
            <x v="27"/>
          </reference>
        </references>
      </pivotArea>
    </format>
    <format dxfId="36">
      <pivotArea dataOnly="0" labelOnly="1" outline="0" fieldPosition="0">
        <references count="1">
          <reference field="1" count="1">
            <x v="28"/>
          </reference>
        </references>
      </pivotArea>
    </format>
    <format dxfId="35">
      <pivotArea dataOnly="0" labelOnly="1" outline="0" fieldPosition="0">
        <references count="1">
          <reference field="1" count="1">
            <x v="29"/>
          </reference>
        </references>
      </pivotArea>
    </format>
    <format dxfId="34">
      <pivotArea dataOnly="0" labelOnly="1" outline="0" fieldPosition="0">
        <references count="1">
          <reference field="1" count="1">
            <x v="30"/>
          </reference>
        </references>
      </pivotArea>
    </format>
    <format dxfId="33">
      <pivotArea dataOnly="0" labelOnly="1" outline="0" fieldPosition="0">
        <references count="1">
          <reference field="1" count="1">
            <x v="31"/>
          </reference>
        </references>
      </pivotArea>
    </format>
    <format dxfId="32">
      <pivotArea dataOnly="0" labelOnly="1" outline="0" fieldPosition="0">
        <references count="1">
          <reference field="1" count="1">
            <x v="32"/>
          </reference>
        </references>
      </pivotArea>
    </format>
    <format dxfId="31">
      <pivotArea dataOnly="0" labelOnly="1" outline="0" fieldPosition="0">
        <references count="1">
          <reference field="1" count="1">
            <x v="33"/>
          </reference>
        </references>
      </pivotArea>
    </format>
    <format dxfId="30">
      <pivotArea dataOnly="0" labelOnly="1" outline="0" fieldPosition="0">
        <references count="1">
          <reference field="1" count="1">
            <x v="34"/>
          </reference>
        </references>
      </pivotArea>
    </format>
    <format dxfId="29">
      <pivotArea dataOnly="0" labelOnly="1" outline="0" fieldPosition="0">
        <references count="1">
          <reference field="1" count="1">
            <x v="35"/>
          </reference>
        </references>
      </pivotArea>
    </format>
    <format dxfId="28">
      <pivotArea dataOnly="0" labelOnly="1" outline="0" fieldPosition="0">
        <references count="1">
          <reference field="1" count="1">
            <x v="36"/>
          </reference>
        </references>
      </pivotArea>
    </format>
    <format dxfId="27">
      <pivotArea dataOnly="0" labelOnly="1" outline="0" fieldPosition="0">
        <references count="1">
          <reference field="1" count="1">
            <x v="37"/>
          </reference>
        </references>
      </pivotArea>
    </format>
    <format dxfId="26">
      <pivotArea dataOnly="0" labelOnly="1" outline="0" fieldPosition="0">
        <references count="1">
          <reference field="1" count="1">
            <x v="38"/>
          </reference>
        </references>
      </pivotArea>
    </format>
    <format dxfId="25">
      <pivotArea dataOnly="0" labelOnly="1" outline="0" fieldPosition="0">
        <references count="1">
          <reference field="1" count="1">
            <x v="39"/>
          </reference>
        </references>
      </pivotArea>
    </format>
    <format dxfId="24">
      <pivotArea dataOnly="0" labelOnly="1" outline="0" fieldPosition="0">
        <references count="1">
          <reference field="1" count="1">
            <x v="40"/>
          </reference>
        </references>
      </pivotArea>
    </format>
    <format dxfId="23">
      <pivotArea dataOnly="0" labelOnly="1" outline="0" fieldPosition="0">
        <references count="1">
          <reference field="1" count="1">
            <x v="41"/>
          </reference>
        </references>
      </pivotArea>
    </format>
    <format dxfId="22">
      <pivotArea dataOnly="0" labelOnly="1" outline="0" fieldPosition="0">
        <references count="1">
          <reference field="1" count="1">
            <x v="42"/>
          </reference>
        </references>
      </pivotArea>
    </format>
    <format dxfId="21">
      <pivotArea dataOnly="0" labelOnly="1" outline="0" fieldPosition="0">
        <references count="1">
          <reference field="1" count="1">
            <x v="43"/>
          </reference>
        </references>
      </pivotArea>
    </format>
    <format dxfId="20">
      <pivotArea dataOnly="0" labelOnly="1" outline="0" fieldPosition="0">
        <references count="1">
          <reference field="1" count="1">
            <x v="44"/>
          </reference>
        </references>
      </pivotArea>
    </format>
    <format dxfId="19">
      <pivotArea dataOnly="0" labelOnly="1" outline="0" fieldPosition="0">
        <references count="1">
          <reference field="1" count="1">
            <x v="45"/>
          </reference>
        </references>
      </pivotArea>
    </format>
    <format dxfId="18">
      <pivotArea dataOnly="0" labelOnly="1" outline="0" fieldPosition="0">
        <references count="1">
          <reference field="1" count="1">
            <x v="46"/>
          </reference>
        </references>
      </pivotArea>
    </format>
    <format dxfId="17">
      <pivotArea dataOnly="0" labelOnly="1" outline="0" fieldPosition="0">
        <references count="1">
          <reference field="1" count="1">
            <x v="47"/>
          </reference>
        </references>
      </pivotArea>
    </format>
    <format dxfId="16">
      <pivotArea dataOnly="0" labelOnly="1" outline="0" fieldPosition="0">
        <references count="1">
          <reference field="1" count="1">
            <x v="48"/>
          </reference>
        </references>
      </pivotArea>
    </format>
    <format dxfId="15">
      <pivotArea dataOnly="0" labelOnly="1" outline="0" fieldPosition="0">
        <references count="1">
          <reference field="1" count="1">
            <x v="49"/>
          </reference>
        </references>
      </pivotArea>
    </format>
    <format dxfId="14">
      <pivotArea dataOnly="0" labelOnly="1" outline="0" fieldPosition="0">
        <references count="1">
          <reference field="1" count="1">
            <x v="50"/>
          </reference>
        </references>
      </pivotArea>
    </format>
    <format dxfId="13">
      <pivotArea dataOnly="0" labelOnly="1" outline="0" fieldPosition="0">
        <references count="1">
          <reference field="1" count="1">
            <x v="51"/>
          </reference>
        </references>
      </pivotArea>
    </format>
    <format dxfId="12">
      <pivotArea dataOnly="0" labelOnly="1" outline="0" fieldPosition="0">
        <references count="1">
          <reference field="1" count="1">
            <x v="52"/>
          </reference>
        </references>
      </pivotArea>
    </format>
    <format dxfId="11">
      <pivotArea dataOnly="0" labelOnly="1" outline="0" fieldPosition="0">
        <references count="1">
          <reference field="1" count="1">
            <x v="53"/>
          </reference>
        </references>
      </pivotArea>
    </format>
    <format dxfId="10">
      <pivotArea dataOnly="0" labelOnly="1" outline="0" fieldPosition="0">
        <references count="1">
          <reference field="1" count="1">
            <x v="54"/>
          </reference>
        </references>
      </pivotArea>
    </format>
    <format dxfId="9">
      <pivotArea dataOnly="0" labelOnly="1" outline="0" fieldPosition="0">
        <references count="1">
          <reference field="1" count="1">
            <x v="55"/>
          </reference>
        </references>
      </pivotArea>
    </format>
    <format dxfId="8">
      <pivotArea dataOnly="0" labelOnly="1" outline="0" fieldPosition="0">
        <references count="1">
          <reference field="1" count="1">
            <x v="56"/>
          </reference>
        </references>
      </pivotArea>
    </format>
    <format dxfId="7">
      <pivotArea dataOnly="0" labelOnly="1" outline="0" fieldPosition="0">
        <references count="1">
          <reference field="1" count="1">
            <x v="57"/>
          </reference>
        </references>
      </pivotArea>
    </format>
    <format dxfId="6">
      <pivotArea dataOnly="0" labelOnly="1" outline="0" fieldPosition="0">
        <references count="1">
          <reference field="1" count="1">
            <x v="58"/>
          </reference>
        </references>
      </pivotArea>
    </format>
    <format dxfId="5">
      <pivotArea dataOnly="0" labelOnly="1" outline="0" fieldPosition="0">
        <references count="1">
          <reference field="1" count="1">
            <x v="5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5" totalsRowShown="0" headerRowDxfId="85" dataDxfId="136" headerRowBorderDxfId="137">
  <autoFilter ref="B10:AA15" xr:uid="{034D1C74-BE18-490E-B396-097D407DA97D}"/>
  <tableColumns count="26">
    <tableColumn id="1" xr3:uid="{010A8E62-502A-4B19-B37A-BF59E03A068A}" name="Field" dataDxfId="135"/>
    <tableColumn id="2" xr3:uid="{AD236665-EC7C-404F-8915-AD7CD5510D0F}" name="Definition" dataDxfId="84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83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34"/>
    <tableColumn id="5" xr3:uid="{5006D683-9D12-4B97-9EF2-6D41AF6E0B35}" name="Distinct %" dataDxfId="133"/>
    <tableColumn id="6" xr3:uid="{3AFB42F8-9976-44FF-9239-74914D5BE035}" name="Missing %" dataDxfId="132"/>
    <tableColumn id="7" xr3:uid="{4BA41102-DB06-4180-9754-C88722FE82BD}" name="Memory Usage %" dataDxfId="131"/>
    <tableColumn id="8" xr3:uid="{D22319BD-3A80-40F3-84FC-A6D1627B2F29}" name="Memory Usage" dataDxfId="130"/>
    <tableColumn id="9" xr3:uid="{77FAEE19-B6C7-4056-8EF3-5EB877C820C4}" name="Distinct" dataDxfId="129"/>
    <tableColumn id="10" xr3:uid="{54FF47BF-594E-417B-9028-64A4DFE4D389}" name="Count" dataDxfId="128"/>
    <tableColumn id="11" xr3:uid="{54E587FE-36DC-4522-91DC-8B81B386217B}" name="Count %" dataDxfId="127"/>
    <tableColumn id="12" xr3:uid="{0DE21D83-93B1-480C-BE9C-379DA0E532C7}" name="Missing" dataDxfId="126"/>
    <tableColumn id="13" xr3:uid="{C4B407B9-B7FB-4DFC-A6B3-885C816BAF99}" name="Mean" dataDxfId="125"/>
    <tableColumn id="14" xr3:uid="{9796FD8E-D568-43E1-AC6E-BFAE7C7B7017}" name="Median" dataDxfId="124"/>
    <tableColumn id="15" xr3:uid="{A6A7BCED-DD2F-4B41-A84C-2F2674A38A53}" name="Mode" dataDxfId="123"/>
    <tableColumn id="16" xr3:uid="{46607FA5-244C-49C2-997C-B64EB2E94FDE}" name="Standard Deviation" dataDxfId="122"/>
    <tableColumn id="17" xr3:uid="{80BA1782-4C46-45CE-B3FB-40B70BA09AF9}" name="Variance" dataDxfId="121"/>
    <tableColumn id="18" xr3:uid="{EC3C5A76-EF95-419C-87A8-D8885B542521}" name="Min" dataDxfId="120"/>
    <tableColumn id="19" xr3:uid="{BFE545F8-810C-4F0A-A0B2-FF0AB9764A07}" name="5%" dataDxfId="119"/>
    <tableColumn id="20" xr3:uid="{77D31A9B-57B1-4422-8EF9-6320F00E0DB9}" name="25%" dataDxfId="118"/>
    <tableColumn id="21" xr3:uid="{7A350787-F0EA-4E65-B596-5D7253E75CD6}" name="50%" dataDxfId="117"/>
    <tableColumn id="22" xr3:uid="{FB4C260E-A19F-4908-9DBF-DB4AC630982A}" name="75%" dataDxfId="116"/>
    <tableColumn id="23" xr3:uid="{FBECC9F1-5BC8-4774-9475-EB2D6D28F1E2}" name="95%" dataDxfId="115"/>
    <tableColumn id="24" xr3:uid="{839CD532-ED80-4544-A8C8-E9E036764A84}" name="Max" dataDxfId="114"/>
    <tableColumn id="25" xr3:uid="{9DDA1FD6-82B1-4FBE-8BBD-B40C331930D2}" name="Range" dataDxfId="113"/>
    <tableColumn id="26" xr3:uid="{902A027A-FD65-44D4-B3D0-5B3883ACFA39}" name="IQR" dataDxfId="11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L141" totalsRowShown="0" headerRowDxfId="79" dataDxfId="78" headerRowCellStyle="DarkHeader" dataCellStyle="Normal">
  <autoFilter ref="D81:L141" xr:uid="{DB1D1E60-5E37-456A-AD85-0649D531840E}"/>
  <tableColumns count="9">
    <tableColumn id="1" xr3:uid="{57EDF41E-F06D-4819-BADE-3D62DE46F06C}" name="Record List" dataDxfId="76" dataCellStyle="Normal"/>
    <tableColumn id="2" xr3:uid="{CF70C9CE-83FE-40FA-8089-C68B39CF665A}" name="Unnamed: 0" dataDxfId="77" dataCellStyle="Normal"/>
    <tableColumn id="3" xr3:uid="{B8654690-502A-4FAF-9205-0118DABCB954}" name="subject" dataDxfId="82" dataCellStyle="Normal"/>
    <tableColumn id="4" xr3:uid="{5A5BA001-2F93-4E62-880C-C4E8BDB17EEB}" name="attention" dataDxfId="81" dataCellStyle="Normal"/>
    <tableColumn id="5" xr3:uid="{B1CFEB3A-04F3-4C25-90CF-B1490695A060}" name="solutions" dataDxfId="80" dataCellStyle="Normal"/>
    <tableColumn id="6" xr3:uid="{27986C36-29FA-4EE3-8F76-70B3589AF82F}" name="score" dataDxfId="75" dataCellStyle="Normal"/>
    <tableColumn id="7" xr3:uid="{5F9F2309-8DB5-42A2-9E9C-032B8C967C42}" name="index" dataDxfId="74" dataCellStyle="Normal"/>
    <tableColumn id="8" xr3:uid="{62760831-1611-4A93-9082-E1B370EACBBE}" name="HasBlank" dataDxfId="73" dataCellStyle="Normal"/>
    <tableColumn id="9" xr3:uid="{98099D44-AEEB-4B72-BE47-0A37448FB9EE}" name="Record Hash" dataDxfId="7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5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Attention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60</v>
      </c>
      <c r="AA4" s="9"/>
    </row>
    <row r="5" spans="2:27" ht="15" customHeight="1">
      <c r="B5" s="38" t="s">
        <v>55</v>
      </c>
      <c r="C5" s="37">
        <v>5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67</v>
      </c>
      <c r="F11" s="69">
        <v>1</v>
      </c>
      <c r="G11" s="69">
        <v>0</v>
      </c>
      <c r="H11" s="69">
        <v>0.14510278113663799</v>
      </c>
      <c r="I11" s="66">
        <v>480</v>
      </c>
      <c r="J11" s="66">
        <v>60</v>
      </c>
      <c r="K11" s="66">
        <v>60</v>
      </c>
      <c r="L11" s="67">
        <v>1</v>
      </c>
      <c r="M11" s="66">
        <v>0</v>
      </c>
      <c r="N11" s="68">
        <v>29.5</v>
      </c>
      <c r="O11" s="68">
        <v>29.5</v>
      </c>
      <c r="P11" s="68">
        <v>0</v>
      </c>
      <c r="Q11" s="68">
        <v>17.464249196572901</v>
      </c>
      <c r="R11" s="68">
        <v>304.99999999999898</v>
      </c>
      <c r="S11" s="68">
        <v>0</v>
      </c>
      <c r="T11" s="68">
        <v>2.95</v>
      </c>
      <c r="U11" s="68">
        <v>14.75</v>
      </c>
      <c r="V11" s="68">
        <v>29.5</v>
      </c>
      <c r="W11" s="68">
        <v>44.25</v>
      </c>
      <c r="X11" s="68">
        <v>56.05</v>
      </c>
      <c r="Y11" s="68">
        <v>59</v>
      </c>
      <c r="Z11" s="68">
        <v>59</v>
      </c>
      <c r="AA11" s="68">
        <v>29.5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67</v>
      </c>
      <c r="F12" s="81">
        <v>0.33333333333333298</v>
      </c>
      <c r="G12" s="81">
        <v>0</v>
      </c>
      <c r="H12" s="81">
        <v>0.14510278113663799</v>
      </c>
      <c r="I12" s="66">
        <v>480</v>
      </c>
      <c r="J12" s="66">
        <v>20</v>
      </c>
      <c r="K12" s="66">
        <v>60</v>
      </c>
      <c r="L12" s="67">
        <v>1</v>
      </c>
      <c r="M12" s="66">
        <v>0</v>
      </c>
      <c r="N12" s="68">
        <v>10.5</v>
      </c>
      <c r="O12" s="68">
        <v>10.5</v>
      </c>
      <c r="P12" s="68">
        <v>1</v>
      </c>
      <c r="Q12" s="68">
        <v>5.8149427617160496</v>
      </c>
      <c r="R12" s="68">
        <v>33.813559322033797</v>
      </c>
      <c r="S12" s="68">
        <v>1</v>
      </c>
      <c r="T12" s="68">
        <v>1.95</v>
      </c>
      <c r="U12" s="68">
        <v>5.75</v>
      </c>
      <c r="V12" s="68">
        <v>10.5</v>
      </c>
      <c r="W12" s="68">
        <v>15.25</v>
      </c>
      <c r="X12" s="68">
        <v>19.049999999999901</v>
      </c>
      <c r="Y12" s="68">
        <v>20</v>
      </c>
      <c r="Z12" s="68">
        <v>19</v>
      </c>
      <c r="AA12" s="68">
        <v>9.5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68</v>
      </c>
      <c r="F13" s="81">
        <v>3.3333333333333298E-2</v>
      </c>
      <c r="G13" s="81">
        <v>0</v>
      </c>
      <c r="H13" s="81">
        <v>0.27448609431680698</v>
      </c>
      <c r="I13" s="66">
        <v>908</v>
      </c>
      <c r="J13" s="66">
        <v>2</v>
      </c>
      <c r="K13" s="66">
        <v>60</v>
      </c>
      <c r="L13" s="67">
        <v>1</v>
      </c>
      <c r="M13" s="66">
        <v>0</v>
      </c>
      <c r="N13" s="68"/>
      <c r="O13" s="68"/>
      <c r="P13" s="68" t="s">
        <v>70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67</v>
      </c>
      <c r="F14" s="81">
        <v>0.05</v>
      </c>
      <c r="G14" s="81">
        <v>0</v>
      </c>
      <c r="H14" s="81">
        <v>0.14510278113663799</v>
      </c>
      <c r="I14" s="66">
        <v>480</v>
      </c>
      <c r="J14" s="66">
        <v>3</v>
      </c>
      <c r="K14" s="66">
        <v>60</v>
      </c>
      <c r="L14" s="67">
        <v>1</v>
      </c>
      <c r="M14" s="66">
        <v>0</v>
      </c>
      <c r="N14" s="68">
        <v>2</v>
      </c>
      <c r="O14" s="68">
        <v>2</v>
      </c>
      <c r="P14" s="68">
        <v>1</v>
      </c>
      <c r="Q14" s="68">
        <v>0.82338696959261803</v>
      </c>
      <c r="R14" s="68">
        <v>0.677966101694915</v>
      </c>
      <c r="S14" s="68">
        <v>1</v>
      </c>
      <c r="T14" s="68">
        <v>1</v>
      </c>
      <c r="U14" s="68">
        <v>1</v>
      </c>
      <c r="V14" s="68">
        <v>2</v>
      </c>
      <c r="W14" s="68">
        <v>3</v>
      </c>
      <c r="X14" s="68">
        <v>3</v>
      </c>
      <c r="Y14" s="68">
        <v>3</v>
      </c>
      <c r="Z14" s="68">
        <v>2</v>
      </c>
      <c r="AA14" s="68">
        <v>2</v>
      </c>
    </row>
    <row r="15" spans="2:27" ht="15" customHeight="1">
      <c r="B15" s="82" t="s">
        <v>64</v>
      </c>
      <c r="C15" s="83" t="str">
        <f>IF(INDEX(Definitions,1,MATCH(tbl_Overview[[#This Row],[Field]],Headers,0))="Definition","",INDEX(Definitions,1,MATCH(tbl_Overview[[#This Row],[Field]],Headers,0)))</f>
        <v/>
      </c>
      <c r="D15" s="83" t="str">
        <f>IF(INDEX(Notes,1,MATCH(tbl_Overview[[#This Row],[Field]],Headers,0))="Note","",INDEX(Notes,1,MATCH(tbl_Overview[[#This Row],[Field]],Headers,0)))</f>
        <v/>
      </c>
      <c r="E15" s="84" t="s">
        <v>69</v>
      </c>
      <c r="F15" s="85">
        <v>0.15</v>
      </c>
      <c r="G15" s="85">
        <v>0</v>
      </c>
      <c r="H15" s="85">
        <v>0.14510278113663799</v>
      </c>
      <c r="I15" s="86">
        <v>480</v>
      </c>
      <c r="J15" s="86">
        <v>9</v>
      </c>
      <c r="K15" s="86">
        <v>60</v>
      </c>
      <c r="L15" s="87">
        <v>1</v>
      </c>
      <c r="M15" s="86">
        <v>0</v>
      </c>
      <c r="N15" s="88">
        <v>5.9583333333333304</v>
      </c>
      <c r="O15" s="88">
        <v>6</v>
      </c>
      <c r="P15" s="88">
        <v>6</v>
      </c>
      <c r="Q15" s="88">
        <v>1.62160118262174</v>
      </c>
      <c r="R15" s="88">
        <v>2.62959039548022</v>
      </c>
      <c r="S15" s="88">
        <v>2</v>
      </c>
      <c r="T15" s="88">
        <v>3</v>
      </c>
      <c r="U15" s="88">
        <v>5</v>
      </c>
      <c r="V15" s="88">
        <v>6</v>
      </c>
      <c r="W15" s="88">
        <v>7</v>
      </c>
      <c r="X15" s="88">
        <v>8</v>
      </c>
      <c r="Y15" s="88">
        <v>9</v>
      </c>
      <c r="Z15" s="88">
        <v>7</v>
      </c>
      <c r="AA15" s="88">
        <v>2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L141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9" width="27.77734375" style="48" customWidth="1"/>
  </cols>
  <sheetData>
    <row r="1" spans="1:12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</row>
    <row r="2" spans="1:12" ht="10.050000000000001" customHeight="1"/>
    <row r="3" spans="1:12" ht="36.6">
      <c r="B3" s="1" t="s">
        <v>1</v>
      </c>
      <c r="C3" s="31" t="s">
        <v>58</v>
      </c>
      <c r="D3" s="31"/>
    </row>
    <row r="4" spans="1:12" ht="10.050000000000001" customHeight="1"/>
    <row r="5" spans="1:12" ht="14.4">
      <c r="B5" s="32"/>
      <c r="C5" s="75" t="s">
        <v>1</v>
      </c>
      <c r="D5" s="2" t="s">
        <v>2</v>
      </c>
    </row>
    <row r="6" spans="1:12" ht="10.050000000000001" customHeight="1">
      <c r="B6" s="32"/>
      <c r="C6" s="32"/>
    </row>
    <row r="7" spans="1:12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</row>
    <row r="8" spans="1:12" ht="10.050000000000001" hidden="1" customHeight="1" outlineLevel="1">
      <c r="B8" s="32"/>
      <c r="C8" s="32"/>
    </row>
    <row r="9" spans="1:12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</row>
    <row r="10" spans="1:12" ht="10.050000000000001" hidden="1" customHeight="1" outlineLevel="1"/>
    <row r="11" spans="1:12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35" t="s">
        <v>65</v>
      </c>
      <c r="K11" s="35" t="s">
        <v>40</v>
      </c>
      <c r="L11" s="35" t="s">
        <v>66</v>
      </c>
    </row>
    <row r="12" spans="1:12" ht="10.050000000000001" customHeight="1"/>
    <row r="13" spans="1:12" ht="14.4" outlineLevel="1">
      <c r="B13" s="32"/>
      <c r="C13" s="75" t="s">
        <v>1</v>
      </c>
      <c r="D13" s="33" t="s">
        <v>6</v>
      </c>
    </row>
    <row r="14" spans="1:12" ht="10.050000000000001" customHeight="1" outlineLevel="1">
      <c r="B14" s="32"/>
      <c r="C14" s="32"/>
      <c r="D14" s="32"/>
    </row>
    <row r="15" spans="1:12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</row>
    <row r="16" spans="1:12" ht="14.4" hidden="1" outlineLevel="2">
      <c r="B16" s="32"/>
      <c r="C16" s="32"/>
      <c r="D16" s="32"/>
    </row>
    <row r="17" spans="2:9" ht="15" hidden="1" customHeight="1" outlineLevel="2">
      <c r="B17" s="32"/>
      <c r="C17" s="32"/>
      <c r="D17" s="34" t="s">
        <v>8</v>
      </c>
      <c r="E17" s="36">
        <v>60</v>
      </c>
    </row>
    <row r="18" spans="2:9" ht="15" hidden="1" customHeight="1" outlineLevel="2">
      <c r="B18" s="32"/>
      <c r="C18" s="32"/>
      <c r="D18" s="74" t="s">
        <v>55</v>
      </c>
      <c r="E18" s="37">
        <v>5</v>
      </c>
    </row>
    <row r="19" spans="2:9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9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9" s="48" customFormat="1" ht="15" hidden="1" customHeight="1" outlineLevel="2">
      <c r="D21" s="3" t="s">
        <v>57</v>
      </c>
      <c r="E21" s="71">
        <v>0</v>
      </c>
    </row>
    <row r="22" spans="2:9" ht="10.050000000000001" hidden="1" customHeight="1" outlineLevel="2"/>
    <row r="23" spans="2:9" ht="14.4" outlineLevel="1" collapsed="1">
      <c r="B23" s="32"/>
      <c r="C23" s="75" t="s">
        <v>1</v>
      </c>
      <c r="D23" s="2" t="s">
        <v>9</v>
      </c>
    </row>
    <row r="24" spans="2:9" ht="10.050000000000001" customHeight="1" outlineLevel="1">
      <c r="B24" s="32"/>
      <c r="C24" s="32"/>
    </row>
    <row r="25" spans="2:9" ht="15" hidden="1" customHeight="1" outlineLevel="2">
      <c r="B25" s="32"/>
      <c r="C25" s="32"/>
      <c r="D25" s="28" t="s">
        <v>10</v>
      </c>
      <c r="E25" s="18" t="s">
        <v>67</v>
      </c>
      <c r="F25" s="18" t="s">
        <v>67</v>
      </c>
      <c r="G25" s="18" t="s">
        <v>68</v>
      </c>
      <c r="H25" s="18" t="s">
        <v>67</v>
      </c>
      <c r="I25" s="18" t="s">
        <v>69</v>
      </c>
    </row>
    <row r="26" spans="2:9" ht="15" hidden="1" customHeight="1" outlineLevel="2">
      <c r="B26" s="32"/>
      <c r="C26" s="32"/>
      <c r="D26" s="3" t="s">
        <v>11</v>
      </c>
      <c r="E26" s="19">
        <v>1</v>
      </c>
      <c r="F26" s="19">
        <v>0.33333333333333298</v>
      </c>
      <c r="G26" s="19">
        <v>3.3333333333333298E-2</v>
      </c>
      <c r="H26" s="19">
        <v>0.05</v>
      </c>
      <c r="I26" s="19">
        <v>0.15</v>
      </c>
    </row>
    <row r="27" spans="2:9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</row>
    <row r="28" spans="2:9" ht="15" hidden="1" customHeight="1" outlineLevel="2">
      <c r="B28" s="32"/>
      <c r="C28" s="32"/>
      <c r="D28" s="27" t="s">
        <v>13</v>
      </c>
      <c r="E28" s="19">
        <v>0.14510278113663799</v>
      </c>
      <c r="F28" s="19">
        <v>0.14510278113663799</v>
      </c>
      <c r="G28" s="19">
        <v>0.27448609431680698</v>
      </c>
      <c r="H28" s="19">
        <v>0.14510278113663799</v>
      </c>
      <c r="I28" s="19">
        <v>0.14510278113663799</v>
      </c>
    </row>
    <row r="29" spans="2:9" ht="15" hidden="1" customHeight="1" outlineLevel="2">
      <c r="B29" s="32"/>
      <c r="C29" s="32"/>
      <c r="D29" s="27" t="s">
        <v>14</v>
      </c>
      <c r="E29" s="20">
        <v>480</v>
      </c>
      <c r="F29" s="20">
        <v>480</v>
      </c>
      <c r="G29" s="20">
        <v>908</v>
      </c>
      <c r="H29" s="20">
        <v>480</v>
      </c>
      <c r="I29" s="20">
        <v>480</v>
      </c>
    </row>
    <row r="30" spans="2:9" ht="15" hidden="1" customHeight="1" outlineLevel="2">
      <c r="B30" s="32"/>
      <c r="C30" s="32"/>
      <c r="D30" s="27" t="s">
        <v>15</v>
      </c>
      <c r="E30" s="20">
        <v>60</v>
      </c>
      <c r="F30" s="20">
        <v>20</v>
      </c>
      <c r="G30" s="20">
        <v>2</v>
      </c>
      <c r="H30" s="20">
        <v>3</v>
      </c>
      <c r="I30" s="20">
        <v>9</v>
      </c>
    </row>
    <row r="31" spans="2:9" ht="15" hidden="1" customHeight="1" outlineLevel="2">
      <c r="B31" s="32"/>
      <c r="C31" s="32"/>
      <c r="D31" s="28" t="s">
        <v>16</v>
      </c>
      <c r="E31" s="20">
        <v>60</v>
      </c>
      <c r="F31" s="20">
        <v>60</v>
      </c>
      <c r="G31" s="20">
        <v>60</v>
      </c>
      <c r="H31" s="20">
        <v>60</v>
      </c>
      <c r="I31" s="20">
        <v>60</v>
      </c>
    </row>
    <row r="32" spans="2:9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2:9" ht="10.050000000000001" hidden="1" customHeight="1" outlineLevel="2">
      <c r="B33" s="32"/>
      <c r="C33" s="32"/>
    </row>
    <row r="34" spans="2:9" ht="150" hidden="1" customHeight="1" outlineLevel="2"/>
    <row r="35" spans="2:9" ht="10.050000000000001" hidden="1" customHeight="1" outlineLevel="2"/>
    <row r="36" spans="2:9" ht="14.4" outlineLevel="1" collapsed="1">
      <c r="B36" s="32"/>
      <c r="C36" s="75" t="s">
        <v>1</v>
      </c>
      <c r="D36" s="2" t="s">
        <v>18</v>
      </c>
    </row>
    <row r="37" spans="2:9" ht="10.050000000000001" customHeight="1" outlineLevel="1">
      <c r="B37" s="32"/>
      <c r="C37" s="32"/>
    </row>
    <row r="38" spans="2:9" ht="15" hidden="1" customHeight="1" outlineLevel="2">
      <c r="B38" s="32"/>
      <c r="C38" s="32"/>
      <c r="D38" s="3" t="s">
        <v>19</v>
      </c>
      <c r="E38" s="21">
        <v>29.5</v>
      </c>
      <c r="F38" s="21">
        <v>10.5</v>
      </c>
      <c r="G38" s="21"/>
      <c r="H38" s="21">
        <v>2</v>
      </c>
      <c r="I38" s="21">
        <v>5.9583333333333304</v>
      </c>
    </row>
    <row r="39" spans="2:9" ht="15" hidden="1" customHeight="1" outlineLevel="2">
      <c r="B39" s="32"/>
      <c r="C39" s="32"/>
      <c r="D39" s="27" t="s">
        <v>20</v>
      </c>
      <c r="E39" s="21">
        <v>29.5</v>
      </c>
      <c r="F39" s="21">
        <v>10.5</v>
      </c>
      <c r="G39" s="21"/>
      <c r="H39" s="21">
        <v>2</v>
      </c>
      <c r="I39" s="21">
        <v>6</v>
      </c>
    </row>
    <row r="40" spans="2:9" ht="15" hidden="1" customHeight="1" outlineLevel="2">
      <c r="B40" s="32"/>
      <c r="C40" s="32"/>
      <c r="D40" s="27" t="s">
        <v>21</v>
      </c>
      <c r="E40" s="21">
        <v>0</v>
      </c>
      <c r="F40" s="21">
        <v>1</v>
      </c>
      <c r="G40" s="21" t="s">
        <v>70</v>
      </c>
      <c r="H40" s="21">
        <v>1</v>
      </c>
      <c r="I40" s="21">
        <v>6</v>
      </c>
    </row>
    <row r="41" spans="2:9" ht="15" hidden="1" customHeight="1" outlineLevel="2">
      <c r="B41" s="32"/>
      <c r="C41" s="32"/>
      <c r="D41" s="3" t="s">
        <v>22</v>
      </c>
      <c r="E41" s="21">
        <v>17.464249196572901</v>
      </c>
      <c r="F41" s="21">
        <v>5.8149427617160496</v>
      </c>
      <c r="G41" s="21"/>
      <c r="H41" s="21">
        <v>0.82338696959261803</v>
      </c>
      <c r="I41" s="21">
        <v>1.62160118262174</v>
      </c>
    </row>
    <row r="42" spans="2:9" ht="15" hidden="1" customHeight="1" outlineLevel="2">
      <c r="B42" s="32"/>
      <c r="C42" s="32"/>
      <c r="D42" s="29" t="s">
        <v>23</v>
      </c>
      <c r="E42" s="21">
        <v>304.99999999999898</v>
      </c>
      <c r="F42" s="21">
        <v>33.813559322033797</v>
      </c>
      <c r="G42" s="21"/>
      <c r="H42" s="21">
        <v>0.677966101694915</v>
      </c>
      <c r="I42" s="21">
        <v>2.62959039548022</v>
      </c>
    </row>
    <row r="43" spans="2:9" ht="10.050000000000001" hidden="1" customHeight="1" outlineLevel="2">
      <c r="B43" s="32"/>
      <c r="C43" s="32"/>
    </row>
    <row r="44" spans="2:9" ht="150" hidden="1" customHeight="1" outlineLevel="2"/>
    <row r="45" spans="2:9" ht="10.050000000000001" hidden="1" customHeight="1" outlineLevel="2"/>
    <row r="46" spans="2:9" ht="14.4" outlineLevel="1" collapsed="1">
      <c r="B46" s="32"/>
      <c r="C46" s="75" t="s">
        <v>1</v>
      </c>
      <c r="D46" s="2" t="s">
        <v>24</v>
      </c>
    </row>
    <row r="47" spans="2:9" ht="10.050000000000001" customHeight="1" outlineLevel="1">
      <c r="B47" s="32"/>
      <c r="C47" s="32"/>
    </row>
    <row r="48" spans="2:9" ht="15" hidden="1" customHeight="1" outlineLevel="2">
      <c r="B48" s="32"/>
      <c r="C48" s="32"/>
      <c r="D48" s="3" t="s">
        <v>25</v>
      </c>
      <c r="E48" s="21">
        <v>0</v>
      </c>
      <c r="F48" s="21">
        <v>1</v>
      </c>
      <c r="G48" s="21"/>
      <c r="H48" s="21">
        <v>1</v>
      </c>
      <c r="I48" s="21">
        <v>2</v>
      </c>
    </row>
    <row r="49" spans="1:9" ht="15" hidden="1" customHeight="1" outlineLevel="2">
      <c r="B49" s="32"/>
      <c r="C49" s="32"/>
      <c r="D49" s="27">
        <v>0.05</v>
      </c>
      <c r="E49" s="21">
        <v>2.95</v>
      </c>
      <c r="F49" s="21">
        <v>1.95</v>
      </c>
      <c r="G49" s="21"/>
      <c r="H49" s="21">
        <v>1</v>
      </c>
      <c r="I49" s="21">
        <v>3</v>
      </c>
    </row>
    <row r="50" spans="1:9" ht="15" hidden="1" customHeight="1" outlineLevel="2">
      <c r="B50" s="32"/>
      <c r="C50" s="32"/>
      <c r="D50" s="28">
        <v>0.25</v>
      </c>
      <c r="E50" s="21">
        <v>14.75</v>
      </c>
      <c r="F50" s="21">
        <v>5.75</v>
      </c>
      <c r="G50" s="21"/>
      <c r="H50" s="21">
        <v>1</v>
      </c>
      <c r="I50" s="21">
        <v>5</v>
      </c>
    </row>
    <row r="51" spans="1:9" ht="15" hidden="1" customHeight="1" outlineLevel="2">
      <c r="B51" s="32"/>
      <c r="C51" s="32"/>
      <c r="D51" s="3">
        <v>0.5</v>
      </c>
      <c r="E51" s="21">
        <v>29.5</v>
      </c>
      <c r="F51" s="21">
        <v>10.5</v>
      </c>
      <c r="G51" s="21"/>
      <c r="H51" s="21">
        <v>2</v>
      </c>
      <c r="I51" s="21">
        <v>6</v>
      </c>
    </row>
    <row r="52" spans="1:9" ht="15" hidden="1" customHeight="1" outlineLevel="2">
      <c r="B52" s="32"/>
      <c r="C52" s="32"/>
      <c r="D52" s="27">
        <v>0.75</v>
      </c>
      <c r="E52" s="21">
        <v>44.25</v>
      </c>
      <c r="F52" s="21">
        <v>15.25</v>
      </c>
      <c r="G52" s="21"/>
      <c r="H52" s="21">
        <v>3</v>
      </c>
      <c r="I52" s="21">
        <v>7</v>
      </c>
    </row>
    <row r="53" spans="1:9" ht="15" hidden="1" customHeight="1" outlineLevel="2">
      <c r="B53" s="32"/>
      <c r="C53" s="32"/>
      <c r="D53" s="27">
        <v>0.95</v>
      </c>
      <c r="E53" s="21">
        <v>56.05</v>
      </c>
      <c r="F53" s="21">
        <v>19.049999999999901</v>
      </c>
      <c r="G53" s="21"/>
      <c r="H53" s="21">
        <v>3</v>
      </c>
      <c r="I53" s="21">
        <v>8</v>
      </c>
    </row>
    <row r="54" spans="1:9" ht="15" hidden="1" customHeight="1" outlineLevel="2">
      <c r="B54" s="32"/>
      <c r="C54" s="32"/>
      <c r="D54" s="3" t="s">
        <v>26</v>
      </c>
      <c r="E54" s="21">
        <v>59</v>
      </c>
      <c r="F54" s="21">
        <v>20</v>
      </c>
      <c r="G54" s="21"/>
      <c r="H54" s="21">
        <v>3</v>
      </c>
      <c r="I54" s="21">
        <v>9</v>
      </c>
    </row>
    <row r="55" spans="1:9" ht="15" hidden="1" customHeight="1" outlineLevel="2">
      <c r="B55" s="32"/>
      <c r="C55" s="32"/>
      <c r="D55" s="27" t="s">
        <v>27</v>
      </c>
      <c r="E55" s="21">
        <v>59</v>
      </c>
      <c r="F55" s="21">
        <v>19</v>
      </c>
      <c r="G55" s="21"/>
      <c r="H55" s="21">
        <v>2</v>
      </c>
      <c r="I55" s="21">
        <v>7</v>
      </c>
    </row>
    <row r="56" spans="1:9" ht="15" hidden="1" customHeight="1" outlineLevel="2">
      <c r="D56" s="3" t="s">
        <v>28</v>
      </c>
      <c r="E56" s="21">
        <v>29.5</v>
      </c>
      <c r="F56" s="21">
        <v>9.5</v>
      </c>
      <c r="G56" s="21"/>
      <c r="H56" s="21">
        <v>2</v>
      </c>
      <c r="I56" s="21">
        <v>2</v>
      </c>
    </row>
    <row r="57" spans="1:9" ht="10.050000000000001" hidden="1" customHeight="1" outlineLevel="2"/>
    <row r="58" spans="1:9" ht="14.4" outlineLevel="1" collapsed="1">
      <c r="A58" s="32"/>
      <c r="B58" s="32"/>
      <c r="C58" s="75" t="s">
        <v>1</v>
      </c>
      <c r="D58" s="2" t="s">
        <v>29</v>
      </c>
    </row>
    <row r="59" spans="1:9" ht="10.050000000000001" customHeight="1" outlineLevel="1">
      <c r="A59" s="32"/>
      <c r="B59" s="32"/>
      <c r="C59" s="32"/>
    </row>
    <row r="60" spans="1:9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</row>
    <row r="61" spans="1:9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</row>
    <row r="62" spans="1:9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</row>
    <row r="63" spans="1:9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</row>
    <row r="64" spans="1:9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</row>
    <row r="65" spans="1:9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</row>
    <row r="66" spans="1:9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</row>
    <row r="67" spans="1:9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</row>
    <row r="68" spans="1:9" ht="10.050000000000001" hidden="1" customHeight="1" outlineLevel="2"/>
    <row r="69" spans="1:9" ht="14.4" outlineLevel="1" collapsed="1">
      <c r="A69" s="32"/>
      <c r="B69" s="32"/>
      <c r="C69" s="75" t="s">
        <v>1</v>
      </c>
      <c r="D69" s="2" t="s">
        <v>38</v>
      </c>
    </row>
    <row r="70" spans="1:9" ht="15" customHeight="1" outlineLevel="1">
      <c r="A70" s="32"/>
      <c r="B70" s="32"/>
    </row>
    <row r="71" spans="1:9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050000000000001" hidden="1" customHeight="1" outlineLevel="1" collapsed="1"/>
    <row r="81" spans="4:12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7" t="s">
        <v>65</v>
      </c>
      <c r="K81" s="97" t="s">
        <v>40</v>
      </c>
      <c r="L81" s="97" t="s">
        <v>66</v>
      </c>
    </row>
    <row r="82" spans="4:12" ht="15" customHeight="1">
      <c r="D82" s="98" t="b">
        <v>0</v>
      </c>
      <c r="E82" s="92">
        <v>0</v>
      </c>
      <c r="F82" s="92">
        <v>1</v>
      </c>
      <c r="G82" s="92" t="s">
        <v>70</v>
      </c>
      <c r="H82" s="93">
        <v>1</v>
      </c>
      <c r="I82" s="93">
        <v>2</v>
      </c>
      <c r="J82" s="101">
        <v>0</v>
      </c>
      <c r="K82" s="101">
        <v>0</v>
      </c>
      <c r="L82" s="101">
        <v>6.4574533928469606E+18</v>
      </c>
    </row>
    <row r="83" spans="4:12" ht="15" customHeight="1">
      <c r="D83" s="98" t="b">
        <v>0</v>
      </c>
      <c r="E83" s="92">
        <v>1</v>
      </c>
      <c r="F83" s="92">
        <v>2</v>
      </c>
      <c r="G83" s="92" t="s">
        <v>70</v>
      </c>
      <c r="H83" s="93">
        <v>1</v>
      </c>
      <c r="I83" s="93">
        <v>3</v>
      </c>
      <c r="J83" s="101">
        <v>1</v>
      </c>
      <c r="K83" s="101">
        <v>0</v>
      </c>
      <c r="L83" s="101">
        <v>2.5990946002795802E+18</v>
      </c>
    </row>
    <row r="84" spans="4:12" ht="15" customHeight="1">
      <c r="D84" s="99" t="b">
        <v>0</v>
      </c>
      <c r="E84" s="94">
        <v>2</v>
      </c>
      <c r="F84" s="92">
        <v>3</v>
      </c>
      <c r="G84" s="92" t="s">
        <v>70</v>
      </c>
      <c r="H84" s="93">
        <v>1</v>
      </c>
      <c r="I84" s="93">
        <v>3</v>
      </c>
      <c r="J84" s="101">
        <v>2</v>
      </c>
      <c r="K84" s="101">
        <v>0</v>
      </c>
      <c r="L84" s="101">
        <v>8.0914409693109576E+18</v>
      </c>
    </row>
    <row r="85" spans="4:12" ht="15" customHeight="1">
      <c r="D85" s="99" t="b">
        <v>0</v>
      </c>
      <c r="E85" s="94">
        <v>3</v>
      </c>
      <c r="F85" s="92">
        <v>4</v>
      </c>
      <c r="G85" s="92" t="s">
        <v>70</v>
      </c>
      <c r="H85" s="93">
        <v>1</v>
      </c>
      <c r="I85" s="93">
        <v>5</v>
      </c>
      <c r="J85" s="101">
        <v>3</v>
      </c>
      <c r="K85" s="101">
        <v>0</v>
      </c>
      <c r="L85" s="101">
        <v>1.0514444349679395E+19</v>
      </c>
    </row>
    <row r="86" spans="4:12" ht="15" customHeight="1">
      <c r="D86" s="99" t="b">
        <v>0</v>
      </c>
      <c r="E86" s="94">
        <v>4</v>
      </c>
      <c r="F86" s="92">
        <v>5</v>
      </c>
      <c r="G86" s="92" t="s">
        <v>70</v>
      </c>
      <c r="H86" s="93">
        <v>1</v>
      </c>
      <c r="I86" s="93">
        <v>4</v>
      </c>
      <c r="J86" s="101">
        <v>4</v>
      </c>
      <c r="K86" s="101">
        <v>0</v>
      </c>
      <c r="L86" s="101">
        <v>4.422957939838848E+18</v>
      </c>
    </row>
    <row r="87" spans="4:12" ht="15" customHeight="1">
      <c r="D87" s="99" t="b">
        <v>0</v>
      </c>
      <c r="E87" s="94">
        <v>5</v>
      </c>
      <c r="F87" s="92">
        <v>6</v>
      </c>
      <c r="G87" s="92" t="s">
        <v>70</v>
      </c>
      <c r="H87" s="93">
        <v>1</v>
      </c>
      <c r="I87" s="93">
        <v>5</v>
      </c>
      <c r="J87" s="101">
        <v>5</v>
      </c>
      <c r="K87" s="101">
        <v>0</v>
      </c>
      <c r="L87" s="101">
        <v>1.5034848021966442E+19</v>
      </c>
    </row>
    <row r="88" spans="4:12" ht="15" customHeight="1">
      <c r="D88" s="99" t="b">
        <v>0</v>
      </c>
      <c r="E88" s="94">
        <v>6</v>
      </c>
      <c r="F88" s="92">
        <v>7</v>
      </c>
      <c r="G88" s="92" t="s">
        <v>70</v>
      </c>
      <c r="H88" s="93">
        <v>1</v>
      </c>
      <c r="I88" s="93">
        <v>5</v>
      </c>
      <c r="J88" s="101">
        <v>6</v>
      </c>
      <c r="K88" s="101">
        <v>0</v>
      </c>
      <c r="L88" s="101">
        <v>6.2834809266147236E+18</v>
      </c>
    </row>
    <row r="89" spans="4:12" ht="15" customHeight="1">
      <c r="D89" s="99" t="b">
        <v>0</v>
      </c>
      <c r="E89" s="94">
        <v>7</v>
      </c>
      <c r="F89" s="92">
        <v>8</v>
      </c>
      <c r="G89" s="92" t="s">
        <v>70</v>
      </c>
      <c r="H89" s="93">
        <v>1</v>
      </c>
      <c r="I89" s="93">
        <v>5</v>
      </c>
      <c r="J89" s="101">
        <v>7</v>
      </c>
      <c r="K89" s="101">
        <v>0</v>
      </c>
      <c r="L89" s="101">
        <v>6.8323091510754355E+18</v>
      </c>
    </row>
    <row r="90" spans="4:12" ht="15" customHeight="1">
      <c r="D90" s="99" t="b">
        <v>0</v>
      </c>
      <c r="E90" s="94">
        <v>8</v>
      </c>
      <c r="F90" s="92">
        <v>9</v>
      </c>
      <c r="G90" s="92" t="s">
        <v>70</v>
      </c>
      <c r="H90" s="93">
        <v>1</v>
      </c>
      <c r="I90" s="93">
        <v>2</v>
      </c>
      <c r="J90" s="101">
        <v>8</v>
      </c>
      <c r="K90" s="101">
        <v>0</v>
      </c>
      <c r="L90" s="101">
        <v>1.3176130448454101E+19</v>
      </c>
    </row>
    <row r="91" spans="4:12" ht="15" customHeight="1">
      <c r="D91" s="99" t="b">
        <v>0</v>
      </c>
      <c r="E91" s="94">
        <v>9</v>
      </c>
      <c r="F91" s="92">
        <v>10</v>
      </c>
      <c r="G91" s="92" t="s">
        <v>70</v>
      </c>
      <c r="H91" s="93">
        <v>1</v>
      </c>
      <c r="I91" s="93">
        <v>6</v>
      </c>
      <c r="J91" s="101">
        <v>9</v>
      </c>
      <c r="K91" s="101">
        <v>0</v>
      </c>
      <c r="L91" s="101">
        <v>5.0716951205903187E+17</v>
      </c>
    </row>
    <row r="92" spans="4:12" ht="15" customHeight="1">
      <c r="D92" s="99" t="b">
        <v>0</v>
      </c>
      <c r="E92" s="94">
        <v>10</v>
      </c>
      <c r="F92" s="92">
        <v>11</v>
      </c>
      <c r="G92" s="92" t="s">
        <v>71</v>
      </c>
      <c r="H92" s="93">
        <v>1</v>
      </c>
      <c r="I92" s="93">
        <v>6</v>
      </c>
      <c r="J92" s="101">
        <v>10</v>
      </c>
      <c r="K92" s="101">
        <v>0</v>
      </c>
      <c r="L92" s="101">
        <v>1.0868605597970043E+19</v>
      </c>
    </row>
    <row r="93" spans="4:12" ht="15" customHeight="1">
      <c r="D93" s="99" t="b">
        <v>0</v>
      </c>
      <c r="E93" s="94">
        <v>11</v>
      </c>
      <c r="F93" s="92">
        <v>12</v>
      </c>
      <c r="G93" s="92" t="s">
        <v>71</v>
      </c>
      <c r="H93" s="93">
        <v>1</v>
      </c>
      <c r="I93" s="93">
        <v>8</v>
      </c>
      <c r="J93" s="101">
        <v>11</v>
      </c>
      <c r="K93" s="101">
        <v>0</v>
      </c>
      <c r="L93" s="101">
        <v>1.2624076349888774E+19</v>
      </c>
    </row>
    <row r="94" spans="4:12" ht="15" customHeight="1">
      <c r="D94" s="99" t="b">
        <v>0</v>
      </c>
      <c r="E94" s="94">
        <v>12</v>
      </c>
      <c r="F94" s="92">
        <v>13</v>
      </c>
      <c r="G94" s="92" t="s">
        <v>71</v>
      </c>
      <c r="H94" s="93">
        <v>1</v>
      </c>
      <c r="I94" s="93">
        <v>6</v>
      </c>
      <c r="J94" s="101">
        <v>12</v>
      </c>
      <c r="K94" s="101">
        <v>0</v>
      </c>
      <c r="L94" s="101">
        <v>9.7514599181414072E+18</v>
      </c>
    </row>
    <row r="95" spans="4:12" ht="15" customHeight="1">
      <c r="D95" s="99" t="b">
        <v>0</v>
      </c>
      <c r="E95" s="94">
        <v>13</v>
      </c>
      <c r="F95" s="92">
        <v>14</v>
      </c>
      <c r="G95" s="92" t="s">
        <v>71</v>
      </c>
      <c r="H95" s="93">
        <v>1</v>
      </c>
      <c r="I95" s="93">
        <v>8</v>
      </c>
      <c r="J95" s="101">
        <v>13</v>
      </c>
      <c r="K95" s="101">
        <v>0</v>
      </c>
      <c r="L95" s="101">
        <v>4.7622122821286851E+18</v>
      </c>
    </row>
    <row r="96" spans="4:12" ht="15" customHeight="1">
      <c r="D96" s="99" t="b">
        <v>0</v>
      </c>
      <c r="E96" s="94">
        <v>14</v>
      </c>
      <c r="F96" s="92">
        <v>15</v>
      </c>
      <c r="G96" s="92" t="s">
        <v>71</v>
      </c>
      <c r="H96" s="93">
        <v>1</v>
      </c>
      <c r="I96" s="93">
        <v>8</v>
      </c>
      <c r="J96" s="101">
        <v>14</v>
      </c>
      <c r="K96" s="101">
        <v>0</v>
      </c>
      <c r="L96" s="101">
        <v>1.5771783587052943E+19</v>
      </c>
    </row>
    <row r="97" spans="4:12" ht="15" customHeight="1">
      <c r="D97" s="99" t="b">
        <v>0</v>
      </c>
      <c r="E97" s="94">
        <v>15</v>
      </c>
      <c r="F97" s="92">
        <v>16</v>
      </c>
      <c r="G97" s="92" t="s">
        <v>71</v>
      </c>
      <c r="H97" s="93">
        <v>1</v>
      </c>
      <c r="I97" s="93">
        <v>6</v>
      </c>
      <c r="J97" s="101">
        <v>15</v>
      </c>
      <c r="K97" s="101">
        <v>0</v>
      </c>
      <c r="L97" s="101">
        <v>1.4997455810444319E+19</v>
      </c>
    </row>
    <row r="98" spans="4:12" ht="15" customHeight="1">
      <c r="D98" s="99" t="b">
        <v>0</v>
      </c>
      <c r="E98" s="94">
        <v>16</v>
      </c>
      <c r="F98" s="92">
        <v>17</v>
      </c>
      <c r="G98" s="92" t="s">
        <v>71</v>
      </c>
      <c r="H98" s="93">
        <v>1</v>
      </c>
      <c r="I98" s="93">
        <v>7</v>
      </c>
      <c r="J98" s="101">
        <v>16</v>
      </c>
      <c r="K98" s="101">
        <v>0</v>
      </c>
      <c r="L98" s="101">
        <v>6.979888154999042E+18</v>
      </c>
    </row>
    <row r="99" spans="4:12" ht="15" customHeight="1">
      <c r="D99" s="99" t="b">
        <v>0</v>
      </c>
      <c r="E99" s="94">
        <v>17</v>
      </c>
      <c r="F99" s="92">
        <v>18</v>
      </c>
      <c r="G99" s="92" t="s">
        <v>71</v>
      </c>
      <c r="H99" s="93">
        <v>1</v>
      </c>
      <c r="I99" s="93">
        <v>7</v>
      </c>
      <c r="J99" s="101">
        <v>17</v>
      </c>
      <c r="K99" s="101">
        <v>0</v>
      </c>
      <c r="L99" s="101">
        <v>1.0366219637450232E+19</v>
      </c>
    </row>
    <row r="100" spans="4:12" ht="15" customHeight="1">
      <c r="D100" s="99" t="b">
        <v>0</v>
      </c>
      <c r="E100" s="94">
        <v>18</v>
      </c>
      <c r="F100" s="92">
        <v>19</v>
      </c>
      <c r="G100" s="92" t="s">
        <v>71</v>
      </c>
      <c r="H100" s="93">
        <v>1</v>
      </c>
      <c r="I100" s="93">
        <v>5</v>
      </c>
      <c r="J100" s="101">
        <v>18</v>
      </c>
      <c r="K100" s="101">
        <v>0</v>
      </c>
      <c r="L100" s="101">
        <v>7.8312139266412196E+18</v>
      </c>
    </row>
    <row r="101" spans="4:12" ht="15" customHeight="1">
      <c r="D101" s="99" t="b">
        <v>0</v>
      </c>
      <c r="E101" s="94">
        <v>19</v>
      </c>
      <c r="F101" s="92">
        <v>20</v>
      </c>
      <c r="G101" s="92" t="s">
        <v>71</v>
      </c>
      <c r="H101" s="93">
        <v>1</v>
      </c>
      <c r="I101" s="93">
        <v>6</v>
      </c>
      <c r="J101" s="101">
        <v>19</v>
      </c>
      <c r="K101" s="101">
        <v>0</v>
      </c>
      <c r="L101" s="101">
        <v>1.1289015025437194E+19</v>
      </c>
    </row>
    <row r="102" spans="4:12" ht="15" customHeight="1">
      <c r="D102" s="99" t="b">
        <v>0</v>
      </c>
      <c r="E102" s="94">
        <v>20</v>
      </c>
      <c r="F102" s="92">
        <v>1</v>
      </c>
      <c r="G102" s="92" t="s">
        <v>70</v>
      </c>
      <c r="H102" s="93">
        <v>2</v>
      </c>
      <c r="I102" s="93">
        <v>4</v>
      </c>
      <c r="J102" s="101">
        <v>20</v>
      </c>
      <c r="K102" s="101">
        <v>0</v>
      </c>
      <c r="L102" s="101">
        <v>5.0277255142544712E+18</v>
      </c>
    </row>
    <row r="103" spans="4:12" ht="15" customHeight="1">
      <c r="D103" s="99" t="b">
        <v>0</v>
      </c>
      <c r="E103" s="94">
        <v>21</v>
      </c>
      <c r="F103" s="92">
        <v>2</v>
      </c>
      <c r="G103" s="92" t="s">
        <v>70</v>
      </c>
      <c r="H103" s="93">
        <v>2</v>
      </c>
      <c r="I103" s="93">
        <v>4</v>
      </c>
      <c r="J103" s="101">
        <v>21</v>
      </c>
      <c r="K103" s="101">
        <v>0</v>
      </c>
      <c r="L103" s="101">
        <v>1.6237163381613861E+19</v>
      </c>
    </row>
    <row r="104" spans="4:12" ht="15" customHeight="1">
      <c r="D104" s="99" t="b">
        <v>0</v>
      </c>
      <c r="E104" s="94">
        <v>22</v>
      </c>
      <c r="F104" s="92">
        <v>3</v>
      </c>
      <c r="G104" s="92" t="s">
        <v>70</v>
      </c>
      <c r="H104" s="93">
        <v>2</v>
      </c>
      <c r="I104" s="93">
        <v>5</v>
      </c>
      <c r="J104" s="101">
        <v>22</v>
      </c>
      <c r="K104" s="101">
        <v>0</v>
      </c>
      <c r="L104" s="101">
        <v>4.9065122822121943E+18</v>
      </c>
    </row>
    <row r="105" spans="4:12" ht="15" customHeight="1">
      <c r="D105" s="99" t="b">
        <v>0</v>
      </c>
      <c r="E105" s="94">
        <v>23</v>
      </c>
      <c r="F105" s="92">
        <v>4</v>
      </c>
      <c r="G105" s="92" t="s">
        <v>70</v>
      </c>
      <c r="H105" s="93">
        <v>2</v>
      </c>
      <c r="I105" s="93">
        <v>7</v>
      </c>
      <c r="J105" s="101">
        <v>23</v>
      </c>
      <c r="K105" s="101">
        <v>0</v>
      </c>
      <c r="L105" s="101">
        <v>1.02528925901638E+19</v>
      </c>
    </row>
    <row r="106" spans="4:12" ht="15" customHeight="1">
      <c r="D106" s="99" t="b">
        <v>0</v>
      </c>
      <c r="E106" s="94">
        <v>24</v>
      </c>
      <c r="F106" s="92">
        <v>5</v>
      </c>
      <c r="G106" s="92" t="s">
        <v>70</v>
      </c>
      <c r="H106" s="93">
        <v>2</v>
      </c>
      <c r="I106" s="93">
        <v>5</v>
      </c>
      <c r="J106" s="101">
        <v>24</v>
      </c>
      <c r="K106" s="101">
        <v>0</v>
      </c>
      <c r="L106" s="101">
        <v>1.1372757816479554E+19</v>
      </c>
    </row>
    <row r="107" spans="4:12" ht="15" customHeight="1">
      <c r="D107" s="99" t="b">
        <v>0</v>
      </c>
      <c r="E107" s="94">
        <v>25</v>
      </c>
      <c r="F107" s="92">
        <v>6</v>
      </c>
      <c r="G107" s="92" t="s">
        <v>70</v>
      </c>
      <c r="H107" s="93">
        <v>2</v>
      </c>
      <c r="I107" s="93">
        <v>5</v>
      </c>
      <c r="J107" s="101">
        <v>25</v>
      </c>
      <c r="K107" s="101">
        <v>0</v>
      </c>
      <c r="L107" s="101">
        <v>8.8431010884506962E+18</v>
      </c>
    </row>
    <row r="108" spans="4:12" ht="15" customHeight="1">
      <c r="D108" s="99" t="b">
        <v>0</v>
      </c>
      <c r="E108" s="94">
        <v>26</v>
      </c>
      <c r="F108" s="92">
        <v>7</v>
      </c>
      <c r="G108" s="92" t="s">
        <v>70</v>
      </c>
      <c r="H108" s="93">
        <v>2</v>
      </c>
      <c r="I108" s="93">
        <v>4.5</v>
      </c>
      <c r="J108" s="101">
        <v>26</v>
      </c>
      <c r="K108" s="101">
        <v>0</v>
      </c>
      <c r="L108" s="101">
        <v>1.4562216221735432E+19</v>
      </c>
    </row>
    <row r="109" spans="4:12" ht="15" customHeight="1">
      <c r="D109" s="99" t="b">
        <v>0</v>
      </c>
      <c r="E109" s="94">
        <v>27</v>
      </c>
      <c r="F109" s="92">
        <v>8</v>
      </c>
      <c r="G109" s="92" t="s">
        <v>70</v>
      </c>
      <c r="H109" s="93">
        <v>2</v>
      </c>
      <c r="I109" s="93">
        <v>7</v>
      </c>
      <c r="J109" s="101">
        <v>27</v>
      </c>
      <c r="K109" s="101">
        <v>0</v>
      </c>
      <c r="L109" s="101">
        <v>1.0731592295676256E+19</v>
      </c>
    </row>
    <row r="110" spans="4:12" ht="15" customHeight="1">
      <c r="D110" s="99" t="b">
        <v>0</v>
      </c>
      <c r="E110" s="94">
        <v>28</v>
      </c>
      <c r="F110" s="92">
        <v>9</v>
      </c>
      <c r="G110" s="92" t="s">
        <v>70</v>
      </c>
      <c r="H110" s="93">
        <v>2</v>
      </c>
      <c r="I110" s="93">
        <v>3</v>
      </c>
      <c r="J110" s="101">
        <v>28</v>
      </c>
      <c r="K110" s="101">
        <v>0</v>
      </c>
      <c r="L110" s="101">
        <v>1.6993868498685639E+19</v>
      </c>
    </row>
    <row r="111" spans="4:12" ht="15" customHeight="1">
      <c r="D111" s="99" t="b">
        <v>0</v>
      </c>
      <c r="E111" s="94">
        <v>29</v>
      </c>
      <c r="F111" s="92">
        <v>10</v>
      </c>
      <c r="G111" s="92" t="s">
        <v>70</v>
      </c>
      <c r="H111" s="93">
        <v>2</v>
      </c>
      <c r="I111" s="93">
        <v>5</v>
      </c>
      <c r="J111" s="101">
        <v>29</v>
      </c>
      <c r="K111" s="101">
        <v>0</v>
      </c>
      <c r="L111" s="101">
        <v>6.9305386164244859E+18</v>
      </c>
    </row>
    <row r="112" spans="4:12" ht="15" customHeight="1">
      <c r="D112" s="99" t="b">
        <v>0</v>
      </c>
      <c r="E112" s="94">
        <v>30</v>
      </c>
      <c r="F112" s="92">
        <v>11</v>
      </c>
      <c r="G112" s="92" t="s">
        <v>71</v>
      </c>
      <c r="H112" s="93">
        <v>2</v>
      </c>
      <c r="I112" s="93">
        <v>5</v>
      </c>
      <c r="J112" s="101">
        <v>30</v>
      </c>
      <c r="K112" s="101">
        <v>0</v>
      </c>
      <c r="L112" s="101">
        <v>6.0980770774717829E+18</v>
      </c>
    </row>
    <row r="113" spans="4:12" ht="15" customHeight="1">
      <c r="D113" s="99" t="b">
        <v>0</v>
      </c>
      <c r="E113" s="94">
        <v>31</v>
      </c>
      <c r="F113" s="92">
        <v>12</v>
      </c>
      <c r="G113" s="92" t="s">
        <v>71</v>
      </c>
      <c r="H113" s="93">
        <v>2</v>
      </c>
      <c r="I113" s="93">
        <v>9</v>
      </c>
      <c r="J113" s="101">
        <v>31</v>
      </c>
      <c r="K113" s="101">
        <v>0</v>
      </c>
      <c r="L113" s="101">
        <v>1.577611069617911E+19</v>
      </c>
    </row>
    <row r="114" spans="4:12" ht="15" customHeight="1">
      <c r="D114" s="99" t="b">
        <v>0</v>
      </c>
      <c r="E114" s="94">
        <v>32</v>
      </c>
      <c r="F114" s="92">
        <v>13</v>
      </c>
      <c r="G114" s="92" t="s">
        <v>71</v>
      </c>
      <c r="H114" s="93">
        <v>2</v>
      </c>
      <c r="I114" s="93">
        <v>5</v>
      </c>
      <c r="J114" s="101">
        <v>32</v>
      </c>
      <c r="K114" s="101">
        <v>0</v>
      </c>
      <c r="L114" s="101">
        <v>1.4384088275227949E+19</v>
      </c>
    </row>
    <row r="115" spans="4:12" ht="15" customHeight="1">
      <c r="D115" s="99" t="b">
        <v>0</v>
      </c>
      <c r="E115" s="94">
        <v>33</v>
      </c>
      <c r="F115" s="92">
        <v>14</v>
      </c>
      <c r="G115" s="92" t="s">
        <v>71</v>
      </c>
      <c r="H115" s="93">
        <v>2</v>
      </c>
      <c r="I115" s="93">
        <v>8</v>
      </c>
      <c r="J115" s="101">
        <v>33</v>
      </c>
      <c r="K115" s="101">
        <v>0</v>
      </c>
      <c r="L115" s="101">
        <v>7.1850419446047398E+17</v>
      </c>
    </row>
    <row r="116" spans="4:12" ht="15" customHeight="1">
      <c r="D116" s="99" t="b">
        <v>0</v>
      </c>
      <c r="E116" s="94">
        <v>34</v>
      </c>
      <c r="F116" s="92">
        <v>15</v>
      </c>
      <c r="G116" s="92" t="s">
        <v>71</v>
      </c>
      <c r="H116" s="93">
        <v>2</v>
      </c>
      <c r="I116" s="93">
        <v>8</v>
      </c>
      <c r="J116" s="101">
        <v>34</v>
      </c>
      <c r="K116" s="101">
        <v>0</v>
      </c>
      <c r="L116" s="101">
        <v>7.8834855461149082E+18</v>
      </c>
    </row>
    <row r="117" spans="4:12" ht="15" customHeight="1">
      <c r="D117" s="99" t="b">
        <v>0</v>
      </c>
      <c r="E117" s="94">
        <v>35</v>
      </c>
      <c r="F117" s="92">
        <v>16</v>
      </c>
      <c r="G117" s="92" t="s">
        <v>71</v>
      </c>
      <c r="H117" s="93">
        <v>2</v>
      </c>
      <c r="I117" s="93">
        <v>8</v>
      </c>
      <c r="J117" s="101">
        <v>35</v>
      </c>
      <c r="K117" s="101">
        <v>0</v>
      </c>
      <c r="L117" s="101">
        <v>1.1982093373640934E+18</v>
      </c>
    </row>
    <row r="118" spans="4:12" ht="15" customHeight="1">
      <c r="D118" s="99" t="b">
        <v>0</v>
      </c>
      <c r="E118" s="94">
        <v>36</v>
      </c>
      <c r="F118" s="92">
        <v>17</v>
      </c>
      <c r="G118" s="92" t="s">
        <v>71</v>
      </c>
      <c r="H118" s="93">
        <v>2</v>
      </c>
      <c r="I118" s="93">
        <v>7</v>
      </c>
      <c r="J118" s="101">
        <v>36</v>
      </c>
      <c r="K118" s="101">
        <v>0</v>
      </c>
      <c r="L118" s="101">
        <v>5.7886015827118807E+18</v>
      </c>
    </row>
    <row r="119" spans="4:12" ht="15" customHeight="1">
      <c r="D119" s="99" t="b">
        <v>0</v>
      </c>
      <c r="E119" s="94">
        <v>37</v>
      </c>
      <c r="F119" s="92">
        <v>18</v>
      </c>
      <c r="G119" s="92" t="s">
        <v>71</v>
      </c>
      <c r="H119" s="93">
        <v>2</v>
      </c>
      <c r="I119" s="93">
        <v>8</v>
      </c>
      <c r="J119" s="101">
        <v>37</v>
      </c>
      <c r="K119" s="101">
        <v>0</v>
      </c>
      <c r="L119" s="101">
        <v>5.3463419602609316E+18</v>
      </c>
    </row>
    <row r="120" spans="4:12" ht="15" customHeight="1">
      <c r="D120" s="99" t="b">
        <v>0</v>
      </c>
      <c r="E120" s="94">
        <v>38</v>
      </c>
      <c r="F120" s="92">
        <v>19</v>
      </c>
      <c r="G120" s="92" t="s">
        <v>71</v>
      </c>
      <c r="H120" s="93">
        <v>2</v>
      </c>
      <c r="I120" s="93">
        <v>6</v>
      </c>
      <c r="J120" s="101">
        <v>38</v>
      </c>
      <c r="K120" s="101">
        <v>0</v>
      </c>
      <c r="L120" s="101">
        <v>1.1062483968308691E+19</v>
      </c>
    </row>
    <row r="121" spans="4:12" ht="15" customHeight="1">
      <c r="D121" s="99" t="b">
        <v>0</v>
      </c>
      <c r="E121" s="94">
        <v>39</v>
      </c>
      <c r="F121" s="92">
        <v>20</v>
      </c>
      <c r="G121" s="92" t="s">
        <v>71</v>
      </c>
      <c r="H121" s="93">
        <v>2</v>
      </c>
      <c r="I121" s="93">
        <v>6</v>
      </c>
      <c r="J121" s="101">
        <v>39</v>
      </c>
      <c r="K121" s="101">
        <v>0</v>
      </c>
      <c r="L121" s="101">
        <v>1.5655786404813789E+19</v>
      </c>
    </row>
    <row r="122" spans="4:12" ht="15" customHeight="1">
      <c r="D122" s="99" t="b">
        <v>0</v>
      </c>
      <c r="E122" s="94">
        <v>40</v>
      </c>
      <c r="F122" s="92">
        <v>1</v>
      </c>
      <c r="G122" s="92" t="s">
        <v>70</v>
      </c>
      <c r="H122" s="93">
        <v>3</v>
      </c>
      <c r="I122" s="93">
        <v>7</v>
      </c>
      <c r="J122" s="101">
        <v>40</v>
      </c>
      <c r="K122" s="101">
        <v>0</v>
      </c>
      <c r="L122" s="101">
        <v>1.2924760724657525E+19</v>
      </c>
    </row>
    <row r="123" spans="4:12" ht="15" customHeight="1">
      <c r="D123" s="99" t="b">
        <v>0</v>
      </c>
      <c r="E123" s="94">
        <v>41</v>
      </c>
      <c r="F123" s="92">
        <v>2</v>
      </c>
      <c r="G123" s="92" t="s">
        <v>70</v>
      </c>
      <c r="H123" s="93">
        <v>3</v>
      </c>
      <c r="I123" s="93">
        <v>5</v>
      </c>
      <c r="J123" s="101">
        <v>41</v>
      </c>
      <c r="K123" s="101">
        <v>0</v>
      </c>
      <c r="L123" s="101">
        <v>1.5888440451188287E+19</v>
      </c>
    </row>
    <row r="124" spans="4:12" ht="15" customHeight="1">
      <c r="D124" s="99" t="b">
        <v>0</v>
      </c>
      <c r="E124" s="94">
        <v>42</v>
      </c>
      <c r="F124" s="92">
        <v>3</v>
      </c>
      <c r="G124" s="92" t="s">
        <v>70</v>
      </c>
      <c r="H124" s="93">
        <v>3</v>
      </c>
      <c r="I124" s="93">
        <v>6</v>
      </c>
      <c r="J124" s="101">
        <v>42</v>
      </c>
      <c r="K124" s="101">
        <v>0</v>
      </c>
      <c r="L124" s="101">
        <v>1.573285008968318E+19</v>
      </c>
    </row>
    <row r="125" spans="4:12" ht="15" customHeight="1">
      <c r="D125" s="99" t="b">
        <v>0</v>
      </c>
      <c r="E125" s="94">
        <v>43</v>
      </c>
      <c r="F125" s="92">
        <v>4</v>
      </c>
      <c r="G125" s="92" t="s">
        <v>70</v>
      </c>
      <c r="H125" s="93">
        <v>3</v>
      </c>
      <c r="I125" s="93">
        <v>5</v>
      </c>
      <c r="J125" s="101">
        <v>43</v>
      </c>
      <c r="K125" s="101">
        <v>0</v>
      </c>
      <c r="L125" s="101">
        <v>3.4521232630528727E+18</v>
      </c>
    </row>
    <row r="126" spans="4:12" ht="15" customHeight="1">
      <c r="D126" s="99" t="b">
        <v>0</v>
      </c>
      <c r="E126" s="94">
        <v>44</v>
      </c>
      <c r="F126" s="92">
        <v>5</v>
      </c>
      <c r="G126" s="92" t="s">
        <v>70</v>
      </c>
      <c r="H126" s="93">
        <v>3</v>
      </c>
      <c r="I126" s="93">
        <v>8</v>
      </c>
      <c r="J126" s="101">
        <v>44</v>
      </c>
      <c r="K126" s="101">
        <v>0</v>
      </c>
      <c r="L126" s="101">
        <v>1.7055007727495338E+19</v>
      </c>
    </row>
    <row r="127" spans="4:12" ht="15" customHeight="1">
      <c r="D127" s="99" t="b">
        <v>0</v>
      </c>
      <c r="E127" s="94">
        <v>45</v>
      </c>
      <c r="F127" s="92">
        <v>6</v>
      </c>
      <c r="G127" s="92" t="s">
        <v>70</v>
      </c>
      <c r="H127" s="93">
        <v>3</v>
      </c>
      <c r="I127" s="93">
        <v>6</v>
      </c>
      <c r="J127" s="101">
        <v>45</v>
      </c>
      <c r="K127" s="101">
        <v>0</v>
      </c>
      <c r="L127" s="101">
        <v>3.4344431844385674E+18</v>
      </c>
    </row>
    <row r="128" spans="4:12" ht="15" customHeight="1">
      <c r="D128" s="99" t="b">
        <v>0</v>
      </c>
      <c r="E128" s="94">
        <v>46</v>
      </c>
      <c r="F128" s="92">
        <v>7</v>
      </c>
      <c r="G128" s="92" t="s">
        <v>70</v>
      </c>
      <c r="H128" s="93">
        <v>3</v>
      </c>
      <c r="I128" s="93">
        <v>6</v>
      </c>
      <c r="J128" s="101">
        <v>46</v>
      </c>
      <c r="K128" s="101">
        <v>0</v>
      </c>
      <c r="L128" s="101">
        <v>2.7160096377432202E+18</v>
      </c>
    </row>
    <row r="129" spans="4:12" ht="15" customHeight="1">
      <c r="D129" s="99" t="b">
        <v>0</v>
      </c>
      <c r="E129" s="94">
        <v>47</v>
      </c>
      <c r="F129" s="92">
        <v>8</v>
      </c>
      <c r="G129" s="92" t="s">
        <v>70</v>
      </c>
      <c r="H129" s="93">
        <v>3</v>
      </c>
      <c r="I129" s="93">
        <v>8</v>
      </c>
      <c r="J129" s="101">
        <v>47</v>
      </c>
      <c r="K129" s="101">
        <v>0</v>
      </c>
      <c r="L129" s="101">
        <v>1.0557631974468135E+19</v>
      </c>
    </row>
    <row r="130" spans="4:12" ht="15" customHeight="1">
      <c r="D130" s="99" t="b">
        <v>0</v>
      </c>
      <c r="E130" s="94">
        <v>48</v>
      </c>
      <c r="F130" s="92">
        <v>9</v>
      </c>
      <c r="G130" s="92" t="s">
        <v>70</v>
      </c>
      <c r="H130" s="93">
        <v>3</v>
      </c>
      <c r="I130" s="93">
        <v>7</v>
      </c>
      <c r="J130" s="101">
        <v>48</v>
      </c>
      <c r="K130" s="101">
        <v>0</v>
      </c>
      <c r="L130" s="101">
        <v>3.9299830872627267E+18</v>
      </c>
    </row>
    <row r="131" spans="4:12" ht="15" customHeight="1">
      <c r="D131" s="99" t="b">
        <v>0</v>
      </c>
      <c r="E131" s="94">
        <v>49</v>
      </c>
      <c r="F131" s="92">
        <v>10</v>
      </c>
      <c r="G131" s="92" t="s">
        <v>70</v>
      </c>
      <c r="H131" s="93">
        <v>3</v>
      </c>
      <c r="I131" s="93">
        <v>6</v>
      </c>
      <c r="J131" s="101">
        <v>49</v>
      </c>
      <c r="K131" s="101">
        <v>0</v>
      </c>
      <c r="L131" s="101">
        <v>3.3582240764467103E+18</v>
      </c>
    </row>
    <row r="132" spans="4:12" ht="15" customHeight="1">
      <c r="D132" s="99" t="b">
        <v>0</v>
      </c>
      <c r="E132" s="94">
        <v>50</v>
      </c>
      <c r="F132" s="92">
        <v>11</v>
      </c>
      <c r="G132" s="92" t="s">
        <v>71</v>
      </c>
      <c r="H132" s="93">
        <v>3</v>
      </c>
      <c r="I132" s="93">
        <v>6</v>
      </c>
      <c r="J132" s="101">
        <v>50</v>
      </c>
      <c r="K132" s="101">
        <v>0</v>
      </c>
      <c r="L132" s="101">
        <v>8.429227019261143E+18</v>
      </c>
    </row>
    <row r="133" spans="4:12" ht="15" customHeight="1">
      <c r="D133" s="99" t="b">
        <v>0</v>
      </c>
      <c r="E133" s="94">
        <v>51</v>
      </c>
      <c r="F133" s="92">
        <v>12</v>
      </c>
      <c r="G133" s="92" t="s">
        <v>71</v>
      </c>
      <c r="H133" s="93">
        <v>3</v>
      </c>
      <c r="I133" s="93">
        <v>8</v>
      </c>
      <c r="J133" s="101">
        <v>51</v>
      </c>
      <c r="K133" s="101">
        <v>0</v>
      </c>
      <c r="L133" s="101">
        <v>8.1271742869883013E+18</v>
      </c>
    </row>
    <row r="134" spans="4:12" ht="15" customHeight="1">
      <c r="D134" s="99" t="b">
        <v>0</v>
      </c>
      <c r="E134" s="94">
        <v>52</v>
      </c>
      <c r="F134" s="92">
        <v>13</v>
      </c>
      <c r="G134" s="92" t="s">
        <v>71</v>
      </c>
      <c r="H134" s="93">
        <v>3</v>
      </c>
      <c r="I134" s="93">
        <v>9</v>
      </c>
      <c r="J134" s="101">
        <v>52</v>
      </c>
      <c r="K134" s="101">
        <v>0</v>
      </c>
      <c r="L134" s="101">
        <v>1.4170503894100017E+19</v>
      </c>
    </row>
    <row r="135" spans="4:12" ht="15" customHeight="1">
      <c r="D135" s="99" t="b">
        <v>0</v>
      </c>
      <c r="E135" s="94">
        <v>53</v>
      </c>
      <c r="F135" s="92">
        <v>14</v>
      </c>
      <c r="G135" s="92" t="s">
        <v>71</v>
      </c>
      <c r="H135" s="93">
        <v>3</v>
      </c>
      <c r="I135" s="93">
        <v>7</v>
      </c>
      <c r="J135" s="101">
        <v>53</v>
      </c>
      <c r="K135" s="101">
        <v>0</v>
      </c>
      <c r="L135" s="101">
        <v>1.1828203545793874E+19</v>
      </c>
    </row>
    <row r="136" spans="4:12" ht="15" customHeight="1">
      <c r="D136" s="99" t="b">
        <v>0</v>
      </c>
      <c r="E136" s="94">
        <v>54</v>
      </c>
      <c r="F136" s="92">
        <v>15</v>
      </c>
      <c r="G136" s="92" t="s">
        <v>71</v>
      </c>
      <c r="H136" s="93">
        <v>3</v>
      </c>
      <c r="I136" s="93">
        <v>7</v>
      </c>
      <c r="J136" s="101">
        <v>54</v>
      </c>
      <c r="K136" s="101">
        <v>0</v>
      </c>
      <c r="L136" s="101">
        <v>1.6171024712272615E+19</v>
      </c>
    </row>
    <row r="137" spans="4:12" ht="15" customHeight="1">
      <c r="D137" s="99" t="b">
        <v>0</v>
      </c>
      <c r="E137" s="94">
        <v>55</v>
      </c>
      <c r="F137" s="92">
        <v>16</v>
      </c>
      <c r="G137" s="92" t="s">
        <v>71</v>
      </c>
      <c r="H137" s="93">
        <v>3</v>
      </c>
      <c r="I137" s="93">
        <v>7</v>
      </c>
      <c r="J137" s="101">
        <v>55</v>
      </c>
      <c r="K137" s="101">
        <v>0</v>
      </c>
      <c r="L137" s="101">
        <v>1.0287028351868174E+19</v>
      </c>
    </row>
    <row r="138" spans="4:12" ht="15" customHeight="1">
      <c r="D138" s="99" t="b">
        <v>0</v>
      </c>
      <c r="E138" s="94">
        <v>56</v>
      </c>
      <c r="F138" s="92">
        <v>17</v>
      </c>
      <c r="G138" s="92" t="s">
        <v>71</v>
      </c>
      <c r="H138" s="93">
        <v>3</v>
      </c>
      <c r="I138" s="93">
        <v>6</v>
      </c>
      <c r="J138" s="101">
        <v>56</v>
      </c>
      <c r="K138" s="101">
        <v>0</v>
      </c>
      <c r="L138" s="101">
        <v>9.957775407236471E+17</v>
      </c>
    </row>
    <row r="139" spans="4:12" ht="15" customHeight="1">
      <c r="D139" s="99" t="b">
        <v>0</v>
      </c>
      <c r="E139" s="94">
        <v>57</v>
      </c>
      <c r="F139" s="92">
        <v>18</v>
      </c>
      <c r="G139" s="92" t="s">
        <v>71</v>
      </c>
      <c r="H139" s="93">
        <v>3</v>
      </c>
      <c r="I139" s="93">
        <v>6</v>
      </c>
      <c r="J139" s="101">
        <v>57</v>
      </c>
      <c r="K139" s="101">
        <v>0</v>
      </c>
      <c r="L139" s="101">
        <v>1.0235404904753902E+18</v>
      </c>
    </row>
    <row r="140" spans="4:12" ht="15" customHeight="1">
      <c r="D140" s="99" t="b">
        <v>0</v>
      </c>
      <c r="E140" s="94">
        <v>58</v>
      </c>
      <c r="F140" s="92">
        <v>19</v>
      </c>
      <c r="G140" s="92" t="s">
        <v>71</v>
      </c>
      <c r="H140" s="93">
        <v>3</v>
      </c>
      <c r="I140" s="93">
        <v>6</v>
      </c>
      <c r="J140" s="101">
        <v>58</v>
      </c>
      <c r="K140" s="101">
        <v>0</v>
      </c>
      <c r="L140" s="101">
        <v>1.1465180550904411E+18</v>
      </c>
    </row>
    <row r="141" spans="4:12" ht="15" customHeight="1">
      <c r="D141" s="100" t="b">
        <v>0</v>
      </c>
      <c r="E141" s="95">
        <v>59</v>
      </c>
      <c r="F141" s="96">
        <v>20</v>
      </c>
      <c r="G141" s="96" t="s">
        <v>71</v>
      </c>
      <c r="H141" s="93">
        <v>3</v>
      </c>
      <c r="I141" s="93">
        <v>5</v>
      </c>
      <c r="J141" s="101">
        <v>59</v>
      </c>
      <c r="K141" s="101">
        <v>0</v>
      </c>
      <c r="L141" s="101">
        <v>4.7788773133190533E+18</v>
      </c>
    </row>
  </sheetData>
  <mergeCells count="1">
    <mergeCell ref="E15:F15"/>
  </mergeCells>
  <phoneticPr fontId="23" type="noConversion"/>
  <conditionalFormatting sqref="E25:G32 E38:G42 E48:G56">
    <cfRule type="cellIs" dxfId="111" priority="22" operator="equal">
      <formula>0</formula>
    </cfRule>
  </conditionalFormatting>
  <conditionalFormatting sqref="D82:D141">
    <cfRule type="cellIs" dxfId="110" priority="21" operator="notEqual">
      <formula>FALSE</formula>
    </cfRule>
  </conditionalFormatting>
  <conditionalFormatting sqref="E9:I9">
    <cfRule type="cellIs" dxfId="109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08" priority="16"/>
  </conditionalFormatting>
  <conditionalFormatting sqref="E7:I7">
    <cfRule type="cellIs" dxfId="107" priority="14" operator="notEqual">
      <formula>"Definition"</formula>
    </cfRule>
  </conditionalFormatting>
  <conditionalFormatting sqref="E15">
    <cfRule type="cellIs" dxfId="106" priority="13" operator="notEqual">
      <formula>"Description"</formula>
    </cfRule>
  </conditionalFormatting>
  <conditionalFormatting sqref="E60:G67">
    <cfRule type="cellIs" dxfId="105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I32 H38:I42 H48:I56">
    <cfRule type="cellIs" dxfId="87" priority="3" operator="equal">
      <formula>0</formula>
    </cfRule>
  </conditionalFormatting>
  <conditionalFormatting sqref="H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I67">
    <cfRule type="cellIs" dxfId="8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69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4.21875" style="12" bestFit="1" customWidth="1"/>
    <col min="4" max="4" width="12.5546875" style="12" bestFit="1" customWidth="1"/>
    <col min="5" max="5" width="14.6640625" style="12" bestFit="1" customWidth="1"/>
    <col min="6" max="6" width="14.21875" style="12" bestFit="1" customWidth="1"/>
    <col min="7" max="7" width="10.77734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Attention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5" t="s">
        <v>49</v>
      </c>
      <c r="I8" s="105" t="s">
        <v>50</v>
      </c>
      <c r="J8" s="105" t="s">
        <v>54</v>
      </c>
    </row>
    <row r="9" spans="2:17" ht="15" customHeight="1">
      <c r="C9" s="102">
        <v>0</v>
      </c>
      <c r="D9" s="55"/>
      <c r="E9" s="55"/>
      <c r="F9" s="55"/>
      <c r="G9" s="55"/>
      <c r="H9" s="106">
        <v>0</v>
      </c>
      <c r="I9" s="107"/>
      <c r="J9" s="108">
        <v>1.6666666666666666E-2</v>
      </c>
    </row>
    <row r="10" spans="2:17" ht="15" customHeight="1">
      <c r="C10" s="102">
        <v>1</v>
      </c>
      <c r="D10" s="55"/>
      <c r="E10" s="55"/>
      <c r="F10" s="55"/>
      <c r="G10" s="55"/>
      <c r="H10" s="106">
        <v>0</v>
      </c>
      <c r="I10" s="107"/>
      <c r="J10" s="108">
        <v>1.6666666666666666E-2</v>
      </c>
    </row>
    <row r="11" spans="2:17" ht="15" customHeight="1">
      <c r="C11" s="102">
        <v>2</v>
      </c>
      <c r="D11" s="55"/>
      <c r="E11" s="55"/>
      <c r="F11" s="55"/>
      <c r="G11" s="55"/>
      <c r="H11" s="106">
        <v>0</v>
      </c>
      <c r="I11" s="107"/>
      <c r="J11" s="108">
        <v>1.6666666666666666E-2</v>
      </c>
    </row>
    <row r="12" spans="2:17" ht="15" customHeight="1">
      <c r="C12" s="102">
        <v>3</v>
      </c>
      <c r="D12" s="55"/>
      <c r="E12" s="55"/>
      <c r="F12" s="55"/>
      <c r="G12" s="55"/>
      <c r="H12" s="106">
        <v>0</v>
      </c>
      <c r="I12" s="107"/>
      <c r="J12" s="108">
        <v>1.6666666666666666E-2</v>
      </c>
    </row>
    <row r="13" spans="2:17" ht="15" customHeight="1">
      <c r="C13" s="102">
        <v>4</v>
      </c>
      <c r="D13" s="55"/>
      <c r="E13" s="55"/>
      <c r="F13" s="55"/>
      <c r="G13" s="55"/>
      <c r="H13" s="106">
        <v>0</v>
      </c>
      <c r="I13" s="107"/>
      <c r="J13" s="108">
        <v>1.6666666666666666E-2</v>
      </c>
    </row>
    <row r="14" spans="2:17" ht="15" customHeight="1">
      <c r="C14" s="102">
        <v>5</v>
      </c>
      <c r="D14" s="55"/>
      <c r="E14" s="55"/>
      <c r="F14" s="55"/>
      <c r="G14" s="55"/>
      <c r="H14" s="106">
        <v>0</v>
      </c>
      <c r="I14" s="107"/>
      <c r="J14" s="108">
        <v>1.6666666666666666E-2</v>
      </c>
    </row>
    <row r="15" spans="2:17" ht="15" customHeight="1">
      <c r="C15" s="102">
        <v>6</v>
      </c>
      <c r="D15" s="55"/>
      <c r="E15" s="55"/>
      <c r="F15" s="55"/>
      <c r="G15" s="55"/>
      <c r="H15" s="106">
        <v>0</v>
      </c>
      <c r="I15" s="107"/>
      <c r="J15" s="108">
        <v>1.6666666666666666E-2</v>
      </c>
    </row>
    <row r="16" spans="2:17" ht="15" customHeight="1">
      <c r="C16" s="102">
        <v>7</v>
      </c>
      <c r="D16" s="55"/>
      <c r="E16" s="55"/>
      <c r="F16" s="55"/>
      <c r="G16" s="55"/>
      <c r="H16" s="106">
        <v>0</v>
      </c>
      <c r="I16" s="107"/>
      <c r="J16" s="108">
        <v>1.6666666666666666E-2</v>
      </c>
    </row>
    <row r="17" spans="3:10" ht="15" customHeight="1">
      <c r="C17" s="102">
        <v>8</v>
      </c>
      <c r="D17" s="55"/>
      <c r="E17" s="55"/>
      <c r="F17" s="55"/>
      <c r="G17" s="55"/>
      <c r="H17" s="106">
        <v>0</v>
      </c>
      <c r="I17" s="107"/>
      <c r="J17" s="108">
        <v>1.6666666666666666E-2</v>
      </c>
    </row>
    <row r="18" spans="3:10" ht="15" customHeight="1">
      <c r="C18" s="102">
        <v>9</v>
      </c>
      <c r="D18" s="55"/>
      <c r="E18" s="55"/>
      <c r="F18" s="55"/>
      <c r="G18" s="55"/>
      <c r="H18" s="106">
        <v>0</v>
      </c>
      <c r="I18" s="107"/>
      <c r="J18" s="108">
        <v>1.6666666666666666E-2</v>
      </c>
    </row>
    <row r="19" spans="3:10" ht="15" customHeight="1">
      <c r="C19" s="102">
        <v>10</v>
      </c>
      <c r="D19" s="55"/>
      <c r="E19" s="55"/>
      <c r="F19" s="55"/>
      <c r="G19" s="55"/>
      <c r="H19" s="106">
        <v>0</v>
      </c>
      <c r="I19" s="107"/>
      <c r="J19" s="108">
        <v>1.6666666666666666E-2</v>
      </c>
    </row>
    <row r="20" spans="3:10" ht="15" customHeight="1">
      <c r="C20" s="102">
        <v>11</v>
      </c>
      <c r="D20" s="55"/>
      <c r="E20" s="55"/>
      <c r="F20" s="55"/>
      <c r="G20" s="55"/>
      <c r="H20" s="106">
        <v>0</v>
      </c>
      <c r="I20" s="107"/>
      <c r="J20" s="108">
        <v>1.6666666666666666E-2</v>
      </c>
    </row>
    <row r="21" spans="3:10" ht="15" customHeight="1">
      <c r="C21" s="102">
        <v>12</v>
      </c>
      <c r="D21" s="55"/>
      <c r="E21" s="55"/>
      <c r="F21" s="55"/>
      <c r="G21" s="55"/>
      <c r="H21" s="106">
        <v>0</v>
      </c>
      <c r="I21" s="107"/>
      <c r="J21" s="108">
        <v>1.6666666666666666E-2</v>
      </c>
    </row>
    <row r="22" spans="3:10" ht="15" customHeight="1">
      <c r="C22" s="102">
        <v>13</v>
      </c>
      <c r="D22" s="55"/>
      <c r="E22" s="55"/>
      <c r="F22" s="55"/>
      <c r="G22" s="55"/>
      <c r="H22" s="106">
        <v>0</v>
      </c>
      <c r="I22" s="107"/>
      <c r="J22" s="108">
        <v>1.6666666666666666E-2</v>
      </c>
    </row>
    <row r="23" spans="3:10" ht="15" customHeight="1">
      <c r="C23" s="102">
        <v>14</v>
      </c>
      <c r="D23" s="55"/>
      <c r="E23" s="55"/>
      <c r="F23" s="55"/>
      <c r="G23" s="55"/>
      <c r="H23" s="106">
        <v>0</v>
      </c>
      <c r="I23" s="107"/>
      <c r="J23" s="108">
        <v>1.6666666666666666E-2</v>
      </c>
    </row>
    <row r="24" spans="3:10" ht="15" customHeight="1">
      <c r="C24" s="102">
        <v>15</v>
      </c>
      <c r="D24" s="55"/>
      <c r="E24" s="55"/>
      <c r="F24" s="55"/>
      <c r="G24" s="55"/>
      <c r="H24" s="106">
        <v>0</v>
      </c>
      <c r="I24" s="107"/>
      <c r="J24" s="108">
        <v>1.6666666666666666E-2</v>
      </c>
    </row>
    <row r="25" spans="3:10" ht="15" customHeight="1">
      <c r="C25" s="102">
        <v>16</v>
      </c>
      <c r="D25" s="55"/>
      <c r="E25" s="55"/>
      <c r="F25" s="55"/>
      <c r="G25" s="55"/>
      <c r="H25" s="106">
        <v>0</v>
      </c>
      <c r="I25" s="107"/>
      <c r="J25" s="108">
        <v>1.6666666666666666E-2</v>
      </c>
    </row>
    <row r="26" spans="3:10" ht="15" customHeight="1">
      <c r="C26" s="102">
        <v>17</v>
      </c>
      <c r="D26" s="55"/>
      <c r="E26" s="55"/>
      <c r="F26" s="55"/>
      <c r="G26" s="55"/>
      <c r="H26" s="106">
        <v>0</v>
      </c>
      <c r="I26" s="107"/>
      <c r="J26" s="108">
        <v>1.6666666666666666E-2</v>
      </c>
    </row>
    <row r="27" spans="3:10" ht="15" customHeight="1">
      <c r="C27" s="102">
        <v>18</v>
      </c>
      <c r="D27" s="55"/>
      <c r="E27" s="55"/>
      <c r="F27" s="55"/>
      <c r="G27" s="55"/>
      <c r="H27" s="106">
        <v>0</v>
      </c>
      <c r="I27" s="107"/>
      <c r="J27" s="108">
        <v>1.6666666666666666E-2</v>
      </c>
    </row>
    <row r="28" spans="3:10" ht="15" customHeight="1">
      <c r="C28" s="102">
        <v>19</v>
      </c>
      <c r="D28" s="55"/>
      <c r="E28" s="55"/>
      <c r="F28" s="55"/>
      <c r="G28" s="55"/>
      <c r="H28" s="106">
        <v>0</v>
      </c>
      <c r="I28" s="107"/>
      <c r="J28" s="108">
        <v>1.6666666666666666E-2</v>
      </c>
    </row>
    <row r="29" spans="3:10" ht="15" customHeight="1">
      <c r="C29" s="102">
        <v>20</v>
      </c>
      <c r="D29" s="55"/>
      <c r="E29" s="55"/>
      <c r="F29" s="55"/>
      <c r="G29" s="55"/>
      <c r="H29" s="106">
        <v>0</v>
      </c>
      <c r="I29" s="107"/>
      <c r="J29" s="108">
        <v>1.6666666666666666E-2</v>
      </c>
    </row>
    <row r="30" spans="3:10" ht="15" customHeight="1">
      <c r="C30" s="102">
        <v>21</v>
      </c>
      <c r="D30" s="55"/>
      <c r="E30" s="55"/>
      <c r="F30" s="55"/>
      <c r="G30" s="55"/>
      <c r="H30" s="106">
        <v>0</v>
      </c>
      <c r="I30" s="107"/>
      <c r="J30" s="108">
        <v>1.6666666666666666E-2</v>
      </c>
    </row>
    <row r="31" spans="3:10" ht="15" customHeight="1">
      <c r="C31" s="102">
        <v>22</v>
      </c>
      <c r="D31" s="55"/>
      <c r="E31" s="55"/>
      <c r="F31" s="55"/>
      <c r="G31" s="55"/>
      <c r="H31" s="106">
        <v>0</v>
      </c>
      <c r="I31" s="107"/>
      <c r="J31" s="108">
        <v>1.6666666666666666E-2</v>
      </c>
    </row>
    <row r="32" spans="3:10" ht="15" customHeight="1">
      <c r="C32" s="102">
        <v>23</v>
      </c>
      <c r="D32" s="55"/>
      <c r="E32" s="55"/>
      <c r="F32" s="55"/>
      <c r="G32" s="55"/>
      <c r="H32" s="106">
        <v>0</v>
      </c>
      <c r="I32" s="107"/>
      <c r="J32" s="108">
        <v>1.6666666666666666E-2</v>
      </c>
    </row>
    <row r="33" spans="3:10" ht="15" customHeight="1">
      <c r="C33" s="102">
        <v>24</v>
      </c>
      <c r="D33" s="55"/>
      <c r="E33" s="55"/>
      <c r="F33" s="55"/>
      <c r="G33" s="55"/>
      <c r="H33" s="106">
        <v>0</v>
      </c>
      <c r="I33" s="107"/>
      <c r="J33" s="108">
        <v>1.6666666666666666E-2</v>
      </c>
    </row>
    <row r="34" spans="3:10" ht="15" customHeight="1">
      <c r="C34" s="102">
        <v>25</v>
      </c>
      <c r="D34" s="55"/>
      <c r="E34" s="55"/>
      <c r="F34" s="55"/>
      <c r="G34" s="55"/>
      <c r="H34" s="106">
        <v>0</v>
      </c>
      <c r="I34" s="107"/>
      <c r="J34" s="108">
        <v>1.6666666666666666E-2</v>
      </c>
    </row>
    <row r="35" spans="3:10" ht="15" customHeight="1">
      <c r="C35" s="102">
        <v>26</v>
      </c>
      <c r="D35" s="55"/>
      <c r="E35" s="55"/>
      <c r="F35" s="55"/>
      <c r="G35" s="55"/>
      <c r="H35" s="106">
        <v>0</v>
      </c>
      <c r="I35" s="107"/>
      <c r="J35" s="108">
        <v>1.6666666666666666E-2</v>
      </c>
    </row>
    <row r="36" spans="3:10" ht="15" customHeight="1">
      <c r="C36" s="102">
        <v>27</v>
      </c>
      <c r="D36" s="55"/>
      <c r="E36" s="55"/>
      <c r="F36" s="55"/>
      <c r="G36" s="55"/>
      <c r="H36" s="106">
        <v>0</v>
      </c>
      <c r="I36" s="107"/>
      <c r="J36" s="108">
        <v>1.6666666666666666E-2</v>
      </c>
    </row>
    <row r="37" spans="3:10" ht="15" customHeight="1">
      <c r="C37" s="102">
        <v>28</v>
      </c>
      <c r="D37" s="55"/>
      <c r="E37" s="55"/>
      <c r="F37" s="55"/>
      <c r="G37" s="55"/>
      <c r="H37" s="106">
        <v>0</v>
      </c>
      <c r="I37" s="107"/>
      <c r="J37" s="108">
        <v>1.6666666666666666E-2</v>
      </c>
    </row>
    <row r="38" spans="3:10" ht="15" customHeight="1">
      <c r="C38" s="102">
        <v>29</v>
      </c>
      <c r="D38" s="55"/>
      <c r="E38" s="55"/>
      <c r="F38" s="55"/>
      <c r="G38" s="55"/>
      <c r="H38" s="106">
        <v>0</v>
      </c>
      <c r="I38" s="107"/>
      <c r="J38" s="108">
        <v>1.6666666666666666E-2</v>
      </c>
    </row>
    <row r="39" spans="3:10" ht="15" customHeight="1">
      <c r="C39" s="102">
        <v>30</v>
      </c>
      <c r="D39" s="55"/>
      <c r="E39" s="55"/>
      <c r="F39" s="55"/>
      <c r="G39" s="55"/>
      <c r="H39" s="106">
        <v>0</v>
      </c>
      <c r="I39" s="107"/>
      <c r="J39" s="108">
        <v>1.6666666666666666E-2</v>
      </c>
    </row>
    <row r="40" spans="3:10" ht="15" customHeight="1">
      <c r="C40" s="102">
        <v>31</v>
      </c>
      <c r="D40" s="55"/>
      <c r="E40" s="55"/>
      <c r="F40" s="55"/>
      <c r="G40" s="55"/>
      <c r="H40" s="106">
        <v>0</v>
      </c>
      <c r="I40" s="107"/>
      <c r="J40" s="108">
        <v>1.6666666666666666E-2</v>
      </c>
    </row>
    <row r="41" spans="3:10" ht="15" customHeight="1">
      <c r="C41" s="102">
        <v>32</v>
      </c>
      <c r="D41" s="55"/>
      <c r="E41" s="55"/>
      <c r="F41" s="55"/>
      <c r="G41" s="55"/>
      <c r="H41" s="106">
        <v>0</v>
      </c>
      <c r="I41" s="107"/>
      <c r="J41" s="108">
        <v>1.6666666666666666E-2</v>
      </c>
    </row>
    <row r="42" spans="3:10" ht="15" customHeight="1">
      <c r="C42" s="102">
        <v>33</v>
      </c>
      <c r="D42" s="55"/>
      <c r="E42" s="55"/>
      <c r="F42" s="55"/>
      <c r="G42" s="55"/>
      <c r="H42" s="106">
        <v>0</v>
      </c>
      <c r="I42" s="107"/>
      <c r="J42" s="108">
        <v>1.6666666666666666E-2</v>
      </c>
    </row>
    <row r="43" spans="3:10" ht="15" customHeight="1">
      <c r="C43" s="102">
        <v>34</v>
      </c>
      <c r="D43" s="55"/>
      <c r="E43" s="55"/>
      <c r="F43" s="55"/>
      <c r="G43" s="55"/>
      <c r="H43" s="106">
        <v>0</v>
      </c>
      <c r="I43" s="107"/>
      <c r="J43" s="108">
        <v>1.6666666666666666E-2</v>
      </c>
    </row>
    <row r="44" spans="3:10" ht="15" customHeight="1">
      <c r="C44" s="102">
        <v>35</v>
      </c>
      <c r="D44" s="55"/>
      <c r="E44" s="55"/>
      <c r="F44" s="55"/>
      <c r="G44" s="55"/>
      <c r="H44" s="106">
        <v>0</v>
      </c>
      <c r="I44" s="107"/>
      <c r="J44" s="108">
        <v>1.6666666666666666E-2</v>
      </c>
    </row>
    <row r="45" spans="3:10" ht="15" customHeight="1">
      <c r="C45" s="102">
        <v>36</v>
      </c>
      <c r="D45" s="55"/>
      <c r="E45" s="55"/>
      <c r="F45" s="55"/>
      <c r="G45" s="55"/>
      <c r="H45" s="106">
        <v>0</v>
      </c>
      <c r="I45" s="107"/>
      <c r="J45" s="108">
        <v>1.6666666666666666E-2</v>
      </c>
    </row>
    <row r="46" spans="3:10" ht="15" customHeight="1">
      <c r="C46" s="102">
        <v>37</v>
      </c>
      <c r="D46" s="55"/>
      <c r="E46" s="55"/>
      <c r="F46" s="55"/>
      <c r="G46" s="55"/>
      <c r="H46" s="106">
        <v>0</v>
      </c>
      <c r="I46" s="107"/>
      <c r="J46" s="108">
        <v>1.6666666666666666E-2</v>
      </c>
    </row>
    <row r="47" spans="3:10" ht="15" customHeight="1">
      <c r="C47" s="102">
        <v>38</v>
      </c>
      <c r="D47" s="55"/>
      <c r="E47" s="55"/>
      <c r="F47" s="55"/>
      <c r="G47" s="55"/>
      <c r="H47" s="106">
        <v>0</v>
      </c>
      <c r="I47" s="107"/>
      <c r="J47" s="108">
        <v>1.6666666666666666E-2</v>
      </c>
    </row>
    <row r="48" spans="3:10" ht="15" customHeight="1">
      <c r="C48" s="102">
        <v>39</v>
      </c>
      <c r="D48" s="55"/>
      <c r="E48" s="55"/>
      <c r="F48" s="55"/>
      <c r="G48" s="55"/>
      <c r="H48" s="106">
        <v>0</v>
      </c>
      <c r="I48" s="107"/>
      <c r="J48" s="108">
        <v>1.6666666666666666E-2</v>
      </c>
    </row>
    <row r="49" spans="3:10" ht="15" customHeight="1">
      <c r="C49" s="102">
        <v>40</v>
      </c>
      <c r="D49" s="55"/>
      <c r="E49" s="55"/>
      <c r="F49" s="55"/>
      <c r="G49" s="55"/>
      <c r="H49" s="106">
        <v>0</v>
      </c>
      <c r="I49" s="107"/>
      <c r="J49" s="108">
        <v>1.6666666666666666E-2</v>
      </c>
    </row>
    <row r="50" spans="3:10" ht="15" customHeight="1">
      <c r="C50" s="102">
        <v>41</v>
      </c>
      <c r="D50" s="55"/>
      <c r="E50" s="55"/>
      <c r="F50" s="55"/>
      <c r="G50" s="55"/>
      <c r="H50" s="106">
        <v>0</v>
      </c>
      <c r="I50" s="107"/>
      <c r="J50" s="108">
        <v>1.6666666666666666E-2</v>
      </c>
    </row>
    <row r="51" spans="3:10" ht="15" customHeight="1">
      <c r="C51" s="102">
        <v>42</v>
      </c>
      <c r="D51" s="55"/>
      <c r="E51" s="55"/>
      <c r="F51" s="55"/>
      <c r="G51" s="55"/>
      <c r="H51" s="106">
        <v>0</v>
      </c>
      <c r="I51" s="107"/>
      <c r="J51" s="108">
        <v>1.6666666666666666E-2</v>
      </c>
    </row>
    <row r="52" spans="3:10" ht="15" customHeight="1">
      <c r="C52" s="102">
        <v>43</v>
      </c>
      <c r="D52" s="55"/>
      <c r="E52" s="55"/>
      <c r="F52" s="55"/>
      <c r="G52" s="55"/>
      <c r="H52" s="106">
        <v>0</v>
      </c>
      <c r="I52" s="107"/>
      <c r="J52" s="108">
        <v>1.6666666666666666E-2</v>
      </c>
    </row>
    <row r="53" spans="3:10" ht="15" customHeight="1">
      <c r="C53" s="102">
        <v>44</v>
      </c>
      <c r="D53" s="55"/>
      <c r="E53" s="55"/>
      <c r="F53" s="55"/>
      <c r="G53" s="55"/>
      <c r="H53" s="106">
        <v>0</v>
      </c>
      <c r="I53" s="107"/>
      <c r="J53" s="108">
        <v>1.6666666666666666E-2</v>
      </c>
    </row>
    <row r="54" spans="3:10" ht="15" customHeight="1">
      <c r="C54" s="102">
        <v>45</v>
      </c>
      <c r="D54" s="55"/>
      <c r="E54" s="55"/>
      <c r="F54" s="55"/>
      <c r="G54" s="55"/>
      <c r="H54" s="106">
        <v>0</v>
      </c>
      <c r="I54" s="107"/>
      <c r="J54" s="108">
        <v>1.6666666666666666E-2</v>
      </c>
    </row>
    <row r="55" spans="3:10" ht="15" customHeight="1">
      <c r="C55" s="102">
        <v>46</v>
      </c>
      <c r="D55" s="55"/>
      <c r="E55" s="55"/>
      <c r="F55" s="55"/>
      <c r="G55" s="55"/>
      <c r="H55" s="106">
        <v>0</v>
      </c>
      <c r="I55" s="107"/>
      <c r="J55" s="108">
        <v>1.6666666666666666E-2</v>
      </c>
    </row>
    <row r="56" spans="3:10" ht="15" customHeight="1">
      <c r="C56" s="102">
        <v>47</v>
      </c>
      <c r="D56" s="55"/>
      <c r="E56" s="55"/>
      <c r="F56" s="55"/>
      <c r="G56" s="55"/>
      <c r="H56" s="106">
        <v>0</v>
      </c>
      <c r="I56" s="107"/>
      <c r="J56" s="108">
        <v>1.6666666666666666E-2</v>
      </c>
    </row>
    <row r="57" spans="3:10" ht="15" customHeight="1">
      <c r="C57" s="102">
        <v>48</v>
      </c>
      <c r="D57" s="55"/>
      <c r="E57" s="55"/>
      <c r="F57" s="55"/>
      <c r="G57" s="55"/>
      <c r="H57" s="106">
        <v>0</v>
      </c>
      <c r="I57" s="107"/>
      <c r="J57" s="108">
        <v>1.6666666666666666E-2</v>
      </c>
    </row>
    <row r="58" spans="3:10" ht="15" customHeight="1">
      <c r="C58" s="102">
        <v>49</v>
      </c>
      <c r="D58" s="55"/>
      <c r="E58" s="55"/>
      <c r="F58" s="55"/>
      <c r="G58" s="55"/>
      <c r="H58" s="106">
        <v>0</v>
      </c>
      <c r="I58" s="107"/>
      <c r="J58" s="108">
        <v>1.6666666666666666E-2</v>
      </c>
    </row>
    <row r="59" spans="3:10" ht="15" customHeight="1">
      <c r="C59" s="102">
        <v>50</v>
      </c>
      <c r="D59" s="55"/>
      <c r="E59" s="55"/>
      <c r="F59" s="55"/>
      <c r="G59" s="55"/>
      <c r="H59" s="106">
        <v>0</v>
      </c>
      <c r="I59" s="107"/>
      <c r="J59" s="108">
        <v>1.6666666666666666E-2</v>
      </c>
    </row>
    <row r="60" spans="3:10" ht="15" customHeight="1">
      <c r="C60" s="102">
        <v>51</v>
      </c>
      <c r="D60" s="55"/>
      <c r="E60" s="55"/>
      <c r="F60" s="55"/>
      <c r="G60" s="55"/>
      <c r="H60" s="106">
        <v>0</v>
      </c>
      <c r="I60" s="107"/>
      <c r="J60" s="108">
        <v>1.6666666666666666E-2</v>
      </c>
    </row>
    <row r="61" spans="3:10" ht="15" customHeight="1">
      <c r="C61" s="102">
        <v>52</v>
      </c>
      <c r="D61" s="55"/>
      <c r="E61" s="55"/>
      <c r="F61" s="55"/>
      <c r="G61" s="55"/>
      <c r="H61" s="106">
        <v>0</v>
      </c>
      <c r="I61" s="107"/>
      <c r="J61" s="108">
        <v>1.6666666666666666E-2</v>
      </c>
    </row>
    <row r="62" spans="3:10" ht="15" customHeight="1">
      <c r="C62" s="102">
        <v>53</v>
      </c>
      <c r="D62" s="55"/>
      <c r="E62" s="55"/>
      <c r="F62" s="55"/>
      <c r="G62" s="55"/>
      <c r="H62" s="106">
        <v>0</v>
      </c>
      <c r="I62" s="107"/>
      <c r="J62" s="108">
        <v>1.6666666666666666E-2</v>
      </c>
    </row>
    <row r="63" spans="3:10" ht="15" customHeight="1">
      <c r="C63" s="102">
        <v>54</v>
      </c>
      <c r="D63" s="55"/>
      <c r="E63" s="55"/>
      <c r="F63" s="55"/>
      <c r="G63" s="55"/>
      <c r="H63" s="106">
        <v>0</v>
      </c>
      <c r="I63" s="107"/>
      <c r="J63" s="108">
        <v>1.6666666666666666E-2</v>
      </c>
    </row>
    <row r="64" spans="3:10" ht="15" customHeight="1">
      <c r="C64" s="102">
        <v>55</v>
      </c>
      <c r="D64" s="55"/>
      <c r="E64" s="55"/>
      <c r="F64" s="55"/>
      <c r="G64" s="55"/>
      <c r="H64" s="106">
        <v>0</v>
      </c>
      <c r="I64" s="107"/>
      <c r="J64" s="108">
        <v>1.6666666666666666E-2</v>
      </c>
    </row>
    <row r="65" spans="3:10" ht="15" customHeight="1">
      <c r="C65" s="102">
        <v>56</v>
      </c>
      <c r="D65" s="55"/>
      <c r="E65" s="55"/>
      <c r="F65" s="55"/>
      <c r="G65" s="55"/>
      <c r="H65" s="106">
        <v>0</v>
      </c>
      <c r="I65" s="107"/>
      <c r="J65" s="108">
        <v>1.6666666666666666E-2</v>
      </c>
    </row>
    <row r="66" spans="3:10" ht="15" customHeight="1">
      <c r="C66" s="102">
        <v>57</v>
      </c>
      <c r="D66" s="55"/>
      <c r="E66" s="55"/>
      <c r="F66" s="55"/>
      <c r="G66" s="55"/>
      <c r="H66" s="106">
        <v>0</v>
      </c>
      <c r="I66" s="107"/>
      <c r="J66" s="108">
        <v>1.6666666666666666E-2</v>
      </c>
    </row>
    <row r="67" spans="3:10" ht="15" customHeight="1">
      <c r="C67" s="102">
        <v>58</v>
      </c>
      <c r="D67" s="55"/>
      <c r="E67" s="55"/>
      <c r="F67" s="55"/>
      <c r="G67" s="55"/>
      <c r="H67" s="106">
        <v>0</v>
      </c>
      <c r="I67" s="107"/>
      <c r="J67" s="108">
        <v>1.6666666666666666E-2</v>
      </c>
    </row>
    <row r="68" spans="3:10" ht="15" customHeight="1">
      <c r="C68" s="102">
        <v>59</v>
      </c>
      <c r="D68" s="55"/>
      <c r="E68" s="55"/>
      <c r="F68" s="55"/>
      <c r="G68" s="55"/>
      <c r="H68" s="106">
        <v>0</v>
      </c>
      <c r="I68" s="107"/>
      <c r="J68" s="108">
        <v>1.6666666666666666E-2</v>
      </c>
    </row>
    <row r="69" spans="3:10" ht="15" customHeight="1">
      <c r="C69" s="102" t="s">
        <v>72</v>
      </c>
      <c r="D69" s="55"/>
      <c r="E69" s="55"/>
      <c r="F69" s="55"/>
      <c r="G69" s="55"/>
      <c r="H69" s="106">
        <v>0</v>
      </c>
      <c r="I69" s="107"/>
      <c r="J69" s="108">
        <v>1</v>
      </c>
    </row>
  </sheetData>
  <conditionalFormatting pivot="1" sqref="H9:H6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9:I6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2026-05-30T04:27:35Z</dcterms:modified>
</cp:coreProperties>
</file>