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C0DE25B-ACCA-4611-AC9C-7BDCC0B060E5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Attention | Field Analysis" sheetId="25" r:id="rId2"/>
    <sheet name="Attention | Overview" sheetId="27" r:id="rId3"/>
    <sheet name="Attention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'Attention | Field Analysis'!$D$69:$D$78</definedName>
    <definedName name="Composition" localSheetId="1">'Attention | Field Analysis'!$D$23:$D$33</definedName>
    <definedName name="CompositionTable" localSheetId="1">'Attention | Field Analysis'!$E$32</definedName>
    <definedName name="Config" localSheetId="0">debug!$C$6:$C$24</definedName>
    <definedName name="DarkHeader" localSheetId="1">'Attention | Field Analysis'!$E$79</definedName>
    <definedName name="Data_Description" localSheetId="1">'Attention | Field Analysis'!$D$7:$D$18</definedName>
    <definedName name="debug_metadata" localSheetId="0">debug!$D$28</definedName>
    <definedName name="DefaultWarn" localSheetId="3">'Attention | Pivot'!$C$8</definedName>
    <definedName name="Definitions" localSheetId="1">'Attention | Field Analysis'!$E$15:$I$15</definedName>
    <definedName name="Description" localSheetId="1">'Attention | Field Analysis'!$E$7</definedName>
    <definedName name="Dimensions" localSheetId="1">'Attention | Field Analysis'!$E$9</definedName>
    <definedName name="Field_Analysis" localSheetId="1">'Attention | Field Analysis'!$E$20:$E$78</definedName>
    <definedName name="Field_Lists" localSheetId="1">'Attention | Field Analysis'!$D$58:$D$66</definedName>
    <definedName name="FieldList1" localSheetId="1">'Attention | Field Analysis'!$E$58:$I$58</definedName>
    <definedName name="FieldList1" localSheetId="5">#REF!</definedName>
    <definedName name="FieldList1" localSheetId="4">#REF!</definedName>
    <definedName name="FieldList2" localSheetId="1">'Attention | Field Analysis'!$E$59:$I$59</definedName>
    <definedName name="FieldList2" localSheetId="5">#REF!</definedName>
    <definedName name="FieldList2" localSheetId="4">#REF!</definedName>
    <definedName name="FieldList3" localSheetId="1">'Attention | Field Analysis'!$E$60:$I$60</definedName>
    <definedName name="FieldList3" localSheetId="5">#REF!</definedName>
    <definedName name="FieldList3" localSheetId="4">#REF!</definedName>
    <definedName name="FieldList4" localSheetId="1">'Attention | Field Analysis'!$E$61:$I$61</definedName>
    <definedName name="FieldList4" localSheetId="5">#REF!</definedName>
    <definedName name="FieldList4" localSheetId="4">#REF!</definedName>
    <definedName name="FieldList5" localSheetId="1">'Attention | Field Analysis'!$E$62:$I$62</definedName>
    <definedName name="FieldList5" localSheetId="5">#REF!</definedName>
    <definedName name="FieldList5" localSheetId="4">#REF!</definedName>
    <definedName name="FieldList6" localSheetId="1">'Attention | Field Analysis'!$E$63:$I$63</definedName>
    <definedName name="FieldList6" localSheetId="5">#REF!</definedName>
    <definedName name="FieldList6" localSheetId="4">#REF!</definedName>
    <definedName name="FieldList7" localSheetId="1">'Attention | Field Analysis'!$E$64:$I$64</definedName>
    <definedName name="FieldList7" localSheetId="5">#REF!</definedName>
    <definedName name="FieldList7" localSheetId="4">#REF!</definedName>
    <definedName name="FieldList8" localSheetId="1">'Attention | Field Analysis'!$E$65:$I$65</definedName>
    <definedName name="FieldList8" localSheetId="5">#REF!</definedName>
    <definedName name="FieldList8" localSheetId="4">#REF!</definedName>
    <definedName name="FieldLists" localSheetId="1">'Attention | Field Analysis'!$D$58:$I$65</definedName>
    <definedName name="FieldRange" localSheetId="1">'Attention | Field Analysis'!$E$79:$I$79</definedName>
    <definedName name="FieldRange" localSheetId="5">#REF!</definedName>
    <definedName name="FieldRange" localSheetId="4">#REF!</definedName>
    <definedName name="FormatRange" localSheetId="1">'Attention | Field Analysis'!$G:$G</definedName>
    <definedName name="Headers" localSheetId="1">'Attention | Field Analysis'!$E$19:$I$19</definedName>
    <definedName name="Headers_Start" localSheetId="1">'Attention | Field Analysis'!$E$19</definedName>
    <definedName name="Histogram" localSheetId="1">'Attention | Field Analysis'!$E$42</definedName>
    <definedName name="LightHeader" localSheetId="1">'Attention | Field Analysis'!$D$79</definedName>
    <definedName name="LightHeader" localSheetId="5">#REF!</definedName>
    <definedName name="LightHeader" localSheetId="4">#REF!</definedName>
    <definedName name="Metadata">'Attention | Overview'!$C$5:$C$9</definedName>
    <definedName name="MultiplePlots" localSheetId="5">MultiplePlots!$D$9</definedName>
    <definedName name="MultiplePlotsTitle" localSheetId="5">MultiplePlots!$C$2</definedName>
    <definedName name="Name" localSheetId="1">'Attention | Field Analysis'!$C$3</definedName>
    <definedName name="Name" localSheetId="2">'Attention | Overview'!$B$3</definedName>
    <definedName name="Name" localSheetId="3">'Attention | Pivot'!$C$3</definedName>
    <definedName name="Name" localSheetId="5">#REF!</definedName>
    <definedName name="Name" localSheetId="4">#REF!</definedName>
    <definedName name="Notes" localSheetId="1">'Attention | Field Analysis'!$E$17:$I$17</definedName>
    <definedName name="Percentiles" localSheetId="1">'Attention | Field Analysis'!$D$46:$D$55</definedName>
    <definedName name="SerializedLists" localSheetId="1">'Attention | Field Analysis'!$E$69:$E$78</definedName>
    <definedName name="SinglePlot" localSheetId="4">SinglePlot!$C$8</definedName>
    <definedName name="SinglePlotTitle" localSheetId="4">SinglePlot!$C$2</definedName>
    <definedName name="Summary_Stats" localSheetId="1">'Attention | Field Analysis'!$D$36:$D$43</definedName>
    <definedName name="Theme" localSheetId="1">'Attention | Field Analysis'!$C$19:$I$19</definedName>
    <definedName name="Theme" localSheetId="2">'Attention | Overview'!$B$11:$AA$11</definedName>
    <definedName name="Theme" localSheetId="3">'Attention | Pivot'!$B$5:$Q$5</definedName>
    <definedName name="Theme" localSheetId="5">MultiplePlots!$B$6:$P$6</definedName>
    <definedName name="Theme" localSheetId="4">SinglePlot!$B$6:$P$6</definedName>
    <definedName name="Toggles" localSheetId="1">'Attention | Field Analysis'!$C$5,'Attention | Field Analysis'!$C$21,'Attention | Field Analysis'!$C$34,'Attention | Field Analysis'!$C$44,'Attention | Field Analysis'!$C$56,'Attention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'Attention | Field Analysis'!$B$3</definedName>
    <definedName name="Warning" localSheetId="1">'Attention | Field Analysis'!$D$1</definedName>
    <definedName name="Warning" localSheetId="2">'Attention | Overview'!$B$1</definedName>
    <definedName name="Warning" localSheetId="3">'Attention | Pivot'!$B$1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<sst xmlns="http://schemas.openxmlformats.org/spreadsheetml/2006/main" count="334" uniqueCount="143">
  <si>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</si>
  <si>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</si>
  <si>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</si>
  <si>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</si>
  <si>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</si>
  <si>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</si>
  <si>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</si>
  <si>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</si>
  <si>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</si>
  <si>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</si>
  <si>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</si>
  <si>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</si>
  <si>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</si>
  <si>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</si>
  <si>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</si>
  <si>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</si>
  <si>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</si>
  <si>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</si>
  <si>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</si>
  <si>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</si>
  <si>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</si>
  <si>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</si>
  <si>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</si>
  <si>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</si>
  <si>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</si>
  <si>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</si>
  <si>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</si>
  <si>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</si>
  <si>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</si>
  <si>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</si>
  <si>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</si>
  <si>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</si>
  <si>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</si>
  <si>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</si>
  <si>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</si>
  <si>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</si>
  <si>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</si>
  <si>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</si>
  <si>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</si>
  <si>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</si>
  <si>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</si>
  <si>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</si>
  <si>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</si>
  <si>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</si>
  <si>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</si>
  <si>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</si>
  <si>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</si>
  <si>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</si>
  <si>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</si>
  <si>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</si>
  <si>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</si>
  <si>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</si>
  <si>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</si>
  <si>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</si>
  <si>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</si>
  <si>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</si>
  <si>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</si>
  <si>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</si>
  <si>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</si>
  <si>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</si>
  <si>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</si>
  <si>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</si>
  <si>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</si>
  <si>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</si>
  <si>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</si>
  <si>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</si>
  <si>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</si>
  <si>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</si>
  <si>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</si>
  <si>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</si>
  <si>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</si>
  <si>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</si>
  <si>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</si>
  <si>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</si>
  <si>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</si>
  <si>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</si>
  <si>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</si>
  <si>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</si>
  <si>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</si>
  <si>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</si>
  <si>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</si>
  <si>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</si>
  <si>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</si>
  <si>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Attention</t>
  </si>
  <si>
    <t>Unnamed: 0</t>
  </si>
  <si>
    <t>subject</t>
  </si>
  <si>
    <t>attention</t>
  </si>
  <si>
    <t>solutions</t>
  </si>
  <si>
    <t>score</t>
  </si>
  <si>
    <t>index</t>
  </si>
  <si>
    <t>Record Hash</t>
  </si>
  <si>
    <t>2,952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</si>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</sst>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AD29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AD29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7"/>
      <tableStyleElement type="headerRow" dxfId="196"/>
      <tableStyleElement type="totalRow" dxfId="195"/>
    </tableStyle>
    <tableStyle name="DarkTable" pivot="0" count="2" xr9:uid="{97C242D2-6F6D-4549-9428-17456D609B35}">
      <tableStyleElement type="wholeTable" dxfId="194"/>
      <tableStyleElement type="headerRow" dxfId="19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622591E2-2ACA-BF96-8258-F50267EB9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3D33176E-B895-A4D9-6DB5-3DA5D31B2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ubject">
          <a:extLst>
            <a:ext uri="{FF2B5EF4-FFF2-40B4-BE49-F238E27FC236}">
              <a16:creationId xmlns:a16="http://schemas.microsoft.com/office/drawing/2014/main" id="{1F5EA300-6C6F-9734-5C19-B5DDBF7DC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ubject">
          <a:extLst>
            <a:ext uri="{FF2B5EF4-FFF2-40B4-BE49-F238E27FC236}">
              <a16:creationId xmlns:a16="http://schemas.microsoft.com/office/drawing/2014/main" id="{8372CF8F-341E-1868-7A94-A0F34381A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ention">
          <a:extLst>
            <a:ext uri="{FF2B5EF4-FFF2-40B4-BE49-F238E27FC236}">
              <a16:creationId xmlns:a16="http://schemas.microsoft.com/office/drawing/2014/main" id="{589A664A-9F5E-FCD8-638D-F3424A876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olutions">
          <a:extLst>
            <a:ext uri="{FF2B5EF4-FFF2-40B4-BE49-F238E27FC236}">
              <a16:creationId xmlns:a16="http://schemas.microsoft.com/office/drawing/2014/main" id="{07A9CBB7-7914-C64C-DBD8-5CA9A1B1C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olutions">
          <a:extLst>
            <a:ext uri="{FF2B5EF4-FFF2-40B4-BE49-F238E27FC236}">
              <a16:creationId xmlns:a16="http://schemas.microsoft.com/office/drawing/2014/main" id="{4D0DB190-610C-5AF4-A686-6ED73D650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core">
          <a:extLst>
            <a:ext uri="{FF2B5EF4-FFF2-40B4-BE49-F238E27FC236}">
              <a16:creationId xmlns:a16="http://schemas.microsoft.com/office/drawing/2014/main" id="{29822A39-4D76-F377-DBD7-E34B210C2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core">
          <a:extLst>
            <a:ext uri="{FF2B5EF4-FFF2-40B4-BE49-F238E27FC236}">
              <a16:creationId xmlns:a16="http://schemas.microsoft.com/office/drawing/2014/main" id="{892BECA1-CB36-2B04-B0DC-B2581EA15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4081712961" createdVersion="8" refreshedVersion="8" minRefreshableVersion="3" recordCount="6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index" numFmtId="0">
      <sharedItems containsSemiMixedTypes="0" containsString="0" containsNumber="1" containsInteger="1" minValue="0" maxValue="5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716951205903187E+17" maxValue="1.705500772749533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b v="0"/>
    <x v="0"/>
    <x v="0"/>
    <x v="0"/>
    <x v="0"/>
    <x v="0"/>
    <n v="0"/>
    <n v="0"/>
    <n v="6.4574533928469606E+18"/>
  </r>
  <r>
    <b v="0"/>
    <x v="1"/>
    <x v="1"/>
    <x v="0"/>
    <x v="0"/>
    <x v="1"/>
    <n v="1"/>
    <n v="0"/>
    <n v="2.5990946002795802E+18"/>
  </r>
  <r>
    <b v="0"/>
    <x v="2"/>
    <x v="2"/>
    <x v="0"/>
    <x v="0"/>
    <x v="1"/>
    <n v="2"/>
    <n v="0"/>
    <n v="8.0914409693109576E+18"/>
  </r>
  <r>
    <b v="0"/>
    <x v="3"/>
    <x v="3"/>
    <x v="0"/>
    <x v="0"/>
    <x v="2"/>
    <n v="3"/>
    <n v="0"/>
    <n v="1.0514444349679395E+19"/>
  </r>
  <r>
    <b v="0"/>
    <x v="4"/>
    <x v="4"/>
    <x v="0"/>
    <x v="0"/>
    <x v="3"/>
    <n v="4"/>
    <n v="0"/>
    <n v="4.422957939838848E+18"/>
  </r>
  <r>
    <b v="0"/>
    <x v="5"/>
    <x v="5"/>
    <x v="0"/>
    <x v="0"/>
    <x v="2"/>
    <n v="5"/>
    <n v="0"/>
    <n v="1.5034848021966442E+19"/>
  </r>
  <r>
    <b v="0"/>
    <x v="6"/>
    <x v="6"/>
    <x v="0"/>
    <x v="0"/>
    <x v="2"/>
    <n v="6"/>
    <n v="0"/>
    <n v="6.2834809266147236E+18"/>
  </r>
  <r>
    <b v="0"/>
    <x v="7"/>
    <x v="7"/>
    <x v="0"/>
    <x v="0"/>
    <x v="2"/>
    <n v="7"/>
    <n v="0"/>
    <n v="6.8323091510754355E+18"/>
  </r>
  <r>
    <b v="0"/>
    <x v="8"/>
    <x v="8"/>
    <x v="0"/>
    <x v="0"/>
    <x v="0"/>
    <n v="8"/>
    <n v="0"/>
    <n v="1.3176130448454101E+19"/>
  </r>
  <r>
    <b v="0"/>
    <x v="9"/>
    <x v="9"/>
    <x v="0"/>
    <x v="0"/>
    <x v="4"/>
    <n v="9"/>
    <n v="0"/>
    <n v="5.0716951205903187E+17"/>
  </r>
  <r>
    <b v="0"/>
    <x v="10"/>
    <x v="10"/>
    <x v="1"/>
    <x v="0"/>
    <x v="4"/>
    <n v="10"/>
    <n v="0"/>
    <n v="1.0868605597970043E+19"/>
  </r>
  <r>
    <b v="0"/>
    <x v="11"/>
    <x v="11"/>
    <x v="1"/>
    <x v="0"/>
    <x v="5"/>
    <n v="11"/>
    <n v="0"/>
    <n v="1.2624076349888774E+19"/>
  </r>
  <r>
    <b v="0"/>
    <x v="12"/>
    <x v="12"/>
    <x v="1"/>
    <x v="0"/>
    <x v="4"/>
    <n v="12"/>
    <n v="0"/>
    <n v="9.7514599181414072E+18"/>
  </r>
  <r>
    <b v="0"/>
    <x v="13"/>
    <x v="13"/>
    <x v="1"/>
    <x v="0"/>
    <x v="5"/>
    <n v="13"/>
    <n v="0"/>
    <n v="4.7622122821286851E+18"/>
  </r>
  <r>
    <b v="0"/>
    <x v="14"/>
    <x v="14"/>
    <x v="1"/>
    <x v="0"/>
    <x v="5"/>
    <n v="14"/>
    <n v="0"/>
    <n v="1.5771783587052943E+19"/>
  </r>
  <r>
    <b v="0"/>
    <x v="15"/>
    <x v="15"/>
    <x v="1"/>
    <x v="0"/>
    <x v="4"/>
    <n v="15"/>
    <n v="0"/>
    <n v="1.4997455810444319E+19"/>
  </r>
  <r>
    <b v="0"/>
    <x v="16"/>
    <x v="16"/>
    <x v="1"/>
    <x v="0"/>
    <x v="6"/>
    <n v="16"/>
    <n v="0"/>
    <n v="6.979888154999042E+18"/>
  </r>
  <r>
    <b v="0"/>
    <x v="17"/>
    <x v="17"/>
    <x v="1"/>
    <x v="0"/>
    <x v="6"/>
    <n v="17"/>
    <n v="0"/>
    <n v="1.0366219637450232E+19"/>
  </r>
  <r>
    <b v="0"/>
    <x v="18"/>
    <x v="18"/>
    <x v="1"/>
    <x v="0"/>
    <x v="2"/>
    <n v="18"/>
    <n v="0"/>
    <n v="7.8312139266412196E+18"/>
  </r>
  <r>
    <b v="0"/>
    <x v="19"/>
    <x v="19"/>
    <x v="1"/>
    <x v="0"/>
    <x v="4"/>
    <n v="19"/>
    <n v="0"/>
    <n v="1.1289015025437194E+19"/>
  </r>
  <r>
    <b v="0"/>
    <x v="20"/>
    <x v="0"/>
    <x v="0"/>
    <x v="1"/>
    <x v="3"/>
    <n v="20"/>
    <n v="0"/>
    <n v="5.0277255142544712E+18"/>
  </r>
  <r>
    <b v="0"/>
    <x v="21"/>
    <x v="1"/>
    <x v="0"/>
    <x v="1"/>
    <x v="3"/>
    <n v="21"/>
    <n v="0"/>
    <n v="1.6237163381613861E+19"/>
  </r>
  <r>
    <b v="0"/>
    <x v="22"/>
    <x v="2"/>
    <x v="0"/>
    <x v="1"/>
    <x v="2"/>
    <n v="22"/>
    <n v="0"/>
    <n v="4.9065122822121943E+18"/>
  </r>
  <r>
    <b v="0"/>
    <x v="23"/>
    <x v="3"/>
    <x v="0"/>
    <x v="1"/>
    <x v="6"/>
    <n v="23"/>
    <n v="0"/>
    <n v="1.02528925901638E+19"/>
  </r>
  <r>
    <b v="0"/>
    <x v="24"/>
    <x v="4"/>
    <x v="0"/>
    <x v="1"/>
    <x v="2"/>
    <n v="24"/>
    <n v="0"/>
    <n v="1.1372757816479554E+19"/>
  </r>
  <r>
    <b v="0"/>
    <x v="25"/>
    <x v="5"/>
    <x v="0"/>
    <x v="1"/>
    <x v="2"/>
    <n v="25"/>
    <n v="0"/>
    <n v="8.8431010884506962E+18"/>
  </r>
  <r>
    <b v="0"/>
    <x v="26"/>
    <x v="6"/>
    <x v="0"/>
    <x v="1"/>
    <x v="7"/>
    <n v="26"/>
    <n v="0"/>
    <n v="1.4562216221735432E+19"/>
  </r>
  <r>
    <b v="0"/>
    <x v="27"/>
    <x v="7"/>
    <x v="0"/>
    <x v="1"/>
    <x v="6"/>
    <n v="27"/>
    <n v="0"/>
    <n v="1.0731592295676256E+19"/>
  </r>
  <r>
    <b v="0"/>
    <x v="28"/>
    <x v="8"/>
    <x v="0"/>
    <x v="1"/>
    <x v="1"/>
    <n v="28"/>
    <n v="0"/>
    <n v="1.6993868498685639E+19"/>
  </r>
  <r>
    <b v="0"/>
    <x v="29"/>
    <x v="9"/>
    <x v="0"/>
    <x v="1"/>
    <x v="2"/>
    <n v="29"/>
    <n v="0"/>
    <n v="6.9305386164244859E+18"/>
  </r>
  <r>
    <b v="0"/>
    <x v="30"/>
    <x v="10"/>
    <x v="1"/>
    <x v="1"/>
    <x v="2"/>
    <n v="30"/>
    <n v="0"/>
    <n v="6.0980770774717829E+18"/>
  </r>
  <r>
    <b v="0"/>
    <x v="31"/>
    <x v="11"/>
    <x v="1"/>
    <x v="1"/>
    <x v="8"/>
    <n v="31"/>
    <n v="0"/>
    <n v="1.577611069617911E+19"/>
  </r>
  <r>
    <b v="0"/>
    <x v="32"/>
    <x v="12"/>
    <x v="1"/>
    <x v="1"/>
    <x v="2"/>
    <n v="32"/>
    <n v="0"/>
    <n v="1.4384088275227949E+19"/>
  </r>
  <r>
    <b v="0"/>
    <x v="33"/>
    <x v="13"/>
    <x v="1"/>
    <x v="1"/>
    <x v="5"/>
    <n v="33"/>
    <n v="0"/>
    <n v="7.1850419446047398E+17"/>
  </r>
  <r>
    <b v="0"/>
    <x v="34"/>
    <x v="14"/>
    <x v="1"/>
    <x v="1"/>
    <x v="5"/>
    <n v="34"/>
    <n v="0"/>
    <n v="7.8834855461149082E+18"/>
  </r>
  <r>
    <b v="0"/>
    <x v="35"/>
    <x v="15"/>
    <x v="1"/>
    <x v="1"/>
    <x v="5"/>
    <n v="35"/>
    <n v="0"/>
    <n v="1.1982093373640934E+18"/>
  </r>
  <r>
    <b v="0"/>
    <x v="36"/>
    <x v="16"/>
    <x v="1"/>
    <x v="1"/>
    <x v="6"/>
    <n v="36"/>
    <n v="0"/>
    <n v="5.7886015827118807E+18"/>
  </r>
  <r>
    <b v="0"/>
    <x v="37"/>
    <x v="17"/>
    <x v="1"/>
    <x v="1"/>
    <x v="5"/>
    <n v="37"/>
    <n v="0"/>
    <n v="5.3463419602609316E+18"/>
  </r>
  <r>
    <b v="0"/>
    <x v="38"/>
    <x v="18"/>
    <x v="1"/>
    <x v="1"/>
    <x v="4"/>
    <n v="38"/>
    <n v="0"/>
    <n v="1.1062483968308691E+19"/>
  </r>
  <r>
    <b v="0"/>
    <x v="39"/>
    <x v="19"/>
    <x v="1"/>
    <x v="1"/>
    <x v="4"/>
    <n v="39"/>
    <n v="0"/>
    <n v="1.5655786404813789E+19"/>
  </r>
  <r>
    <b v="0"/>
    <x v="40"/>
    <x v="0"/>
    <x v="0"/>
    <x v="2"/>
    <x v="6"/>
    <n v="40"/>
    <n v="0"/>
    <n v="1.2924760724657525E+19"/>
  </r>
  <r>
    <b v="0"/>
    <x v="41"/>
    <x v="1"/>
    <x v="0"/>
    <x v="2"/>
    <x v="2"/>
    <n v="41"/>
    <n v="0"/>
    <n v="1.5888440451188287E+19"/>
  </r>
  <r>
    <b v="0"/>
    <x v="42"/>
    <x v="2"/>
    <x v="0"/>
    <x v="2"/>
    <x v="4"/>
    <n v="42"/>
    <n v="0"/>
    <n v="1.573285008968318E+19"/>
  </r>
  <r>
    <b v="0"/>
    <x v="43"/>
    <x v="3"/>
    <x v="0"/>
    <x v="2"/>
    <x v="2"/>
    <n v="43"/>
    <n v="0"/>
    <n v="3.4521232630528727E+18"/>
  </r>
  <r>
    <b v="0"/>
    <x v="44"/>
    <x v="4"/>
    <x v="0"/>
    <x v="2"/>
    <x v="5"/>
    <n v="44"/>
    <n v="0"/>
    <n v="1.7055007727495338E+19"/>
  </r>
  <r>
    <b v="0"/>
    <x v="45"/>
    <x v="5"/>
    <x v="0"/>
    <x v="2"/>
    <x v="4"/>
    <n v="45"/>
    <n v="0"/>
    <n v="3.4344431844385674E+18"/>
  </r>
  <r>
    <b v="0"/>
    <x v="46"/>
    <x v="6"/>
    <x v="0"/>
    <x v="2"/>
    <x v="4"/>
    <n v="46"/>
    <n v="0"/>
    <n v="2.7160096377432202E+18"/>
  </r>
  <r>
    <b v="0"/>
    <x v="47"/>
    <x v="7"/>
    <x v="0"/>
    <x v="2"/>
    <x v="5"/>
    <n v="47"/>
    <n v="0"/>
    <n v="1.0557631974468135E+19"/>
  </r>
  <r>
    <b v="0"/>
    <x v="48"/>
    <x v="8"/>
    <x v="0"/>
    <x v="2"/>
    <x v="6"/>
    <n v="48"/>
    <n v="0"/>
    <n v="3.9299830872627267E+18"/>
  </r>
  <r>
    <b v="0"/>
    <x v="49"/>
    <x v="9"/>
    <x v="0"/>
    <x v="2"/>
    <x v="4"/>
    <n v="49"/>
    <n v="0"/>
    <n v="3.3582240764467103E+18"/>
  </r>
  <r>
    <b v="0"/>
    <x v="50"/>
    <x v="10"/>
    <x v="1"/>
    <x v="2"/>
    <x v="4"/>
    <n v="50"/>
    <n v="0"/>
    <n v="8.429227019261143E+18"/>
  </r>
  <r>
    <b v="0"/>
    <x v="51"/>
    <x v="11"/>
    <x v="1"/>
    <x v="2"/>
    <x v="5"/>
    <n v="51"/>
    <n v="0"/>
    <n v="8.1271742869883013E+18"/>
  </r>
  <r>
    <b v="0"/>
    <x v="52"/>
    <x v="12"/>
    <x v="1"/>
    <x v="2"/>
    <x v="8"/>
    <n v="52"/>
    <n v="0"/>
    <n v="1.4170503894100017E+19"/>
  </r>
  <r>
    <b v="0"/>
    <x v="53"/>
    <x v="13"/>
    <x v="1"/>
    <x v="2"/>
    <x v="6"/>
    <n v="53"/>
    <n v="0"/>
    <n v="1.1828203545793874E+19"/>
  </r>
  <r>
    <b v="0"/>
    <x v="54"/>
    <x v="14"/>
    <x v="1"/>
    <x v="2"/>
    <x v="6"/>
    <n v="54"/>
    <n v="0"/>
    <n v="1.6171024712272615E+19"/>
  </r>
  <r>
    <b v="0"/>
    <x v="55"/>
    <x v="15"/>
    <x v="1"/>
    <x v="2"/>
    <x v="6"/>
    <n v="55"/>
    <n v="0"/>
    <n v="1.0287028351868174E+19"/>
  </r>
  <r>
    <b v="0"/>
    <x v="56"/>
    <x v="16"/>
    <x v="1"/>
    <x v="2"/>
    <x v="4"/>
    <n v="56"/>
    <n v="0"/>
    <n v="9.957775407236471E+17"/>
  </r>
  <r>
    <b v="0"/>
    <x v="57"/>
    <x v="17"/>
    <x v="1"/>
    <x v="2"/>
    <x v="4"/>
    <n v="57"/>
    <n v="0"/>
    <n v="1.0235404904753902E+18"/>
  </r>
  <r>
    <b v="0"/>
    <x v="58"/>
    <x v="18"/>
    <x v="1"/>
    <x v="2"/>
    <x v="4"/>
    <n v="58"/>
    <n v="0"/>
    <n v="1.1465180550904411E+18"/>
  </r>
  <r>
    <b v="0"/>
    <x v="59"/>
    <x v="19"/>
    <x v="1"/>
    <x v="2"/>
    <x v="2"/>
    <n v="59"/>
    <n v="0"/>
    <n v="4.778877313319053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70" firstHeaderRow="0" firstDataRow="1" firstDataCol="5"/>
  <pivotFields count="9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107"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8">
      <pivotArea type="all" dataOnly="0" outline="0" fieldPosition="0"/>
    </format>
    <format dxfId="117">
      <pivotArea dataOnly="0"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fieldPosition="0">
        <references count="1">
          <reference field="4294967294" count="1"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outline="0" fieldPosition="0">
        <references count="1">
          <reference field="4294967294" count="1" selected="0">
            <x v="1"/>
          </reference>
        </references>
      </pivotArea>
    </format>
    <format dxfId="110">
      <pivotArea dataOnly="0" outline="0" fieldPosition="0">
        <references count="1">
          <reference field="4294967294" count="1">
            <x v="1"/>
          </reference>
        </references>
      </pivotArea>
    </format>
    <format dxfId="109">
      <pivotArea type="all" dataOnly="0" outline="0" fieldPosition="0"/>
    </format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7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1" type="button" dataOnly="0" labelOnly="1" outline="0" axis="axisRow" fieldPosition="0"/>
    </format>
    <format dxfId="73">
      <pivotArea field="2" type="button" dataOnly="0" labelOnly="1" outline="0" axis="axisRow" fieldPosition="1"/>
    </format>
    <format dxfId="72">
      <pivotArea field="3" type="button" dataOnly="0" labelOnly="1" outline="0" axis="axisRow" fieldPosition="2"/>
    </format>
    <format dxfId="71">
      <pivotArea field="4" type="button" dataOnly="0" labelOnly="1" outline="0" axis="axisRow" fieldPosition="3"/>
    </format>
    <format dxfId="70">
      <pivotArea field="5" type="button" dataOnly="0" labelOnly="1" outline="0" axis="axisRow" fieldPosition="4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field="2" type="button" dataOnly="0" labelOnly="1" outline="0" axis="axisRow" fieldPosition="1"/>
    </format>
    <format dxfId="67">
      <pivotArea field="3" type="button" dataOnly="0" labelOnly="1" outline="0" axis="axisRow" fieldPosition="2"/>
    </format>
    <format dxfId="66">
      <pivotArea field="4" type="button" dataOnly="0" labelOnly="1" outline="0" axis="axisRow" fieldPosition="3"/>
    </format>
    <format dxfId="65">
      <pivotArea field="5" type="button" dataOnly="0" labelOnly="1" outline="0" axis="axisRow" fieldPosition="4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1" type="button" dataOnly="0" labelOnly="1" outline="0" axis="axisRow" fieldPosition="0"/>
    </format>
    <format dxfId="62">
      <pivotArea dataOnly="0" labelOnly="1" outline="0" fieldPosition="0">
        <references count="1">
          <reference field="1" count="1">
            <x v="0"/>
          </reference>
        </references>
      </pivotArea>
    </format>
    <format dxfId="61">
      <pivotArea dataOnly="0" labelOnly="1" outline="0" fieldPosition="0">
        <references count="1">
          <reference field="1" count="1">
            <x v="1"/>
          </reference>
        </references>
      </pivotArea>
    </format>
    <format dxfId="60">
      <pivotArea dataOnly="0" labelOnly="1" outline="0" fieldPosition="0">
        <references count="1">
          <reference field="1" count="1">
            <x v="2"/>
          </reference>
        </references>
      </pivotArea>
    </format>
    <format dxfId="59">
      <pivotArea dataOnly="0" labelOnly="1" outline="0" fieldPosition="0">
        <references count="1">
          <reference field="1" count="1">
            <x v="3"/>
          </reference>
        </references>
      </pivotArea>
    </format>
    <format dxfId="58">
      <pivotArea dataOnly="0" labelOnly="1" outline="0" fieldPosition="0">
        <references count="1">
          <reference field="1" count="1">
            <x v="4"/>
          </reference>
        </references>
      </pivotArea>
    </format>
    <format dxfId="57">
      <pivotArea dataOnly="0" labelOnly="1" outline="0" fieldPosition="0">
        <references count="1">
          <reference field="1" count="1">
            <x v="5"/>
          </reference>
        </references>
      </pivotArea>
    </format>
    <format dxfId="56">
      <pivotArea dataOnly="0" labelOnly="1" outline="0" fieldPosition="0">
        <references count="1">
          <reference field="1" count="1">
            <x v="6"/>
          </reference>
        </references>
      </pivotArea>
    </format>
    <format dxfId="55">
      <pivotArea dataOnly="0" labelOnly="1" outline="0" fieldPosition="0">
        <references count="1">
          <reference field="1" count="1">
            <x v="7"/>
          </reference>
        </references>
      </pivotArea>
    </format>
    <format dxfId="54">
      <pivotArea dataOnly="0" labelOnly="1" outline="0" fieldPosition="0">
        <references count="1">
          <reference field="1" count="1">
            <x v="8"/>
          </reference>
        </references>
      </pivotArea>
    </format>
    <format dxfId="53">
      <pivotArea dataOnly="0" labelOnly="1" outline="0" fieldPosition="0">
        <references count="1">
          <reference field="1" count="1">
            <x v="9"/>
          </reference>
        </references>
      </pivotArea>
    </format>
    <format dxfId="52">
      <pivotArea dataOnly="0" labelOnly="1" outline="0" fieldPosition="0">
        <references count="1">
          <reference field="1" count="1">
            <x v="10"/>
          </reference>
        </references>
      </pivotArea>
    </format>
    <format dxfId="51">
      <pivotArea dataOnly="0" labelOnly="1" outline="0" fieldPosition="0">
        <references count="1">
          <reference field="1" count="1">
            <x v="11"/>
          </reference>
        </references>
      </pivotArea>
    </format>
    <format dxfId="50">
      <pivotArea dataOnly="0" labelOnly="1" outline="0" fieldPosition="0">
        <references count="1">
          <reference field="1" count="1">
            <x v="12"/>
          </reference>
        </references>
      </pivotArea>
    </format>
    <format dxfId="49">
      <pivotArea dataOnly="0" labelOnly="1" outline="0" fieldPosition="0">
        <references count="1">
          <reference field="1" count="1">
            <x v="13"/>
          </reference>
        </references>
      </pivotArea>
    </format>
    <format dxfId="48">
      <pivotArea dataOnly="0" labelOnly="1" outline="0" fieldPosition="0">
        <references count="1">
          <reference field="1" count="1">
            <x v="14"/>
          </reference>
        </references>
      </pivotArea>
    </format>
    <format dxfId="47">
      <pivotArea dataOnly="0" labelOnly="1" outline="0" fieldPosition="0">
        <references count="1">
          <reference field="1" count="1">
            <x v="15"/>
          </reference>
        </references>
      </pivotArea>
    </format>
    <format dxfId="46">
      <pivotArea dataOnly="0" labelOnly="1" outline="0" fieldPosition="0">
        <references count="1">
          <reference field="1" count="1">
            <x v="16"/>
          </reference>
        </references>
      </pivotArea>
    </format>
    <format dxfId="45">
      <pivotArea dataOnly="0" labelOnly="1" outline="0" fieldPosition="0">
        <references count="1">
          <reference field="1" count="1">
            <x v="17"/>
          </reference>
        </references>
      </pivotArea>
    </format>
    <format dxfId="44">
      <pivotArea dataOnly="0" labelOnly="1" outline="0" fieldPosition="0">
        <references count="1">
          <reference field="1" count="1">
            <x v="18"/>
          </reference>
        </references>
      </pivotArea>
    </format>
    <format dxfId="43">
      <pivotArea dataOnly="0" labelOnly="1" outline="0" fieldPosition="0">
        <references count="1">
          <reference field="1" count="1">
            <x v="19"/>
          </reference>
        </references>
      </pivotArea>
    </format>
    <format dxfId="42">
      <pivotArea dataOnly="0" labelOnly="1" outline="0" fieldPosition="0">
        <references count="1">
          <reference field="1" count="1">
            <x v="20"/>
          </reference>
        </references>
      </pivotArea>
    </format>
    <format dxfId="41">
      <pivotArea dataOnly="0" labelOnly="1" outline="0" fieldPosition="0">
        <references count="1">
          <reference field="1" count="1">
            <x v="21"/>
          </reference>
        </references>
      </pivotArea>
    </format>
    <format dxfId="40">
      <pivotArea dataOnly="0" labelOnly="1" outline="0" fieldPosition="0">
        <references count="1">
          <reference field="1" count="1">
            <x v="22"/>
          </reference>
        </references>
      </pivotArea>
    </format>
    <format dxfId="39">
      <pivotArea dataOnly="0" labelOnly="1" outline="0" fieldPosition="0">
        <references count="1">
          <reference field="1" count="1">
            <x v="23"/>
          </reference>
        </references>
      </pivotArea>
    </format>
    <format dxfId="38">
      <pivotArea dataOnly="0" labelOnly="1" outline="0" fieldPosition="0">
        <references count="1">
          <reference field="1" count="1">
            <x v="24"/>
          </reference>
        </references>
      </pivotArea>
    </format>
    <format dxfId="37">
      <pivotArea dataOnly="0" labelOnly="1" outline="0" fieldPosition="0">
        <references count="1">
          <reference field="1" count="1">
            <x v="25"/>
          </reference>
        </references>
      </pivotArea>
    </format>
    <format dxfId="36">
      <pivotArea dataOnly="0" labelOnly="1" outline="0" fieldPosition="0">
        <references count="1">
          <reference field="1" count="1">
            <x v="26"/>
          </reference>
        </references>
      </pivotArea>
    </format>
    <format dxfId="35">
      <pivotArea dataOnly="0" labelOnly="1" outline="0" fieldPosition="0">
        <references count="1">
          <reference field="1" count="1">
            <x v="27"/>
          </reference>
        </references>
      </pivotArea>
    </format>
    <format dxfId="34">
      <pivotArea dataOnly="0" labelOnly="1" outline="0" fieldPosition="0">
        <references count="1">
          <reference field="1" count="1">
            <x v="28"/>
          </reference>
        </references>
      </pivotArea>
    </format>
    <format dxfId="33">
      <pivotArea dataOnly="0" labelOnly="1" outline="0" fieldPosition="0">
        <references count="1">
          <reference field="1" count="1">
            <x v="29"/>
          </reference>
        </references>
      </pivotArea>
    </format>
    <format dxfId="32">
      <pivotArea dataOnly="0" labelOnly="1" outline="0" fieldPosition="0">
        <references count="1">
          <reference field="1" count="1">
            <x v="30"/>
          </reference>
        </references>
      </pivotArea>
    </format>
    <format dxfId="31">
      <pivotArea dataOnly="0" labelOnly="1" outline="0" fieldPosition="0">
        <references count="1">
          <reference field="1" count="1">
            <x v="31"/>
          </reference>
        </references>
      </pivotArea>
    </format>
    <format dxfId="30">
      <pivotArea dataOnly="0" labelOnly="1" outline="0" fieldPosition="0">
        <references count="1">
          <reference field="1" count="1">
            <x v="32"/>
          </reference>
        </references>
      </pivotArea>
    </format>
    <format dxfId="29">
      <pivotArea dataOnly="0" labelOnly="1" outline="0" fieldPosition="0">
        <references count="1">
          <reference field="1" count="1">
            <x v="33"/>
          </reference>
        </references>
      </pivotArea>
    </format>
    <format dxfId="28">
      <pivotArea dataOnly="0" labelOnly="1" outline="0" fieldPosition="0">
        <references count="1">
          <reference field="1" count="1">
            <x v="34"/>
          </reference>
        </references>
      </pivotArea>
    </format>
    <format dxfId="27">
      <pivotArea dataOnly="0" labelOnly="1" outline="0" fieldPosition="0">
        <references count="1">
          <reference field="1" count="1">
            <x v="35"/>
          </reference>
        </references>
      </pivotArea>
    </format>
    <format dxfId="26">
      <pivotArea dataOnly="0" labelOnly="1" outline="0" fieldPosition="0">
        <references count="1">
          <reference field="1" count="1">
            <x v="36"/>
          </reference>
        </references>
      </pivotArea>
    </format>
    <format dxfId="25">
      <pivotArea dataOnly="0" labelOnly="1" outline="0" fieldPosition="0">
        <references count="1">
          <reference field="1" count="1">
            <x v="37"/>
          </reference>
        </references>
      </pivotArea>
    </format>
    <format dxfId="24">
      <pivotArea dataOnly="0" labelOnly="1" outline="0" fieldPosition="0">
        <references count="1">
          <reference field="1" count="1">
            <x v="38"/>
          </reference>
        </references>
      </pivotArea>
    </format>
    <format dxfId="23">
      <pivotArea dataOnly="0" labelOnly="1" outline="0" fieldPosition="0">
        <references count="1">
          <reference field="1" count="1">
            <x v="39"/>
          </reference>
        </references>
      </pivotArea>
    </format>
    <format dxfId="22">
      <pivotArea dataOnly="0" labelOnly="1" outline="0" fieldPosition="0">
        <references count="1">
          <reference field="1" count="1">
            <x v="40"/>
          </reference>
        </references>
      </pivotArea>
    </format>
    <format dxfId="21">
      <pivotArea dataOnly="0" labelOnly="1" outline="0" fieldPosition="0">
        <references count="1">
          <reference field="1" count="1">
            <x v="41"/>
          </reference>
        </references>
      </pivotArea>
    </format>
    <format dxfId="20">
      <pivotArea dataOnly="0" labelOnly="1" outline="0" fieldPosition="0">
        <references count="1">
          <reference field="1" count="1">
            <x v="42"/>
          </reference>
        </references>
      </pivotArea>
    </format>
    <format dxfId="19">
      <pivotArea dataOnly="0" labelOnly="1" outline="0" fieldPosition="0">
        <references count="1">
          <reference field="1" count="1">
            <x v="43"/>
          </reference>
        </references>
      </pivotArea>
    </format>
    <format dxfId="18">
      <pivotArea dataOnly="0" labelOnly="1" outline="0" fieldPosition="0">
        <references count="1">
          <reference field="1" count="1">
            <x v="44"/>
          </reference>
        </references>
      </pivotArea>
    </format>
    <format dxfId="17">
      <pivotArea dataOnly="0" labelOnly="1" outline="0" fieldPosition="0">
        <references count="1">
          <reference field="1" count="1">
            <x v="45"/>
          </reference>
        </references>
      </pivotArea>
    </format>
    <format dxfId="16">
      <pivotArea dataOnly="0" labelOnly="1" outline="0" fieldPosition="0">
        <references count="1">
          <reference field="1" count="1">
            <x v="46"/>
          </reference>
        </references>
      </pivotArea>
    </format>
    <format dxfId="15">
      <pivotArea dataOnly="0" labelOnly="1" outline="0" fieldPosition="0">
        <references count="1">
          <reference field="1" count="1">
            <x v="47"/>
          </reference>
        </references>
      </pivotArea>
    </format>
    <format dxfId="14">
      <pivotArea dataOnly="0" labelOnly="1" outline="0" fieldPosition="0">
        <references count="1">
          <reference field="1" count="1">
            <x v="48"/>
          </reference>
        </references>
      </pivotArea>
    </format>
    <format dxfId="13">
      <pivotArea dataOnly="0" labelOnly="1" outline="0" fieldPosition="0">
        <references count="1">
          <reference field="1" count="1">
            <x v="49"/>
          </reference>
        </references>
      </pivotArea>
    </format>
    <format dxfId="12">
      <pivotArea dataOnly="0" labelOnly="1" outline="0" fieldPosition="0">
        <references count="1">
          <reference field="1" count="1">
            <x v="50"/>
          </reference>
        </references>
      </pivotArea>
    </format>
    <format dxfId="11">
      <pivotArea dataOnly="0" labelOnly="1" outline="0" fieldPosition="0">
        <references count="1">
          <reference field="1" count="1">
            <x v="51"/>
          </reference>
        </references>
      </pivotArea>
    </format>
    <format dxfId="10">
      <pivotArea dataOnly="0" labelOnly="1" outline="0" fieldPosition="0">
        <references count="1">
          <reference field="1" count="1">
            <x v="52"/>
          </reference>
        </references>
      </pivotArea>
    </format>
    <format dxfId="9">
      <pivotArea dataOnly="0" labelOnly="1" outline="0" fieldPosition="0">
        <references count="1">
          <reference field="1" count="1">
            <x v="53"/>
          </reference>
        </references>
      </pivotArea>
    </format>
    <format dxfId="8">
      <pivotArea dataOnly="0" labelOnly="1" outline="0" fieldPosition="0">
        <references count="1">
          <reference field="1" count="1">
            <x v="54"/>
          </reference>
        </references>
      </pivotArea>
    </format>
    <format dxfId="7">
      <pivotArea dataOnly="0" labelOnly="1" outline="0" fieldPosition="0">
        <references count="1">
          <reference field="1" count="1">
            <x v="55"/>
          </reference>
        </references>
      </pivotArea>
    </format>
    <format dxfId="6">
      <pivotArea dataOnly="0" labelOnly="1" outline="0" fieldPosition="0">
        <references count="1">
          <reference field="1" count="1">
            <x v="56"/>
          </reference>
        </references>
      </pivotArea>
    </format>
    <format dxfId="5">
      <pivotArea dataOnly="0" labelOnly="1" outline="0" fieldPosition="0">
        <references count="1">
          <reference field="1" count="1">
            <x v="57"/>
          </reference>
        </references>
      </pivotArea>
    </format>
    <format dxfId="4">
      <pivotArea dataOnly="0" labelOnly="1" outline="0" fieldPosition="0">
        <references count="1">
          <reference field="1" count="1">
            <x v="58"/>
          </reference>
        </references>
      </pivotArea>
    </format>
    <format dxfId="3">
      <pivotArea dataOnly="0" labelOnly="1" outline="0" fieldPosition="0">
        <references count="1">
          <reference field="1" count="1">
            <x v="5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92" dataDxfId="190" headerRowBorderDxfId="191" tableBorderDxfId="189" totalsRowBorderDxfId="188" headerRowCellStyle="DarkHeader">
  <autoFilter ref="C45:J59" xr:uid="{DD504193-DD3B-4BC5-B491-CD13C900E1D0}"/>
  <tableColumns count="8">
    <tableColumn id="1" xr3:uid="{428A065A-E650-48CD-82D8-DCD52C6ADF49}" name="Dataset" dataDxfId="187"/>
    <tableColumn id="2" xr3:uid="{59A978F6-B8DD-476D-83D1-DF4156BF2B65}" name="Field" dataDxfId="186"/>
    <tableColumn id="4" xr3:uid="{F13FAD31-2DAD-46F1-87AA-89BB89F55C7D}" name="Activity" dataDxfId="185"/>
    <tableColumn id="3" xr3:uid="{EEC05A6B-8FC2-4E70-83F0-CD177B8B3640}" name="Rows" dataDxfId="184"/>
    <tableColumn id="5" xr3:uid="{393C3242-A398-4640-8F14-23E67E5E58DD}" name="Columns" dataDxfId="183" dataCellStyle="Comma"/>
    <tableColumn id="6" xr3:uid="{FD0E5439-87A1-4303-9EA2-539C332536D5}" name="Datatype" dataDxfId="182"/>
    <tableColumn id="7" xr3:uid="{8B1A0719-0FD5-40F2-A5A8-CFCFA32E014A}" name="Production Time in Seconds" dataDxfId="181"/>
    <tableColumn id="8" xr3:uid="{B5BE7F10-5FBA-44EF-8324-B95D2ABA2298}" name="% of Production Time" dataDxfId="18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79" dataDxfId="177" headerRowBorderDxfId="178" tableBorderDxfId="176" totalsRowBorderDxfId="175">
  <tableColumns count="3">
    <tableColumn id="1" xr3:uid="{FFACC0FF-000E-4785-9C1A-22F01E7C2644}" name="Production Section" dataDxfId="174" dataCellStyle="DarkHeader"/>
    <tableColumn id="2" xr3:uid="{6A06C42D-D4AD-45CE-A81D-0918B410EAA9}" name="Production Time in Seconds" dataDxfId="173"/>
    <tableColumn id="3" xr3:uid="{2643AF23-A2E5-4438-810D-7531CB2D2E4E}" name="% of Production Time" dataDxfId="17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1" dataDxfId="169" headerRowBorderDxfId="170" tableBorderDxfId="168">
  <tableColumns count="2">
    <tableColumn id="1" xr3:uid="{9623C5AE-E7C2-4493-9B72-08667C9B2C60}" name="Environment Variable" dataDxfId="167" dataCellStyle="DarkHeader"/>
    <tableColumn id="2" xr3:uid="{E5E357AA-48FB-47EA-928A-80845B0CD7C9}" name="Value" dataDxfId="16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5" tableBorderDxfId="164" totalsRowBorderDxfId="163">
  <autoFilter ref="F9:G20" xr:uid="{A6117933-3C15-4FC8-ADF4-0EC66304DEE1}"/>
  <tableColumns count="2">
    <tableColumn id="1" xr3:uid="{EC70458D-5C3D-497C-AA06-AFCBD688FBDA}" name="Input Argument" dataDxfId="162" dataCellStyle="DarkHeader"/>
    <tableColumn id="2" xr3:uid="{FCA8AE27-3D46-4152-9A03-0F3EFBA2366A}" name="Value" dataDxfId="16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0" tableBorderDxfId="159" totalsRowBorderDxfId="158">
  <autoFilter ref="I9:J10" xr:uid="{6AF89CD0-DF40-4046-87D4-2BF660DDE636}"/>
  <tableColumns count="2">
    <tableColumn id="1" xr3:uid="{27FA7240-202E-4FAB-AD4A-DC169AFD6F56}" name="Error Type" dataDxfId="157" dataCellStyle="DarkHeader"/>
    <tableColumn id="2" xr3:uid="{C21354E4-3682-4AA0-B73A-2E689C89258C}" name="Value" dataDxfId="15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39" totalsRowShown="0" headerRowDxfId="97" dataDxfId="96" headerRowCellStyle="DarkHeader" dataCellStyle="Normal">
  <autoFilter ref="D79:L139" xr:uid="{DB1D1E60-5E37-456A-AD85-0649D531840E}"/>
  <tableColumns count="9">
    <tableColumn id="1" xr3:uid="{57EDF41E-F06D-4819-BADE-3D62DE46F06C}" name="Record List" dataDxfId="94" dataCellStyle="Normal"/>
    <tableColumn id="2" xr3:uid="{CF70C9CE-83FE-40FA-8089-C68B39CF665A}" name="Unnamed: 0" dataDxfId="95" dataCellStyle="Normal"/>
    <tableColumn id="3" xr3:uid="{B8654690-502A-4FAF-9205-0118DABCB954}" name="subject" dataDxfId="100" dataCellStyle="Normal"/>
    <tableColumn id="4" xr3:uid="{5A5BA001-2F93-4E62-880C-C4E8BDB17EEB}" name="attention" dataDxfId="99" dataCellStyle="Normal"/>
    <tableColumn id="5" xr3:uid="{4BC79439-4277-4E34-8690-9AABC8A4267A}" name="solutions" dataDxfId="98" dataCellStyle="Normal"/>
    <tableColumn id="6" xr3:uid="{8F5E697A-FD66-4373-A095-B1571C5AFB4D}" name="score" dataDxfId="93" dataCellStyle="Normal"/>
    <tableColumn id="7" xr3:uid="{400DF2C1-3CEC-44B5-BEA1-D23946CABB97}" name="index" dataDxfId="92" dataCellStyle="Normal"/>
    <tableColumn id="8" xr3:uid="{EC3BE86A-9369-4DAA-9C42-C48AAB810AEA}" name="HasBlank" dataDxfId="91" dataCellStyle="Normal"/>
    <tableColumn id="9" xr3:uid="{7D3DDC81-9145-422B-AA8B-FECEBCC3FAE1}" name="Record Hash" dataDxfId="9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103" dataDxfId="147" headerRowBorderDxfId="148">
  <autoFilter ref="B11:AA16" xr:uid="{034D1C74-BE18-490E-B396-097D407DA97D}"/>
  <tableColumns count="26">
    <tableColumn id="1" xr3:uid="{010A8E62-502A-4B19-B37A-BF59E03A068A}" name="Field" dataDxfId="146"/>
    <tableColumn id="2" xr3:uid="{AD236665-EC7C-404F-8915-AD7CD5510D0F}" name="Definition" dataDxfId="102">
      <calculatedColumnFormula>IF(INDEX('Attention | Field Analysis'!Definitions,1,MATCH(tbl_Overview[[#This Row],[Field]],'Attention | Field Analysis'!Headers,0))="Definition","",INDEX('Attention | Field Analysis'!Definitions,1,MATCH(tbl_Overview[[#This Row],[Field]],'Attention | Field Analysis'!Headers,0)))</calculatedColumnFormula>
    </tableColumn>
    <tableColumn id="3" xr3:uid="{B78AB378-5727-433E-AB9C-BB970FC42B31}" name="Field Notes" dataDxfId="101">
      <calculatedColumnFormula>IF(INDEX('Attention | Field Analysis'!Notes,1,MATCH(tbl_Overview[[#This Row],[Field]],'Attention | Field Analysis'!Headers,0))="Note","",INDEX('Attention | Field Analysis'!Notes,1,MATCH(tbl_Overview[[#This Row],[Field]],'Attention | Field Analysis'!Headers,0)))</calculatedColumnFormula>
    </tableColumn>
    <tableColumn id="4" xr3:uid="{EF15AE67-FE31-471E-840E-8104B878A3E8}" name="Data type" dataDxfId="145"/>
    <tableColumn id="5" xr3:uid="{5006D683-9D12-4B97-9EF2-6D41AF6E0B35}" name="Distinct %" dataDxfId="144"/>
    <tableColumn id="6" xr3:uid="{3AFB42F8-9976-44FF-9239-74914D5BE035}" name="Missing %" dataDxfId="143"/>
    <tableColumn id="7" xr3:uid="{4BA41102-DB06-4180-9754-C88722FE82BD}" name="Memory Usage %" dataDxfId="142"/>
    <tableColumn id="8" xr3:uid="{D22319BD-3A80-40F3-84FC-A6D1627B2F29}" name="Memory Usage" dataDxfId="141"/>
    <tableColumn id="9" xr3:uid="{77FAEE19-B6C7-4056-8EF3-5EB877C820C4}" name="Distinct" dataDxfId="140"/>
    <tableColumn id="10" xr3:uid="{54FF47BF-594E-417B-9028-64A4DFE4D389}" name="Count" dataDxfId="139"/>
    <tableColumn id="11" xr3:uid="{54E587FE-36DC-4522-91DC-8B81B386217B}" name="Count %" dataDxfId="138"/>
    <tableColumn id="12" xr3:uid="{0DE21D83-93B1-480C-BE9C-379DA0E532C7}" name="Missing" dataDxfId="137"/>
    <tableColumn id="13" xr3:uid="{C4B407B9-B7FB-4DFC-A6B3-885C816BAF99}" name="Mean" dataDxfId="136"/>
    <tableColumn id="14" xr3:uid="{9796FD8E-D568-43E1-AC6E-BFAE7C7B7017}" name="Median" dataDxfId="135"/>
    <tableColumn id="15" xr3:uid="{A6A7BCED-DD2F-4B41-A84C-2F2674A38A53}" name="Mode" dataDxfId="134"/>
    <tableColumn id="16" xr3:uid="{46607FA5-244C-49C2-997C-B64EB2E94FDE}" name="Standard Deviation" dataDxfId="133"/>
    <tableColumn id="17" xr3:uid="{80BA1782-4C46-45CE-B3FB-40B70BA09AF9}" name="Variance" dataDxfId="132"/>
    <tableColumn id="18" xr3:uid="{EC3C5A76-EF95-419C-87A8-D8885B542521}" name="Min" dataDxfId="131"/>
    <tableColumn id="19" xr3:uid="{BFE545F8-810C-4F0A-A0B2-FF0AB9764A07}" name="5%" dataDxfId="130"/>
    <tableColumn id="20" xr3:uid="{77D31A9B-57B1-4422-8EF9-6320F00E0DB9}" name="25%" dataDxfId="129"/>
    <tableColumn id="21" xr3:uid="{7A350787-F0EA-4E65-B596-5D7253E75CD6}" name="50%" dataDxfId="128"/>
    <tableColumn id="22" xr3:uid="{FB4C260E-A19F-4908-9DBF-DB4AC630982A}" name="75%" dataDxfId="127"/>
    <tableColumn id="23" xr3:uid="{FBECC9F1-5BC8-4774-9475-EB2D6D28F1E2}" name="95%" dataDxfId="126"/>
    <tableColumn id="24" xr3:uid="{839CD532-ED80-4544-A8C8-E9E036764A84}" name="Max" dataDxfId="125"/>
    <tableColumn id="25" xr3:uid="{9DDA1FD6-82B1-4FBE-8BBD-B40C331930D2}" name="Range" dataDxfId="124"/>
    <tableColumn id="26" xr3:uid="{902A027A-FD65-44D4-B3D0-5B3883ACFA39}" name="IQR" dataDxfId="12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46176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60</v>
      </c>
      <c r="E31" s="97"/>
      <c r="K31" s="100"/>
      <c r="X31" s="83"/>
    </row>
    <row r="32" spans="2:25" ht="15" customHeight="1">
      <c r="C32" s="99" t="s">
        <v>70</v>
      </c>
      <c r="D32" s="86">
        <v>8.4689927101135254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3.4876489639282227</v>
      </c>
      <c r="E35" s="127">
        <v>0.41181332587120278</v>
      </c>
    </row>
    <row r="36" spans="2:24" ht="15" customHeight="1">
      <c r="C36" s="104" t="s">
        <v>136</v>
      </c>
      <c r="D36" s="129">
        <v>4.124424934387207</v>
      </c>
      <c r="E36" s="127">
        <v>0.48700232365790036</v>
      </c>
      <c r="K36" s="100"/>
    </row>
    <row r="37" spans="2:24" ht="15" customHeight="1">
      <c r="C37" s="104" t="s">
        <v>137</v>
      </c>
      <c r="D37" s="129">
        <v>0.30141305923461914</v>
      </c>
      <c r="E37" s="127">
        <v>3.5590139853013292E-2</v>
      </c>
      <c r="K37" s="100"/>
    </row>
    <row r="38" spans="2:24" ht="15" customHeight="1">
      <c r="C38" s="104" t="s">
        <v>138</v>
      </c>
      <c r="D38" s="129">
        <v>0.27320051193237305</v>
      </c>
      <c r="E38" s="127">
        <v>3.2258869115619294E-2</v>
      </c>
      <c r="K38" s="100"/>
    </row>
    <row r="39" spans="2:24" ht="15" customHeight="1">
      <c r="C39" s="104" t="s">
        <v>75</v>
      </c>
      <c r="D39" s="129">
        <v>2.0623042583465576</v>
      </c>
      <c r="E39" s="127">
        <v>0.24351200031079698</v>
      </c>
      <c r="N39" s="79"/>
    </row>
    <row r="40" spans="2:24" ht="15" customHeight="1">
      <c r="C40" s="104" t="s">
        <v>76</v>
      </c>
      <c r="D40" s="129">
        <v>1.244786262512207</v>
      </c>
      <c r="E40" s="127">
        <v>0.14698141242591123</v>
      </c>
    </row>
    <row r="41" spans="2:24" ht="15" customHeight="1">
      <c r="C41" s="105" t="s">
        <v>139</v>
      </c>
      <c r="D41" s="130">
        <v>0.41511797904968262</v>
      </c>
      <c r="E41" s="128">
        <v>4.9016147367318685E-2</v>
      </c>
    </row>
    <row r="42" spans="2:24" ht="15" customHeight="1">
      <c r="C42" s="169" t="s">
        <v>77</v>
      </c>
      <c r="D42" s="130">
        <v>4.7738075256347656E-2</v>
      </c>
      <c r="E42" s="128">
        <v>5.6367988135662883E-3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60</v>
      </c>
      <c r="G46" s="109">
        <v>5</v>
      </c>
      <c r="H46" s="108" t="s">
        <v>92</v>
      </c>
      <c r="I46" s="131">
        <v>4.6305656433105469E-2</v>
      </c>
      <c r="J46" s="127">
        <v>5.4676621929542549E-3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60</v>
      </c>
      <c r="G47" s="109">
        <v>5</v>
      </c>
      <c r="H47" s="108" t="s">
        <v>92</v>
      </c>
      <c r="I47" s="131">
        <v>6.8404197692871094E-2</v>
      </c>
      <c r="J47" s="127">
        <v>8.077005583648024E-3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60</v>
      </c>
      <c r="G48" s="109">
        <v>5</v>
      </c>
      <c r="H48" s="108" t="s">
        <v>93</v>
      </c>
      <c r="I48" s="131">
        <v>7.4392318725585938E-2</v>
      </c>
      <c r="J48" s="127">
        <v>8.7840687266726308E-3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60</v>
      </c>
      <c r="G49" s="109">
        <v>5</v>
      </c>
      <c r="H49" s="113" t="s">
        <v>92</v>
      </c>
      <c r="I49" s="131">
        <v>8.2430601119995117E-2</v>
      </c>
      <c r="J49" s="172">
        <v>9.7332100655432557E-3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60</v>
      </c>
      <c r="G50" s="109">
        <v>5</v>
      </c>
      <c r="H50" s="113" t="s">
        <v>94</v>
      </c>
      <c r="I50" s="131">
        <v>7.9865694046020508E-2</v>
      </c>
      <c r="J50" s="172">
        <v>9.4303519156524011E-3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60</v>
      </c>
      <c r="G51" s="109">
        <v>5</v>
      </c>
      <c r="H51" s="113" t="s">
        <v>92</v>
      </c>
      <c r="I51" s="131">
        <v>0.12283158302307129</v>
      </c>
      <c r="J51" s="172">
        <v>1.4503662280788185E-2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60</v>
      </c>
      <c r="G52" s="109">
        <v>5</v>
      </c>
      <c r="H52" s="113" t="s">
        <v>92</v>
      </c>
      <c r="I52" s="131">
        <v>0.100555419921875</v>
      </c>
      <c r="J52" s="172">
        <v>1.1873345723923316E-2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60</v>
      </c>
      <c r="G53" s="109">
        <v>5</v>
      </c>
      <c r="H53" s="113" t="s">
        <v>92</v>
      </c>
      <c r="I53" s="131">
        <v>0.13972926139831543</v>
      </c>
      <c r="J53" s="172">
        <v>1.6498900105231806E-2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142</v>
      </c>
      <c r="F54" s="171">
        <v>60</v>
      </c>
      <c r="G54" s="109">
        <v>5</v>
      </c>
      <c r="H54" s="113" t="s">
        <v>92</v>
      </c>
      <c r="I54" s="131">
        <v>0.10868239402770996</v>
      </c>
      <c r="J54" s="172">
        <v>1.2832959569929041E-2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141</v>
      </c>
      <c r="F55" s="171">
        <v>60</v>
      </c>
      <c r="G55" s="109">
        <v>5</v>
      </c>
      <c r="H55" s="113" t="s">
        <v>93</v>
      </c>
      <c r="I55" s="131">
        <v>0.14594030380249023</v>
      </c>
      <c r="J55" s="172">
        <v>1.7232285275598665E-2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141</v>
      </c>
      <c r="F56" s="171">
        <v>60</v>
      </c>
      <c r="G56" s="109">
        <v>5</v>
      </c>
      <c r="H56" s="113" t="s">
        <v>92</v>
      </c>
      <c r="I56" s="131">
        <v>0.15593981742858887</v>
      </c>
      <c r="J56" s="172">
        <v>1.8413004151279305E-2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142</v>
      </c>
      <c r="F57" s="171">
        <v>60</v>
      </c>
      <c r="G57" s="109">
        <v>5</v>
      </c>
      <c r="H57" s="113" t="s">
        <v>92</v>
      </c>
      <c r="I57" s="131">
        <v>0.11693310737609863</v>
      </c>
      <c r="J57" s="172">
        <v>1.3807184252502281E-2</v>
      </c>
      <c r="K57"/>
    </row>
    <row r="58" spans="1:11">
      <c r="A58"/>
      <c r="B58"/>
      <c r="C58" s="170" t="s">
        <v>83</v>
      </c>
      <c r="D58" s="170" t="s">
        <v>88</v>
      </c>
      <c r="E58" s="117" t="s">
        <v>141</v>
      </c>
      <c r="F58" s="171">
        <v>60</v>
      </c>
      <c r="G58" s="109">
        <v>5</v>
      </c>
      <c r="H58" s="113" t="s">
        <v>94</v>
      </c>
      <c r="I58" s="131">
        <v>0.18557143211364746</v>
      </c>
      <c r="J58" s="172">
        <v>2.1911835002834897E-2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142</v>
      </c>
      <c r="F59" s="175">
        <v>60</v>
      </c>
      <c r="G59" s="176">
        <v>5</v>
      </c>
      <c r="H59" s="177" t="s">
        <v>94</v>
      </c>
      <c r="I59" s="178">
        <v>0.12227725982666016</v>
      </c>
      <c r="J59" s="179">
        <v>1.4438209111193815E-2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93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1</v>
      </c>
      <c r="F24" s="19">
        <v>0.33333333333333298</v>
      </c>
      <c r="G24" s="19">
        <v>3.3333333333333298E-2</v>
      </c>
      <c r="H24" s="19">
        <v>0.05</v>
      </c>
      <c r="I24" s="19">
        <v>0.15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0.14510278113663799</v>
      </c>
      <c r="F26" s="19">
        <v>0.14510278113663799</v>
      </c>
      <c r="G26" s="19">
        <v>0.27448609431680698</v>
      </c>
      <c r="H26" s="19">
        <v>0.14510278113663799</v>
      </c>
      <c r="I26" s="19">
        <v>0.14510278113663799</v>
      </c>
    </row>
    <row r="27" spans="1:12" ht="15" hidden="1" customHeight="1" outlineLevel="2">
      <c r="B27" s="32"/>
      <c r="C27" s="32"/>
      <c r="D27" s="27" t="s">
        <v>13</v>
      </c>
      <c r="E27" s="20">
        <v>480</v>
      </c>
      <c r="F27" s="20">
        <v>480</v>
      </c>
      <c r="G27" s="20">
        <v>908</v>
      </c>
      <c r="H27" s="20">
        <v>480</v>
      </c>
      <c r="I27" s="20">
        <v>480</v>
      </c>
    </row>
    <row r="28" spans="1:12" ht="15" hidden="1" customHeight="1" outlineLevel="2">
      <c r="B28" s="32"/>
      <c r="C28" s="32"/>
      <c r="D28" s="27" t="s">
        <v>14</v>
      </c>
      <c r="E28" s="20">
        <v>60</v>
      </c>
      <c r="F28" s="20">
        <v>20</v>
      </c>
      <c r="G28" s="20">
        <v>2</v>
      </c>
      <c r="H28" s="20">
        <v>3</v>
      </c>
      <c r="I28" s="20">
        <v>9</v>
      </c>
    </row>
    <row r="29" spans="1:12" ht="15" hidden="1" customHeight="1" outlineLevel="2">
      <c r="B29" s="32"/>
      <c r="C29" s="32"/>
      <c r="D29" s="28" t="s">
        <v>15</v>
      </c>
      <c r="E29" s="20">
        <v>60</v>
      </c>
      <c r="F29" s="20">
        <v>60</v>
      </c>
      <c r="G29" s="20">
        <v>60</v>
      </c>
      <c r="H29" s="20">
        <v>60</v>
      </c>
      <c r="I29" s="20">
        <v>60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29.5</v>
      </c>
      <c r="F36" s="21">
        <v>10.5</v>
      </c>
      <c r="G36" s="21"/>
      <c r="H36" s="21">
        <v>2</v>
      </c>
      <c r="I36" s="21">
        <v>5.9583333333333304</v>
      </c>
    </row>
    <row r="37" spans="2:9" ht="15" hidden="1" customHeight="1" outlineLevel="2">
      <c r="B37" s="32"/>
      <c r="C37" s="32"/>
      <c r="D37" s="27" t="s">
        <v>19</v>
      </c>
      <c r="E37" s="21">
        <v>29.5</v>
      </c>
      <c r="F37" s="21">
        <v>10.5</v>
      </c>
      <c r="G37" s="21"/>
      <c r="H37" s="21">
        <v>2</v>
      </c>
      <c r="I37" s="21">
        <v>6</v>
      </c>
    </row>
    <row r="38" spans="2:9" ht="15" hidden="1" customHeight="1" outlineLevel="2">
      <c r="B38" s="32"/>
      <c r="C38" s="32"/>
      <c r="D38" s="27" t="s">
        <v>20</v>
      </c>
      <c r="E38" s="21">
        <v>0</v>
      </c>
      <c r="F38" s="21">
        <v>1</v>
      </c>
      <c r="G38" s="21" t="s">
        <v>95</v>
      </c>
      <c r="H38" s="21">
        <v>1</v>
      </c>
      <c r="I38" s="21">
        <v>6</v>
      </c>
    </row>
    <row r="39" spans="2:9" ht="15" hidden="1" customHeight="1" outlineLevel="2">
      <c r="B39" s="32"/>
      <c r="C39" s="32"/>
      <c r="D39" s="3" t="s">
        <v>21</v>
      </c>
      <c r="E39" s="21">
        <v>17.464249196572901</v>
      </c>
      <c r="F39" s="21">
        <v>5.8149427617160496</v>
      </c>
      <c r="G39" s="21"/>
      <c r="H39" s="21">
        <v>0.82338696959261803</v>
      </c>
      <c r="I39" s="21">
        <v>1.62160118262174</v>
      </c>
    </row>
    <row r="40" spans="2:9" ht="15" hidden="1" customHeight="1" outlineLevel="2">
      <c r="B40" s="32"/>
      <c r="C40" s="32"/>
      <c r="D40" s="29" t="s">
        <v>22</v>
      </c>
      <c r="E40" s="21">
        <v>304.99999999999898</v>
      </c>
      <c r="F40" s="21">
        <v>33.813559322033797</v>
      </c>
      <c r="G40" s="21"/>
      <c r="H40" s="21">
        <v>0.677966101694915</v>
      </c>
      <c r="I40" s="21">
        <v>2.62959039548022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1</v>
      </c>
      <c r="I46" s="21">
        <v>2</v>
      </c>
    </row>
    <row r="47" spans="2:9" ht="15" hidden="1" customHeight="1" outlineLevel="2">
      <c r="B47" s="32"/>
      <c r="C47" s="32"/>
      <c r="D47" s="27">
        <v>0.05</v>
      </c>
      <c r="E47" s="21">
        <v>2.95</v>
      </c>
      <c r="F47" s="21">
        <v>1.95</v>
      </c>
      <c r="G47" s="21"/>
      <c r="H47" s="21">
        <v>1</v>
      </c>
      <c r="I47" s="21">
        <v>3</v>
      </c>
    </row>
    <row r="48" spans="2:9" ht="15" hidden="1" customHeight="1" outlineLevel="2">
      <c r="B48" s="32"/>
      <c r="C48" s="32"/>
      <c r="D48" s="28">
        <v>0.25</v>
      </c>
      <c r="E48" s="21">
        <v>14.75</v>
      </c>
      <c r="F48" s="21">
        <v>5.75</v>
      </c>
      <c r="G48" s="21"/>
      <c r="H48" s="21">
        <v>1</v>
      </c>
      <c r="I48" s="21">
        <v>5</v>
      </c>
    </row>
    <row r="49" spans="1:9" ht="15" hidden="1" customHeight="1" outlineLevel="2">
      <c r="B49" s="32"/>
      <c r="C49" s="32"/>
      <c r="D49" s="3">
        <v>0.5</v>
      </c>
      <c r="E49" s="21">
        <v>29.5</v>
      </c>
      <c r="F49" s="21">
        <v>10.5</v>
      </c>
      <c r="G49" s="21"/>
      <c r="H49" s="21">
        <v>2</v>
      </c>
      <c r="I49" s="21">
        <v>6</v>
      </c>
    </row>
    <row r="50" spans="1:9" ht="15" hidden="1" customHeight="1" outlineLevel="2">
      <c r="B50" s="32"/>
      <c r="C50" s="32"/>
      <c r="D50" s="27">
        <v>0.75</v>
      </c>
      <c r="E50" s="21">
        <v>44.25</v>
      </c>
      <c r="F50" s="21">
        <v>15.25</v>
      </c>
      <c r="G50" s="21"/>
      <c r="H50" s="21">
        <v>3</v>
      </c>
      <c r="I50" s="21">
        <v>7</v>
      </c>
    </row>
    <row r="51" spans="1:9" ht="15" hidden="1" customHeight="1" outlineLevel="2">
      <c r="B51" s="32"/>
      <c r="C51" s="32"/>
      <c r="D51" s="27">
        <v>0.95</v>
      </c>
      <c r="E51" s="21">
        <v>56.05</v>
      </c>
      <c r="F51" s="21">
        <v>19.049999999999901</v>
      </c>
      <c r="G51" s="21"/>
      <c r="H51" s="21">
        <v>3</v>
      </c>
      <c r="I51" s="21">
        <v>8</v>
      </c>
    </row>
    <row r="52" spans="1:9" ht="15" hidden="1" customHeight="1" outlineLevel="2">
      <c r="B52" s="32"/>
      <c r="C52" s="32"/>
      <c r="D52" s="3" t="s">
        <v>25</v>
      </c>
      <c r="E52" s="21">
        <v>59</v>
      </c>
      <c r="F52" s="21">
        <v>20</v>
      </c>
      <c r="G52" s="21"/>
      <c r="H52" s="21">
        <v>3</v>
      </c>
      <c r="I52" s="21">
        <v>9</v>
      </c>
    </row>
    <row r="53" spans="1:9" ht="15" hidden="1" customHeight="1" outlineLevel="2">
      <c r="B53" s="32"/>
      <c r="C53" s="32"/>
      <c r="D53" s="27" t="s">
        <v>26</v>
      </c>
      <c r="E53" s="21">
        <v>59</v>
      </c>
      <c r="F53" s="21">
        <v>19</v>
      </c>
      <c r="G53" s="21"/>
      <c r="H53" s="21">
        <v>2</v>
      </c>
      <c r="I53" s="21">
        <v>7</v>
      </c>
    </row>
    <row r="54" spans="1:9" ht="15" hidden="1" customHeight="1" outlineLevel="2">
      <c r="D54" s="3" t="s">
        <v>27</v>
      </c>
      <c r="E54" s="21">
        <v>29.5</v>
      </c>
      <c r="F54" s="21">
        <v>9.5</v>
      </c>
      <c r="G54" s="21"/>
      <c r="H54" s="21">
        <v>2</v>
      </c>
      <c r="I54" s="21">
        <v>2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0</v>
      </c>
      <c r="F80" s="151">
        <v>1</v>
      </c>
      <c r="G80" s="151" t="s">
        <v>95</v>
      </c>
      <c r="H80" s="152">
        <v>1</v>
      </c>
      <c r="I80" s="152">
        <v>2</v>
      </c>
      <c r="J80" s="160">
        <v>0</v>
      </c>
      <c r="K80" s="160">
        <v>0</v>
      </c>
      <c r="L80" s="160">
        <v>6.4574533928469606E+18</v>
      </c>
    </row>
    <row r="81" spans="4:12" ht="15" customHeight="1">
      <c r="D81" s="157" t="b">
        <v>0</v>
      </c>
      <c r="E81" s="151">
        <v>1</v>
      </c>
      <c r="F81" s="151">
        <v>2</v>
      </c>
      <c r="G81" s="151" t="s">
        <v>95</v>
      </c>
      <c r="H81" s="152">
        <v>1</v>
      </c>
      <c r="I81" s="152">
        <v>3</v>
      </c>
      <c r="J81" s="160">
        <v>1</v>
      </c>
      <c r="K81" s="160">
        <v>0</v>
      </c>
      <c r="L81" s="160">
        <v>2.5990946002795802E+18</v>
      </c>
    </row>
    <row r="82" spans="4:12" ht="15" customHeight="1">
      <c r="D82" s="158" t="b">
        <v>0</v>
      </c>
      <c r="E82" s="153">
        <v>2</v>
      </c>
      <c r="F82" s="151">
        <v>3</v>
      </c>
      <c r="G82" s="151" t="s">
        <v>95</v>
      </c>
      <c r="H82" s="152">
        <v>1</v>
      </c>
      <c r="I82" s="152">
        <v>3</v>
      </c>
      <c r="J82" s="160">
        <v>2</v>
      </c>
      <c r="K82" s="160">
        <v>0</v>
      </c>
      <c r="L82" s="160">
        <v>8.0914409693109576E+18</v>
      </c>
    </row>
    <row r="83" spans="4:12" ht="15" customHeight="1">
      <c r="D83" s="158" t="b">
        <v>0</v>
      </c>
      <c r="E83" s="153">
        <v>3</v>
      </c>
      <c r="F83" s="151">
        <v>4</v>
      </c>
      <c r="G83" s="151" t="s">
        <v>95</v>
      </c>
      <c r="H83" s="152">
        <v>1</v>
      </c>
      <c r="I83" s="152">
        <v>5</v>
      </c>
      <c r="J83" s="160">
        <v>3</v>
      </c>
      <c r="K83" s="160">
        <v>0</v>
      </c>
      <c r="L83" s="160">
        <v>1.0514444349679395E+19</v>
      </c>
    </row>
    <row r="84" spans="4:12" ht="15" customHeight="1">
      <c r="D84" s="158" t="b">
        <v>0</v>
      </c>
      <c r="E84" s="153">
        <v>4</v>
      </c>
      <c r="F84" s="151">
        <v>5</v>
      </c>
      <c r="G84" s="151" t="s">
        <v>95</v>
      </c>
      <c r="H84" s="152">
        <v>1</v>
      </c>
      <c r="I84" s="152">
        <v>4</v>
      </c>
      <c r="J84" s="160">
        <v>4</v>
      </c>
      <c r="K84" s="160">
        <v>0</v>
      </c>
      <c r="L84" s="160">
        <v>4.422957939838848E+18</v>
      </c>
    </row>
    <row r="85" spans="4:12" ht="15" customHeight="1">
      <c r="D85" s="158" t="b">
        <v>0</v>
      </c>
      <c r="E85" s="153">
        <v>5</v>
      </c>
      <c r="F85" s="151">
        <v>6</v>
      </c>
      <c r="G85" s="151" t="s">
        <v>95</v>
      </c>
      <c r="H85" s="152">
        <v>1</v>
      </c>
      <c r="I85" s="152">
        <v>5</v>
      </c>
      <c r="J85" s="160">
        <v>5</v>
      </c>
      <c r="K85" s="160">
        <v>0</v>
      </c>
      <c r="L85" s="160">
        <v>1.5034848021966442E+19</v>
      </c>
    </row>
    <row r="86" spans="4:12" ht="15" customHeight="1">
      <c r="D86" s="158" t="b">
        <v>0</v>
      </c>
      <c r="E86" s="153">
        <v>6</v>
      </c>
      <c r="F86" s="151">
        <v>7</v>
      </c>
      <c r="G86" s="151" t="s">
        <v>95</v>
      </c>
      <c r="H86" s="152">
        <v>1</v>
      </c>
      <c r="I86" s="152">
        <v>5</v>
      </c>
      <c r="J86" s="160">
        <v>6</v>
      </c>
      <c r="K86" s="160">
        <v>0</v>
      </c>
      <c r="L86" s="160">
        <v>6.2834809266147236E+18</v>
      </c>
    </row>
    <row r="87" spans="4:12" ht="15" customHeight="1">
      <c r="D87" s="158" t="b">
        <v>0</v>
      </c>
      <c r="E87" s="153">
        <v>7</v>
      </c>
      <c r="F87" s="151">
        <v>8</v>
      </c>
      <c r="G87" s="151" t="s">
        <v>95</v>
      </c>
      <c r="H87" s="152">
        <v>1</v>
      </c>
      <c r="I87" s="152">
        <v>5</v>
      </c>
      <c r="J87" s="160">
        <v>7</v>
      </c>
      <c r="K87" s="160">
        <v>0</v>
      </c>
      <c r="L87" s="160">
        <v>6.8323091510754355E+18</v>
      </c>
    </row>
    <row r="88" spans="4:12" ht="15" customHeight="1">
      <c r="D88" s="158" t="b">
        <v>0</v>
      </c>
      <c r="E88" s="153">
        <v>8</v>
      </c>
      <c r="F88" s="151">
        <v>9</v>
      </c>
      <c r="G88" s="151" t="s">
        <v>95</v>
      </c>
      <c r="H88" s="152">
        <v>1</v>
      </c>
      <c r="I88" s="152">
        <v>2</v>
      </c>
      <c r="J88" s="160">
        <v>8</v>
      </c>
      <c r="K88" s="160">
        <v>0</v>
      </c>
      <c r="L88" s="160">
        <v>1.3176130448454101E+19</v>
      </c>
    </row>
    <row r="89" spans="4:12" ht="15" customHeight="1">
      <c r="D89" s="158" t="b">
        <v>0</v>
      </c>
      <c r="E89" s="153">
        <v>9</v>
      </c>
      <c r="F89" s="151">
        <v>10</v>
      </c>
      <c r="G89" s="151" t="s">
        <v>95</v>
      </c>
      <c r="H89" s="152">
        <v>1</v>
      </c>
      <c r="I89" s="152">
        <v>6</v>
      </c>
      <c r="J89" s="160">
        <v>9</v>
      </c>
      <c r="K89" s="160">
        <v>0</v>
      </c>
      <c r="L89" s="160">
        <v>5.0716951205903187E+17</v>
      </c>
    </row>
    <row r="90" spans="4:12" ht="15" customHeight="1">
      <c r="D90" s="158" t="b">
        <v>0</v>
      </c>
      <c r="E90" s="153">
        <v>10</v>
      </c>
      <c r="F90" s="151">
        <v>11</v>
      </c>
      <c r="G90" s="151" t="s">
        <v>96</v>
      </c>
      <c r="H90" s="152">
        <v>1</v>
      </c>
      <c r="I90" s="152">
        <v>6</v>
      </c>
      <c r="J90" s="160">
        <v>10</v>
      </c>
      <c r="K90" s="160">
        <v>0</v>
      </c>
      <c r="L90" s="160">
        <v>1.0868605597970043E+19</v>
      </c>
    </row>
    <row r="91" spans="4:12" ht="15" customHeight="1">
      <c r="D91" s="158" t="b">
        <v>0</v>
      </c>
      <c r="E91" s="153">
        <v>11</v>
      </c>
      <c r="F91" s="151">
        <v>12</v>
      </c>
      <c r="G91" s="151" t="s">
        <v>96</v>
      </c>
      <c r="H91" s="152">
        <v>1</v>
      </c>
      <c r="I91" s="152">
        <v>8</v>
      </c>
      <c r="J91" s="160">
        <v>11</v>
      </c>
      <c r="K91" s="160">
        <v>0</v>
      </c>
      <c r="L91" s="160">
        <v>1.2624076349888774E+19</v>
      </c>
    </row>
    <row r="92" spans="4:12" ht="15" customHeight="1">
      <c r="D92" s="158" t="b">
        <v>0</v>
      </c>
      <c r="E92" s="153">
        <v>12</v>
      </c>
      <c r="F92" s="151">
        <v>13</v>
      </c>
      <c r="G92" s="151" t="s">
        <v>96</v>
      </c>
      <c r="H92" s="152">
        <v>1</v>
      </c>
      <c r="I92" s="152">
        <v>6</v>
      </c>
      <c r="J92" s="160">
        <v>12</v>
      </c>
      <c r="K92" s="160">
        <v>0</v>
      </c>
      <c r="L92" s="160">
        <v>9.7514599181414072E+18</v>
      </c>
    </row>
    <row r="93" spans="4:12" ht="15" customHeight="1">
      <c r="D93" s="158" t="b">
        <v>0</v>
      </c>
      <c r="E93" s="153">
        <v>13</v>
      </c>
      <c r="F93" s="151">
        <v>14</v>
      </c>
      <c r="G93" s="151" t="s">
        <v>96</v>
      </c>
      <c r="H93" s="152">
        <v>1</v>
      </c>
      <c r="I93" s="152">
        <v>8</v>
      </c>
      <c r="J93" s="160">
        <v>13</v>
      </c>
      <c r="K93" s="160">
        <v>0</v>
      </c>
      <c r="L93" s="160">
        <v>4.7622122821286851E+18</v>
      </c>
    </row>
    <row r="94" spans="4:12" ht="15" customHeight="1">
      <c r="D94" s="158" t="b">
        <v>0</v>
      </c>
      <c r="E94" s="153">
        <v>14</v>
      </c>
      <c r="F94" s="151">
        <v>15</v>
      </c>
      <c r="G94" s="151" t="s">
        <v>96</v>
      </c>
      <c r="H94" s="152">
        <v>1</v>
      </c>
      <c r="I94" s="152">
        <v>8</v>
      </c>
      <c r="J94" s="160">
        <v>14</v>
      </c>
      <c r="K94" s="160">
        <v>0</v>
      </c>
      <c r="L94" s="160">
        <v>1.5771783587052943E+19</v>
      </c>
    </row>
    <row r="95" spans="4:12" ht="15" customHeight="1">
      <c r="D95" s="158" t="b">
        <v>0</v>
      </c>
      <c r="E95" s="153">
        <v>15</v>
      </c>
      <c r="F95" s="151">
        <v>16</v>
      </c>
      <c r="G95" s="151" t="s">
        <v>96</v>
      </c>
      <c r="H95" s="152">
        <v>1</v>
      </c>
      <c r="I95" s="152">
        <v>6</v>
      </c>
      <c r="J95" s="160">
        <v>15</v>
      </c>
      <c r="K95" s="160">
        <v>0</v>
      </c>
      <c r="L95" s="160">
        <v>1.4997455810444319E+19</v>
      </c>
    </row>
    <row r="96" spans="4:12" ht="15" customHeight="1">
      <c r="D96" s="158" t="b">
        <v>0</v>
      </c>
      <c r="E96" s="153">
        <v>16</v>
      </c>
      <c r="F96" s="151">
        <v>17</v>
      </c>
      <c r="G96" s="151" t="s">
        <v>96</v>
      </c>
      <c r="H96" s="152">
        <v>1</v>
      </c>
      <c r="I96" s="152">
        <v>7</v>
      </c>
      <c r="J96" s="160">
        <v>16</v>
      </c>
      <c r="K96" s="160">
        <v>0</v>
      </c>
      <c r="L96" s="160">
        <v>6.979888154999042E+18</v>
      </c>
    </row>
    <row r="97" spans="4:12" ht="15" customHeight="1">
      <c r="D97" s="158" t="b">
        <v>0</v>
      </c>
      <c r="E97" s="153">
        <v>17</v>
      </c>
      <c r="F97" s="151">
        <v>18</v>
      </c>
      <c r="G97" s="151" t="s">
        <v>96</v>
      </c>
      <c r="H97" s="152">
        <v>1</v>
      </c>
      <c r="I97" s="152">
        <v>7</v>
      </c>
      <c r="J97" s="160">
        <v>17</v>
      </c>
      <c r="K97" s="160">
        <v>0</v>
      </c>
      <c r="L97" s="160">
        <v>1.0366219637450232E+19</v>
      </c>
    </row>
    <row r="98" spans="4:12" ht="15" customHeight="1">
      <c r="D98" s="158" t="b">
        <v>0</v>
      </c>
      <c r="E98" s="153">
        <v>18</v>
      </c>
      <c r="F98" s="151">
        <v>19</v>
      </c>
      <c r="G98" s="151" t="s">
        <v>96</v>
      </c>
      <c r="H98" s="152">
        <v>1</v>
      </c>
      <c r="I98" s="152">
        <v>5</v>
      </c>
      <c r="J98" s="160">
        <v>18</v>
      </c>
      <c r="K98" s="160">
        <v>0</v>
      </c>
      <c r="L98" s="160">
        <v>7.8312139266412196E+18</v>
      </c>
    </row>
    <row r="99" spans="4:12" ht="15" customHeight="1">
      <c r="D99" s="158" t="b">
        <v>0</v>
      </c>
      <c r="E99" s="153">
        <v>19</v>
      </c>
      <c r="F99" s="151">
        <v>20</v>
      </c>
      <c r="G99" s="151" t="s">
        <v>96</v>
      </c>
      <c r="H99" s="152">
        <v>1</v>
      </c>
      <c r="I99" s="152">
        <v>6</v>
      </c>
      <c r="J99" s="160">
        <v>19</v>
      </c>
      <c r="K99" s="160">
        <v>0</v>
      </c>
      <c r="L99" s="160">
        <v>1.1289015025437194E+19</v>
      </c>
    </row>
    <row r="100" spans="4:12" ht="15" customHeight="1">
      <c r="D100" s="158" t="b">
        <v>0</v>
      </c>
      <c r="E100" s="153">
        <v>20</v>
      </c>
      <c r="F100" s="151">
        <v>1</v>
      </c>
      <c r="G100" s="151" t="s">
        <v>95</v>
      </c>
      <c r="H100" s="152">
        <v>2</v>
      </c>
      <c r="I100" s="152">
        <v>4</v>
      </c>
      <c r="J100" s="160">
        <v>20</v>
      </c>
      <c r="K100" s="160">
        <v>0</v>
      </c>
      <c r="L100" s="160">
        <v>5.0277255142544712E+18</v>
      </c>
    </row>
    <row r="101" spans="4:12" ht="15" customHeight="1">
      <c r="D101" s="158" t="b">
        <v>0</v>
      </c>
      <c r="E101" s="153">
        <v>21</v>
      </c>
      <c r="F101" s="151">
        <v>2</v>
      </c>
      <c r="G101" s="151" t="s">
        <v>95</v>
      </c>
      <c r="H101" s="152">
        <v>2</v>
      </c>
      <c r="I101" s="152">
        <v>4</v>
      </c>
      <c r="J101" s="160">
        <v>21</v>
      </c>
      <c r="K101" s="160">
        <v>0</v>
      </c>
      <c r="L101" s="160">
        <v>1.6237163381613861E+19</v>
      </c>
    </row>
    <row r="102" spans="4:12" ht="15" customHeight="1">
      <c r="D102" s="158" t="b">
        <v>0</v>
      </c>
      <c r="E102" s="153">
        <v>22</v>
      </c>
      <c r="F102" s="151">
        <v>3</v>
      </c>
      <c r="G102" s="151" t="s">
        <v>95</v>
      </c>
      <c r="H102" s="152">
        <v>2</v>
      </c>
      <c r="I102" s="152">
        <v>5</v>
      </c>
      <c r="J102" s="160">
        <v>22</v>
      </c>
      <c r="K102" s="160">
        <v>0</v>
      </c>
      <c r="L102" s="160">
        <v>4.9065122822121943E+18</v>
      </c>
    </row>
    <row r="103" spans="4:12" ht="15" customHeight="1">
      <c r="D103" s="158" t="b">
        <v>0</v>
      </c>
      <c r="E103" s="153">
        <v>23</v>
      </c>
      <c r="F103" s="151">
        <v>4</v>
      </c>
      <c r="G103" s="151" t="s">
        <v>95</v>
      </c>
      <c r="H103" s="152">
        <v>2</v>
      </c>
      <c r="I103" s="152">
        <v>7</v>
      </c>
      <c r="J103" s="160">
        <v>23</v>
      </c>
      <c r="K103" s="160">
        <v>0</v>
      </c>
      <c r="L103" s="160">
        <v>1.02528925901638E+19</v>
      </c>
    </row>
    <row r="104" spans="4:12" ht="15" customHeight="1">
      <c r="D104" s="158" t="b">
        <v>0</v>
      </c>
      <c r="E104" s="153">
        <v>24</v>
      </c>
      <c r="F104" s="151">
        <v>5</v>
      </c>
      <c r="G104" s="151" t="s">
        <v>95</v>
      </c>
      <c r="H104" s="152">
        <v>2</v>
      </c>
      <c r="I104" s="152">
        <v>5</v>
      </c>
      <c r="J104" s="160">
        <v>24</v>
      </c>
      <c r="K104" s="160">
        <v>0</v>
      </c>
      <c r="L104" s="160">
        <v>1.1372757816479554E+19</v>
      </c>
    </row>
    <row r="105" spans="4:12" ht="15" customHeight="1">
      <c r="D105" s="158" t="b">
        <v>0</v>
      </c>
      <c r="E105" s="153">
        <v>25</v>
      </c>
      <c r="F105" s="151">
        <v>6</v>
      </c>
      <c r="G105" s="151" t="s">
        <v>95</v>
      </c>
      <c r="H105" s="152">
        <v>2</v>
      </c>
      <c r="I105" s="152">
        <v>5</v>
      </c>
      <c r="J105" s="160">
        <v>25</v>
      </c>
      <c r="K105" s="160">
        <v>0</v>
      </c>
      <c r="L105" s="160">
        <v>8.8431010884506962E+18</v>
      </c>
    </row>
    <row r="106" spans="4:12" ht="15" customHeight="1">
      <c r="D106" s="158" t="b">
        <v>0</v>
      </c>
      <c r="E106" s="153">
        <v>26</v>
      </c>
      <c r="F106" s="151">
        <v>7</v>
      </c>
      <c r="G106" s="151" t="s">
        <v>95</v>
      </c>
      <c r="H106" s="152">
        <v>2</v>
      </c>
      <c r="I106" s="152">
        <v>4.5</v>
      </c>
      <c r="J106" s="160">
        <v>26</v>
      </c>
      <c r="K106" s="160">
        <v>0</v>
      </c>
      <c r="L106" s="160">
        <v>1.4562216221735432E+19</v>
      </c>
    </row>
    <row r="107" spans="4:12" ht="15" customHeight="1">
      <c r="D107" s="158" t="b">
        <v>0</v>
      </c>
      <c r="E107" s="153">
        <v>27</v>
      </c>
      <c r="F107" s="151">
        <v>8</v>
      </c>
      <c r="G107" s="151" t="s">
        <v>95</v>
      </c>
      <c r="H107" s="152">
        <v>2</v>
      </c>
      <c r="I107" s="152">
        <v>7</v>
      </c>
      <c r="J107" s="160">
        <v>27</v>
      </c>
      <c r="K107" s="160">
        <v>0</v>
      </c>
      <c r="L107" s="160">
        <v>1.0731592295676256E+19</v>
      </c>
    </row>
    <row r="108" spans="4:12" ht="15" customHeight="1">
      <c r="D108" s="158" t="b">
        <v>0</v>
      </c>
      <c r="E108" s="153">
        <v>28</v>
      </c>
      <c r="F108" s="151">
        <v>9</v>
      </c>
      <c r="G108" s="151" t="s">
        <v>95</v>
      </c>
      <c r="H108" s="152">
        <v>2</v>
      </c>
      <c r="I108" s="152">
        <v>3</v>
      </c>
      <c r="J108" s="160">
        <v>28</v>
      </c>
      <c r="K108" s="160">
        <v>0</v>
      </c>
      <c r="L108" s="160">
        <v>1.6993868498685639E+19</v>
      </c>
    </row>
    <row r="109" spans="4:12" ht="15" customHeight="1">
      <c r="D109" s="158" t="b">
        <v>0</v>
      </c>
      <c r="E109" s="153">
        <v>29</v>
      </c>
      <c r="F109" s="151">
        <v>10</v>
      </c>
      <c r="G109" s="151" t="s">
        <v>95</v>
      </c>
      <c r="H109" s="152">
        <v>2</v>
      </c>
      <c r="I109" s="152">
        <v>5</v>
      </c>
      <c r="J109" s="160">
        <v>29</v>
      </c>
      <c r="K109" s="160">
        <v>0</v>
      </c>
      <c r="L109" s="160">
        <v>6.9305386164244859E+18</v>
      </c>
    </row>
    <row r="110" spans="4:12" ht="15" customHeight="1">
      <c r="D110" s="158" t="b">
        <v>0</v>
      </c>
      <c r="E110" s="153">
        <v>30</v>
      </c>
      <c r="F110" s="151">
        <v>11</v>
      </c>
      <c r="G110" s="151" t="s">
        <v>96</v>
      </c>
      <c r="H110" s="152">
        <v>2</v>
      </c>
      <c r="I110" s="152">
        <v>5</v>
      </c>
      <c r="J110" s="160">
        <v>30</v>
      </c>
      <c r="K110" s="160">
        <v>0</v>
      </c>
      <c r="L110" s="160">
        <v>6.0980770774717829E+18</v>
      </c>
    </row>
    <row r="111" spans="4:12" ht="15" customHeight="1">
      <c r="D111" s="158" t="b">
        <v>0</v>
      </c>
      <c r="E111" s="153">
        <v>31</v>
      </c>
      <c r="F111" s="151">
        <v>12</v>
      </c>
      <c r="G111" s="151" t="s">
        <v>96</v>
      </c>
      <c r="H111" s="152">
        <v>2</v>
      </c>
      <c r="I111" s="152">
        <v>9</v>
      </c>
      <c r="J111" s="160">
        <v>31</v>
      </c>
      <c r="K111" s="160">
        <v>0</v>
      </c>
      <c r="L111" s="160">
        <v>1.577611069617911E+19</v>
      </c>
    </row>
    <row r="112" spans="4:12" ht="15" customHeight="1">
      <c r="D112" s="158" t="b">
        <v>0</v>
      </c>
      <c r="E112" s="153">
        <v>32</v>
      </c>
      <c r="F112" s="151">
        <v>13</v>
      </c>
      <c r="G112" s="151" t="s">
        <v>96</v>
      </c>
      <c r="H112" s="152">
        <v>2</v>
      </c>
      <c r="I112" s="152">
        <v>5</v>
      </c>
      <c r="J112" s="160">
        <v>32</v>
      </c>
      <c r="K112" s="160">
        <v>0</v>
      </c>
      <c r="L112" s="160">
        <v>1.4384088275227949E+19</v>
      </c>
    </row>
    <row r="113" spans="4:12" ht="15" customHeight="1">
      <c r="D113" s="158" t="b">
        <v>0</v>
      </c>
      <c r="E113" s="153">
        <v>33</v>
      </c>
      <c r="F113" s="151">
        <v>14</v>
      </c>
      <c r="G113" s="151" t="s">
        <v>96</v>
      </c>
      <c r="H113" s="152">
        <v>2</v>
      </c>
      <c r="I113" s="152">
        <v>8</v>
      </c>
      <c r="J113" s="160">
        <v>33</v>
      </c>
      <c r="K113" s="160">
        <v>0</v>
      </c>
      <c r="L113" s="160">
        <v>7.1850419446047398E+17</v>
      </c>
    </row>
    <row r="114" spans="4:12" ht="15" customHeight="1">
      <c r="D114" s="158" t="b">
        <v>0</v>
      </c>
      <c r="E114" s="153">
        <v>34</v>
      </c>
      <c r="F114" s="151">
        <v>15</v>
      </c>
      <c r="G114" s="151" t="s">
        <v>96</v>
      </c>
      <c r="H114" s="152">
        <v>2</v>
      </c>
      <c r="I114" s="152">
        <v>8</v>
      </c>
      <c r="J114" s="160">
        <v>34</v>
      </c>
      <c r="K114" s="160">
        <v>0</v>
      </c>
      <c r="L114" s="160">
        <v>7.8834855461149082E+18</v>
      </c>
    </row>
    <row r="115" spans="4:12" ht="15" customHeight="1">
      <c r="D115" s="158" t="b">
        <v>0</v>
      </c>
      <c r="E115" s="153">
        <v>35</v>
      </c>
      <c r="F115" s="151">
        <v>16</v>
      </c>
      <c r="G115" s="151" t="s">
        <v>96</v>
      </c>
      <c r="H115" s="152">
        <v>2</v>
      </c>
      <c r="I115" s="152">
        <v>8</v>
      </c>
      <c r="J115" s="160">
        <v>35</v>
      </c>
      <c r="K115" s="160">
        <v>0</v>
      </c>
      <c r="L115" s="160">
        <v>1.1982093373640934E+18</v>
      </c>
    </row>
    <row r="116" spans="4:12" ht="15" customHeight="1">
      <c r="D116" s="158" t="b">
        <v>0</v>
      </c>
      <c r="E116" s="153">
        <v>36</v>
      </c>
      <c r="F116" s="151">
        <v>17</v>
      </c>
      <c r="G116" s="151" t="s">
        <v>96</v>
      </c>
      <c r="H116" s="152">
        <v>2</v>
      </c>
      <c r="I116" s="152">
        <v>7</v>
      </c>
      <c r="J116" s="160">
        <v>36</v>
      </c>
      <c r="K116" s="160">
        <v>0</v>
      </c>
      <c r="L116" s="160">
        <v>5.7886015827118807E+18</v>
      </c>
    </row>
    <row r="117" spans="4:12" ht="15" customHeight="1">
      <c r="D117" s="158" t="b">
        <v>0</v>
      </c>
      <c r="E117" s="153">
        <v>37</v>
      </c>
      <c r="F117" s="151">
        <v>18</v>
      </c>
      <c r="G117" s="151" t="s">
        <v>96</v>
      </c>
      <c r="H117" s="152">
        <v>2</v>
      </c>
      <c r="I117" s="152">
        <v>8</v>
      </c>
      <c r="J117" s="160">
        <v>37</v>
      </c>
      <c r="K117" s="160">
        <v>0</v>
      </c>
      <c r="L117" s="160">
        <v>5.3463419602609316E+18</v>
      </c>
    </row>
    <row r="118" spans="4:12" ht="15" customHeight="1">
      <c r="D118" s="158" t="b">
        <v>0</v>
      </c>
      <c r="E118" s="153">
        <v>38</v>
      </c>
      <c r="F118" s="151">
        <v>19</v>
      </c>
      <c r="G118" s="151" t="s">
        <v>96</v>
      </c>
      <c r="H118" s="152">
        <v>2</v>
      </c>
      <c r="I118" s="152">
        <v>6</v>
      </c>
      <c r="J118" s="160">
        <v>38</v>
      </c>
      <c r="K118" s="160">
        <v>0</v>
      </c>
      <c r="L118" s="160">
        <v>1.1062483968308691E+19</v>
      </c>
    </row>
    <row r="119" spans="4:12" ht="15" customHeight="1">
      <c r="D119" s="158" t="b">
        <v>0</v>
      </c>
      <c r="E119" s="153">
        <v>39</v>
      </c>
      <c r="F119" s="151">
        <v>20</v>
      </c>
      <c r="G119" s="151" t="s">
        <v>96</v>
      </c>
      <c r="H119" s="152">
        <v>2</v>
      </c>
      <c r="I119" s="152">
        <v>6</v>
      </c>
      <c r="J119" s="160">
        <v>39</v>
      </c>
      <c r="K119" s="160">
        <v>0</v>
      </c>
      <c r="L119" s="160">
        <v>1.5655786404813789E+19</v>
      </c>
    </row>
    <row r="120" spans="4:12" ht="15" customHeight="1">
      <c r="D120" s="158" t="b">
        <v>0</v>
      </c>
      <c r="E120" s="153">
        <v>40</v>
      </c>
      <c r="F120" s="151">
        <v>1</v>
      </c>
      <c r="G120" s="151" t="s">
        <v>95</v>
      </c>
      <c r="H120" s="152">
        <v>3</v>
      </c>
      <c r="I120" s="152">
        <v>7</v>
      </c>
      <c r="J120" s="160">
        <v>40</v>
      </c>
      <c r="K120" s="160">
        <v>0</v>
      </c>
      <c r="L120" s="160">
        <v>1.2924760724657525E+19</v>
      </c>
    </row>
    <row r="121" spans="4:12" ht="15" customHeight="1">
      <c r="D121" s="158" t="b">
        <v>0</v>
      </c>
      <c r="E121" s="153">
        <v>41</v>
      </c>
      <c r="F121" s="151">
        <v>2</v>
      </c>
      <c r="G121" s="151" t="s">
        <v>95</v>
      </c>
      <c r="H121" s="152">
        <v>3</v>
      </c>
      <c r="I121" s="152">
        <v>5</v>
      </c>
      <c r="J121" s="160">
        <v>41</v>
      </c>
      <c r="K121" s="160">
        <v>0</v>
      </c>
      <c r="L121" s="160">
        <v>1.5888440451188287E+19</v>
      </c>
    </row>
    <row r="122" spans="4:12" ht="15" customHeight="1">
      <c r="D122" s="158" t="b">
        <v>0</v>
      </c>
      <c r="E122" s="153">
        <v>42</v>
      </c>
      <c r="F122" s="151">
        <v>3</v>
      </c>
      <c r="G122" s="151" t="s">
        <v>95</v>
      </c>
      <c r="H122" s="152">
        <v>3</v>
      </c>
      <c r="I122" s="152">
        <v>6</v>
      </c>
      <c r="J122" s="160">
        <v>42</v>
      </c>
      <c r="K122" s="160">
        <v>0</v>
      </c>
      <c r="L122" s="160">
        <v>1.573285008968318E+19</v>
      </c>
    </row>
    <row r="123" spans="4:12" ht="15" customHeight="1">
      <c r="D123" s="158" t="b">
        <v>0</v>
      </c>
      <c r="E123" s="153">
        <v>43</v>
      </c>
      <c r="F123" s="151">
        <v>4</v>
      </c>
      <c r="G123" s="151" t="s">
        <v>95</v>
      </c>
      <c r="H123" s="152">
        <v>3</v>
      </c>
      <c r="I123" s="152">
        <v>5</v>
      </c>
      <c r="J123" s="160">
        <v>43</v>
      </c>
      <c r="K123" s="160">
        <v>0</v>
      </c>
      <c r="L123" s="160">
        <v>3.4521232630528727E+18</v>
      </c>
    </row>
    <row r="124" spans="4:12" ht="15" customHeight="1">
      <c r="D124" s="158" t="b">
        <v>0</v>
      </c>
      <c r="E124" s="153">
        <v>44</v>
      </c>
      <c r="F124" s="151">
        <v>5</v>
      </c>
      <c r="G124" s="151" t="s">
        <v>95</v>
      </c>
      <c r="H124" s="152">
        <v>3</v>
      </c>
      <c r="I124" s="152">
        <v>8</v>
      </c>
      <c r="J124" s="160">
        <v>44</v>
      </c>
      <c r="K124" s="160">
        <v>0</v>
      </c>
      <c r="L124" s="160">
        <v>1.7055007727495338E+19</v>
      </c>
    </row>
    <row r="125" spans="4:12" ht="15" customHeight="1">
      <c r="D125" s="158" t="b">
        <v>0</v>
      </c>
      <c r="E125" s="153">
        <v>45</v>
      </c>
      <c r="F125" s="151">
        <v>6</v>
      </c>
      <c r="G125" s="151" t="s">
        <v>95</v>
      </c>
      <c r="H125" s="152">
        <v>3</v>
      </c>
      <c r="I125" s="152">
        <v>6</v>
      </c>
      <c r="J125" s="160">
        <v>45</v>
      </c>
      <c r="K125" s="160">
        <v>0</v>
      </c>
      <c r="L125" s="160">
        <v>3.4344431844385674E+18</v>
      </c>
    </row>
    <row r="126" spans="4:12" ht="15" customHeight="1">
      <c r="D126" s="158" t="b">
        <v>0</v>
      </c>
      <c r="E126" s="153">
        <v>46</v>
      </c>
      <c r="F126" s="151">
        <v>7</v>
      </c>
      <c r="G126" s="151" t="s">
        <v>95</v>
      </c>
      <c r="H126" s="152">
        <v>3</v>
      </c>
      <c r="I126" s="152">
        <v>6</v>
      </c>
      <c r="J126" s="160">
        <v>46</v>
      </c>
      <c r="K126" s="160">
        <v>0</v>
      </c>
      <c r="L126" s="160">
        <v>2.7160096377432202E+18</v>
      </c>
    </row>
    <row r="127" spans="4:12" ht="15" customHeight="1">
      <c r="D127" s="158" t="b">
        <v>0</v>
      </c>
      <c r="E127" s="153">
        <v>47</v>
      </c>
      <c r="F127" s="151">
        <v>8</v>
      </c>
      <c r="G127" s="151" t="s">
        <v>95</v>
      </c>
      <c r="H127" s="152">
        <v>3</v>
      </c>
      <c r="I127" s="152">
        <v>8</v>
      </c>
      <c r="J127" s="160">
        <v>47</v>
      </c>
      <c r="K127" s="160">
        <v>0</v>
      </c>
      <c r="L127" s="160">
        <v>1.0557631974468135E+19</v>
      </c>
    </row>
    <row r="128" spans="4:12" ht="15" customHeight="1">
      <c r="D128" s="158" t="b">
        <v>0</v>
      </c>
      <c r="E128" s="153">
        <v>48</v>
      </c>
      <c r="F128" s="151">
        <v>9</v>
      </c>
      <c r="G128" s="151" t="s">
        <v>95</v>
      </c>
      <c r="H128" s="152">
        <v>3</v>
      </c>
      <c r="I128" s="152">
        <v>7</v>
      </c>
      <c r="J128" s="160">
        <v>48</v>
      </c>
      <c r="K128" s="160">
        <v>0</v>
      </c>
      <c r="L128" s="160">
        <v>3.9299830872627267E+18</v>
      </c>
    </row>
    <row r="129" spans="4:12" ht="15" customHeight="1">
      <c r="D129" s="158" t="b">
        <v>0</v>
      </c>
      <c r="E129" s="153">
        <v>49</v>
      </c>
      <c r="F129" s="151">
        <v>10</v>
      </c>
      <c r="G129" s="151" t="s">
        <v>95</v>
      </c>
      <c r="H129" s="152">
        <v>3</v>
      </c>
      <c r="I129" s="152">
        <v>6</v>
      </c>
      <c r="J129" s="160">
        <v>49</v>
      </c>
      <c r="K129" s="160">
        <v>0</v>
      </c>
      <c r="L129" s="160">
        <v>3.3582240764467103E+18</v>
      </c>
    </row>
    <row r="130" spans="4:12" ht="15" customHeight="1">
      <c r="D130" s="158" t="b">
        <v>0</v>
      </c>
      <c r="E130" s="153">
        <v>50</v>
      </c>
      <c r="F130" s="151">
        <v>11</v>
      </c>
      <c r="G130" s="151" t="s">
        <v>96</v>
      </c>
      <c r="H130" s="152">
        <v>3</v>
      </c>
      <c r="I130" s="152">
        <v>6</v>
      </c>
      <c r="J130" s="160">
        <v>50</v>
      </c>
      <c r="K130" s="160">
        <v>0</v>
      </c>
      <c r="L130" s="160">
        <v>8.429227019261143E+18</v>
      </c>
    </row>
    <row r="131" spans="4:12" ht="15" customHeight="1">
      <c r="D131" s="158" t="b">
        <v>0</v>
      </c>
      <c r="E131" s="153">
        <v>51</v>
      </c>
      <c r="F131" s="151">
        <v>12</v>
      </c>
      <c r="G131" s="151" t="s">
        <v>96</v>
      </c>
      <c r="H131" s="152">
        <v>3</v>
      </c>
      <c r="I131" s="152">
        <v>8</v>
      </c>
      <c r="J131" s="160">
        <v>51</v>
      </c>
      <c r="K131" s="160">
        <v>0</v>
      </c>
      <c r="L131" s="160">
        <v>8.1271742869883013E+18</v>
      </c>
    </row>
    <row r="132" spans="4:12" ht="15" customHeight="1">
      <c r="D132" s="158" t="b">
        <v>0</v>
      </c>
      <c r="E132" s="153">
        <v>52</v>
      </c>
      <c r="F132" s="151">
        <v>13</v>
      </c>
      <c r="G132" s="151" t="s">
        <v>96</v>
      </c>
      <c r="H132" s="152">
        <v>3</v>
      </c>
      <c r="I132" s="152">
        <v>9</v>
      </c>
      <c r="J132" s="160">
        <v>52</v>
      </c>
      <c r="K132" s="160">
        <v>0</v>
      </c>
      <c r="L132" s="160">
        <v>1.4170503894100017E+19</v>
      </c>
    </row>
    <row r="133" spans="4:12" ht="15" customHeight="1">
      <c r="D133" s="158" t="b">
        <v>0</v>
      </c>
      <c r="E133" s="153">
        <v>53</v>
      </c>
      <c r="F133" s="151">
        <v>14</v>
      </c>
      <c r="G133" s="151" t="s">
        <v>96</v>
      </c>
      <c r="H133" s="152">
        <v>3</v>
      </c>
      <c r="I133" s="152">
        <v>7</v>
      </c>
      <c r="J133" s="160">
        <v>53</v>
      </c>
      <c r="K133" s="160">
        <v>0</v>
      </c>
      <c r="L133" s="160">
        <v>1.1828203545793874E+19</v>
      </c>
    </row>
    <row r="134" spans="4:12" ht="15" customHeight="1">
      <c r="D134" s="158" t="b">
        <v>0</v>
      </c>
      <c r="E134" s="153">
        <v>54</v>
      </c>
      <c r="F134" s="151">
        <v>15</v>
      </c>
      <c r="G134" s="151" t="s">
        <v>96</v>
      </c>
      <c r="H134" s="152">
        <v>3</v>
      </c>
      <c r="I134" s="152">
        <v>7</v>
      </c>
      <c r="J134" s="160">
        <v>54</v>
      </c>
      <c r="K134" s="160">
        <v>0</v>
      </c>
      <c r="L134" s="160">
        <v>1.6171024712272615E+19</v>
      </c>
    </row>
    <row r="135" spans="4:12" ht="15" customHeight="1">
      <c r="D135" s="158" t="b">
        <v>0</v>
      </c>
      <c r="E135" s="153">
        <v>55</v>
      </c>
      <c r="F135" s="151">
        <v>16</v>
      </c>
      <c r="G135" s="151" t="s">
        <v>96</v>
      </c>
      <c r="H135" s="152">
        <v>3</v>
      </c>
      <c r="I135" s="152">
        <v>7</v>
      </c>
      <c r="J135" s="160">
        <v>55</v>
      </c>
      <c r="K135" s="160">
        <v>0</v>
      </c>
      <c r="L135" s="160">
        <v>1.0287028351868174E+19</v>
      </c>
    </row>
    <row r="136" spans="4:12" ht="15" customHeight="1">
      <c r="D136" s="158" t="b">
        <v>0</v>
      </c>
      <c r="E136" s="153">
        <v>56</v>
      </c>
      <c r="F136" s="151">
        <v>17</v>
      </c>
      <c r="G136" s="151" t="s">
        <v>96</v>
      </c>
      <c r="H136" s="152">
        <v>3</v>
      </c>
      <c r="I136" s="152">
        <v>6</v>
      </c>
      <c r="J136" s="160">
        <v>56</v>
      </c>
      <c r="K136" s="160">
        <v>0</v>
      </c>
      <c r="L136" s="160">
        <v>9.957775407236471E+17</v>
      </c>
    </row>
    <row r="137" spans="4:12" ht="15" customHeight="1">
      <c r="D137" s="158" t="b">
        <v>0</v>
      </c>
      <c r="E137" s="153">
        <v>57</v>
      </c>
      <c r="F137" s="151">
        <v>18</v>
      </c>
      <c r="G137" s="151" t="s">
        <v>96</v>
      </c>
      <c r="H137" s="152">
        <v>3</v>
      </c>
      <c r="I137" s="152">
        <v>6</v>
      </c>
      <c r="J137" s="160">
        <v>57</v>
      </c>
      <c r="K137" s="160">
        <v>0</v>
      </c>
      <c r="L137" s="160">
        <v>1.0235404904753902E+18</v>
      </c>
    </row>
    <row r="138" spans="4:12" ht="15" customHeight="1">
      <c r="D138" s="158" t="b">
        <v>0</v>
      </c>
      <c r="E138" s="153">
        <v>58</v>
      </c>
      <c r="F138" s="151">
        <v>19</v>
      </c>
      <c r="G138" s="151" t="s">
        <v>96</v>
      </c>
      <c r="H138" s="152">
        <v>3</v>
      </c>
      <c r="I138" s="152">
        <v>6</v>
      </c>
      <c r="J138" s="160">
        <v>58</v>
      </c>
      <c r="K138" s="160">
        <v>0</v>
      </c>
      <c r="L138" s="160">
        <v>1.1465180550904411E+18</v>
      </c>
    </row>
    <row r="139" spans="4:12" ht="15" customHeight="1">
      <c r="D139" s="159" t="b">
        <v>0</v>
      </c>
      <c r="E139" s="154">
        <v>59</v>
      </c>
      <c r="F139" s="155">
        <v>20</v>
      </c>
      <c r="G139" s="155" t="s">
        <v>96</v>
      </c>
      <c r="H139" s="152">
        <v>3</v>
      </c>
      <c r="I139" s="152">
        <v>5</v>
      </c>
      <c r="J139" s="160">
        <v>59</v>
      </c>
      <c r="K139" s="160">
        <v>0</v>
      </c>
      <c r="L139" s="160">
        <v>4.7788773133190533E+18</v>
      </c>
    </row>
  </sheetData>
  <mergeCells count="1">
    <mergeCell ref="E7:F7"/>
  </mergeCells>
  <phoneticPr fontId="34" type="noConversion"/>
  <conditionalFormatting sqref="E23:G30 E36:G40 E46:G54">
    <cfRule type="cellIs" dxfId="155" priority="22" operator="equal">
      <formula>0</formula>
    </cfRule>
  </conditionalFormatting>
  <conditionalFormatting sqref="D80:D139">
    <cfRule type="cellIs" dxfId="154" priority="21" operator="notEqual">
      <formula>FALSE</formula>
    </cfRule>
  </conditionalFormatting>
  <conditionalFormatting sqref="E17:I17">
    <cfRule type="cellIs" dxfId="15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2" priority="16"/>
  </conditionalFormatting>
  <conditionalFormatting sqref="E15:I15">
    <cfRule type="cellIs" dxfId="151" priority="14" operator="notEqual">
      <formula>"Definition"</formula>
    </cfRule>
  </conditionalFormatting>
  <conditionalFormatting sqref="E7">
    <cfRule type="cellIs" dxfId="150" priority="13" operator="notEqual">
      <formula>"Dataset Description"</formula>
    </cfRule>
  </conditionalFormatting>
  <conditionalFormatting sqref="E58:G65">
    <cfRule type="cellIs" dxfId="14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105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10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IF(INDEX('Attention | Field Analysis'!Definitions,1,MATCH(tbl_Overview[[#This Row],[Field]],'Attention | Field Analysis'!Headers,0))="Definition","",INDEX('Attention | Field Analysis'!Definitions,1,MATCH(tbl_Overview[[#This Row],[Field]],'Attention | Field Analysis'!Headers,0)))</f>
        <v/>
      </c>
      <c r="D12" s="68" t="str">
        <f>IF(INDEX('Attention | Field Analysis'!Notes,1,MATCH(tbl_Overview[[#This Row],[Field]],'Attention | Field Analysis'!Headers,0))="Note","",INDEX('Attention | Field Analysis'!Notes,1,MATCH(tbl_Overview[[#This Row],[Field]],'Attention | Field Analysis'!Headers,0)))</f>
        <v/>
      </c>
      <c r="E12" s="60" t="s">
        <v>92</v>
      </c>
      <c r="F12" s="64">
        <v>1</v>
      </c>
      <c r="G12" s="64">
        <v>0</v>
      </c>
      <c r="H12" s="64">
        <v>0.14510278113663799</v>
      </c>
      <c r="I12" s="61">
        <v>480</v>
      </c>
      <c r="J12" s="61">
        <v>60</v>
      </c>
      <c r="K12" s="61">
        <v>60</v>
      </c>
      <c r="L12" s="62">
        <v>1</v>
      </c>
      <c r="M12" s="61">
        <v>0</v>
      </c>
      <c r="N12" s="63">
        <v>29.5</v>
      </c>
      <c r="O12" s="63">
        <v>29.5</v>
      </c>
      <c r="P12" s="63">
        <v>0</v>
      </c>
      <c r="Q12" s="63">
        <v>17.464249196572901</v>
      </c>
      <c r="R12" s="63">
        <v>304.99999999999898</v>
      </c>
      <c r="S12" s="63">
        <v>0</v>
      </c>
      <c r="T12" s="63">
        <v>2.95</v>
      </c>
      <c r="U12" s="63">
        <v>14.75</v>
      </c>
      <c r="V12" s="63">
        <v>29.5</v>
      </c>
      <c r="W12" s="63">
        <v>44.25</v>
      </c>
      <c r="X12" s="63">
        <v>56.05</v>
      </c>
      <c r="Y12" s="63">
        <v>59</v>
      </c>
      <c r="Z12" s="63">
        <v>59</v>
      </c>
      <c r="AA12" s="63">
        <v>29.5</v>
      </c>
    </row>
    <row r="13" spans="1:27" ht="15" customHeight="1">
      <c r="B13" s="59" t="s">
        <v>85</v>
      </c>
      <c r="C13" s="68" t="str">
        <f>IF(INDEX('Attention | Field Analysis'!Definitions,1,MATCH(tbl_Overview[[#This Row],[Field]],'Attention | Field Analysis'!Headers,0))="Definition","",INDEX('Attention | Field Analysis'!Definitions,1,MATCH(tbl_Overview[[#This Row],[Field]],'Attention | Field Analysis'!Headers,0)))</f>
        <v/>
      </c>
      <c r="D13" s="68" t="str">
        <f>IF(INDEX('Attention | Field Analysis'!Notes,1,MATCH(tbl_Overview[[#This Row],[Field]],'Attention | Field Analysis'!Headers,0))="Note","",INDEX('Attention | Field Analysis'!Notes,1,MATCH(tbl_Overview[[#This Row],[Field]],'Attention | Field Analysis'!Headers,0)))</f>
        <v/>
      </c>
      <c r="E13" s="60" t="s">
        <v>92</v>
      </c>
      <c r="F13" s="140">
        <v>0.33333333333333298</v>
      </c>
      <c r="G13" s="140">
        <v>0</v>
      </c>
      <c r="H13" s="140">
        <v>0.14510278113663799</v>
      </c>
      <c r="I13" s="61">
        <v>480</v>
      </c>
      <c r="J13" s="61">
        <v>20</v>
      </c>
      <c r="K13" s="61">
        <v>60</v>
      </c>
      <c r="L13" s="62">
        <v>1</v>
      </c>
      <c r="M13" s="61">
        <v>0</v>
      </c>
      <c r="N13" s="63">
        <v>10.5</v>
      </c>
      <c r="O13" s="63">
        <v>10.5</v>
      </c>
      <c r="P13" s="63">
        <v>1</v>
      </c>
      <c r="Q13" s="63">
        <v>5.8149427617160496</v>
      </c>
      <c r="R13" s="63">
        <v>33.813559322033797</v>
      </c>
      <c r="S13" s="63">
        <v>1</v>
      </c>
      <c r="T13" s="63">
        <v>1.95</v>
      </c>
      <c r="U13" s="63">
        <v>5.75</v>
      </c>
      <c r="V13" s="63">
        <v>10.5</v>
      </c>
      <c r="W13" s="63">
        <v>15.25</v>
      </c>
      <c r="X13" s="63">
        <v>19.049999999999901</v>
      </c>
      <c r="Y13" s="63">
        <v>20</v>
      </c>
      <c r="Z13" s="63">
        <v>19</v>
      </c>
      <c r="AA13" s="63">
        <v>9.5</v>
      </c>
    </row>
    <row r="14" spans="1:27" ht="15" customHeight="1">
      <c r="B14" s="59" t="s">
        <v>86</v>
      </c>
      <c r="C14" s="68" t="str">
        <f>IF(INDEX('Attention | Field Analysis'!Definitions,1,MATCH(tbl_Overview[[#This Row],[Field]],'Attention | Field Analysis'!Headers,0))="Definition","",INDEX('Attention | Field Analysis'!Definitions,1,MATCH(tbl_Overview[[#This Row],[Field]],'Attention | Field Analysis'!Headers,0)))</f>
        <v/>
      </c>
      <c r="D14" s="68" t="str">
        <f>IF(INDEX('Attention | Field Analysis'!Notes,1,MATCH(tbl_Overview[[#This Row],[Field]],'Attention | Field Analysis'!Headers,0))="Note","",INDEX('Attention | Field Analysis'!Notes,1,MATCH(tbl_Overview[[#This Row],[Field]],'Attention | Field Analysis'!Headers,0)))</f>
        <v/>
      </c>
      <c r="E14" s="60" t="s">
        <v>93</v>
      </c>
      <c r="F14" s="140">
        <v>3.3333333333333298E-2</v>
      </c>
      <c r="G14" s="140">
        <v>0</v>
      </c>
      <c r="H14" s="140">
        <v>0.27448609431680698</v>
      </c>
      <c r="I14" s="61">
        <v>908</v>
      </c>
      <c r="J14" s="61">
        <v>2</v>
      </c>
      <c r="K14" s="61">
        <v>60</v>
      </c>
      <c r="L14" s="62">
        <v>1</v>
      </c>
      <c r="M14" s="61">
        <v>0</v>
      </c>
      <c r="N14" s="63"/>
      <c r="O14" s="63"/>
      <c r="P14" s="63" t="s">
        <v>95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IF(INDEX('Attention | Field Analysis'!Definitions,1,MATCH(tbl_Overview[[#This Row],[Field]],'Attention | Field Analysis'!Headers,0))="Definition","",INDEX('Attention | Field Analysis'!Definitions,1,MATCH(tbl_Overview[[#This Row],[Field]],'Attention | Field Analysis'!Headers,0)))</f>
        <v/>
      </c>
      <c r="D15" s="68" t="str">
        <f>IF(INDEX('Attention | Field Analysis'!Notes,1,MATCH(tbl_Overview[[#This Row],[Field]],'Attention | Field Analysis'!Headers,0))="Note","",INDEX('Attention | Field Analysis'!Notes,1,MATCH(tbl_Overview[[#This Row],[Field]],'Attention | Field Analysis'!Headers,0)))</f>
        <v/>
      </c>
      <c r="E15" s="60" t="s">
        <v>92</v>
      </c>
      <c r="F15" s="140">
        <v>0.05</v>
      </c>
      <c r="G15" s="140">
        <v>0</v>
      </c>
      <c r="H15" s="140">
        <v>0.14510278113663799</v>
      </c>
      <c r="I15" s="61">
        <v>480</v>
      </c>
      <c r="J15" s="61">
        <v>3</v>
      </c>
      <c r="K15" s="61">
        <v>60</v>
      </c>
      <c r="L15" s="62">
        <v>1</v>
      </c>
      <c r="M15" s="61">
        <v>0</v>
      </c>
      <c r="N15" s="63">
        <v>2</v>
      </c>
      <c r="O15" s="63">
        <v>2</v>
      </c>
      <c r="P15" s="63">
        <v>1</v>
      </c>
      <c r="Q15" s="63">
        <v>0.82338696959261803</v>
      </c>
      <c r="R15" s="63">
        <v>0.677966101694915</v>
      </c>
      <c r="S15" s="63">
        <v>1</v>
      </c>
      <c r="T15" s="63">
        <v>1</v>
      </c>
      <c r="U15" s="63">
        <v>1</v>
      </c>
      <c r="V15" s="63">
        <v>2</v>
      </c>
      <c r="W15" s="63">
        <v>3</v>
      </c>
      <c r="X15" s="63">
        <v>3</v>
      </c>
      <c r="Y15" s="63">
        <v>3</v>
      </c>
      <c r="Z15" s="63">
        <v>2</v>
      </c>
      <c r="AA15" s="63">
        <v>2</v>
      </c>
    </row>
    <row r="16" spans="1:27" ht="15" customHeight="1">
      <c r="B16" s="141" t="s">
        <v>88</v>
      </c>
      <c r="C16" s="142" t="str">
        <f>IF(INDEX('Attention | Field Analysis'!Definitions,1,MATCH(tbl_Overview[[#This Row],[Field]],'Attention | Field Analysis'!Headers,0))="Definition","",INDEX('Attention | Field Analysis'!Definitions,1,MATCH(tbl_Overview[[#This Row],[Field]],'Attention | Field Analysis'!Headers,0)))</f>
        <v/>
      </c>
      <c r="D16" s="142" t="str">
        <f>IF(INDEX('Attention | Field Analysis'!Notes,1,MATCH(tbl_Overview[[#This Row],[Field]],'Attention | Field Analysis'!Headers,0))="Note","",INDEX('Attention | Field Analysis'!Notes,1,MATCH(tbl_Overview[[#This Row],[Field]],'Attention | Field Analysis'!Headers,0)))</f>
        <v/>
      </c>
      <c r="E16" s="143" t="s">
        <v>94</v>
      </c>
      <c r="F16" s="144">
        <v>0.15</v>
      </c>
      <c r="G16" s="144">
        <v>0</v>
      </c>
      <c r="H16" s="144">
        <v>0.14510278113663799</v>
      </c>
      <c r="I16" s="145">
        <v>480</v>
      </c>
      <c r="J16" s="145">
        <v>9</v>
      </c>
      <c r="K16" s="145">
        <v>60</v>
      </c>
      <c r="L16" s="146">
        <v>1</v>
      </c>
      <c r="M16" s="145">
        <v>0</v>
      </c>
      <c r="N16" s="147">
        <v>5.9583333333333304</v>
      </c>
      <c r="O16" s="147">
        <v>6</v>
      </c>
      <c r="P16" s="147">
        <v>6</v>
      </c>
      <c r="Q16" s="147">
        <v>1.62160118262174</v>
      </c>
      <c r="R16" s="147">
        <v>2.62959039548022</v>
      </c>
      <c r="S16" s="147">
        <v>2</v>
      </c>
      <c r="T16" s="147">
        <v>3</v>
      </c>
      <c r="U16" s="147">
        <v>5</v>
      </c>
      <c r="V16" s="147">
        <v>6</v>
      </c>
      <c r="W16" s="147">
        <v>7</v>
      </c>
      <c r="X16" s="147">
        <v>8</v>
      </c>
      <c r="Y16" s="147">
        <v>9</v>
      </c>
      <c r="Z16" s="147">
        <v>7</v>
      </c>
      <c r="AA16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7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21875" style="12" bestFit="1" customWidth="1"/>
    <col min="4" max="4" width="12.5546875" style="12" bestFit="1" customWidth="1"/>
    <col min="5" max="5" width="14.6640625" style="12" bestFit="1" customWidth="1"/>
    <col min="6" max="6" width="14.21875" style="12" bestFit="1" customWidth="1"/>
    <col min="7" max="7" width="10.77734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'Attention | Field Analysis'!Name</f>
        <v>Attention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165">
        <v>0</v>
      </c>
      <c r="I10" s="166"/>
      <c r="J10" s="167">
        <v>1.6666666666666666E-2</v>
      </c>
    </row>
    <row r="11" spans="1:17" ht="15" customHeight="1">
      <c r="C11" s="161">
        <v>1</v>
      </c>
      <c r="D11" s="50"/>
      <c r="E11" s="50"/>
      <c r="F11" s="50"/>
      <c r="G11" s="50"/>
      <c r="H11" s="165">
        <v>0</v>
      </c>
      <c r="I11" s="166"/>
      <c r="J11" s="167">
        <v>1.6666666666666666E-2</v>
      </c>
    </row>
    <row r="12" spans="1:17" ht="15" customHeight="1">
      <c r="C12" s="161">
        <v>2</v>
      </c>
      <c r="D12" s="50"/>
      <c r="E12" s="50"/>
      <c r="F12" s="50"/>
      <c r="G12" s="50"/>
      <c r="H12" s="165">
        <v>0</v>
      </c>
      <c r="I12" s="166"/>
      <c r="J12" s="167">
        <v>1.6666666666666666E-2</v>
      </c>
    </row>
    <row r="13" spans="1:17" ht="15" customHeight="1">
      <c r="C13" s="161">
        <v>3</v>
      </c>
      <c r="D13" s="50"/>
      <c r="E13" s="50"/>
      <c r="F13" s="50"/>
      <c r="G13" s="50"/>
      <c r="H13" s="165">
        <v>0</v>
      </c>
      <c r="I13" s="166"/>
      <c r="J13" s="167">
        <v>1.6666666666666666E-2</v>
      </c>
    </row>
    <row r="14" spans="1:17" ht="15" customHeight="1">
      <c r="C14" s="161">
        <v>4</v>
      </c>
      <c r="D14" s="50"/>
      <c r="E14" s="50"/>
      <c r="F14" s="50"/>
      <c r="G14" s="50"/>
      <c r="H14" s="165">
        <v>0</v>
      </c>
      <c r="I14" s="166"/>
      <c r="J14" s="167">
        <v>1.6666666666666666E-2</v>
      </c>
    </row>
    <row r="15" spans="1:17" ht="15" customHeight="1">
      <c r="C15" s="161">
        <v>5</v>
      </c>
      <c r="D15" s="50"/>
      <c r="E15" s="50"/>
      <c r="F15" s="50"/>
      <c r="G15" s="50"/>
      <c r="H15" s="165">
        <v>0</v>
      </c>
      <c r="I15" s="166"/>
      <c r="J15" s="167">
        <v>1.6666666666666666E-2</v>
      </c>
    </row>
    <row r="16" spans="1:17" ht="15" customHeight="1">
      <c r="C16" s="161">
        <v>6</v>
      </c>
      <c r="D16" s="50"/>
      <c r="E16" s="50"/>
      <c r="F16" s="50"/>
      <c r="G16" s="50"/>
      <c r="H16" s="165">
        <v>0</v>
      </c>
      <c r="I16" s="166"/>
      <c r="J16" s="167">
        <v>1.6666666666666666E-2</v>
      </c>
    </row>
    <row r="17" spans="3:10" ht="15" customHeight="1">
      <c r="C17" s="161">
        <v>7</v>
      </c>
      <c r="D17" s="50"/>
      <c r="E17" s="50"/>
      <c r="F17" s="50"/>
      <c r="G17" s="50"/>
      <c r="H17" s="165">
        <v>0</v>
      </c>
      <c r="I17" s="166"/>
      <c r="J17" s="167">
        <v>1.6666666666666666E-2</v>
      </c>
    </row>
    <row r="18" spans="3:10" ht="15" customHeight="1">
      <c r="C18" s="161">
        <v>8</v>
      </c>
      <c r="D18" s="50"/>
      <c r="E18" s="50"/>
      <c r="F18" s="50"/>
      <c r="G18" s="50"/>
      <c r="H18" s="165">
        <v>0</v>
      </c>
      <c r="I18" s="166"/>
      <c r="J18" s="167">
        <v>1.6666666666666666E-2</v>
      </c>
    </row>
    <row r="19" spans="3:10" ht="15" customHeight="1">
      <c r="C19" s="161">
        <v>9</v>
      </c>
      <c r="D19" s="50"/>
      <c r="E19" s="50"/>
      <c r="F19" s="50"/>
      <c r="G19" s="50"/>
      <c r="H19" s="165">
        <v>0</v>
      </c>
      <c r="I19" s="166"/>
      <c r="J19" s="167">
        <v>1.6666666666666666E-2</v>
      </c>
    </row>
    <row r="20" spans="3:10" ht="15" customHeight="1">
      <c r="C20" s="161">
        <v>10</v>
      </c>
      <c r="D20" s="50"/>
      <c r="E20" s="50"/>
      <c r="F20" s="50"/>
      <c r="G20" s="50"/>
      <c r="H20" s="165">
        <v>0</v>
      </c>
      <c r="I20" s="166"/>
      <c r="J20" s="167">
        <v>1.6666666666666666E-2</v>
      </c>
    </row>
    <row r="21" spans="3:10" ht="15" customHeight="1">
      <c r="C21" s="161">
        <v>11</v>
      </c>
      <c r="D21" s="50"/>
      <c r="E21" s="50"/>
      <c r="F21" s="50"/>
      <c r="G21" s="50"/>
      <c r="H21" s="165">
        <v>0</v>
      </c>
      <c r="I21" s="166"/>
      <c r="J21" s="167">
        <v>1.6666666666666666E-2</v>
      </c>
    </row>
    <row r="22" spans="3:10" ht="15" customHeight="1">
      <c r="C22" s="161">
        <v>12</v>
      </c>
      <c r="D22" s="50"/>
      <c r="E22" s="50"/>
      <c r="F22" s="50"/>
      <c r="G22" s="50"/>
      <c r="H22" s="165">
        <v>0</v>
      </c>
      <c r="I22" s="166"/>
      <c r="J22" s="167">
        <v>1.6666666666666666E-2</v>
      </c>
    </row>
    <row r="23" spans="3:10" ht="15" customHeight="1">
      <c r="C23" s="161">
        <v>13</v>
      </c>
      <c r="D23" s="50"/>
      <c r="E23" s="50"/>
      <c r="F23" s="50"/>
      <c r="G23" s="50"/>
      <c r="H23" s="165">
        <v>0</v>
      </c>
      <c r="I23" s="166"/>
      <c r="J23" s="167">
        <v>1.6666666666666666E-2</v>
      </c>
    </row>
    <row r="24" spans="3:10" ht="15" customHeight="1">
      <c r="C24" s="161">
        <v>14</v>
      </c>
      <c r="D24" s="50"/>
      <c r="E24" s="50"/>
      <c r="F24" s="50"/>
      <c r="G24" s="50"/>
      <c r="H24" s="165">
        <v>0</v>
      </c>
      <c r="I24" s="166"/>
      <c r="J24" s="167">
        <v>1.6666666666666666E-2</v>
      </c>
    </row>
    <row r="25" spans="3:10" ht="15" customHeight="1">
      <c r="C25" s="161">
        <v>15</v>
      </c>
      <c r="D25" s="50"/>
      <c r="E25" s="50"/>
      <c r="F25" s="50"/>
      <c r="G25" s="50"/>
      <c r="H25" s="165">
        <v>0</v>
      </c>
      <c r="I25" s="166"/>
      <c r="J25" s="167">
        <v>1.6666666666666666E-2</v>
      </c>
    </row>
    <row r="26" spans="3:10" ht="15" customHeight="1">
      <c r="C26" s="161">
        <v>16</v>
      </c>
      <c r="D26" s="50"/>
      <c r="E26" s="50"/>
      <c r="F26" s="50"/>
      <c r="G26" s="50"/>
      <c r="H26" s="165">
        <v>0</v>
      </c>
      <c r="I26" s="166"/>
      <c r="J26" s="167">
        <v>1.6666666666666666E-2</v>
      </c>
    </row>
    <row r="27" spans="3:10" ht="15" customHeight="1">
      <c r="C27" s="161">
        <v>17</v>
      </c>
      <c r="D27" s="50"/>
      <c r="E27" s="50"/>
      <c r="F27" s="50"/>
      <c r="G27" s="50"/>
      <c r="H27" s="165">
        <v>0</v>
      </c>
      <c r="I27" s="166"/>
      <c r="J27" s="167">
        <v>1.6666666666666666E-2</v>
      </c>
    </row>
    <row r="28" spans="3:10" ht="15" customHeight="1">
      <c r="C28" s="161">
        <v>18</v>
      </c>
      <c r="D28" s="50"/>
      <c r="E28" s="50"/>
      <c r="F28" s="50"/>
      <c r="G28" s="50"/>
      <c r="H28" s="165">
        <v>0</v>
      </c>
      <c r="I28" s="166"/>
      <c r="J28" s="167">
        <v>1.6666666666666666E-2</v>
      </c>
    </row>
    <row r="29" spans="3:10" ht="15" customHeight="1">
      <c r="C29" s="161">
        <v>19</v>
      </c>
      <c r="D29" s="50"/>
      <c r="E29" s="50"/>
      <c r="F29" s="50"/>
      <c r="G29" s="50"/>
      <c r="H29" s="165">
        <v>0</v>
      </c>
      <c r="I29" s="166"/>
      <c r="J29" s="167">
        <v>1.6666666666666666E-2</v>
      </c>
    </row>
    <row r="30" spans="3:10" ht="15" customHeight="1">
      <c r="C30" s="161">
        <v>20</v>
      </c>
      <c r="D30" s="50"/>
      <c r="E30" s="50"/>
      <c r="F30" s="50"/>
      <c r="G30" s="50"/>
      <c r="H30" s="165">
        <v>0</v>
      </c>
      <c r="I30" s="166"/>
      <c r="J30" s="167">
        <v>1.6666666666666666E-2</v>
      </c>
    </row>
    <row r="31" spans="3:10" ht="15" customHeight="1">
      <c r="C31" s="161">
        <v>21</v>
      </c>
      <c r="D31" s="50"/>
      <c r="E31" s="50"/>
      <c r="F31" s="50"/>
      <c r="G31" s="50"/>
      <c r="H31" s="165">
        <v>0</v>
      </c>
      <c r="I31" s="166"/>
      <c r="J31" s="167">
        <v>1.6666666666666666E-2</v>
      </c>
    </row>
    <row r="32" spans="3:10" ht="15" customHeight="1">
      <c r="C32" s="161">
        <v>22</v>
      </c>
      <c r="D32" s="50"/>
      <c r="E32" s="50"/>
      <c r="F32" s="50"/>
      <c r="G32" s="50"/>
      <c r="H32" s="165">
        <v>0</v>
      </c>
      <c r="I32" s="166"/>
      <c r="J32" s="167">
        <v>1.6666666666666666E-2</v>
      </c>
    </row>
    <row r="33" spans="3:10" ht="15" customHeight="1">
      <c r="C33" s="161">
        <v>23</v>
      </c>
      <c r="D33" s="50"/>
      <c r="E33" s="50"/>
      <c r="F33" s="50"/>
      <c r="G33" s="50"/>
      <c r="H33" s="165">
        <v>0</v>
      </c>
      <c r="I33" s="166"/>
      <c r="J33" s="167">
        <v>1.6666666666666666E-2</v>
      </c>
    </row>
    <row r="34" spans="3:10" ht="15" customHeight="1">
      <c r="C34" s="161">
        <v>24</v>
      </c>
      <c r="D34" s="50"/>
      <c r="E34" s="50"/>
      <c r="F34" s="50"/>
      <c r="G34" s="50"/>
      <c r="H34" s="165">
        <v>0</v>
      </c>
      <c r="I34" s="166"/>
      <c r="J34" s="167">
        <v>1.6666666666666666E-2</v>
      </c>
    </row>
    <row r="35" spans="3:10" ht="15" customHeight="1">
      <c r="C35" s="161">
        <v>25</v>
      </c>
      <c r="D35" s="50"/>
      <c r="E35" s="50"/>
      <c r="F35" s="50"/>
      <c r="G35" s="50"/>
      <c r="H35" s="165">
        <v>0</v>
      </c>
      <c r="I35" s="166"/>
      <c r="J35" s="167">
        <v>1.6666666666666666E-2</v>
      </c>
    </row>
    <row r="36" spans="3:10" ht="15" customHeight="1">
      <c r="C36" s="161">
        <v>26</v>
      </c>
      <c r="D36" s="50"/>
      <c r="E36" s="50"/>
      <c r="F36" s="50"/>
      <c r="G36" s="50"/>
      <c r="H36" s="165">
        <v>0</v>
      </c>
      <c r="I36" s="166"/>
      <c r="J36" s="167">
        <v>1.6666666666666666E-2</v>
      </c>
    </row>
    <row r="37" spans="3:10" ht="15" customHeight="1">
      <c r="C37" s="161">
        <v>27</v>
      </c>
      <c r="D37" s="50"/>
      <c r="E37" s="50"/>
      <c r="F37" s="50"/>
      <c r="G37" s="50"/>
      <c r="H37" s="165">
        <v>0</v>
      </c>
      <c r="I37" s="166"/>
      <c r="J37" s="167">
        <v>1.6666666666666666E-2</v>
      </c>
    </row>
    <row r="38" spans="3:10" ht="15" customHeight="1">
      <c r="C38" s="161">
        <v>28</v>
      </c>
      <c r="D38" s="50"/>
      <c r="E38" s="50"/>
      <c r="F38" s="50"/>
      <c r="G38" s="50"/>
      <c r="H38" s="165">
        <v>0</v>
      </c>
      <c r="I38" s="166"/>
      <c r="J38" s="167">
        <v>1.6666666666666666E-2</v>
      </c>
    </row>
    <row r="39" spans="3:10" ht="15" customHeight="1">
      <c r="C39" s="161">
        <v>29</v>
      </c>
      <c r="D39" s="50"/>
      <c r="E39" s="50"/>
      <c r="F39" s="50"/>
      <c r="G39" s="50"/>
      <c r="H39" s="165">
        <v>0</v>
      </c>
      <c r="I39" s="166"/>
      <c r="J39" s="167">
        <v>1.6666666666666666E-2</v>
      </c>
    </row>
    <row r="40" spans="3:10" ht="15" customHeight="1">
      <c r="C40" s="161">
        <v>30</v>
      </c>
      <c r="D40" s="50"/>
      <c r="E40" s="50"/>
      <c r="F40" s="50"/>
      <c r="G40" s="50"/>
      <c r="H40" s="165">
        <v>0</v>
      </c>
      <c r="I40" s="166"/>
      <c r="J40" s="167">
        <v>1.6666666666666666E-2</v>
      </c>
    </row>
    <row r="41" spans="3:10" ht="15" customHeight="1">
      <c r="C41" s="161">
        <v>31</v>
      </c>
      <c r="D41" s="50"/>
      <c r="E41" s="50"/>
      <c r="F41" s="50"/>
      <c r="G41" s="50"/>
      <c r="H41" s="165">
        <v>0</v>
      </c>
      <c r="I41" s="166"/>
      <c r="J41" s="167">
        <v>1.6666666666666666E-2</v>
      </c>
    </row>
    <row r="42" spans="3:10" ht="15" customHeight="1">
      <c r="C42" s="161">
        <v>32</v>
      </c>
      <c r="D42" s="50"/>
      <c r="E42" s="50"/>
      <c r="F42" s="50"/>
      <c r="G42" s="50"/>
      <c r="H42" s="165">
        <v>0</v>
      </c>
      <c r="I42" s="166"/>
      <c r="J42" s="167">
        <v>1.6666666666666666E-2</v>
      </c>
    </row>
    <row r="43" spans="3:10" ht="15" customHeight="1">
      <c r="C43" s="161">
        <v>33</v>
      </c>
      <c r="D43" s="50"/>
      <c r="E43" s="50"/>
      <c r="F43" s="50"/>
      <c r="G43" s="50"/>
      <c r="H43" s="165">
        <v>0</v>
      </c>
      <c r="I43" s="166"/>
      <c r="J43" s="167">
        <v>1.6666666666666666E-2</v>
      </c>
    </row>
    <row r="44" spans="3:10" ht="15" customHeight="1">
      <c r="C44" s="161">
        <v>34</v>
      </c>
      <c r="D44" s="50"/>
      <c r="E44" s="50"/>
      <c r="F44" s="50"/>
      <c r="G44" s="50"/>
      <c r="H44" s="165">
        <v>0</v>
      </c>
      <c r="I44" s="166"/>
      <c r="J44" s="167">
        <v>1.6666666666666666E-2</v>
      </c>
    </row>
    <row r="45" spans="3:10" ht="15" customHeight="1">
      <c r="C45" s="161">
        <v>35</v>
      </c>
      <c r="D45" s="50"/>
      <c r="E45" s="50"/>
      <c r="F45" s="50"/>
      <c r="G45" s="50"/>
      <c r="H45" s="165">
        <v>0</v>
      </c>
      <c r="I45" s="166"/>
      <c r="J45" s="167">
        <v>1.6666666666666666E-2</v>
      </c>
    </row>
    <row r="46" spans="3:10" ht="15" customHeight="1">
      <c r="C46" s="161">
        <v>36</v>
      </c>
      <c r="D46" s="50"/>
      <c r="E46" s="50"/>
      <c r="F46" s="50"/>
      <c r="G46" s="50"/>
      <c r="H46" s="165">
        <v>0</v>
      </c>
      <c r="I46" s="166"/>
      <c r="J46" s="167">
        <v>1.6666666666666666E-2</v>
      </c>
    </row>
    <row r="47" spans="3:10" ht="15" customHeight="1">
      <c r="C47" s="161">
        <v>37</v>
      </c>
      <c r="D47" s="50"/>
      <c r="E47" s="50"/>
      <c r="F47" s="50"/>
      <c r="G47" s="50"/>
      <c r="H47" s="165">
        <v>0</v>
      </c>
      <c r="I47" s="166"/>
      <c r="J47" s="167">
        <v>1.6666666666666666E-2</v>
      </c>
    </row>
    <row r="48" spans="3:10" ht="15" customHeight="1">
      <c r="C48" s="161">
        <v>38</v>
      </c>
      <c r="D48" s="50"/>
      <c r="E48" s="50"/>
      <c r="F48" s="50"/>
      <c r="G48" s="50"/>
      <c r="H48" s="165">
        <v>0</v>
      </c>
      <c r="I48" s="166"/>
      <c r="J48" s="167">
        <v>1.6666666666666666E-2</v>
      </c>
    </row>
    <row r="49" spans="3:10" ht="15" customHeight="1">
      <c r="C49" s="161">
        <v>39</v>
      </c>
      <c r="D49" s="50"/>
      <c r="E49" s="50"/>
      <c r="F49" s="50"/>
      <c r="G49" s="50"/>
      <c r="H49" s="165">
        <v>0</v>
      </c>
      <c r="I49" s="166"/>
      <c r="J49" s="167">
        <v>1.6666666666666666E-2</v>
      </c>
    </row>
    <row r="50" spans="3:10" ht="15" customHeight="1">
      <c r="C50" s="161">
        <v>40</v>
      </c>
      <c r="D50" s="50"/>
      <c r="E50" s="50"/>
      <c r="F50" s="50"/>
      <c r="G50" s="50"/>
      <c r="H50" s="165">
        <v>0</v>
      </c>
      <c r="I50" s="166"/>
      <c r="J50" s="167">
        <v>1.6666666666666666E-2</v>
      </c>
    </row>
    <row r="51" spans="3:10" ht="15" customHeight="1">
      <c r="C51" s="161">
        <v>41</v>
      </c>
      <c r="D51" s="50"/>
      <c r="E51" s="50"/>
      <c r="F51" s="50"/>
      <c r="G51" s="50"/>
      <c r="H51" s="165">
        <v>0</v>
      </c>
      <c r="I51" s="166"/>
      <c r="J51" s="167">
        <v>1.6666666666666666E-2</v>
      </c>
    </row>
    <row r="52" spans="3:10" ht="15" customHeight="1">
      <c r="C52" s="161">
        <v>42</v>
      </c>
      <c r="D52" s="50"/>
      <c r="E52" s="50"/>
      <c r="F52" s="50"/>
      <c r="G52" s="50"/>
      <c r="H52" s="165">
        <v>0</v>
      </c>
      <c r="I52" s="166"/>
      <c r="J52" s="167">
        <v>1.6666666666666666E-2</v>
      </c>
    </row>
    <row r="53" spans="3:10" ht="15" customHeight="1">
      <c r="C53" s="161">
        <v>43</v>
      </c>
      <c r="D53" s="50"/>
      <c r="E53" s="50"/>
      <c r="F53" s="50"/>
      <c r="G53" s="50"/>
      <c r="H53" s="165">
        <v>0</v>
      </c>
      <c r="I53" s="166"/>
      <c r="J53" s="167">
        <v>1.6666666666666666E-2</v>
      </c>
    </row>
    <row r="54" spans="3:10" ht="15" customHeight="1">
      <c r="C54" s="161">
        <v>44</v>
      </c>
      <c r="D54" s="50"/>
      <c r="E54" s="50"/>
      <c r="F54" s="50"/>
      <c r="G54" s="50"/>
      <c r="H54" s="165">
        <v>0</v>
      </c>
      <c r="I54" s="166"/>
      <c r="J54" s="167">
        <v>1.6666666666666666E-2</v>
      </c>
    </row>
    <row r="55" spans="3:10" ht="15" customHeight="1">
      <c r="C55" s="161">
        <v>45</v>
      </c>
      <c r="D55" s="50"/>
      <c r="E55" s="50"/>
      <c r="F55" s="50"/>
      <c r="G55" s="50"/>
      <c r="H55" s="165">
        <v>0</v>
      </c>
      <c r="I55" s="166"/>
      <c r="J55" s="167">
        <v>1.6666666666666666E-2</v>
      </c>
    </row>
    <row r="56" spans="3:10" ht="15" customHeight="1">
      <c r="C56" s="161">
        <v>46</v>
      </c>
      <c r="D56" s="50"/>
      <c r="E56" s="50"/>
      <c r="F56" s="50"/>
      <c r="G56" s="50"/>
      <c r="H56" s="165">
        <v>0</v>
      </c>
      <c r="I56" s="166"/>
      <c r="J56" s="167">
        <v>1.6666666666666666E-2</v>
      </c>
    </row>
    <row r="57" spans="3:10" ht="15" customHeight="1">
      <c r="C57" s="161">
        <v>47</v>
      </c>
      <c r="D57" s="50"/>
      <c r="E57" s="50"/>
      <c r="F57" s="50"/>
      <c r="G57" s="50"/>
      <c r="H57" s="165">
        <v>0</v>
      </c>
      <c r="I57" s="166"/>
      <c r="J57" s="167">
        <v>1.6666666666666666E-2</v>
      </c>
    </row>
    <row r="58" spans="3:10" ht="15" customHeight="1">
      <c r="C58" s="161">
        <v>48</v>
      </c>
      <c r="D58" s="50"/>
      <c r="E58" s="50"/>
      <c r="F58" s="50"/>
      <c r="G58" s="50"/>
      <c r="H58" s="165">
        <v>0</v>
      </c>
      <c r="I58" s="166"/>
      <c r="J58" s="167">
        <v>1.6666666666666666E-2</v>
      </c>
    </row>
    <row r="59" spans="3:10" ht="15" customHeight="1">
      <c r="C59" s="161">
        <v>49</v>
      </c>
      <c r="D59" s="50"/>
      <c r="E59" s="50"/>
      <c r="F59" s="50"/>
      <c r="G59" s="50"/>
      <c r="H59" s="165">
        <v>0</v>
      </c>
      <c r="I59" s="166"/>
      <c r="J59" s="167">
        <v>1.6666666666666666E-2</v>
      </c>
    </row>
    <row r="60" spans="3:10" ht="15" customHeight="1">
      <c r="C60" s="161">
        <v>50</v>
      </c>
      <c r="D60" s="50"/>
      <c r="E60" s="50"/>
      <c r="F60" s="50"/>
      <c r="G60" s="50"/>
      <c r="H60" s="165">
        <v>0</v>
      </c>
      <c r="I60" s="166"/>
      <c r="J60" s="167">
        <v>1.6666666666666666E-2</v>
      </c>
    </row>
    <row r="61" spans="3:10" ht="15" customHeight="1">
      <c r="C61" s="161">
        <v>51</v>
      </c>
      <c r="D61" s="50"/>
      <c r="E61" s="50"/>
      <c r="F61" s="50"/>
      <c r="G61" s="50"/>
      <c r="H61" s="165">
        <v>0</v>
      </c>
      <c r="I61" s="166"/>
      <c r="J61" s="167">
        <v>1.6666666666666666E-2</v>
      </c>
    </row>
    <row r="62" spans="3:10" ht="15" customHeight="1">
      <c r="C62" s="161">
        <v>52</v>
      </c>
      <c r="D62" s="50"/>
      <c r="E62" s="50"/>
      <c r="F62" s="50"/>
      <c r="G62" s="50"/>
      <c r="H62" s="165">
        <v>0</v>
      </c>
      <c r="I62" s="166"/>
      <c r="J62" s="167">
        <v>1.6666666666666666E-2</v>
      </c>
    </row>
    <row r="63" spans="3:10" ht="15" customHeight="1">
      <c r="C63" s="161">
        <v>53</v>
      </c>
      <c r="D63" s="50"/>
      <c r="E63" s="50"/>
      <c r="F63" s="50"/>
      <c r="G63" s="50"/>
      <c r="H63" s="165">
        <v>0</v>
      </c>
      <c r="I63" s="166"/>
      <c r="J63" s="167">
        <v>1.6666666666666666E-2</v>
      </c>
    </row>
    <row r="64" spans="3:10" ht="15" customHeight="1">
      <c r="C64" s="161">
        <v>54</v>
      </c>
      <c r="D64" s="50"/>
      <c r="E64" s="50"/>
      <c r="F64" s="50"/>
      <c r="G64" s="50"/>
      <c r="H64" s="165">
        <v>0</v>
      </c>
      <c r="I64" s="166"/>
      <c r="J64" s="167">
        <v>1.6666666666666666E-2</v>
      </c>
    </row>
    <row r="65" spans="3:10" ht="15" customHeight="1">
      <c r="C65" s="161">
        <v>55</v>
      </c>
      <c r="D65" s="50"/>
      <c r="E65" s="50"/>
      <c r="F65" s="50"/>
      <c r="G65" s="50"/>
      <c r="H65" s="165">
        <v>0</v>
      </c>
      <c r="I65" s="166"/>
      <c r="J65" s="167">
        <v>1.6666666666666666E-2</v>
      </c>
    </row>
    <row r="66" spans="3:10" ht="15" customHeight="1">
      <c r="C66" s="161">
        <v>56</v>
      </c>
      <c r="D66" s="50"/>
      <c r="E66" s="50"/>
      <c r="F66" s="50"/>
      <c r="G66" s="50"/>
      <c r="H66" s="165">
        <v>0</v>
      </c>
      <c r="I66" s="166"/>
      <c r="J66" s="167">
        <v>1.6666666666666666E-2</v>
      </c>
    </row>
    <row r="67" spans="3:10" ht="15" customHeight="1">
      <c r="C67" s="161">
        <v>57</v>
      </c>
      <c r="D67" s="50"/>
      <c r="E67" s="50"/>
      <c r="F67" s="50"/>
      <c r="G67" s="50"/>
      <c r="H67" s="165">
        <v>0</v>
      </c>
      <c r="I67" s="166"/>
      <c r="J67" s="167">
        <v>1.6666666666666666E-2</v>
      </c>
    </row>
    <row r="68" spans="3:10" ht="15" customHeight="1">
      <c r="C68" s="161">
        <v>58</v>
      </c>
      <c r="D68" s="50"/>
      <c r="E68" s="50"/>
      <c r="F68" s="50"/>
      <c r="G68" s="50"/>
      <c r="H68" s="165">
        <v>0</v>
      </c>
      <c r="I68" s="166"/>
      <c r="J68" s="167">
        <v>1.6666666666666666E-2</v>
      </c>
    </row>
    <row r="69" spans="3:10" ht="15" customHeight="1">
      <c r="C69" s="161">
        <v>59</v>
      </c>
      <c r="D69" s="50"/>
      <c r="E69" s="50"/>
      <c r="F69" s="50"/>
      <c r="G69" s="50"/>
      <c r="H69" s="165">
        <v>0</v>
      </c>
      <c r="I69" s="166"/>
      <c r="J69" s="167">
        <v>1.6666666666666666E-2</v>
      </c>
    </row>
    <row r="70" spans="3:10" ht="15" customHeight="1">
      <c r="C70" s="161" t="s">
        <v>97</v>
      </c>
      <c r="D70" s="161"/>
      <c r="E70" s="161"/>
      <c r="F70" s="161"/>
      <c r="G70" s="161"/>
      <c r="H70" s="165">
        <v>0</v>
      </c>
      <c r="I70" s="166"/>
      <c r="J70" s="167">
        <v>1</v>
      </c>
    </row>
  </sheetData>
  <conditionalFormatting pivot="1" sqref="H10:H7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7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Attention | Field Analysis</vt:lpstr>
      <vt:lpstr>Attention | Overview</vt:lpstr>
      <vt:lpstr>Attention | Pivot</vt:lpstr>
      <vt:lpstr>SinglePlot</vt:lpstr>
      <vt:lpstr>MultiplePlots</vt:lpstr>
      <vt:lpstr>'Attention | Field Analysis'!Compiled_Lists</vt:lpstr>
      <vt:lpstr>'Attention | Field Analysis'!Composition</vt:lpstr>
      <vt:lpstr>'Attention | Field Analysis'!CompositionTable</vt:lpstr>
      <vt:lpstr>debug!Config</vt:lpstr>
      <vt:lpstr>'Attention | Field Analysis'!DarkHeader</vt:lpstr>
      <vt:lpstr>'Attention | Field Analysis'!Data_Description</vt:lpstr>
      <vt:lpstr>debug!debug_metadata</vt:lpstr>
      <vt:lpstr>'Attention | Pivot'!DefaultWarn</vt:lpstr>
      <vt:lpstr>'Attention | Field Analysis'!Definitions</vt:lpstr>
      <vt:lpstr>'Attention | Field Analysis'!Description</vt:lpstr>
      <vt:lpstr>'Attention | Field Analysis'!Dimensions</vt:lpstr>
      <vt:lpstr>'Attention | Field Analysis'!Field_Analysis</vt:lpstr>
      <vt:lpstr>'Attention | Field Analysis'!Field_Lists</vt:lpstr>
      <vt:lpstr>'Attention | Field Analysis'!FieldList1</vt:lpstr>
      <vt:lpstr>'Attention | Field Analysis'!FieldList2</vt:lpstr>
      <vt:lpstr>'Attention | Field Analysis'!FieldList3</vt:lpstr>
      <vt:lpstr>'Attention | Field Analysis'!FieldList4</vt:lpstr>
      <vt:lpstr>'Attention | Field Analysis'!FieldList5</vt:lpstr>
      <vt:lpstr>'Attention | Field Analysis'!FieldList6</vt:lpstr>
      <vt:lpstr>'Attention | Field Analysis'!FieldList7</vt:lpstr>
      <vt:lpstr>'Attention | Field Analysis'!FieldList8</vt:lpstr>
      <vt:lpstr>'Attention | Field Analysis'!FieldLists</vt:lpstr>
      <vt:lpstr>'Attention | Field Analysis'!FieldRange</vt:lpstr>
      <vt:lpstr>'Attention | Field Analysis'!FormatRange</vt:lpstr>
      <vt:lpstr>'Attention | Field Analysis'!Headers</vt:lpstr>
      <vt:lpstr>'Attention | Field Analysis'!Headers_Start</vt:lpstr>
      <vt:lpstr>'Attention | Field Analysis'!Histogram</vt:lpstr>
      <vt:lpstr>'Attention | Field Analysis'!LightHeader</vt:lpstr>
      <vt:lpstr>Metadata</vt:lpstr>
      <vt:lpstr>MultiplePlots!MultiplePlots</vt:lpstr>
      <vt:lpstr>MultiplePlots!MultiplePlotsTitle</vt:lpstr>
      <vt:lpstr>'Attention | Field Analysis'!Name</vt:lpstr>
      <vt:lpstr>'Attention | Overview'!Name</vt:lpstr>
      <vt:lpstr>'Attention | Pivot'!Name</vt:lpstr>
      <vt:lpstr>'Attention | Field Analysis'!Notes</vt:lpstr>
      <vt:lpstr>'Attention | Field Analysis'!Percentiles</vt:lpstr>
      <vt:lpstr>'Attention | Field Analysis'!SerializedLists</vt:lpstr>
      <vt:lpstr>SinglePlot!SinglePlot</vt:lpstr>
      <vt:lpstr>SinglePlot!SinglePlotTitle</vt:lpstr>
      <vt:lpstr>'Attention | Field Analysis'!Summary_Stats</vt:lpstr>
      <vt:lpstr>'Attention | Field Analysis'!Theme</vt:lpstr>
      <vt:lpstr>'Attention | Overview'!Theme</vt:lpstr>
      <vt:lpstr>'Attention | Pivot'!Theme</vt:lpstr>
      <vt:lpstr>MultiplePlots!Theme</vt:lpstr>
      <vt:lpstr>SinglePlot!Theme</vt:lpstr>
      <vt:lpstr>'Attention | Field Analysis'!Toggles</vt:lpstr>
      <vt:lpstr>'Attention | Field Analysis'!TopToggle</vt:lpstr>
      <vt:lpstr>'Attention | Field Analysis'!Warning</vt:lpstr>
      <vt:lpstr>'Attention | Overview'!Warning</vt:lpstr>
      <vt:lpstr>'Attention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2026-06-04T02:32:18Z</dcterms:modified>
</cp:coreProperties>
</file>