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0273554F-2CC2-4F3A-BFA4-5053DFFD1141}" xr6:coauthVersionLast="47" xr6:coauthVersionMax="47" xr10:uidLastSave="{00000000-0000-0000-0000-000000000000}"/>
  <bookViews>
    <workbookView xWindow="-108" yWindow="-108" windowWidth="23256" windowHeight="12456" tabRatio="578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definedNames>
    <definedName name="Compiled_Lists">'Field Analysis'!$D$55:$D$61</definedName>
    <definedName name="Composition">'Field Analysis'!$E$15:$E$21</definedName>
    <definedName name="CompositionTable">'Field Analysis'!$E$20</definedName>
    <definedName name="DarkHeader">'Field Analysis'!$E$63</definedName>
    <definedName name="Dimensions">'Field Analysis'!$D$4</definedName>
    <definedName name="Field_Analysis">'Field Analysis'!$E$8:$E$62</definedName>
    <definedName name="Field_Lists">'Field Analysis'!$D$46:$E$52</definedName>
    <definedName name="FieldAnalysisTheme">'Field Analysis'!$C$6:$F$6,'Field Analysis'!$D$63</definedName>
    <definedName name="FieldList1">'Field Analysis'!$E$46:$J$46</definedName>
    <definedName name="FieldList2">'Field Analysis'!$E$47:$J$47</definedName>
    <definedName name="FieldList3">'Field Analysis'!$E$48:$J$48</definedName>
    <definedName name="FieldList4">'Field Analysis'!$E$49:$J$49</definedName>
    <definedName name="FieldList5">'Field Analysis'!$E$50:$J$50</definedName>
    <definedName name="FieldList6">'Field Analysis'!$E$51:$J$51</definedName>
    <definedName name="FieldRange">'Field Analysis'!$E$63:$J$63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Analysis'!$E$3:$J$3</definedName>
    <definedName name="Overview">'Field Analysis'!$E$8:$E$12</definedName>
    <definedName name="Percentiles">'Field Analysis'!$E$34:$E$43</definedName>
    <definedName name="RecordHashes">'Field Analysis'!$K$64:$K$216</definedName>
    <definedName name="SerializedLists">'Field Analysis'!$E$55:$E$62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5" i="3" l="1"/>
  <c r="D61" i="3"/>
  <c r="D60" i="3"/>
  <c r="D59" i="3"/>
  <c r="D58" i="3"/>
  <c r="D57" i="3"/>
  <c r="D56" i="3"/>
  <c r="D55" i="3"/>
  <c r="E59" i="3"/>
  <c r="E58" i="3"/>
  <c r="E57" i="3"/>
  <c r="E56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<sst xmlns="http://schemas.openxmlformats.org/spreadsheetml/2006/main" count="77" uniqueCount="53">
  <si>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</si>
  <si>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</si>
  <si>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</si>
  <si>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</si>
  <si>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</si>
  <si>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</si>
  <si>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</si>
  <si>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</si>
  <si>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</si>
  <si>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</si>
  <si>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</si>
  <si>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</si>
  <si>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</si>
  <si>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</si>
  <si>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</si>
  <si>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</si>
  <si>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</si>
  <si>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</si>
  <si>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</si>
  <si>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</si>
  <si>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</si>
  <si>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</si>
  <si>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</si>
  <si>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</si>
  <si>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</si>
  <si>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</si>
  <si>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</si>
  <si>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</si>
  <si>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</si>
  <si>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</si>
  <si>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</si>
  <si>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</si>
  <si>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</si>
  <si>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</si>
  <si>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</si>
  <si>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D:\Python\.ExcelDataDiscovery\.venv\Scripts\python.exe</t>
  </si>
  <si>
    <t>This is only showing a sample because it is larger than the limits of 100,000 rows/100 columns</t>
  </si>
  <si>
    <t>Record List</t>
  </si>
  <si>
    <t>FIeldList1</t>
  </si>
  <si>
    <t>FIeldList2</t>
  </si>
  <si>
    <t>FIeldList3</t>
  </si>
  <si>
    <t>FIeldList4</t>
  </si>
  <si>
    <t>FIeldList5</t>
  </si>
  <si>
    <t>FIeldList6</t>
  </si>
  <si>
    <t>rows = 153, columns = 6</t>
  </si>
  <si>
    <t>Ozone</t>
  </si>
  <si>
    <t>Solar.R</t>
  </si>
  <si>
    <t>Wind</t>
  </si>
  <si>
    <t>Temp</t>
  </si>
  <si>
    <t>Month</t>
  </si>
  <si>
    <t>Day</t>
  </si>
  <si>
    <t>float64</t>
  </si>
  <si>
    <t>int32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</si>
</sst>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404BA2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3" fillId="2" borderId="0" xfId="1" applyFont="1" applyAlignment="1">
      <alignment horizontal="right" vertical="center" indent="7"/>
    </xf>
    <xf numFmtId="0" fontId="22" fillId="2" borderId="1" xfId="1" applyNumberFormat="1" applyFont="1" applyBorder="1" applyAlignment="1">
      <alignment horizontal="left" vertical="center" wrapText="1" indent="1"/>
    </xf>
    <xf numFmtId="0" fontId="20" fillId="3" borderId="3" xfId="1" applyFont="1" applyFill="1" applyBorder="1" applyAlignment="1">
      <alignment horizontal="left" vertical="center" wrapText="1"/>
    </xf>
    <xf numFmtId="0" fontId="3" fillId="9" borderId="2" xfId="1" applyFill="1" applyBorder="1" applyAlignment="1"/>
    <xf numFmtId="0" fontId="4" fillId="9" borderId="3" xfId="1" applyFont="1" applyFill="1" applyBorder="1" applyAlignment="1">
      <alignment wrapText="1"/>
    </xf>
    <xf numFmtId="0" fontId="8" fillId="9" borderId="4" xfId="1" applyFont="1" applyFill="1" applyBorder="1" applyAlignment="1">
      <alignment horizontal="center" vertical="center" wrapText="1"/>
    </xf>
    <xf numFmtId="0" fontId="11" fillId="9" borderId="12" xfId="1" applyFont="1" applyFill="1" applyBorder="1" applyAlignment="1">
      <alignment horizontal="center" vertical="center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33"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secondRowStripe" dxfId="26"/>
      <tableStyleElement type="firstColumnStripe" dxfId="25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1809750</xdr:colOff>
      <xdr:row>19</xdr:row>
      <xdr:rowOff>1809750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EBFD341-6252-C5E6-499B-5937F85A7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1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29</xdr:row>
      <xdr:rowOff>95250</xdr:rowOff>
    </xdr:from>
    <xdr:to>
      <xdr:col>4</xdr:col>
      <xdr:colOff>1809750</xdr:colOff>
      <xdr:row>29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9F1EF13-08C1-12C2-8FBC-957DF562E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19</xdr:row>
      <xdr:rowOff>95250</xdr:rowOff>
    </xdr:from>
    <xdr:to>
      <xdr:col>5</xdr:col>
      <xdr:colOff>1809750</xdr:colOff>
      <xdr:row>19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99CA5BB-430A-BD12-22FA-623D54FF4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1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29</xdr:row>
      <xdr:rowOff>95250</xdr:rowOff>
    </xdr:from>
    <xdr:to>
      <xdr:col>5</xdr:col>
      <xdr:colOff>1809750</xdr:colOff>
      <xdr:row>29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3F2B3AA-E288-B1AA-076D-647A291F6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19</xdr:row>
      <xdr:rowOff>95250</xdr:rowOff>
    </xdr:from>
    <xdr:to>
      <xdr:col>6</xdr:col>
      <xdr:colOff>1809750</xdr:colOff>
      <xdr:row>19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A7E8381-16E4-270C-2F1B-3497DB7CA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2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29</xdr:row>
      <xdr:rowOff>95250</xdr:rowOff>
    </xdr:from>
    <xdr:to>
      <xdr:col>6</xdr:col>
      <xdr:colOff>1809750</xdr:colOff>
      <xdr:row>29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30C2A04-A3C0-B0E5-938B-F82B45A5C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2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19</xdr:row>
      <xdr:rowOff>95250</xdr:rowOff>
    </xdr:from>
    <xdr:to>
      <xdr:col>7</xdr:col>
      <xdr:colOff>1809750</xdr:colOff>
      <xdr:row>19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77BB56F-5E3C-441F-400B-CAF7EDB92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02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29</xdr:row>
      <xdr:rowOff>95250</xdr:rowOff>
    </xdr:from>
    <xdr:to>
      <xdr:col>7</xdr:col>
      <xdr:colOff>1809750</xdr:colOff>
      <xdr:row>29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8689D88-C824-57A8-902C-0AA9B1175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02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19</xdr:row>
      <xdr:rowOff>95250</xdr:rowOff>
    </xdr:from>
    <xdr:to>
      <xdr:col>8</xdr:col>
      <xdr:colOff>1809750</xdr:colOff>
      <xdr:row>19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A67FA294-138A-116B-6998-7F1F2AEAB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93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29</xdr:row>
      <xdr:rowOff>95250</xdr:rowOff>
    </xdr:from>
    <xdr:to>
      <xdr:col>8</xdr:col>
      <xdr:colOff>1809750</xdr:colOff>
      <xdr:row>29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65C30B2F-C099-518E-ADC8-F2F2DC13D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93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19</xdr:row>
      <xdr:rowOff>95250</xdr:rowOff>
    </xdr:from>
    <xdr:to>
      <xdr:col>9</xdr:col>
      <xdr:colOff>1809750</xdr:colOff>
      <xdr:row>19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41FF18C3-54BC-B787-9A46-70B8CCDE2B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83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29</xdr:row>
      <xdr:rowOff>95250</xdr:rowOff>
    </xdr:from>
    <xdr:to>
      <xdr:col>9</xdr:col>
      <xdr:colOff>1809750</xdr:colOff>
      <xdr:row>29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909CB2A-2549-F9B7-2C2C-83079EC2AF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835890" y="71970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K216" totalsRowShown="0" dataDxfId="15">
  <autoFilter ref="D63:K216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Ozone" dataDxfId="14"/>
    <tableColumn id="8" xr3:uid="{5CEA6B82-08F7-4BBF-BE74-DD211F1E2384}" name="Solar.R" dataDxfId="13" dataCellStyle="Normal 2"/>
    <tableColumn id="3" xr3:uid="{D5282409-794E-4EA5-AAD8-995D080F401B}" name="Wind" dataDxfId="6"/>
    <tableColumn id="4" xr3:uid="{F802270C-06DF-4FEA-8875-1A992721A946}" name="Temp" dataDxfId="5"/>
    <tableColumn id="5" xr3:uid="{4CDDF951-D758-46F2-B9FE-6F3CE65CC70F}" name="Month" dataDxfId="4"/>
    <tableColumn id="6" xr3:uid="{C48E06BB-D24D-44D1-9B0D-89AD047E6FFB}" name="Day" dataDxfId="3"/>
    <tableColumn id="7" xr3:uid="{AB037092-4B8E-4E9C-B4BF-644BA51F3A2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K216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10" width="27.77734375" style="3" customWidth="1"/>
    <col min="11" max="11" width="15.88671875" style="3" bestFit="1" customWidth="1"/>
    <col min="12" max="16384" width="8.88671875" style="3"/>
  </cols>
  <sheetData>
    <row r="1" spans="1:11" s="63" customFormat="1" ht="31.8" hidden="1" customHeight="1" x14ac:dyDescent="0.3">
      <c r="A1" s="60"/>
      <c r="B1" s="60"/>
      <c r="C1" s="61"/>
      <c r="D1" s="62" t="s">
        <v>36</v>
      </c>
      <c r="E1" s="60"/>
      <c r="F1" s="60"/>
      <c r="G1" s="60"/>
      <c r="H1" s="60"/>
      <c r="I1" s="60"/>
      <c r="J1" s="60"/>
    </row>
    <row r="3" spans="1:11" ht="51.6" customHeight="1" x14ac:dyDescent="0.3">
      <c r="C3" s="5" t="s">
        <v>14</v>
      </c>
      <c r="D3" s="6"/>
      <c r="E3" s="67" t="s">
        <v>15</v>
      </c>
      <c r="F3" s="67" t="s">
        <v>15</v>
      </c>
      <c r="G3" s="67" t="s">
        <v>15</v>
      </c>
      <c r="H3" s="67" t="s">
        <v>15</v>
      </c>
      <c r="I3" s="67" t="s">
        <v>15</v>
      </c>
      <c r="J3" s="67" t="s">
        <v>15</v>
      </c>
    </row>
    <row r="4" spans="1:11" ht="10.050000000000001" customHeight="1" x14ac:dyDescent="0.3">
      <c r="C4" s="46"/>
      <c r="D4" s="66" t="s">
        <v>44</v>
      </c>
    </row>
    <row r="5" spans="1:11" ht="10.050000000000001" customHeight="1" thickBot="1" x14ac:dyDescent="0.35">
      <c r="C5" s="3"/>
      <c r="D5" s="65"/>
    </row>
    <row r="6" spans="1:11" s="11" customFormat="1" ht="30" customHeight="1" thickBot="1" x14ac:dyDescent="0.35">
      <c r="B6" s="3"/>
      <c r="C6" s="69"/>
      <c r="D6" s="70" t="s">
        <v>16</v>
      </c>
      <c r="E6" s="71" t="s">
        <v>45</v>
      </c>
      <c r="F6" s="71" t="s">
        <v>46</v>
      </c>
      <c r="G6" s="71" t="s">
        <v>47</v>
      </c>
      <c r="H6" s="71" t="s">
        <v>48</v>
      </c>
      <c r="I6" s="71" t="s">
        <v>49</v>
      </c>
      <c r="J6" s="71" t="s">
        <v>50</v>
      </c>
      <c r="K6" s="11" t="s">
        <v>34</v>
      </c>
    </row>
    <row r="7" spans="1:11" ht="10.050000000000001" customHeight="1" x14ac:dyDescent="0.3">
      <c r="C7" s="46"/>
      <c r="D7" s="8"/>
    </row>
    <row r="8" spans="1:11" s="55" customFormat="1" ht="14.4" customHeight="1" outlineLevel="2" x14ac:dyDescent="0.3">
      <c r="C8" s="56"/>
      <c r="D8" s="17" t="s">
        <v>17</v>
      </c>
      <c r="E8" s="53" t="s">
        <v>51</v>
      </c>
      <c r="F8" s="53" t="s">
        <v>51</v>
      </c>
      <c r="G8" s="53" t="s">
        <v>51</v>
      </c>
      <c r="H8" s="53" t="s">
        <v>52</v>
      </c>
      <c r="I8" s="53" t="s">
        <v>52</v>
      </c>
      <c r="J8" s="53" t="s">
        <v>52</v>
      </c>
    </row>
    <row r="9" spans="1:11" s="55" customFormat="1" ht="14.4" customHeight="1" outlineLevel="2" x14ac:dyDescent="0.3">
      <c r="C9" s="57"/>
      <c r="D9" s="20" t="s">
        <v>21</v>
      </c>
      <c r="E9" s="58">
        <v>0.43790849673202614</v>
      </c>
      <c r="F9" s="58">
        <v>0.76470588235294112</v>
      </c>
      <c r="G9" s="58">
        <v>0.20261437908496732</v>
      </c>
      <c r="H9" s="58">
        <v>0.26143790849673204</v>
      </c>
      <c r="I9" s="58">
        <v>3.2679738562091505E-2</v>
      </c>
      <c r="J9" s="58">
        <v>0.20261437908496732</v>
      </c>
    </row>
    <row r="10" spans="1:11" s="55" customFormat="1" ht="14.4" customHeight="1" outlineLevel="2" x14ac:dyDescent="0.3">
      <c r="C10" s="57"/>
      <c r="D10" s="20" t="s">
        <v>24</v>
      </c>
      <c r="E10" s="58">
        <v>0.24183006535947713</v>
      </c>
      <c r="F10" s="58">
        <v>4.5751633986928102E-2</v>
      </c>
      <c r="G10" s="58">
        <v>0</v>
      </c>
      <c r="H10" s="58">
        <v>0</v>
      </c>
      <c r="I10" s="58">
        <v>0</v>
      </c>
      <c r="J10" s="58">
        <v>0</v>
      </c>
    </row>
    <row r="11" spans="1:11" ht="14.4" customHeight="1" outlineLevel="2" x14ac:dyDescent="0.3">
      <c r="C11" s="19"/>
      <c r="D11" s="34" t="s">
        <v>19</v>
      </c>
      <c r="E11" s="58">
        <v>0.21702127659574469</v>
      </c>
      <c r="F11" s="58">
        <v>0.21702127659574469</v>
      </c>
      <c r="G11" s="58">
        <v>0.21702127659574469</v>
      </c>
      <c r="H11" s="58">
        <v>0.10851063829787234</v>
      </c>
      <c r="I11" s="58">
        <v>0.10851063829787234</v>
      </c>
      <c r="J11" s="58">
        <v>0.10851063829787234</v>
      </c>
    </row>
    <row r="12" spans="1:11" customFormat="1" ht="10.050000000000001" customHeight="1" outlineLevel="2" x14ac:dyDescent="0.3"/>
    <row r="13" spans="1:11" ht="19.95" customHeight="1" outlineLevel="1" x14ac:dyDescent="0.35">
      <c r="C13" s="13" t="s">
        <v>14</v>
      </c>
      <c r="D13" s="14"/>
      <c r="E13" s="52"/>
      <c r="F13" s="12"/>
      <c r="G13" s="12"/>
      <c r="H13" s="12"/>
      <c r="I13" s="12"/>
      <c r="J13" s="12"/>
    </row>
    <row r="14" spans="1:11" ht="10.050000000000001" customHeight="1" outlineLevel="1" x14ac:dyDescent="0.3">
      <c r="C14" s="15"/>
      <c r="D14" s="54"/>
      <c r="E14" s="54"/>
      <c r="F14" s="54"/>
      <c r="G14" s="54"/>
      <c r="H14" s="54"/>
      <c r="I14" s="54"/>
      <c r="J14" s="54"/>
    </row>
    <row r="15" spans="1:11" ht="14.4" hidden="1" customHeight="1" outlineLevel="2" x14ac:dyDescent="0.3">
      <c r="C15" s="19"/>
      <c r="D15" s="17" t="s">
        <v>18</v>
      </c>
      <c r="E15" s="18">
        <v>1224</v>
      </c>
      <c r="F15" s="18">
        <v>1224</v>
      </c>
      <c r="G15" s="18">
        <v>1224</v>
      </c>
      <c r="H15" s="18">
        <v>612</v>
      </c>
      <c r="I15" s="18">
        <v>612</v>
      </c>
      <c r="J15" s="18">
        <v>612</v>
      </c>
    </row>
    <row r="16" spans="1:11" ht="14.4" hidden="1" customHeight="1" outlineLevel="2" x14ac:dyDescent="0.3">
      <c r="C16" s="19"/>
      <c r="D16" s="20" t="s">
        <v>20</v>
      </c>
      <c r="E16" s="18">
        <v>67</v>
      </c>
      <c r="F16" s="18">
        <v>117</v>
      </c>
      <c r="G16" s="18">
        <v>31</v>
      </c>
      <c r="H16" s="18">
        <v>40</v>
      </c>
      <c r="I16" s="18">
        <v>5</v>
      </c>
      <c r="J16" s="18">
        <v>31</v>
      </c>
    </row>
    <row r="17" spans="3:10" ht="14.4" hidden="1" customHeight="1" outlineLevel="2" x14ac:dyDescent="0.3">
      <c r="C17" s="19"/>
      <c r="D17" s="20" t="s">
        <v>22</v>
      </c>
      <c r="E17" s="18">
        <v>116</v>
      </c>
      <c r="F17" s="18">
        <v>146</v>
      </c>
      <c r="G17" s="18">
        <v>153</v>
      </c>
      <c r="H17" s="18">
        <v>153</v>
      </c>
      <c r="I17" s="18">
        <v>153</v>
      </c>
      <c r="J17" s="18">
        <v>153</v>
      </c>
    </row>
    <row r="18" spans="3:10" ht="14.4" hidden="1" customHeight="1" outlineLevel="2" x14ac:dyDescent="0.3">
      <c r="C18" s="19"/>
      <c r="D18" s="34" t="s">
        <v>23</v>
      </c>
      <c r="E18" s="22">
        <v>37</v>
      </c>
      <c r="F18" s="22">
        <v>7</v>
      </c>
      <c r="G18" s="22">
        <v>0</v>
      </c>
      <c r="H18" s="22">
        <v>0</v>
      </c>
      <c r="I18" s="22">
        <v>0</v>
      </c>
      <c r="J18" s="22">
        <v>0</v>
      </c>
    </row>
    <row r="19" spans="3:10" ht="10.050000000000001" hidden="1" customHeight="1" outlineLevel="2" x14ac:dyDescent="0.3">
      <c r="C19" s="15"/>
      <c r="E19" s="12"/>
      <c r="F19" s="12"/>
      <c r="G19" s="12"/>
      <c r="H19" s="12"/>
      <c r="I19" s="12"/>
      <c r="J19" s="12"/>
    </row>
    <row r="20" spans="3:10" ht="150" hidden="1" customHeight="1" outlineLevel="2" x14ac:dyDescent="0.3">
      <c r="C20" s="24"/>
      <c r="D20" s="25"/>
      <c r="E20" s="26"/>
      <c r="F20" s="26"/>
      <c r="G20" s="26"/>
      <c r="H20" s="26"/>
      <c r="I20" s="26"/>
      <c r="J20" s="26"/>
    </row>
    <row r="21" spans="3:10" ht="10.050000000000001" hidden="1" customHeight="1" outlineLevel="2" x14ac:dyDescent="0.3">
      <c r="C21" s="27"/>
      <c r="E21" s="12"/>
      <c r="F21" s="12"/>
      <c r="G21" s="12"/>
      <c r="H21" s="12"/>
      <c r="I21" s="12"/>
      <c r="J21" s="12"/>
    </row>
    <row r="22" spans="3:10" ht="19.95" customHeight="1" outlineLevel="1" collapsed="1" x14ac:dyDescent="0.3">
      <c r="C22" s="13" t="s">
        <v>14</v>
      </c>
      <c r="D22" s="14"/>
      <c r="E22" s="12"/>
      <c r="F22" s="12"/>
      <c r="G22" s="12"/>
      <c r="H22" s="12"/>
      <c r="I22" s="12"/>
      <c r="J22" s="12"/>
    </row>
    <row r="23" spans="3:10" s="28" customFormat="1" ht="10.050000000000001" customHeight="1" outlineLevel="1" x14ac:dyDescent="0.3">
      <c r="C23" s="29"/>
      <c r="D23" s="30"/>
      <c r="E23" s="12"/>
      <c r="F23" s="12"/>
      <c r="G23" s="12"/>
      <c r="H23" s="12"/>
      <c r="I23" s="12"/>
      <c r="J23" s="12"/>
    </row>
    <row r="24" spans="3:10" ht="14.4" hidden="1" customHeight="1" outlineLevel="2" x14ac:dyDescent="0.35">
      <c r="C24" s="16"/>
      <c r="D24" s="17" t="s">
        <v>25</v>
      </c>
      <c r="E24" s="31">
        <v>42.129310344827587</v>
      </c>
      <c r="F24" s="31">
        <v>185.93150684931507</v>
      </c>
      <c r="G24" s="31">
        <v>9.9575163398692812</v>
      </c>
      <c r="H24" s="31">
        <v>77.882352941176464</v>
      </c>
      <c r="I24" s="31">
        <v>6.9934640522875817</v>
      </c>
      <c r="J24" s="31">
        <v>15.803921568627452</v>
      </c>
    </row>
    <row r="25" spans="3:10" ht="14.4" hidden="1" customHeight="1" outlineLevel="2" x14ac:dyDescent="0.3">
      <c r="C25" s="19"/>
      <c r="D25" s="21" t="s">
        <v>26</v>
      </c>
      <c r="E25" s="32">
        <v>31.5</v>
      </c>
      <c r="F25" s="32">
        <v>205</v>
      </c>
      <c r="G25" s="32">
        <v>9.6999999999999993</v>
      </c>
      <c r="H25" s="32">
        <v>79</v>
      </c>
      <c r="I25" s="32">
        <v>7</v>
      </c>
      <c r="J25" s="32">
        <v>16</v>
      </c>
    </row>
    <row r="26" spans="3:10" ht="14.4" hidden="1" customHeight="1" outlineLevel="2" x14ac:dyDescent="0.3">
      <c r="C26" s="19"/>
      <c r="D26" s="20" t="s">
        <v>27</v>
      </c>
      <c r="E26" s="22">
        <v>23</v>
      </c>
      <c r="F26" s="22">
        <v>238</v>
      </c>
      <c r="G26" s="22">
        <v>11.5</v>
      </c>
      <c r="H26" s="22">
        <v>81</v>
      </c>
      <c r="I26" s="22">
        <v>5</v>
      </c>
      <c r="J26" s="22">
        <v>1</v>
      </c>
    </row>
    <row r="27" spans="3:10" ht="14.4" hidden="1" customHeight="1" outlineLevel="2" x14ac:dyDescent="0.3">
      <c r="C27" s="19"/>
      <c r="D27" s="21" t="s">
        <v>28</v>
      </c>
      <c r="E27" s="33">
        <v>32.987884514433951</v>
      </c>
      <c r="F27" s="33">
        <v>90.058422228381673</v>
      </c>
      <c r="G27" s="33">
        <v>3.5230013522125962</v>
      </c>
      <c r="H27" s="33">
        <v>9.4652697409714559</v>
      </c>
      <c r="I27" s="33">
        <v>1.4165224840123147</v>
      </c>
      <c r="J27" s="33">
        <v>8.8645203684254188</v>
      </c>
    </row>
    <row r="28" spans="3:10" ht="14.4" hidden="1" customHeight="1" outlineLevel="2" x14ac:dyDescent="0.3">
      <c r="C28" s="19"/>
      <c r="D28" s="34" t="s">
        <v>29</v>
      </c>
      <c r="E28" s="31">
        <v>1088.2005247376312</v>
      </c>
      <c r="F28" s="31">
        <v>8110.51941426547</v>
      </c>
      <c r="G28" s="31">
        <v>12.411538527691782</v>
      </c>
      <c r="H28" s="31">
        <v>89.591331269349851</v>
      </c>
      <c r="I28" s="31">
        <v>2.0065359477124183</v>
      </c>
      <c r="J28" s="31">
        <v>78.579721362229122</v>
      </c>
    </row>
    <row r="29" spans="3:10" ht="10.050000000000001" hidden="1" customHeight="1" outlineLevel="2" x14ac:dyDescent="0.3">
      <c r="C29" s="15"/>
      <c r="E29" s="12"/>
      <c r="F29" s="12"/>
      <c r="G29" s="12"/>
      <c r="H29" s="12"/>
      <c r="I29" s="12"/>
      <c r="J29" s="12"/>
    </row>
    <row r="30" spans="3:10" s="28" customFormat="1" ht="150" hidden="1" customHeight="1" outlineLevel="2" x14ac:dyDescent="0.3">
      <c r="C30" s="24"/>
      <c r="D30" s="25"/>
      <c r="E30" s="26"/>
      <c r="F30" s="26"/>
      <c r="G30" s="26"/>
      <c r="H30" s="26"/>
      <c r="I30" s="26"/>
      <c r="J30" s="26"/>
    </row>
    <row r="31" spans="3:10" s="28" customFormat="1" ht="10.050000000000001" hidden="1" customHeight="1" outlineLevel="2" x14ac:dyDescent="0.3">
      <c r="C31" s="24"/>
      <c r="D31" s="35"/>
      <c r="E31" s="12"/>
      <c r="F31" s="12"/>
      <c r="G31" s="12"/>
      <c r="H31" s="12"/>
      <c r="I31" s="12"/>
      <c r="J31" s="12"/>
    </row>
    <row r="32" spans="3:10" ht="19.95" customHeight="1" outlineLevel="1" collapsed="1" x14ac:dyDescent="0.3">
      <c r="C32" s="13" t="s">
        <v>14</v>
      </c>
      <c r="D32" s="14"/>
      <c r="E32" s="12"/>
      <c r="F32" s="12"/>
      <c r="G32" s="12"/>
      <c r="H32" s="12"/>
      <c r="I32" s="12"/>
      <c r="J32" s="12"/>
    </row>
    <row r="33" spans="2:10" s="28" customFormat="1" ht="10.050000000000001" customHeight="1" outlineLevel="1" x14ac:dyDescent="0.3">
      <c r="C33" s="29"/>
      <c r="D33" s="30"/>
      <c r="E33" s="12"/>
      <c r="F33" s="12"/>
      <c r="G33" s="12"/>
      <c r="H33" s="12"/>
      <c r="I33" s="12"/>
      <c r="J33" s="12"/>
    </row>
    <row r="34" spans="2:10" ht="14.4" hidden="1" customHeight="1" outlineLevel="2" x14ac:dyDescent="0.35">
      <c r="C34" s="16"/>
      <c r="D34" s="36" t="s">
        <v>30</v>
      </c>
      <c r="E34" s="33">
        <v>1</v>
      </c>
      <c r="F34" s="33">
        <v>7</v>
      </c>
      <c r="G34" s="33">
        <v>1.7</v>
      </c>
      <c r="H34" s="33">
        <v>56</v>
      </c>
      <c r="I34" s="33">
        <v>5</v>
      </c>
      <c r="J34" s="33">
        <v>1</v>
      </c>
    </row>
    <row r="35" spans="2:10" ht="14.4" hidden="1" customHeight="1" outlineLevel="2" x14ac:dyDescent="0.3">
      <c r="C35" s="15"/>
      <c r="D35" s="37">
        <v>0.05</v>
      </c>
      <c r="E35" s="31">
        <v>7.75</v>
      </c>
      <c r="F35" s="31">
        <v>24.25</v>
      </c>
      <c r="G35" s="31">
        <v>4.5999999999999996</v>
      </c>
      <c r="H35" s="31">
        <v>60.2</v>
      </c>
      <c r="I35" s="31">
        <v>5</v>
      </c>
      <c r="J35" s="31">
        <v>2</v>
      </c>
    </row>
    <row r="36" spans="2:10" ht="14.4" hidden="1" customHeight="1" outlineLevel="2" x14ac:dyDescent="0.3">
      <c r="C36" s="15"/>
      <c r="D36" s="38">
        <v>0.25</v>
      </c>
      <c r="E36" s="33">
        <v>18</v>
      </c>
      <c r="F36" s="33">
        <v>115.75</v>
      </c>
      <c r="G36" s="33">
        <v>7.4</v>
      </c>
      <c r="H36" s="33">
        <v>72</v>
      </c>
      <c r="I36" s="33">
        <v>6</v>
      </c>
      <c r="J36" s="33">
        <v>8</v>
      </c>
    </row>
    <row r="37" spans="2:10" ht="14.4" hidden="1" customHeight="1" outlineLevel="2" x14ac:dyDescent="0.3">
      <c r="C37" s="15"/>
      <c r="D37" s="37">
        <v>0.5</v>
      </c>
      <c r="E37" s="31">
        <v>31.5</v>
      </c>
      <c r="F37" s="31">
        <v>205</v>
      </c>
      <c r="G37" s="31">
        <v>9.6999999999999993</v>
      </c>
      <c r="H37" s="31">
        <v>79</v>
      </c>
      <c r="I37" s="31">
        <v>7</v>
      </c>
      <c r="J37" s="31">
        <v>16</v>
      </c>
    </row>
    <row r="38" spans="2:10" ht="14.4" hidden="1" customHeight="1" outlineLevel="2" x14ac:dyDescent="0.3">
      <c r="C38" s="15"/>
      <c r="D38" s="38">
        <v>0.75</v>
      </c>
      <c r="E38" s="33">
        <v>63.25</v>
      </c>
      <c r="F38" s="33">
        <v>258.75</v>
      </c>
      <c r="G38" s="33">
        <v>11.5</v>
      </c>
      <c r="H38" s="33">
        <v>85</v>
      </c>
      <c r="I38" s="33">
        <v>8</v>
      </c>
      <c r="J38" s="33">
        <v>23</v>
      </c>
    </row>
    <row r="39" spans="2:10" ht="14.4" hidden="1" customHeight="1" outlineLevel="2" x14ac:dyDescent="0.3">
      <c r="C39" s="15"/>
      <c r="D39" s="37">
        <v>0.95</v>
      </c>
      <c r="E39" s="31">
        <v>108.5</v>
      </c>
      <c r="F39" s="31">
        <v>311.5</v>
      </c>
      <c r="G39" s="31">
        <v>15.5</v>
      </c>
      <c r="H39" s="31">
        <v>92</v>
      </c>
      <c r="I39" s="31">
        <v>9</v>
      </c>
      <c r="J39" s="31">
        <v>29.400000000000006</v>
      </c>
    </row>
    <row r="40" spans="2:10" ht="14.4" hidden="1" customHeight="1" outlineLevel="2" x14ac:dyDescent="0.3">
      <c r="C40" s="15"/>
      <c r="D40" s="38" t="s">
        <v>31</v>
      </c>
      <c r="E40" s="33">
        <v>168</v>
      </c>
      <c r="F40" s="33">
        <v>334</v>
      </c>
      <c r="G40" s="33">
        <v>20.7</v>
      </c>
      <c r="H40" s="33">
        <v>97</v>
      </c>
      <c r="I40" s="33">
        <v>9</v>
      </c>
      <c r="J40" s="33">
        <v>31</v>
      </c>
    </row>
    <row r="41" spans="2:10" ht="14.4" hidden="1" customHeight="1" outlineLevel="2" x14ac:dyDescent="0.3">
      <c r="C41" s="15"/>
      <c r="D41" s="20" t="s">
        <v>32</v>
      </c>
      <c r="E41" s="31">
        <v>167</v>
      </c>
      <c r="F41" s="31">
        <v>327</v>
      </c>
      <c r="G41" s="31">
        <v>19</v>
      </c>
      <c r="H41" s="31">
        <v>41</v>
      </c>
      <c r="I41" s="31">
        <v>4</v>
      </c>
      <c r="J41" s="31">
        <v>30</v>
      </c>
    </row>
    <row r="42" spans="2:10" ht="14.4" hidden="1" customHeight="1" outlineLevel="2" x14ac:dyDescent="0.3">
      <c r="C42" s="27"/>
      <c r="D42" s="23" t="s">
        <v>33</v>
      </c>
      <c r="E42" s="33">
        <v>45.25</v>
      </c>
      <c r="F42" s="33">
        <v>143</v>
      </c>
      <c r="G42" s="33">
        <v>4.0999999999999996</v>
      </c>
      <c r="H42" s="33">
        <v>13</v>
      </c>
      <c r="I42" s="33">
        <v>2</v>
      </c>
      <c r="J42" s="33">
        <v>15</v>
      </c>
    </row>
    <row r="43" spans="2:10" ht="10.050000000000001" hidden="1" customHeight="1" outlineLevel="2" x14ac:dyDescent="0.3">
      <c r="C43" s="27"/>
      <c r="E43" s="12"/>
      <c r="F43" s="12"/>
      <c r="G43" s="12"/>
      <c r="H43" s="12"/>
      <c r="I43" s="12"/>
      <c r="J43" s="12"/>
    </row>
    <row r="44" spans="2:10" ht="19.95" customHeight="1" outlineLevel="1" collapsed="1" x14ac:dyDescent="0.3">
      <c r="B44" s="46"/>
      <c r="C44" s="13" t="s">
        <v>14</v>
      </c>
      <c r="D44" s="14"/>
      <c r="E44" s="12"/>
      <c r="F44" s="12"/>
      <c r="G44" s="12"/>
      <c r="H44" s="12"/>
      <c r="I44" s="12"/>
      <c r="J44" s="12"/>
    </row>
    <row r="45" spans="2:10" ht="10.050000000000001" customHeight="1" outlineLevel="1" x14ac:dyDescent="0.3">
      <c r="B45" s="46"/>
      <c r="C45" s="29"/>
      <c r="E45" s="12"/>
      <c r="F45" s="12"/>
      <c r="G45" s="12"/>
      <c r="H45" s="12"/>
      <c r="I45" s="12"/>
      <c r="J45" s="12"/>
    </row>
    <row r="46" spans="2:10" ht="14.4" hidden="1" customHeight="1" outlineLevel="2" x14ac:dyDescent="0.3">
      <c r="B46" s="46"/>
      <c r="C46" s="46"/>
      <c r="D46" s="39" t="s">
        <v>38</v>
      </c>
      <c r="E46" s="40" t="b">
        <v>0</v>
      </c>
      <c r="F46" s="40" t="b">
        <v>0</v>
      </c>
      <c r="G46" s="40" t="b">
        <v>0</v>
      </c>
      <c r="H46" s="40" t="b">
        <v>0</v>
      </c>
      <c r="I46" s="40" t="b">
        <v>0</v>
      </c>
      <c r="J46" s="40" t="b">
        <v>0</v>
      </c>
    </row>
    <row r="47" spans="2:10" ht="14.4" hidden="1" customHeight="1" outlineLevel="2" x14ac:dyDescent="0.3">
      <c r="B47" s="46"/>
      <c r="C47" s="46"/>
      <c r="D47" s="39" t="s">
        <v>39</v>
      </c>
      <c r="E47" s="40" t="b">
        <v>0</v>
      </c>
      <c r="F47" s="40" t="b">
        <v>0</v>
      </c>
      <c r="G47" s="40" t="b">
        <v>0</v>
      </c>
      <c r="H47" s="40" t="b">
        <v>0</v>
      </c>
      <c r="I47" s="40" t="b">
        <v>0</v>
      </c>
      <c r="J47" s="40" t="b">
        <v>0</v>
      </c>
    </row>
    <row r="48" spans="2:10" ht="14.4" hidden="1" customHeight="1" outlineLevel="2" x14ac:dyDescent="0.3">
      <c r="B48" s="46"/>
      <c r="C48" s="46"/>
      <c r="D48" s="39" t="s">
        <v>40</v>
      </c>
      <c r="E48" s="40" t="b">
        <v>0</v>
      </c>
      <c r="F48" s="40" t="b">
        <v>0</v>
      </c>
      <c r="G48" s="40" t="b">
        <v>0</v>
      </c>
      <c r="H48" s="40" t="b">
        <v>0</v>
      </c>
      <c r="I48" s="40" t="b">
        <v>0</v>
      </c>
      <c r="J48" s="40" t="b">
        <v>0</v>
      </c>
    </row>
    <row r="49" spans="2:11" ht="14.4" hidden="1" customHeight="1" outlineLevel="2" x14ac:dyDescent="0.3">
      <c r="B49" s="46"/>
      <c r="C49" s="46"/>
      <c r="D49" s="39" t="s">
        <v>41</v>
      </c>
      <c r="E49" s="40" t="b">
        <v>0</v>
      </c>
      <c r="F49" s="40" t="b">
        <v>0</v>
      </c>
      <c r="G49" s="40" t="b">
        <v>0</v>
      </c>
      <c r="H49" s="40" t="b">
        <v>0</v>
      </c>
      <c r="I49" s="40" t="b">
        <v>0</v>
      </c>
      <c r="J49" s="40" t="b">
        <v>0</v>
      </c>
    </row>
    <row r="50" spans="2:11" ht="14.4" hidden="1" customHeight="1" outlineLevel="2" x14ac:dyDescent="0.3">
      <c r="B50" s="46"/>
      <c r="C50" s="46"/>
      <c r="D50" s="39" t="s">
        <v>42</v>
      </c>
      <c r="E50" s="40" t="b">
        <v>0</v>
      </c>
      <c r="F50" s="40" t="b">
        <v>0</v>
      </c>
      <c r="G50" s="40" t="b">
        <v>0</v>
      </c>
      <c r="H50" s="40" t="b">
        <v>0</v>
      </c>
      <c r="I50" s="40" t="b">
        <v>0</v>
      </c>
      <c r="J50" s="40" t="b">
        <v>0</v>
      </c>
    </row>
    <row r="51" spans="2:11" ht="14.4" hidden="1" customHeight="1" outlineLevel="2" x14ac:dyDescent="0.3">
      <c r="C51" s="3"/>
      <c r="D51" s="23" t="s">
        <v>43</v>
      </c>
      <c r="E51" s="41" t="b">
        <v>0</v>
      </c>
      <c r="F51" s="41" t="b">
        <v>0</v>
      </c>
      <c r="G51" s="41" t="b">
        <v>0</v>
      </c>
      <c r="H51" s="41" t="b">
        <v>0</v>
      </c>
      <c r="I51" s="41" t="b">
        <v>0</v>
      </c>
      <c r="J51" s="41" t="b">
        <v>0</v>
      </c>
    </row>
    <row r="52" spans="2:11" ht="10.050000000000001" hidden="1" customHeight="1" outlineLevel="2" x14ac:dyDescent="0.3">
      <c r="C52" s="24"/>
      <c r="E52" s="12"/>
      <c r="F52" s="12"/>
      <c r="G52" s="12"/>
      <c r="H52" s="12"/>
      <c r="I52" s="12"/>
      <c r="J52" s="12"/>
    </row>
    <row r="53" spans="2:11" ht="19.95" customHeight="1" outlineLevel="1" collapsed="1" x14ac:dyDescent="0.3">
      <c r="B53" s="46"/>
      <c r="C53" s="13" t="s">
        <v>14</v>
      </c>
      <c r="D53" s="14"/>
      <c r="E53" s="12"/>
      <c r="F53" s="12"/>
      <c r="G53" s="12"/>
      <c r="H53" s="12"/>
      <c r="I53" s="12"/>
      <c r="J53" s="12"/>
    </row>
    <row r="54" spans="2:11" ht="10.050000000000001" customHeight="1" outlineLevel="1" x14ac:dyDescent="0.3">
      <c r="B54" s="46"/>
      <c r="C54" s="13"/>
      <c r="D54" s="14"/>
      <c r="E54" s="12"/>
      <c r="F54" s="12"/>
      <c r="G54" s="12"/>
      <c r="H54" s="12"/>
      <c r="I54" s="12"/>
      <c r="J54" s="12"/>
    </row>
    <row r="55" spans="2:11" ht="14.4" hidden="1" customHeight="1" outlineLevel="2" x14ac:dyDescent="0.3">
      <c r="B55" s="46"/>
      <c r="C55" s="46"/>
      <c r="D55" s="50" t="str">
        <f>IF(COUNTIF(FieldList1, "&lt;&gt;FALSE") = 0,"",SUBSTITUTE(LOWER(D46)," ","_") &amp;" = ")</f>
        <v/>
      </c>
      <c r="E55" s="49" t="str">
        <f>IF(COUNTIF(FieldList1, "&lt;&gt;FALSE") = 0,"","['"&amp;_xlfn.TEXTJOIN("', '", TRUE, _xlfn._xlws.FILTER(FieldRange,FieldList1&lt;&gt; FALSE, ""))&amp;"']")</f>
        <v/>
      </c>
    </row>
    <row r="56" spans="2:11" ht="14.4" hidden="1" customHeight="1" outlineLevel="2" x14ac:dyDescent="0.3">
      <c r="B56" s="46"/>
      <c r="C56" s="46"/>
      <c r="D56" s="50" t="str">
        <f>IF(COUNTIF(FieldList2, "&lt;&gt;FALSE") = 0,"",SUBSTITUTE(LOWER(D47)," ","_")&amp;" = ")</f>
        <v/>
      </c>
      <c r="E56" s="49" t="str">
        <f>IF(COUNTIF(FieldList2, "&lt;&gt;FALSE") = 0,"","['"&amp;_xlfn.TEXTJOIN("', '", TRUE, _xlfn._xlws.FILTER(FieldRange,FieldList2&lt;&gt; FALSE, ""))&amp;"']")</f>
        <v/>
      </c>
    </row>
    <row r="57" spans="2:11" ht="14.4" hidden="1" customHeight="1" outlineLevel="2" x14ac:dyDescent="0.3">
      <c r="B57" s="46"/>
      <c r="C57" s="46"/>
      <c r="D57" s="50" t="str">
        <f>IF(COUNTIF(FieldList3, "&lt;&gt;FALSE") = 0,"",SUBSTITUTE(LOWER(D48)," ","_")&amp;" = ")</f>
        <v/>
      </c>
      <c r="E57" s="49" t="str">
        <f>IF(COUNTIF(FieldList3, "&lt;&gt;FALSE") = 0,"","['"&amp;_xlfn.TEXTJOIN("', '", TRUE, _xlfn._xlws.FILTER(FieldRange,FieldList3&lt;&gt; FALSE, ""))&amp;"']")</f>
        <v/>
      </c>
    </row>
    <row r="58" spans="2:11" ht="14.4" hidden="1" customHeight="1" outlineLevel="2" x14ac:dyDescent="0.3">
      <c r="B58" s="46"/>
      <c r="C58" s="46"/>
      <c r="D58" s="50" t="str">
        <f>IF(COUNTIF(FieldList4, "&lt;&gt;FALSE") = 0,"",SUBSTITUTE(LOWER(D49)," ","_")&amp;" = ")</f>
        <v/>
      </c>
      <c r="E58" s="49" t="str">
        <f>IF(COUNTIF(FieldList4, "&lt;&gt;FALSE") = 0,"","['"&amp;_xlfn.TEXTJOIN("', '", TRUE, _xlfn._xlws.FILTER(FieldRange,FieldList4&lt;&gt; FALSE, ""))&amp;"']")</f>
        <v/>
      </c>
    </row>
    <row r="59" spans="2:11" ht="14.4" hidden="1" customHeight="1" outlineLevel="2" x14ac:dyDescent="0.3">
      <c r="B59" s="46"/>
      <c r="C59" s="46"/>
      <c r="D59" s="50" t="str">
        <f>IF(COUNTIF(FieldList5, "&lt;&gt;FALSE") = 0,"",SUBSTITUTE(LOWER(D50)," ","_")&amp;" = ")</f>
        <v/>
      </c>
      <c r="E59" s="49" t="str">
        <f>IF(COUNTIF(FieldList5, "&lt;&gt;FALSE") = 0,"","['"&amp;_xlfn.TEXTJOIN("', '", TRUE, _xlfn._xlws.FILTER(FieldRange,FieldList5&lt;&gt; FALSE, ""))&amp;"']")</f>
        <v/>
      </c>
    </row>
    <row r="60" spans="2:11" ht="13.8" hidden="1" customHeight="1" outlineLevel="2" x14ac:dyDescent="0.3">
      <c r="B60" s="46"/>
      <c r="C60" s="46"/>
      <c r="D60" s="50" t="str">
        <f>IF(COUNTIF(FieldList6, "&lt;&gt;FALSE") = 0,"",SUBSTITUTE(LOWER(D51)," ","_")&amp;" = ")</f>
        <v/>
      </c>
      <c r="E60" s="49" t="str">
        <f>IF(COUNTIF(FieldList6, "&lt;&gt;FALSE") = 0,"","['"&amp;_xlfn.TEXTJOIN("', '", TRUE, _xlfn._xlws.FILTER(FieldRange,FieldList6&lt;&gt; FALSE, ""))&amp;"']")</f>
        <v/>
      </c>
    </row>
    <row r="61" spans="2:11" ht="14.4" hidden="1" customHeight="1" outlineLevel="2" x14ac:dyDescent="0.3">
      <c r="C61" s="42"/>
      <c r="D61" s="51" t="str">
        <f>IF(COUNTIF(tbl_SourceData[Record List], "&lt;&gt;FALSE") = 0,"",SUBSTITUTE(LOWER(LightHeader)," ", "_") &amp;" = ")</f>
        <v/>
      </c>
      <c r="E61" s="49" t="str" cm="1">
        <f t="array" ref="E61">IF(COUNTIF(tbl_SourceData[Record List], "&lt;&gt;FALSE") = 0,"","['"&amp;_xlfn.TEXTJOIN("', '", TRUE, _xlfn._xlws.FILTER(_xlfn.TAKE(tbl_SourceData[],,-1), tbl_SourceData[Record List] &lt;&gt; FALSE, ""))&amp;"']")</f>
        <v/>
      </c>
    </row>
    <row r="62" spans="2:11" ht="10.050000000000001" customHeight="1" outlineLevel="2" x14ac:dyDescent="0.3">
      <c r="C62" s="24"/>
      <c r="D62" s="43"/>
      <c r="E62" s="44"/>
      <c r="F62" s="44"/>
      <c r="G62" s="44"/>
      <c r="H62" s="44"/>
      <c r="I62" s="44"/>
      <c r="J62" s="44"/>
    </row>
    <row r="63" spans="2:11" ht="30" customHeight="1" x14ac:dyDescent="0.3">
      <c r="D63" s="72" t="s">
        <v>37</v>
      </c>
      <c r="E63" s="45" t="s">
        <v>45</v>
      </c>
      <c r="F63" s="45" t="s">
        <v>46</v>
      </c>
      <c r="G63" s="45" t="s">
        <v>47</v>
      </c>
      <c r="H63" s="45" t="s">
        <v>48</v>
      </c>
      <c r="I63" s="45" t="s">
        <v>49</v>
      </c>
      <c r="J63" s="45" t="s">
        <v>50</v>
      </c>
      <c r="K63" s="72" t="s">
        <v>34</v>
      </c>
    </row>
    <row r="64" spans="2:11" x14ac:dyDescent="0.3">
      <c r="D64" s="47" t="b">
        <v>0</v>
      </c>
      <c r="E64" s="48">
        <v>41</v>
      </c>
      <c r="F64" s="48">
        <v>190</v>
      </c>
      <c r="G64" s="48">
        <v>7.4</v>
      </c>
      <c r="H64" s="48">
        <v>67</v>
      </c>
      <c r="I64" s="48">
        <v>5</v>
      </c>
      <c r="J64" s="48">
        <v>1</v>
      </c>
      <c r="K64" s="48">
        <v>1.4237666212301273E+19</v>
      </c>
    </row>
    <row r="65" spans="4:11" x14ac:dyDescent="0.3">
      <c r="D65" s="47" t="b">
        <v>0</v>
      </c>
      <c r="E65" s="48">
        <v>36</v>
      </c>
      <c r="F65" s="48">
        <v>118</v>
      </c>
      <c r="G65" s="48">
        <v>8</v>
      </c>
      <c r="H65" s="48">
        <v>72</v>
      </c>
      <c r="I65" s="48">
        <v>5</v>
      </c>
      <c r="J65" s="48">
        <v>2</v>
      </c>
      <c r="K65" s="48">
        <v>1.374395151138466E+19</v>
      </c>
    </row>
    <row r="66" spans="4:11" x14ac:dyDescent="0.3">
      <c r="D66" s="47" t="b">
        <v>0</v>
      </c>
      <c r="E66" s="48">
        <v>12</v>
      </c>
      <c r="F66" s="48">
        <v>149</v>
      </c>
      <c r="G66" s="48">
        <v>12.6</v>
      </c>
      <c r="H66" s="48">
        <v>74</v>
      </c>
      <c r="I66" s="48">
        <v>5</v>
      </c>
      <c r="J66" s="48">
        <v>3</v>
      </c>
      <c r="K66" s="48">
        <v>5.2753443775275561E+18</v>
      </c>
    </row>
    <row r="67" spans="4:11" x14ac:dyDescent="0.3">
      <c r="D67" s="47" t="b">
        <v>0</v>
      </c>
      <c r="E67" s="48">
        <v>18</v>
      </c>
      <c r="F67" s="48">
        <v>313</v>
      </c>
      <c r="G67" s="48">
        <v>11.5</v>
      </c>
      <c r="H67" s="48">
        <v>62</v>
      </c>
      <c r="I67" s="48">
        <v>5</v>
      </c>
      <c r="J67" s="48">
        <v>4</v>
      </c>
      <c r="K67" s="48">
        <v>1.7776443093057925E+19</v>
      </c>
    </row>
    <row r="68" spans="4:11" x14ac:dyDescent="0.3">
      <c r="D68" s="47" t="b">
        <v>0</v>
      </c>
      <c r="E68" s="48"/>
      <c r="F68" s="48"/>
      <c r="G68" s="48">
        <v>14.3</v>
      </c>
      <c r="H68" s="48">
        <v>56</v>
      </c>
      <c r="I68" s="48">
        <v>5</v>
      </c>
      <c r="J68" s="48">
        <v>5</v>
      </c>
      <c r="K68" s="48">
        <v>6.4422987034173481E+18</v>
      </c>
    </row>
    <row r="69" spans="4:11" x14ac:dyDescent="0.3">
      <c r="D69" s="47" t="b">
        <v>0</v>
      </c>
      <c r="E69" s="48">
        <v>28</v>
      </c>
      <c r="F69" s="48"/>
      <c r="G69" s="48">
        <v>14.9</v>
      </c>
      <c r="H69" s="48">
        <v>66</v>
      </c>
      <c r="I69" s="48">
        <v>5</v>
      </c>
      <c r="J69" s="48">
        <v>6</v>
      </c>
      <c r="K69" s="48">
        <v>1.131413381801249E+19</v>
      </c>
    </row>
    <row r="70" spans="4:11" x14ac:dyDescent="0.3">
      <c r="D70" s="47" t="b">
        <v>0</v>
      </c>
      <c r="E70" s="48">
        <v>23</v>
      </c>
      <c r="F70" s="48">
        <v>299</v>
      </c>
      <c r="G70" s="48">
        <v>8.6</v>
      </c>
      <c r="H70" s="48">
        <v>65</v>
      </c>
      <c r="I70" s="48">
        <v>5</v>
      </c>
      <c r="J70" s="48">
        <v>7</v>
      </c>
      <c r="K70" s="48">
        <v>9.2704192474804961E+18</v>
      </c>
    </row>
    <row r="71" spans="4:11" x14ac:dyDescent="0.3">
      <c r="D71" s="47" t="b">
        <v>0</v>
      </c>
      <c r="E71" s="48">
        <v>19</v>
      </c>
      <c r="F71" s="48">
        <v>99</v>
      </c>
      <c r="G71" s="48">
        <v>13.8</v>
      </c>
      <c r="H71" s="48">
        <v>59</v>
      </c>
      <c r="I71" s="48">
        <v>5</v>
      </c>
      <c r="J71" s="48">
        <v>8</v>
      </c>
      <c r="K71" s="48">
        <v>9.8659170379821179E+18</v>
      </c>
    </row>
    <row r="72" spans="4:11" x14ac:dyDescent="0.3">
      <c r="D72" s="47" t="b">
        <v>0</v>
      </c>
      <c r="E72" s="48">
        <v>8</v>
      </c>
      <c r="F72" s="48">
        <v>19</v>
      </c>
      <c r="G72" s="48">
        <v>20.100000000000001</v>
      </c>
      <c r="H72" s="48">
        <v>61</v>
      </c>
      <c r="I72" s="48">
        <v>5</v>
      </c>
      <c r="J72" s="48">
        <v>9</v>
      </c>
      <c r="K72" s="48">
        <v>1.031004983537861E+19</v>
      </c>
    </row>
    <row r="73" spans="4:11" x14ac:dyDescent="0.3">
      <c r="D73" s="47" t="b">
        <v>0</v>
      </c>
      <c r="E73" s="48"/>
      <c r="F73" s="48">
        <v>194</v>
      </c>
      <c r="G73" s="48">
        <v>8.6</v>
      </c>
      <c r="H73" s="48">
        <v>69</v>
      </c>
      <c r="I73" s="48">
        <v>5</v>
      </c>
      <c r="J73" s="48">
        <v>10</v>
      </c>
      <c r="K73" s="48">
        <v>1.0317948227543011E+19</v>
      </c>
    </row>
    <row r="74" spans="4:11" x14ac:dyDescent="0.3">
      <c r="D74" s="47" t="b">
        <v>0</v>
      </c>
      <c r="E74" s="48">
        <v>7</v>
      </c>
      <c r="F74" s="48"/>
      <c r="G74" s="48">
        <v>6.9</v>
      </c>
      <c r="H74" s="48">
        <v>74</v>
      </c>
      <c r="I74" s="48">
        <v>5</v>
      </c>
      <c r="J74" s="48">
        <v>11</v>
      </c>
      <c r="K74" s="48">
        <v>1.2413241555903455E+19</v>
      </c>
    </row>
    <row r="75" spans="4:11" x14ac:dyDescent="0.3">
      <c r="D75" s="47" t="b">
        <v>0</v>
      </c>
      <c r="E75" s="48">
        <v>16</v>
      </c>
      <c r="F75" s="48">
        <v>256</v>
      </c>
      <c r="G75" s="48">
        <v>9.6999999999999993</v>
      </c>
      <c r="H75" s="48">
        <v>69</v>
      </c>
      <c r="I75" s="48">
        <v>5</v>
      </c>
      <c r="J75" s="48">
        <v>12</v>
      </c>
      <c r="K75" s="48">
        <v>1.6160205701149225E+19</v>
      </c>
    </row>
    <row r="76" spans="4:11" x14ac:dyDescent="0.3">
      <c r="D76" s="47" t="b">
        <v>0</v>
      </c>
      <c r="E76" s="48">
        <v>11</v>
      </c>
      <c r="F76" s="48">
        <v>290</v>
      </c>
      <c r="G76" s="48">
        <v>9.1999999999999993</v>
      </c>
      <c r="H76" s="48">
        <v>66</v>
      </c>
      <c r="I76" s="48">
        <v>5</v>
      </c>
      <c r="J76" s="48">
        <v>13</v>
      </c>
      <c r="K76" s="48">
        <v>1.2972626901198617E+19</v>
      </c>
    </row>
    <row r="77" spans="4:11" x14ac:dyDescent="0.3">
      <c r="D77" s="47" t="b">
        <v>0</v>
      </c>
      <c r="E77" s="48">
        <v>14</v>
      </c>
      <c r="F77" s="48">
        <v>274</v>
      </c>
      <c r="G77" s="48">
        <v>10.9</v>
      </c>
      <c r="H77" s="48">
        <v>68</v>
      </c>
      <c r="I77" s="48">
        <v>5</v>
      </c>
      <c r="J77" s="48">
        <v>14</v>
      </c>
      <c r="K77" s="48">
        <v>1.9052002729290872E+18</v>
      </c>
    </row>
    <row r="78" spans="4:11" x14ac:dyDescent="0.3">
      <c r="D78" s="47" t="b">
        <v>0</v>
      </c>
      <c r="E78" s="48">
        <v>18</v>
      </c>
      <c r="F78" s="48">
        <v>65</v>
      </c>
      <c r="G78" s="48">
        <v>13.2</v>
      </c>
      <c r="H78" s="48">
        <v>58</v>
      </c>
      <c r="I78" s="48">
        <v>5</v>
      </c>
      <c r="J78" s="48">
        <v>15</v>
      </c>
      <c r="K78" s="48">
        <v>5.7397048408864768E+18</v>
      </c>
    </row>
    <row r="79" spans="4:11" x14ac:dyDescent="0.3">
      <c r="D79" s="47" t="b">
        <v>0</v>
      </c>
      <c r="E79" s="48">
        <v>14</v>
      </c>
      <c r="F79" s="48">
        <v>334</v>
      </c>
      <c r="G79" s="48">
        <v>11.5</v>
      </c>
      <c r="H79" s="48">
        <v>64</v>
      </c>
      <c r="I79" s="48">
        <v>5</v>
      </c>
      <c r="J79" s="48">
        <v>16</v>
      </c>
      <c r="K79" s="48">
        <v>3.4893492001965128E+18</v>
      </c>
    </row>
    <row r="80" spans="4:11" x14ac:dyDescent="0.3">
      <c r="D80" s="47" t="b">
        <v>0</v>
      </c>
      <c r="E80" s="48">
        <v>34</v>
      </c>
      <c r="F80" s="48">
        <v>307</v>
      </c>
      <c r="G80" s="48">
        <v>12</v>
      </c>
      <c r="H80" s="48">
        <v>66</v>
      </c>
      <c r="I80" s="48">
        <v>5</v>
      </c>
      <c r="J80" s="48">
        <v>17</v>
      </c>
      <c r="K80" s="48">
        <v>9.6188565385601779E+17</v>
      </c>
    </row>
    <row r="81" spans="4:11" x14ac:dyDescent="0.3">
      <c r="D81" s="47" t="b">
        <v>0</v>
      </c>
      <c r="E81" s="48">
        <v>6</v>
      </c>
      <c r="F81" s="48">
        <v>78</v>
      </c>
      <c r="G81" s="48">
        <v>18.399999999999999</v>
      </c>
      <c r="H81" s="48">
        <v>57</v>
      </c>
      <c r="I81" s="48">
        <v>5</v>
      </c>
      <c r="J81" s="48">
        <v>18</v>
      </c>
      <c r="K81" s="48">
        <v>4.4306217668719826E+18</v>
      </c>
    </row>
    <row r="82" spans="4:11" x14ac:dyDescent="0.3">
      <c r="D82" s="47" t="b">
        <v>0</v>
      </c>
      <c r="E82" s="48">
        <v>30</v>
      </c>
      <c r="F82" s="48">
        <v>322</v>
      </c>
      <c r="G82" s="48">
        <v>11.5</v>
      </c>
      <c r="H82" s="48">
        <v>68</v>
      </c>
      <c r="I82" s="48">
        <v>5</v>
      </c>
      <c r="J82" s="48">
        <v>19</v>
      </c>
      <c r="K82" s="48">
        <v>2.4335791874007613E+18</v>
      </c>
    </row>
    <row r="83" spans="4:11" x14ac:dyDescent="0.3">
      <c r="D83" s="47" t="b">
        <v>0</v>
      </c>
      <c r="E83" s="48">
        <v>11</v>
      </c>
      <c r="F83" s="48">
        <v>44</v>
      </c>
      <c r="G83" s="48">
        <v>9.6999999999999993</v>
      </c>
      <c r="H83" s="48">
        <v>62</v>
      </c>
      <c r="I83" s="48">
        <v>5</v>
      </c>
      <c r="J83" s="48">
        <v>20</v>
      </c>
      <c r="K83" s="48">
        <v>9.7839319724629033E+18</v>
      </c>
    </row>
    <row r="84" spans="4:11" x14ac:dyDescent="0.3">
      <c r="D84" s="47" t="b">
        <v>0</v>
      </c>
      <c r="E84" s="48">
        <v>1</v>
      </c>
      <c r="F84" s="48">
        <v>8</v>
      </c>
      <c r="G84" s="48">
        <v>9.6999999999999993</v>
      </c>
      <c r="H84" s="48">
        <v>59</v>
      </c>
      <c r="I84" s="48">
        <v>5</v>
      </c>
      <c r="J84" s="48">
        <v>21</v>
      </c>
      <c r="K84" s="48">
        <v>1.2728005512272036E+19</v>
      </c>
    </row>
    <row r="85" spans="4:11" x14ac:dyDescent="0.3">
      <c r="D85" s="47" t="b">
        <v>0</v>
      </c>
      <c r="E85" s="48">
        <v>11</v>
      </c>
      <c r="F85" s="48">
        <v>320</v>
      </c>
      <c r="G85" s="48">
        <v>16.600000000000001</v>
      </c>
      <c r="H85" s="48">
        <v>73</v>
      </c>
      <c r="I85" s="48">
        <v>5</v>
      </c>
      <c r="J85" s="48">
        <v>22</v>
      </c>
      <c r="K85" s="48">
        <v>1.2052427777958955E+19</v>
      </c>
    </row>
    <row r="86" spans="4:11" x14ac:dyDescent="0.3">
      <c r="D86" s="47" t="b">
        <v>0</v>
      </c>
      <c r="E86" s="48">
        <v>4</v>
      </c>
      <c r="F86" s="48">
        <v>25</v>
      </c>
      <c r="G86" s="48">
        <v>9.6999999999999993</v>
      </c>
      <c r="H86" s="48">
        <v>61</v>
      </c>
      <c r="I86" s="48">
        <v>5</v>
      </c>
      <c r="J86" s="48">
        <v>23</v>
      </c>
      <c r="K86" s="48">
        <v>3.4975419758365778E+18</v>
      </c>
    </row>
    <row r="87" spans="4:11" x14ac:dyDescent="0.3">
      <c r="D87" s="47" t="b">
        <v>0</v>
      </c>
      <c r="E87" s="48">
        <v>32</v>
      </c>
      <c r="F87" s="48">
        <v>92</v>
      </c>
      <c r="G87" s="48">
        <v>12</v>
      </c>
      <c r="H87" s="48">
        <v>61</v>
      </c>
      <c r="I87" s="48">
        <v>5</v>
      </c>
      <c r="J87" s="48">
        <v>24</v>
      </c>
      <c r="K87" s="48">
        <v>1.7653710870744781E+19</v>
      </c>
    </row>
    <row r="88" spans="4:11" x14ac:dyDescent="0.3">
      <c r="D88" s="47" t="b">
        <v>0</v>
      </c>
      <c r="E88" s="48"/>
      <c r="F88" s="48">
        <v>66</v>
      </c>
      <c r="G88" s="48">
        <v>16.600000000000001</v>
      </c>
      <c r="H88" s="48">
        <v>57</v>
      </c>
      <c r="I88" s="48">
        <v>5</v>
      </c>
      <c r="J88" s="48">
        <v>25</v>
      </c>
      <c r="K88" s="48">
        <v>1.7133178804182962E+19</v>
      </c>
    </row>
    <row r="89" spans="4:11" x14ac:dyDescent="0.3">
      <c r="D89" s="47" t="b">
        <v>0</v>
      </c>
      <c r="E89" s="48"/>
      <c r="F89" s="48">
        <v>266</v>
      </c>
      <c r="G89" s="48">
        <v>14.9</v>
      </c>
      <c r="H89" s="48">
        <v>58</v>
      </c>
      <c r="I89" s="48">
        <v>5</v>
      </c>
      <c r="J89" s="48">
        <v>26</v>
      </c>
      <c r="K89" s="48">
        <v>2.945812810260693E+18</v>
      </c>
    </row>
    <row r="90" spans="4:11" x14ac:dyDescent="0.3">
      <c r="D90" s="47" t="b">
        <v>0</v>
      </c>
      <c r="E90" s="48"/>
      <c r="F90" s="48"/>
      <c r="G90" s="48">
        <v>8</v>
      </c>
      <c r="H90" s="48">
        <v>57</v>
      </c>
      <c r="I90" s="48">
        <v>5</v>
      </c>
      <c r="J90" s="48">
        <v>27</v>
      </c>
      <c r="K90" s="48">
        <v>6.0695537373213788E+18</v>
      </c>
    </row>
    <row r="91" spans="4:11" x14ac:dyDescent="0.3">
      <c r="D91" s="47" t="b">
        <v>0</v>
      </c>
      <c r="E91" s="48">
        <v>23</v>
      </c>
      <c r="F91" s="48">
        <v>13</v>
      </c>
      <c r="G91" s="48">
        <v>12</v>
      </c>
      <c r="H91" s="48">
        <v>67</v>
      </c>
      <c r="I91" s="48">
        <v>5</v>
      </c>
      <c r="J91" s="48">
        <v>28</v>
      </c>
      <c r="K91" s="48">
        <v>1.3598103896818911E+19</v>
      </c>
    </row>
    <row r="92" spans="4:11" x14ac:dyDescent="0.3">
      <c r="D92" s="47" t="b">
        <v>0</v>
      </c>
      <c r="E92" s="48">
        <v>45</v>
      </c>
      <c r="F92" s="48">
        <v>252</v>
      </c>
      <c r="G92" s="48">
        <v>14.9</v>
      </c>
      <c r="H92" s="48">
        <v>81</v>
      </c>
      <c r="I92" s="48">
        <v>5</v>
      </c>
      <c r="J92" s="48">
        <v>29</v>
      </c>
      <c r="K92" s="48">
        <v>6.8966618737539123E+18</v>
      </c>
    </row>
    <row r="93" spans="4:11" x14ac:dyDescent="0.3">
      <c r="D93" s="47" t="b">
        <v>0</v>
      </c>
      <c r="E93" s="48">
        <v>115</v>
      </c>
      <c r="F93" s="48">
        <v>223</v>
      </c>
      <c r="G93" s="48">
        <v>5.7</v>
      </c>
      <c r="H93" s="48">
        <v>79</v>
      </c>
      <c r="I93" s="48">
        <v>5</v>
      </c>
      <c r="J93" s="48">
        <v>30</v>
      </c>
      <c r="K93" s="48">
        <v>4.4761445936019866E+18</v>
      </c>
    </row>
    <row r="94" spans="4:11" x14ac:dyDescent="0.3">
      <c r="D94" s="47" t="b">
        <v>0</v>
      </c>
      <c r="E94" s="48">
        <v>37</v>
      </c>
      <c r="F94" s="48">
        <v>279</v>
      </c>
      <c r="G94" s="48">
        <v>7.4</v>
      </c>
      <c r="H94" s="48">
        <v>76</v>
      </c>
      <c r="I94" s="48">
        <v>5</v>
      </c>
      <c r="J94" s="48">
        <v>31</v>
      </c>
      <c r="K94" s="48">
        <v>1.5073231853530094E+18</v>
      </c>
    </row>
    <row r="95" spans="4:11" x14ac:dyDescent="0.3">
      <c r="D95" s="47" t="b">
        <v>0</v>
      </c>
      <c r="E95" s="48"/>
      <c r="F95" s="48">
        <v>286</v>
      </c>
      <c r="G95" s="48">
        <v>8.6</v>
      </c>
      <c r="H95" s="48">
        <v>78</v>
      </c>
      <c r="I95" s="48">
        <v>6</v>
      </c>
      <c r="J95" s="48">
        <v>1</v>
      </c>
      <c r="K95" s="48">
        <v>1.5297822689301537E+19</v>
      </c>
    </row>
    <row r="96" spans="4:11" x14ac:dyDescent="0.3">
      <c r="D96" s="47" t="b">
        <v>0</v>
      </c>
      <c r="E96" s="48"/>
      <c r="F96" s="48">
        <v>287</v>
      </c>
      <c r="G96" s="48">
        <v>9.6999999999999993</v>
      </c>
      <c r="H96" s="48">
        <v>74</v>
      </c>
      <c r="I96" s="48">
        <v>6</v>
      </c>
      <c r="J96" s="48">
        <v>2</v>
      </c>
      <c r="K96" s="48">
        <v>1.1785793997340115E+19</v>
      </c>
    </row>
    <row r="97" spans="4:11" x14ac:dyDescent="0.3">
      <c r="D97" s="47" t="b">
        <v>0</v>
      </c>
      <c r="E97" s="48"/>
      <c r="F97" s="48">
        <v>242</v>
      </c>
      <c r="G97" s="48">
        <v>16.100000000000001</v>
      </c>
      <c r="H97" s="48">
        <v>67</v>
      </c>
      <c r="I97" s="48">
        <v>6</v>
      </c>
      <c r="J97" s="48">
        <v>3</v>
      </c>
      <c r="K97" s="48">
        <v>2.5288885507449964E+18</v>
      </c>
    </row>
    <row r="98" spans="4:11" x14ac:dyDescent="0.3">
      <c r="D98" s="47" t="b">
        <v>0</v>
      </c>
      <c r="E98" s="48"/>
      <c r="F98" s="48">
        <v>186</v>
      </c>
      <c r="G98" s="48">
        <v>9.1999999999999993</v>
      </c>
      <c r="H98" s="48">
        <v>84</v>
      </c>
      <c r="I98" s="48">
        <v>6</v>
      </c>
      <c r="J98" s="48">
        <v>4</v>
      </c>
      <c r="K98" s="48">
        <v>8.0185640958843699E+18</v>
      </c>
    </row>
    <row r="99" spans="4:11" x14ac:dyDescent="0.3">
      <c r="D99" s="47" t="b">
        <v>0</v>
      </c>
      <c r="E99" s="48"/>
      <c r="F99" s="48">
        <v>220</v>
      </c>
      <c r="G99" s="48">
        <v>8.6</v>
      </c>
      <c r="H99" s="48">
        <v>85</v>
      </c>
      <c r="I99" s="48">
        <v>6</v>
      </c>
      <c r="J99" s="48">
        <v>5</v>
      </c>
      <c r="K99" s="48">
        <v>9.93369330785007E+18</v>
      </c>
    </row>
    <row r="100" spans="4:11" x14ac:dyDescent="0.3">
      <c r="D100" s="47" t="b">
        <v>0</v>
      </c>
      <c r="E100" s="48"/>
      <c r="F100" s="48">
        <v>264</v>
      </c>
      <c r="G100" s="48">
        <v>14.3</v>
      </c>
      <c r="H100" s="48">
        <v>79</v>
      </c>
      <c r="I100" s="48">
        <v>6</v>
      </c>
      <c r="J100" s="48">
        <v>6</v>
      </c>
      <c r="K100" s="48">
        <v>1.8270322074516097E+19</v>
      </c>
    </row>
    <row r="101" spans="4:11" x14ac:dyDescent="0.3">
      <c r="D101" s="47" t="b">
        <v>0</v>
      </c>
      <c r="E101" s="48">
        <v>29</v>
      </c>
      <c r="F101" s="48">
        <v>127</v>
      </c>
      <c r="G101" s="48">
        <v>9.6999999999999993</v>
      </c>
      <c r="H101" s="48">
        <v>82</v>
      </c>
      <c r="I101" s="48">
        <v>6</v>
      </c>
      <c r="J101" s="48">
        <v>7</v>
      </c>
      <c r="K101" s="48">
        <v>1.8112403296740616E+19</v>
      </c>
    </row>
    <row r="102" spans="4:11" x14ac:dyDescent="0.3">
      <c r="D102" s="47" t="b">
        <v>0</v>
      </c>
      <c r="E102" s="48"/>
      <c r="F102" s="48">
        <v>273</v>
      </c>
      <c r="G102" s="48">
        <v>6.9</v>
      </c>
      <c r="H102" s="48">
        <v>87</v>
      </c>
      <c r="I102" s="48">
        <v>6</v>
      </c>
      <c r="J102" s="48">
        <v>8</v>
      </c>
      <c r="K102" s="48">
        <v>3.7260305784883681E+18</v>
      </c>
    </row>
    <row r="103" spans="4:11" x14ac:dyDescent="0.3">
      <c r="D103" s="47" t="b">
        <v>0</v>
      </c>
      <c r="E103" s="48">
        <v>71</v>
      </c>
      <c r="F103" s="48">
        <v>291</v>
      </c>
      <c r="G103" s="48">
        <v>13.8</v>
      </c>
      <c r="H103" s="48">
        <v>90</v>
      </c>
      <c r="I103" s="48">
        <v>6</v>
      </c>
      <c r="J103" s="48">
        <v>9</v>
      </c>
      <c r="K103" s="48">
        <v>1.572719964989116E+19</v>
      </c>
    </row>
    <row r="104" spans="4:11" x14ac:dyDescent="0.3">
      <c r="D104" s="47" t="b">
        <v>0</v>
      </c>
      <c r="E104" s="48">
        <v>39</v>
      </c>
      <c r="F104" s="48">
        <v>323</v>
      </c>
      <c r="G104" s="48">
        <v>11.5</v>
      </c>
      <c r="H104" s="48">
        <v>87</v>
      </c>
      <c r="I104" s="48">
        <v>6</v>
      </c>
      <c r="J104" s="48">
        <v>10</v>
      </c>
      <c r="K104" s="48">
        <v>1.6495311449487294E+19</v>
      </c>
    </row>
    <row r="105" spans="4:11" x14ac:dyDescent="0.3">
      <c r="D105" s="47" t="b">
        <v>0</v>
      </c>
      <c r="E105" s="48"/>
      <c r="F105" s="48">
        <v>259</v>
      </c>
      <c r="G105" s="48">
        <v>10.9</v>
      </c>
      <c r="H105" s="48">
        <v>93</v>
      </c>
      <c r="I105" s="48">
        <v>6</v>
      </c>
      <c r="J105" s="48">
        <v>11</v>
      </c>
      <c r="K105" s="48">
        <v>7.8462582703013868E+18</v>
      </c>
    </row>
    <row r="106" spans="4:11" x14ac:dyDescent="0.3">
      <c r="D106" s="47" t="b">
        <v>0</v>
      </c>
      <c r="E106" s="48"/>
      <c r="F106" s="48">
        <v>250</v>
      </c>
      <c r="G106" s="48">
        <v>9.1999999999999993</v>
      </c>
      <c r="H106" s="48">
        <v>92</v>
      </c>
      <c r="I106" s="48">
        <v>6</v>
      </c>
      <c r="J106" s="48">
        <v>12</v>
      </c>
      <c r="K106" s="48">
        <v>7.6505984183102413E+18</v>
      </c>
    </row>
    <row r="107" spans="4:11" x14ac:dyDescent="0.3">
      <c r="D107" s="47" t="b">
        <v>0</v>
      </c>
      <c r="E107" s="48">
        <v>23</v>
      </c>
      <c r="F107" s="48">
        <v>148</v>
      </c>
      <c r="G107" s="48">
        <v>8</v>
      </c>
      <c r="H107" s="48">
        <v>82</v>
      </c>
      <c r="I107" s="48">
        <v>6</v>
      </c>
      <c r="J107" s="48">
        <v>13</v>
      </c>
      <c r="K107" s="48">
        <v>2.210545022055743E+18</v>
      </c>
    </row>
    <row r="108" spans="4:11" x14ac:dyDescent="0.3">
      <c r="D108" s="47" t="b">
        <v>0</v>
      </c>
      <c r="E108" s="48"/>
      <c r="F108" s="48">
        <v>332</v>
      </c>
      <c r="G108" s="48">
        <v>13.8</v>
      </c>
      <c r="H108" s="48">
        <v>80</v>
      </c>
      <c r="I108" s="48">
        <v>6</v>
      </c>
      <c r="J108" s="48">
        <v>14</v>
      </c>
      <c r="K108" s="48">
        <v>1.3402948572918166E+19</v>
      </c>
    </row>
    <row r="109" spans="4:11" x14ac:dyDescent="0.3">
      <c r="D109" s="47" t="b">
        <v>0</v>
      </c>
      <c r="E109" s="48"/>
      <c r="F109" s="48">
        <v>322</v>
      </c>
      <c r="G109" s="48">
        <v>11.5</v>
      </c>
      <c r="H109" s="48">
        <v>79</v>
      </c>
      <c r="I109" s="48">
        <v>6</v>
      </c>
      <c r="J109" s="48">
        <v>15</v>
      </c>
      <c r="K109" s="48">
        <v>9.0542002870393457E+18</v>
      </c>
    </row>
    <row r="110" spans="4:11" x14ac:dyDescent="0.3">
      <c r="D110" s="47" t="b">
        <v>0</v>
      </c>
      <c r="E110" s="48">
        <v>21</v>
      </c>
      <c r="F110" s="48">
        <v>191</v>
      </c>
      <c r="G110" s="48">
        <v>14.9</v>
      </c>
      <c r="H110" s="48">
        <v>77</v>
      </c>
      <c r="I110" s="48">
        <v>6</v>
      </c>
      <c r="J110" s="48">
        <v>16</v>
      </c>
      <c r="K110" s="48">
        <v>1.176082798473515E+19</v>
      </c>
    </row>
    <row r="111" spans="4:11" x14ac:dyDescent="0.3">
      <c r="D111" s="47" t="b">
        <v>0</v>
      </c>
      <c r="E111" s="48">
        <v>37</v>
      </c>
      <c r="F111" s="48">
        <v>284</v>
      </c>
      <c r="G111" s="48">
        <v>20.7</v>
      </c>
      <c r="H111" s="48">
        <v>72</v>
      </c>
      <c r="I111" s="48">
        <v>6</v>
      </c>
      <c r="J111" s="48">
        <v>17</v>
      </c>
      <c r="K111" s="48">
        <v>8.8311954931973632E+17</v>
      </c>
    </row>
    <row r="112" spans="4:11" x14ac:dyDescent="0.3">
      <c r="D112" s="47" t="b">
        <v>0</v>
      </c>
      <c r="E112" s="48">
        <v>20</v>
      </c>
      <c r="F112" s="48">
        <v>37</v>
      </c>
      <c r="G112" s="48">
        <v>9.1999999999999993</v>
      </c>
      <c r="H112" s="48">
        <v>65</v>
      </c>
      <c r="I112" s="48">
        <v>6</v>
      </c>
      <c r="J112" s="48">
        <v>18</v>
      </c>
      <c r="K112" s="48">
        <v>6.6295832834141286E+18</v>
      </c>
    </row>
    <row r="113" spans="4:11" x14ac:dyDescent="0.3">
      <c r="D113" s="47" t="b">
        <v>0</v>
      </c>
      <c r="E113" s="48">
        <v>12</v>
      </c>
      <c r="F113" s="48">
        <v>120</v>
      </c>
      <c r="G113" s="48">
        <v>11.5</v>
      </c>
      <c r="H113" s="48">
        <v>73</v>
      </c>
      <c r="I113" s="48">
        <v>6</v>
      </c>
      <c r="J113" s="48">
        <v>19</v>
      </c>
      <c r="K113" s="48">
        <v>1.5510630471841972E+19</v>
      </c>
    </row>
    <row r="114" spans="4:11" x14ac:dyDescent="0.3">
      <c r="D114" s="47" t="b">
        <v>0</v>
      </c>
      <c r="E114" s="48">
        <v>13</v>
      </c>
      <c r="F114" s="48">
        <v>137</v>
      </c>
      <c r="G114" s="48">
        <v>10.3</v>
      </c>
      <c r="H114" s="48">
        <v>76</v>
      </c>
      <c r="I114" s="48">
        <v>6</v>
      </c>
      <c r="J114" s="48">
        <v>20</v>
      </c>
      <c r="K114" s="48">
        <v>7.7682997028201503E+18</v>
      </c>
    </row>
    <row r="115" spans="4:11" x14ac:dyDescent="0.3">
      <c r="D115" s="47" t="b">
        <v>0</v>
      </c>
      <c r="E115" s="48"/>
      <c r="F115" s="48">
        <v>150</v>
      </c>
      <c r="G115" s="48">
        <v>6.3</v>
      </c>
      <c r="H115" s="48">
        <v>77</v>
      </c>
      <c r="I115" s="48">
        <v>6</v>
      </c>
      <c r="J115" s="48">
        <v>21</v>
      </c>
      <c r="K115" s="48">
        <v>5.8707026222968156E+18</v>
      </c>
    </row>
    <row r="116" spans="4:11" x14ac:dyDescent="0.3">
      <c r="D116" s="47" t="b">
        <v>0</v>
      </c>
      <c r="E116" s="48"/>
      <c r="F116" s="48">
        <v>59</v>
      </c>
      <c r="G116" s="48">
        <v>1.7</v>
      </c>
      <c r="H116" s="48">
        <v>76</v>
      </c>
      <c r="I116" s="48">
        <v>6</v>
      </c>
      <c r="J116" s="48">
        <v>22</v>
      </c>
      <c r="K116" s="48">
        <v>1.8431374300560536E+19</v>
      </c>
    </row>
    <row r="117" spans="4:11" x14ac:dyDescent="0.3">
      <c r="D117" s="47" t="b">
        <v>0</v>
      </c>
      <c r="E117" s="48"/>
      <c r="F117" s="48">
        <v>91</v>
      </c>
      <c r="G117" s="48">
        <v>4.5999999999999996</v>
      </c>
      <c r="H117" s="48">
        <v>76</v>
      </c>
      <c r="I117" s="48">
        <v>6</v>
      </c>
      <c r="J117" s="48">
        <v>23</v>
      </c>
      <c r="K117" s="48">
        <v>1.6187618743782552E+19</v>
      </c>
    </row>
    <row r="118" spans="4:11" x14ac:dyDescent="0.3">
      <c r="D118" s="47" t="b">
        <v>0</v>
      </c>
      <c r="E118" s="48"/>
      <c r="F118" s="48">
        <v>250</v>
      </c>
      <c r="G118" s="48">
        <v>6.3</v>
      </c>
      <c r="H118" s="48">
        <v>76</v>
      </c>
      <c r="I118" s="48">
        <v>6</v>
      </c>
      <c r="J118" s="48">
        <v>24</v>
      </c>
      <c r="K118" s="48">
        <v>1.100426279204534E+18</v>
      </c>
    </row>
    <row r="119" spans="4:11" x14ac:dyDescent="0.3">
      <c r="D119" s="47" t="b">
        <v>0</v>
      </c>
      <c r="E119" s="48"/>
      <c r="F119" s="48">
        <v>135</v>
      </c>
      <c r="G119" s="48">
        <v>8</v>
      </c>
      <c r="H119" s="48">
        <v>75</v>
      </c>
      <c r="I119" s="48">
        <v>6</v>
      </c>
      <c r="J119" s="48">
        <v>25</v>
      </c>
      <c r="K119" s="48">
        <v>1.5382542673718985E+19</v>
      </c>
    </row>
    <row r="120" spans="4:11" x14ac:dyDescent="0.3">
      <c r="D120" s="47" t="b">
        <v>0</v>
      </c>
      <c r="E120" s="48"/>
      <c r="F120" s="48">
        <v>127</v>
      </c>
      <c r="G120" s="48">
        <v>8</v>
      </c>
      <c r="H120" s="48">
        <v>78</v>
      </c>
      <c r="I120" s="48">
        <v>6</v>
      </c>
      <c r="J120" s="48">
        <v>26</v>
      </c>
      <c r="K120" s="48">
        <v>4.4857630770609449E+18</v>
      </c>
    </row>
    <row r="121" spans="4:11" x14ac:dyDescent="0.3">
      <c r="D121" s="47" t="b">
        <v>0</v>
      </c>
      <c r="E121" s="48"/>
      <c r="F121" s="48">
        <v>47</v>
      </c>
      <c r="G121" s="48">
        <v>10.3</v>
      </c>
      <c r="H121" s="48">
        <v>73</v>
      </c>
      <c r="I121" s="48">
        <v>6</v>
      </c>
      <c r="J121" s="48">
        <v>27</v>
      </c>
      <c r="K121" s="48">
        <v>1.7846625834499254E+19</v>
      </c>
    </row>
    <row r="122" spans="4:11" x14ac:dyDescent="0.3">
      <c r="D122" s="47" t="b">
        <v>0</v>
      </c>
      <c r="E122" s="48"/>
      <c r="F122" s="48">
        <v>98</v>
      </c>
      <c r="G122" s="48">
        <v>11.5</v>
      </c>
      <c r="H122" s="48">
        <v>80</v>
      </c>
      <c r="I122" s="48">
        <v>6</v>
      </c>
      <c r="J122" s="48">
        <v>28</v>
      </c>
      <c r="K122" s="48">
        <v>1.1532258099281062E+19</v>
      </c>
    </row>
    <row r="123" spans="4:11" x14ac:dyDescent="0.3">
      <c r="D123" s="47" t="b">
        <v>0</v>
      </c>
      <c r="E123" s="48"/>
      <c r="F123" s="48">
        <v>31</v>
      </c>
      <c r="G123" s="48">
        <v>14.9</v>
      </c>
      <c r="H123" s="48">
        <v>77</v>
      </c>
      <c r="I123" s="48">
        <v>6</v>
      </c>
      <c r="J123" s="48">
        <v>29</v>
      </c>
      <c r="K123" s="48">
        <v>1.7437353258518368E+19</v>
      </c>
    </row>
    <row r="124" spans="4:11" x14ac:dyDescent="0.3">
      <c r="D124" s="47" t="b">
        <v>0</v>
      </c>
      <c r="E124" s="48"/>
      <c r="F124" s="48">
        <v>138</v>
      </c>
      <c r="G124" s="48">
        <v>8</v>
      </c>
      <c r="H124" s="48">
        <v>83</v>
      </c>
      <c r="I124" s="48">
        <v>6</v>
      </c>
      <c r="J124" s="48">
        <v>30</v>
      </c>
      <c r="K124" s="48">
        <v>1.6905145938674926E+19</v>
      </c>
    </row>
    <row r="125" spans="4:11" x14ac:dyDescent="0.3">
      <c r="D125" s="47" t="b">
        <v>0</v>
      </c>
      <c r="E125" s="48">
        <v>135</v>
      </c>
      <c r="F125" s="48">
        <v>269</v>
      </c>
      <c r="G125" s="48">
        <v>4.0999999999999996</v>
      </c>
      <c r="H125" s="48">
        <v>84</v>
      </c>
      <c r="I125" s="48">
        <v>7</v>
      </c>
      <c r="J125" s="48">
        <v>1</v>
      </c>
      <c r="K125" s="48">
        <v>5.4488150349694464E+18</v>
      </c>
    </row>
    <row r="126" spans="4:11" x14ac:dyDescent="0.3">
      <c r="D126" s="47" t="b">
        <v>0</v>
      </c>
      <c r="E126" s="48">
        <v>49</v>
      </c>
      <c r="F126" s="48">
        <v>248</v>
      </c>
      <c r="G126" s="48">
        <v>9.1999999999999993</v>
      </c>
      <c r="H126" s="48">
        <v>85</v>
      </c>
      <c r="I126" s="48">
        <v>7</v>
      </c>
      <c r="J126" s="48">
        <v>2</v>
      </c>
      <c r="K126" s="48">
        <v>8.7057678987874591E+18</v>
      </c>
    </row>
    <row r="127" spans="4:11" x14ac:dyDescent="0.3">
      <c r="D127" s="47" t="b">
        <v>0</v>
      </c>
      <c r="E127" s="48">
        <v>32</v>
      </c>
      <c r="F127" s="48">
        <v>236</v>
      </c>
      <c r="G127" s="48">
        <v>9.1999999999999993</v>
      </c>
      <c r="H127" s="48">
        <v>81</v>
      </c>
      <c r="I127" s="48">
        <v>7</v>
      </c>
      <c r="J127" s="48">
        <v>3</v>
      </c>
      <c r="K127" s="48">
        <v>8.0289123937432463E+18</v>
      </c>
    </row>
    <row r="128" spans="4:11" x14ac:dyDescent="0.3">
      <c r="D128" s="47" t="b">
        <v>0</v>
      </c>
      <c r="E128" s="48"/>
      <c r="F128" s="48">
        <v>101</v>
      </c>
      <c r="G128" s="48">
        <v>10.9</v>
      </c>
      <c r="H128" s="48">
        <v>84</v>
      </c>
      <c r="I128" s="48">
        <v>7</v>
      </c>
      <c r="J128" s="48">
        <v>4</v>
      </c>
      <c r="K128" s="48">
        <v>6.7520601781418406E+17</v>
      </c>
    </row>
    <row r="129" spans="4:11" x14ac:dyDescent="0.3">
      <c r="D129" s="47" t="b">
        <v>0</v>
      </c>
      <c r="E129" s="48">
        <v>64</v>
      </c>
      <c r="F129" s="48">
        <v>175</v>
      </c>
      <c r="G129" s="48">
        <v>4.5999999999999996</v>
      </c>
      <c r="H129" s="48">
        <v>83</v>
      </c>
      <c r="I129" s="48">
        <v>7</v>
      </c>
      <c r="J129" s="48">
        <v>5</v>
      </c>
      <c r="K129" s="48">
        <v>4.7181332755485972E+18</v>
      </c>
    </row>
    <row r="130" spans="4:11" x14ac:dyDescent="0.3">
      <c r="D130" s="47" t="b">
        <v>0</v>
      </c>
      <c r="E130" s="48">
        <v>40</v>
      </c>
      <c r="F130" s="48">
        <v>314</v>
      </c>
      <c r="G130" s="48">
        <v>10.9</v>
      </c>
      <c r="H130" s="48">
        <v>83</v>
      </c>
      <c r="I130" s="48">
        <v>7</v>
      </c>
      <c r="J130" s="48">
        <v>6</v>
      </c>
      <c r="K130" s="48">
        <v>5.5669552240589384E+18</v>
      </c>
    </row>
    <row r="131" spans="4:11" x14ac:dyDescent="0.3">
      <c r="D131" s="47" t="b">
        <v>0</v>
      </c>
      <c r="E131" s="48">
        <v>77</v>
      </c>
      <c r="F131" s="48">
        <v>276</v>
      </c>
      <c r="G131" s="48">
        <v>5.0999999999999996</v>
      </c>
      <c r="H131" s="48">
        <v>88</v>
      </c>
      <c r="I131" s="48">
        <v>7</v>
      </c>
      <c r="J131" s="48">
        <v>7</v>
      </c>
      <c r="K131" s="48">
        <v>1.2010857323758459E+19</v>
      </c>
    </row>
    <row r="132" spans="4:11" x14ac:dyDescent="0.3">
      <c r="D132" s="47" t="b">
        <v>0</v>
      </c>
      <c r="E132" s="48">
        <v>97</v>
      </c>
      <c r="F132" s="48">
        <v>267</v>
      </c>
      <c r="G132" s="48">
        <v>6.3</v>
      </c>
      <c r="H132" s="48">
        <v>92</v>
      </c>
      <c r="I132" s="48">
        <v>7</v>
      </c>
      <c r="J132" s="48">
        <v>8</v>
      </c>
      <c r="K132" s="48">
        <v>7.6177589521720893E+18</v>
      </c>
    </row>
    <row r="133" spans="4:11" x14ac:dyDescent="0.3">
      <c r="D133" s="47" t="b">
        <v>0</v>
      </c>
      <c r="E133" s="48">
        <v>97</v>
      </c>
      <c r="F133" s="48">
        <v>272</v>
      </c>
      <c r="G133" s="48">
        <v>5.7</v>
      </c>
      <c r="H133" s="48">
        <v>92</v>
      </c>
      <c r="I133" s="48">
        <v>7</v>
      </c>
      <c r="J133" s="48">
        <v>9</v>
      </c>
      <c r="K133" s="48">
        <v>2.3183235950940333E+17</v>
      </c>
    </row>
    <row r="134" spans="4:11" x14ac:dyDescent="0.3">
      <c r="D134" s="47" t="b">
        <v>0</v>
      </c>
      <c r="E134" s="48">
        <v>85</v>
      </c>
      <c r="F134" s="48">
        <v>175</v>
      </c>
      <c r="G134" s="48">
        <v>7.4</v>
      </c>
      <c r="H134" s="48">
        <v>89</v>
      </c>
      <c r="I134" s="48">
        <v>7</v>
      </c>
      <c r="J134" s="48">
        <v>10</v>
      </c>
      <c r="K134" s="48">
        <v>1.1611515104494649E+19</v>
      </c>
    </row>
    <row r="135" spans="4:11" x14ac:dyDescent="0.3">
      <c r="D135" s="47" t="b">
        <v>0</v>
      </c>
      <c r="E135" s="48"/>
      <c r="F135" s="48">
        <v>139</v>
      </c>
      <c r="G135" s="48">
        <v>8.6</v>
      </c>
      <c r="H135" s="48">
        <v>82</v>
      </c>
      <c r="I135" s="48">
        <v>7</v>
      </c>
      <c r="J135" s="48">
        <v>11</v>
      </c>
      <c r="K135" s="48">
        <v>2.9724649997172204E+18</v>
      </c>
    </row>
    <row r="136" spans="4:11" x14ac:dyDescent="0.3">
      <c r="D136" s="47" t="b">
        <v>0</v>
      </c>
      <c r="E136" s="48">
        <v>10</v>
      </c>
      <c r="F136" s="48">
        <v>264</v>
      </c>
      <c r="G136" s="48">
        <v>14.3</v>
      </c>
      <c r="H136" s="48">
        <v>73</v>
      </c>
      <c r="I136" s="48">
        <v>7</v>
      </c>
      <c r="J136" s="48">
        <v>12</v>
      </c>
      <c r="K136" s="48">
        <v>1.6214261149636661E+19</v>
      </c>
    </row>
    <row r="137" spans="4:11" x14ac:dyDescent="0.3">
      <c r="D137" s="47" t="b">
        <v>0</v>
      </c>
      <c r="E137" s="48">
        <v>27</v>
      </c>
      <c r="F137" s="48">
        <v>175</v>
      </c>
      <c r="G137" s="48">
        <v>14.9</v>
      </c>
      <c r="H137" s="48">
        <v>81</v>
      </c>
      <c r="I137" s="48">
        <v>7</v>
      </c>
      <c r="J137" s="48">
        <v>13</v>
      </c>
      <c r="K137" s="48">
        <v>8.4369119057063578E+18</v>
      </c>
    </row>
    <row r="138" spans="4:11" x14ac:dyDescent="0.3">
      <c r="D138" s="47" t="b">
        <v>0</v>
      </c>
      <c r="E138" s="48"/>
      <c r="F138" s="48">
        <v>291</v>
      </c>
      <c r="G138" s="48">
        <v>14.9</v>
      </c>
      <c r="H138" s="48">
        <v>91</v>
      </c>
      <c r="I138" s="48">
        <v>7</v>
      </c>
      <c r="J138" s="48">
        <v>14</v>
      </c>
      <c r="K138" s="48">
        <v>3.511944825435552E+17</v>
      </c>
    </row>
    <row r="139" spans="4:11" x14ac:dyDescent="0.3">
      <c r="D139" s="47" t="b">
        <v>0</v>
      </c>
      <c r="E139" s="48">
        <v>7</v>
      </c>
      <c r="F139" s="48">
        <v>48</v>
      </c>
      <c r="G139" s="48">
        <v>14.3</v>
      </c>
      <c r="H139" s="48">
        <v>80</v>
      </c>
      <c r="I139" s="48">
        <v>7</v>
      </c>
      <c r="J139" s="48">
        <v>15</v>
      </c>
      <c r="K139" s="48">
        <v>1.3850211521460795E+19</v>
      </c>
    </row>
    <row r="140" spans="4:11" x14ac:dyDescent="0.3">
      <c r="D140" s="47" t="b">
        <v>0</v>
      </c>
      <c r="E140" s="48">
        <v>48</v>
      </c>
      <c r="F140" s="48">
        <v>260</v>
      </c>
      <c r="G140" s="48">
        <v>6.9</v>
      </c>
      <c r="H140" s="48">
        <v>81</v>
      </c>
      <c r="I140" s="48">
        <v>7</v>
      </c>
      <c r="J140" s="48">
        <v>16</v>
      </c>
      <c r="K140" s="48">
        <v>1.5592617715545586E+19</v>
      </c>
    </row>
    <row r="141" spans="4:11" x14ac:dyDescent="0.3">
      <c r="D141" s="47" t="b">
        <v>0</v>
      </c>
      <c r="E141" s="48">
        <v>35</v>
      </c>
      <c r="F141" s="48">
        <v>274</v>
      </c>
      <c r="G141" s="48">
        <v>10.3</v>
      </c>
      <c r="H141" s="48">
        <v>82</v>
      </c>
      <c r="I141" s="48">
        <v>7</v>
      </c>
      <c r="J141" s="48">
        <v>17</v>
      </c>
      <c r="K141" s="48">
        <v>9.1448008671563046E+17</v>
      </c>
    </row>
    <row r="142" spans="4:11" x14ac:dyDescent="0.3">
      <c r="D142" s="47" t="b">
        <v>0</v>
      </c>
      <c r="E142" s="48">
        <v>61</v>
      </c>
      <c r="F142" s="48">
        <v>285</v>
      </c>
      <c r="G142" s="48">
        <v>6.3</v>
      </c>
      <c r="H142" s="48">
        <v>84</v>
      </c>
      <c r="I142" s="48">
        <v>7</v>
      </c>
      <c r="J142" s="48">
        <v>18</v>
      </c>
      <c r="K142" s="48">
        <v>1.0059471884526944E+19</v>
      </c>
    </row>
    <row r="143" spans="4:11" x14ac:dyDescent="0.3">
      <c r="D143" s="47" t="b">
        <v>0</v>
      </c>
      <c r="E143" s="48">
        <v>79</v>
      </c>
      <c r="F143" s="48">
        <v>187</v>
      </c>
      <c r="G143" s="48">
        <v>5.0999999999999996</v>
      </c>
      <c r="H143" s="48">
        <v>87</v>
      </c>
      <c r="I143" s="48">
        <v>7</v>
      </c>
      <c r="J143" s="48">
        <v>19</v>
      </c>
      <c r="K143" s="48">
        <v>1.3516618525807874E+19</v>
      </c>
    </row>
    <row r="144" spans="4:11" x14ac:dyDescent="0.3">
      <c r="D144" s="47" t="b">
        <v>0</v>
      </c>
      <c r="E144" s="48">
        <v>63</v>
      </c>
      <c r="F144" s="48">
        <v>220</v>
      </c>
      <c r="G144" s="48">
        <v>11.5</v>
      </c>
      <c r="H144" s="48">
        <v>85</v>
      </c>
      <c r="I144" s="48">
        <v>7</v>
      </c>
      <c r="J144" s="48">
        <v>20</v>
      </c>
      <c r="K144" s="48">
        <v>1.4280254333602722E+19</v>
      </c>
    </row>
    <row r="145" spans="4:11" x14ac:dyDescent="0.3">
      <c r="D145" s="47" t="b">
        <v>0</v>
      </c>
      <c r="E145" s="48">
        <v>16</v>
      </c>
      <c r="F145" s="48">
        <v>7</v>
      </c>
      <c r="G145" s="48">
        <v>6.9</v>
      </c>
      <c r="H145" s="48">
        <v>74</v>
      </c>
      <c r="I145" s="48">
        <v>7</v>
      </c>
      <c r="J145" s="48">
        <v>21</v>
      </c>
      <c r="K145" s="48">
        <v>1.0798525206001516E+18</v>
      </c>
    </row>
    <row r="146" spans="4:11" x14ac:dyDescent="0.3">
      <c r="D146" s="47" t="b">
        <v>0</v>
      </c>
      <c r="E146" s="48"/>
      <c r="F146" s="48">
        <v>258</v>
      </c>
      <c r="G146" s="48">
        <v>9.6999999999999993</v>
      </c>
      <c r="H146" s="48">
        <v>81</v>
      </c>
      <c r="I146" s="48">
        <v>7</v>
      </c>
      <c r="J146" s="48">
        <v>22</v>
      </c>
      <c r="K146" s="48">
        <v>3.7419117849081789E+18</v>
      </c>
    </row>
    <row r="147" spans="4:11" x14ac:dyDescent="0.3">
      <c r="D147" s="47" t="b">
        <v>0</v>
      </c>
      <c r="E147" s="48"/>
      <c r="F147" s="48">
        <v>295</v>
      </c>
      <c r="G147" s="48">
        <v>11.5</v>
      </c>
      <c r="H147" s="48">
        <v>82</v>
      </c>
      <c r="I147" s="48">
        <v>7</v>
      </c>
      <c r="J147" s="48">
        <v>23</v>
      </c>
      <c r="K147" s="48">
        <v>1.7372849921361029E+19</v>
      </c>
    </row>
    <row r="148" spans="4:11" x14ac:dyDescent="0.3">
      <c r="D148" s="47" t="b">
        <v>0</v>
      </c>
      <c r="E148" s="48">
        <v>80</v>
      </c>
      <c r="F148" s="48">
        <v>294</v>
      </c>
      <c r="G148" s="48">
        <v>8.6</v>
      </c>
      <c r="H148" s="48">
        <v>86</v>
      </c>
      <c r="I148" s="48">
        <v>7</v>
      </c>
      <c r="J148" s="48">
        <v>24</v>
      </c>
      <c r="K148" s="48">
        <v>5.0170753748679178E+18</v>
      </c>
    </row>
    <row r="149" spans="4:11" x14ac:dyDescent="0.3">
      <c r="D149" s="47" t="b">
        <v>0</v>
      </c>
      <c r="E149" s="48">
        <v>108</v>
      </c>
      <c r="F149" s="48">
        <v>223</v>
      </c>
      <c r="G149" s="48">
        <v>8</v>
      </c>
      <c r="H149" s="48">
        <v>85</v>
      </c>
      <c r="I149" s="48">
        <v>7</v>
      </c>
      <c r="J149" s="48">
        <v>25</v>
      </c>
      <c r="K149" s="48">
        <v>7.9387796914200494E+18</v>
      </c>
    </row>
    <row r="150" spans="4:11" x14ac:dyDescent="0.3">
      <c r="D150" s="47" t="b">
        <v>0</v>
      </c>
      <c r="E150" s="48">
        <v>20</v>
      </c>
      <c r="F150" s="48">
        <v>81</v>
      </c>
      <c r="G150" s="48">
        <v>8.6</v>
      </c>
      <c r="H150" s="48">
        <v>82</v>
      </c>
      <c r="I150" s="48">
        <v>7</v>
      </c>
      <c r="J150" s="48">
        <v>26</v>
      </c>
      <c r="K150" s="48">
        <v>3.254772024167735E+17</v>
      </c>
    </row>
    <row r="151" spans="4:11" x14ac:dyDescent="0.3">
      <c r="D151" s="47" t="b">
        <v>0</v>
      </c>
      <c r="E151" s="48">
        <v>52</v>
      </c>
      <c r="F151" s="48">
        <v>82</v>
      </c>
      <c r="G151" s="48">
        <v>12</v>
      </c>
      <c r="H151" s="48">
        <v>86</v>
      </c>
      <c r="I151" s="48">
        <v>7</v>
      </c>
      <c r="J151" s="48">
        <v>27</v>
      </c>
      <c r="K151" s="48">
        <v>1.2965997046393127E+19</v>
      </c>
    </row>
    <row r="152" spans="4:11" x14ac:dyDescent="0.3">
      <c r="D152" s="47" t="b">
        <v>0</v>
      </c>
      <c r="E152" s="48">
        <v>82</v>
      </c>
      <c r="F152" s="48">
        <v>213</v>
      </c>
      <c r="G152" s="48">
        <v>7.4</v>
      </c>
      <c r="H152" s="48">
        <v>88</v>
      </c>
      <c r="I152" s="48">
        <v>7</v>
      </c>
      <c r="J152" s="48">
        <v>28</v>
      </c>
      <c r="K152" s="48">
        <v>1.9116496009985687E+18</v>
      </c>
    </row>
    <row r="153" spans="4:11" x14ac:dyDescent="0.3">
      <c r="D153" s="47" t="b">
        <v>0</v>
      </c>
      <c r="E153" s="48">
        <v>50</v>
      </c>
      <c r="F153" s="48">
        <v>275</v>
      </c>
      <c r="G153" s="48">
        <v>7.4</v>
      </c>
      <c r="H153" s="48">
        <v>86</v>
      </c>
      <c r="I153" s="48">
        <v>7</v>
      </c>
      <c r="J153" s="48">
        <v>29</v>
      </c>
      <c r="K153" s="48">
        <v>5.5054728026085827E+18</v>
      </c>
    </row>
    <row r="154" spans="4:11" x14ac:dyDescent="0.3">
      <c r="D154" s="47" t="b">
        <v>0</v>
      </c>
      <c r="E154" s="48">
        <v>64</v>
      </c>
      <c r="F154" s="48">
        <v>253</v>
      </c>
      <c r="G154" s="48">
        <v>7.4</v>
      </c>
      <c r="H154" s="48">
        <v>83</v>
      </c>
      <c r="I154" s="48">
        <v>7</v>
      </c>
      <c r="J154" s="48">
        <v>30</v>
      </c>
      <c r="K154" s="48">
        <v>1.764705483860521E+18</v>
      </c>
    </row>
    <row r="155" spans="4:11" x14ac:dyDescent="0.3">
      <c r="D155" s="47" t="b">
        <v>0</v>
      </c>
      <c r="E155" s="48">
        <v>59</v>
      </c>
      <c r="F155" s="48">
        <v>254</v>
      </c>
      <c r="G155" s="48">
        <v>9.1999999999999993</v>
      </c>
      <c r="H155" s="48">
        <v>81</v>
      </c>
      <c r="I155" s="48">
        <v>7</v>
      </c>
      <c r="J155" s="48">
        <v>31</v>
      </c>
      <c r="K155" s="48">
        <v>5.16825736530944E+18</v>
      </c>
    </row>
    <row r="156" spans="4:11" x14ac:dyDescent="0.3">
      <c r="D156" s="47" t="b">
        <v>0</v>
      </c>
      <c r="E156" s="48">
        <v>39</v>
      </c>
      <c r="F156" s="48">
        <v>83</v>
      </c>
      <c r="G156" s="48">
        <v>6.9</v>
      </c>
      <c r="H156" s="48">
        <v>81</v>
      </c>
      <c r="I156" s="48">
        <v>8</v>
      </c>
      <c r="J156" s="48">
        <v>1</v>
      </c>
      <c r="K156" s="48">
        <v>1.4547163709615827E+19</v>
      </c>
    </row>
    <row r="157" spans="4:11" x14ac:dyDescent="0.3">
      <c r="D157" s="47" t="b">
        <v>0</v>
      </c>
      <c r="E157" s="48">
        <v>9</v>
      </c>
      <c r="F157" s="48">
        <v>24</v>
      </c>
      <c r="G157" s="48">
        <v>13.8</v>
      </c>
      <c r="H157" s="48">
        <v>81</v>
      </c>
      <c r="I157" s="48">
        <v>8</v>
      </c>
      <c r="J157" s="48">
        <v>2</v>
      </c>
      <c r="K157" s="48">
        <v>3.8121202591565076E+18</v>
      </c>
    </row>
    <row r="158" spans="4:11" x14ac:dyDescent="0.3">
      <c r="D158" s="47" t="b">
        <v>0</v>
      </c>
      <c r="E158" s="48">
        <v>16</v>
      </c>
      <c r="F158" s="48">
        <v>77</v>
      </c>
      <c r="G158" s="48">
        <v>7.4</v>
      </c>
      <c r="H158" s="48">
        <v>82</v>
      </c>
      <c r="I158" s="48">
        <v>8</v>
      </c>
      <c r="J158" s="48">
        <v>3</v>
      </c>
      <c r="K158" s="48">
        <v>1.3187911173288438E+19</v>
      </c>
    </row>
    <row r="159" spans="4:11" x14ac:dyDescent="0.3">
      <c r="D159" s="47" t="b">
        <v>0</v>
      </c>
      <c r="E159" s="48">
        <v>78</v>
      </c>
      <c r="F159" s="48"/>
      <c r="G159" s="48">
        <v>6.9</v>
      </c>
      <c r="H159" s="48">
        <v>86</v>
      </c>
      <c r="I159" s="48">
        <v>8</v>
      </c>
      <c r="J159" s="48">
        <v>4</v>
      </c>
      <c r="K159" s="48">
        <v>1.6949093482872404E+18</v>
      </c>
    </row>
    <row r="160" spans="4:11" x14ac:dyDescent="0.3">
      <c r="D160" s="47" t="b">
        <v>0</v>
      </c>
      <c r="E160" s="48">
        <v>35</v>
      </c>
      <c r="F160" s="48"/>
      <c r="G160" s="48">
        <v>7.4</v>
      </c>
      <c r="H160" s="48">
        <v>85</v>
      </c>
      <c r="I160" s="48">
        <v>8</v>
      </c>
      <c r="J160" s="48">
        <v>5</v>
      </c>
      <c r="K160" s="48">
        <v>6.4719226149162936E+16</v>
      </c>
    </row>
    <row r="161" spans="4:11" x14ac:dyDescent="0.3">
      <c r="D161" s="47" t="b">
        <v>0</v>
      </c>
      <c r="E161" s="48">
        <v>66</v>
      </c>
      <c r="F161" s="48"/>
      <c r="G161" s="48">
        <v>4.5999999999999996</v>
      </c>
      <c r="H161" s="48">
        <v>87</v>
      </c>
      <c r="I161" s="48">
        <v>8</v>
      </c>
      <c r="J161" s="48">
        <v>6</v>
      </c>
      <c r="K161" s="48">
        <v>8.2906323779463859E+17</v>
      </c>
    </row>
    <row r="162" spans="4:11" x14ac:dyDescent="0.3">
      <c r="D162" s="47" t="b">
        <v>0</v>
      </c>
      <c r="E162" s="48">
        <v>122</v>
      </c>
      <c r="F162" s="48">
        <v>255</v>
      </c>
      <c r="G162" s="48">
        <v>4</v>
      </c>
      <c r="H162" s="48">
        <v>89</v>
      </c>
      <c r="I162" s="48">
        <v>8</v>
      </c>
      <c r="J162" s="48">
        <v>7</v>
      </c>
      <c r="K162" s="48">
        <v>1.1084092180149903E+19</v>
      </c>
    </row>
    <row r="163" spans="4:11" x14ac:dyDescent="0.3">
      <c r="D163" s="47" t="b">
        <v>0</v>
      </c>
      <c r="E163" s="48">
        <v>89</v>
      </c>
      <c r="F163" s="48">
        <v>229</v>
      </c>
      <c r="G163" s="48">
        <v>10.3</v>
      </c>
      <c r="H163" s="48">
        <v>90</v>
      </c>
      <c r="I163" s="48">
        <v>8</v>
      </c>
      <c r="J163" s="48">
        <v>8</v>
      </c>
      <c r="K163" s="48">
        <v>1.7269426371955786E+19</v>
      </c>
    </row>
    <row r="164" spans="4:11" x14ac:dyDescent="0.3">
      <c r="D164" s="47" t="b">
        <v>0</v>
      </c>
      <c r="E164" s="48">
        <v>110</v>
      </c>
      <c r="F164" s="48">
        <v>207</v>
      </c>
      <c r="G164" s="48">
        <v>8</v>
      </c>
      <c r="H164" s="48">
        <v>90</v>
      </c>
      <c r="I164" s="48">
        <v>8</v>
      </c>
      <c r="J164" s="48">
        <v>9</v>
      </c>
      <c r="K164" s="48">
        <v>1.8886274384830932E+18</v>
      </c>
    </row>
    <row r="165" spans="4:11" x14ac:dyDescent="0.3">
      <c r="D165" s="47" t="b">
        <v>0</v>
      </c>
      <c r="E165" s="48"/>
      <c r="F165" s="48">
        <v>222</v>
      </c>
      <c r="G165" s="48">
        <v>8.6</v>
      </c>
      <c r="H165" s="48">
        <v>92</v>
      </c>
      <c r="I165" s="48">
        <v>8</v>
      </c>
      <c r="J165" s="48">
        <v>10</v>
      </c>
      <c r="K165" s="48">
        <v>1.1629412016212715E+17</v>
      </c>
    </row>
    <row r="166" spans="4:11" x14ac:dyDescent="0.3">
      <c r="D166" s="47" t="b">
        <v>0</v>
      </c>
      <c r="E166" s="48"/>
      <c r="F166" s="48">
        <v>137</v>
      </c>
      <c r="G166" s="48">
        <v>11.5</v>
      </c>
      <c r="H166" s="48">
        <v>86</v>
      </c>
      <c r="I166" s="48">
        <v>8</v>
      </c>
      <c r="J166" s="48">
        <v>11</v>
      </c>
      <c r="K166" s="48">
        <v>7.8074504165521859E+18</v>
      </c>
    </row>
    <row r="167" spans="4:11" x14ac:dyDescent="0.3">
      <c r="D167" s="47" t="b">
        <v>0</v>
      </c>
      <c r="E167" s="48">
        <v>44</v>
      </c>
      <c r="F167" s="48">
        <v>192</v>
      </c>
      <c r="G167" s="48">
        <v>11.5</v>
      </c>
      <c r="H167" s="48">
        <v>86</v>
      </c>
      <c r="I167" s="48">
        <v>8</v>
      </c>
      <c r="J167" s="48">
        <v>12</v>
      </c>
      <c r="K167" s="48">
        <v>6.4377906593251328E+18</v>
      </c>
    </row>
    <row r="168" spans="4:11" x14ac:dyDescent="0.3">
      <c r="D168" s="47" t="b">
        <v>0</v>
      </c>
      <c r="E168" s="48">
        <v>28</v>
      </c>
      <c r="F168" s="48">
        <v>273</v>
      </c>
      <c r="G168" s="48">
        <v>11.5</v>
      </c>
      <c r="H168" s="48">
        <v>82</v>
      </c>
      <c r="I168" s="48">
        <v>8</v>
      </c>
      <c r="J168" s="48">
        <v>13</v>
      </c>
      <c r="K168" s="48">
        <v>2.8503910521767813E+18</v>
      </c>
    </row>
    <row r="169" spans="4:11" x14ac:dyDescent="0.3">
      <c r="D169" s="47" t="b">
        <v>0</v>
      </c>
      <c r="E169" s="48">
        <v>65</v>
      </c>
      <c r="F169" s="48">
        <v>157</v>
      </c>
      <c r="G169" s="48">
        <v>9.6999999999999993</v>
      </c>
      <c r="H169" s="48">
        <v>80</v>
      </c>
      <c r="I169" s="48">
        <v>8</v>
      </c>
      <c r="J169" s="48">
        <v>14</v>
      </c>
      <c r="K169" s="48">
        <v>6.1012327266353439E+18</v>
      </c>
    </row>
    <row r="170" spans="4:11" x14ac:dyDescent="0.3">
      <c r="D170" s="47" t="b">
        <v>0</v>
      </c>
      <c r="E170" s="48"/>
      <c r="F170" s="48">
        <v>64</v>
      </c>
      <c r="G170" s="48">
        <v>11.5</v>
      </c>
      <c r="H170" s="48">
        <v>79</v>
      </c>
      <c r="I170" s="48">
        <v>8</v>
      </c>
      <c r="J170" s="48">
        <v>15</v>
      </c>
      <c r="K170" s="48">
        <v>1.0671070413584783E+19</v>
      </c>
    </row>
    <row r="171" spans="4:11" x14ac:dyDescent="0.3">
      <c r="D171" s="47" t="b">
        <v>0</v>
      </c>
      <c r="E171" s="48">
        <v>22</v>
      </c>
      <c r="F171" s="48">
        <v>71</v>
      </c>
      <c r="G171" s="48">
        <v>10.3</v>
      </c>
      <c r="H171" s="48">
        <v>77</v>
      </c>
      <c r="I171" s="48">
        <v>8</v>
      </c>
      <c r="J171" s="48">
        <v>16</v>
      </c>
      <c r="K171" s="48">
        <v>3.1358115005118592E+18</v>
      </c>
    </row>
    <row r="172" spans="4:11" x14ac:dyDescent="0.3">
      <c r="D172" s="47" t="b">
        <v>0</v>
      </c>
      <c r="E172" s="48">
        <v>59</v>
      </c>
      <c r="F172" s="48">
        <v>51</v>
      </c>
      <c r="G172" s="48">
        <v>6.3</v>
      </c>
      <c r="H172" s="48">
        <v>79</v>
      </c>
      <c r="I172" s="48">
        <v>8</v>
      </c>
      <c r="J172" s="48">
        <v>17</v>
      </c>
      <c r="K172" s="48">
        <v>1.6650651584539714E+19</v>
      </c>
    </row>
    <row r="173" spans="4:11" x14ac:dyDescent="0.3">
      <c r="D173" s="47" t="b">
        <v>0</v>
      </c>
      <c r="E173" s="48">
        <v>23</v>
      </c>
      <c r="F173" s="48">
        <v>115</v>
      </c>
      <c r="G173" s="48">
        <v>7.4</v>
      </c>
      <c r="H173" s="48">
        <v>76</v>
      </c>
      <c r="I173" s="48">
        <v>8</v>
      </c>
      <c r="J173" s="48">
        <v>18</v>
      </c>
      <c r="K173" s="48">
        <v>9.6510505990603018E+18</v>
      </c>
    </row>
    <row r="174" spans="4:11" x14ac:dyDescent="0.3">
      <c r="D174" s="47" t="b">
        <v>0</v>
      </c>
      <c r="E174" s="48">
        <v>31</v>
      </c>
      <c r="F174" s="48">
        <v>244</v>
      </c>
      <c r="G174" s="48">
        <v>10.9</v>
      </c>
      <c r="H174" s="48">
        <v>78</v>
      </c>
      <c r="I174" s="48">
        <v>8</v>
      </c>
      <c r="J174" s="48">
        <v>19</v>
      </c>
      <c r="K174" s="48">
        <v>1.3664708177413493E+19</v>
      </c>
    </row>
    <row r="175" spans="4:11" x14ac:dyDescent="0.3">
      <c r="D175" s="47" t="b">
        <v>0</v>
      </c>
      <c r="E175" s="48">
        <v>44</v>
      </c>
      <c r="F175" s="48">
        <v>190</v>
      </c>
      <c r="G175" s="48">
        <v>10.3</v>
      </c>
      <c r="H175" s="48">
        <v>78</v>
      </c>
      <c r="I175" s="48">
        <v>8</v>
      </c>
      <c r="J175" s="48">
        <v>20</v>
      </c>
      <c r="K175" s="48">
        <v>1.1530320921088256E+19</v>
      </c>
    </row>
    <row r="176" spans="4:11" x14ac:dyDescent="0.3">
      <c r="D176" s="47" t="b">
        <v>0</v>
      </c>
      <c r="E176" s="48">
        <v>21</v>
      </c>
      <c r="F176" s="48">
        <v>259</v>
      </c>
      <c r="G176" s="48">
        <v>15.5</v>
      </c>
      <c r="H176" s="48">
        <v>77</v>
      </c>
      <c r="I176" s="48">
        <v>8</v>
      </c>
      <c r="J176" s="48">
        <v>21</v>
      </c>
      <c r="K176" s="48">
        <v>5.9453679794409923E+18</v>
      </c>
    </row>
    <row r="177" spans="4:11" x14ac:dyDescent="0.3">
      <c r="D177" s="47" t="b">
        <v>0</v>
      </c>
      <c r="E177" s="48">
        <v>9</v>
      </c>
      <c r="F177" s="48">
        <v>36</v>
      </c>
      <c r="G177" s="48">
        <v>14.3</v>
      </c>
      <c r="H177" s="48">
        <v>72</v>
      </c>
      <c r="I177" s="48">
        <v>8</v>
      </c>
      <c r="J177" s="48">
        <v>22</v>
      </c>
      <c r="K177" s="48">
        <v>1.1136660672375941E+19</v>
      </c>
    </row>
    <row r="178" spans="4:11" x14ac:dyDescent="0.3">
      <c r="D178" s="47" t="b">
        <v>0</v>
      </c>
      <c r="E178" s="48"/>
      <c r="F178" s="48">
        <v>255</v>
      </c>
      <c r="G178" s="48">
        <v>12.6</v>
      </c>
      <c r="H178" s="48">
        <v>75</v>
      </c>
      <c r="I178" s="48">
        <v>8</v>
      </c>
      <c r="J178" s="48">
        <v>23</v>
      </c>
      <c r="K178" s="48">
        <v>8.77758063219682E+18</v>
      </c>
    </row>
    <row r="179" spans="4:11" x14ac:dyDescent="0.3">
      <c r="D179" s="47" t="b">
        <v>0</v>
      </c>
      <c r="E179" s="48">
        <v>45</v>
      </c>
      <c r="F179" s="48">
        <v>212</v>
      </c>
      <c r="G179" s="48">
        <v>9.6999999999999993</v>
      </c>
      <c r="H179" s="48">
        <v>79</v>
      </c>
      <c r="I179" s="48">
        <v>8</v>
      </c>
      <c r="J179" s="48">
        <v>24</v>
      </c>
      <c r="K179" s="48">
        <v>8.4214177848061901E+18</v>
      </c>
    </row>
    <row r="180" spans="4:11" x14ac:dyDescent="0.3">
      <c r="D180" s="47" t="b">
        <v>0</v>
      </c>
      <c r="E180" s="48">
        <v>168</v>
      </c>
      <c r="F180" s="48">
        <v>238</v>
      </c>
      <c r="G180" s="48">
        <v>3.4</v>
      </c>
      <c r="H180" s="48">
        <v>81</v>
      </c>
      <c r="I180" s="48">
        <v>8</v>
      </c>
      <c r="J180" s="48">
        <v>25</v>
      </c>
      <c r="K180" s="48">
        <v>1.7704485454251008E+19</v>
      </c>
    </row>
    <row r="181" spans="4:11" x14ac:dyDescent="0.3">
      <c r="D181" s="47" t="b">
        <v>0</v>
      </c>
      <c r="E181" s="48">
        <v>73</v>
      </c>
      <c r="F181" s="48">
        <v>215</v>
      </c>
      <c r="G181" s="48">
        <v>8</v>
      </c>
      <c r="H181" s="48">
        <v>86</v>
      </c>
      <c r="I181" s="48">
        <v>8</v>
      </c>
      <c r="J181" s="48">
        <v>26</v>
      </c>
      <c r="K181" s="48">
        <v>2.7066975766876769E+18</v>
      </c>
    </row>
    <row r="182" spans="4:11" x14ac:dyDescent="0.3">
      <c r="D182" s="47" t="b">
        <v>0</v>
      </c>
      <c r="E182" s="48"/>
      <c r="F182" s="48">
        <v>153</v>
      </c>
      <c r="G182" s="48">
        <v>5.7</v>
      </c>
      <c r="H182" s="48">
        <v>88</v>
      </c>
      <c r="I182" s="48">
        <v>8</v>
      </c>
      <c r="J182" s="48">
        <v>27</v>
      </c>
      <c r="K182" s="48">
        <v>1.5270705812855452E+18</v>
      </c>
    </row>
    <row r="183" spans="4:11" x14ac:dyDescent="0.3">
      <c r="D183" s="47" t="b">
        <v>0</v>
      </c>
      <c r="E183" s="48">
        <v>76</v>
      </c>
      <c r="F183" s="48">
        <v>203</v>
      </c>
      <c r="G183" s="48">
        <v>9.6999999999999993</v>
      </c>
      <c r="H183" s="48">
        <v>97</v>
      </c>
      <c r="I183" s="48">
        <v>8</v>
      </c>
      <c r="J183" s="48">
        <v>28</v>
      </c>
      <c r="K183" s="48">
        <v>1.6279467958807163E+19</v>
      </c>
    </row>
    <row r="184" spans="4:11" x14ac:dyDescent="0.3">
      <c r="D184" s="47" t="b">
        <v>0</v>
      </c>
      <c r="E184" s="48">
        <v>118</v>
      </c>
      <c r="F184" s="48">
        <v>225</v>
      </c>
      <c r="G184" s="48">
        <v>2.2999999999999998</v>
      </c>
      <c r="H184" s="48">
        <v>94</v>
      </c>
      <c r="I184" s="48">
        <v>8</v>
      </c>
      <c r="J184" s="48">
        <v>29</v>
      </c>
      <c r="K184" s="48">
        <v>1.834424019014912E+19</v>
      </c>
    </row>
    <row r="185" spans="4:11" x14ac:dyDescent="0.3">
      <c r="D185" s="47" t="b">
        <v>0</v>
      </c>
      <c r="E185" s="48">
        <v>84</v>
      </c>
      <c r="F185" s="48">
        <v>237</v>
      </c>
      <c r="G185" s="48">
        <v>6.3</v>
      </c>
      <c r="H185" s="48">
        <v>96</v>
      </c>
      <c r="I185" s="48">
        <v>8</v>
      </c>
      <c r="J185" s="48">
        <v>30</v>
      </c>
      <c r="K185" s="48">
        <v>8.752686381199616E+18</v>
      </c>
    </row>
    <row r="186" spans="4:11" x14ac:dyDescent="0.3">
      <c r="D186" s="47" t="b">
        <v>0</v>
      </c>
      <c r="E186" s="48">
        <v>85</v>
      </c>
      <c r="F186" s="48">
        <v>188</v>
      </c>
      <c r="G186" s="48">
        <v>6.3</v>
      </c>
      <c r="H186" s="48">
        <v>94</v>
      </c>
      <c r="I186" s="48">
        <v>8</v>
      </c>
      <c r="J186" s="48">
        <v>31</v>
      </c>
      <c r="K186" s="48">
        <v>1.6132786796091884E+19</v>
      </c>
    </row>
    <row r="187" spans="4:11" x14ac:dyDescent="0.3">
      <c r="D187" s="47" t="b">
        <v>0</v>
      </c>
      <c r="E187" s="48">
        <v>96</v>
      </c>
      <c r="F187" s="48">
        <v>167</v>
      </c>
      <c r="G187" s="48">
        <v>6.9</v>
      </c>
      <c r="H187" s="48">
        <v>91</v>
      </c>
      <c r="I187" s="48">
        <v>9</v>
      </c>
      <c r="J187" s="48">
        <v>1</v>
      </c>
      <c r="K187" s="48">
        <v>1.2603062581348819E+19</v>
      </c>
    </row>
    <row r="188" spans="4:11" x14ac:dyDescent="0.3">
      <c r="D188" s="47" t="b">
        <v>0</v>
      </c>
      <c r="E188" s="48">
        <v>78</v>
      </c>
      <c r="F188" s="48">
        <v>197</v>
      </c>
      <c r="G188" s="48">
        <v>5.0999999999999996</v>
      </c>
      <c r="H188" s="48">
        <v>92</v>
      </c>
      <c r="I188" s="48">
        <v>9</v>
      </c>
      <c r="J188" s="48">
        <v>2</v>
      </c>
      <c r="K188" s="48">
        <v>4.2546471885353318E+18</v>
      </c>
    </row>
    <row r="189" spans="4:11" x14ac:dyDescent="0.3">
      <c r="D189" s="47" t="b">
        <v>0</v>
      </c>
      <c r="E189" s="48">
        <v>73</v>
      </c>
      <c r="F189" s="48">
        <v>183</v>
      </c>
      <c r="G189" s="48">
        <v>2.8</v>
      </c>
      <c r="H189" s="48">
        <v>93</v>
      </c>
      <c r="I189" s="48">
        <v>9</v>
      </c>
      <c r="J189" s="48">
        <v>3</v>
      </c>
      <c r="K189" s="48">
        <v>1.6360051702820065E+19</v>
      </c>
    </row>
    <row r="190" spans="4:11" x14ac:dyDescent="0.3">
      <c r="D190" s="47" t="b">
        <v>0</v>
      </c>
      <c r="E190" s="48">
        <v>91</v>
      </c>
      <c r="F190" s="48">
        <v>189</v>
      </c>
      <c r="G190" s="48">
        <v>4.5999999999999996</v>
      </c>
      <c r="H190" s="48">
        <v>93</v>
      </c>
      <c r="I190" s="48">
        <v>9</v>
      </c>
      <c r="J190" s="48">
        <v>4</v>
      </c>
      <c r="K190" s="48">
        <v>1.4925550026410183E+19</v>
      </c>
    </row>
    <row r="191" spans="4:11" x14ac:dyDescent="0.3">
      <c r="D191" s="47" t="b">
        <v>0</v>
      </c>
      <c r="E191" s="48">
        <v>47</v>
      </c>
      <c r="F191" s="48">
        <v>95</v>
      </c>
      <c r="G191" s="48">
        <v>7.4</v>
      </c>
      <c r="H191" s="48">
        <v>87</v>
      </c>
      <c r="I191" s="48">
        <v>9</v>
      </c>
      <c r="J191" s="48">
        <v>5</v>
      </c>
      <c r="K191" s="48">
        <v>8.9787279550907351E+18</v>
      </c>
    </row>
    <row r="192" spans="4:11" x14ac:dyDescent="0.3">
      <c r="D192" s="47" t="b">
        <v>0</v>
      </c>
      <c r="E192" s="48">
        <v>32</v>
      </c>
      <c r="F192" s="48">
        <v>92</v>
      </c>
      <c r="G192" s="48">
        <v>15.5</v>
      </c>
      <c r="H192" s="48">
        <v>84</v>
      </c>
      <c r="I192" s="48">
        <v>9</v>
      </c>
      <c r="J192" s="48">
        <v>6</v>
      </c>
      <c r="K192" s="48">
        <v>9.7247543042180186E+17</v>
      </c>
    </row>
    <row r="193" spans="4:11" x14ac:dyDescent="0.3">
      <c r="D193" s="47" t="b">
        <v>0</v>
      </c>
      <c r="E193" s="48">
        <v>20</v>
      </c>
      <c r="F193" s="48">
        <v>252</v>
      </c>
      <c r="G193" s="48">
        <v>10.9</v>
      </c>
      <c r="H193" s="48">
        <v>80</v>
      </c>
      <c r="I193" s="48">
        <v>9</v>
      </c>
      <c r="J193" s="48">
        <v>7</v>
      </c>
      <c r="K193" s="48">
        <v>1.5442682166364749E+18</v>
      </c>
    </row>
    <row r="194" spans="4:11" x14ac:dyDescent="0.3">
      <c r="D194" s="47" t="b">
        <v>0</v>
      </c>
      <c r="E194" s="48">
        <v>23</v>
      </c>
      <c r="F194" s="48">
        <v>220</v>
      </c>
      <c r="G194" s="48">
        <v>10.3</v>
      </c>
      <c r="H194" s="48">
        <v>78</v>
      </c>
      <c r="I194" s="48">
        <v>9</v>
      </c>
      <c r="J194" s="48">
        <v>8</v>
      </c>
      <c r="K194" s="48">
        <v>3.4371159801812004E+18</v>
      </c>
    </row>
    <row r="195" spans="4:11" x14ac:dyDescent="0.3">
      <c r="D195" s="47" t="b">
        <v>0</v>
      </c>
      <c r="E195" s="48">
        <v>21</v>
      </c>
      <c r="F195" s="48">
        <v>230</v>
      </c>
      <c r="G195" s="48">
        <v>10.9</v>
      </c>
      <c r="H195" s="48">
        <v>75</v>
      </c>
      <c r="I195" s="48">
        <v>9</v>
      </c>
      <c r="J195" s="48">
        <v>9</v>
      </c>
      <c r="K195" s="48">
        <v>7.2165126584155935E+18</v>
      </c>
    </row>
    <row r="196" spans="4:11" x14ac:dyDescent="0.3">
      <c r="D196" s="47" t="b">
        <v>0</v>
      </c>
      <c r="E196" s="48">
        <v>24</v>
      </c>
      <c r="F196" s="48">
        <v>259</v>
      </c>
      <c r="G196" s="48">
        <v>9.6999999999999993</v>
      </c>
      <c r="H196" s="48">
        <v>73</v>
      </c>
      <c r="I196" s="48">
        <v>9</v>
      </c>
      <c r="J196" s="48">
        <v>10</v>
      </c>
      <c r="K196" s="48">
        <v>7.0828755046366116E+18</v>
      </c>
    </row>
    <row r="197" spans="4:11" x14ac:dyDescent="0.3">
      <c r="D197" s="47" t="b">
        <v>0</v>
      </c>
      <c r="E197" s="48">
        <v>44</v>
      </c>
      <c r="F197" s="48">
        <v>236</v>
      </c>
      <c r="G197" s="48">
        <v>14.9</v>
      </c>
      <c r="H197" s="48">
        <v>81</v>
      </c>
      <c r="I197" s="48">
        <v>9</v>
      </c>
      <c r="J197" s="48">
        <v>11</v>
      </c>
      <c r="K197" s="48">
        <v>1.0079095727794878E+19</v>
      </c>
    </row>
    <row r="198" spans="4:11" x14ac:dyDescent="0.3">
      <c r="D198" s="47" t="b">
        <v>0</v>
      </c>
      <c r="E198" s="48">
        <v>21</v>
      </c>
      <c r="F198" s="48">
        <v>259</v>
      </c>
      <c r="G198" s="48">
        <v>15.5</v>
      </c>
      <c r="H198" s="48">
        <v>76</v>
      </c>
      <c r="I198" s="48">
        <v>9</v>
      </c>
      <c r="J198" s="48">
        <v>12</v>
      </c>
      <c r="K198" s="48">
        <v>6.4236806738500772E+18</v>
      </c>
    </row>
    <row r="199" spans="4:11" x14ac:dyDescent="0.3">
      <c r="D199" s="47" t="b">
        <v>0</v>
      </c>
      <c r="E199" s="48">
        <v>28</v>
      </c>
      <c r="F199" s="48">
        <v>238</v>
      </c>
      <c r="G199" s="48">
        <v>6.3</v>
      </c>
      <c r="H199" s="48">
        <v>77</v>
      </c>
      <c r="I199" s="48">
        <v>9</v>
      </c>
      <c r="J199" s="48">
        <v>13</v>
      </c>
      <c r="K199" s="48">
        <v>8.564500945673344E+18</v>
      </c>
    </row>
    <row r="200" spans="4:11" x14ac:dyDescent="0.3">
      <c r="D200" s="47" t="b">
        <v>0</v>
      </c>
      <c r="E200" s="48">
        <v>9</v>
      </c>
      <c r="F200" s="48">
        <v>24</v>
      </c>
      <c r="G200" s="48">
        <v>10.9</v>
      </c>
      <c r="H200" s="48">
        <v>71</v>
      </c>
      <c r="I200" s="48">
        <v>9</v>
      </c>
      <c r="J200" s="48">
        <v>14</v>
      </c>
      <c r="K200" s="48">
        <v>3.3925546062291942E+18</v>
      </c>
    </row>
    <row r="201" spans="4:11" x14ac:dyDescent="0.3">
      <c r="D201" s="47" t="b">
        <v>0</v>
      </c>
      <c r="E201" s="48">
        <v>13</v>
      </c>
      <c r="F201" s="48">
        <v>112</v>
      </c>
      <c r="G201" s="48">
        <v>11.5</v>
      </c>
      <c r="H201" s="48">
        <v>71</v>
      </c>
      <c r="I201" s="48">
        <v>9</v>
      </c>
      <c r="J201" s="48">
        <v>15</v>
      </c>
      <c r="K201" s="48">
        <v>1.3621939337089057E+19</v>
      </c>
    </row>
    <row r="202" spans="4:11" x14ac:dyDescent="0.3">
      <c r="D202" s="47" t="b">
        <v>0</v>
      </c>
      <c r="E202" s="48">
        <v>46</v>
      </c>
      <c r="F202" s="48">
        <v>237</v>
      </c>
      <c r="G202" s="48">
        <v>6.9</v>
      </c>
      <c r="H202" s="48">
        <v>78</v>
      </c>
      <c r="I202" s="48">
        <v>9</v>
      </c>
      <c r="J202" s="48">
        <v>16</v>
      </c>
      <c r="K202" s="48">
        <v>4.7778573833312758E+18</v>
      </c>
    </row>
    <row r="203" spans="4:11" x14ac:dyDescent="0.3">
      <c r="D203" s="47" t="b">
        <v>0</v>
      </c>
      <c r="E203" s="48">
        <v>18</v>
      </c>
      <c r="F203" s="48">
        <v>224</v>
      </c>
      <c r="G203" s="48">
        <v>13.8</v>
      </c>
      <c r="H203" s="48">
        <v>67</v>
      </c>
      <c r="I203" s="48">
        <v>9</v>
      </c>
      <c r="J203" s="48">
        <v>17</v>
      </c>
      <c r="K203" s="48">
        <v>2.9901429661135201E+18</v>
      </c>
    </row>
    <row r="204" spans="4:11" x14ac:dyDescent="0.3">
      <c r="D204" s="47" t="b">
        <v>0</v>
      </c>
      <c r="E204" s="48">
        <v>13</v>
      </c>
      <c r="F204" s="48">
        <v>27</v>
      </c>
      <c r="G204" s="48">
        <v>10.3</v>
      </c>
      <c r="H204" s="48">
        <v>76</v>
      </c>
      <c r="I204" s="48">
        <v>9</v>
      </c>
      <c r="J204" s="48">
        <v>18</v>
      </c>
      <c r="K204" s="48">
        <v>1.4027865887859251E+19</v>
      </c>
    </row>
    <row r="205" spans="4:11" x14ac:dyDescent="0.3">
      <c r="D205" s="47" t="b">
        <v>0</v>
      </c>
      <c r="E205" s="48">
        <v>24</v>
      </c>
      <c r="F205" s="48">
        <v>238</v>
      </c>
      <c r="G205" s="48">
        <v>10.3</v>
      </c>
      <c r="H205" s="48">
        <v>68</v>
      </c>
      <c r="I205" s="48">
        <v>9</v>
      </c>
      <c r="J205" s="48">
        <v>19</v>
      </c>
      <c r="K205" s="48">
        <v>6.4096773230237123E+18</v>
      </c>
    </row>
    <row r="206" spans="4:11" x14ac:dyDescent="0.3">
      <c r="D206" s="47" t="b">
        <v>0</v>
      </c>
      <c r="E206" s="48">
        <v>16</v>
      </c>
      <c r="F206" s="48">
        <v>201</v>
      </c>
      <c r="G206" s="48">
        <v>8</v>
      </c>
      <c r="H206" s="48">
        <v>82</v>
      </c>
      <c r="I206" s="48">
        <v>9</v>
      </c>
      <c r="J206" s="48">
        <v>20</v>
      </c>
      <c r="K206" s="48">
        <v>1.6107203708090061E+18</v>
      </c>
    </row>
    <row r="207" spans="4:11" x14ac:dyDescent="0.3">
      <c r="D207" s="47" t="b">
        <v>0</v>
      </c>
      <c r="E207" s="48">
        <v>13</v>
      </c>
      <c r="F207" s="48">
        <v>238</v>
      </c>
      <c r="G207" s="48">
        <v>12.6</v>
      </c>
      <c r="H207" s="48">
        <v>64</v>
      </c>
      <c r="I207" s="48">
        <v>9</v>
      </c>
      <c r="J207" s="48">
        <v>21</v>
      </c>
      <c r="K207" s="48">
        <v>1.5964484347972526E+19</v>
      </c>
    </row>
    <row r="208" spans="4:11" x14ac:dyDescent="0.3">
      <c r="D208" s="47" t="b">
        <v>0</v>
      </c>
      <c r="E208" s="48">
        <v>23</v>
      </c>
      <c r="F208" s="48">
        <v>14</v>
      </c>
      <c r="G208" s="48">
        <v>9.1999999999999993</v>
      </c>
      <c r="H208" s="48">
        <v>71</v>
      </c>
      <c r="I208" s="48">
        <v>9</v>
      </c>
      <c r="J208" s="48">
        <v>22</v>
      </c>
      <c r="K208" s="48">
        <v>8.7314327108705976E+18</v>
      </c>
    </row>
    <row r="209" spans="4:11" x14ac:dyDescent="0.3">
      <c r="D209" s="47" t="b">
        <v>0</v>
      </c>
      <c r="E209" s="48">
        <v>36</v>
      </c>
      <c r="F209" s="48">
        <v>139</v>
      </c>
      <c r="G209" s="48">
        <v>10.3</v>
      </c>
      <c r="H209" s="48">
        <v>81</v>
      </c>
      <c r="I209" s="48">
        <v>9</v>
      </c>
      <c r="J209" s="48">
        <v>23</v>
      </c>
      <c r="K209" s="48">
        <v>2.6767814575820218E+17</v>
      </c>
    </row>
    <row r="210" spans="4:11" x14ac:dyDescent="0.3">
      <c r="D210" s="47" t="b">
        <v>0</v>
      </c>
      <c r="E210" s="48">
        <v>7</v>
      </c>
      <c r="F210" s="48">
        <v>49</v>
      </c>
      <c r="G210" s="48">
        <v>10.3</v>
      </c>
      <c r="H210" s="48">
        <v>69</v>
      </c>
      <c r="I210" s="48">
        <v>9</v>
      </c>
      <c r="J210" s="48">
        <v>24</v>
      </c>
      <c r="K210" s="48">
        <v>8.5853018963522232E+18</v>
      </c>
    </row>
    <row r="211" spans="4:11" x14ac:dyDescent="0.3">
      <c r="D211" s="47" t="b">
        <v>0</v>
      </c>
      <c r="E211" s="48">
        <v>14</v>
      </c>
      <c r="F211" s="48">
        <v>20</v>
      </c>
      <c r="G211" s="48">
        <v>16.600000000000001</v>
      </c>
      <c r="H211" s="48">
        <v>63</v>
      </c>
      <c r="I211" s="48">
        <v>9</v>
      </c>
      <c r="J211" s="48">
        <v>25</v>
      </c>
      <c r="K211" s="48">
        <v>1.8193470890942126E+19</v>
      </c>
    </row>
    <row r="212" spans="4:11" x14ac:dyDescent="0.3">
      <c r="D212" s="47" t="b">
        <v>0</v>
      </c>
      <c r="E212" s="48">
        <v>30</v>
      </c>
      <c r="F212" s="48">
        <v>193</v>
      </c>
      <c r="G212" s="48">
        <v>6.9</v>
      </c>
      <c r="H212" s="48">
        <v>70</v>
      </c>
      <c r="I212" s="48">
        <v>9</v>
      </c>
      <c r="J212" s="48">
        <v>26</v>
      </c>
      <c r="K212" s="48">
        <v>2.3226042484525194E+18</v>
      </c>
    </row>
    <row r="213" spans="4:11" x14ac:dyDescent="0.3">
      <c r="D213" s="47" t="b">
        <v>0</v>
      </c>
      <c r="E213" s="48"/>
      <c r="F213" s="48">
        <v>145</v>
      </c>
      <c r="G213" s="48">
        <v>13.2</v>
      </c>
      <c r="H213" s="48">
        <v>77</v>
      </c>
      <c r="I213" s="48">
        <v>9</v>
      </c>
      <c r="J213" s="48">
        <v>27</v>
      </c>
      <c r="K213" s="48">
        <v>1.5171389677400699E+19</v>
      </c>
    </row>
    <row r="214" spans="4:11" x14ac:dyDescent="0.3">
      <c r="D214" s="47" t="b">
        <v>0</v>
      </c>
      <c r="E214" s="48">
        <v>14</v>
      </c>
      <c r="F214" s="48">
        <v>191</v>
      </c>
      <c r="G214" s="48">
        <v>14.3</v>
      </c>
      <c r="H214" s="48">
        <v>75</v>
      </c>
      <c r="I214" s="48">
        <v>9</v>
      </c>
      <c r="J214" s="48">
        <v>28</v>
      </c>
      <c r="K214" s="48">
        <v>1.3946644301153939E+19</v>
      </c>
    </row>
    <row r="215" spans="4:11" x14ac:dyDescent="0.3">
      <c r="D215" s="47" t="b">
        <v>0</v>
      </c>
      <c r="E215" s="48">
        <v>18</v>
      </c>
      <c r="F215" s="48">
        <v>131</v>
      </c>
      <c r="G215" s="48">
        <v>8</v>
      </c>
      <c r="H215" s="48">
        <v>76</v>
      </c>
      <c r="I215" s="48">
        <v>9</v>
      </c>
      <c r="J215" s="48">
        <v>29</v>
      </c>
      <c r="K215" s="48">
        <v>9.1457738107761101E+18</v>
      </c>
    </row>
    <row r="216" spans="4:11" x14ac:dyDescent="0.3">
      <c r="D216" s="47" t="b">
        <v>0</v>
      </c>
      <c r="E216" s="48">
        <v>20</v>
      </c>
      <c r="F216" s="48">
        <v>223</v>
      </c>
      <c r="G216" s="48">
        <v>11.5</v>
      </c>
      <c r="H216" s="48">
        <v>68</v>
      </c>
      <c r="I216" s="48">
        <v>9</v>
      </c>
      <c r="J216" s="48">
        <v>30</v>
      </c>
      <c r="K216" s="48">
        <v>1.4342919824619608E+19</v>
      </c>
    </row>
  </sheetData>
  <phoneticPr fontId="16" type="noConversion"/>
  <conditionalFormatting sqref="E20:J20 E62:J62">
    <cfRule type="cellIs" dxfId="24" priority="34" operator="equal">
      <formula>"Notes"</formula>
    </cfRule>
  </conditionalFormatting>
  <conditionalFormatting sqref="E24:J28 E34:J42 E8:J8 E15:J20">
    <cfRule type="cellIs" dxfId="23" priority="35" operator="equal">
      <formula>0</formula>
    </cfRule>
  </conditionalFormatting>
  <conditionalFormatting sqref="E30:J30">
    <cfRule type="cellIs" dxfId="22" priority="33" operator="equal">
      <formula>"Notes"</formula>
    </cfRule>
  </conditionalFormatting>
  <conditionalFormatting sqref="D64:D216">
    <cfRule type="cellIs" dxfId="21" priority="31" operator="equal">
      <formula>FALSE</formula>
    </cfRule>
    <cfRule type="cellIs" dxfId="20" priority="32" operator="notEqual">
      <formula>FALSE</formula>
    </cfRule>
  </conditionalFormatting>
  <conditionalFormatting sqref="E46:F51">
    <cfRule type="cellIs" dxfId="19" priority="29" operator="equal">
      <formula>FALSE</formula>
    </cfRule>
    <cfRule type="cellIs" dxfId="18" priority="30" operator="notEqual">
      <formula>FALSE</formula>
    </cfRule>
  </conditionalFormatting>
  <conditionalFormatting sqref="E3:J3">
    <cfRule type="cellIs" dxfId="17" priority="26" operator="notEqual">
      <formula>"Notes"</formula>
    </cfRule>
  </conditionalFormatting>
  <conditionalFormatting sqref="E9:F11">
    <cfRule type="colorScale" priority="6">
      <colorScale>
        <cfvo type="num" val="0"/>
        <cfvo type="num" val="0.2"/>
        <color theme="1"/>
        <color rgb="FF7A0000"/>
      </colorScale>
    </cfRule>
  </conditionalFormatting>
  <conditionalFormatting sqref="D46:D51 D63">
    <cfRule type="duplicateValues" dxfId="16" priority="5"/>
  </conditionalFormatting>
  <conditionalFormatting sqref="G46:J51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G9:J11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K63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sheetPr codeName="Sheet1"/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3" customFormat="1" ht="31.8" hidden="1" customHeight="1" x14ac:dyDescent="0.3">
      <c r="A1" s="60"/>
      <c r="B1" s="60"/>
      <c r="C1" s="61"/>
      <c r="D1" s="62"/>
      <c r="E1" s="60"/>
      <c r="F1" s="62"/>
      <c r="G1" s="60"/>
      <c r="H1" s="60"/>
    </row>
    <row r="3" spans="1:17" ht="10.050000000000001" customHeight="1" thickBot="1" x14ac:dyDescent="0.35">
      <c r="C3" s="46"/>
      <c r="D3" s="8"/>
    </row>
    <row r="4" spans="1:17" s="9" customFormat="1" ht="30" customHeight="1" thickBot="1" x14ac:dyDescent="0.35"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</row>
    <row r="5" spans="1:17" ht="10.050000000000001" customHeight="1" x14ac:dyDescent="0.3"/>
    <row r="6" spans="1:17" ht="19.2" customHeight="1" x14ac:dyDescent="0.3">
      <c r="C6" s="46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4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6"/>
      <c r="D3" s="8"/>
    </row>
    <row r="4" spans="2:6" s="11" customFormat="1" ht="30" customHeight="1" thickBot="1" x14ac:dyDescent="0.35">
      <c r="B4" s="3"/>
      <c r="C4" s="59"/>
      <c r="D4" s="9" t="s">
        <v>16</v>
      </c>
      <c r="E4" s="10"/>
      <c r="F4" s="10"/>
    </row>
    <row r="5" spans="2:6" ht="10.050000000000001" customHeight="1" x14ac:dyDescent="0.3">
      <c r="C5" s="46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12" priority="9" operator="equal">
      <formula>"Notes"</formula>
    </cfRule>
  </conditionalFormatting>
  <conditionalFormatting sqref="E6:F7">
    <cfRule type="cellIs" dxfId="11" priority="10" operator="equal">
      <formula>0</formula>
    </cfRule>
  </conditionalFormatting>
  <conditionalFormatting sqref="E2:F2">
    <cfRule type="cellIs" dxfId="10" priority="2" operator="equal">
      <formula>"Notes"</formula>
    </cfRule>
    <cfRule type="cellIs" dxfId="9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35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Field Analysis</vt:lpstr>
      <vt:lpstr>MultivariatePlots</vt:lpstr>
      <vt:lpstr>UnivariatePlots</vt:lpstr>
      <vt:lpstr>xlwings.conf</vt:lpstr>
      <vt:lpstr>Compiled_Lists</vt:lpstr>
      <vt:lpstr>Composition</vt:lpstr>
      <vt:lpstr>CompositionTable</vt:lpstr>
      <vt:lpstr>DarkHeader</vt:lpstr>
      <vt:lpstr>Dimensions</vt:lpstr>
      <vt:lpstr>Field_Analysis</vt:lpstr>
      <vt:lpstr>Field_Lists</vt:lpstr>
      <vt:lpstr>FieldAnalysisTheme</vt:lpstr>
      <vt:lpstr>FieldList1</vt:lpstr>
      <vt:lpstr>FieldList2</vt:lpstr>
      <vt:lpstr>FieldList3</vt:lpstr>
      <vt:lpstr>FieldList4</vt:lpstr>
      <vt:lpstr>FieldList5</vt:lpstr>
      <vt:lpstr>FieldList6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RecordHashes</vt:lpstr>
      <vt:lpstr>SerializedLists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2026-05-16T06:22:18Z</dcterms:modified>
</cp:coreProperties>
</file>