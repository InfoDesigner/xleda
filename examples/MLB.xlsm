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"/>
    </mc:Choice>
  </mc:AlternateContent>
  <xr:revisionPtr revIDLastSave="0" documentId="8_{B11A1E32-DFA4-4432-93D4-7535F535F81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Blanks" sheetId="10" r:id="rId3"/>
    <sheet name="Pivot" sheetId="11" r:id="rId4"/>
    <sheet name="SinglePlot" sheetId="7" state="hidden" r:id="rId5"/>
    <sheet name="MultiplePlots" sheetId="8" state="hidden" r:id="rId6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aultWarn" localSheetId="2">Blanks!$C$7</definedName>
    <definedName name="DefaultWarn" localSheetId="3">Pivot!$C$7</definedName>
    <definedName name="Definitions">'Field Analysis'!$D$7:$J$7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List1">'Field Analysis'!$D$57:$J$57</definedName>
    <definedName name="FieldList2">'Field Analysis'!$D$58:$J$58</definedName>
    <definedName name="FieldList3">'Field Analysis'!$D$59:$J$59</definedName>
    <definedName name="FieldList4">'Field Analysis'!$D$60:$J$60</definedName>
    <definedName name="FieldList5">'Field Analysis'!$D$61:$J$61</definedName>
    <definedName name="FieldList6">'Field Analysis'!$D$62:$J$62</definedName>
    <definedName name="FieldList7">'Field Analysis'!$D$63:$J$63</definedName>
    <definedName name="FieldList8">'Field Analysis'!$D$64:$J$64</definedName>
    <definedName name="FieldLists">'Field Analysis'!$C$57:$J$64</definedName>
    <definedName name="FieldRange">'Field Analysis'!$D$78:$J$78</definedName>
    <definedName name="FormatRange">'Field Analysis'!$F:$F</definedName>
    <definedName name="Headers">'Field Analysis'!$D$11:$J$11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Analysis'!$D$9:$J$9</definedName>
    <definedName name="Percentiles">'Field Analysis'!$D$45:$D$54</definedName>
    <definedName name="RecordHashes">'Field Analysis'!$L$79:$L$1093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2">Blanks!$B$4:$Q$4</definedName>
    <definedName name="Theme" localSheetId="1">'Field Analysis'!$B$11:$F$11,LightHeader</definedName>
    <definedName name="Theme" localSheetId="5">MultiplePlots!$B$6:$P$6</definedName>
    <definedName name="Theme" localSheetId="0">tbl_Overview[#Headers]</definedName>
    <definedName name="Theme" localSheetId="3">Pivot!$B$4:$Q$4</definedName>
    <definedName name="Theme" localSheetId="4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 iterateDelta="1E-4"/>
  <pivotCaches>
    <pivotCache cacheId="10" r:id="rId7"/>
  </pivotCaches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D17" i="9"/>
  <c r="C11" i="9"/>
  <c r="C12" i="9"/>
  <c r="C13" i="9"/>
  <c r="C14" i="9"/>
  <c r="C15" i="9"/>
  <c r="C16" i="9"/>
  <c r="C17" i="9"/>
  <c r="D76" i="3" a="1"/>
  <c r="D76" i="3" s="1"/>
  <c r="C76" i="3"/>
  <c r="C2" i="11"/>
  <c r="C2" i="10"/>
  <c r="D68" i="3"/>
  <c r="D69" i="3"/>
  <c r="D70" i="3"/>
  <c r="D71" i="3"/>
  <c r="D72" i="3"/>
  <c r="D73" i="3"/>
  <c r="D74" i="3" a="1"/>
  <c r="D74" i="3" s="1"/>
  <c r="D75" i="3" a="1"/>
  <c r="D75" i="3" s="1"/>
  <c r="C73" i="3" l="1"/>
  <c r="C74" i="3"/>
  <c r="C75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<sst xmlns="http://schemas.openxmlformats.org/spreadsheetml/2006/main" count="6248" uniqueCount="1122">
  <si>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</si>
  <si>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</si>
  <si>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</si>
  <si>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</si>
  <si>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</si>
  <si>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</si>
  <si>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</si>
  <si>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</si>
  <si>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</si>
  <si>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</si>
  <si>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</si>
  <si>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</si>
  <si>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</si>
  <si>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</si>
  <si>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</si>
  <si>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</si>
  <si>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</si>
  <si>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</si>
  <si>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</si>
  <si>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</si>
  <si>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</si>
  <si>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</si>
  <si>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</si>
  <si>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</si>
  <si>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</si>
  <si>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</si>
  <si>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</si>
  <si>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</si>
  <si>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</si>
  <si>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</si>
  <si>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</si>
  <si>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</si>
  <si>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</si>
  <si>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</si>
  <si>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</si>
  <si>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</si>
  <si>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</si>
  <si>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</si>
  <si>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</si>
  <si>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</si>
  <si>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</si>
  <si>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</si>
  <si>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</si>
  <si>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</si>
  <si>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</si>
  <si>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Name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</si>
  <si>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</si>
  <si>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</si>
  <si>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</si>
  <si>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</si>
  <si>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</si>
  <si>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</si>
  <si>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</si>
  <si>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Has Blank %</t>
  </si>
  <si>
    <t>% of Total Blanks</t>
  </si>
  <si>
    <t>HasBlank</t>
  </si>
  <si>
    <t>MLB</t>
  </si>
  <si>
    <t>Team</t>
  </si>
  <si>
    <t>Position</t>
  </si>
  <si>
    <t>Height</t>
  </si>
  <si>
    <t>Weight</t>
  </si>
  <si>
    <t>Age</t>
  </si>
  <si>
    <t>PosCategory</t>
  </si>
  <si>
    <t>Record Hash</t>
  </si>
  <si>
    <t>77,241 bytes</t>
  </si>
  <si>
    <t>category</t>
  </si>
  <si>
    <t>Chris_Young</t>
  </si>
  <si>
    <t>NYM</t>
  </si>
  <si>
    <t>Relief_Pitcher</t>
  </si>
  <si>
    <t>int32</t>
  </si>
  <si>
    <t>float64</t>
  </si>
  <si>
    <t>Pitcher</t>
  </si>
  <si>
    <t>Adam_Donachie</t>
  </si>
  <si>
    <t>BAL</t>
  </si>
  <si>
    <t>Catcher</t>
  </si>
  <si>
    <t>Paul_Bako</t>
  </si>
  <si>
    <t>Ramon_Hernandez</t>
  </si>
  <si>
    <t>Kevin_Millar</t>
  </si>
  <si>
    <t>First_Baseman</t>
  </si>
  <si>
    <t>Infielder</t>
  </si>
  <si>
    <t>Chris_Gomez</t>
  </si>
  <si>
    <t>Brian_Roberts</t>
  </si>
  <si>
    <t>Second_Baseman</t>
  </si>
  <si>
    <t>Miguel_Tejada</t>
  </si>
  <si>
    <t>Shortstop</t>
  </si>
  <si>
    <t>Melvin_Mora</t>
  </si>
  <si>
    <t>Third_Baseman</t>
  </si>
  <si>
    <t>Aubrey_Huff</t>
  </si>
  <si>
    <t>Adam_Stern</t>
  </si>
  <si>
    <t>Outfielder</t>
  </si>
  <si>
    <t>Jeff_Fiorentino</t>
  </si>
  <si>
    <t>Freddie_Bynum</t>
  </si>
  <si>
    <t>Nick_Markakis</t>
  </si>
  <si>
    <t>Brandon_Fahey</t>
  </si>
  <si>
    <t>Corey_Patterson</t>
  </si>
  <si>
    <t>Jay_Payton</t>
  </si>
  <si>
    <t>Erik_Bedard</t>
  </si>
  <si>
    <t>Starting_Pitcher</t>
  </si>
  <si>
    <t>Hayden_Penn</t>
  </si>
  <si>
    <t>Adam_Loewen</t>
  </si>
  <si>
    <t>Daniel_Cabrera</t>
  </si>
  <si>
    <t>Steve_Trachsel</t>
  </si>
  <si>
    <t>Jaret_Wright</t>
  </si>
  <si>
    <t>Kris_Benson</t>
  </si>
  <si>
    <t>Scott_Williamson</t>
  </si>
  <si>
    <t>John_Parrish</t>
  </si>
  <si>
    <t>Danys_Baez</t>
  </si>
  <si>
    <t>Chad_Bradford</t>
  </si>
  <si>
    <t>Jamie_Walker</t>
  </si>
  <si>
    <t>Brian_Burres</t>
  </si>
  <si>
    <t>Kurt_Birkins</t>
  </si>
  <si>
    <t>James_Hoey</t>
  </si>
  <si>
    <t>Sendy_Rleal</t>
  </si>
  <si>
    <t>Chris_Ray</t>
  </si>
  <si>
    <t>Jeremy_Guthrie</t>
  </si>
  <si>
    <t>A.J._Pierzynski</t>
  </si>
  <si>
    <t>CWS</t>
  </si>
  <si>
    <t>Toby_Hall</t>
  </si>
  <si>
    <t>Paul_Konerko</t>
  </si>
  <si>
    <t>Tadahito_Iguchi</t>
  </si>
  <si>
    <t>Juan_Uribe</t>
  </si>
  <si>
    <t>Alex_Cintron</t>
  </si>
  <si>
    <t>Joe_Crede</t>
  </si>
  <si>
    <t>Josh_Fields</t>
  </si>
  <si>
    <t>Ryan_Sweeney</t>
  </si>
  <si>
    <t>Brian_N._Anderson</t>
  </si>
  <si>
    <t>Luis_Terrero</t>
  </si>
  <si>
    <t>Pablo_Ozuna</t>
  </si>
  <si>
    <t>Scott_Podsednik</t>
  </si>
  <si>
    <t>Jermaine_Dye</t>
  </si>
  <si>
    <t>Darin_Erstad</t>
  </si>
  <si>
    <t>Rob_Mackowiak</t>
  </si>
  <si>
    <t>Charlie_Haeger</t>
  </si>
  <si>
    <t>Heath_Phillips</t>
  </si>
  <si>
    <t>Gavin_Floyd</t>
  </si>
  <si>
    <t>Jose_Contreras</t>
  </si>
  <si>
    <t>Jon_Garland</t>
  </si>
  <si>
    <t>Javier_Vazquez</t>
  </si>
  <si>
    <t>Mark_Buehrle</t>
  </si>
  <si>
    <t>Mike_MacDougal</t>
  </si>
  <si>
    <t>David_Aardsma</t>
  </si>
  <si>
    <t>Andrew_Sisco</t>
  </si>
  <si>
    <t>Matt_Thornton</t>
  </si>
  <si>
    <t>Bobby_Jenks</t>
  </si>
  <si>
    <t>Boone_Logan</t>
  </si>
  <si>
    <t>Sean_Tracey</t>
  </si>
  <si>
    <t>Nick_Masset</t>
  </si>
  <si>
    <t>Jose_Molina</t>
  </si>
  <si>
    <t>ANA</t>
  </si>
  <si>
    <t>Jeff_Mathis</t>
  </si>
  <si>
    <t>Mike_Napoli</t>
  </si>
  <si>
    <t>Casey_Kotchman</t>
  </si>
  <si>
    <t>Kendry_Morales</t>
  </si>
  <si>
    <t>Shea_Hillenbrand</t>
  </si>
  <si>
    <t>Robb_Quinlan</t>
  </si>
  <si>
    <t>Howie_Kendrick</t>
  </si>
  <si>
    <t>Orlando_Cabrera</t>
  </si>
  <si>
    <t>Erick_Aybar</t>
  </si>
  <si>
    <t>Dallas_McPherson</t>
  </si>
  <si>
    <t>Maicer_Izturis</t>
  </si>
  <si>
    <t>Reggie_Willits</t>
  </si>
  <si>
    <t>Tommy_Murphy</t>
  </si>
  <si>
    <t>Terry_Evans</t>
  </si>
  <si>
    <t>Gary_Matthews_Jr.</t>
  </si>
  <si>
    <t>Garret_Anderson</t>
  </si>
  <si>
    <t>Vladimir_Guerrero</t>
  </si>
  <si>
    <t>Chone_Figgins</t>
  </si>
  <si>
    <t>Juan_Rivera</t>
  </si>
  <si>
    <t>John_Lackey</t>
  </si>
  <si>
    <t>Bartolo_Colon</t>
  </si>
  <si>
    <t>Kelvim_Escobar</t>
  </si>
  <si>
    <t>Dustin_Moseley</t>
  </si>
  <si>
    <t>Ervin_Santana</t>
  </si>
  <si>
    <t>Joe_Saunders</t>
  </si>
  <si>
    <t>Jered_Weaver</t>
  </si>
  <si>
    <t>Chris_Resop</t>
  </si>
  <si>
    <t>Phil_Seibel</t>
  </si>
  <si>
    <t>Justin_Speier</t>
  </si>
  <si>
    <t>Darren_Oliver</t>
  </si>
  <si>
    <t>Hector_Carrasco</t>
  </si>
  <si>
    <t>Scot_Shields</t>
  </si>
  <si>
    <t>Francisco_Rodriguez</t>
  </si>
  <si>
    <t>Greg_Jones</t>
  </si>
  <si>
    <t>Doug_Mirabelli</t>
  </si>
  <si>
    <t>BOS</t>
  </si>
  <si>
    <t>Jason_Varitek</t>
  </si>
  <si>
    <t>George_Kottaras</t>
  </si>
  <si>
    <t>Kevin_Youkilis</t>
  </si>
  <si>
    <t>Dustin_Pedroia</t>
  </si>
  <si>
    <t>Alex_Cora</t>
  </si>
  <si>
    <t>Julio_Lugo</t>
  </si>
  <si>
    <t>Mike_Lowell</t>
  </si>
  <si>
    <t>Wily_Mo_Pe?a</t>
  </si>
  <si>
    <t>J.D._Drew</t>
  </si>
  <si>
    <t>Manny_Ramirez</t>
  </si>
  <si>
    <t>Brandon_Moss</t>
  </si>
  <si>
    <t>David_Murphy</t>
  </si>
  <si>
    <t>Eric_Hinske</t>
  </si>
  <si>
    <t>Coco_Crisp</t>
  </si>
  <si>
    <t>Curt_Schilling</t>
  </si>
  <si>
    <t>Tim_Wakefield</t>
  </si>
  <si>
    <t>Josh_Beckett</t>
  </si>
  <si>
    <t>Matt_Clement</t>
  </si>
  <si>
    <t>Jonathan_Papelbon</t>
  </si>
  <si>
    <t>Kyle_Snyder</t>
  </si>
  <si>
    <t>Devern_Hansack</t>
  </si>
  <si>
    <t>Jon_Lester</t>
  </si>
  <si>
    <t>Kason_Gabbard</t>
  </si>
  <si>
    <t>Craig_Hansen</t>
  </si>
  <si>
    <t>Hideki_Okajima</t>
  </si>
  <si>
    <t>Craig_Breslow</t>
  </si>
  <si>
    <t>Manny_Delcarmen</t>
  </si>
  <si>
    <t>Brendan_Donnelly</t>
  </si>
  <si>
    <t>Javier_Lopez</t>
  </si>
  <si>
    <t>J.C._Romero</t>
  </si>
  <si>
    <t>Joel_Pineiro</t>
  </si>
  <si>
    <t>Julian_Tavarez</t>
  </si>
  <si>
    <t>Mike_Timlin</t>
  </si>
  <si>
    <t>Nick_DeBarr</t>
  </si>
  <si>
    <t>Victor_Martinez</t>
  </si>
  <si>
    <t>CLE</t>
  </si>
  <si>
    <t>Kelly_Shoppach</t>
  </si>
  <si>
    <t>Ryan_Garko</t>
  </si>
  <si>
    <t>Joe_Inglett</t>
  </si>
  <si>
    <t>Josh_Barfield</t>
  </si>
  <si>
    <t>Hector_Luna</t>
  </si>
  <si>
    <t>Jhonny_Peralta</t>
  </si>
  <si>
    <t>Andy_Marte</t>
  </si>
  <si>
    <t>Ben_Francisco</t>
  </si>
  <si>
    <t>Shin-Soo_Choo</t>
  </si>
  <si>
    <t>Franklin_Gutierrez</t>
  </si>
  <si>
    <t>Grady_Sizemore</t>
  </si>
  <si>
    <t>Jason_Michaels</t>
  </si>
  <si>
    <t>Trot_Nixon</t>
  </si>
  <si>
    <t>David_Dellucci</t>
  </si>
  <si>
    <t>Casey_Blake</t>
  </si>
  <si>
    <t>Paul_Byrd</t>
  </si>
  <si>
    <t>Cliff_Lee</t>
  </si>
  <si>
    <t>Jake_Westbrook</t>
  </si>
  <si>
    <t>C.C._Sabathia</t>
  </si>
  <si>
    <t>Jeremy_Sowers</t>
  </si>
  <si>
    <t>Rafael_Perez</t>
  </si>
  <si>
    <t>Brian_Slocum</t>
  </si>
  <si>
    <t>Edward_Mujica</t>
  </si>
  <si>
    <t>Fernando_Cabrera</t>
  </si>
  <si>
    <t>Tom_Mastny</t>
  </si>
  <si>
    <t>Juan_Lara</t>
  </si>
  <si>
    <t>Fausto_Carmona</t>
  </si>
  <si>
    <t>Aaron_Fultz</t>
  </si>
  <si>
    <t>Rafael_Betancourt</t>
  </si>
  <si>
    <t>Roberto_Hernandez</t>
  </si>
  <si>
    <t>Joe_Borowski</t>
  </si>
  <si>
    <t>Matt_Miller</t>
  </si>
  <si>
    <t>Jason_Davis</t>
  </si>
  <si>
    <t>Mike_Piazza</t>
  </si>
  <si>
    <t>OAK</t>
  </si>
  <si>
    <t>Jason_Kendall</t>
  </si>
  <si>
    <t>Adam_Melhuse</t>
  </si>
  <si>
    <t>Nick_Swisher</t>
  </si>
  <si>
    <t>Dan_Johnson</t>
  </si>
  <si>
    <t>Donald_Murphy</t>
  </si>
  <si>
    <t>Mark_Ellis</t>
  </si>
  <si>
    <t>Marco_Scutaro</t>
  </si>
  <si>
    <t>Bobby_Crosby</t>
  </si>
  <si>
    <t>Mark_Kiger</t>
  </si>
  <si>
    <t>Antonio_Perez</t>
  </si>
  <si>
    <t>Eric_Chavez</t>
  </si>
  <si>
    <t>Milton_Bradley</t>
  </si>
  <si>
    <t>Shannon_Stewart</t>
  </si>
  <si>
    <t>Bobby_Kielty</t>
  </si>
  <si>
    <t>Mark_Kotsay</t>
  </si>
  <si>
    <t>Ryan_Goleski</t>
  </si>
  <si>
    <t>Jason_Windsor</t>
  </si>
  <si>
    <t>David_Shafer</t>
  </si>
  <si>
    <t>Joe_Blanton</t>
  </si>
  <si>
    <t>Brad_Halsey</t>
  </si>
  <si>
    <t>Dan_Haren</t>
  </si>
  <si>
    <t>Rich_Harden</t>
  </si>
  <si>
    <t>Joe_Kennedy</t>
  </si>
  <si>
    <t>Esteban_Loaiza</t>
  </si>
  <si>
    <t>Alan_Embree</t>
  </si>
  <si>
    <t>Jay_Witasick</t>
  </si>
  <si>
    <t>Justin_Duchscherer</t>
  </si>
  <si>
    <t>Kiko_Calero</t>
  </si>
  <si>
    <t>Chad_Gaudin</t>
  </si>
  <si>
    <t>Lenny_DiNardo</t>
  </si>
  <si>
    <t>Scott_Dunn</t>
  </si>
  <si>
    <t>Huston_Street</t>
  </si>
  <si>
    <t>Ron_Flores</t>
  </si>
  <si>
    <t>Jay_Marshall</t>
  </si>
  <si>
    <t>Marcus_McBeth</t>
  </si>
  <si>
    <t>Jorge_Posada</t>
  </si>
  <si>
    <t>NYY</t>
  </si>
  <si>
    <t>Wil_Nieves</t>
  </si>
  <si>
    <t>Andy_Phillips</t>
  </si>
  <si>
    <t>Doug_Mientkiewicz</t>
  </si>
  <si>
    <t>Josh_Phelps</t>
  </si>
  <si>
    <t>Miguel_Cairo</t>
  </si>
  <si>
    <t>Robinson_Cano</t>
  </si>
  <si>
    <t>Derek_Jeter</t>
  </si>
  <si>
    <t>Alex_Rodriguez</t>
  </si>
  <si>
    <t>Johnny_Damon</t>
  </si>
  <si>
    <t>Bobby_Abreu</t>
  </si>
  <si>
    <t>Hideki_Matsui</t>
  </si>
  <si>
    <t>Melky_Cabrera</t>
  </si>
  <si>
    <t>Kevin_Thompson</t>
  </si>
  <si>
    <t>Mike_Mussina</t>
  </si>
  <si>
    <t>Carl_Pavano</t>
  </si>
  <si>
    <t>Andy_Pettitte</t>
  </si>
  <si>
    <t>Darrell_Rasner</t>
  </si>
  <si>
    <t>Jeff_Karstens</t>
  </si>
  <si>
    <t>Humberto_Sanchez</t>
  </si>
  <si>
    <t>Chien-Ming_Wang</t>
  </si>
  <si>
    <t>Sean_Henn</t>
  </si>
  <si>
    <t>Scott_Proctor</t>
  </si>
  <si>
    <t>Brian_Bruney</t>
  </si>
  <si>
    <t>Chris_Britton</t>
  </si>
  <si>
    <t>T.J._Beam</t>
  </si>
  <si>
    <t>Jose_Veras</t>
  </si>
  <si>
    <t>Kyle_Farnsworth</t>
  </si>
  <si>
    <t>Luis_Vizcaino</t>
  </si>
  <si>
    <t>Mike_Myers</t>
  </si>
  <si>
    <t>Mariano_Rivera</t>
  </si>
  <si>
    <t>Ivan_Rodriguez</t>
  </si>
  <si>
    <t>DET</t>
  </si>
  <si>
    <t>Vance_Wilson</t>
  </si>
  <si>
    <t>Sean_Casey</t>
  </si>
  <si>
    <t>Chris_Shelton</t>
  </si>
  <si>
    <t>Omar_Infante</t>
  </si>
  <si>
    <t>Placido_Polanco</t>
  </si>
  <si>
    <t>Neifi_Perez</t>
  </si>
  <si>
    <t>Carlos_Guillen</t>
  </si>
  <si>
    <t>Ramon_Santiago</t>
  </si>
  <si>
    <t>Tony_Giarratano</t>
  </si>
  <si>
    <t>Brandon_Inge</t>
  </si>
  <si>
    <t>Craig_Monroe</t>
  </si>
  <si>
    <t>Magglio_Ordo?ez</t>
  </si>
  <si>
    <t>Curtis_Granderson</t>
  </si>
  <si>
    <t>Brent_Clevlen</t>
  </si>
  <si>
    <t>Marcus_Thames</t>
  </si>
  <si>
    <t>Gary_Sheffield</t>
  </si>
  <si>
    <t>Zach_Miner</t>
  </si>
  <si>
    <t>Jeremy_Bonderman</t>
  </si>
  <si>
    <t>Nate_Robertson</t>
  </si>
  <si>
    <t>Justin_Verlander</t>
  </si>
  <si>
    <t>Virgil_Vasquez</t>
  </si>
  <si>
    <t>Kenny_Rogers</t>
  </si>
  <si>
    <t>Mike_Maroth</t>
  </si>
  <si>
    <t>Fernando_Rodney</t>
  </si>
  <si>
    <t>Chad_Durbin</t>
  </si>
  <si>
    <t>Jason_Grilli</t>
  </si>
  <si>
    <t>Jose_Mesa</t>
  </si>
  <si>
    <t>Todd_Jones</t>
  </si>
  <si>
    <t>Joel_Zumaya</t>
  </si>
  <si>
    <t>Jordan_Tata</t>
  </si>
  <si>
    <t>Andrew_Miller</t>
  </si>
  <si>
    <t>Yorman_Bazardo</t>
  </si>
  <si>
    <t>Wilfredo_Ledezma</t>
  </si>
  <si>
    <t>Roman_Colon</t>
  </si>
  <si>
    <t>Edward_Campusano</t>
  </si>
  <si>
    <t>Rene_Rivera</t>
  </si>
  <si>
    <t>SEA</t>
  </si>
  <si>
    <t>Kenji_Johjima</t>
  </si>
  <si>
    <t>Richie_Sexson</t>
  </si>
  <si>
    <t>Ben_Broussard</t>
  </si>
  <si>
    <t>Jose_Lopez</t>
  </si>
  <si>
    <t>Jose_Vidro</t>
  </si>
  <si>
    <t>Yuniesky_Betancourt</t>
  </si>
  <si>
    <t>Oswaldo_Navarro</t>
  </si>
  <si>
    <t>Adrian_Beltre</t>
  </si>
  <si>
    <t>Raul_Ibanez</t>
  </si>
  <si>
    <t>Jose_Guillen</t>
  </si>
  <si>
    <t>Jeremy_Reed</t>
  </si>
  <si>
    <t>Willie_Bloomquist</t>
  </si>
  <si>
    <t>Adam_Jones</t>
  </si>
  <si>
    <t>Ichiro_Suzuki</t>
  </si>
  <si>
    <t>Mike_Morse</t>
  </si>
  <si>
    <t>Felix_Hernandez</t>
  </si>
  <si>
    <t>Ryan_Feierabend</t>
  </si>
  <si>
    <t>Sean_White</t>
  </si>
  <si>
    <t>Horacio_Ramirez</t>
  </si>
  <si>
    <t>Cha_Baek</t>
  </si>
  <si>
    <t>Miguel_Batista</t>
  </si>
  <si>
    <t>Jeff_Weaver</t>
  </si>
  <si>
    <t>Jarrod_Washburn</t>
  </si>
  <si>
    <t>George_Sherrill</t>
  </si>
  <si>
    <t>Julio_Mateo</t>
  </si>
  <si>
    <t>J.J._Putz</t>
  </si>
  <si>
    <t>Chris_Reitsma</t>
  </si>
  <si>
    <t>Cesar_Jimenez</t>
  </si>
  <si>
    <t>Eric_O'Flaherty</t>
  </si>
  <si>
    <t>Jon_Huber</t>
  </si>
  <si>
    <t>Jake_Woods</t>
  </si>
  <si>
    <t>Sean_Green</t>
  </si>
  <si>
    <t>Mark_Lowe</t>
  </si>
  <si>
    <t>Josh_Paul</t>
  </si>
  <si>
    <t>TB</t>
  </si>
  <si>
    <t>Dioner_Navarro</t>
  </si>
  <si>
    <t>Shawn_Riggans</t>
  </si>
  <si>
    <t>Ty_Wigginton</t>
  </si>
  <si>
    <t>Brendan_Harris</t>
  </si>
  <si>
    <t>Jorge_Cantu</t>
  </si>
  <si>
    <t>Ben_Zobrist</t>
  </si>
  <si>
    <t>B.J._Upton</t>
  </si>
  <si>
    <t>Carl_Crawford</t>
  </si>
  <si>
    <t>Rocco_Baldelli</t>
  </si>
  <si>
    <t>Greg_Norton</t>
  </si>
  <si>
    <t>Elijah_Dukes</t>
  </si>
  <si>
    <t>Delmon_Young</t>
  </si>
  <si>
    <t>Edwin_Jackson</t>
  </si>
  <si>
    <t>Scott_Kazmir</t>
  </si>
  <si>
    <t>Casey_Fossum</t>
  </si>
  <si>
    <t>Jae_Seo</t>
  </si>
  <si>
    <t>J.P._Howell</t>
  </si>
  <si>
    <t>Tim_Corcoran</t>
  </si>
  <si>
    <t>Jason_Hammel</t>
  </si>
  <si>
    <t>James_Shields</t>
  </si>
  <si>
    <t>Brian_Stokes</t>
  </si>
  <si>
    <t>Juan_Salas</t>
  </si>
  <si>
    <t>Jeff_Ridgway</t>
  </si>
  <si>
    <t>Ruddy_Lugo</t>
  </si>
  <si>
    <t>Jae-Kuk_Ryu</t>
  </si>
  <si>
    <t>Chad_Orvella</t>
  </si>
  <si>
    <t>Dan_Miceli</t>
  </si>
  <si>
    <t>Seth_McClung</t>
  </si>
  <si>
    <t>Jon_Switzer</t>
  </si>
  <si>
    <t>Shawn_Camp</t>
  </si>
  <si>
    <t>Scott_Dohmann</t>
  </si>
  <si>
    <t>Jason_LaRue</t>
  </si>
  <si>
    <t>KC</t>
  </si>
  <si>
    <t>John_Buck</t>
  </si>
  <si>
    <t>Ryan_Shealy</t>
  </si>
  <si>
    <t>Ross_Gload</t>
  </si>
  <si>
    <t>Esteban_German</t>
  </si>
  <si>
    <t>Mark_Grudzielanek</t>
  </si>
  <si>
    <t>Angel_Sanchez</t>
  </si>
  <si>
    <t>Angel_Berroa</t>
  </si>
  <si>
    <t>Andres_Blanco</t>
  </si>
  <si>
    <t>Mark_Teahen</t>
  </si>
  <si>
    <t>Joey_Gathright</t>
  </si>
  <si>
    <t>David_DeJesus</t>
  </si>
  <si>
    <t>Shane_Costa</t>
  </si>
  <si>
    <t>Mitch_Maier</t>
  </si>
  <si>
    <t>Reggie_Sanders</t>
  </si>
  <si>
    <t>Emil_Brown</t>
  </si>
  <si>
    <t>John_Bale</t>
  </si>
  <si>
    <t>Luke_Hudson</t>
  </si>
  <si>
    <t>Scott_Elarton</t>
  </si>
  <si>
    <t>Odalis_Perez</t>
  </si>
  <si>
    <t>Gil_Meche</t>
  </si>
  <si>
    <t>Neal_Musser</t>
  </si>
  <si>
    <t>Brian_Bannister</t>
  </si>
  <si>
    <t>Zack_Greinke</t>
  </si>
  <si>
    <t>Jorge_De_La_Rosa</t>
  </si>
  <si>
    <t>Todd_Wellemeyer</t>
  </si>
  <si>
    <t>Jimmy_Gobble</t>
  </si>
  <si>
    <t>Joel_Peralta</t>
  </si>
  <si>
    <t>Ryan_Braun</t>
  </si>
  <si>
    <t>Joakim_Soria</t>
  </si>
  <si>
    <t>Ken_Ray</t>
  </si>
  <si>
    <t>David_Riske</t>
  </si>
  <si>
    <t>Octavio_Dotel</t>
  </si>
  <si>
    <t>Joe_Nelson</t>
  </si>
  <si>
    <t>Gerald_Laird</t>
  </si>
  <si>
    <t>TEX</t>
  </si>
  <si>
    <t>Miguel_Ojeda</t>
  </si>
  <si>
    <t>Guillermo_Quiroz</t>
  </si>
  <si>
    <t>Chris_Stewart</t>
  </si>
  <si>
    <t>Mark_Teixeira</t>
  </si>
  <si>
    <t>Ian_Kinsler</t>
  </si>
  <si>
    <t>Joaquin_Arias</t>
  </si>
  <si>
    <t>Michael_Young</t>
  </si>
  <si>
    <t>Hank_Blalock</t>
  </si>
  <si>
    <t>Marlon_Byrd</t>
  </si>
  <si>
    <t>Brad_Wilkerson</t>
  </si>
  <si>
    <t>Sammy_Sosa</t>
  </si>
  <si>
    <t>Kenny_Lofton</t>
  </si>
  <si>
    <t>Frank_Catalanotto</t>
  </si>
  <si>
    <t>Nelson_Cruz</t>
  </si>
  <si>
    <t>Robinson_Tejeda</t>
  </si>
  <si>
    <t>John_Rheinecker</t>
  </si>
  <si>
    <t>Edinson_Volquez</t>
  </si>
  <si>
    <t>A.J._Murray</t>
  </si>
  <si>
    <t>Brandon_McCarthy</t>
  </si>
  <si>
    <t>Vicente_Padilla</t>
  </si>
  <si>
    <t>Kevin_Millwood</t>
  </si>
  <si>
    <t>John_Koronka</t>
  </si>
  <si>
    <t>Frank_Francisco</t>
  </si>
  <si>
    <t>Francisco_Cruceta</t>
  </si>
  <si>
    <t>Akinori_Otsuka</t>
  </si>
  <si>
    <t>Eric_Gagne</t>
  </si>
  <si>
    <t>Ron_Mahay</t>
  </si>
  <si>
    <t>Joaquin_Benoit</t>
  </si>
  <si>
    <t>Rick_Bauer</t>
  </si>
  <si>
    <t>Josh_Rupe</t>
  </si>
  <si>
    <t>Wes_Littleton</t>
  </si>
  <si>
    <t>C.J._Wilson</t>
  </si>
  <si>
    <t>Scott_Feldman</t>
  </si>
  <si>
    <t>Gregg_Zaun</t>
  </si>
  <si>
    <t>TOR</t>
  </si>
  <si>
    <t>Jason_Phillips</t>
  </si>
  <si>
    <t>Lyle_Overbay</t>
  </si>
  <si>
    <t>Russ_Adams</t>
  </si>
  <si>
    <t>Aaron_Hill</t>
  </si>
  <si>
    <t>Jason_Smith</t>
  </si>
  <si>
    <t>John_McDonald</t>
  </si>
  <si>
    <t>Royce_Clayton</t>
  </si>
  <si>
    <t>Troy_Glaus</t>
  </si>
  <si>
    <t>John_Hattig</t>
  </si>
  <si>
    <t>Reed_Johnson</t>
  </si>
  <si>
    <t>Alex_Rios</t>
  </si>
  <si>
    <t>Vernon_Wells</t>
  </si>
  <si>
    <t>Shaun_Marcum</t>
  </si>
  <si>
    <t>Casey_Janssen</t>
  </si>
  <si>
    <t>Gustavo_Chacin</t>
  </si>
  <si>
    <t>A.J._Burnett</t>
  </si>
  <si>
    <t>Roy_Halladay</t>
  </si>
  <si>
    <t>John_Thomson</t>
  </si>
  <si>
    <t>Tomo_Ohka</t>
  </si>
  <si>
    <t>B.J._Ryan</t>
  </si>
  <si>
    <t>Scott_Downs</t>
  </si>
  <si>
    <t>Brian_Tallet</t>
  </si>
  <si>
    <t>Matt_Roney</t>
  </si>
  <si>
    <t>Tracy_Thorpe</t>
  </si>
  <si>
    <t>Jean_Machi</t>
  </si>
  <si>
    <t>Brandon_League</t>
  </si>
  <si>
    <t>Dustin_McGowan</t>
  </si>
  <si>
    <t>Jason_Frasor</t>
  </si>
  <si>
    <t>Francisco_Rosario</t>
  </si>
  <si>
    <t>Davis_Romero</t>
  </si>
  <si>
    <t>Jeremy_Accardo</t>
  </si>
  <si>
    <t>Mike_Redmond</t>
  </si>
  <si>
    <t>MIN</t>
  </si>
  <si>
    <t>Joe_Mauer</t>
  </si>
  <si>
    <t>Chris_Heintz</t>
  </si>
  <si>
    <t>Justin_Morneau</t>
  </si>
  <si>
    <t>Luis_Castillo</t>
  </si>
  <si>
    <t>Alexi_Casilla</t>
  </si>
  <si>
    <t>Alejandro_Machado</t>
  </si>
  <si>
    <t>Jason_Bartlett</t>
  </si>
  <si>
    <t>Luis_Rodriguez</t>
  </si>
  <si>
    <t>Jeff_Cirillo</t>
  </si>
  <si>
    <t>Nick_Punto</t>
  </si>
  <si>
    <t>Jason_Tyner</t>
  </si>
  <si>
    <t>Michael_Cuddyer</t>
  </si>
  <si>
    <t>Torii_Hunter</t>
  </si>
  <si>
    <t>Lew_Ford</t>
  </si>
  <si>
    <t>Jason_Kubel</t>
  </si>
  <si>
    <t>Ramon_Ortiz</t>
  </si>
  <si>
    <t>Johan_Santana</t>
  </si>
  <si>
    <t>Carlos_Silva</t>
  </si>
  <si>
    <t>Matt_Garza</t>
  </si>
  <si>
    <t>Boof_Bonser</t>
  </si>
  <si>
    <t>Francisco_Liriano</t>
  </si>
  <si>
    <t>Scott_Baker</t>
  </si>
  <si>
    <t>Pat_Neshek</t>
  </si>
  <si>
    <t>Glen_Perkins</t>
  </si>
  <si>
    <t>Julio_DePaula</t>
  </si>
  <si>
    <t>Juan_Rincon</t>
  </si>
  <si>
    <t>Jesse_Crain</t>
  </si>
  <si>
    <t>Matt_Guerrier</t>
  </si>
  <si>
    <t>Joe_Nathan</t>
  </si>
  <si>
    <t>Dennys_Reyes</t>
  </si>
  <si>
    <t>Brayan_Pe?a</t>
  </si>
  <si>
    <t>ATL</t>
  </si>
  <si>
    <t>Brian_McCann</t>
  </si>
  <si>
    <t>Craig_Wilson</t>
  </si>
  <si>
    <t>Chris_Woodward</t>
  </si>
  <si>
    <t>Pete_Orr</t>
  </si>
  <si>
    <t>Martin_Prado</t>
  </si>
  <si>
    <t>Tony_Pe?a</t>
  </si>
  <si>
    <t>Edgar_Renteria</t>
  </si>
  <si>
    <t>Chipper_Jones</t>
  </si>
  <si>
    <t>Willy_Aybar</t>
  </si>
  <si>
    <t>Jeff_Francoeur</t>
  </si>
  <si>
    <t>Matt_Diaz</t>
  </si>
  <si>
    <t>Kelly_Johnson</t>
  </si>
  <si>
    <t>Andruw_Jones</t>
  </si>
  <si>
    <t>Ryan_Langerhans</t>
  </si>
  <si>
    <t>Scott_Thorman</t>
  </si>
  <si>
    <t>T.J._Bohn</t>
  </si>
  <si>
    <t>Tim_Hudson</t>
  </si>
  <si>
    <t>Jonathan_Johnson</t>
  </si>
  <si>
    <t>John_Smoltz</t>
  </si>
  <si>
    <t>Mike_Hampton</t>
  </si>
  <si>
    <t>Kyle_Davies</t>
  </si>
  <si>
    <t>Chuck_James</t>
  </si>
  <si>
    <t>Phil_Stockman</t>
  </si>
  <si>
    <t>Macay_McBride</t>
  </si>
  <si>
    <t>Joey_Devine</t>
  </si>
  <si>
    <t>Peter_Moylan</t>
  </si>
  <si>
    <t>Mike_Gonzalez</t>
  </si>
  <si>
    <t>Lance_Cormier</t>
  </si>
  <si>
    <t>Blaine_Boyer</t>
  </si>
  <si>
    <t>Manny_Acosta</t>
  </si>
  <si>
    <t>Bob_Wickman</t>
  </si>
  <si>
    <t>Tanyon_Sturtze</t>
  </si>
  <si>
    <t>Oscar_Villarreal</t>
  </si>
  <si>
    <t>Rafael_Soriano</t>
  </si>
  <si>
    <t>Chad_Paronto</t>
  </si>
  <si>
    <t>Tyler_Yates</t>
  </si>
  <si>
    <t>Henry_Blanco</t>
  </si>
  <si>
    <t>CHC</t>
  </si>
  <si>
    <t>Michael_Barrett</t>
  </si>
  <si>
    <t>Geovany_Soto</t>
  </si>
  <si>
    <t>Scott_Moore</t>
  </si>
  <si>
    <t>Derrek_Lee</t>
  </si>
  <si>
    <t>Ryan_Theriot</t>
  </si>
  <si>
    <t>Ronny_Cedeno</t>
  </si>
  <si>
    <t>Aramis_Ramirez</t>
  </si>
  <si>
    <t>Cesar_Izturis</t>
  </si>
  <si>
    <t>Alfonso_Soriano</t>
  </si>
  <si>
    <t>Jacque_Jones</t>
  </si>
  <si>
    <t>Daryle_Ward</t>
  </si>
  <si>
    <t>Cliff_Floyd</t>
  </si>
  <si>
    <t>Mark_DeRosa</t>
  </si>
  <si>
    <t>Matt_Murton</t>
  </si>
  <si>
    <t>Buck_Coats</t>
  </si>
  <si>
    <t>Angel_Pagan</t>
  </si>
  <si>
    <t>Sean_Marshall</t>
  </si>
  <si>
    <t>Carlos_Marmol</t>
  </si>
  <si>
    <t>Ryan_O'Malley</t>
  </si>
  <si>
    <t>Juan_Mateo</t>
  </si>
  <si>
    <t>Rich_Hill</t>
  </si>
  <si>
    <t>Angel_Guzman</t>
  </si>
  <si>
    <t>Wade_Miller</t>
  </si>
  <si>
    <t>Jason_Marquis</t>
  </si>
  <si>
    <t>Carlos_Zambrano</t>
  </si>
  <si>
    <t>Ted_Lilly</t>
  </si>
  <si>
    <t>Mark_Prior</t>
  </si>
  <si>
    <t>Neal_Cotts</t>
  </si>
  <si>
    <t>Will_Ohman</t>
  </si>
  <si>
    <t>Scott_Eyre</t>
  </si>
  <si>
    <t>Kerry_Wood</t>
  </si>
  <si>
    <t>Ryan_Dempster</t>
  </si>
  <si>
    <t>Bob_Howry</t>
  </si>
  <si>
    <t>Mike_Wuertz</t>
  </si>
  <si>
    <t>Roberto_Novoa</t>
  </si>
  <si>
    <t>Chris_Snyder</t>
  </si>
  <si>
    <t>ARZ</t>
  </si>
  <si>
    <t>Miguel_Montero</t>
  </si>
  <si>
    <t>Conor_Jackson</t>
  </si>
  <si>
    <t>Robby_Hammock</t>
  </si>
  <si>
    <t>Tony_Clark</t>
  </si>
  <si>
    <t>Orlando_Hudson</t>
  </si>
  <si>
    <t>Stephen_Drew</t>
  </si>
  <si>
    <t>Alberto_Callaspo</t>
  </si>
  <si>
    <t>Chad_Tracy</t>
  </si>
  <si>
    <t>Scott_Hairston</t>
  </si>
  <si>
    <t>Carlos_Quentin</t>
  </si>
  <si>
    <t>Jeff_DaVanon</t>
  </si>
  <si>
    <t>Eric_Byrnes</t>
  </si>
  <si>
    <t>Livan_Hernandez</t>
  </si>
  <si>
    <t>Doug_Davis</t>
  </si>
  <si>
    <t>Randy_Johnson</t>
  </si>
  <si>
    <t>Juan_Cruz</t>
  </si>
  <si>
    <t>Brandon_Webb</t>
  </si>
  <si>
    <t>Enrique_Gonzalez</t>
  </si>
  <si>
    <t>Dana_Eveland</t>
  </si>
  <si>
    <t>Brandon_Medders</t>
  </si>
  <si>
    <t>Doug_Slaten</t>
  </si>
  <si>
    <t>Edgar_Gonzalez</t>
  </si>
  <si>
    <t>Jose_Valverde</t>
  </si>
  <si>
    <t>Jorge_Julio</t>
  </si>
  <si>
    <t>Brandon_Lyon</t>
  </si>
  <si>
    <t>Miguel_Olivo</t>
  </si>
  <si>
    <t>FLA</t>
  </si>
  <si>
    <t>Matt_Treanor</t>
  </si>
  <si>
    <t>Mike_Jacobs</t>
  </si>
  <si>
    <t>Dan_Uggla</t>
  </si>
  <si>
    <t>Robert_Andino</t>
  </si>
  <si>
    <t>Hanley_Ramirez</t>
  </si>
  <si>
    <t>Miguel_Cabrera</t>
  </si>
  <si>
    <t>Aaron_Boone</t>
  </si>
  <si>
    <t>Joe_Borchard</t>
  </si>
  <si>
    <t>Alfredo_Amezaga</t>
  </si>
  <si>
    <t>Cody_Ross</t>
  </si>
  <si>
    <t>Josh_Willingham</t>
  </si>
  <si>
    <t>Jeremy_Hermida</t>
  </si>
  <si>
    <t>Eric_Reed</t>
  </si>
  <si>
    <t>Reggi_Abercrombie</t>
  </si>
  <si>
    <t>Ricky_Nolasco</t>
  </si>
  <si>
    <t>Anibal_Sanchez</t>
  </si>
  <si>
    <t>Scott_Olsen</t>
  </si>
  <si>
    <t>Josh_Johnson</t>
  </si>
  <si>
    <t>Dontrelle_Willis</t>
  </si>
  <si>
    <t>Logan_Kensing</t>
  </si>
  <si>
    <t>Sergio_Mitre</t>
  </si>
  <si>
    <t>Kevin_Gregg</t>
  </si>
  <si>
    <t>Travis_Bowyer</t>
  </si>
  <si>
    <t>Renyel_Pinto</t>
  </si>
  <si>
    <t>Randy_Messenger</t>
  </si>
  <si>
    <t>Yusmeiro_Petit</t>
  </si>
  <si>
    <t>Carlos_Martinez</t>
  </si>
  <si>
    <t>Taylor_Tankersley</t>
  </si>
  <si>
    <t>Henry_Owens</t>
  </si>
  <si>
    <t>Jose_Garcia</t>
  </si>
  <si>
    <t>Matt_Lindstrom</t>
  </si>
  <si>
    <t>Javier_Valentin</t>
  </si>
  <si>
    <t>CIN</t>
  </si>
  <si>
    <t>Chad_Moeller</t>
  </si>
  <si>
    <t>David_Ross</t>
  </si>
  <si>
    <t>Joey_Votto</t>
  </si>
  <si>
    <t>Scott_Hatteberg</t>
  </si>
  <si>
    <t>Brandon_Phillips</t>
  </si>
  <si>
    <t>Juan_Castro</t>
  </si>
  <si>
    <t>Alex_Gonzalez</t>
  </si>
  <si>
    <t>Mark_Bellhorn</t>
  </si>
  <si>
    <t>Edwin_Encarnacion</t>
  </si>
  <si>
    <t>Jeff_Keppinger</t>
  </si>
  <si>
    <t>Norris_Hopper</t>
  </si>
  <si>
    <t>Chris_Denorfia</t>
  </si>
  <si>
    <t>Adam_Dunn</t>
  </si>
  <si>
    <t>Bubba_Crosby</t>
  </si>
  <si>
    <t>Jeff_Conine</t>
  </si>
  <si>
    <t>Ken_Griffey_Jr.</t>
  </si>
  <si>
    <t>Josh_Hamilton</t>
  </si>
  <si>
    <t>Ryan_Freel</t>
  </si>
  <si>
    <t>Kyle_Lohse</t>
  </si>
  <si>
    <t>Bronson_Arroyo</t>
  </si>
  <si>
    <t>Eric_Milton</t>
  </si>
  <si>
    <t>Aaron_Harang</t>
  </si>
  <si>
    <t>Elizardo_Ramirez</t>
  </si>
  <si>
    <t>Todd_Coffey</t>
  </si>
  <si>
    <t>Brian_Shackelford</t>
  </si>
  <si>
    <t>Bill_Bray</t>
  </si>
  <si>
    <t>Bobby_Livingston</t>
  </si>
  <si>
    <t>Matt_Belisle</t>
  </si>
  <si>
    <t>Gary_Majewski</t>
  </si>
  <si>
    <t>Mike_Stanton</t>
  </si>
  <si>
    <t>Brad_Salmon</t>
  </si>
  <si>
    <t>Jared_Burton</t>
  </si>
  <si>
    <t>David_Weathers</t>
  </si>
  <si>
    <t>Rheal_Cormier</t>
  </si>
  <si>
    <t>Yorvit_Torrealba</t>
  </si>
  <si>
    <t>COL</t>
  </si>
  <si>
    <t>Chris_Iannetta</t>
  </si>
  <si>
    <t>Alvin_Colina</t>
  </si>
  <si>
    <t>Todd_Helton</t>
  </si>
  <si>
    <t>Jamey_Carroll</t>
  </si>
  <si>
    <t>Kaz_Matsui</t>
  </si>
  <si>
    <t>Troy_Tulowitzki</t>
  </si>
  <si>
    <t>Clint_Barmes</t>
  </si>
  <si>
    <t>Garrett_Atkins</t>
  </si>
  <si>
    <t>Ryan_Spilborghs</t>
  </si>
  <si>
    <t>Cory_Sullivan</t>
  </si>
  <si>
    <t>Jeff_Salazar</t>
  </si>
  <si>
    <t>Willy_Taveras</t>
  </si>
  <si>
    <t>Matt_Holliday</t>
  </si>
  <si>
    <t>Brad_Hawpe</t>
  </si>
  <si>
    <t>Jeff_Baker</t>
  </si>
  <si>
    <t>Byung-Hyun_Kim</t>
  </si>
  <si>
    <t>Rodrigo_Lopez</t>
  </si>
  <si>
    <t>Brian_Lawrence</t>
  </si>
  <si>
    <t>Josh_Fogg</t>
  </si>
  <si>
    <t>Aaron_Cook</t>
  </si>
  <si>
    <t>Denny_Bautista</t>
  </si>
  <si>
    <t>Ubaldo_Jimenez</t>
  </si>
  <si>
    <t>Jason_Hirsh</t>
  </si>
  <si>
    <t>Jeff_Francis</t>
  </si>
  <si>
    <t>Taylor_Buchholz</t>
  </si>
  <si>
    <t>Ryan_Speier</t>
  </si>
  <si>
    <t>Ramon_Ramirez</t>
  </si>
  <si>
    <t>Manny_Corpas</t>
  </si>
  <si>
    <t>Juan_Morillo</t>
  </si>
  <si>
    <t>Brian_Fuentes</t>
  </si>
  <si>
    <t>LaTroy_Hawkins</t>
  </si>
  <si>
    <t>Tom_Martin</t>
  </si>
  <si>
    <t>Jeremy_Affeldt</t>
  </si>
  <si>
    <t>Paul_Lo_Duca</t>
  </si>
  <si>
    <t>Ramon_Castro</t>
  </si>
  <si>
    <t>Julio_Franco</t>
  </si>
  <si>
    <t>Carlos_Delgado</t>
  </si>
  <si>
    <t>Jose_Valentin</t>
  </si>
  <si>
    <t>Anderson_Hernandez</t>
  </si>
  <si>
    <t>Damion_Easley</t>
  </si>
  <si>
    <t>Jose_Reyes</t>
  </si>
  <si>
    <t>David_Wright</t>
  </si>
  <si>
    <t>Ben_Johnson</t>
  </si>
  <si>
    <t>Endy_Chavez</t>
  </si>
  <si>
    <t>David_Newhan</t>
  </si>
  <si>
    <t>Carlos_Beltran</t>
  </si>
  <si>
    <t>Shawn_Green</t>
  </si>
  <si>
    <t>Moises_Alou</t>
  </si>
  <si>
    <t>Lastings_Milledge</t>
  </si>
  <si>
    <t>Alay_Soler</t>
  </si>
  <si>
    <t>Mike_Pelfrey</t>
  </si>
  <si>
    <t>Pedro_Martinez</t>
  </si>
  <si>
    <t>Tom_Glavine</t>
  </si>
  <si>
    <t>Chan_Ho_Park</t>
  </si>
  <si>
    <t>Orlando_Hernandez</t>
  </si>
  <si>
    <t>Dave_Williams</t>
  </si>
  <si>
    <t>Oliver_Perez</t>
  </si>
  <si>
    <t>John_Maine</t>
  </si>
  <si>
    <t>Marcos_Carvajal</t>
  </si>
  <si>
    <t>Ambiorix_Burgos</t>
  </si>
  <si>
    <t>Jason_Vargas</t>
  </si>
  <si>
    <t>Jon_Adkins</t>
  </si>
  <si>
    <t>Juan_Padilla</t>
  </si>
  <si>
    <t>Duaner_Sanchez</t>
  </si>
  <si>
    <t>Pedro_Feliciano</t>
  </si>
  <si>
    <t>Aaron_Heilman</t>
  </si>
  <si>
    <t>Jorge_Sosa</t>
  </si>
  <si>
    <t>Scott_Schoeneweis</t>
  </si>
  <si>
    <t>Guillermo_Mota</t>
  </si>
  <si>
    <t>Billy_Wagner</t>
  </si>
  <si>
    <t>Philip_Humber</t>
  </si>
  <si>
    <t>Brad_Ausmus</t>
  </si>
  <si>
    <t>HOU</t>
  </si>
  <si>
    <t>Humberto_Quintero</t>
  </si>
  <si>
    <t>Hector_Gimenez</t>
  </si>
  <si>
    <t>Lance_Berkman</t>
  </si>
  <si>
    <t>Mike_Lamb</t>
  </si>
  <si>
    <t>Mark_Loretta</t>
  </si>
  <si>
    <t>Craig_Biggio</t>
  </si>
  <si>
    <t>Brooks_Conrad</t>
  </si>
  <si>
    <t>Chris_Burke</t>
  </si>
  <si>
    <t>Eric_Bruntlett</t>
  </si>
  <si>
    <t>Adam_Everett</t>
  </si>
  <si>
    <t>Morgan_Ensberg</t>
  </si>
  <si>
    <t>Carlos_Lee</t>
  </si>
  <si>
    <t>Jason_Lane</t>
  </si>
  <si>
    <t>Orlando_Palmeiro</t>
  </si>
  <si>
    <t>Luke_Scott</t>
  </si>
  <si>
    <t>Charlton_Jimerson</t>
  </si>
  <si>
    <t>Fernando_Nieve</t>
  </si>
  <si>
    <t>Wandy_Rodriguez</t>
  </si>
  <si>
    <t>Brandon_Backe</t>
  </si>
  <si>
    <t>Matt_Albers</t>
  </si>
  <si>
    <t>Woody_Williams</t>
  </si>
  <si>
    <t>Roy_Oswalt</t>
  </si>
  <si>
    <t>Jason_Jennings</t>
  </si>
  <si>
    <t>Miguel_Asencio</t>
  </si>
  <si>
    <t>Brad_Lidge</t>
  </si>
  <si>
    <t>Trever_Miller</t>
  </si>
  <si>
    <t>David_Borkowski</t>
  </si>
  <si>
    <t>Dan_Wheeler</t>
  </si>
  <si>
    <t>Paul_Estrada</t>
  </si>
  <si>
    <t>Lincoln_Holdzkom</t>
  </si>
  <si>
    <t>Chris_Sampson</t>
  </si>
  <si>
    <t>Chad_Qualls</t>
  </si>
  <si>
    <t>Ezequiel_Astacio</t>
  </si>
  <si>
    <t>Mike_Lieberthal</t>
  </si>
  <si>
    <t>LA</t>
  </si>
  <si>
    <t>Russell_Martin</t>
  </si>
  <si>
    <t>Olmedo_Saenz</t>
  </si>
  <si>
    <t>James_Loney</t>
  </si>
  <si>
    <t>Nomar_Garciaparra</t>
  </si>
  <si>
    <t>Jeff_Kent</t>
  </si>
  <si>
    <t>Ramon_Martinez</t>
  </si>
  <si>
    <t>Marlon_Anderson</t>
  </si>
  <si>
    <t>Rafael_Furcal</t>
  </si>
  <si>
    <t>Wilson_Betemit</t>
  </si>
  <si>
    <t>Andy_LaRoche</t>
  </si>
  <si>
    <t>Matt_Kemp</t>
  </si>
  <si>
    <t>Andre_Ethier</t>
  </si>
  <si>
    <t>Delwyn_Young</t>
  </si>
  <si>
    <t>Jason_Repko</t>
  </si>
  <si>
    <t>Juan_Pierre</t>
  </si>
  <si>
    <t>Luis_Gonzalez</t>
  </si>
  <si>
    <t>Jason_Schmidt</t>
  </si>
  <si>
    <t>Randy_Wolf</t>
  </si>
  <si>
    <t>Brad_Penny</t>
  </si>
  <si>
    <t>Derek_Lowe</t>
  </si>
  <si>
    <t>Mark_Hendrickson</t>
  </si>
  <si>
    <t>Chad_Billingsley</t>
  </si>
  <si>
    <t>Takashi_Saito</t>
  </si>
  <si>
    <t>Jonathan_Broxton</t>
  </si>
  <si>
    <t>Hong-Chih_Kuo</t>
  </si>
  <si>
    <t>Eric_Stults</t>
  </si>
  <si>
    <t>Chin-Hui_Tsao</t>
  </si>
  <si>
    <t>Tim_Hamulack</t>
  </si>
  <si>
    <t>Yhency_Brazoban</t>
  </si>
  <si>
    <t>Brett_Tomko</t>
  </si>
  <si>
    <t>Joe_Beimel</t>
  </si>
  <si>
    <t>Elmer_Dessens</t>
  </si>
  <si>
    <t>Ryan_Budde</t>
  </si>
  <si>
    <t>PHI</t>
  </si>
  <si>
    <t>Rod_Barajas</t>
  </si>
  <si>
    <t>Carlos_Ruiz</t>
  </si>
  <si>
    <t>Chris_Coste</t>
  </si>
  <si>
    <t>Ryan_Howard</t>
  </si>
  <si>
    <t>Wes_Helms</t>
  </si>
  <si>
    <t>Chase_Utley</t>
  </si>
  <si>
    <t>Danny_Sandoval</t>
  </si>
  <si>
    <t>Jimmy_Rollins</t>
  </si>
  <si>
    <t>Abraham_Nu?ez</t>
  </si>
  <si>
    <t>Michael_Bourn</t>
  </si>
  <si>
    <t>Chris_Roberson</t>
  </si>
  <si>
    <t>Jayson_Werth</t>
  </si>
  <si>
    <t>Shane_Victorino</t>
  </si>
  <si>
    <t>Aaron_Rowand</t>
  </si>
  <si>
    <t>Pat_Burrell</t>
  </si>
  <si>
    <t>Cole_Hamels</t>
  </si>
  <si>
    <t>Alfredo_Simon</t>
  </si>
  <si>
    <t>Scott_Mathieson</t>
  </si>
  <si>
    <t>Freddy_Garcia</t>
  </si>
  <si>
    <t>Jamie_Moyer</t>
  </si>
  <si>
    <t>Jon_Lieber</t>
  </si>
  <si>
    <t>Brett_Myers</t>
  </si>
  <si>
    <t>Adam_Eaton</t>
  </si>
  <si>
    <t>Geoff_Geary</t>
  </si>
  <si>
    <t>Clay_Condrey</t>
  </si>
  <si>
    <t>Ryan_Madson</t>
  </si>
  <si>
    <t>Antonio_Alfonseca</t>
  </si>
  <si>
    <t>Tom_Gordon</t>
  </si>
  <si>
    <t>Brian_Sanches</t>
  </si>
  <si>
    <t>Jim_Ed_Warden</t>
  </si>
  <si>
    <t>Anderson_Garcia</t>
  </si>
  <si>
    <t>Eude_Brito</t>
  </si>
  <si>
    <t>Fabio_Castro</t>
  </si>
  <si>
    <t>Matt_Smith</t>
  </si>
  <si>
    <t>Damian_Miller</t>
  </si>
  <si>
    <t>MLW</t>
  </si>
  <si>
    <t>Johnny_Estrada</t>
  </si>
  <si>
    <t>Mike_Rivera</t>
  </si>
  <si>
    <t>J.D._Closser</t>
  </si>
  <si>
    <t>Prince_Fielder</t>
  </si>
  <si>
    <t>Rickie_Weeks</t>
  </si>
  <si>
    <t>Tony_Graffanino</t>
  </si>
  <si>
    <t>Craig_Counsell</t>
  </si>
  <si>
    <t>J.J._Hardy</t>
  </si>
  <si>
    <t>Bill_Hall</t>
  </si>
  <si>
    <t>Vinny_Rottino</t>
  </si>
  <si>
    <t>Corey_Koskie</t>
  </si>
  <si>
    <t>Kevin_Mench</t>
  </si>
  <si>
    <t>Geoff_Jenkins</t>
  </si>
  <si>
    <t>Brady_Clark</t>
  </si>
  <si>
    <t>Tony_Gwynn_Jr.</t>
  </si>
  <si>
    <t>Corey_Hart</t>
  </si>
  <si>
    <t>Gabe_Gross</t>
  </si>
  <si>
    <t>Laynce_Nix</t>
  </si>
  <si>
    <t>Drew_Anderson</t>
  </si>
  <si>
    <t>Claudio_Vargas</t>
  </si>
  <si>
    <t>Chris_Capuano</t>
  </si>
  <si>
    <t>Ben_Hendrickson</t>
  </si>
  <si>
    <t>Dave_Bush</t>
  </si>
  <si>
    <t>Carlos_Villanueva</t>
  </si>
  <si>
    <t>Ben_Sheets</t>
  </si>
  <si>
    <t>Jeff_Suppan</t>
  </si>
  <si>
    <t>Brian_Shouse</t>
  </si>
  <si>
    <t>Francisco_Cordero</t>
  </si>
  <si>
    <t>Derrick_Turnbow</t>
  </si>
  <si>
    <t>Matt_Wise</t>
  </si>
  <si>
    <t>Grant_Balfour</t>
  </si>
  <si>
    <t>Dennis_Sarfate</t>
  </si>
  <si>
    <t>Jose_Capellan</t>
  </si>
  <si>
    <t>Greg_Aquino</t>
  </si>
  <si>
    <t>Josh_Bard</t>
  </si>
  <si>
    <t>SD</t>
  </si>
  <si>
    <t>Rob_Bowen</t>
  </si>
  <si>
    <t>Adrian_Gonzalez</t>
  </si>
  <si>
    <t>Marcus_Giles</t>
  </si>
  <si>
    <t>Todd_Walker</t>
  </si>
  <si>
    <t>Geoff_Blum</t>
  </si>
  <si>
    <t>Khalil_Greene</t>
  </si>
  <si>
    <t>Paul_McAnulty</t>
  </si>
  <si>
    <t>Terrmel_Sledge</t>
  </si>
  <si>
    <t>Jack_Cust</t>
  </si>
  <si>
    <t>Jose_Cruz_Jr.</t>
  </si>
  <si>
    <t>Russell_Branyan</t>
  </si>
  <si>
    <t>Mike_Cameron</t>
  </si>
  <si>
    <t>Brian_Giles</t>
  </si>
  <si>
    <t>Mike_Thompson</t>
  </si>
  <si>
    <t>Clay_Hensley</t>
  </si>
  <si>
    <t>Greg_Maddux</t>
  </si>
  <si>
    <t>Jake_Peavy</t>
  </si>
  <si>
    <t>Scott_Cassidy</t>
  </si>
  <si>
    <t>Scott_Strickland</t>
  </si>
  <si>
    <t>Scott_Linebrink</t>
  </si>
  <si>
    <t>Doug_Brocail</t>
  </si>
  <si>
    <t>Trevor_Hoffman</t>
  </si>
  <si>
    <t>Heath_Bell</t>
  </si>
  <si>
    <t>Royce_Ring</t>
  </si>
  <si>
    <t>Cla_Meredith</t>
  </si>
  <si>
    <t>Andrew_Brown</t>
  </si>
  <si>
    <t>Mike_Adams</t>
  </si>
  <si>
    <t>Justin_Hampson</t>
  </si>
  <si>
    <t>Kevin_Cameron</t>
  </si>
  <si>
    <t>Ryan_Ketchner</t>
  </si>
  <si>
    <t>Brian_Schneider</t>
  </si>
  <si>
    <t>WAS</t>
  </si>
  <si>
    <t>Jesus_Flores</t>
  </si>
  <si>
    <t>Larry_Broadway</t>
  </si>
  <si>
    <t>Nick_Johnson</t>
  </si>
  <si>
    <t>Bernie_Castro</t>
  </si>
  <si>
    <t>Josh_Wilson</t>
  </si>
  <si>
    <t>Cristian_Guzman</t>
  </si>
  <si>
    <t>Felipe_Lopez</t>
  </si>
  <si>
    <t>Ryan_Zimmerman</t>
  </si>
  <si>
    <t>Nook_Logan</t>
  </si>
  <si>
    <t>Ryan_Church</t>
  </si>
  <si>
    <t>Kory_Casto</t>
  </si>
  <si>
    <t>Mike_Restovich</t>
  </si>
  <si>
    <t>Alex_Escobar</t>
  </si>
  <si>
    <t>Austin_Kearns</t>
  </si>
  <si>
    <t>Chris_Snelling</t>
  </si>
  <si>
    <t>Billy_Traber</t>
  </si>
  <si>
    <t>Tim_Redding</t>
  </si>
  <si>
    <t>John_Patterson</t>
  </si>
  <si>
    <t>Shawn_Hill</t>
  </si>
  <si>
    <t>Joel_Hanrahan</t>
  </si>
  <si>
    <t>Mike_O'Connor</t>
  </si>
  <si>
    <t>Emiliano_Fruto</t>
  </si>
  <si>
    <t>Chris_Schroder</t>
  </si>
  <si>
    <t>Brett_Campbell</t>
  </si>
  <si>
    <t>Beltran_Perez</t>
  </si>
  <si>
    <t>Levale_Speigner</t>
  </si>
  <si>
    <t>Jason_Bergmann</t>
  </si>
  <si>
    <t>Saul_Rivera</t>
  </si>
  <si>
    <t>Chris_Booker</t>
  </si>
  <si>
    <t>Micah_Bowie</t>
  </si>
  <si>
    <t>Jon_Rauch</t>
  </si>
  <si>
    <t>Jerome_Williams</t>
  </si>
  <si>
    <t>Luis_Ayala</t>
  </si>
  <si>
    <t>Ryan_Wagner</t>
  </si>
  <si>
    <t>Chad_Cordero</t>
  </si>
  <si>
    <t>Humberto_Cota</t>
  </si>
  <si>
    <t>PIT</t>
  </si>
  <si>
    <t>Ronny_Paulino</t>
  </si>
  <si>
    <t>Adam_LaRoche</t>
  </si>
  <si>
    <t>Ryan_Doumit</t>
  </si>
  <si>
    <t>Brad_Eldred</t>
  </si>
  <si>
    <t>Jose_Castillo</t>
  </si>
  <si>
    <t>Jack_Wilson</t>
  </si>
  <si>
    <t>Freddy_Sanchez</t>
  </si>
  <si>
    <t>Jason_Bay</t>
  </si>
  <si>
    <t>Jose_Bautista</t>
  </si>
  <si>
    <t>Xavier_Nady</t>
  </si>
  <si>
    <t>Jody_Gerut</t>
  </si>
  <si>
    <t>Nate_McLouth</t>
  </si>
  <si>
    <t>Chris_Duffy</t>
  </si>
  <si>
    <t>Rajai_Davis</t>
  </si>
  <si>
    <t>Shane_Youman</t>
  </si>
  <si>
    <t>Yoslan_Herrera</t>
  </si>
  <si>
    <t>Josh_Shortslef</t>
  </si>
  <si>
    <t>Zach_Duke</t>
  </si>
  <si>
    <t>Paul_Maholm</t>
  </si>
  <si>
    <t>Tom_Gorzelanny</t>
  </si>
  <si>
    <t>Shawn_Chacon</t>
  </si>
  <si>
    <t>Tony_Armas_Jr.</t>
  </si>
  <si>
    <t>Ian_Snell</t>
  </si>
  <si>
    <t>Sean_Burnett</t>
  </si>
  <si>
    <t>John_Grabow</t>
  </si>
  <si>
    <t>Marty_McLeary</t>
  </si>
  <si>
    <t>Salomon_Torres</t>
  </si>
  <si>
    <t>Damaso_Marte</t>
  </si>
  <si>
    <t>Matt_Capps</t>
  </si>
  <si>
    <t>Josh_Sharpless</t>
  </si>
  <si>
    <t>Bryan_Bullington</t>
  </si>
  <si>
    <t>Jonah_Bayliss</t>
  </si>
  <si>
    <t>Brian_Rogers</t>
  </si>
  <si>
    <t>Juan_Perez</t>
  </si>
  <si>
    <t>Bengie_Molina</t>
  </si>
  <si>
    <t>SF</t>
  </si>
  <si>
    <t>Eliezer_Alfonzo</t>
  </si>
  <si>
    <t>Lance_Niekro</t>
  </si>
  <si>
    <t>Mark_Sweeney</t>
  </si>
  <si>
    <t>Ray_Durham</t>
  </si>
  <si>
    <t>Kevin_Frandsen</t>
  </si>
  <si>
    <t>Omar_Vizquel</t>
  </si>
  <si>
    <t>Rich_Aurilia</t>
  </si>
  <si>
    <t>Pedro_Feliz</t>
  </si>
  <si>
    <t>Todd_Linden</t>
  </si>
  <si>
    <t>Dave_Roberts</t>
  </si>
  <si>
    <t>Jason_Ellison</t>
  </si>
  <si>
    <t>Randy_Winn</t>
  </si>
  <si>
    <t>Ryan_Klesko</t>
  </si>
  <si>
    <t>Barry_Bonds</t>
  </si>
  <si>
    <t>Fred_Lewis</t>
  </si>
  <si>
    <t>Kelyn_Acosta</t>
  </si>
  <si>
    <t>Jonathan_Sanchez</t>
  </si>
  <si>
    <t>Matt_Cain</t>
  </si>
  <si>
    <t>Matt_Morris</t>
  </si>
  <si>
    <t>Russ_Ortiz</t>
  </si>
  <si>
    <t>Noah_Lowry</t>
  </si>
  <si>
    <t>Barry_Zito</t>
  </si>
  <si>
    <t>Vinnie_Chulk</t>
  </si>
  <si>
    <t>Kevin_Correia</t>
  </si>
  <si>
    <t>Steve_Kline</t>
  </si>
  <si>
    <t>Armando_Benitez</t>
  </si>
  <si>
    <t>Scott_Munter</t>
  </si>
  <si>
    <t>Jack_Taschner</t>
  </si>
  <si>
    <t>Brian_Wilson</t>
  </si>
  <si>
    <t>Merkin_Valdez</t>
  </si>
  <si>
    <t>Brad_Hennessey</t>
  </si>
  <si>
    <t>Billy_Sadler</t>
  </si>
  <si>
    <t>Pat_Misch</t>
  </si>
  <si>
    <t>Gary_Bennett</t>
  </si>
  <si>
    <t>STL</t>
  </si>
  <si>
    <t>Yadier_Molina</t>
  </si>
  <si>
    <t>John_Nelson</t>
  </si>
  <si>
    <t>Albert_Pujols</t>
  </si>
  <si>
    <t>Adam_Kennedy</t>
  </si>
  <si>
    <t>Aaron_Miles</t>
  </si>
  <si>
    <t>David_Eckstein</t>
  </si>
  <si>
    <t>Scott_Rolen</t>
  </si>
  <si>
    <t>Scott_Spiezio</t>
  </si>
  <si>
    <t>Jim_Edmonds</t>
  </si>
  <si>
    <t>So_Taguchi</t>
  </si>
  <si>
    <t>Juan_Encarnacion</t>
  </si>
  <si>
    <t>Skip_Schumaker</t>
  </si>
  <si>
    <t>John_Rodriguez</t>
  </si>
  <si>
    <t>Chris_Duncan</t>
  </si>
  <si>
    <t>Adam_Wainwright</t>
  </si>
  <si>
    <t>Mark_Mulder</t>
  </si>
  <si>
    <t>Anthony_Reyes</t>
  </si>
  <si>
    <t>Ryan_Franklin</t>
  </si>
  <si>
    <t>Kip_Wells</t>
  </si>
  <si>
    <t>Chris_Carpenter</t>
  </si>
  <si>
    <t>Russ_Springer</t>
  </si>
  <si>
    <t>Jason_Isringhausen</t>
  </si>
  <si>
    <t>Ricardo_Rincon</t>
  </si>
  <si>
    <t>Braden_Looper</t>
  </si>
  <si>
    <t>Randy_Flores</t>
  </si>
  <si>
    <t>Josh_Hancock</t>
  </si>
  <si>
    <t>Brad_Thompson</t>
  </si>
  <si>
    <t>Tyler_Johnson</t>
  </si>
  <si>
    <t>Chris_Narveson</t>
  </si>
  <si>
    <t>Randy_Keisler</t>
  </si>
  <si>
    <t>Josh_Kinney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</si>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</sst>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31835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4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32" fillId="2" borderId="0" xfId="0" applyFont="1"/>
    <xf numFmtId="0" fontId="0" fillId="2" borderId="0" xfId="0" applyAlignment="1">
      <alignment horizontal="center" vertical="center" wrapText="1"/>
    </xf>
    <xf numFmtId="164" fontId="0" fillId="2" borderId="0" xfId="0" applyNumberFormat="1" applyAlignment="1">
      <alignment horizontal="center" vertical="center"/>
    </xf>
    <xf numFmtId="0" fontId="26" fillId="2" borderId="0" xfId="1" applyFont="1" applyBorder="1" applyAlignment="1">
      <alignment horizontal="left" vertical="center"/>
    </xf>
    <xf numFmtId="0" fontId="2" fillId="2" borderId="0" xfId="1" applyBorder="1"/>
    <xf numFmtId="0" fontId="31" fillId="2" borderId="0" xfId="5" applyBorder="1" applyAlignment="1">
      <alignment horizontal="right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0" fillId="9" borderId="0" xfId="0" applyFill="1"/>
    <xf numFmtId="0" fontId="25" fillId="9" borderId="0" xfId="1" applyFont="1" applyFill="1" applyBorder="1" applyAlignment="1">
      <alignment vertical="center" wrapTex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164" fontId="3" fillId="5" borderId="19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2" fillId="3" borderId="0" xfId="1" applyNumberFormat="1" applyFill="1"/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164" fontId="3" fillId="5" borderId="0" xfId="0" applyNumberFormat="1" applyFont="1" applyFill="1" applyAlignment="1">
      <alignment horizontal="center"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2205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03183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alignment vertical="center"/>
    </dxf>
    <dxf>
      <alignment vertical="center"/>
    </dxf>
    <dxf>
      <alignment vertical="center"/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fill>
        <patternFill patternType="solid">
          <fgColor indexed="64"/>
          <bgColor theme="1" tint="4.9989318521683403E-2"/>
        </patternFill>
      </fill>
    </dxf>
    <dxf>
      <numFmt numFmtId="0" formatCode="General"/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ont>
        <strike val="0"/>
        <color theme="0"/>
      </font>
      <fill>
        <patternFill patternType="solid">
          <fgColor theme="1"/>
          <bgColor theme="1" tint="0.14996795556505021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4.9989318521683403E-2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b/>
        <color theme="0"/>
      </font>
      <fill>
        <patternFill patternType="solid">
          <fgColor theme="1"/>
          <bgColor theme="1" tint="0.14996795556505021"/>
        </patternFill>
      </fill>
    </dxf>
    <dxf>
      <font>
        <color theme="0" tint="-0.14999847407452621"/>
      </font>
      <fill>
        <patternFill patternType="solid">
          <fgColor theme="0" tint="-0.44999542222357858"/>
          <bgColor theme="1" tint="-0.24994659260841701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TableStyleDarker" defaultPivotStyle="PivotStyleMedium4">
    <tableStyle name="DarkPivot" table="0" count="3" xr9:uid="{00874257-2B66-4E68-882B-4B15201D4B3B}">
      <tableStyleElement type="wholeTable" dxfId="2204"/>
      <tableStyleElement type="headerRow" dxfId="2203"/>
      <tableStyleElement type="totalRow" dxfId="2202"/>
    </tableStyle>
    <tableStyle name="TableStyleDarker" pivot="0" count="2" xr9:uid="{6808BEA3-E65F-4F4F-A6CC-D0226D87DD56}">
      <tableStyleElement type="wholeTable" dxfId="2201"/>
      <tableStyleElement type="headerRow" dxfId="2200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Name">
          <a:extLst>
            <a:ext uri="{FF2B5EF4-FFF2-40B4-BE49-F238E27FC236}">
              <a16:creationId xmlns:a16="http://schemas.microsoft.com/office/drawing/2014/main" id="{7DC92550-B77E-003E-E1CC-DDEC08D28D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Team">
          <a:extLst>
            <a:ext uri="{FF2B5EF4-FFF2-40B4-BE49-F238E27FC236}">
              <a16:creationId xmlns:a16="http://schemas.microsoft.com/office/drawing/2014/main" id="{A2C127D6-3665-8930-889F-6C851CD8DE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5" name="composition_Position">
          <a:extLst>
            <a:ext uri="{FF2B5EF4-FFF2-40B4-BE49-F238E27FC236}">
              <a16:creationId xmlns:a16="http://schemas.microsoft.com/office/drawing/2014/main" id="{6C8949BE-93C6-500A-6E22-829D819167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17" name="composition_Height">
          <a:extLst>
            <a:ext uri="{FF2B5EF4-FFF2-40B4-BE49-F238E27FC236}">
              <a16:creationId xmlns:a16="http://schemas.microsoft.com/office/drawing/2014/main" id="{3285A3DE-A8D4-FD20-FD41-415BE0AE3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19" name="histogram_Height">
          <a:extLst>
            <a:ext uri="{FF2B5EF4-FFF2-40B4-BE49-F238E27FC236}">
              <a16:creationId xmlns:a16="http://schemas.microsoft.com/office/drawing/2014/main" id="{2CCDD714-9CF8-8399-7088-9CFC3650DF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1" name="composition_Weight">
          <a:extLst>
            <a:ext uri="{FF2B5EF4-FFF2-40B4-BE49-F238E27FC236}">
              <a16:creationId xmlns:a16="http://schemas.microsoft.com/office/drawing/2014/main" id="{7E2C09F6-E9FF-D7B7-EB02-CEB1EBEC88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3" name="histogram_Weight">
          <a:extLst>
            <a:ext uri="{FF2B5EF4-FFF2-40B4-BE49-F238E27FC236}">
              <a16:creationId xmlns:a16="http://schemas.microsoft.com/office/drawing/2014/main" id="{FF487128-469C-CB2E-0E72-57A4743956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5" name="composition_Age">
          <a:extLst>
            <a:ext uri="{FF2B5EF4-FFF2-40B4-BE49-F238E27FC236}">
              <a16:creationId xmlns:a16="http://schemas.microsoft.com/office/drawing/2014/main" id="{70FC4C53-A8F3-6349-8D33-A8CA1A6B9F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27" name="histogram_Age">
          <a:extLst>
            <a:ext uri="{FF2B5EF4-FFF2-40B4-BE49-F238E27FC236}">
              <a16:creationId xmlns:a16="http://schemas.microsoft.com/office/drawing/2014/main" id="{B77BE7AC-9772-96EE-FAB6-AE13B8B589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9</xdr:col>
      <xdr:colOff>95250</xdr:colOff>
      <xdr:row>30</xdr:row>
      <xdr:rowOff>95250</xdr:rowOff>
    </xdr:from>
    <xdr:to>
      <xdr:col>9</xdr:col>
      <xdr:colOff>1809750</xdr:colOff>
      <xdr:row>30</xdr:row>
      <xdr:rowOff>1809750</xdr:rowOff>
    </xdr:to>
    <xdr:pic>
      <xdr:nvPicPr>
        <xdr:cNvPr id="29" name="composition_PosCategory">
          <a:extLst>
            <a:ext uri="{FF2B5EF4-FFF2-40B4-BE49-F238E27FC236}">
              <a16:creationId xmlns:a16="http://schemas.microsoft.com/office/drawing/2014/main" id="{C407E8AE-A702-6C0F-44C5-9215D554BB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368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10</xdr:col>
      <xdr:colOff>25907</xdr:colOff>
      <xdr:row>30</xdr:row>
      <xdr:rowOff>95250</xdr:rowOff>
    </xdr:from>
    <xdr:to>
      <xdr:col>10</xdr:col>
      <xdr:colOff>492251</xdr:colOff>
      <xdr:row>30</xdr:row>
      <xdr:rowOff>1809750</xdr:rowOff>
    </xdr:to>
    <xdr:pic>
      <xdr:nvPicPr>
        <xdr:cNvPr id="31" name="composition_HasBlank">
          <a:extLst>
            <a:ext uri="{FF2B5EF4-FFF2-40B4-BE49-F238E27FC236}">
              <a16:creationId xmlns:a16="http://schemas.microsoft.com/office/drawing/2014/main" id="{E30348B5-12BE-5C9E-87F3-291AC4D6DA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5524987" y="2122170"/>
          <a:ext cx="466344" cy="1714500"/>
        </a:xfrm>
        <a:prstGeom prst="rect">
          <a:avLst/>
        </a:prstGeom>
      </xdr:spPr>
    </xdr:pic>
    <xdr:clientData/>
  </xdr:twoCellAnchor>
  <xdr:twoCellAnchor>
    <xdr:from>
      <xdr:col>10</xdr:col>
      <xdr:colOff>25907</xdr:colOff>
      <xdr:row>40</xdr:row>
      <xdr:rowOff>95250</xdr:rowOff>
    </xdr:from>
    <xdr:to>
      <xdr:col>10</xdr:col>
      <xdr:colOff>492251</xdr:colOff>
      <xdr:row>40</xdr:row>
      <xdr:rowOff>1809750</xdr:rowOff>
    </xdr:to>
    <xdr:pic>
      <xdr:nvPicPr>
        <xdr:cNvPr id="33" name="histogram_HasBlank">
          <a:extLst>
            <a:ext uri="{FF2B5EF4-FFF2-40B4-BE49-F238E27FC236}">
              <a16:creationId xmlns:a16="http://schemas.microsoft.com/office/drawing/2014/main" id="{23E544E1-3F3B-CE81-A09F-D1E8C1F828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5524987" y="4339590"/>
          <a:ext cx="466344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66.993874652777" createdVersion="8" refreshedVersion="8" minRefreshableVersion="3" recordCount="1015" xr:uid="{9CA2673A-A870-437E-AB9F-91D8276FD930}">
  <cacheSource type="worksheet">
    <worksheetSource name="tbl_SourceData"/>
  </cacheSource>
  <cacheFields count="10">
    <cacheField name="Record List" numFmtId="0">
      <sharedItems/>
    </cacheField>
    <cacheField name="Name" numFmtId="0">
      <sharedItems count="1013">
        <s v="Adam_Donachie"/>
        <s v="Paul_Bako"/>
        <s v="Ramon_Hernandez"/>
        <s v="Kevin_Millar"/>
        <s v="Chris_Gomez"/>
        <s v="Brian_Roberts"/>
        <s v="Miguel_Tejada"/>
        <s v="Melvin_Mora"/>
        <s v="Aubrey_Huff"/>
        <s v="Adam_Stern"/>
        <s v="Jeff_Fiorentino"/>
        <s v="Freddie_Bynum"/>
        <s v="Nick_Markakis"/>
        <s v="Brandon_Fahey"/>
        <s v="Corey_Patterson"/>
        <s v="Jay_Payton"/>
        <s v="Erik_Bedard"/>
        <s v="Hayden_Penn"/>
        <s v="Adam_Loewen"/>
        <s v="Daniel_Cabrera"/>
        <s v="Steve_Trachsel"/>
        <s v="Jaret_Wright"/>
        <s v="Kris_Benson"/>
        <s v="Scott_Williamson"/>
        <s v="John_Parrish"/>
        <s v="Danys_Baez"/>
        <s v="Chad_Bradford"/>
        <s v="Jamie_Walker"/>
        <s v="Brian_Burres"/>
        <s v="Kurt_Birkins"/>
        <s v="James_Hoey"/>
        <s v="Sendy_Rleal"/>
        <s v="Chris_Ray"/>
        <s v="Jeremy_Guthrie"/>
        <s v="A.J._Pierzynski"/>
        <s v="Toby_Hall"/>
        <s v="Paul_Konerko"/>
        <s v="Tadahito_Iguchi"/>
        <s v="Juan_Uribe"/>
        <s v="Alex_Cintron"/>
        <s v="Joe_Crede"/>
        <s v="Josh_Fields"/>
        <s v="Ryan_Sweeney"/>
        <s v="Brian_N._Anderson"/>
        <s v="Luis_Terrero"/>
        <s v="Pablo_Ozuna"/>
        <s v="Scott_Podsednik"/>
        <s v="Jermaine_Dye"/>
        <s v="Darin_Erstad"/>
        <s v="Rob_Mackowiak"/>
        <s v="Charlie_Haeger"/>
        <s v="Heath_Phillips"/>
        <s v="Gavin_Floyd"/>
        <s v="Jose_Contreras"/>
        <s v="Jon_Garland"/>
        <s v="Javier_Vazquez"/>
        <s v="Mark_Buehrle"/>
        <s v="Mike_MacDougal"/>
        <s v="David_Aardsma"/>
        <s v="Andrew_Sisco"/>
        <s v="Matt_Thornton"/>
        <s v="Bobby_Jenks"/>
        <s v="Boone_Logan"/>
        <s v="Sean_Tracey"/>
        <s v="Nick_Masset"/>
        <s v="Jose_Molina"/>
        <s v="Jeff_Mathis"/>
        <s v="Mike_Napoli"/>
        <s v="Casey_Kotchman"/>
        <s v="Kendry_Morales"/>
        <s v="Shea_Hillenbrand"/>
        <s v="Robb_Quinlan"/>
        <s v="Howie_Kendrick"/>
        <s v="Orlando_Cabrera"/>
        <s v="Erick_Aybar"/>
        <s v="Dallas_McPherson"/>
        <s v="Maicer_Izturis"/>
        <s v="Reggie_Willits"/>
        <s v="Tommy_Murphy"/>
        <s v="Terry_Evans"/>
        <s v="Gary_Matthews_Jr."/>
        <s v="Garret_Anderson"/>
        <s v="Vladimir_Guerrero"/>
        <s v="Chone_Figgins"/>
        <s v="Juan_Rivera"/>
        <s v="John_Lackey"/>
        <s v="Bartolo_Colon"/>
        <s v="Kelvim_Escobar"/>
        <s v="Dustin_Moseley"/>
        <s v="Ervin_Santana"/>
        <s v="Joe_Saunders"/>
        <s v="Jered_Weaver"/>
        <s v="Chris_Resop"/>
        <s v="Phil_Seibel"/>
        <s v="Justin_Speier"/>
        <s v="Darren_Oliver"/>
        <s v="Hector_Carrasco"/>
        <s v="Scot_Shields"/>
        <s v="Francisco_Rodriguez"/>
        <s v="Greg_Jones"/>
        <s v="Doug_Mirabelli"/>
        <s v="Jason_Varitek"/>
        <s v="George_Kottaras"/>
        <s v="Kevin_Youkilis"/>
        <s v="Dustin_Pedroia"/>
        <s v="Alex_Cora"/>
        <s v="Julio_Lugo"/>
        <s v="Mike_Lowell"/>
        <s v="Wily_Mo_Pe?a"/>
        <s v="J.D._Drew"/>
        <s v="Manny_Ramirez"/>
        <s v="Brandon_Moss"/>
        <s v="David_Murphy"/>
        <s v="Eric_Hinske"/>
        <s v="Coco_Crisp"/>
        <s v="Curt_Schilling"/>
        <s v="Tim_Wakefield"/>
        <s v="Josh_Beckett"/>
        <s v="Matt_Clement"/>
        <s v="Jonathan_Papelbon"/>
        <s v="Kyle_Snyder"/>
        <s v="Devern_Hansack"/>
        <s v="Jon_Lester"/>
        <s v="Kason_Gabbard"/>
        <s v="Craig_Hansen"/>
        <s v="Hideki_Okajima"/>
        <s v="Craig_Breslow"/>
        <s v="Manny_Delcarmen"/>
        <s v="Brendan_Donnelly"/>
        <s v="Javier_Lopez"/>
        <s v="J.C._Romero"/>
        <s v="Joel_Pineiro"/>
        <s v="Julian_Tavarez"/>
        <s v="Mike_Timlin"/>
        <s v="Nick_DeBarr"/>
        <s v="Victor_Martinez"/>
        <s v="Kelly_Shoppach"/>
        <s v="Ryan_Garko"/>
        <s v="Joe_Inglett"/>
        <s v="Josh_Barfield"/>
        <s v="Hector_Luna"/>
        <s v="Jhonny_Peralta"/>
        <s v="Andy_Marte"/>
        <s v="Ben_Francisco"/>
        <s v="Shin-Soo_Choo"/>
        <s v="Franklin_Gutierrez"/>
        <s v="Grady_Sizemore"/>
        <s v="Jason_Michaels"/>
        <s v="Trot_Nixon"/>
        <s v="David_Dellucci"/>
        <s v="Casey_Blake"/>
        <s v="Paul_Byrd"/>
        <s v="Cliff_Lee"/>
        <s v="Jake_Westbrook"/>
        <s v="C.C._Sabathia"/>
        <s v="Jeremy_Sowers"/>
        <s v="Rafael_Perez"/>
        <s v="Brian_Slocum"/>
        <s v="Edward_Mujica"/>
        <s v="Fernando_Cabrera"/>
        <s v="Tom_Mastny"/>
        <s v="Juan_Lara"/>
        <s v="Fausto_Carmona"/>
        <s v="Aaron_Fultz"/>
        <s v="Rafael_Betancourt"/>
        <s v="Roberto_Hernandez"/>
        <s v="Joe_Borowski"/>
        <s v="Matt_Miller"/>
        <s v="Jason_Davis"/>
        <s v="Mike_Piazza"/>
        <s v="Jason_Kendall"/>
        <s v="Adam_Melhuse"/>
        <s v="Nick_Swisher"/>
        <s v="Dan_Johnson"/>
        <s v="Donald_Murphy"/>
        <s v="Mark_Ellis"/>
        <s v="Marco_Scutaro"/>
        <s v="Bobby_Crosby"/>
        <s v="Mark_Kiger"/>
        <s v="Antonio_Perez"/>
        <s v="Eric_Chavez"/>
        <s v="Milton_Bradley"/>
        <s v="Shannon_Stewart"/>
        <s v="Bobby_Kielty"/>
        <s v="Mark_Kotsay"/>
        <s v="Ryan_Goleski"/>
        <s v="Jason_Windsor"/>
        <s v="David_Shafer"/>
        <s v="Joe_Blanton"/>
        <s v="Brad_Halsey"/>
        <s v="Dan_Haren"/>
        <s v="Rich_Harden"/>
        <s v="Joe_Kennedy"/>
        <s v="Esteban_Loaiza"/>
        <s v="Alan_Embree"/>
        <s v="Jay_Witasick"/>
        <s v="Justin_Duchscherer"/>
        <s v="Kiko_Calero"/>
        <s v="Chad_Gaudin"/>
        <s v="Lenny_DiNardo"/>
        <s v="Scott_Dunn"/>
        <s v="Huston_Street"/>
        <s v="Ron_Flores"/>
        <s v="Jay_Marshall"/>
        <s v="Marcus_McBeth"/>
        <s v="Jorge_Posada"/>
        <s v="Wil_Nieves"/>
        <s v="Andy_Phillips"/>
        <s v="Doug_Mientkiewicz"/>
        <s v="Josh_Phelps"/>
        <s v="Miguel_Cairo"/>
        <s v="Robinson_Cano"/>
        <s v="Derek_Jeter"/>
        <s v="Alex_Rodriguez"/>
        <s v="Johnny_Damon"/>
        <s v="Bobby_Abreu"/>
        <s v="Hideki_Matsui"/>
        <s v="Melky_Cabrera"/>
        <s v="Kevin_Thompson"/>
        <s v="Mike_Mussina"/>
        <s v="Carl_Pavano"/>
        <s v="Andy_Pettitte"/>
        <s v="Darrell_Rasner"/>
        <s v="Jeff_Karstens"/>
        <s v="Humberto_Sanchez"/>
        <s v="Chien-Ming_Wang"/>
        <s v="Sean_Henn"/>
        <s v="Scott_Proctor"/>
        <s v="Brian_Bruney"/>
        <s v="Chris_Britton"/>
        <s v="T.J._Beam"/>
        <s v="Jose_Veras"/>
        <s v="Kyle_Farnsworth"/>
        <s v="Luis_Vizcaino"/>
        <s v="Mike_Myers"/>
        <s v="Mariano_Rivera"/>
        <s v="Ivan_Rodriguez"/>
        <s v="Vance_Wilson"/>
        <s v="Sean_Casey"/>
        <s v="Chris_Shelton"/>
        <s v="Omar_Infante"/>
        <s v="Placido_Polanco"/>
        <s v="Neifi_Perez"/>
        <s v="Carlos_Guillen"/>
        <s v="Ramon_Santiago"/>
        <s v="Tony_Giarratano"/>
        <s v="Brandon_Inge"/>
        <s v="Craig_Monroe"/>
        <s v="Magglio_Ordo?ez"/>
        <s v="Curtis_Granderson"/>
        <s v="Brent_Clevlen"/>
        <s v="Marcus_Thames"/>
        <s v="Gary_Sheffield"/>
        <s v="Zach_Miner"/>
        <s v="Jeremy_Bonderman"/>
        <s v="Nate_Robertson"/>
        <s v="Justin_Verlander"/>
        <s v="Virgil_Vasquez"/>
        <s v="Kenny_Rogers"/>
        <s v="Mike_Maroth"/>
        <s v="Fernando_Rodney"/>
        <s v="Chad_Durbin"/>
        <s v="Jason_Grilli"/>
        <s v="Jose_Mesa"/>
        <s v="Todd_Jones"/>
        <s v="Joel_Zumaya"/>
        <s v="Jordan_Tata"/>
        <s v="Andrew_Miller"/>
        <s v="Yorman_Bazardo"/>
        <s v="Wilfredo_Ledezma"/>
        <s v="Roman_Colon"/>
        <s v="Edward_Campusano"/>
        <s v="Rene_Rivera"/>
        <s v="Kenji_Johjima"/>
        <s v="Richie_Sexson"/>
        <s v="Ben_Broussard"/>
        <s v="Jose_Lopez"/>
        <s v="Jose_Vidro"/>
        <s v="Yuniesky_Betancourt"/>
        <s v="Oswaldo_Navarro"/>
        <s v="Adrian_Beltre"/>
        <s v="Raul_Ibanez"/>
        <s v="Jose_Guillen"/>
        <s v="Jeremy_Reed"/>
        <s v="Willie_Bloomquist"/>
        <s v="Adam_Jones"/>
        <s v="Ichiro_Suzuki"/>
        <s v="Mike_Morse"/>
        <s v="Felix_Hernandez"/>
        <s v="Ryan_Feierabend"/>
        <s v="Sean_White"/>
        <s v="Horacio_Ramirez"/>
        <s v="Cha_Baek"/>
        <s v="Miguel_Batista"/>
        <s v="Jeff_Weaver"/>
        <s v="Jarrod_Washburn"/>
        <s v="George_Sherrill"/>
        <s v="Julio_Mateo"/>
        <s v="J.J._Putz"/>
        <s v="Chris_Reitsma"/>
        <s v="Cesar_Jimenez"/>
        <s v="Eric_O'Flaherty"/>
        <s v="Jon_Huber"/>
        <s v="Jake_Woods"/>
        <s v="Sean_Green"/>
        <s v="Mark_Lowe"/>
        <s v="Josh_Paul"/>
        <s v="Dioner_Navarro"/>
        <s v="Shawn_Riggans"/>
        <s v="Ty_Wigginton"/>
        <s v="Brendan_Harris"/>
        <s v="Jorge_Cantu"/>
        <s v="Ben_Zobrist"/>
        <s v="B.J._Upton"/>
        <s v="Carl_Crawford"/>
        <s v="Rocco_Baldelli"/>
        <s v="Greg_Norton"/>
        <s v="Elijah_Dukes"/>
        <s v="Delmon_Young"/>
        <s v="Edwin_Jackson"/>
        <s v="Scott_Kazmir"/>
        <s v="Casey_Fossum"/>
        <s v="Jae_Seo"/>
        <s v="J.P._Howell"/>
        <s v="Tim_Corcoran"/>
        <s v="Jason_Hammel"/>
        <s v="James_Shields"/>
        <s v="Brian_Stokes"/>
        <s v="Juan_Salas"/>
        <s v="Jeff_Ridgway"/>
        <s v="Ruddy_Lugo"/>
        <s v="Jae-Kuk_Ryu"/>
        <s v="Chad_Orvella"/>
        <s v="Dan_Miceli"/>
        <s v="Seth_McClung"/>
        <s v="Jon_Switzer"/>
        <s v="Shawn_Camp"/>
        <s v="Scott_Dohmann"/>
        <s v="Jason_LaRue"/>
        <s v="John_Buck"/>
        <s v="Ryan_Shealy"/>
        <s v="Ross_Gload"/>
        <s v="Esteban_German"/>
        <s v="Mark_Grudzielanek"/>
        <s v="Angel_Sanchez"/>
        <s v="Angel_Berroa"/>
        <s v="Andres_Blanco"/>
        <s v="Mark_Teahen"/>
        <s v="Joey_Gathright"/>
        <s v="David_DeJesus"/>
        <s v="Shane_Costa"/>
        <s v="Mitch_Maier"/>
        <s v="Reggie_Sanders"/>
        <s v="Emil_Brown"/>
        <s v="John_Bale"/>
        <s v="Luke_Hudson"/>
        <s v="Scott_Elarton"/>
        <s v="Odalis_Perez"/>
        <s v="Gil_Meche"/>
        <s v="Neal_Musser"/>
        <s v="Brian_Bannister"/>
        <s v="Zack_Greinke"/>
        <s v="Jorge_De_La_Rosa"/>
        <s v="Todd_Wellemeyer"/>
        <s v="Jimmy_Gobble"/>
        <s v="Joel_Peralta"/>
        <s v="Ryan_Braun"/>
        <s v="Joakim_Soria"/>
        <s v="Ken_Ray"/>
        <s v="David_Riske"/>
        <s v="Octavio_Dotel"/>
        <s v="Joe_Nelson"/>
        <s v="Gerald_Laird"/>
        <s v="Miguel_Ojeda"/>
        <s v="Guillermo_Quiroz"/>
        <s v="Chris_Stewart"/>
        <s v="Mark_Teixeira"/>
        <s v="Ian_Kinsler"/>
        <s v="Joaquin_Arias"/>
        <s v="Michael_Young"/>
        <s v="Hank_Blalock"/>
        <s v="Marlon_Byrd"/>
        <s v="Brad_Wilkerson"/>
        <s v="Sammy_Sosa"/>
        <s v="Kenny_Lofton"/>
        <s v="Frank_Catalanotto"/>
        <s v="Nelson_Cruz"/>
        <s v="Robinson_Tejeda"/>
        <s v="John_Rheinecker"/>
        <s v="Edinson_Volquez"/>
        <s v="A.J._Murray"/>
        <s v="Brandon_McCarthy"/>
        <s v="Vicente_Padilla"/>
        <s v="Kevin_Millwood"/>
        <s v="John_Koronka"/>
        <s v="Frank_Francisco"/>
        <s v="Francisco_Cruceta"/>
        <s v="Akinori_Otsuka"/>
        <s v="Eric_Gagne"/>
        <s v="Ron_Mahay"/>
        <s v="Joaquin_Benoit"/>
        <s v="Rick_Bauer"/>
        <s v="Josh_Rupe"/>
        <s v="Wes_Littleton"/>
        <s v="C.J._Wilson"/>
        <s v="Scott_Feldman"/>
        <s v="Gregg_Zaun"/>
        <s v="Jason_Phillips"/>
        <s v="Lyle_Overbay"/>
        <s v="Russ_Adams"/>
        <s v="Aaron_Hill"/>
        <s v="Jason_Smith"/>
        <s v="John_McDonald"/>
        <s v="Royce_Clayton"/>
        <s v="Troy_Glaus"/>
        <s v="John_Hattig"/>
        <s v="Reed_Johnson"/>
        <s v="Alex_Rios"/>
        <s v="Vernon_Wells"/>
        <s v="Shaun_Marcum"/>
        <s v="Casey_Janssen"/>
        <s v="Gustavo_Chacin"/>
        <s v="A.J._Burnett"/>
        <s v="Roy_Halladay"/>
        <s v="John_Thomson"/>
        <s v="Tomo_Ohka"/>
        <s v="B.J._Ryan"/>
        <s v="Scott_Downs"/>
        <s v="Brian_Tallet"/>
        <s v="Matt_Roney"/>
        <s v="Tracy_Thorpe"/>
        <s v="Jean_Machi"/>
        <s v="Brandon_League"/>
        <s v="Dustin_McGowan"/>
        <s v="Jason_Frasor"/>
        <s v="Francisco_Rosario"/>
        <s v="Davis_Romero"/>
        <s v="Jeremy_Accardo"/>
        <s v="Mike_Redmond"/>
        <s v="Joe_Mauer"/>
        <s v="Chris_Heintz"/>
        <s v="Justin_Morneau"/>
        <s v="Luis_Castillo"/>
        <s v="Alexi_Casilla"/>
        <s v="Alejandro_Machado"/>
        <s v="Jason_Bartlett"/>
        <s v="Luis_Rodriguez"/>
        <s v="Jeff_Cirillo"/>
        <s v="Nick_Punto"/>
        <s v="Jason_Tyner"/>
        <s v="Michael_Cuddyer"/>
        <s v="Torii_Hunter"/>
        <s v="Lew_Ford"/>
        <s v="Jason_Kubel"/>
        <s v="Ramon_Ortiz"/>
        <s v="Johan_Santana"/>
        <s v="Carlos_Silva"/>
        <s v="Matt_Garza"/>
        <s v="Boof_Bonser"/>
        <s v="Francisco_Liriano"/>
        <s v="Scott_Baker"/>
        <s v="Pat_Neshek"/>
        <s v="Glen_Perkins"/>
        <s v="Julio_DePaula"/>
        <s v="Juan_Rincon"/>
        <s v="Jesse_Crain"/>
        <s v="Matt_Guerrier"/>
        <s v="Joe_Nathan"/>
        <s v="Dennys_Reyes"/>
        <s v="Brayan_Pe?a"/>
        <s v="Brian_McCann"/>
        <s v="Craig_Wilson"/>
        <s v="Chris_Woodward"/>
        <s v="Pete_Orr"/>
        <s v="Martin_Prado"/>
        <s v="Tony_Pe?a"/>
        <s v="Edgar_Renteria"/>
        <s v="Chipper_Jones"/>
        <s v="Willy_Aybar"/>
        <s v="Jeff_Francoeur"/>
        <s v="Matt_Diaz"/>
        <s v="Kelly_Johnson"/>
        <s v="Andruw_Jones"/>
        <s v="Ryan_Langerhans"/>
        <s v="Scott_Thorman"/>
        <s v="T.J._Bohn"/>
        <s v="Tim_Hudson"/>
        <s v="Jonathan_Johnson"/>
        <s v="John_Smoltz"/>
        <s v="Mike_Hampton"/>
        <s v="Kyle_Davies"/>
        <s v="Chuck_James"/>
        <s v="Phil_Stockman"/>
        <s v="Macay_McBride"/>
        <s v="Joey_Devine"/>
        <s v="Peter_Moylan"/>
        <s v="Mike_Gonzalez"/>
        <s v="Lance_Cormier"/>
        <s v="Blaine_Boyer"/>
        <s v="Manny_Acosta"/>
        <s v="Bob_Wickman"/>
        <s v="Tanyon_Sturtze"/>
        <s v="Oscar_Villarreal"/>
        <s v="Rafael_Soriano"/>
        <s v="Chad_Paronto"/>
        <s v="Tyler_Yates"/>
        <s v="Henry_Blanco"/>
        <s v="Michael_Barrett"/>
        <s v="Geovany_Soto"/>
        <s v="Scott_Moore"/>
        <s v="Derrek_Lee"/>
        <s v="Ryan_Theriot"/>
        <s v="Ronny_Cedeno"/>
        <s v="Aramis_Ramirez"/>
        <s v="Cesar_Izturis"/>
        <s v="Alfonso_Soriano"/>
        <s v="Jacque_Jones"/>
        <s v="Daryle_Ward"/>
        <s v="Cliff_Floyd"/>
        <s v="Mark_DeRosa"/>
        <s v="Matt_Murton"/>
        <s v="Buck_Coats"/>
        <s v="Angel_Pagan"/>
        <s v="Sean_Marshall"/>
        <s v="Carlos_Marmol"/>
        <s v="Ryan_O'Malley"/>
        <s v="Juan_Mateo"/>
        <s v="Rich_Hill"/>
        <s v="Angel_Guzman"/>
        <s v="Wade_Miller"/>
        <s v="Jason_Marquis"/>
        <s v="Carlos_Zambrano"/>
        <s v="Ted_Lilly"/>
        <s v="Mark_Prior"/>
        <s v="Neal_Cotts"/>
        <s v="Will_Ohman"/>
        <s v="Scott_Eyre"/>
        <s v="Kerry_Wood"/>
        <s v="Ryan_Dempster"/>
        <s v="Bob_Howry"/>
        <s v="Mike_Wuertz"/>
        <s v="Roberto_Novoa"/>
        <s v="Chris_Snyder"/>
        <s v="Miguel_Montero"/>
        <s v="Conor_Jackson"/>
        <s v="Robby_Hammock"/>
        <s v="Tony_Clark"/>
        <s v="Orlando_Hudson"/>
        <s v="Stephen_Drew"/>
        <s v="Alberto_Callaspo"/>
        <s v="Chad_Tracy"/>
        <s v="Chris_Young"/>
        <s v="Scott_Hairston"/>
        <s v="Carlos_Quentin"/>
        <s v="Jeff_DaVanon"/>
        <s v="Eric_Byrnes"/>
        <s v="Livan_Hernandez"/>
        <s v="Doug_Davis"/>
        <s v="Randy_Johnson"/>
        <s v="Juan_Cruz"/>
        <s v="Brandon_Webb"/>
        <s v="Enrique_Gonzalez"/>
        <s v="Dana_Eveland"/>
        <s v="Brandon_Medders"/>
        <s v="Doug_Slaten"/>
        <s v="Edgar_Gonzalez"/>
        <s v="Jose_Valverde"/>
        <s v="Jorge_Julio"/>
        <s v="Brandon_Lyon"/>
        <s v="Miguel_Olivo"/>
        <s v="Matt_Treanor"/>
        <s v="Mike_Jacobs"/>
        <s v="Dan_Uggla"/>
        <s v="Robert_Andino"/>
        <s v="Hanley_Ramirez"/>
        <s v="Miguel_Cabrera"/>
        <s v="Aaron_Boone"/>
        <s v="Joe_Borchard"/>
        <s v="Alfredo_Amezaga"/>
        <s v="Cody_Ross"/>
        <s v="Josh_Willingham"/>
        <s v="Jeremy_Hermida"/>
        <s v="Eric_Reed"/>
        <s v="Reggi_Abercrombie"/>
        <s v="Ricky_Nolasco"/>
        <s v="Anibal_Sanchez"/>
        <s v="Scott_Olsen"/>
        <s v="Josh_Johnson"/>
        <s v="Dontrelle_Willis"/>
        <s v="Logan_Kensing"/>
        <s v="Sergio_Mitre"/>
        <s v="Kevin_Gregg"/>
        <s v="Travis_Bowyer"/>
        <s v="Renyel_Pinto"/>
        <s v="Randy_Messenger"/>
        <s v="Yusmeiro_Petit"/>
        <s v="Carlos_Martinez"/>
        <s v="Taylor_Tankersley"/>
        <s v="Henry_Owens"/>
        <s v="Jose_Garcia"/>
        <s v="Matt_Lindstrom"/>
        <s v="Javier_Valentin"/>
        <s v="Chad_Moeller"/>
        <s v="David_Ross"/>
        <s v="Joey_Votto"/>
        <s v="Scott_Hatteberg"/>
        <s v="Brandon_Phillips"/>
        <s v="Juan_Castro"/>
        <s v="Alex_Gonzalez"/>
        <s v="Mark_Bellhorn"/>
        <s v="Edwin_Encarnacion"/>
        <s v="Jeff_Keppinger"/>
        <s v="Norris_Hopper"/>
        <s v="Chris_Denorfia"/>
        <s v="Adam_Dunn"/>
        <s v="Bubba_Crosby"/>
        <s v="Jeff_Conine"/>
        <s v="Ken_Griffey_Jr."/>
        <s v="Josh_Hamilton"/>
        <s v="Ryan_Freel"/>
        <s v="Kyle_Lohse"/>
        <s v="Bronson_Arroyo"/>
        <s v="Eric_Milton"/>
        <s v="Aaron_Harang"/>
        <s v="Elizardo_Ramirez"/>
        <s v="Todd_Coffey"/>
        <s v="Brian_Shackelford"/>
        <s v="Bill_Bray"/>
        <s v="Bobby_Livingston"/>
        <s v="Matt_Belisle"/>
        <s v="Gary_Majewski"/>
        <s v="Mike_Stanton"/>
        <s v="Brad_Salmon"/>
        <s v="Jared_Burton"/>
        <s v="David_Weathers"/>
        <s v="Rheal_Cormier"/>
        <s v="Yorvit_Torrealba"/>
        <s v="Chris_Iannetta"/>
        <s v="Alvin_Colina"/>
        <s v="Todd_Helton"/>
        <s v="Jamey_Carroll"/>
        <s v="Kaz_Matsui"/>
        <s v="Troy_Tulowitzki"/>
        <s v="Clint_Barmes"/>
        <s v="Garrett_Atkins"/>
        <s v="Ryan_Spilborghs"/>
        <s v="Cory_Sullivan"/>
        <s v="Jeff_Salazar"/>
        <s v="Willy_Taveras"/>
        <s v="Matt_Holliday"/>
        <s v="Brad_Hawpe"/>
        <s v="Jeff_Baker"/>
        <s v="Byung-Hyun_Kim"/>
        <s v="Rodrigo_Lopez"/>
        <s v="Brian_Lawrence"/>
        <s v="Josh_Fogg"/>
        <s v="Aaron_Cook"/>
        <s v="Denny_Bautista"/>
        <s v="Ubaldo_Jimenez"/>
        <s v="Jason_Hirsh"/>
        <s v="Jeff_Francis"/>
        <s v="Taylor_Buchholz"/>
        <s v="Ryan_Speier"/>
        <s v="Ramon_Ramirez"/>
        <s v="Manny_Corpas"/>
        <s v="Juan_Morillo"/>
        <s v="Brian_Fuentes"/>
        <s v="LaTroy_Hawkins"/>
        <s v="Tom_Martin"/>
        <s v="Jeremy_Affeldt"/>
        <s v="Paul_Lo_Duca"/>
        <s v="Ramon_Castro"/>
        <s v="Julio_Franco"/>
        <s v="Carlos_Delgado"/>
        <s v="Jose_Valentin"/>
        <s v="Anderson_Hernandez"/>
        <s v="Damion_Easley"/>
        <s v="Jose_Reyes"/>
        <s v="David_Wright"/>
        <s v="Ben_Johnson"/>
        <s v="Endy_Chavez"/>
        <s v="David_Newhan"/>
        <s v="Carlos_Beltran"/>
        <s v="Shawn_Green"/>
        <s v="Moises_Alou"/>
        <s v="Lastings_Milledge"/>
        <s v="Alay_Soler"/>
        <s v="Mike_Pelfrey"/>
        <s v="Pedro_Martinez"/>
        <s v="Tom_Glavine"/>
        <s v="Chan_Ho_Park"/>
        <s v="Orlando_Hernandez"/>
        <s v="Dave_Williams"/>
        <s v="Oliver_Perez"/>
        <s v="John_Maine"/>
        <s v="Marcos_Carvajal"/>
        <s v="Ambiorix_Burgos"/>
        <s v="Jason_Vargas"/>
        <s v="Jon_Adkins"/>
        <s v="Juan_Padilla"/>
        <s v="Duaner_Sanchez"/>
        <s v="Pedro_Feliciano"/>
        <s v="Aaron_Heilman"/>
        <s v="Jorge_Sosa"/>
        <s v="Scott_Schoeneweis"/>
        <s v="Guillermo_Mota"/>
        <s v="Billy_Wagner"/>
        <s v="Philip_Humber"/>
        <s v="Brad_Ausmus"/>
        <s v="Humberto_Quintero"/>
        <s v="Hector_Gimenez"/>
        <s v="Lance_Berkman"/>
        <s v="Mike_Lamb"/>
        <s v="Mark_Loretta"/>
        <s v="Craig_Biggio"/>
        <s v="Brooks_Conrad"/>
        <s v="Chris_Burke"/>
        <s v="Eric_Bruntlett"/>
        <s v="Adam_Everett"/>
        <s v="Morgan_Ensberg"/>
        <s v="Carlos_Lee"/>
        <s v="Jason_Lane"/>
        <s v="Orlando_Palmeiro"/>
        <s v="Luke_Scott"/>
        <s v="Charlton_Jimerson"/>
        <s v="Fernando_Nieve"/>
        <s v="Wandy_Rodriguez"/>
        <s v="Brandon_Backe"/>
        <s v="Matt_Albers"/>
        <s v="Woody_Williams"/>
        <s v="Roy_Oswalt"/>
        <s v="Jason_Jennings"/>
        <s v="Miguel_Asencio"/>
        <s v="Brad_Lidge"/>
        <s v="Trever_Miller"/>
        <s v="David_Borkowski"/>
        <s v="Dan_Wheeler"/>
        <s v="Paul_Estrada"/>
        <s v="Lincoln_Holdzkom"/>
        <s v="Chris_Sampson"/>
        <s v="Chad_Qualls"/>
        <s v="Ezequiel_Astacio"/>
        <s v="Mike_Lieberthal"/>
        <s v="Russell_Martin"/>
        <s v="Olmedo_Saenz"/>
        <s v="James_Loney"/>
        <s v="Nomar_Garciaparra"/>
        <s v="Jeff_Kent"/>
        <s v="Ramon_Martinez"/>
        <s v="Marlon_Anderson"/>
        <s v="Rafael_Furcal"/>
        <s v="Wilson_Betemit"/>
        <s v="Andy_LaRoche"/>
        <s v="Matt_Kemp"/>
        <s v="Andre_Ethier"/>
        <s v="Delwyn_Young"/>
        <s v="Jason_Repko"/>
        <s v="Juan_Pierre"/>
        <s v="Luis_Gonzalez"/>
        <s v="Jason_Schmidt"/>
        <s v="Randy_Wolf"/>
        <s v="Brad_Penny"/>
        <s v="Derek_Lowe"/>
        <s v="Mark_Hendrickson"/>
        <s v="Chad_Billingsley"/>
        <s v="Takashi_Saito"/>
        <s v="Jonathan_Broxton"/>
        <s v="Hong-Chih_Kuo"/>
        <s v="Eric_Stults"/>
        <s v="Chin-Hui_Tsao"/>
        <s v="Tim_Hamulack"/>
        <s v="Yhency_Brazoban"/>
        <s v="Brett_Tomko"/>
        <s v="Joe_Beimel"/>
        <s v="Elmer_Dessens"/>
        <s v="Ryan_Budde"/>
        <s v="Rod_Barajas"/>
        <s v="Carlos_Ruiz"/>
        <s v="Chris_Coste"/>
        <s v="Ryan_Howard"/>
        <s v="Wes_Helms"/>
        <s v="Chase_Utley"/>
        <s v="Danny_Sandoval"/>
        <s v="Jimmy_Rollins"/>
        <s v="Abraham_Nu?ez"/>
        <s v="Michael_Bourn"/>
        <s v="Chris_Roberson"/>
        <s v="Jayson_Werth"/>
        <s v="Shane_Victorino"/>
        <s v="Aaron_Rowand"/>
        <s v="Pat_Burrell"/>
        <s v="Cole_Hamels"/>
        <s v="Alfredo_Simon"/>
        <s v="Scott_Mathieson"/>
        <s v="Freddy_Garcia"/>
        <s v="Jamie_Moyer"/>
        <s v="Jon_Lieber"/>
        <s v="Brett_Myers"/>
        <s v="Adam_Eaton"/>
        <s v="Geoff_Geary"/>
        <s v="Clay_Condrey"/>
        <s v="Ryan_Madson"/>
        <s v="Antonio_Alfonseca"/>
        <s v="Tom_Gordon"/>
        <s v="Brian_Sanches"/>
        <s v="Jim_Ed_Warden"/>
        <s v="Anderson_Garcia"/>
        <s v="Eude_Brito"/>
        <s v="Fabio_Castro"/>
        <s v="Matt_Smith"/>
        <s v="Damian_Miller"/>
        <s v="Johnny_Estrada"/>
        <s v="Mike_Rivera"/>
        <s v="J.D._Closser"/>
        <s v="Prince_Fielder"/>
        <s v="Rickie_Weeks"/>
        <s v="Tony_Graffanino"/>
        <s v="Craig_Counsell"/>
        <s v="J.J._Hardy"/>
        <s v="Bill_Hall"/>
        <s v="Vinny_Rottino"/>
        <s v="Corey_Koskie"/>
        <s v="Kevin_Mench"/>
        <s v="Geoff_Jenkins"/>
        <s v="Brady_Clark"/>
        <s v="Tony_Gwynn_Jr."/>
        <s v="Corey_Hart"/>
        <s v="Gabe_Gross"/>
        <s v="Laynce_Nix"/>
        <s v="Drew_Anderson"/>
        <s v="Claudio_Vargas"/>
        <s v="Chris_Capuano"/>
        <s v="Ben_Hendrickson"/>
        <s v="Dave_Bush"/>
        <s v="Carlos_Villanueva"/>
        <s v="Ben_Sheets"/>
        <s v="Jeff_Suppan"/>
        <s v="Brian_Shouse"/>
        <s v="Francisco_Cordero"/>
        <s v="Derrick_Turnbow"/>
        <s v="Matt_Wise"/>
        <s v="Grant_Balfour"/>
        <s v="Dennis_Sarfate"/>
        <s v="Jose_Capellan"/>
        <s v="Greg_Aquino"/>
        <s v="Josh_Bard"/>
        <s v="Rob_Bowen"/>
        <s v="Adrian_Gonzalez"/>
        <s v="Marcus_Giles"/>
        <s v="Todd_Walker"/>
        <s v="Geoff_Blum"/>
        <s v="Khalil_Greene"/>
        <s v="Paul_McAnulty"/>
        <s v="Terrmel_Sledge"/>
        <s v="Jack_Cust"/>
        <s v="Jose_Cruz_Jr."/>
        <s v="Russell_Branyan"/>
        <s v="Mike_Cameron"/>
        <s v="Brian_Giles"/>
        <s v="Mike_Thompson"/>
        <s v="Clay_Hensley"/>
        <s v="Greg_Maddux"/>
        <s v="Jake_Peavy"/>
        <s v="Scott_Cassidy"/>
        <s v="Scott_Strickland"/>
        <s v="Scott_Linebrink"/>
        <s v="Doug_Brocail"/>
        <s v="Trevor_Hoffman"/>
        <s v="Heath_Bell"/>
        <s v="Royce_Ring"/>
        <s v="Cla_Meredith"/>
        <s v="Andrew_Brown"/>
        <s v="Mike_Adams"/>
        <s v="Justin_Hampson"/>
        <s v="Kevin_Cameron"/>
        <s v="Ryan_Ketchner"/>
        <s v="Brian_Schneider"/>
        <s v="Jesus_Flores"/>
        <s v="Larry_Broadway"/>
        <s v="Nick_Johnson"/>
        <s v="Bernie_Castro"/>
        <s v="Josh_Wilson"/>
        <s v="Cristian_Guzman"/>
        <s v="Felipe_Lopez"/>
        <s v="Ryan_Zimmerman"/>
        <s v="Nook_Logan"/>
        <s v="Ryan_Church"/>
        <s v="Kory_Casto"/>
        <s v="Mike_Restovich"/>
        <s v="Alex_Escobar"/>
        <s v="Austin_Kearns"/>
        <s v="Chris_Snelling"/>
        <s v="Billy_Traber"/>
        <s v="Tim_Redding"/>
        <s v="John_Patterson"/>
        <s v="Shawn_Hill"/>
        <s v="Joel_Hanrahan"/>
        <s v="Mike_O'Connor"/>
        <s v="Emiliano_Fruto"/>
        <s v="Chris_Schroder"/>
        <s v="Brett_Campbell"/>
        <s v="Beltran_Perez"/>
        <s v="Levale_Speigner"/>
        <s v="Jason_Bergmann"/>
        <s v="Saul_Rivera"/>
        <s v="Chris_Booker"/>
        <s v="Micah_Bowie"/>
        <s v="Jon_Rauch"/>
        <s v="Jerome_Williams"/>
        <s v="Luis_Ayala"/>
        <s v="Ryan_Wagner"/>
        <s v="Chad_Cordero"/>
        <s v="Humberto_Cota"/>
        <s v="Ronny_Paulino"/>
        <s v="Adam_LaRoche"/>
        <s v="Ryan_Doumit"/>
        <s v="Brad_Eldred"/>
        <s v="Jose_Castillo"/>
        <s v="Jack_Wilson"/>
        <s v="Freddy_Sanchez"/>
        <s v="Jason_Bay"/>
        <s v="Jose_Bautista"/>
        <s v="Xavier_Nady"/>
        <s v="Jody_Gerut"/>
        <s v="Nate_McLouth"/>
        <s v="Chris_Duffy"/>
        <s v="Rajai_Davis"/>
        <s v="Shane_Youman"/>
        <s v="Yoslan_Herrera"/>
        <s v="Josh_Shortslef"/>
        <s v="Zach_Duke"/>
        <s v="Paul_Maholm"/>
        <s v="Tom_Gorzelanny"/>
        <s v="Shawn_Chacon"/>
        <s v="Tony_Armas_Jr."/>
        <s v="Ian_Snell"/>
        <s v="Sean_Burnett"/>
        <s v="John_Grabow"/>
        <s v="Marty_McLeary"/>
        <s v="Salomon_Torres"/>
        <s v="Damaso_Marte"/>
        <s v="Matt_Capps"/>
        <s v="Josh_Sharpless"/>
        <s v="Bryan_Bullington"/>
        <s v="Jonah_Bayliss"/>
        <s v="Brian_Rogers"/>
        <s v="Juan_Perez"/>
        <s v="Bengie_Molina"/>
        <s v="Eliezer_Alfonzo"/>
        <s v="Lance_Niekro"/>
        <s v="Mark_Sweeney"/>
        <s v="Ray_Durham"/>
        <s v="Kevin_Frandsen"/>
        <s v="Omar_Vizquel"/>
        <s v="Rich_Aurilia"/>
        <s v="Pedro_Feliz"/>
        <s v="Todd_Linden"/>
        <s v="Dave_Roberts"/>
        <s v="Jason_Ellison"/>
        <s v="Randy_Winn"/>
        <s v="Ryan_Klesko"/>
        <s v="Barry_Bonds"/>
        <s v="Fred_Lewis"/>
        <s v="Kelyn_Acosta"/>
        <s v="Jonathan_Sanchez"/>
        <s v="Matt_Cain"/>
        <s v="Matt_Morris"/>
        <s v="Russ_Ortiz"/>
        <s v="Noah_Lowry"/>
        <s v="Barry_Zito"/>
        <s v="Vinnie_Chulk"/>
        <s v="Kevin_Correia"/>
        <s v="Steve_Kline"/>
        <s v="Armando_Benitez"/>
        <s v="Scott_Munter"/>
        <s v="Jack_Taschner"/>
        <s v="Brian_Wilson"/>
        <s v="Merkin_Valdez"/>
        <s v="Brad_Hennessey"/>
        <s v="Billy_Sadler"/>
        <s v="Pat_Misch"/>
        <s v="Gary_Bennett"/>
        <s v="Yadier_Molina"/>
        <s v="John_Nelson"/>
        <s v="Albert_Pujols"/>
        <s v="Adam_Kennedy"/>
        <s v="Aaron_Miles"/>
        <s v="David_Eckstein"/>
        <s v="Scott_Rolen"/>
        <s v="Scott_Spiezio"/>
        <s v="Jim_Edmonds"/>
        <s v="So_Taguchi"/>
        <s v="Juan_Encarnacion"/>
        <s v="Skip_Schumaker"/>
        <s v="John_Rodriguez"/>
        <s v="Chris_Duncan"/>
        <s v="Adam_Wainwright"/>
        <s v="Mark_Mulder"/>
        <s v="Anthony_Reyes"/>
        <s v="Ryan_Franklin"/>
        <s v="Kip_Wells"/>
        <s v="Chris_Carpenter"/>
        <s v="Russ_Springer"/>
        <s v="Jason_Isringhausen"/>
        <s v="Ricardo_Rincon"/>
        <s v="Braden_Looper"/>
        <s v="Randy_Flores"/>
        <s v="Josh_Hancock"/>
        <s v="Brad_Thompson"/>
        <s v="Tyler_Johnson"/>
        <s v="Chris_Narveson"/>
        <s v="Randy_Keisler"/>
        <s v="Josh_Kinney"/>
      </sharedItems>
    </cacheField>
    <cacheField name="Team" numFmtId="0">
      <sharedItems count="30">
        <s v="BAL"/>
        <s v="CWS"/>
        <s v="ANA"/>
        <s v="BOS"/>
        <s v="CLE"/>
        <s v="OAK"/>
        <s v="NYY"/>
        <s v="DET"/>
        <s v="SEA"/>
        <s v="TB"/>
        <s v="KC"/>
        <s v="TEX"/>
        <s v="TOR"/>
        <s v="MIN"/>
        <s v="ATL"/>
        <s v="CHC"/>
        <s v="ARZ"/>
        <s v="FLA"/>
        <s v="CIN"/>
        <s v="COL"/>
        <s v="NYM"/>
        <s v="HOU"/>
        <s v="LA"/>
        <s v="PHI"/>
        <s v="MLW"/>
        <s v="SD"/>
        <s v="WAS"/>
        <s v="PIT"/>
        <s v="SF"/>
        <s v="STL"/>
      </sharedItems>
    </cacheField>
    <cacheField name="Position" numFmtId="0">
      <sharedItems count="8">
        <s v="Catcher"/>
        <s v="First_Baseman"/>
        <s v="Second_Baseman"/>
        <s v="Shortstop"/>
        <s v="Third_Baseman"/>
        <s v="Outfielder"/>
        <s v="Starting_Pitcher"/>
        <s v="Relief_Pitcher"/>
      </sharedItems>
    </cacheField>
    <cacheField name="Height" numFmtId="0">
      <sharedItems containsSemiMixedTypes="0" containsString="0" containsNumber="1" containsInteger="1" minValue="67" maxValue="83" count="17">
        <n v="74"/>
        <n v="72"/>
        <n v="73"/>
        <n v="69"/>
        <n v="71"/>
        <n v="76"/>
        <n v="70"/>
        <n v="75"/>
        <n v="78"/>
        <n v="79"/>
        <n v="77"/>
        <n v="81"/>
        <n v="68"/>
        <n v="80"/>
        <n v="82"/>
        <n v="83"/>
        <n v="67"/>
      </sharedItems>
    </cacheField>
    <cacheField name="Weight" numFmtId="0">
      <sharedItems containsSemiMixedTypes="0" containsString="0" containsNumber="1" containsInteger="1" minValue="150" maxValue="290" count="88">
        <n v="180"/>
        <n v="215"/>
        <n v="210"/>
        <n v="188"/>
        <n v="176"/>
        <n v="209"/>
        <n v="200"/>
        <n v="231"/>
        <n v="185"/>
        <n v="160"/>
        <n v="189"/>
        <n v="219"/>
        <n v="230"/>
        <n v="205"/>
        <n v="195"/>
        <n v="192"/>
        <n v="225"/>
        <n v="203"/>
        <n v="182"/>
        <n v="245"/>
        <n v="240"/>
        <n v="175"/>
        <n v="199"/>
        <n v="206"/>
        <n v="186"/>
        <n v="220"/>
        <n v="212"/>
        <n v="224"/>
        <n v="260"/>
        <n v="228"/>
        <n v="270"/>
        <n v="190"/>
        <n v="211"/>
        <n v="170"/>
        <n v="155"/>
        <n v="235"/>
        <n v="250"/>
        <n v="222"/>
        <n v="213"/>
        <n v="194"/>
        <n v="198"/>
        <n v="178"/>
        <n v="204"/>
        <n v="290"/>
        <n v="201"/>
        <n v="233"/>
        <n v="237"/>
        <n v="165"/>
        <n v="208"/>
        <n v="241"/>
        <n v="226"/>
        <n v="278"/>
        <n v="184"/>
        <n v="218"/>
        <n v="197"/>
        <n v="167"/>
        <n v="232"/>
        <n v="202"/>
        <n v="193"/>
        <n v="150"/>
        <n v="172"/>
        <n v="177"/>
        <n v="187"/>
        <n v="214"/>
        <n v="191"/>
        <n v="181"/>
        <n v="229"/>
        <n v="234"/>
        <n v="223"/>
        <n v="227"/>
        <n v="249"/>
        <n v="221"/>
        <n v="164"/>
        <n v="255"/>
        <n v="254"/>
        <n v="239"/>
        <n v="168"/>
        <n v="156"/>
        <n v="244"/>
        <n v="217"/>
        <n v="183"/>
        <n v="196"/>
        <n v="216"/>
        <n v="257"/>
        <n v="246"/>
        <n v="207"/>
        <n v="238"/>
        <n v="163"/>
      </sharedItems>
    </cacheField>
    <cacheField name="Age" numFmtId="0">
      <sharedItems containsSemiMixedTypes="0" containsString="0" containsNumber="1" minValue="20.9" maxValue="48.52" count="716">
        <n v="22.99"/>
        <n v="34.69"/>
        <n v="30.78"/>
        <n v="35.43"/>
        <n v="35.71"/>
        <n v="29.39"/>
        <n v="30.77"/>
        <n v="35.07"/>
        <n v="30.19"/>
        <n v="27.05"/>
        <n v="23.88"/>
        <n v="26.96"/>
        <n v="23.29"/>
        <n v="26.11"/>
        <n v="27.55"/>
        <n v="34.270000000000003"/>
        <n v="27.99"/>
        <n v="22.38"/>
        <n v="22.89"/>
        <n v="25.76"/>
        <n v="36.33"/>
        <n v="31.17"/>
        <n v="32.31"/>
        <n v="31.03"/>
        <n v="29.26"/>
        <n v="29.47"/>
        <n v="32.46"/>
        <n v="35.67"/>
        <n v="25.89"/>
        <n v="26.55"/>
        <n v="24.17"/>
        <n v="26.69"/>
        <n v="25.13"/>
        <n v="27.9"/>
        <n v="30.17"/>
        <n v="31.36"/>
        <n v="30.99"/>
        <n v="32.24"/>
        <n v="27.61"/>
        <n v="28.2"/>
        <n v="28.85"/>
        <n v="24.21"/>
        <n v="22.02"/>
        <n v="24.97"/>
        <n v="26.78"/>
        <n v="32.51"/>
        <n v="30.95"/>
        <n v="33.090000000000003"/>
        <n v="32.74"/>
        <n v="30.69"/>
        <n v="23.45"/>
        <n v="24.94"/>
        <n v="24.09"/>
        <n v="35.229999999999997"/>
        <n v="27.43"/>
        <n v="30.6"/>
        <n v="27.94"/>
        <n v="29.99"/>
        <n v="25.17"/>
        <n v="24.13"/>
        <n v="30.46"/>
        <n v="25.96"/>
        <n v="22.55"/>
        <n v="26.29"/>
        <n v="24.79"/>
        <n v="31.74"/>
        <n v="23.92"/>
        <n v="25.33"/>
        <n v="24.02"/>
        <n v="23.7"/>
        <n v="31.59"/>
        <n v="29.95"/>
        <n v="23.64"/>
        <n v="32.33"/>
        <n v="23.13"/>
        <n v="26.6"/>
        <n v="26.46"/>
        <n v="25.75"/>
        <n v="27.51"/>
        <n v="25.11"/>
        <n v="34.67"/>
        <n v="31.06"/>
        <n v="29.1"/>
        <n v="28.66"/>
        <n v="28.35"/>
        <n v="33.770000000000003"/>
        <n v="30.89"/>
        <n v="37.74"/>
        <n v="24.14"/>
        <n v="25.71"/>
        <n v="24.41"/>
        <n v="24.32"/>
        <n v="28.09"/>
        <n v="33.31"/>
        <n v="36.4"/>
        <n v="37.36"/>
        <n v="31.61"/>
        <n v="25.14"/>
        <n v="30.29"/>
        <n v="36.369999999999997"/>
        <n v="34.89"/>
        <n v="23.79"/>
        <n v="27.96"/>
        <n v="23.54"/>
        <n v="31.37"/>
        <n v="31.29"/>
        <n v="33.01"/>
        <n v="25.1"/>
        <n v="31.28"/>
        <n v="34.75"/>
        <n v="23.46"/>
        <n v="25.37"/>
        <n v="29.57"/>
        <n v="27.33"/>
        <n v="40.29"/>
        <n v="40.58"/>
        <n v="26.79"/>
        <n v="32.549999999999997"/>
        <n v="26.27"/>
        <n v="29.07"/>
        <n v="23.15"/>
        <n v="24.9"/>
        <n v="31.18"/>
        <n v="26.56"/>
        <n v="25.03"/>
        <n v="35.659999999999997"/>
        <n v="29.64"/>
        <n v="30.74"/>
        <n v="28.43"/>
        <n v="40.97"/>
        <n v="23.52"/>
        <n v="28.19"/>
        <n v="26.84"/>
        <n v="26.16"/>
        <n v="28.67"/>
        <n v="24.2"/>
        <n v="27.08"/>
        <n v="24.76"/>
        <n v="23.36"/>
        <n v="25.35"/>
        <n v="24.63"/>
        <n v="24.58"/>
        <n v="30.82"/>
        <n v="32.89"/>
        <n v="33.33"/>
        <n v="33.520000000000003"/>
        <n v="36.24"/>
        <n v="28.5"/>
        <n v="29.42"/>
        <n v="26.61"/>
        <n v="24.96"/>
        <n v="25.93"/>
        <n v="22.81"/>
        <n v="25.29"/>
        <n v="26.07"/>
        <n v="26.09"/>
        <n v="23.23"/>
        <n v="33.49"/>
        <n v="31.84"/>
        <n v="42.3"/>
        <n v="35.82"/>
        <n v="35.270000000000003"/>
        <n v="26.81"/>
        <n v="38.49"/>
        <n v="32.68"/>
        <n v="34.93"/>
        <n v="26.26"/>
        <n v="27.56"/>
        <n v="23.98"/>
        <n v="29.73"/>
        <n v="31.33"/>
        <n v="27.13"/>
        <n v="26.75"/>
        <n v="27.09"/>
        <n v="29.23"/>
        <n v="28.88"/>
        <n v="30.57"/>
        <n v="31.24"/>
        <n v="24.95"/>
        <n v="24.62"/>
        <n v="24.98"/>
        <n v="26.22"/>
        <n v="26.04"/>
        <n v="26.45"/>
        <n v="25.25"/>
        <n v="27.77"/>
        <n v="35.159999999999997"/>
        <n v="37.1"/>
        <n v="34.51"/>
        <n v="29.28"/>
        <n v="32.14"/>
        <n v="23.94"/>
        <n v="27.45"/>
        <n v="28.77"/>
        <n v="23.58"/>
        <n v="24.01"/>
        <n v="26.52"/>
        <n v="35.54"/>
        <n v="29.43"/>
        <n v="29.9"/>
        <n v="32.700000000000003"/>
        <n v="28.8"/>
        <n v="32.82"/>
        <n v="24.36"/>
        <n v="33.32"/>
        <n v="32.97"/>
        <n v="32.72"/>
        <n v="38.229999999999997"/>
        <n v="31.14"/>
        <n v="34.71"/>
        <n v="26.13"/>
        <n v="24.43"/>
        <n v="23.76"/>
        <n v="26.92"/>
        <n v="25.85"/>
        <n v="30.16"/>
        <n v="26.51"/>
        <n v="26.36"/>
        <n v="30.88"/>
        <n v="32.57"/>
        <n v="37.68"/>
        <n v="37.25"/>
        <n v="35.25"/>
        <n v="33.950000000000003"/>
        <n v="32.659999999999997"/>
        <n v="26.68"/>
        <n v="25.18"/>
        <n v="31.39"/>
        <n v="33.74"/>
        <n v="31.42"/>
        <n v="27.5"/>
        <n v="24.25"/>
        <n v="29.78"/>
        <n v="30"/>
        <n v="23.34"/>
        <n v="29.98"/>
        <n v="38.28"/>
        <n v="24.34"/>
        <n v="29.49"/>
        <n v="24.73"/>
        <n v="29.54"/>
        <n v="29.24"/>
        <n v="30.3"/>
        <n v="40.770000000000003"/>
        <n v="38.85"/>
        <n v="22.31"/>
        <n v="25.44"/>
        <n v="21.78"/>
        <n v="22.64"/>
        <n v="30.73"/>
        <n v="32.17"/>
        <n v="30.43"/>
        <n v="23.27"/>
        <n v="25.08"/>
        <n v="22.41"/>
        <n v="34.74"/>
        <n v="30.79"/>
        <n v="21.58"/>
        <n v="33.36"/>
        <n v="20.9"/>
        <n v="21.52"/>
        <n v="27.27"/>
        <n v="36.03"/>
        <n v="30.52"/>
        <n v="29.86"/>
        <n v="29.58"/>
        <n v="30.02"/>
        <n v="29.16"/>
        <n v="22.3"/>
        <n v="22.06"/>
        <n v="25.65"/>
        <n v="25.49"/>
        <n v="27.86"/>
        <n v="23.73"/>
        <n v="31.78"/>
        <n v="23.06"/>
        <n v="22.52"/>
        <n v="25.57"/>
        <n v="25.43"/>
        <n v="34.65"/>
        <n v="22.68"/>
        <n v="21.46"/>
        <n v="23.47"/>
        <n v="23.1"/>
        <n v="29.14"/>
        <n v="29.77"/>
        <n v="23.85"/>
        <n v="24.49"/>
        <n v="25.19"/>
        <n v="27.48"/>
        <n v="28.31"/>
        <n v="26.54"/>
        <n v="26.77"/>
        <n v="23.75"/>
        <n v="26.41"/>
        <n v="36.47"/>
        <n v="26.06"/>
        <n v="29.04"/>
        <n v="32.950000000000003"/>
        <n v="26.65"/>
        <n v="30.9"/>
        <n v="29.09"/>
        <n v="36.67"/>
        <n v="23.44"/>
        <n v="25.48"/>
        <n v="25.84"/>
        <n v="27.2"/>
        <n v="25.22"/>
        <n v="24.67"/>
        <n v="39.25"/>
        <n v="32.770000000000003"/>
        <n v="29.83"/>
        <n v="31.02"/>
        <n v="28.48"/>
        <n v="26"/>
        <n v="25.9"/>
        <n v="25.62"/>
        <n v="30.94"/>
        <n v="26.59"/>
        <n v="22.78"/>
        <n v="32.26"/>
        <n v="30.35"/>
        <n v="33.26"/>
        <n v="32.35"/>
        <n v="27.3"/>
        <n v="32.08"/>
        <n v="26.89"/>
        <n v="24.69"/>
        <n v="22.44"/>
        <n v="30.36"/>
        <n v="29.5"/>
        <n v="29.75"/>
        <n v="38.299999999999997"/>
        <n v="39.75"/>
        <n v="32.840000000000003"/>
        <n v="26.66"/>
        <n v="27.76"/>
        <n v="23.66"/>
        <n v="23.65"/>
        <n v="32.18"/>
        <n v="27.47"/>
        <n v="25.66"/>
        <n v="35.130000000000003"/>
        <n v="31.15"/>
        <n v="29.6"/>
        <n v="30.14"/>
        <n v="24.53"/>
        <n v="26.28"/>
        <n v="24.06"/>
        <n v="35.880000000000003"/>
        <n v="30.42"/>
        <n v="30.09"/>
        <n v="26.5"/>
        <n v="32.43"/>
        <n v="37.159999999999997"/>
        <n v="27.01"/>
        <n v="30.23"/>
        <n v="26.03"/>
        <n v="28.23"/>
        <n v="25.21"/>
        <n v="25.45"/>
        <n v="26.24"/>
        <n v="30.15"/>
        <n v="29.8"/>
        <n v="33.409999999999997"/>
        <n v="29.44"/>
        <n v="27.14"/>
        <n v="26.21"/>
        <n v="24.08"/>
        <n v="23.96"/>
        <n v="29.56"/>
        <n v="26.42"/>
        <n v="25.23"/>
        <n v="23.87"/>
        <n v="25.79"/>
        <n v="31.47"/>
        <n v="22.61"/>
        <n v="24.85"/>
        <n v="26.67"/>
        <n v="37.43"/>
        <n v="29.31"/>
        <n v="29.85"/>
        <n v="27.93"/>
        <n v="31.62"/>
        <n v="30.55"/>
        <n v="24.77"/>
        <n v="27.97"/>
        <n v="27.85"/>
        <n v="23.26"/>
        <n v="25.38"/>
        <n v="23.35"/>
        <n v="26.49"/>
        <n v="24"/>
        <n v="24.16"/>
        <n v="28.1"/>
        <n v="28.58"/>
        <n v="32.270000000000003"/>
        <n v="23.03"/>
        <n v="30.25"/>
        <n v="30.67"/>
        <n v="27.73"/>
        <n v="25.94"/>
        <n v="31.56"/>
        <n v="34.85"/>
        <n v="23.14"/>
        <n v="28.99"/>
        <n v="25.02"/>
        <n v="27.03"/>
        <n v="25.15"/>
        <n v="27.12"/>
        <n v="31.63"/>
        <n v="32.619999999999997"/>
        <n v="39.79"/>
        <n v="34.47"/>
        <n v="25.31"/>
        <n v="27.1"/>
        <n v="24.35"/>
        <n v="28.24"/>
        <n v="26.53"/>
        <n v="25.64"/>
        <n v="25.83"/>
        <n v="38.06"/>
        <n v="36.380000000000003"/>
        <n v="25.27"/>
        <n v="35.5"/>
        <n v="24.11"/>
        <n v="31.48"/>
        <n v="27.23"/>
        <n v="24.07"/>
        <n v="28.68"/>
        <n v="31.85"/>
        <n v="31.68"/>
        <n v="34.229999999999997"/>
        <n v="32.01"/>
        <n v="25.41"/>
        <n v="24.5"/>
        <n v="24.38"/>
        <n v="26.97"/>
        <n v="28.53"/>
        <n v="26.48"/>
        <n v="26.93"/>
        <n v="29.55"/>
        <n v="29.71"/>
        <n v="33.57"/>
        <n v="28.21"/>
        <n v="27.54"/>
        <n v="26.05"/>
        <n v="24.82"/>
        <n v="29.22"/>
        <n v="23.49"/>
        <n v="24.51"/>
        <n v="33.229999999999997"/>
        <n v="31.04"/>
        <n v="32.020000000000003"/>
        <n v="31.44"/>
        <n v="43.47"/>
        <n v="28.38"/>
        <n v="27.81"/>
        <n v="24.57"/>
        <n v="27.07"/>
        <n v="27.6"/>
        <n v="28.63"/>
        <n v="26.33"/>
        <n v="22.85"/>
        <n v="23.19"/>
        <n v="33.979999999999997"/>
        <n v="28.26"/>
        <n v="29.12"/>
        <n v="26.18"/>
        <n v="28.03"/>
        <n v="23.08"/>
        <n v="26.63"/>
        <n v="23.01"/>
        <n v="24.66"/>
        <n v="28.7"/>
        <n v="24.65"/>
        <n v="25.55"/>
        <n v="22.27"/>
        <n v="22.14"/>
        <n v="31.45"/>
        <n v="32.03"/>
        <n v="37.21"/>
        <n v="25.67"/>
        <n v="30.04"/>
        <n v="32.520000000000003"/>
        <n v="24.15"/>
        <n v="26.86"/>
        <n v="27.31"/>
        <n v="40.68"/>
        <n v="37.270000000000003"/>
        <n v="25.78"/>
        <n v="30.98"/>
        <n v="28.41"/>
        <n v="30.01"/>
        <n v="31.57"/>
        <n v="28.81"/>
        <n v="26.47"/>
        <n v="30.5"/>
        <n v="23.74"/>
        <n v="26.73"/>
        <n v="27.16"/>
        <n v="25.74"/>
        <n v="39.85"/>
        <n v="28.62"/>
        <n v="23.9"/>
        <n v="33.53"/>
        <n v="33.03"/>
        <n v="31.35"/>
        <n v="22.39"/>
        <n v="27.22"/>
        <n v="27.49"/>
        <n v="27.53"/>
        <n v="27.69"/>
        <n v="25.69"/>
        <n v="28.11"/>
        <n v="31.21"/>
        <n v="30.8"/>
        <n v="30.21"/>
        <n v="28.06"/>
        <n v="26.14"/>
        <n v="25.5"/>
        <n v="24.24"/>
        <n v="23.32"/>
        <n v="34.19"/>
        <n v="36.78"/>
        <n v="34.880000000000003"/>
        <n v="31"/>
        <n v="48.52"/>
        <n v="34.68"/>
        <n v="37.380000000000003"/>
        <n v="24.33"/>
        <n v="37.299999999999997"/>
        <n v="23.72"/>
        <n v="24.19"/>
        <n v="25.7"/>
        <n v="29.06"/>
        <n v="33.479999999999997"/>
        <n v="34.299999999999997"/>
        <n v="40.659999999999997"/>
        <n v="21.9"/>
        <n v="27.39"/>
        <n v="35.35"/>
        <n v="40.93"/>
        <n v="33.67"/>
        <n v="37.39"/>
        <n v="25.54"/>
        <n v="25.81"/>
        <n v="22.53"/>
        <n v="22.86"/>
        <n v="30.03"/>
        <n v="27.38"/>
        <n v="30.51"/>
        <n v="28.3"/>
        <n v="29.84"/>
        <n v="33.6"/>
        <n v="35.6"/>
        <n v="37.880000000000003"/>
        <n v="24.42"/>
        <n v="31.05"/>
        <n v="35.549999999999997"/>
        <n v="41.21"/>
        <n v="28.92"/>
        <n v="30.06"/>
        <n v="31.51"/>
        <n v="38.11"/>
        <n v="27.44"/>
        <n v="28.9"/>
        <n v="40.53"/>
        <n v="30.18"/>
        <n v="33.75"/>
        <n v="24.47"/>
        <n v="28.54"/>
        <n v="27.32"/>
        <n v="35.119999999999997"/>
        <n v="24.04"/>
        <n v="36.39"/>
        <n v="38.979999999999997"/>
        <n v="34.39"/>
        <n v="33.15"/>
        <n v="29.35"/>
        <n v="22.43"/>
        <n v="24.89"/>
        <n v="26.17"/>
        <n v="39.49"/>
        <n v="34.08"/>
        <n v="32.69"/>
        <n v="22.59"/>
        <n v="37.04"/>
        <n v="22.7"/>
        <n v="25.6"/>
        <n v="26.72"/>
        <n v="33.9"/>
        <n v="36.130000000000003"/>
        <n v="31.49"/>
        <n v="34.07"/>
        <n v="27.28"/>
        <n v="30.96"/>
        <n v="24.18"/>
        <n v="27.52"/>
        <n v="27.78"/>
        <n v="26.25"/>
        <n v="30.39"/>
        <n v="23.18"/>
        <n v="31.72"/>
        <n v="44.28"/>
        <n v="36.909999999999997"/>
        <n v="29.27"/>
        <n v="34.869999999999997"/>
        <n v="39.28"/>
        <n v="28.56"/>
        <n v="27.82"/>
        <n v="22.11"/>
        <n v="27.71"/>
        <n v="30.48"/>
        <n v="24.46"/>
        <n v="34.729999999999997"/>
        <n v="36.53"/>
        <n v="27.17"/>
        <n v="26.9"/>
        <n v="32.61"/>
        <n v="33.869999999999997"/>
        <n v="27.36"/>
        <n v="25.72"/>
        <n v="32.159999999999997"/>
        <n v="38.43"/>
        <n v="31.81"/>
        <n v="29.17"/>
        <n v="29.13"/>
        <n v="26.01"/>
        <n v="24.81"/>
        <n v="28.79"/>
        <n v="33.85"/>
        <n v="28.12"/>
        <n v="32.869999999999997"/>
        <n v="31.2"/>
        <n v="34.14"/>
        <n v="36.11"/>
        <n v="26.31"/>
        <n v="40.880000000000003"/>
        <n v="31.41"/>
        <n v="30.84"/>
        <n v="39.380000000000003"/>
        <n v="26.19"/>
        <n v="28.59"/>
        <n v="27.21"/>
        <n v="24.87"/>
        <n v="30.26"/>
        <n v="22.34"/>
        <n v="26.2"/>
        <n v="28.45"/>
        <n v="27.63"/>
        <n v="28.94"/>
        <n v="26.8"/>
        <n v="22.42"/>
        <n v="27.26"/>
        <n v="28.16"/>
        <n v="25.24"/>
        <n v="29.05"/>
        <n v="29.08"/>
        <n v="25.4"/>
        <n v="22.73"/>
        <n v="26.43"/>
        <n v="30.22"/>
        <n v="32.299999999999997"/>
        <n v="28.42"/>
        <n v="25.86"/>
        <n v="25.91"/>
        <n v="25.95"/>
        <n v="29.19"/>
        <n v="28.44"/>
        <n v="28.29"/>
        <n v="29.45"/>
        <n v="25.34"/>
        <n v="24.68"/>
        <n v="24.64"/>
        <n v="28.84"/>
        <n v="24.45"/>
        <n v="28.32"/>
        <n v="32.340000000000003"/>
        <n v="34.97"/>
        <n v="32.04"/>
        <n v="28.49"/>
        <n v="28.08"/>
        <n v="37.340000000000003"/>
        <n v="35.49"/>
        <n v="28.91"/>
        <n v="32.729999999999997"/>
        <n v="35.72"/>
        <n v="42.6"/>
        <n v="21.85"/>
        <n v="24.28"/>
        <n v="32.56"/>
        <n v="26.39"/>
        <n v="34.520000000000003"/>
        <n v="34.32"/>
        <n v="26.98"/>
        <n v="28.86"/>
        <n v="25.3"/>
        <n v="27.06"/>
        <n v="25.53"/>
        <n v="32.11"/>
        <n v="31.91"/>
        <n v="34.44"/>
        <n v="36.68"/>
        <n v="37.659999999999997"/>
        <n v="29.11"/>
        <n v="25.82"/>
        <n v="33.99"/>
        <n v="38.31"/>
        <n v="34.479999999999997"/>
        <n v="36.880000000000003"/>
        <n v="31.58"/>
        <n v="28.89"/>
        <n v="25.73"/>
        <n v="31.01"/>
        <n v="27.92"/>
      </sharedItems>
    </cacheField>
    <cacheField name="PosCategory" numFmtId="0">
      <sharedItems count="4">
        <s v="Catcher"/>
        <s v="Infielder"/>
        <s v="Outfielder"/>
        <s v="Pitcher"/>
      </sharedItems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72999419953015E+16" maxValue="1.844611001082629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15">
  <r>
    <b v="0"/>
    <x v="0"/>
    <x v="0"/>
    <x v="0"/>
    <x v="0"/>
    <x v="0"/>
    <x v="0"/>
    <x v="0"/>
    <n v="0"/>
    <n v="5.74150908949256E+17"/>
  </r>
  <r>
    <b v="0"/>
    <x v="1"/>
    <x v="0"/>
    <x v="0"/>
    <x v="0"/>
    <x v="1"/>
    <x v="1"/>
    <x v="0"/>
    <n v="0"/>
    <n v="7.4015994310922998E+18"/>
  </r>
  <r>
    <b v="0"/>
    <x v="2"/>
    <x v="0"/>
    <x v="0"/>
    <x v="1"/>
    <x v="2"/>
    <x v="2"/>
    <x v="0"/>
    <n v="0"/>
    <n v="7.26895125775373E+18"/>
  </r>
  <r>
    <b v="0"/>
    <x v="3"/>
    <x v="0"/>
    <x v="1"/>
    <x v="1"/>
    <x v="2"/>
    <x v="3"/>
    <x v="1"/>
    <n v="0"/>
    <n v="4.66450228946671E+18"/>
  </r>
  <r>
    <b v="0"/>
    <x v="4"/>
    <x v="0"/>
    <x v="1"/>
    <x v="2"/>
    <x v="3"/>
    <x v="4"/>
    <x v="1"/>
    <n v="0"/>
    <n v="3.5957060746077798E+18"/>
  </r>
  <r>
    <b v="0"/>
    <x v="5"/>
    <x v="0"/>
    <x v="2"/>
    <x v="3"/>
    <x v="4"/>
    <x v="5"/>
    <x v="1"/>
    <n v="0"/>
    <n v="1.35317808760051E+19"/>
  </r>
  <r>
    <b v="0"/>
    <x v="6"/>
    <x v="0"/>
    <x v="3"/>
    <x v="3"/>
    <x v="5"/>
    <x v="6"/>
    <x v="1"/>
    <n v="0"/>
    <n v="3.3620760473245901E+18"/>
  </r>
  <r>
    <b v="0"/>
    <x v="7"/>
    <x v="0"/>
    <x v="4"/>
    <x v="4"/>
    <x v="6"/>
    <x v="7"/>
    <x v="1"/>
    <n v="0"/>
    <n v="1.22652201772015E+19"/>
  </r>
  <r>
    <b v="0"/>
    <x v="8"/>
    <x v="0"/>
    <x v="4"/>
    <x v="5"/>
    <x v="7"/>
    <x v="8"/>
    <x v="1"/>
    <n v="0"/>
    <n v="3.2875448276330102E+18"/>
  </r>
  <r>
    <b v="0"/>
    <x v="9"/>
    <x v="0"/>
    <x v="5"/>
    <x v="4"/>
    <x v="0"/>
    <x v="9"/>
    <x v="2"/>
    <n v="0"/>
    <n v="1.79528373498554E+19"/>
  </r>
  <r>
    <b v="0"/>
    <x v="10"/>
    <x v="0"/>
    <x v="5"/>
    <x v="2"/>
    <x v="3"/>
    <x v="10"/>
    <x v="2"/>
    <n v="0"/>
    <n v="5.3232258717376502E+18"/>
  </r>
  <r>
    <b v="0"/>
    <x v="11"/>
    <x v="0"/>
    <x v="5"/>
    <x v="2"/>
    <x v="0"/>
    <x v="11"/>
    <x v="2"/>
    <n v="0"/>
    <n v="8.7052753781683702E+18"/>
  </r>
  <r>
    <b v="0"/>
    <x v="12"/>
    <x v="0"/>
    <x v="5"/>
    <x v="0"/>
    <x v="8"/>
    <x v="12"/>
    <x v="2"/>
    <n v="0"/>
    <n v="7.3687776168601303E+18"/>
  </r>
  <r>
    <b v="0"/>
    <x v="13"/>
    <x v="0"/>
    <x v="5"/>
    <x v="0"/>
    <x v="9"/>
    <x v="13"/>
    <x v="2"/>
    <n v="0"/>
    <n v="1.1571893473622401E+19"/>
  </r>
  <r>
    <b v="0"/>
    <x v="14"/>
    <x v="0"/>
    <x v="5"/>
    <x v="3"/>
    <x v="0"/>
    <x v="14"/>
    <x v="2"/>
    <n v="0"/>
    <n v="9.630653462887639E+18"/>
  </r>
  <r>
    <b v="0"/>
    <x v="15"/>
    <x v="0"/>
    <x v="5"/>
    <x v="6"/>
    <x v="8"/>
    <x v="15"/>
    <x v="2"/>
    <n v="0"/>
    <n v="1.4184766433501699E+17"/>
  </r>
  <r>
    <b v="0"/>
    <x v="16"/>
    <x v="0"/>
    <x v="6"/>
    <x v="2"/>
    <x v="10"/>
    <x v="16"/>
    <x v="3"/>
    <n v="0"/>
    <n v="8.1632594974538394E+17"/>
  </r>
  <r>
    <b v="0"/>
    <x v="17"/>
    <x v="0"/>
    <x v="6"/>
    <x v="7"/>
    <x v="8"/>
    <x v="17"/>
    <x v="3"/>
    <n v="0"/>
    <n v="1.7767647784768899E+19"/>
  </r>
  <r>
    <b v="0"/>
    <x v="18"/>
    <x v="0"/>
    <x v="6"/>
    <x v="8"/>
    <x v="11"/>
    <x v="18"/>
    <x v="3"/>
    <n v="0"/>
    <n v="1.9871209874376602E+17"/>
  </r>
  <r>
    <b v="0"/>
    <x v="19"/>
    <x v="0"/>
    <x v="6"/>
    <x v="9"/>
    <x v="12"/>
    <x v="19"/>
    <x v="3"/>
    <n v="0"/>
    <n v="9.2017466962658601E+18"/>
  </r>
  <r>
    <b v="0"/>
    <x v="20"/>
    <x v="0"/>
    <x v="6"/>
    <x v="5"/>
    <x v="13"/>
    <x v="20"/>
    <x v="3"/>
    <n v="0"/>
    <n v="2.2443794327680099E+17"/>
  </r>
  <r>
    <b v="0"/>
    <x v="21"/>
    <x v="0"/>
    <x v="6"/>
    <x v="0"/>
    <x v="12"/>
    <x v="21"/>
    <x v="3"/>
    <n v="0"/>
    <n v="2.02536013184382E+18"/>
  </r>
  <r>
    <b v="0"/>
    <x v="22"/>
    <x v="0"/>
    <x v="6"/>
    <x v="5"/>
    <x v="14"/>
    <x v="22"/>
    <x v="3"/>
    <n v="0"/>
    <n v="6.7541163635015004E+18"/>
  </r>
  <r>
    <b v="0"/>
    <x v="23"/>
    <x v="0"/>
    <x v="7"/>
    <x v="1"/>
    <x v="0"/>
    <x v="23"/>
    <x v="3"/>
    <n v="0"/>
    <n v="3.3616959546103398E+18"/>
  </r>
  <r>
    <b v="0"/>
    <x v="24"/>
    <x v="0"/>
    <x v="7"/>
    <x v="4"/>
    <x v="15"/>
    <x v="24"/>
    <x v="3"/>
    <n v="0"/>
    <n v="1.45020736856018E+19"/>
  </r>
  <r>
    <b v="0"/>
    <x v="25"/>
    <x v="0"/>
    <x v="7"/>
    <x v="7"/>
    <x v="16"/>
    <x v="25"/>
    <x v="3"/>
    <n v="0"/>
    <n v="1.55399534353698E+19"/>
  </r>
  <r>
    <b v="0"/>
    <x v="26"/>
    <x v="0"/>
    <x v="7"/>
    <x v="10"/>
    <x v="17"/>
    <x v="26"/>
    <x v="3"/>
    <n v="0"/>
    <n v="1.8354127470180301E+19"/>
  </r>
  <r>
    <b v="0"/>
    <x v="27"/>
    <x v="0"/>
    <x v="7"/>
    <x v="0"/>
    <x v="14"/>
    <x v="27"/>
    <x v="3"/>
    <n v="0"/>
    <n v="1.55966649286022E+19"/>
  </r>
  <r>
    <b v="0"/>
    <x v="28"/>
    <x v="0"/>
    <x v="7"/>
    <x v="2"/>
    <x v="18"/>
    <x v="28"/>
    <x v="3"/>
    <n v="0"/>
    <n v="2.6818451505994102E+18"/>
  </r>
  <r>
    <b v="0"/>
    <x v="29"/>
    <x v="0"/>
    <x v="7"/>
    <x v="0"/>
    <x v="3"/>
    <x v="29"/>
    <x v="3"/>
    <n v="0"/>
    <n v="1.7203357977457799E+19"/>
  </r>
  <r>
    <b v="0"/>
    <x v="30"/>
    <x v="0"/>
    <x v="7"/>
    <x v="8"/>
    <x v="6"/>
    <x v="30"/>
    <x v="3"/>
    <n v="0"/>
    <n v="5.4402367291834798E+18"/>
  </r>
  <r>
    <b v="0"/>
    <x v="31"/>
    <x v="0"/>
    <x v="7"/>
    <x v="2"/>
    <x v="0"/>
    <x v="31"/>
    <x v="3"/>
    <n v="0"/>
    <n v="1.7058630343680801E+19"/>
  </r>
  <r>
    <b v="0"/>
    <x v="32"/>
    <x v="0"/>
    <x v="7"/>
    <x v="7"/>
    <x v="6"/>
    <x v="32"/>
    <x v="3"/>
    <n v="0"/>
    <n v="1.83080190700429E+19"/>
  </r>
  <r>
    <b v="0"/>
    <x v="33"/>
    <x v="0"/>
    <x v="7"/>
    <x v="2"/>
    <x v="6"/>
    <x v="33"/>
    <x v="3"/>
    <n v="0"/>
    <n v="1.0176423679008299E+19"/>
  </r>
  <r>
    <b v="0"/>
    <x v="34"/>
    <x v="1"/>
    <x v="0"/>
    <x v="7"/>
    <x v="19"/>
    <x v="34"/>
    <x v="0"/>
    <n v="0"/>
    <n v="3.8074694971909202E+18"/>
  </r>
  <r>
    <b v="0"/>
    <x v="35"/>
    <x v="1"/>
    <x v="0"/>
    <x v="7"/>
    <x v="20"/>
    <x v="35"/>
    <x v="0"/>
    <n v="0"/>
    <n v="1.41738247139153E+19"/>
  </r>
  <r>
    <b v="0"/>
    <x v="36"/>
    <x v="1"/>
    <x v="1"/>
    <x v="0"/>
    <x v="1"/>
    <x v="36"/>
    <x v="1"/>
    <n v="0"/>
    <n v="9.6032201632345805E+18"/>
  </r>
  <r>
    <b v="0"/>
    <x v="37"/>
    <x v="1"/>
    <x v="2"/>
    <x v="3"/>
    <x v="8"/>
    <x v="37"/>
    <x v="1"/>
    <n v="0"/>
    <n v="8.0884168043716301E+18"/>
  </r>
  <r>
    <b v="0"/>
    <x v="38"/>
    <x v="1"/>
    <x v="3"/>
    <x v="4"/>
    <x v="21"/>
    <x v="38"/>
    <x v="1"/>
    <n v="0"/>
    <n v="6.5558955694410304E+16"/>
  </r>
  <r>
    <b v="0"/>
    <x v="39"/>
    <x v="1"/>
    <x v="3"/>
    <x v="0"/>
    <x v="22"/>
    <x v="39"/>
    <x v="1"/>
    <n v="0"/>
    <n v="1.32439514012687E+18"/>
  </r>
  <r>
    <b v="0"/>
    <x v="40"/>
    <x v="1"/>
    <x v="4"/>
    <x v="2"/>
    <x v="6"/>
    <x v="40"/>
    <x v="1"/>
    <n v="0"/>
    <n v="5.0263019253176801E+18"/>
  </r>
  <r>
    <b v="0"/>
    <x v="41"/>
    <x v="1"/>
    <x v="4"/>
    <x v="2"/>
    <x v="1"/>
    <x v="41"/>
    <x v="1"/>
    <n v="0"/>
    <n v="2.4397240733515402E+18"/>
  </r>
  <r>
    <b v="0"/>
    <x v="42"/>
    <x v="1"/>
    <x v="5"/>
    <x v="5"/>
    <x v="6"/>
    <x v="42"/>
    <x v="2"/>
    <n v="0"/>
    <n v="6.7847748986027397E+18"/>
  </r>
  <r>
    <b v="0"/>
    <x v="43"/>
    <x v="1"/>
    <x v="5"/>
    <x v="0"/>
    <x v="13"/>
    <x v="43"/>
    <x v="2"/>
    <n v="0"/>
    <n v="1.21731470991208E+19"/>
  </r>
  <r>
    <b v="0"/>
    <x v="44"/>
    <x v="1"/>
    <x v="5"/>
    <x v="0"/>
    <x v="23"/>
    <x v="44"/>
    <x v="2"/>
    <n v="0"/>
    <n v="1.31924134779655E+19"/>
  </r>
  <r>
    <b v="0"/>
    <x v="45"/>
    <x v="1"/>
    <x v="5"/>
    <x v="6"/>
    <x v="24"/>
    <x v="45"/>
    <x v="2"/>
    <n v="0"/>
    <n v="9.9198212179910106E+17"/>
  </r>
  <r>
    <b v="0"/>
    <x v="46"/>
    <x v="1"/>
    <x v="5"/>
    <x v="1"/>
    <x v="3"/>
    <x v="46"/>
    <x v="2"/>
    <n v="0"/>
    <n v="2.28182048494894E+18"/>
  </r>
  <r>
    <b v="0"/>
    <x v="47"/>
    <x v="1"/>
    <x v="5"/>
    <x v="10"/>
    <x v="25"/>
    <x v="47"/>
    <x v="2"/>
    <n v="0"/>
    <n v="2.3788639019155098E+18"/>
  </r>
  <r>
    <b v="0"/>
    <x v="48"/>
    <x v="1"/>
    <x v="5"/>
    <x v="0"/>
    <x v="2"/>
    <x v="48"/>
    <x v="2"/>
    <n v="0"/>
    <n v="1.31838650779287E+19"/>
  </r>
  <r>
    <b v="0"/>
    <x v="49"/>
    <x v="1"/>
    <x v="5"/>
    <x v="6"/>
    <x v="14"/>
    <x v="49"/>
    <x v="2"/>
    <n v="0"/>
    <n v="1.2192705468523E+19"/>
  </r>
  <r>
    <b v="0"/>
    <x v="50"/>
    <x v="1"/>
    <x v="6"/>
    <x v="2"/>
    <x v="6"/>
    <x v="50"/>
    <x v="3"/>
    <n v="0"/>
    <n v="1.32145933654452E+19"/>
  </r>
  <r>
    <b v="0"/>
    <x v="51"/>
    <x v="1"/>
    <x v="6"/>
    <x v="7"/>
    <x v="6"/>
    <x v="51"/>
    <x v="3"/>
    <n v="0"/>
    <n v="1.2967734266989099E+19"/>
  </r>
  <r>
    <b v="0"/>
    <x v="52"/>
    <x v="1"/>
    <x v="6"/>
    <x v="5"/>
    <x v="26"/>
    <x v="52"/>
    <x v="3"/>
    <n v="0"/>
    <n v="1.09065757004882E+19"/>
  </r>
  <r>
    <b v="0"/>
    <x v="53"/>
    <x v="1"/>
    <x v="6"/>
    <x v="5"/>
    <x v="27"/>
    <x v="53"/>
    <x v="3"/>
    <n v="0"/>
    <n v="1.24809855869574E+19"/>
  </r>
  <r>
    <b v="0"/>
    <x v="54"/>
    <x v="1"/>
    <x v="6"/>
    <x v="8"/>
    <x v="2"/>
    <x v="54"/>
    <x v="3"/>
    <n v="0"/>
    <n v="9.8462901792204403E+17"/>
  </r>
  <r>
    <b v="0"/>
    <x v="55"/>
    <x v="1"/>
    <x v="6"/>
    <x v="0"/>
    <x v="13"/>
    <x v="55"/>
    <x v="3"/>
    <n v="0"/>
    <n v="8.1139280710584197E+18"/>
  </r>
  <r>
    <b v="0"/>
    <x v="56"/>
    <x v="1"/>
    <x v="6"/>
    <x v="0"/>
    <x v="25"/>
    <x v="56"/>
    <x v="3"/>
    <n v="0"/>
    <n v="4.0629357270023798E+18"/>
  </r>
  <r>
    <b v="0"/>
    <x v="57"/>
    <x v="1"/>
    <x v="7"/>
    <x v="5"/>
    <x v="14"/>
    <x v="57"/>
    <x v="3"/>
    <n v="0"/>
    <n v="1.2227973571588999E+19"/>
  </r>
  <r>
    <b v="0"/>
    <x v="58"/>
    <x v="1"/>
    <x v="7"/>
    <x v="10"/>
    <x v="6"/>
    <x v="58"/>
    <x v="3"/>
    <n v="0"/>
    <n v="3.9945664201917599E+18"/>
  </r>
  <r>
    <b v="0"/>
    <x v="59"/>
    <x v="1"/>
    <x v="7"/>
    <x v="11"/>
    <x v="28"/>
    <x v="59"/>
    <x v="3"/>
    <n v="0"/>
    <n v="9.8346748762436895E+18"/>
  </r>
  <r>
    <b v="0"/>
    <x v="60"/>
    <x v="1"/>
    <x v="7"/>
    <x v="8"/>
    <x v="29"/>
    <x v="60"/>
    <x v="3"/>
    <n v="0"/>
    <n v="1.41714320375155E+19"/>
  </r>
  <r>
    <b v="0"/>
    <x v="61"/>
    <x v="1"/>
    <x v="7"/>
    <x v="7"/>
    <x v="30"/>
    <x v="61"/>
    <x v="3"/>
    <n v="0"/>
    <n v="7.5317868317106196E+18"/>
  </r>
  <r>
    <b v="0"/>
    <x v="62"/>
    <x v="1"/>
    <x v="7"/>
    <x v="10"/>
    <x v="6"/>
    <x v="62"/>
    <x v="3"/>
    <n v="0"/>
    <n v="1.4490681816E+19"/>
  </r>
  <r>
    <b v="0"/>
    <x v="63"/>
    <x v="1"/>
    <x v="7"/>
    <x v="7"/>
    <x v="2"/>
    <x v="63"/>
    <x v="3"/>
    <n v="0"/>
    <n v="1.0669470741649101E+19"/>
  </r>
  <r>
    <b v="0"/>
    <x v="64"/>
    <x v="1"/>
    <x v="7"/>
    <x v="5"/>
    <x v="31"/>
    <x v="64"/>
    <x v="3"/>
    <n v="0"/>
    <n v="9.4444687340699791E+18"/>
  </r>
  <r>
    <b v="0"/>
    <x v="65"/>
    <x v="2"/>
    <x v="0"/>
    <x v="0"/>
    <x v="25"/>
    <x v="65"/>
    <x v="0"/>
    <n v="0"/>
    <n v="1.4631405423030399E+19"/>
  </r>
  <r>
    <b v="0"/>
    <x v="66"/>
    <x v="2"/>
    <x v="0"/>
    <x v="1"/>
    <x v="0"/>
    <x v="66"/>
    <x v="0"/>
    <n v="0"/>
    <n v="1.65240834569286E+19"/>
  </r>
  <r>
    <b v="0"/>
    <x v="67"/>
    <x v="2"/>
    <x v="0"/>
    <x v="1"/>
    <x v="13"/>
    <x v="67"/>
    <x v="0"/>
    <n v="0"/>
    <n v="3.4422065489215601E+18"/>
  </r>
  <r>
    <b v="0"/>
    <x v="68"/>
    <x v="2"/>
    <x v="1"/>
    <x v="7"/>
    <x v="2"/>
    <x v="68"/>
    <x v="1"/>
    <n v="0"/>
    <n v="1.76358140663884E+19"/>
  </r>
  <r>
    <b v="0"/>
    <x v="69"/>
    <x v="2"/>
    <x v="1"/>
    <x v="2"/>
    <x v="25"/>
    <x v="69"/>
    <x v="1"/>
    <n v="0"/>
    <n v="9.1761129201498604E+18"/>
  </r>
  <r>
    <b v="0"/>
    <x v="70"/>
    <x v="2"/>
    <x v="1"/>
    <x v="2"/>
    <x v="32"/>
    <x v="70"/>
    <x v="1"/>
    <n v="0"/>
    <n v="3.6710751323021901E+18"/>
  </r>
  <r>
    <b v="0"/>
    <x v="71"/>
    <x v="2"/>
    <x v="1"/>
    <x v="2"/>
    <x v="6"/>
    <x v="71"/>
    <x v="1"/>
    <n v="0"/>
    <n v="4.7965583793915802E+18"/>
  </r>
  <r>
    <b v="0"/>
    <x v="72"/>
    <x v="2"/>
    <x v="1"/>
    <x v="6"/>
    <x v="0"/>
    <x v="72"/>
    <x v="1"/>
    <n v="0"/>
    <n v="1.4098824687282201E+19"/>
  </r>
  <r>
    <b v="0"/>
    <x v="73"/>
    <x v="2"/>
    <x v="3"/>
    <x v="6"/>
    <x v="31"/>
    <x v="73"/>
    <x v="1"/>
    <n v="0"/>
    <n v="2.6023263205849001E+18"/>
  </r>
  <r>
    <b v="0"/>
    <x v="74"/>
    <x v="2"/>
    <x v="3"/>
    <x v="6"/>
    <x v="33"/>
    <x v="74"/>
    <x v="1"/>
    <n v="0"/>
    <n v="1.7531700331942601E+19"/>
  </r>
  <r>
    <b v="0"/>
    <x v="75"/>
    <x v="2"/>
    <x v="4"/>
    <x v="5"/>
    <x v="12"/>
    <x v="75"/>
    <x v="1"/>
    <n v="0"/>
    <n v="6.2574268264015401E+18"/>
  </r>
  <r>
    <b v="0"/>
    <x v="76"/>
    <x v="2"/>
    <x v="4"/>
    <x v="12"/>
    <x v="34"/>
    <x v="76"/>
    <x v="1"/>
    <n v="0"/>
    <n v="1.1506117223550099E+19"/>
  </r>
  <r>
    <b v="0"/>
    <x v="77"/>
    <x v="2"/>
    <x v="5"/>
    <x v="4"/>
    <x v="8"/>
    <x v="77"/>
    <x v="2"/>
    <n v="0"/>
    <n v="1.44288332094144E+19"/>
  </r>
  <r>
    <b v="0"/>
    <x v="78"/>
    <x v="2"/>
    <x v="5"/>
    <x v="1"/>
    <x v="8"/>
    <x v="78"/>
    <x v="2"/>
    <n v="0"/>
    <n v="1.66198294467026E+19"/>
  </r>
  <r>
    <b v="0"/>
    <x v="79"/>
    <x v="2"/>
    <x v="5"/>
    <x v="7"/>
    <x v="6"/>
    <x v="79"/>
    <x v="2"/>
    <n v="0"/>
    <n v="1.7550148571867501E+19"/>
  </r>
  <r>
    <b v="0"/>
    <x v="80"/>
    <x v="2"/>
    <x v="5"/>
    <x v="7"/>
    <x v="16"/>
    <x v="45"/>
    <x v="2"/>
    <n v="0"/>
    <n v="1.2920924599993E+19"/>
  </r>
  <r>
    <b v="0"/>
    <x v="81"/>
    <x v="2"/>
    <x v="5"/>
    <x v="7"/>
    <x v="16"/>
    <x v="80"/>
    <x v="2"/>
    <n v="0"/>
    <n v="8.4700903148742799E+18"/>
  </r>
  <r>
    <b v="0"/>
    <x v="82"/>
    <x v="2"/>
    <x v="5"/>
    <x v="7"/>
    <x v="25"/>
    <x v="81"/>
    <x v="2"/>
    <n v="0"/>
    <n v="1.5427627524113299E+19"/>
  </r>
  <r>
    <b v="0"/>
    <x v="83"/>
    <x v="2"/>
    <x v="5"/>
    <x v="12"/>
    <x v="9"/>
    <x v="82"/>
    <x v="2"/>
    <n v="0"/>
    <n v="1.4001857280674299E+18"/>
  </r>
  <r>
    <b v="0"/>
    <x v="84"/>
    <x v="2"/>
    <x v="5"/>
    <x v="0"/>
    <x v="13"/>
    <x v="83"/>
    <x v="2"/>
    <n v="0"/>
    <n v="1.3087976935711601E+19"/>
  </r>
  <r>
    <b v="0"/>
    <x v="85"/>
    <x v="2"/>
    <x v="6"/>
    <x v="8"/>
    <x v="35"/>
    <x v="84"/>
    <x v="3"/>
    <n v="0"/>
    <n v="3.7970819405016003E+18"/>
  </r>
  <r>
    <b v="0"/>
    <x v="86"/>
    <x v="2"/>
    <x v="6"/>
    <x v="4"/>
    <x v="36"/>
    <x v="85"/>
    <x v="3"/>
    <n v="0"/>
    <n v="1.83028932915982E+18"/>
  </r>
  <r>
    <b v="0"/>
    <x v="87"/>
    <x v="2"/>
    <x v="6"/>
    <x v="2"/>
    <x v="2"/>
    <x v="86"/>
    <x v="3"/>
    <n v="0"/>
    <n v="1.7079360877729901E+19"/>
  </r>
  <r>
    <b v="0"/>
    <x v="88"/>
    <x v="2"/>
    <x v="6"/>
    <x v="5"/>
    <x v="31"/>
    <x v="87"/>
    <x v="3"/>
    <n v="0"/>
    <n v="7.53651556975536E+17"/>
  </r>
  <r>
    <b v="0"/>
    <x v="89"/>
    <x v="2"/>
    <x v="6"/>
    <x v="0"/>
    <x v="9"/>
    <x v="88"/>
    <x v="3"/>
    <n v="0"/>
    <n v="1.16850319057088E+19"/>
  </r>
  <r>
    <b v="0"/>
    <x v="90"/>
    <x v="2"/>
    <x v="6"/>
    <x v="0"/>
    <x v="6"/>
    <x v="89"/>
    <x v="3"/>
    <n v="0"/>
    <n v="1.07936723352846E+18"/>
  </r>
  <r>
    <b v="0"/>
    <x v="91"/>
    <x v="2"/>
    <x v="6"/>
    <x v="9"/>
    <x v="13"/>
    <x v="90"/>
    <x v="3"/>
    <n v="0"/>
    <n v="1.3781158812174899E+19"/>
  </r>
  <r>
    <b v="0"/>
    <x v="92"/>
    <x v="2"/>
    <x v="7"/>
    <x v="7"/>
    <x v="37"/>
    <x v="91"/>
    <x v="3"/>
    <n v="0"/>
    <n v="1.8286738513347E+19"/>
  </r>
  <r>
    <b v="0"/>
    <x v="93"/>
    <x v="2"/>
    <x v="7"/>
    <x v="2"/>
    <x v="14"/>
    <x v="92"/>
    <x v="3"/>
    <n v="0"/>
    <n v="5.9797187171427802E+17"/>
  </r>
  <r>
    <b v="0"/>
    <x v="94"/>
    <x v="2"/>
    <x v="7"/>
    <x v="5"/>
    <x v="13"/>
    <x v="93"/>
    <x v="3"/>
    <n v="0"/>
    <n v="1.75598983668374E+19"/>
  </r>
  <r>
    <b v="0"/>
    <x v="95"/>
    <x v="2"/>
    <x v="7"/>
    <x v="0"/>
    <x v="25"/>
    <x v="94"/>
    <x v="3"/>
    <n v="0"/>
    <n v="1.43981792361124E+19"/>
  </r>
  <r>
    <b v="0"/>
    <x v="96"/>
    <x v="2"/>
    <x v="7"/>
    <x v="0"/>
    <x v="25"/>
    <x v="95"/>
    <x v="3"/>
    <n v="0"/>
    <n v="1.6427545346430099E+19"/>
  </r>
  <r>
    <b v="0"/>
    <x v="97"/>
    <x v="2"/>
    <x v="7"/>
    <x v="2"/>
    <x v="33"/>
    <x v="96"/>
    <x v="3"/>
    <n v="0"/>
    <n v="1.2734879075762301E+19"/>
  </r>
  <r>
    <b v="0"/>
    <x v="98"/>
    <x v="2"/>
    <x v="7"/>
    <x v="1"/>
    <x v="8"/>
    <x v="97"/>
    <x v="3"/>
    <n v="0"/>
    <n v="5.1583685158798203E+18"/>
  </r>
  <r>
    <b v="0"/>
    <x v="99"/>
    <x v="2"/>
    <x v="7"/>
    <x v="0"/>
    <x v="14"/>
    <x v="98"/>
    <x v="3"/>
    <n v="0"/>
    <n v="2.8004625916373402E+18"/>
  </r>
  <r>
    <b v="0"/>
    <x v="100"/>
    <x v="3"/>
    <x v="0"/>
    <x v="2"/>
    <x v="25"/>
    <x v="99"/>
    <x v="0"/>
    <n v="0"/>
    <n v="1.37370697197761E+19"/>
  </r>
  <r>
    <b v="0"/>
    <x v="101"/>
    <x v="3"/>
    <x v="0"/>
    <x v="0"/>
    <x v="12"/>
    <x v="100"/>
    <x v="0"/>
    <n v="0"/>
    <n v="1.18434198329297E+19"/>
  </r>
  <r>
    <b v="0"/>
    <x v="102"/>
    <x v="3"/>
    <x v="0"/>
    <x v="1"/>
    <x v="0"/>
    <x v="101"/>
    <x v="0"/>
    <n v="0"/>
    <n v="1.0920393448847999E+19"/>
  </r>
  <r>
    <b v="0"/>
    <x v="103"/>
    <x v="3"/>
    <x v="1"/>
    <x v="2"/>
    <x v="25"/>
    <x v="102"/>
    <x v="1"/>
    <n v="0"/>
    <n v="1.6070153770137201E+19"/>
  </r>
  <r>
    <b v="0"/>
    <x v="104"/>
    <x v="3"/>
    <x v="2"/>
    <x v="3"/>
    <x v="0"/>
    <x v="103"/>
    <x v="1"/>
    <n v="0"/>
    <n v="1.36638637319552E+19"/>
  </r>
  <r>
    <b v="0"/>
    <x v="105"/>
    <x v="3"/>
    <x v="3"/>
    <x v="1"/>
    <x v="0"/>
    <x v="104"/>
    <x v="1"/>
    <n v="0"/>
    <n v="7.5487555862169201E+18"/>
  </r>
  <r>
    <b v="0"/>
    <x v="106"/>
    <x v="3"/>
    <x v="3"/>
    <x v="2"/>
    <x v="33"/>
    <x v="105"/>
    <x v="1"/>
    <n v="0"/>
    <n v="2.6510408050912599E+18"/>
  </r>
  <r>
    <b v="0"/>
    <x v="107"/>
    <x v="3"/>
    <x v="4"/>
    <x v="7"/>
    <x v="2"/>
    <x v="106"/>
    <x v="1"/>
    <n v="0"/>
    <n v="1.14964870138367E+19"/>
  </r>
  <r>
    <b v="0"/>
    <x v="108"/>
    <x v="3"/>
    <x v="5"/>
    <x v="7"/>
    <x v="1"/>
    <x v="107"/>
    <x v="2"/>
    <n v="0"/>
    <n v="1.62172283722746E+19"/>
  </r>
  <r>
    <b v="0"/>
    <x v="109"/>
    <x v="3"/>
    <x v="5"/>
    <x v="2"/>
    <x v="6"/>
    <x v="108"/>
    <x v="2"/>
    <n v="0"/>
    <n v="5.2307326747249603E+18"/>
  </r>
  <r>
    <b v="0"/>
    <x v="110"/>
    <x v="3"/>
    <x v="5"/>
    <x v="1"/>
    <x v="38"/>
    <x v="109"/>
    <x v="2"/>
    <n v="0"/>
    <n v="8.2393847062087803E+18"/>
  </r>
  <r>
    <b v="0"/>
    <x v="111"/>
    <x v="3"/>
    <x v="5"/>
    <x v="1"/>
    <x v="0"/>
    <x v="110"/>
    <x v="2"/>
    <n v="0"/>
    <n v="3.92125884052322E+18"/>
  </r>
  <r>
    <b v="0"/>
    <x v="112"/>
    <x v="3"/>
    <x v="5"/>
    <x v="5"/>
    <x v="15"/>
    <x v="111"/>
    <x v="2"/>
    <n v="0"/>
    <n v="2.54072005848926E+18"/>
  </r>
  <r>
    <b v="0"/>
    <x v="113"/>
    <x v="3"/>
    <x v="5"/>
    <x v="0"/>
    <x v="35"/>
    <x v="112"/>
    <x v="2"/>
    <n v="0"/>
    <n v="2.32317465110946E+18"/>
  </r>
  <r>
    <b v="0"/>
    <x v="114"/>
    <x v="3"/>
    <x v="5"/>
    <x v="1"/>
    <x v="8"/>
    <x v="113"/>
    <x v="2"/>
    <n v="0"/>
    <n v="7.55252313376943E+18"/>
  </r>
  <r>
    <b v="0"/>
    <x v="115"/>
    <x v="3"/>
    <x v="6"/>
    <x v="10"/>
    <x v="35"/>
    <x v="114"/>
    <x v="3"/>
    <n v="0"/>
    <n v="1.6926857118123399E+19"/>
  </r>
  <r>
    <b v="0"/>
    <x v="116"/>
    <x v="3"/>
    <x v="6"/>
    <x v="0"/>
    <x v="2"/>
    <x v="115"/>
    <x v="3"/>
    <n v="0"/>
    <n v="8.4596624099736402E+18"/>
  </r>
  <r>
    <b v="0"/>
    <x v="117"/>
    <x v="3"/>
    <x v="6"/>
    <x v="10"/>
    <x v="37"/>
    <x v="116"/>
    <x v="3"/>
    <n v="0"/>
    <n v="1.07868130173604E+19"/>
  </r>
  <r>
    <b v="0"/>
    <x v="118"/>
    <x v="3"/>
    <x v="6"/>
    <x v="7"/>
    <x v="2"/>
    <x v="117"/>
    <x v="3"/>
    <n v="0"/>
    <n v="5.2103163373871903E+18"/>
  </r>
  <r>
    <b v="0"/>
    <x v="119"/>
    <x v="3"/>
    <x v="6"/>
    <x v="5"/>
    <x v="12"/>
    <x v="118"/>
    <x v="3"/>
    <n v="0"/>
    <n v="5.7260485087604101E+18"/>
  </r>
  <r>
    <b v="0"/>
    <x v="120"/>
    <x v="3"/>
    <x v="6"/>
    <x v="13"/>
    <x v="25"/>
    <x v="25"/>
    <x v="3"/>
    <n v="0"/>
    <n v="1.7597580216879E+19"/>
  </r>
  <r>
    <b v="0"/>
    <x v="121"/>
    <x v="3"/>
    <x v="6"/>
    <x v="0"/>
    <x v="0"/>
    <x v="119"/>
    <x v="3"/>
    <n v="0"/>
    <n v="8.9508738981474499E+18"/>
  </r>
  <r>
    <b v="0"/>
    <x v="122"/>
    <x v="3"/>
    <x v="6"/>
    <x v="0"/>
    <x v="31"/>
    <x v="120"/>
    <x v="3"/>
    <n v="0"/>
    <n v="1.64874419220852E+19"/>
  </r>
  <r>
    <b v="0"/>
    <x v="123"/>
    <x v="3"/>
    <x v="6"/>
    <x v="7"/>
    <x v="6"/>
    <x v="121"/>
    <x v="3"/>
    <n v="0"/>
    <n v="1.2252181344655901E+19"/>
  </r>
  <r>
    <b v="0"/>
    <x v="124"/>
    <x v="3"/>
    <x v="7"/>
    <x v="8"/>
    <x v="2"/>
    <x v="12"/>
    <x v="3"/>
    <n v="0"/>
    <n v="1.73575176770445E+19"/>
  </r>
  <r>
    <b v="0"/>
    <x v="125"/>
    <x v="3"/>
    <x v="7"/>
    <x v="2"/>
    <x v="39"/>
    <x v="122"/>
    <x v="3"/>
    <n v="0"/>
    <n v="4.0573838283773998E+18"/>
  </r>
  <r>
    <b v="0"/>
    <x v="126"/>
    <x v="3"/>
    <x v="7"/>
    <x v="2"/>
    <x v="0"/>
    <x v="123"/>
    <x v="3"/>
    <n v="0"/>
    <n v="3.6285963159068096E+16"/>
  </r>
  <r>
    <b v="0"/>
    <x v="127"/>
    <x v="3"/>
    <x v="7"/>
    <x v="0"/>
    <x v="31"/>
    <x v="124"/>
    <x v="3"/>
    <n v="0"/>
    <n v="6.35723821493197E+18"/>
  </r>
  <r>
    <b v="0"/>
    <x v="128"/>
    <x v="3"/>
    <x v="7"/>
    <x v="7"/>
    <x v="20"/>
    <x v="125"/>
    <x v="3"/>
    <n v="0"/>
    <n v="4.4283109957239598E+18"/>
  </r>
  <r>
    <b v="0"/>
    <x v="129"/>
    <x v="3"/>
    <x v="7"/>
    <x v="5"/>
    <x v="6"/>
    <x v="126"/>
    <x v="3"/>
    <n v="0"/>
    <n v="1.12687370418223E+19"/>
  </r>
  <r>
    <b v="0"/>
    <x v="130"/>
    <x v="3"/>
    <x v="7"/>
    <x v="4"/>
    <x v="40"/>
    <x v="127"/>
    <x v="3"/>
    <n v="0"/>
    <n v="7.4912359903119698E+18"/>
  </r>
  <r>
    <b v="0"/>
    <x v="131"/>
    <x v="3"/>
    <x v="7"/>
    <x v="2"/>
    <x v="6"/>
    <x v="128"/>
    <x v="3"/>
    <n v="0"/>
    <n v="1.34473026586293E+19"/>
  </r>
  <r>
    <b v="0"/>
    <x v="132"/>
    <x v="3"/>
    <x v="7"/>
    <x v="0"/>
    <x v="14"/>
    <x v="85"/>
    <x v="3"/>
    <n v="0"/>
    <n v="1.1150880518497599E+19"/>
  </r>
  <r>
    <b v="0"/>
    <x v="133"/>
    <x v="3"/>
    <x v="7"/>
    <x v="5"/>
    <x v="2"/>
    <x v="129"/>
    <x v="3"/>
    <n v="0"/>
    <n v="3.3742999557298698E+18"/>
  </r>
  <r>
    <b v="0"/>
    <x v="134"/>
    <x v="3"/>
    <x v="7"/>
    <x v="5"/>
    <x v="25"/>
    <x v="130"/>
    <x v="3"/>
    <n v="0"/>
    <n v="1.0536445301091E+19"/>
  </r>
  <r>
    <b v="0"/>
    <x v="135"/>
    <x v="4"/>
    <x v="0"/>
    <x v="0"/>
    <x v="31"/>
    <x v="131"/>
    <x v="0"/>
    <n v="0"/>
    <n v="5.3153758349439099E+18"/>
  </r>
  <r>
    <b v="0"/>
    <x v="136"/>
    <x v="4"/>
    <x v="0"/>
    <x v="2"/>
    <x v="2"/>
    <x v="132"/>
    <x v="0"/>
    <n v="0"/>
    <n v="8.7237450823088701E+18"/>
  </r>
  <r>
    <b v="0"/>
    <x v="137"/>
    <x v="4"/>
    <x v="1"/>
    <x v="0"/>
    <x v="16"/>
    <x v="133"/>
    <x v="1"/>
    <n v="0"/>
    <n v="5.3331708703600599E+18"/>
  </r>
  <r>
    <b v="0"/>
    <x v="138"/>
    <x v="4"/>
    <x v="2"/>
    <x v="6"/>
    <x v="0"/>
    <x v="134"/>
    <x v="1"/>
    <n v="0"/>
    <n v="1.4720489321913E+19"/>
  </r>
  <r>
    <b v="0"/>
    <x v="139"/>
    <x v="4"/>
    <x v="2"/>
    <x v="1"/>
    <x v="8"/>
    <x v="135"/>
    <x v="1"/>
    <n v="0"/>
    <n v="1.1023725647262599E+19"/>
  </r>
  <r>
    <b v="0"/>
    <x v="140"/>
    <x v="4"/>
    <x v="2"/>
    <x v="2"/>
    <x v="33"/>
    <x v="136"/>
    <x v="1"/>
    <n v="0"/>
    <n v="1.06591318244894E+17"/>
  </r>
  <r>
    <b v="0"/>
    <x v="141"/>
    <x v="4"/>
    <x v="3"/>
    <x v="2"/>
    <x v="8"/>
    <x v="137"/>
    <x v="1"/>
    <n v="0"/>
    <n v="4.7363801288852398E+18"/>
  </r>
  <r>
    <b v="0"/>
    <x v="142"/>
    <x v="4"/>
    <x v="4"/>
    <x v="2"/>
    <x v="8"/>
    <x v="138"/>
    <x v="1"/>
    <n v="0"/>
    <n v="1.58172493607104E+19"/>
  </r>
  <r>
    <b v="0"/>
    <x v="143"/>
    <x v="4"/>
    <x v="5"/>
    <x v="2"/>
    <x v="0"/>
    <x v="139"/>
    <x v="2"/>
    <n v="0"/>
    <n v="7.78817852785937E+18"/>
  </r>
  <r>
    <b v="0"/>
    <x v="144"/>
    <x v="4"/>
    <x v="5"/>
    <x v="4"/>
    <x v="41"/>
    <x v="140"/>
    <x v="2"/>
    <n v="0"/>
    <n v="1.6564557964985301E+19"/>
  </r>
  <r>
    <b v="0"/>
    <x v="145"/>
    <x v="4"/>
    <x v="5"/>
    <x v="0"/>
    <x v="21"/>
    <x v="68"/>
    <x v="2"/>
    <n v="0"/>
    <n v="5.2145945723718195E+18"/>
  </r>
  <r>
    <b v="0"/>
    <x v="146"/>
    <x v="4"/>
    <x v="5"/>
    <x v="0"/>
    <x v="6"/>
    <x v="141"/>
    <x v="2"/>
    <n v="0"/>
    <n v="1.39529705488849E+19"/>
  </r>
  <r>
    <b v="0"/>
    <x v="147"/>
    <x v="4"/>
    <x v="5"/>
    <x v="1"/>
    <x v="42"/>
    <x v="142"/>
    <x v="2"/>
    <n v="0"/>
    <n v="1.13239113370723E+19"/>
  </r>
  <r>
    <b v="0"/>
    <x v="148"/>
    <x v="4"/>
    <x v="5"/>
    <x v="0"/>
    <x v="32"/>
    <x v="143"/>
    <x v="2"/>
    <n v="0"/>
    <n v="1.3952987848509301E+19"/>
  </r>
  <r>
    <b v="0"/>
    <x v="149"/>
    <x v="4"/>
    <x v="5"/>
    <x v="4"/>
    <x v="31"/>
    <x v="144"/>
    <x v="2"/>
    <n v="0"/>
    <n v="1.03782959395793E+19"/>
  </r>
  <r>
    <b v="0"/>
    <x v="150"/>
    <x v="4"/>
    <x v="5"/>
    <x v="0"/>
    <x v="2"/>
    <x v="145"/>
    <x v="2"/>
    <n v="0"/>
    <n v="1.2268774433688601E+19"/>
  </r>
  <r>
    <b v="0"/>
    <x v="151"/>
    <x v="4"/>
    <x v="6"/>
    <x v="2"/>
    <x v="31"/>
    <x v="146"/>
    <x v="3"/>
    <n v="0"/>
    <n v="4.4539851632796401E+18"/>
  </r>
  <r>
    <b v="0"/>
    <x v="152"/>
    <x v="4"/>
    <x v="6"/>
    <x v="7"/>
    <x v="31"/>
    <x v="147"/>
    <x v="3"/>
    <n v="0"/>
    <n v="2.07245180810461E+18"/>
  </r>
  <r>
    <b v="0"/>
    <x v="153"/>
    <x v="4"/>
    <x v="6"/>
    <x v="7"/>
    <x v="8"/>
    <x v="148"/>
    <x v="3"/>
    <n v="0"/>
    <n v="5.5810439565203702E+18"/>
  </r>
  <r>
    <b v="0"/>
    <x v="154"/>
    <x v="4"/>
    <x v="6"/>
    <x v="9"/>
    <x v="43"/>
    <x v="149"/>
    <x v="3"/>
    <n v="0"/>
    <n v="4.99904209803153E+18"/>
  </r>
  <r>
    <b v="0"/>
    <x v="155"/>
    <x v="4"/>
    <x v="6"/>
    <x v="2"/>
    <x v="21"/>
    <x v="101"/>
    <x v="3"/>
    <n v="0"/>
    <n v="6.3431233010733896E+18"/>
  </r>
  <r>
    <b v="0"/>
    <x v="156"/>
    <x v="4"/>
    <x v="7"/>
    <x v="7"/>
    <x v="8"/>
    <x v="150"/>
    <x v="3"/>
    <n v="0"/>
    <n v="7.4271238085420104E+18"/>
  </r>
  <r>
    <b v="0"/>
    <x v="157"/>
    <x v="4"/>
    <x v="7"/>
    <x v="5"/>
    <x v="6"/>
    <x v="151"/>
    <x v="3"/>
    <n v="0"/>
    <n v="1.43848840792757E+19"/>
  </r>
  <r>
    <b v="0"/>
    <x v="158"/>
    <x v="4"/>
    <x v="7"/>
    <x v="0"/>
    <x v="25"/>
    <x v="152"/>
    <x v="3"/>
    <n v="0"/>
    <n v="1.6291479659022701E+19"/>
  </r>
  <r>
    <b v="0"/>
    <x v="159"/>
    <x v="4"/>
    <x v="7"/>
    <x v="5"/>
    <x v="33"/>
    <x v="153"/>
    <x v="3"/>
    <n v="0"/>
    <n v="1.5358817179687899E+19"/>
  </r>
  <r>
    <b v="0"/>
    <x v="160"/>
    <x v="4"/>
    <x v="7"/>
    <x v="8"/>
    <x v="25"/>
    <x v="154"/>
    <x v="3"/>
    <n v="0"/>
    <n v="5.6339594412360499E+18"/>
  </r>
  <r>
    <b v="0"/>
    <x v="161"/>
    <x v="4"/>
    <x v="7"/>
    <x v="0"/>
    <x v="31"/>
    <x v="155"/>
    <x v="3"/>
    <n v="0"/>
    <n v="5.0863784789954099E+18"/>
  </r>
  <r>
    <b v="0"/>
    <x v="162"/>
    <x v="4"/>
    <x v="7"/>
    <x v="5"/>
    <x v="25"/>
    <x v="156"/>
    <x v="3"/>
    <n v="0"/>
    <n v="5.4495812091974605E+18"/>
  </r>
  <r>
    <b v="0"/>
    <x v="163"/>
    <x v="4"/>
    <x v="7"/>
    <x v="1"/>
    <x v="13"/>
    <x v="157"/>
    <x v="3"/>
    <n v="0"/>
    <n v="1.33850562698181E+19"/>
  </r>
  <r>
    <b v="0"/>
    <x v="164"/>
    <x v="4"/>
    <x v="7"/>
    <x v="0"/>
    <x v="6"/>
    <x v="158"/>
    <x v="3"/>
    <n v="0"/>
    <n v="1.5149891484502999E+19"/>
  </r>
  <r>
    <b v="0"/>
    <x v="165"/>
    <x v="4"/>
    <x v="7"/>
    <x v="5"/>
    <x v="36"/>
    <x v="159"/>
    <x v="3"/>
    <n v="0"/>
    <n v="1.41674174236254E+19"/>
  </r>
  <r>
    <b v="0"/>
    <x v="166"/>
    <x v="4"/>
    <x v="7"/>
    <x v="0"/>
    <x v="16"/>
    <x v="160"/>
    <x v="3"/>
    <n v="0"/>
    <n v="9.8155776567571907E+18"/>
  </r>
  <r>
    <b v="0"/>
    <x v="167"/>
    <x v="4"/>
    <x v="7"/>
    <x v="7"/>
    <x v="1"/>
    <x v="161"/>
    <x v="3"/>
    <n v="0"/>
    <n v="1.1535399564029999E+19"/>
  </r>
  <r>
    <b v="0"/>
    <x v="168"/>
    <x v="4"/>
    <x v="7"/>
    <x v="8"/>
    <x v="2"/>
    <x v="162"/>
    <x v="3"/>
    <n v="0"/>
    <n v="1.2684037780943999E+19"/>
  </r>
  <r>
    <b v="0"/>
    <x v="169"/>
    <x v="5"/>
    <x v="0"/>
    <x v="7"/>
    <x v="1"/>
    <x v="163"/>
    <x v="0"/>
    <n v="0"/>
    <n v="3.5917083780656901E+18"/>
  </r>
  <r>
    <b v="0"/>
    <x v="170"/>
    <x v="5"/>
    <x v="0"/>
    <x v="1"/>
    <x v="14"/>
    <x v="164"/>
    <x v="0"/>
    <n v="0"/>
    <n v="1.7852031538980399E+19"/>
  </r>
  <r>
    <b v="0"/>
    <x v="171"/>
    <x v="5"/>
    <x v="0"/>
    <x v="0"/>
    <x v="6"/>
    <x v="165"/>
    <x v="0"/>
    <n v="0"/>
    <n v="1.25200215939634E+18"/>
  </r>
  <r>
    <b v="0"/>
    <x v="172"/>
    <x v="5"/>
    <x v="1"/>
    <x v="1"/>
    <x v="39"/>
    <x v="166"/>
    <x v="1"/>
    <n v="0"/>
    <n v="1.1798660524106E+19"/>
  </r>
  <r>
    <b v="0"/>
    <x v="173"/>
    <x v="5"/>
    <x v="1"/>
    <x v="0"/>
    <x v="25"/>
    <x v="167"/>
    <x v="1"/>
    <n v="0"/>
    <n v="3.3298132133026601E+18"/>
  </r>
  <r>
    <b v="0"/>
    <x v="174"/>
    <x v="5"/>
    <x v="2"/>
    <x v="6"/>
    <x v="0"/>
    <x v="168"/>
    <x v="1"/>
    <n v="0"/>
    <n v="1.0551307742112999E+19"/>
  </r>
  <r>
    <b v="0"/>
    <x v="175"/>
    <x v="5"/>
    <x v="2"/>
    <x v="4"/>
    <x v="0"/>
    <x v="169"/>
    <x v="1"/>
    <n v="0"/>
    <n v="1.0440312762136701E+19"/>
  </r>
  <r>
    <b v="0"/>
    <x v="176"/>
    <x v="5"/>
    <x v="3"/>
    <x v="6"/>
    <x v="33"/>
    <x v="170"/>
    <x v="1"/>
    <n v="0"/>
    <n v="9.8451411381303194E+18"/>
  </r>
  <r>
    <b v="0"/>
    <x v="177"/>
    <x v="5"/>
    <x v="3"/>
    <x v="7"/>
    <x v="14"/>
    <x v="171"/>
    <x v="1"/>
    <n v="0"/>
    <n v="1.06627125817587E+19"/>
  </r>
  <r>
    <b v="0"/>
    <x v="178"/>
    <x v="5"/>
    <x v="3"/>
    <x v="4"/>
    <x v="0"/>
    <x v="172"/>
    <x v="1"/>
    <n v="0"/>
    <n v="7.7831760453962803E+18"/>
  </r>
  <r>
    <b v="0"/>
    <x v="179"/>
    <x v="5"/>
    <x v="4"/>
    <x v="4"/>
    <x v="33"/>
    <x v="173"/>
    <x v="1"/>
    <n v="0"/>
    <n v="8.2161184696104602E+18"/>
  </r>
  <r>
    <b v="0"/>
    <x v="180"/>
    <x v="5"/>
    <x v="4"/>
    <x v="2"/>
    <x v="23"/>
    <x v="174"/>
    <x v="1"/>
    <n v="0"/>
    <n v="2.6388704237773699E+17"/>
  </r>
  <r>
    <b v="0"/>
    <x v="181"/>
    <x v="5"/>
    <x v="5"/>
    <x v="1"/>
    <x v="13"/>
    <x v="175"/>
    <x v="2"/>
    <n v="0"/>
    <n v="1.1939098827777599E+19"/>
  </r>
  <r>
    <b v="0"/>
    <x v="182"/>
    <x v="5"/>
    <x v="5"/>
    <x v="4"/>
    <x v="6"/>
    <x v="106"/>
    <x v="2"/>
    <n v="0"/>
    <n v="1.38722866213674E+19"/>
  </r>
  <r>
    <b v="0"/>
    <x v="183"/>
    <x v="5"/>
    <x v="5"/>
    <x v="2"/>
    <x v="16"/>
    <x v="176"/>
    <x v="2"/>
    <n v="0"/>
    <n v="1.38984221995548E+19"/>
  </r>
  <r>
    <b v="0"/>
    <x v="184"/>
    <x v="5"/>
    <x v="5"/>
    <x v="1"/>
    <x v="44"/>
    <x v="177"/>
    <x v="2"/>
    <n v="0"/>
    <n v="5.3848819389418404E+18"/>
  </r>
  <r>
    <b v="0"/>
    <x v="185"/>
    <x v="5"/>
    <x v="5"/>
    <x v="7"/>
    <x v="16"/>
    <x v="178"/>
    <x v="2"/>
    <n v="0"/>
    <n v="1.3608816709995801E+19"/>
  </r>
  <r>
    <b v="0"/>
    <x v="186"/>
    <x v="5"/>
    <x v="6"/>
    <x v="0"/>
    <x v="45"/>
    <x v="179"/>
    <x v="3"/>
    <n v="0"/>
    <n v="4.4075034074181299E+18"/>
  </r>
  <r>
    <b v="0"/>
    <x v="187"/>
    <x v="5"/>
    <x v="6"/>
    <x v="0"/>
    <x v="0"/>
    <x v="180"/>
    <x v="3"/>
    <n v="0"/>
    <n v="7.9915953841903206E+17"/>
  </r>
  <r>
    <b v="0"/>
    <x v="188"/>
    <x v="5"/>
    <x v="6"/>
    <x v="7"/>
    <x v="16"/>
    <x v="181"/>
    <x v="3"/>
    <n v="0"/>
    <n v="1.5610834822717901E+19"/>
  </r>
  <r>
    <b v="0"/>
    <x v="189"/>
    <x v="5"/>
    <x v="6"/>
    <x v="2"/>
    <x v="0"/>
    <x v="182"/>
    <x v="3"/>
    <n v="0"/>
    <n v="9.9949741695292396E+18"/>
  </r>
  <r>
    <b v="0"/>
    <x v="190"/>
    <x v="5"/>
    <x v="6"/>
    <x v="10"/>
    <x v="25"/>
    <x v="183"/>
    <x v="3"/>
    <n v="0"/>
    <n v="9.9750771609431398E+17"/>
  </r>
  <r>
    <b v="0"/>
    <x v="191"/>
    <x v="5"/>
    <x v="6"/>
    <x v="2"/>
    <x v="0"/>
    <x v="184"/>
    <x v="3"/>
    <n v="0"/>
    <n v="3.2249906689829601E+18"/>
  </r>
  <r>
    <b v="0"/>
    <x v="192"/>
    <x v="5"/>
    <x v="6"/>
    <x v="5"/>
    <x v="46"/>
    <x v="185"/>
    <x v="3"/>
    <n v="0"/>
    <n v="1.21263119524351E+19"/>
  </r>
  <r>
    <b v="0"/>
    <x v="193"/>
    <x v="5"/>
    <x v="6"/>
    <x v="7"/>
    <x v="1"/>
    <x v="186"/>
    <x v="3"/>
    <n v="0"/>
    <n v="1.02895607839336E+19"/>
  </r>
  <r>
    <b v="0"/>
    <x v="194"/>
    <x v="5"/>
    <x v="7"/>
    <x v="0"/>
    <x v="31"/>
    <x v="187"/>
    <x v="3"/>
    <n v="0"/>
    <n v="1.6199266816253901E+19"/>
  </r>
  <r>
    <b v="0"/>
    <x v="195"/>
    <x v="5"/>
    <x v="7"/>
    <x v="5"/>
    <x v="35"/>
    <x v="188"/>
    <x v="3"/>
    <n v="0"/>
    <n v="4.7599916968063396E+18"/>
  </r>
  <r>
    <b v="0"/>
    <x v="196"/>
    <x v="5"/>
    <x v="7"/>
    <x v="7"/>
    <x v="31"/>
    <x v="189"/>
    <x v="3"/>
    <n v="0"/>
    <n v="3.19660777585216E+18"/>
  </r>
  <r>
    <b v="0"/>
    <x v="197"/>
    <x v="5"/>
    <x v="7"/>
    <x v="2"/>
    <x v="0"/>
    <x v="190"/>
    <x v="3"/>
    <n v="0"/>
    <n v="2.0084457427696499E+18"/>
  </r>
  <r>
    <b v="0"/>
    <x v="198"/>
    <x v="5"/>
    <x v="7"/>
    <x v="4"/>
    <x v="47"/>
    <x v="191"/>
    <x v="3"/>
    <n v="0"/>
    <n v="1.4315280072105099E+19"/>
  </r>
  <r>
    <b v="0"/>
    <x v="199"/>
    <x v="5"/>
    <x v="7"/>
    <x v="5"/>
    <x v="14"/>
    <x v="192"/>
    <x v="3"/>
    <n v="0"/>
    <n v="6.7162288095771003E+18"/>
  </r>
  <r>
    <b v="0"/>
    <x v="200"/>
    <x v="5"/>
    <x v="7"/>
    <x v="7"/>
    <x v="6"/>
    <x v="193"/>
    <x v="3"/>
    <n v="0"/>
    <n v="1.7055644162232799E+19"/>
  </r>
  <r>
    <b v="0"/>
    <x v="201"/>
    <x v="5"/>
    <x v="7"/>
    <x v="1"/>
    <x v="31"/>
    <x v="194"/>
    <x v="3"/>
    <n v="0"/>
    <n v="6.8001212924467702E+18"/>
  </r>
  <r>
    <b v="0"/>
    <x v="202"/>
    <x v="5"/>
    <x v="7"/>
    <x v="4"/>
    <x v="31"/>
    <x v="167"/>
    <x v="3"/>
    <n v="0"/>
    <n v="1.3434505190000501E+19"/>
  </r>
  <r>
    <b v="0"/>
    <x v="203"/>
    <x v="5"/>
    <x v="7"/>
    <x v="10"/>
    <x v="8"/>
    <x v="195"/>
    <x v="3"/>
    <n v="0"/>
    <n v="1.2829768257962799E+19"/>
  </r>
  <r>
    <b v="0"/>
    <x v="204"/>
    <x v="5"/>
    <x v="7"/>
    <x v="2"/>
    <x v="8"/>
    <x v="196"/>
    <x v="3"/>
    <n v="0"/>
    <n v="1.0216122749093599E+19"/>
  </r>
  <r>
    <b v="0"/>
    <x v="205"/>
    <x v="6"/>
    <x v="0"/>
    <x v="0"/>
    <x v="13"/>
    <x v="197"/>
    <x v="0"/>
    <n v="0"/>
    <n v="1.1250289342848201E+19"/>
  </r>
  <r>
    <b v="0"/>
    <x v="206"/>
    <x v="6"/>
    <x v="0"/>
    <x v="4"/>
    <x v="31"/>
    <x v="198"/>
    <x v="0"/>
    <n v="0"/>
    <n v="1.37899503935487E+19"/>
  </r>
  <r>
    <b v="0"/>
    <x v="207"/>
    <x v="6"/>
    <x v="1"/>
    <x v="1"/>
    <x v="13"/>
    <x v="199"/>
    <x v="1"/>
    <n v="0"/>
    <n v="1.6704248932423E+19"/>
  </r>
  <r>
    <b v="0"/>
    <x v="208"/>
    <x v="6"/>
    <x v="1"/>
    <x v="0"/>
    <x v="23"/>
    <x v="200"/>
    <x v="1"/>
    <n v="0"/>
    <n v="4.7488811371161201E+18"/>
  </r>
  <r>
    <b v="0"/>
    <x v="209"/>
    <x v="6"/>
    <x v="1"/>
    <x v="7"/>
    <x v="25"/>
    <x v="201"/>
    <x v="1"/>
    <n v="0"/>
    <n v="4.11243062312879E+18"/>
  </r>
  <r>
    <b v="0"/>
    <x v="210"/>
    <x v="6"/>
    <x v="2"/>
    <x v="2"/>
    <x v="48"/>
    <x v="202"/>
    <x v="1"/>
    <n v="0"/>
    <n v="3.2123610861631099E+18"/>
  </r>
  <r>
    <b v="0"/>
    <x v="211"/>
    <x v="6"/>
    <x v="2"/>
    <x v="1"/>
    <x v="33"/>
    <x v="203"/>
    <x v="1"/>
    <n v="0"/>
    <n v="1.0571979357843599E+19"/>
  </r>
  <r>
    <b v="0"/>
    <x v="212"/>
    <x v="6"/>
    <x v="3"/>
    <x v="7"/>
    <x v="14"/>
    <x v="164"/>
    <x v="1"/>
    <n v="0"/>
    <n v="5.4541791978706504E+18"/>
  </r>
  <r>
    <b v="0"/>
    <x v="213"/>
    <x v="6"/>
    <x v="4"/>
    <x v="7"/>
    <x v="2"/>
    <x v="70"/>
    <x v="1"/>
    <n v="0"/>
    <n v="1.26932620105729E+19"/>
  </r>
  <r>
    <b v="0"/>
    <x v="214"/>
    <x v="6"/>
    <x v="5"/>
    <x v="0"/>
    <x v="31"/>
    <x v="204"/>
    <x v="2"/>
    <n v="0"/>
    <n v="1.81752250075864E+19"/>
  </r>
  <r>
    <b v="0"/>
    <x v="215"/>
    <x v="6"/>
    <x v="5"/>
    <x v="1"/>
    <x v="32"/>
    <x v="205"/>
    <x v="2"/>
    <n v="0"/>
    <n v="7.8418565328475996E+18"/>
  </r>
  <r>
    <b v="0"/>
    <x v="216"/>
    <x v="6"/>
    <x v="5"/>
    <x v="0"/>
    <x v="12"/>
    <x v="206"/>
    <x v="2"/>
    <n v="0"/>
    <n v="7.7188855632180797E+18"/>
  </r>
  <r>
    <b v="0"/>
    <x v="217"/>
    <x v="6"/>
    <x v="5"/>
    <x v="4"/>
    <x v="33"/>
    <x v="62"/>
    <x v="2"/>
    <n v="0"/>
    <n v="5.6530642305181501E+18"/>
  </r>
  <r>
    <b v="0"/>
    <x v="218"/>
    <x v="6"/>
    <x v="5"/>
    <x v="6"/>
    <x v="8"/>
    <x v="192"/>
    <x v="2"/>
    <n v="0"/>
    <n v="1.2807236905339899E+18"/>
  </r>
  <r>
    <b v="0"/>
    <x v="219"/>
    <x v="6"/>
    <x v="6"/>
    <x v="0"/>
    <x v="8"/>
    <x v="207"/>
    <x v="3"/>
    <n v="0"/>
    <n v="1.38169558949678E+19"/>
  </r>
  <r>
    <b v="0"/>
    <x v="220"/>
    <x v="6"/>
    <x v="6"/>
    <x v="10"/>
    <x v="49"/>
    <x v="208"/>
    <x v="3"/>
    <n v="0"/>
    <n v="1.10970400930974E+19"/>
  </r>
  <r>
    <b v="0"/>
    <x v="221"/>
    <x v="6"/>
    <x v="6"/>
    <x v="10"/>
    <x v="16"/>
    <x v="209"/>
    <x v="3"/>
    <n v="0"/>
    <n v="2.51054698509809E+18"/>
  </r>
  <r>
    <b v="0"/>
    <x v="222"/>
    <x v="6"/>
    <x v="6"/>
    <x v="7"/>
    <x v="2"/>
    <x v="210"/>
    <x v="3"/>
    <n v="0"/>
    <n v="1.3243469423098801E+18"/>
  </r>
  <r>
    <b v="0"/>
    <x v="223"/>
    <x v="6"/>
    <x v="6"/>
    <x v="7"/>
    <x v="21"/>
    <x v="211"/>
    <x v="3"/>
    <n v="0"/>
    <n v="1.44863287186745E+19"/>
  </r>
  <r>
    <b v="0"/>
    <x v="224"/>
    <x v="6"/>
    <x v="6"/>
    <x v="8"/>
    <x v="12"/>
    <x v="212"/>
    <x v="3"/>
    <n v="0"/>
    <n v="6.2139112828257905E+18"/>
  </r>
  <r>
    <b v="0"/>
    <x v="225"/>
    <x v="6"/>
    <x v="6"/>
    <x v="7"/>
    <x v="6"/>
    <x v="213"/>
    <x v="3"/>
    <n v="0"/>
    <n v="1.30356314750016E+19"/>
  </r>
  <r>
    <b v="0"/>
    <x v="226"/>
    <x v="6"/>
    <x v="7"/>
    <x v="5"/>
    <x v="1"/>
    <x v="214"/>
    <x v="3"/>
    <n v="0"/>
    <n v="7.0401610468874598E+18"/>
  </r>
  <r>
    <b v="0"/>
    <x v="227"/>
    <x v="6"/>
    <x v="7"/>
    <x v="2"/>
    <x v="40"/>
    <x v="215"/>
    <x v="3"/>
    <n v="0"/>
    <n v="7.0615067409254799E+18"/>
  </r>
  <r>
    <b v="0"/>
    <x v="228"/>
    <x v="6"/>
    <x v="7"/>
    <x v="7"/>
    <x v="50"/>
    <x v="124"/>
    <x v="3"/>
    <n v="0"/>
    <n v="1.44298389872833E+19"/>
  </r>
  <r>
    <b v="0"/>
    <x v="229"/>
    <x v="6"/>
    <x v="7"/>
    <x v="7"/>
    <x v="51"/>
    <x v="41"/>
    <x v="3"/>
    <n v="0"/>
    <n v="9.5805410214288404E+18"/>
  </r>
  <r>
    <b v="0"/>
    <x v="230"/>
    <x v="6"/>
    <x v="7"/>
    <x v="9"/>
    <x v="1"/>
    <x v="216"/>
    <x v="3"/>
    <n v="0"/>
    <n v="1.3827977851907799E+18"/>
  </r>
  <r>
    <b v="0"/>
    <x v="231"/>
    <x v="6"/>
    <x v="7"/>
    <x v="10"/>
    <x v="12"/>
    <x v="217"/>
    <x v="3"/>
    <n v="0"/>
    <n v="6.0976137478107597E+18"/>
  </r>
  <r>
    <b v="0"/>
    <x v="232"/>
    <x v="6"/>
    <x v="7"/>
    <x v="5"/>
    <x v="20"/>
    <x v="218"/>
    <x v="3"/>
    <n v="0"/>
    <n v="1.84353968837819E+19"/>
  </r>
  <r>
    <b v="0"/>
    <x v="233"/>
    <x v="6"/>
    <x v="7"/>
    <x v="4"/>
    <x v="52"/>
    <x v="219"/>
    <x v="3"/>
    <n v="0"/>
    <n v="1.30334926037742E+19"/>
  </r>
  <r>
    <b v="0"/>
    <x v="234"/>
    <x v="6"/>
    <x v="7"/>
    <x v="7"/>
    <x v="11"/>
    <x v="220"/>
    <x v="3"/>
    <n v="0"/>
    <n v="1.2391761188927199E+19"/>
  </r>
  <r>
    <b v="0"/>
    <x v="235"/>
    <x v="6"/>
    <x v="7"/>
    <x v="0"/>
    <x v="33"/>
    <x v="221"/>
    <x v="3"/>
    <n v="0"/>
    <n v="1.35943457099025E+19"/>
  </r>
  <r>
    <b v="0"/>
    <x v="236"/>
    <x v="7"/>
    <x v="0"/>
    <x v="3"/>
    <x v="53"/>
    <x v="222"/>
    <x v="0"/>
    <n v="0"/>
    <n v="5.7271875424801905E+18"/>
  </r>
  <r>
    <b v="0"/>
    <x v="237"/>
    <x v="7"/>
    <x v="0"/>
    <x v="4"/>
    <x v="31"/>
    <x v="223"/>
    <x v="0"/>
    <n v="0"/>
    <n v="1.3833110838526501E+19"/>
  </r>
  <r>
    <b v="0"/>
    <x v="238"/>
    <x v="7"/>
    <x v="1"/>
    <x v="5"/>
    <x v="16"/>
    <x v="224"/>
    <x v="1"/>
    <n v="0"/>
    <n v="8.07289558286814E+18"/>
  </r>
  <r>
    <b v="0"/>
    <x v="239"/>
    <x v="7"/>
    <x v="1"/>
    <x v="1"/>
    <x v="25"/>
    <x v="225"/>
    <x v="1"/>
    <n v="0"/>
    <n v="1.5646979080210801E+18"/>
  </r>
  <r>
    <b v="0"/>
    <x v="240"/>
    <x v="7"/>
    <x v="2"/>
    <x v="1"/>
    <x v="4"/>
    <x v="226"/>
    <x v="1"/>
    <n v="0"/>
    <n v="2.4763806807815997E+18"/>
  </r>
  <r>
    <b v="0"/>
    <x v="241"/>
    <x v="7"/>
    <x v="2"/>
    <x v="6"/>
    <x v="31"/>
    <x v="227"/>
    <x v="1"/>
    <n v="0"/>
    <n v="1.81737241074093E+18"/>
  </r>
  <r>
    <b v="0"/>
    <x v="242"/>
    <x v="7"/>
    <x v="2"/>
    <x v="1"/>
    <x v="54"/>
    <x v="228"/>
    <x v="1"/>
    <n v="0"/>
    <n v="6.6915467424070502E+18"/>
  </r>
  <r>
    <b v="0"/>
    <x v="243"/>
    <x v="7"/>
    <x v="3"/>
    <x v="2"/>
    <x v="42"/>
    <x v="229"/>
    <x v="1"/>
    <n v="0"/>
    <n v="9.2339699628670607E+18"/>
  </r>
  <r>
    <b v="0"/>
    <x v="244"/>
    <x v="7"/>
    <x v="3"/>
    <x v="4"/>
    <x v="55"/>
    <x v="230"/>
    <x v="1"/>
    <n v="0"/>
    <n v="1.77278435332946E+18"/>
  </r>
  <r>
    <b v="0"/>
    <x v="245"/>
    <x v="7"/>
    <x v="3"/>
    <x v="1"/>
    <x v="0"/>
    <x v="231"/>
    <x v="1"/>
    <n v="0"/>
    <n v="1.7140230214922199E+19"/>
  </r>
  <r>
    <b v="0"/>
    <x v="246"/>
    <x v="7"/>
    <x v="4"/>
    <x v="4"/>
    <x v="14"/>
    <x v="232"/>
    <x v="1"/>
    <n v="0"/>
    <n v="9.3405075258583798E+18"/>
  </r>
  <r>
    <b v="0"/>
    <x v="247"/>
    <x v="7"/>
    <x v="5"/>
    <x v="2"/>
    <x v="25"/>
    <x v="233"/>
    <x v="2"/>
    <n v="0"/>
    <n v="4.5278445534273398E+18"/>
  </r>
  <r>
    <b v="0"/>
    <x v="248"/>
    <x v="7"/>
    <x v="5"/>
    <x v="1"/>
    <x v="1"/>
    <x v="47"/>
    <x v="2"/>
    <n v="0"/>
    <n v="1.1041616026134301E+19"/>
  </r>
  <r>
    <b v="0"/>
    <x v="249"/>
    <x v="7"/>
    <x v="5"/>
    <x v="2"/>
    <x v="8"/>
    <x v="61"/>
    <x v="2"/>
    <n v="0"/>
    <n v="1.63212718473077E+19"/>
  </r>
  <r>
    <b v="0"/>
    <x v="250"/>
    <x v="7"/>
    <x v="5"/>
    <x v="0"/>
    <x v="31"/>
    <x v="234"/>
    <x v="2"/>
    <n v="0"/>
    <n v="1.65447324742924E+19"/>
  </r>
  <r>
    <b v="0"/>
    <x v="251"/>
    <x v="7"/>
    <x v="5"/>
    <x v="0"/>
    <x v="13"/>
    <x v="235"/>
    <x v="2"/>
    <n v="0"/>
    <n v="1.33585804063313E+19"/>
  </r>
  <r>
    <b v="0"/>
    <x v="252"/>
    <x v="7"/>
    <x v="5"/>
    <x v="1"/>
    <x v="13"/>
    <x v="236"/>
    <x v="2"/>
    <n v="0"/>
    <n v="6.4924379038578401E+18"/>
  </r>
  <r>
    <b v="0"/>
    <x v="253"/>
    <x v="7"/>
    <x v="6"/>
    <x v="7"/>
    <x v="6"/>
    <x v="43"/>
    <x v="3"/>
    <n v="0"/>
    <n v="1.12531370413334E+18"/>
  </r>
  <r>
    <b v="0"/>
    <x v="254"/>
    <x v="7"/>
    <x v="6"/>
    <x v="0"/>
    <x v="2"/>
    <x v="237"/>
    <x v="3"/>
    <n v="0"/>
    <n v="5.0163333407723602E+18"/>
  </r>
  <r>
    <b v="0"/>
    <x v="255"/>
    <x v="7"/>
    <x v="6"/>
    <x v="0"/>
    <x v="1"/>
    <x v="238"/>
    <x v="3"/>
    <n v="0"/>
    <n v="1.7608141526887E+19"/>
  </r>
  <r>
    <b v="0"/>
    <x v="256"/>
    <x v="7"/>
    <x v="6"/>
    <x v="10"/>
    <x v="6"/>
    <x v="68"/>
    <x v="3"/>
    <n v="0"/>
    <n v="8.1386880619060204E+18"/>
  </r>
  <r>
    <b v="0"/>
    <x v="257"/>
    <x v="7"/>
    <x v="6"/>
    <x v="7"/>
    <x v="13"/>
    <x v="239"/>
    <x v="3"/>
    <n v="0"/>
    <n v="1.37005689877965E+19"/>
  </r>
  <r>
    <b v="0"/>
    <x v="258"/>
    <x v="7"/>
    <x v="6"/>
    <x v="2"/>
    <x v="32"/>
    <x v="159"/>
    <x v="3"/>
    <n v="0"/>
    <n v="1.3972681492468699E+19"/>
  </r>
  <r>
    <b v="0"/>
    <x v="259"/>
    <x v="7"/>
    <x v="6"/>
    <x v="1"/>
    <x v="31"/>
    <x v="240"/>
    <x v="3"/>
    <n v="0"/>
    <n v="1.00424937662603E+19"/>
  </r>
  <r>
    <b v="0"/>
    <x v="260"/>
    <x v="7"/>
    <x v="7"/>
    <x v="4"/>
    <x v="48"/>
    <x v="71"/>
    <x v="3"/>
    <n v="0"/>
    <n v="7.7406790492807002E+17"/>
  </r>
  <r>
    <b v="0"/>
    <x v="261"/>
    <x v="7"/>
    <x v="7"/>
    <x v="0"/>
    <x v="6"/>
    <x v="241"/>
    <x v="3"/>
    <n v="0"/>
    <n v="6.1139271969099796E+18"/>
  </r>
  <r>
    <b v="0"/>
    <x v="262"/>
    <x v="7"/>
    <x v="7"/>
    <x v="10"/>
    <x v="2"/>
    <x v="242"/>
    <x v="3"/>
    <n v="0"/>
    <n v="8.1848429957562204E+18"/>
  </r>
  <r>
    <b v="0"/>
    <x v="263"/>
    <x v="7"/>
    <x v="7"/>
    <x v="7"/>
    <x v="56"/>
    <x v="243"/>
    <x v="3"/>
    <n v="0"/>
    <n v="1.24726612145932E+19"/>
  </r>
  <r>
    <b v="0"/>
    <x v="264"/>
    <x v="7"/>
    <x v="7"/>
    <x v="7"/>
    <x v="12"/>
    <x v="244"/>
    <x v="3"/>
    <n v="0"/>
    <n v="8.3776267125486797E+18"/>
  </r>
  <r>
    <b v="0"/>
    <x v="265"/>
    <x v="7"/>
    <x v="7"/>
    <x v="7"/>
    <x v="2"/>
    <x v="245"/>
    <x v="3"/>
    <n v="0"/>
    <n v="3.2567842667163899E+18"/>
  </r>
  <r>
    <b v="0"/>
    <x v="266"/>
    <x v="7"/>
    <x v="7"/>
    <x v="8"/>
    <x v="25"/>
    <x v="246"/>
    <x v="3"/>
    <n v="0"/>
    <n v="1.00238925114716E+19"/>
  </r>
  <r>
    <b v="0"/>
    <x v="267"/>
    <x v="7"/>
    <x v="7"/>
    <x v="8"/>
    <x v="2"/>
    <x v="247"/>
    <x v="3"/>
    <n v="0"/>
    <n v="9.7062908587513999E+18"/>
  </r>
  <r>
    <b v="0"/>
    <x v="268"/>
    <x v="7"/>
    <x v="7"/>
    <x v="0"/>
    <x v="57"/>
    <x v="248"/>
    <x v="3"/>
    <n v="0"/>
    <n v="7.2589360783317197E+17"/>
  </r>
  <r>
    <b v="0"/>
    <x v="269"/>
    <x v="7"/>
    <x v="7"/>
    <x v="5"/>
    <x v="26"/>
    <x v="13"/>
    <x v="3"/>
    <n v="0"/>
    <n v="7.7462043116923996E+18"/>
  </r>
  <r>
    <b v="0"/>
    <x v="270"/>
    <x v="7"/>
    <x v="7"/>
    <x v="8"/>
    <x v="16"/>
    <x v="14"/>
    <x v="3"/>
    <n v="0"/>
    <n v="1.0721254003513301E+19"/>
  </r>
  <r>
    <b v="0"/>
    <x v="271"/>
    <x v="7"/>
    <x v="7"/>
    <x v="5"/>
    <x v="33"/>
    <x v="140"/>
    <x v="3"/>
    <n v="0"/>
    <n v="1.64707590458147E+18"/>
  </r>
  <r>
    <b v="0"/>
    <x v="272"/>
    <x v="8"/>
    <x v="0"/>
    <x v="6"/>
    <x v="31"/>
    <x v="194"/>
    <x v="0"/>
    <n v="0"/>
    <n v="5.32768891818398E+18"/>
  </r>
  <r>
    <b v="0"/>
    <x v="273"/>
    <x v="8"/>
    <x v="0"/>
    <x v="1"/>
    <x v="6"/>
    <x v="249"/>
    <x v="0"/>
    <n v="0"/>
    <n v="9.0408973168139796E+18"/>
  </r>
  <r>
    <b v="0"/>
    <x v="274"/>
    <x v="8"/>
    <x v="1"/>
    <x v="13"/>
    <x v="46"/>
    <x v="250"/>
    <x v="1"/>
    <n v="0"/>
    <n v="5.53756045969374E+18"/>
  </r>
  <r>
    <b v="0"/>
    <x v="275"/>
    <x v="8"/>
    <x v="1"/>
    <x v="0"/>
    <x v="25"/>
    <x v="251"/>
    <x v="1"/>
    <n v="0"/>
    <n v="1.8118992234209999E+18"/>
  </r>
  <r>
    <b v="0"/>
    <x v="276"/>
    <x v="8"/>
    <x v="2"/>
    <x v="0"/>
    <x v="33"/>
    <x v="252"/>
    <x v="1"/>
    <n v="0"/>
    <n v="1.16616363828655E+18"/>
  </r>
  <r>
    <b v="0"/>
    <x v="277"/>
    <x v="8"/>
    <x v="2"/>
    <x v="4"/>
    <x v="58"/>
    <x v="45"/>
    <x v="1"/>
    <n v="0"/>
    <n v="1.31072423966579E+19"/>
  </r>
  <r>
    <b v="0"/>
    <x v="278"/>
    <x v="8"/>
    <x v="3"/>
    <x v="6"/>
    <x v="31"/>
    <x v="253"/>
    <x v="1"/>
    <n v="0"/>
    <n v="6.2664000887916298E+18"/>
  </r>
  <r>
    <b v="0"/>
    <x v="279"/>
    <x v="8"/>
    <x v="3"/>
    <x v="1"/>
    <x v="59"/>
    <x v="254"/>
    <x v="1"/>
    <n v="0"/>
    <n v="5.3143182868399002E+18"/>
  </r>
  <r>
    <b v="0"/>
    <x v="280"/>
    <x v="8"/>
    <x v="4"/>
    <x v="4"/>
    <x v="25"/>
    <x v="33"/>
    <x v="1"/>
    <n v="0"/>
    <n v="1.4136775701033501E+19"/>
  </r>
  <r>
    <b v="0"/>
    <x v="281"/>
    <x v="8"/>
    <x v="5"/>
    <x v="0"/>
    <x v="6"/>
    <x v="255"/>
    <x v="2"/>
    <n v="0"/>
    <n v="1.5527201840274901E+19"/>
  </r>
  <r>
    <b v="0"/>
    <x v="282"/>
    <x v="8"/>
    <x v="5"/>
    <x v="4"/>
    <x v="31"/>
    <x v="256"/>
    <x v="2"/>
    <n v="0"/>
    <n v="1.56816939626368E+19"/>
  </r>
  <r>
    <b v="0"/>
    <x v="283"/>
    <x v="8"/>
    <x v="5"/>
    <x v="1"/>
    <x v="8"/>
    <x v="89"/>
    <x v="2"/>
    <n v="0"/>
    <n v="4.9862041895334195E+18"/>
  </r>
  <r>
    <b v="0"/>
    <x v="284"/>
    <x v="8"/>
    <x v="5"/>
    <x v="4"/>
    <x v="8"/>
    <x v="24"/>
    <x v="2"/>
    <n v="0"/>
    <n v="4.84421466688418E+18"/>
  </r>
  <r>
    <b v="0"/>
    <x v="285"/>
    <x v="8"/>
    <x v="5"/>
    <x v="0"/>
    <x v="6"/>
    <x v="257"/>
    <x v="2"/>
    <n v="0"/>
    <n v="7.5040459626213601E+18"/>
  </r>
  <r>
    <b v="0"/>
    <x v="286"/>
    <x v="8"/>
    <x v="5"/>
    <x v="3"/>
    <x v="60"/>
    <x v="258"/>
    <x v="2"/>
    <n v="0"/>
    <n v="1.04629907619095E+19"/>
  </r>
  <r>
    <b v="0"/>
    <x v="287"/>
    <x v="8"/>
    <x v="5"/>
    <x v="5"/>
    <x v="25"/>
    <x v="51"/>
    <x v="2"/>
    <n v="0"/>
    <n v="4.34730453904979E+18"/>
  </r>
  <r>
    <b v="0"/>
    <x v="288"/>
    <x v="8"/>
    <x v="6"/>
    <x v="7"/>
    <x v="16"/>
    <x v="259"/>
    <x v="3"/>
    <n v="0"/>
    <n v="6.3475194337501798E+18"/>
  </r>
  <r>
    <b v="0"/>
    <x v="289"/>
    <x v="8"/>
    <x v="6"/>
    <x v="7"/>
    <x v="31"/>
    <x v="260"/>
    <x v="3"/>
    <n v="0"/>
    <n v="8.1443725927374605E+17"/>
  </r>
  <r>
    <b v="0"/>
    <x v="290"/>
    <x v="8"/>
    <x v="6"/>
    <x v="5"/>
    <x v="14"/>
    <x v="214"/>
    <x v="3"/>
    <n v="0"/>
    <n v="1.64360034272734E+19"/>
  </r>
  <r>
    <b v="0"/>
    <x v="291"/>
    <x v="8"/>
    <x v="6"/>
    <x v="2"/>
    <x v="11"/>
    <x v="261"/>
    <x v="3"/>
    <n v="0"/>
    <n v="7.3497598883797299E+18"/>
  </r>
  <r>
    <b v="0"/>
    <x v="292"/>
    <x v="8"/>
    <x v="6"/>
    <x v="5"/>
    <x v="31"/>
    <x v="172"/>
    <x v="3"/>
    <n v="0"/>
    <n v="7.6774775333047296E+18"/>
  </r>
  <r>
    <b v="0"/>
    <x v="293"/>
    <x v="8"/>
    <x v="6"/>
    <x v="2"/>
    <x v="54"/>
    <x v="262"/>
    <x v="3"/>
    <n v="0"/>
    <n v="2.1678283689360901E+18"/>
  </r>
  <r>
    <b v="0"/>
    <x v="294"/>
    <x v="8"/>
    <x v="6"/>
    <x v="10"/>
    <x v="6"/>
    <x v="263"/>
    <x v="3"/>
    <n v="0"/>
    <n v="1.3735739517886501E+19"/>
  </r>
  <r>
    <b v="0"/>
    <x v="295"/>
    <x v="8"/>
    <x v="6"/>
    <x v="2"/>
    <x v="14"/>
    <x v="117"/>
    <x v="3"/>
    <n v="0"/>
    <n v="3.8491838154971899E+18"/>
  </r>
  <r>
    <b v="0"/>
    <x v="296"/>
    <x v="8"/>
    <x v="7"/>
    <x v="1"/>
    <x v="2"/>
    <x v="264"/>
    <x v="3"/>
    <n v="0"/>
    <n v="1.0619761420361099E+19"/>
  </r>
  <r>
    <b v="0"/>
    <x v="297"/>
    <x v="8"/>
    <x v="7"/>
    <x v="1"/>
    <x v="61"/>
    <x v="265"/>
    <x v="3"/>
    <n v="0"/>
    <n v="7.0273932455264399E+18"/>
  </r>
  <r>
    <b v="0"/>
    <x v="298"/>
    <x v="8"/>
    <x v="7"/>
    <x v="10"/>
    <x v="25"/>
    <x v="266"/>
    <x v="3"/>
    <n v="0"/>
    <n v="2.22562794360577E+18"/>
  </r>
  <r>
    <b v="0"/>
    <x v="299"/>
    <x v="8"/>
    <x v="7"/>
    <x v="10"/>
    <x v="35"/>
    <x v="267"/>
    <x v="3"/>
    <n v="0"/>
    <n v="1.6706503009865999E+18"/>
  </r>
  <r>
    <b v="0"/>
    <x v="300"/>
    <x v="8"/>
    <x v="7"/>
    <x v="4"/>
    <x v="0"/>
    <x v="268"/>
    <x v="3"/>
    <n v="0"/>
    <n v="9.5576813494837391E+18"/>
  </r>
  <r>
    <b v="0"/>
    <x v="301"/>
    <x v="8"/>
    <x v="7"/>
    <x v="0"/>
    <x v="14"/>
    <x v="269"/>
    <x v="3"/>
    <n v="0"/>
    <n v="6.7558433878541804E+18"/>
  </r>
  <r>
    <b v="0"/>
    <x v="302"/>
    <x v="8"/>
    <x v="7"/>
    <x v="0"/>
    <x v="14"/>
    <x v="270"/>
    <x v="3"/>
    <n v="0"/>
    <n v="1.55297350395252E+19"/>
  </r>
  <r>
    <b v="0"/>
    <x v="303"/>
    <x v="8"/>
    <x v="7"/>
    <x v="2"/>
    <x v="31"/>
    <x v="271"/>
    <x v="3"/>
    <n v="0"/>
    <n v="1.7692132906471E+19"/>
  </r>
  <r>
    <b v="0"/>
    <x v="304"/>
    <x v="8"/>
    <x v="7"/>
    <x v="8"/>
    <x v="12"/>
    <x v="272"/>
    <x v="3"/>
    <n v="0"/>
    <n v="9.6758903101070705E+18"/>
  </r>
  <r>
    <b v="0"/>
    <x v="305"/>
    <x v="8"/>
    <x v="7"/>
    <x v="7"/>
    <x v="31"/>
    <x v="273"/>
    <x v="3"/>
    <n v="0"/>
    <n v="8.7607731779512699E+18"/>
  </r>
  <r>
    <b v="0"/>
    <x v="306"/>
    <x v="9"/>
    <x v="0"/>
    <x v="2"/>
    <x v="6"/>
    <x v="274"/>
    <x v="0"/>
    <n v="0"/>
    <n v="3.7931204960266798E+18"/>
  </r>
  <r>
    <b v="0"/>
    <x v="307"/>
    <x v="9"/>
    <x v="0"/>
    <x v="6"/>
    <x v="31"/>
    <x v="275"/>
    <x v="0"/>
    <n v="0"/>
    <n v="1.7394186718993799E+19"/>
  </r>
  <r>
    <b v="0"/>
    <x v="308"/>
    <x v="9"/>
    <x v="0"/>
    <x v="0"/>
    <x v="31"/>
    <x v="75"/>
    <x v="0"/>
    <n v="0"/>
    <n v="3.6037258757125601E+18"/>
  </r>
  <r>
    <b v="0"/>
    <x v="309"/>
    <x v="9"/>
    <x v="1"/>
    <x v="1"/>
    <x v="6"/>
    <x v="5"/>
    <x v="1"/>
    <n v="0"/>
    <n v="7.4489133530275297E+18"/>
  </r>
  <r>
    <b v="0"/>
    <x v="310"/>
    <x v="9"/>
    <x v="2"/>
    <x v="2"/>
    <x v="6"/>
    <x v="216"/>
    <x v="1"/>
    <n v="0"/>
    <n v="2.9832816451258399E+18"/>
  </r>
  <r>
    <b v="0"/>
    <x v="311"/>
    <x v="9"/>
    <x v="2"/>
    <x v="2"/>
    <x v="52"/>
    <x v="253"/>
    <x v="1"/>
    <n v="0"/>
    <n v="6.0677278021978604E+18"/>
  </r>
  <r>
    <b v="0"/>
    <x v="312"/>
    <x v="9"/>
    <x v="3"/>
    <x v="7"/>
    <x v="6"/>
    <x v="19"/>
    <x v="1"/>
    <n v="0"/>
    <n v="1.49234356408478E+19"/>
  </r>
  <r>
    <b v="0"/>
    <x v="313"/>
    <x v="9"/>
    <x v="4"/>
    <x v="7"/>
    <x v="0"/>
    <x v="276"/>
    <x v="1"/>
    <n v="0"/>
    <n v="1.3463518967391601E+19"/>
  </r>
  <r>
    <b v="0"/>
    <x v="314"/>
    <x v="9"/>
    <x v="5"/>
    <x v="0"/>
    <x v="11"/>
    <x v="277"/>
    <x v="2"/>
    <n v="0"/>
    <n v="4.0592403230532101E+18"/>
  </r>
  <r>
    <b v="0"/>
    <x v="315"/>
    <x v="9"/>
    <x v="5"/>
    <x v="5"/>
    <x v="62"/>
    <x v="278"/>
    <x v="2"/>
    <n v="0"/>
    <n v="1.7555453425177399E+19"/>
  </r>
  <r>
    <b v="0"/>
    <x v="316"/>
    <x v="9"/>
    <x v="5"/>
    <x v="2"/>
    <x v="6"/>
    <x v="279"/>
    <x v="2"/>
    <n v="0"/>
    <n v="1.1543445382034301E+19"/>
  </r>
  <r>
    <b v="0"/>
    <x v="317"/>
    <x v="9"/>
    <x v="5"/>
    <x v="0"/>
    <x v="25"/>
    <x v="280"/>
    <x v="2"/>
    <n v="0"/>
    <n v="9.4124214864292004E+18"/>
  </r>
  <r>
    <b v="0"/>
    <x v="318"/>
    <x v="9"/>
    <x v="5"/>
    <x v="7"/>
    <x v="13"/>
    <x v="281"/>
    <x v="2"/>
    <n v="0"/>
    <n v="1.6483932836817E+19"/>
  </r>
  <r>
    <b v="0"/>
    <x v="319"/>
    <x v="9"/>
    <x v="6"/>
    <x v="7"/>
    <x v="31"/>
    <x v="282"/>
    <x v="3"/>
    <n v="0"/>
    <n v="1.3337036252554101E+19"/>
  </r>
  <r>
    <b v="0"/>
    <x v="320"/>
    <x v="9"/>
    <x v="6"/>
    <x v="1"/>
    <x v="33"/>
    <x v="283"/>
    <x v="3"/>
    <n v="0"/>
    <n v="2.8039207972792699E+18"/>
  </r>
  <r>
    <b v="0"/>
    <x v="321"/>
    <x v="9"/>
    <x v="6"/>
    <x v="2"/>
    <x v="9"/>
    <x v="284"/>
    <x v="3"/>
    <n v="0"/>
    <n v="7.5065611346880102E+18"/>
  </r>
  <r>
    <b v="0"/>
    <x v="322"/>
    <x v="9"/>
    <x v="6"/>
    <x v="2"/>
    <x v="1"/>
    <x v="285"/>
    <x v="3"/>
    <n v="0"/>
    <n v="8.1986939522687703E+18"/>
  </r>
  <r>
    <b v="0"/>
    <x v="323"/>
    <x v="9"/>
    <x v="6"/>
    <x v="1"/>
    <x v="21"/>
    <x v="286"/>
    <x v="3"/>
    <n v="0"/>
    <n v="9.1079408779615898E+17"/>
  </r>
  <r>
    <b v="0"/>
    <x v="324"/>
    <x v="9"/>
    <x v="6"/>
    <x v="0"/>
    <x v="13"/>
    <x v="175"/>
    <x v="3"/>
    <n v="0"/>
    <n v="4.1692989745617802E+18"/>
  </r>
  <r>
    <b v="0"/>
    <x v="325"/>
    <x v="9"/>
    <x v="6"/>
    <x v="8"/>
    <x v="6"/>
    <x v="287"/>
    <x v="3"/>
    <n v="0"/>
    <n v="1.6902813889503701E+19"/>
  </r>
  <r>
    <b v="0"/>
    <x v="326"/>
    <x v="9"/>
    <x v="6"/>
    <x v="5"/>
    <x v="63"/>
    <x v="288"/>
    <x v="3"/>
    <n v="0"/>
    <n v="1.7167725848754801E+19"/>
  </r>
  <r>
    <b v="0"/>
    <x v="327"/>
    <x v="9"/>
    <x v="6"/>
    <x v="2"/>
    <x v="6"/>
    <x v="289"/>
    <x v="3"/>
    <n v="0"/>
    <n v="1.4984356635586601E+19"/>
  </r>
  <r>
    <b v="0"/>
    <x v="328"/>
    <x v="9"/>
    <x v="7"/>
    <x v="0"/>
    <x v="31"/>
    <x v="290"/>
    <x v="3"/>
    <n v="0"/>
    <n v="1.12355528016752E+18"/>
  </r>
  <r>
    <b v="0"/>
    <x v="329"/>
    <x v="9"/>
    <x v="7"/>
    <x v="7"/>
    <x v="0"/>
    <x v="291"/>
    <x v="3"/>
    <n v="0"/>
    <n v="1.7757720055792099E+19"/>
  </r>
  <r>
    <b v="0"/>
    <x v="330"/>
    <x v="9"/>
    <x v="7"/>
    <x v="6"/>
    <x v="13"/>
    <x v="292"/>
    <x v="3"/>
    <n v="0"/>
    <n v="1.2744861083279999E+19"/>
  </r>
  <r>
    <b v="0"/>
    <x v="331"/>
    <x v="9"/>
    <x v="7"/>
    <x v="7"/>
    <x v="25"/>
    <x v="293"/>
    <x v="3"/>
    <n v="0"/>
    <n v="3.6928412875157601E+18"/>
  </r>
  <r>
    <b v="0"/>
    <x v="332"/>
    <x v="9"/>
    <x v="7"/>
    <x v="4"/>
    <x v="31"/>
    <x v="294"/>
    <x v="3"/>
    <n v="0"/>
    <n v="1.3655686822513101E+19"/>
  </r>
  <r>
    <b v="0"/>
    <x v="333"/>
    <x v="9"/>
    <x v="7"/>
    <x v="1"/>
    <x v="1"/>
    <x v="295"/>
    <x v="3"/>
    <n v="0"/>
    <n v="2.71829309688915E+18"/>
  </r>
  <r>
    <b v="0"/>
    <x v="334"/>
    <x v="9"/>
    <x v="7"/>
    <x v="8"/>
    <x v="35"/>
    <x v="296"/>
    <x v="3"/>
    <n v="0"/>
    <n v="4.52307583756685E+18"/>
  </r>
  <r>
    <b v="0"/>
    <x v="335"/>
    <x v="9"/>
    <x v="7"/>
    <x v="7"/>
    <x v="64"/>
    <x v="14"/>
    <x v="3"/>
    <n v="0"/>
    <n v="8.7721097938263695E+18"/>
  </r>
  <r>
    <b v="0"/>
    <x v="336"/>
    <x v="9"/>
    <x v="7"/>
    <x v="2"/>
    <x v="6"/>
    <x v="108"/>
    <x v="3"/>
    <n v="0"/>
    <n v="9.5744757886668493E+18"/>
  </r>
  <r>
    <b v="0"/>
    <x v="337"/>
    <x v="9"/>
    <x v="7"/>
    <x v="2"/>
    <x v="65"/>
    <x v="297"/>
    <x v="3"/>
    <n v="0"/>
    <n v="1.8160437001812099E+19"/>
  </r>
  <r>
    <b v="0"/>
    <x v="338"/>
    <x v="10"/>
    <x v="0"/>
    <x v="4"/>
    <x v="6"/>
    <x v="298"/>
    <x v="0"/>
    <n v="0"/>
    <n v="1.35600299701038E+19"/>
  </r>
  <r>
    <b v="0"/>
    <x v="339"/>
    <x v="10"/>
    <x v="0"/>
    <x v="7"/>
    <x v="2"/>
    <x v="299"/>
    <x v="0"/>
    <n v="0"/>
    <n v="1.6953064337795101E+19"/>
  </r>
  <r>
    <b v="0"/>
    <x v="340"/>
    <x v="10"/>
    <x v="1"/>
    <x v="10"/>
    <x v="20"/>
    <x v="230"/>
    <x v="1"/>
    <n v="0"/>
    <n v="7.1697824697549804E+18"/>
  </r>
  <r>
    <b v="0"/>
    <x v="341"/>
    <x v="10"/>
    <x v="1"/>
    <x v="1"/>
    <x v="8"/>
    <x v="300"/>
    <x v="1"/>
    <n v="0"/>
    <n v="1.77235604899712E+19"/>
  </r>
  <r>
    <b v="0"/>
    <x v="342"/>
    <x v="10"/>
    <x v="2"/>
    <x v="3"/>
    <x v="47"/>
    <x v="301"/>
    <x v="1"/>
    <n v="0"/>
    <n v="7.9386674628416399E+18"/>
  </r>
  <r>
    <b v="0"/>
    <x v="343"/>
    <x v="10"/>
    <x v="2"/>
    <x v="2"/>
    <x v="31"/>
    <x v="302"/>
    <x v="1"/>
    <n v="0"/>
    <n v="1.60984538645626E+19"/>
  </r>
  <r>
    <b v="0"/>
    <x v="344"/>
    <x v="10"/>
    <x v="2"/>
    <x v="0"/>
    <x v="8"/>
    <x v="303"/>
    <x v="1"/>
    <n v="0"/>
    <n v="9.5562008756939305E+18"/>
  </r>
  <r>
    <b v="0"/>
    <x v="345"/>
    <x v="10"/>
    <x v="3"/>
    <x v="1"/>
    <x v="21"/>
    <x v="301"/>
    <x v="1"/>
    <n v="0"/>
    <n v="1.8333823950996601E+19"/>
  </r>
  <r>
    <b v="0"/>
    <x v="346"/>
    <x v="10"/>
    <x v="3"/>
    <x v="6"/>
    <x v="34"/>
    <x v="18"/>
    <x v="1"/>
    <n v="0"/>
    <n v="7.1756900482412698E+18"/>
  </r>
  <r>
    <b v="0"/>
    <x v="347"/>
    <x v="10"/>
    <x v="4"/>
    <x v="7"/>
    <x v="2"/>
    <x v="304"/>
    <x v="1"/>
    <n v="0"/>
    <n v="8.4194560961040497E+18"/>
  </r>
  <r>
    <b v="0"/>
    <x v="348"/>
    <x v="10"/>
    <x v="5"/>
    <x v="6"/>
    <x v="33"/>
    <x v="305"/>
    <x v="2"/>
    <n v="0"/>
    <n v="1.2002790034292799E+19"/>
  </r>
  <r>
    <b v="0"/>
    <x v="349"/>
    <x v="10"/>
    <x v="5"/>
    <x v="1"/>
    <x v="21"/>
    <x v="306"/>
    <x v="2"/>
    <n v="0"/>
    <n v="9.8592054738159206E+18"/>
  </r>
  <r>
    <b v="0"/>
    <x v="350"/>
    <x v="10"/>
    <x v="5"/>
    <x v="1"/>
    <x v="25"/>
    <x v="307"/>
    <x v="2"/>
    <n v="0"/>
    <n v="1.12668097209252E+19"/>
  </r>
  <r>
    <b v="0"/>
    <x v="351"/>
    <x v="10"/>
    <x v="5"/>
    <x v="0"/>
    <x v="2"/>
    <x v="308"/>
    <x v="2"/>
    <n v="0"/>
    <n v="8.6518717797216297E+18"/>
  </r>
  <r>
    <b v="0"/>
    <x v="352"/>
    <x v="10"/>
    <x v="5"/>
    <x v="2"/>
    <x v="13"/>
    <x v="309"/>
    <x v="2"/>
    <n v="0"/>
    <n v="1.3969143467148501E+19"/>
  </r>
  <r>
    <b v="0"/>
    <x v="353"/>
    <x v="10"/>
    <x v="5"/>
    <x v="0"/>
    <x v="6"/>
    <x v="250"/>
    <x v="2"/>
    <n v="0"/>
    <n v="1.43572994165603E+19"/>
  </r>
  <r>
    <b v="0"/>
    <x v="354"/>
    <x v="10"/>
    <x v="6"/>
    <x v="5"/>
    <x v="13"/>
    <x v="310"/>
    <x v="3"/>
    <n v="0"/>
    <n v="1.0301029408818399E+19"/>
  </r>
  <r>
    <b v="0"/>
    <x v="355"/>
    <x v="10"/>
    <x v="6"/>
    <x v="7"/>
    <x v="14"/>
    <x v="311"/>
    <x v="3"/>
    <n v="0"/>
    <n v="8.14763513235678E+18"/>
  </r>
  <r>
    <b v="0"/>
    <x v="356"/>
    <x v="10"/>
    <x v="6"/>
    <x v="13"/>
    <x v="20"/>
    <x v="312"/>
    <x v="3"/>
    <n v="0"/>
    <n v="1.73070973950155E+19"/>
  </r>
  <r>
    <b v="0"/>
    <x v="357"/>
    <x v="10"/>
    <x v="6"/>
    <x v="1"/>
    <x v="59"/>
    <x v="169"/>
    <x v="3"/>
    <n v="0"/>
    <n v="1.2132432859020201E+18"/>
  </r>
  <r>
    <b v="0"/>
    <x v="358"/>
    <x v="10"/>
    <x v="6"/>
    <x v="7"/>
    <x v="6"/>
    <x v="313"/>
    <x v="3"/>
    <n v="0"/>
    <n v="3.88503770680392E+17"/>
  </r>
  <r>
    <b v="0"/>
    <x v="359"/>
    <x v="10"/>
    <x v="6"/>
    <x v="2"/>
    <x v="1"/>
    <x v="216"/>
    <x v="3"/>
    <n v="0"/>
    <n v="1.55237487224221E+19"/>
  </r>
  <r>
    <b v="0"/>
    <x v="360"/>
    <x v="10"/>
    <x v="6"/>
    <x v="0"/>
    <x v="57"/>
    <x v="314"/>
    <x v="3"/>
    <n v="0"/>
    <n v="3.51927552858287E+18"/>
  </r>
  <r>
    <b v="0"/>
    <x v="361"/>
    <x v="10"/>
    <x v="6"/>
    <x v="0"/>
    <x v="6"/>
    <x v="138"/>
    <x v="3"/>
    <n v="0"/>
    <n v="5.5708729092624302E+18"/>
  </r>
  <r>
    <b v="0"/>
    <x v="362"/>
    <x v="10"/>
    <x v="6"/>
    <x v="2"/>
    <x v="31"/>
    <x v="315"/>
    <x v="3"/>
    <n v="0"/>
    <n v="1.6951060474516001E+19"/>
  </r>
  <r>
    <b v="0"/>
    <x v="363"/>
    <x v="10"/>
    <x v="7"/>
    <x v="7"/>
    <x v="13"/>
    <x v="147"/>
    <x v="3"/>
    <n v="0"/>
    <n v="1.44238524645813E+19"/>
  </r>
  <r>
    <b v="0"/>
    <x v="364"/>
    <x v="10"/>
    <x v="7"/>
    <x v="7"/>
    <x v="31"/>
    <x v="316"/>
    <x v="3"/>
    <n v="0"/>
    <n v="1.5571482636360901E+19"/>
  </r>
  <r>
    <b v="0"/>
    <x v="365"/>
    <x v="10"/>
    <x v="7"/>
    <x v="4"/>
    <x v="9"/>
    <x v="317"/>
    <x v="3"/>
    <n v="0"/>
    <n v="1.5124481881320901E+19"/>
  </r>
  <r>
    <b v="0"/>
    <x v="366"/>
    <x v="10"/>
    <x v="7"/>
    <x v="2"/>
    <x v="1"/>
    <x v="318"/>
    <x v="3"/>
    <n v="0"/>
    <n v="1.58851244672325E+19"/>
  </r>
  <r>
    <b v="0"/>
    <x v="367"/>
    <x v="10"/>
    <x v="7"/>
    <x v="7"/>
    <x v="8"/>
    <x v="319"/>
    <x v="3"/>
    <n v="0"/>
    <n v="9.6206911966988595E+18"/>
  </r>
  <r>
    <b v="0"/>
    <x v="368"/>
    <x v="10"/>
    <x v="7"/>
    <x v="0"/>
    <x v="6"/>
    <x v="320"/>
    <x v="3"/>
    <n v="0"/>
    <n v="2.2648519692576E+18"/>
  </r>
  <r>
    <b v="0"/>
    <x v="369"/>
    <x v="10"/>
    <x v="7"/>
    <x v="0"/>
    <x v="31"/>
    <x v="321"/>
    <x v="3"/>
    <n v="0"/>
    <n v="7.6330404897651405E+17"/>
  </r>
  <r>
    <b v="0"/>
    <x v="370"/>
    <x v="10"/>
    <x v="7"/>
    <x v="1"/>
    <x v="2"/>
    <x v="322"/>
    <x v="3"/>
    <n v="0"/>
    <n v="7.8636924438875505E+18"/>
  </r>
  <r>
    <b v="0"/>
    <x v="371"/>
    <x v="10"/>
    <x v="7"/>
    <x v="0"/>
    <x v="8"/>
    <x v="323"/>
    <x v="3"/>
    <n v="0"/>
    <n v="4.8406900581483796E+18"/>
  </r>
  <r>
    <b v="0"/>
    <x v="372"/>
    <x v="11"/>
    <x v="0"/>
    <x v="0"/>
    <x v="25"/>
    <x v="324"/>
    <x v="0"/>
    <n v="0"/>
    <n v="4.7950209467101204E+18"/>
  </r>
  <r>
    <b v="0"/>
    <x v="373"/>
    <x v="11"/>
    <x v="0"/>
    <x v="0"/>
    <x v="31"/>
    <x v="325"/>
    <x v="0"/>
    <n v="0"/>
    <n v="1.2939470224007899E+19"/>
  </r>
  <r>
    <b v="0"/>
    <x v="374"/>
    <x v="11"/>
    <x v="0"/>
    <x v="2"/>
    <x v="57"/>
    <x v="184"/>
    <x v="0"/>
    <n v="0"/>
    <n v="1.7994900890724301E+19"/>
  </r>
  <r>
    <b v="0"/>
    <x v="375"/>
    <x v="11"/>
    <x v="0"/>
    <x v="5"/>
    <x v="13"/>
    <x v="124"/>
    <x v="0"/>
    <n v="0"/>
    <n v="8.80169326657728E+17"/>
  </r>
  <r>
    <b v="0"/>
    <x v="376"/>
    <x v="11"/>
    <x v="1"/>
    <x v="7"/>
    <x v="25"/>
    <x v="326"/>
    <x v="1"/>
    <n v="0"/>
    <n v="1.5319090529336601E+19"/>
  </r>
  <r>
    <b v="0"/>
    <x v="377"/>
    <x v="11"/>
    <x v="2"/>
    <x v="1"/>
    <x v="21"/>
    <x v="327"/>
    <x v="1"/>
    <n v="0"/>
    <n v="1.55380069717713E+19"/>
  </r>
  <r>
    <b v="0"/>
    <x v="378"/>
    <x v="11"/>
    <x v="3"/>
    <x v="2"/>
    <x v="9"/>
    <x v="328"/>
    <x v="1"/>
    <n v="0"/>
    <n v="1.64688627600401E+19"/>
  </r>
  <r>
    <b v="0"/>
    <x v="379"/>
    <x v="11"/>
    <x v="3"/>
    <x v="2"/>
    <x v="31"/>
    <x v="329"/>
    <x v="1"/>
    <n v="0"/>
    <n v="1.12341310724694E+19"/>
  </r>
  <r>
    <b v="0"/>
    <x v="380"/>
    <x v="11"/>
    <x v="4"/>
    <x v="2"/>
    <x v="6"/>
    <x v="118"/>
    <x v="1"/>
    <n v="0"/>
    <n v="7.4438521771717202E+18"/>
  </r>
  <r>
    <b v="0"/>
    <x v="381"/>
    <x v="11"/>
    <x v="5"/>
    <x v="1"/>
    <x v="66"/>
    <x v="330"/>
    <x v="2"/>
    <n v="0"/>
    <n v="7.2147474537859604E+18"/>
  </r>
  <r>
    <b v="0"/>
    <x v="382"/>
    <x v="11"/>
    <x v="5"/>
    <x v="1"/>
    <x v="23"/>
    <x v="331"/>
    <x v="2"/>
    <n v="0"/>
    <n v="1.46256146615088E+18"/>
  </r>
  <r>
    <b v="0"/>
    <x v="383"/>
    <x v="11"/>
    <x v="5"/>
    <x v="1"/>
    <x v="25"/>
    <x v="332"/>
    <x v="2"/>
    <n v="0"/>
    <n v="8.6203503779496704E+17"/>
  </r>
  <r>
    <b v="0"/>
    <x v="384"/>
    <x v="11"/>
    <x v="5"/>
    <x v="1"/>
    <x v="0"/>
    <x v="333"/>
    <x v="2"/>
    <n v="0"/>
    <n v="6.8131327061537997E+18"/>
  </r>
  <r>
    <b v="0"/>
    <x v="385"/>
    <x v="11"/>
    <x v="5"/>
    <x v="4"/>
    <x v="14"/>
    <x v="334"/>
    <x v="2"/>
    <n v="0"/>
    <n v="1.1092397164643101E+19"/>
  </r>
  <r>
    <b v="0"/>
    <x v="386"/>
    <x v="11"/>
    <x v="5"/>
    <x v="7"/>
    <x v="21"/>
    <x v="335"/>
    <x v="2"/>
    <n v="0"/>
    <n v="1.23556364094116E+19"/>
  </r>
  <r>
    <b v="0"/>
    <x v="387"/>
    <x v="11"/>
    <x v="6"/>
    <x v="7"/>
    <x v="3"/>
    <x v="51"/>
    <x v="3"/>
    <n v="0"/>
    <n v="1.48314121337135E+19"/>
  </r>
  <r>
    <b v="0"/>
    <x v="388"/>
    <x v="11"/>
    <x v="6"/>
    <x v="0"/>
    <x v="12"/>
    <x v="336"/>
    <x v="3"/>
    <n v="0"/>
    <n v="1.3194178742201201E+19"/>
  </r>
  <r>
    <b v="0"/>
    <x v="389"/>
    <x v="11"/>
    <x v="6"/>
    <x v="2"/>
    <x v="31"/>
    <x v="337"/>
    <x v="3"/>
    <n v="0"/>
    <n v="7.8708453955730104E+18"/>
  </r>
  <r>
    <b v="0"/>
    <x v="390"/>
    <x v="11"/>
    <x v="6"/>
    <x v="7"/>
    <x v="6"/>
    <x v="150"/>
    <x v="3"/>
    <n v="0"/>
    <n v="4.3946456747452902E+18"/>
  </r>
  <r>
    <b v="0"/>
    <x v="391"/>
    <x v="11"/>
    <x v="6"/>
    <x v="9"/>
    <x v="31"/>
    <x v="338"/>
    <x v="3"/>
    <n v="0"/>
    <n v="1.30575412313867E+19"/>
  </r>
  <r>
    <b v="0"/>
    <x v="392"/>
    <x v="11"/>
    <x v="6"/>
    <x v="0"/>
    <x v="11"/>
    <x v="148"/>
    <x v="3"/>
    <n v="0"/>
    <n v="9.1384330620272097E+18"/>
  </r>
  <r>
    <b v="0"/>
    <x v="393"/>
    <x v="11"/>
    <x v="6"/>
    <x v="5"/>
    <x v="35"/>
    <x v="339"/>
    <x v="3"/>
    <n v="0"/>
    <n v="2.53717564797299E+18"/>
  </r>
  <r>
    <b v="0"/>
    <x v="394"/>
    <x v="11"/>
    <x v="6"/>
    <x v="2"/>
    <x v="0"/>
    <x v="335"/>
    <x v="3"/>
    <n v="0"/>
    <n v="6.0911303956047196E+18"/>
  </r>
  <r>
    <b v="0"/>
    <x v="395"/>
    <x v="11"/>
    <x v="7"/>
    <x v="0"/>
    <x v="0"/>
    <x v="340"/>
    <x v="3"/>
    <n v="0"/>
    <n v="1.5258069302674801E+19"/>
  </r>
  <r>
    <b v="0"/>
    <x v="396"/>
    <x v="11"/>
    <x v="7"/>
    <x v="0"/>
    <x v="0"/>
    <x v="341"/>
    <x v="3"/>
    <n v="0"/>
    <n v="1.7193996597518399E+19"/>
  </r>
  <r>
    <b v="0"/>
    <x v="397"/>
    <x v="11"/>
    <x v="7"/>
    <x v="1"/>
    <x v="6"/>
    <x v="342"/>
    <x v="3"/>
    <n v="0"/>
    <n v="9.0444820535285996E+18"/>
  </r>
  <r>
    <b v="0"/>
    <x v="398"/>
    <x v="11"/>
    <x v="7"/>
    <x v="0"/>
    <x v="67"/>
    <x v="343"/>
    <x v="3"/>
    <n v="0"/>
    <n v="5.8909314989669601E+18"/>
  </r>
  <r>
    <b v="0"/>
    <x v="399"/>
    <x v="11"/>
    <x v="7"/>
    <x v="0"/>
    <x v="8"/>
    <x v="27"/>
    <x v="3"/>
    <n v="0"/>
    <n v="7.4830140789638195E+18"/>
  </r>
  <r>
    <b v="0"/>
    <x v="400"/>
    <x v="11"/>
    <x v="7"/>
    <x v="7"/>
    <x v="25"/>
    <x v="344"/>
    <x v="3"/>
    <n v="0"/>
    <n v="1.2980625925558901E+19"/>
  </r>
  <r>
    <b v="0"/>
    <x v="401"/>
    <x v="11"/>
    <x v="7"/>
    <x v="8"/>
    <x v="68"/>
    <x v="345"/>
    <x v="3"/>
    <n v="0"/>
    <n v="1.3803073273802E+19"/>
  </r>
  <r>
    <b v="0"/>
    <x v="402"/>
    <x v="11"/>
    <x v="7"/>
    <x v="0"/>
    <x v="6"/>
    <x v="346"/>
    <x v="3"/>
    <n v="0"/>
    <n v="1.82978481323595E+19"/>
  </r>
  <r>
    <b v="0"/>
    <x v="403"/>
    <x v="11"/>
    <x v="7"/>
    <x v="0"/>
    <x v="2"/>
    <x v="287"/>
    <x v="3"/>
    <n v="0"/>
    <n v="1.3871005947976401E+19"/>
  </r>
  <r>
    <b v="0"/>
    <x v="404"/>
    <x v="11"/>
    <x v="7"/>
    <x v="0"/>
    <x v="6"/>
    <x v="347"/>
    <x v="3"/>
    <n v="0"/>
    <n v="9.8801143313464709E+18"/>
  </r>
  <r>
    <b v="0"/>
    <x v="405"/>
    <x v="11"/>
    <x v="7"/>
    <x v="10"/>
    <x v="2"/>
    <x v="348"/>
    <x v="3"/>
    <n v="0"/>
    <n v="5.2990815389085102E+18"/>
  </r>
  <r>
    <b v="0"/>
    <x v="406"/>
    <x v="12"/>
    <x v="0"/>
    <x v="6"/>
    <x v="31"/>
    <x v="349"/>
    <x v="0"/>
    <n v="0"/>
    <n v="3.3637308428343199E+18"/>
  </r>
  <r>
    <b v="0"/>
    <x v="407"/>
    <x v="12"/>
    <x v="0"/>
    <x v="2"/>
    <x v="61"/>
    <x v="350"/>
    <x v="0"/>
    <n v="0"/>
    <n v="1.4872535063477101E+19"/>
  </r>
  <r>
    <b v="0"/>
    <x v="408"/>
    <x v="12"/>
    <x v="1"/>
    <x v="0"/>
    <x v="69"/>
    <x v="351"/>
    <x v="1"/>
    <n v="0"/>
    <n v="1.7905323338107699E+19"/>
  </r>
  <r>
    <b v="0"/>
    <x v="409"/>
    <x v="12"/>
    <x v="2"/>
    <x v="2"/>
    <x v="0"/>
    <x v="352"/>
    <x v="1"/>
    <n v="0"/>
    <n v="1.1098812517935499E+19"/>
  </r>
  <r>
    <b v="0"/>
    <x v="410"/>
    <x v="12"/>
    <x v="2"/>
    <x v="4"/>
    <x v="14"/>
    <x v="51"/>
    <x v="1"/>
    <n v="0"/>
    <n v="6.9190766253305395E+18"/>
  </r>
  <r>
    <b v="0"/>
    <x v="411"/>
    <x v="12"/>
    <x v="2"/>
    <x v="7"/>
    <x v="22"/>
    <x v="344"/>
    <x v="1"/>
    <n v="0"/>
    <n v="3.3669170028651699E+18"/>
  </r>
  <r>
    <b v="0"/>
    <x v="412"/>
    <x v="12"/>
    <x v="3"/>
    <x v="4"/>
    <x v="21"/>
    <x v="353"/>
    <x v="1"/>
    <n v="0"/>
    <n v="1.52467168934778E+19"/>
  </r>
  <r>
    <b v="0"/>
    <x v="413"/>
    <x v="12"/>
    <x v="3"/>
    <x v="1"/>
    <x v="8"/>
    <x v="354"/>
    <x v="1"/>
    <n v="0"/>
    <n v="6.48332130498705E+18"/>
  </r>
  <r>
    <b v="0"/>
    <x v="414"/>
    <x v="12"/>
    <x v="4"/>
    <x v="10"/>
    <x v="20"/>
    <x v="176"/>
    <x v="1"/>
    <n v="0"/>
    <n v="9.1466870943159501E+17"/>
  </r>
  <r>
    <b v="0"/>
    <x v="415"/>
    <x v="12"/>
    <x v="4"/>
    <x v="0"/>
    <x v="2"/>
    <x v="355"/>
    <x v="1"/>
    <n v="0"/>
    <n v="3.94418042144657E+18"/>
  </r>
  <r>
    <b v="0"/>
    <x v="416"/>
    <x v="12"/>
    <x v="5"/>
    <x v="6"/>
    <x v="0"/>
    <x v="356"/>
    <x v="2"/>
    <n v="0"/>
    <n v="6.6790922222978099E+18"/>
  </r>
  <r>
    <b v="0"/>
    <x v="417"/>
    <x v="12"/>
    <x v="5"/>
    <x v="10"/>
    <x v="39"/>
    <x v="357"/>
    <x v="2"/>
    <n v="0"/>
    <n v="1.60709798720897E+19"/>
  </r>
  <r>
    <b v="0"/>
    <x v="418"/>
    <x v="12"/>
    <x v="5"/>
    <x v="2"/>
    <x v="16"/>
    <x v="358"/>
    <x v="2"/>
    <n v="0"/>
    <n v="1.51934486039825E+19"/>
  </r>
  <r>
    <b v="0"/>
    <x v="419"/>
    <x v="12"/>
    <x v="6"/>
    <x v="1"/>
    <x v="0"/>
    <x v="359"/>
    <x v="3"/>
    <n v="0"/>
    <n v="3.3258120596028602E+17"/>
  </r>
  <r>
    <b v="0"/>
    <x v="420"/>
    <x v="12"/>
    <x v="6"/>
    <x v="5"/>
    <x v="13"/>
    <x v="360"/>
    <x v="3"/>
    <n v="0"/>
    <n v="4.4620386796669901E+18"/>
  </r>
  <r>
    <b v="0"/>
    <x v="421"/>
    <x v="12"/>
    <x v="6"/>
    <x v="4"/>
    <x v="58"/>
    <x v="361"/>
    <x v="3"/>
    <n v="0"/>
    <n v="9.0876241174602404E+18"/>
  </r>
  <r>
    <b v="0"/>
    <x v="422"/>
    <x v="12"/>
    <x v="6"/>
    <x v="5"/>
    <x v="12"/>
    <x v="362"/>
    <x v="3"/>
    <n v="0"/>
    <n v="6.3801878767632701E+18"/>
  </r>
  <r>
    <b v="0"/>
    <x v="423"/>
    <x v="12"/>
    <x v="6"/>
    <x v="8"/>
    <x v="12"/>
    <x v="363"/>
    <x v="3"/>
    <n v="0"/>
    <n v="1.78694701751401E+19"/>
  </r>
  <r>
    <b v="0"/>
    <x v="424"/>
    <x v="12"/>
    <x v="6"/>
    <x v="7"/>
    <x v="25"/>
    <x v="364"/>
    <x v="3"/>
    <n v="0"/>
    <n v="1.22675612998267E+19"/>
  </r>
  <r>
    <b v="0"/>
    <x v="425"/>
    <x v="12"/>
    <x v="6"/>
    <x v="2"/>
    <x v="6"/>
    <x v="46"/>
    <x v="3"/>
    <n v="0"/>
    <n v="1.02125100729628E+19"/>
  </r>
  <r>
    <b v="0"/>
    <x v="426"/>
    <x v="12"/>
    <x v="7"/>
    <x v="8"/>
    <x v="70"/>
    <x v="21"/>
    <x v="3"/>
    <n v="0"/>
    <n v="1.14960071467253E+19"/>
  </r>
  <r>
    <b v="0"/>
    <x v="427"/>
    <x v="12"/>
    <x v="7"/>
    <x v="0"/>
    <x v="31"/>
    <x v="46"/>
    <x v="3"/>
    <n v="0"/>
    <n v="1.0858366040155699E+19"/>
  </r>
  <r>
    <b v="0"/>
    <x v="428"/>
    <x v="12"/>
    <x v="7"/>
    <x v="9"/>
    <x v="48"/>
    <x v="365"/>
    <x v="3"/>
    <n v="0"/>
    <n v="9.0518124227354501E+18"/>
  </r>
  <r>
    <b v="0"/>
    <x v="429"/>
    <x v="12"/>
    <x v="7"/>
    <x v="7"/>
    <x v="19"/>
    <x v="366"/>
    <x v="3"/>
    <n v="0"/>
    <n v="5.3364611579367997E+18"/>
  </r>
  <r>
    <b v="0"/>
    <x v="430"/>
    <x v="12"/>
    <x v="7"/>
    <x v="5"/>
    <x v="36"/>
    <x v="367"/>
    <x v="3"/>
    <n v="0"/>
    <n v="6.1306967945226803E+18"/>
  </r>
  <r>
    <b v="0"/>
    <x v="431"/>
    <x v="12"/>
    <x v="7"/>
    <x v="1"/>
    <x v="9"/>
    <x v="368"/>
    <x v="3"/>
    <n v="0"/>
    <n v="1.6212791532389599E+19"/>
  </r>
  <r>
    <b v="0"/>
    <x v="432"/>
    <x v="12"/>
    <x v="7"/>
    <x v="7"/>
    <x v="15"/>
    <x v="369"/>
    <x v="3"/>
    <n v="0"/>
    <n v="1.7037115120455899E+19"/>
  </r>
  <r>
    <b v="0"/>
    <x v="433"/>
    <x v="12"/>
    <x v="7"/>
    <x v="7"/>
    <x v="25"/>
    <x v="51"/>
    <x v="3"/>
    <n v="0"/>
    <n v="1.86432269262335E+18"/>
  </r>
  <r>
    <b v="0"/>
    <x v="434"/>
    <x v="12"/>
    <x v="7"/>
    <x v="6"/>
    <x v="33"/>
    <x v="370"/>
    <x v="3"/>
    <n v="0"/>
    <n v="6.6471819042778501E+18"/>
  </r>
  <r>
    <b v="0"/>
    <x v="435"/>
    <x v="12"/>
    <x v="7"/>
    <x v="1"/>
    <x v="54"/>
    <x v="371"/>
    <x v="3"/>
    <n v="0"/>
    <n v="6.8020548347479898E+17"/>
  </r>
  <r>
    <b v="0"/>
    <x v="436"/>
    <x v="12"/>
    <x v="7"/>
    <x v="6"/>
    <x v="34"/>
    <x v="66"/>
    <x v="3"/>
    <n v="0"/>
    <n v="6.8778648314667602E+18"/>
  </r>
  <r>
    <b v="0"/>
    <x v="437"/>
    <x v="12"/>
    <x v="7"/>
    <x v="0"/>
    <x v="31"/>
    <x v="372"/>
    <x v="3"/>
    <n v="0"/>
    <n v="6.1891037172522404E+18"/>
  </r>
  <r>
    <b v="0"/>
    <x v="438"/>
    <x v="13"/>
    <x v="0"/>
    <x v="4"/>
    <x v="6"/>
    <x v="160"/>
    <x v="0"/>
    <n v="0"/>
    <n v="1.5076553733640401E+19"/>
  </r>
  <r>
    <b v="0"/>
    <x v="439"/>
    <x v="13"/>
    <x v="0"/>
    <x v="5"/>
    <x v="25"/>
    <x v="373"/>
    <x v="0"/>
    <n v="0"/>
    <n v="3.3658120478754698E+18"/>
  </r>
  <r>
    <b v="0"/>
    <x v="440"/>
    <x v="13"/>
    <x v="0"/>
    <x v="2"/>
    <x v="2"/>
    <x v="219"/>
    <x v="0"/>
    <n v="0"/>
    <n v="5.3504819214368901E+18"/>
  </r>
  <r>
    <b v="0"/>
    <x v="441"/>
    <x v="13"/>
    <x v="1"/>
    <x v="5"/>
    <x v="29"/>
    <x v="374"/>
    <x v="1"/>
    <n v="0"/>
    <n v="1.36845647903761E+19"/>
  </r>
  <r>
    <b v="0"/>
    <x v="442"/>
    <x v="13"/>
    <x v="2"/>
    <x v="4"/>
    <x v="31"/>
    <x v="375"/>
    <x v="1"/>
    <n v="0"/>
    <n v="4.5824921248644101E+18"/>
  </r>
  <r>
    <b v="0"/>
    <x v="443"/>
    <x v="13"/>
    <x v="2"/>
    <x v="3"/>
    <x v="9"/>
    <x v="376"/>
    <x v="1"/>
    <n v="0"/>
    <n v="1.31010215794363E+19"/>
  </r>
  <r>
    <b v="0"/>
    <x v="444"/>
    <x v="13"/>
    <x v="2"/>
    <x v="1"/>
    <x v="52"/>
    <x v="377"/>
    <x v="1"/>
    <n v="0"/>
    <n v="4.12725709468992E+18"/>
  </r>
  <r>
    <b v="0"/>
    <x v="445"/>
    <x v="13"/>
    <x v="3"/>
    <x v="1"/>
    <x v="0"/>
    <x v="113"/>
    <x v="1"/>
    <n v="0"/>
    <n v="1.3529380092737901E+19"/>
  </r>
  <r>
    <b v="0"/>
    <x v="446"/>
    <x v="13"/>
    <x v="4"/>
    <x v="3"/>
    <x v="0"/>
    <x v="378"/>
    <x v="1"/>
    <n v="0"/>
    <n v="7.3815350565249495E+18"/>
  </r>
  <r>
    <b v="0"/>
    <x v="447"/>
    <x v="13"/>
    <x v="4"/>
    <x v="2"/>
    <x v="6"/>
    <x v="379"/>
    <x v="1"/>
    <n v="0"/>
    <n v="1.83310162506262E+19"/>
  </r>
  <r>
    <b v="0"/>
    <x v="448"/>
    <x v="13"/>
    <x v="4"/>
    <x v="3"/>
    <x v="4"/>
    <x v="380"/>
    <x v="1"/>
    <n v="0"/>
    <n v="1.47185315993076E+19"/>
  </r>
  <r>
    <b v="0"/>
    <x v="449"/>
    <x v="13"/>
    <x v="5"/>
    <x v="2"/>
    <x v="9"/>
    <x v="381"/>
    <x v="2"/>
    <n v="0"/>
    <n v="7.6439784994895196E+18"/>
  </r>
  <r>
    <b v="0"/>
    <x v="450"/>
    <x v="13"/>
    <x v="5"/>
    <x v="0"/>
    <x v="37"/>
    <x v="382"/>
    <x v="2"/>
    <n v="0"/>
    <n v="1.43850985500237E+19"/>
  </r>
  <r>
    <b v="0"/>
    <x v="451"/>
    <x v="13"/>
    <x v="5"/>
    <x v="0"/>
    <x v="32"/>
    <x v="383"/>
    <x v="2"/>
    <n v="0"/>
    <n v="1.5959695994821801E+18"/>
  </r>
  <r>
    <b v="0"/>
    <x v="452"/>
    <x v="13"/>
    <x v="5"/>
    <x v="1"/>
    <x v="14"/>
    <x v="384"/>
    <x v="2"/>
    <n v="0"/>
    <n v="1.0663084988236401E+19"/>
  </r>
  <r>
    <b v="0"/>
    <x v="453"/>
    <x v="13"/>
    <x v="5"/>
    <x v="4"/>
    <x v="6"/>
    <x v="385"/>
    <x v="2"/>
    <n v="0"/>
    <n v="9.9434283562832794E+18"/>
  </r>
  <r>
    <b v="0"/>
    <x v="454"/>
    <x v="13"/>
    <x v="6"/>
    <x v="1"/>
    <x v="21"/>
    <x v="85"/>
    <x v="3"/>
    <n v="0"/>
    <n v="8.9438016133399296E+16"/>
  </r>
  <r>
    <b v="0"/>
    <x v="455"/>
    <x v="13"/>
    <x v="6"/>
    <x v="1"/>
    <x v="23"/>
    <x v="386"/>
    <x v="3"/>
    <n v="0"/>
    <n v="6.9322133191302605E+18"/>
  </r>
  <r>
    <b v="0"/>
    <x v="456"/>
    <x v="13"/>
    <x v="6"/>
    <x v="5"/>
    <x v="20"/>
    <x v="387"/>
    <x v="3"/>
    <n v="0"/>
    <n v="1.7265547108841699E+19"/>
  </r>
  <r>
    <b v="0"/>
    <x v="457"/>
    <x v="13"/>
    <x v="6"/>
    <x v="5"/>
    <x v="8"/>
    <x v="388"/>
    <x v="3"/>
    <n v="0"/>
    <n v="8.1518112145144596E+18"/>
  </r>
  <r>
    <b v="0"/>
    <x v="458"/>
    <x v="13"/>
    <x v="6"/>
    <x v="5"/>
    <x v="28"/>
    <x v="389"/>
    <x v="3"/>
    <n v="0"/>
    <n v="1.2880130351702301E+19"/>
  </r>
  <r>
    <b v="0"/>
    <x v="459"/>
    <x v="13"/>
    <x v="6"/>
    <x v="0"/>
    <x v="8"/>
    <x v="390"/>
    <x v="3"/>
    <n v="0"/>
    <n v="2.45065441269747E+18"/>
  </r>
  <r>
    <b v="0"/>
    <x v="460"/>
    <x v="13"/>
    <x v="6"/>
    <x v="5"/>
    <x v="71"/>
    <x v="360"/>
    <x v="3"/>
    <n v="0"/>
    <n v="1.7306061300567099E+19"/>
  </r>
  <r>
    <b v="0"/>
    <x v="461"/>
    <x v="13"/>
    <x v="7"/>
    <x v="7"/>
    <x v="13"/>
    <x v="391"/>
    <x v="3"/>
    <n v="0"/>
    <n v="4.7126304643429202E+18"/>
  </r>
  <r>
    <b v="0"/>
    <x v="462"/>
    <x v="13"/>
    <x v="7"/>
    <x v="4"/>
    <x v="6"/>
    <x v="392"/>
    <x v="3"/>
    <n v="0"/>
    <n v="1.2858733218843099E+19"/>
  </r>
  <r>
    <b v="0"/>
    <x v="463"/>
    <x v="13"/>
    <x v="7"/>
    <x v="1"/>
    <x v="33"/>
    <x v="393"/>
    <x v="3"/>
    <n v="0"/>
    <n v="1.2381072375416001E+19"/>
  </r>
  <r>
    <b v="0"/>
    <x v="464"/>
    <x v="13"/>
    <x v="7"/>
    <x v="4"/>
    <x v="44"/>
    <x v="394"/>
    <x v="3"/>
    <n v="0"/>
    <n v="6.4069757443638395E+18"/>
  </r>
  <r>
    <b v="0"/>
    <x v="465"/>
    <x v="13"/>
    <x v="7"/>
    <x v="2"/>
    <x v="13"/>
    <x v="270"/>
    <x v="3"/>
    <n v="0"/>
    <n v="1.83320386590801E+19"/>
  </r>
  <r>
    <b v="0"/>
    <x v="466"/>
    <x v="13"/>
    <x v="7"/>
    <x v="7"/>
    <x v="8"/>
    <x v="395"/>
    <x v="3"/>
    <n v="0"/>
    <n v="1.80572481756288E+19"/>
  </r>
  <r>
    <b v="0"/>
    <x v="467"/>
    <x v="13"/>
    <x v="7"/>
    <x v="5"/>
    <x v="13"/>
    <x v="396"/>
    <x v="3"/>
    <n v="0"/>
    <n v="6.9392922465461996E+18"/>
  </r>
  <r>
    <b v="0"/>
    <x v="468"/>
    <x v="13"/>
    <x v="7"/>
    <x v="7"/>
    <x v="19"/>
    <x v="264"/>
    <x v="3"/>
    <n v="0"/>
    <n v="8.7461694162911898E+18"/>
  </r>
  <r>
    <b v="0"/>
    <x v="469"/>
    <x v="14"/>
    <x v="0"/>
    <x v="4"/>
    <x v="25"/>
    <x v="97"/>
    <x v="0"/>
    <n v="0"/>
    <n v="1.0896311732632799E+19"/>
  </r>
  <r>
    <b v="0"/>
    <x v="470"/>
    <x v="14"/>
    <x v="0"/>
    <x v="7"/>
    <x v="2"/>
    <x v="397"/>
    <x v="0"/>
    <n v="0"/>
    <n v="1.2821529906671401E+19"/>
  </r>
  <r>
    <b v="0"/>
    <x v="471"/>
    <x v="14"/>
    <x v="1"/>
    <x v="0"/>
    <x v="25"/>
    <x v="398"/>
    <x v="1"/>
    <n v="0"/>
    <n v="8.4404535593605005E+17"/>
  </r>
  <r>
    <b v="0"/>
    <x v="472"/>
    <x v="14"/>
    <x v="2"/>
    <x v="1"/>
    <x v="8"/>
    <x v="399"/>
    <x v="1"/>
    <n v="0"/>
    <n v="8.0912170442238802E+18"/>
  </r>
  <r>
    <b v="0"/>
    <x v="473"/>
    <x v="14"/>
    <x v="2"/>
    <x v="2"/>
    <x v="21"/>
    <x v="400"/>
    <x v="1"/>
    <n v="0"/>
    <n v="1.5736055524118E+19"/>
  </r>
  <r>
    <b v="0"/>
    <x v="474"/>
    <x v="14"/>
    <x v="2"/>
    <x v="2"/>
    <x v="33"/>
    <x v="234"/>
    <x v="1"/>
    <n v="0"/>
    <n v="1.2785742755526199E+19"/>
  </r>
  <r>
    <b v="0"/>
    <x v="475"/>
    <x v="14"/>
    <x v="3"/>
    <x v="2"/>
    <x v="0"/>
    <x v="401"/>
    <x v="1"/>
    <n v="0"/>
    <n v="1.11851589017036E+19"/>
  </r>
  <r>
    <b v="0"/>
    <x v="476"/>
    <x v="14"/>
    <x v="3"/>
    <x v="2"/>
    <x v="6"/>
    <x v="402"/>
    <x v="1"/>
    <n v="0"/>
    <n v="1.67091618711354E+19"/>
  </r>
  <r>
    <b v="0"/>
    <x v="477"/>
    <x v="14"/>
    <x v="4"/>
    <x v="5"/>
    <x v="2"/>
    <x v="403"/>
    <x v="1"/>
    <n v="0"/>
    <n v="1.4728094753088201E+19"/>
  </r>
  <r>
    <b v="0"/>
    <x v="478"/>
    <x v="14"/>
    <x v="4"/>
    <x v="1"/>
    <x v="21"/>
    <x v="168"/>
    <x v="1"/>
    <n v="0"/>
    <n v="3.17946743700064E+18"/>
  </r>
  <r>
    <b v="0"/>
    <x v="479"/>
    <x v="14"/>
    <x v="5"/>
    <x v="5"/>
    <x v="25"/>
    <x v="404"/>
    <x v="2"/>
    <n v="0"/>
    <n v="1.36926707578419E+19"/>
  </r>
  <r>
    <b v="0"/>
    <x v="480"/>
    <x v="14"/>
    <x v="5"/>
    <x v="2"/>
    <x v="23"/>
    <x v="405"/>
    <x v="2"/>
    <n v="0"/>
    <n v="1.38276204195513E+19"/>
  </r>
  <r>
    <b v="0"/>
    <x v="481"/>
    <x v="14"/>
    <x v="5"/>
    <x v="2"/>
    <x v="0"/>
    <x v="406"/>
    <x v="2"/>
    <n v="0"/>
    <n v="1.56745772743167E+19"/>
  </r>
  <r>
    <b v="0"/>
    <x v="482"/>
    <x v="14"/>
    <x v="5"/>
    <x v="2"/>
    <x v="2"/>
    <x v="381"/>
    <x v="2"/>
    <n v="0"/>
    <n v="1.3818591272931201E+19"/>
  </r>
  <r>
    <b v="0"/>
    <x v="483"/>
    <x v="14"/>
    <x v="5"/>
    <x v="7"/>
    <x v="14"/>
    <x v="407"/>
    <x v="2"/>
    <n v="0"/>
    <n v="1.1564531704135899E+19"/>
  </r>
  <r>
    <b v="0"/>
    <x v="484"/>
    <x v="14"/>
    <x v="5"/>
    <x v="7"/>
    <x v="6"/>
    <x v="408"/>
    <x v="2"/>
    <n v="0"/>
    <n v="1.3325724974043099E+19"/>
  </r>
  <r>
    <b v="0"/>
    <x v="485"/>
    <x v="14"/>
    <x v="5"/>
    <x v="10"/>
    <x v="6"/>
    <x v="409"/>
    <x v="2"/>
    <n v="0"/>
    <n v="1.8152297727888099E+19"/>
  </r>
  <r>
    <b v="0"/>
    <x v="486"/>
    <x v="14"/>
    <x v="6"/>
    <x v="2"/>
    <x v="72"/>
    <x v="410"/>
    <x v="3"/>
    <n v="0"/>
    <n v="8.1064263439186504E+18"/>
  </r>
  <r>
    <b v="0"/>
    <x v="487"/>
    <x v="14"/>
    <x v="6"/>
    <x v="1"/>
    <x v="0"/>
    <x v="411"/>
    <x v="3"/>
    <n v="0"/>
    <n v="1.0926096321975099E+19"/>
  </r>
  <r>
    <b v="0"/>
    <x v="488"/>
    <x v="14"/>
    <x v="6"/>
    <x v="7"/>
    <x v="25"/>
    <x v="412"/>
    <x v="3"/>
    <n v="0"/>
    <n v="1.82375478982109E+19"/>
  </r>
  <r>
    <b v="0"/>
    <x v="489"/>
    <x v="14"/>
    <x v="6"/>
    <x v="6"/>
    <x v="14"/>
    <x v="413"/>
    <x v="3"/>
    <n v="0"/>
    <n v="8.3852782840324905E+18"/>
  </r>
  <r>
    <b v="0"/>
    <x v="490"/>
    <x v="14"/>
    <x v="6"/>
    <x v="0"/>
    <x v="13"/>
    <x v="282"/>
    <x v="3"/>
    <n v="0"/>
    <n v="1.7149708208778299E+19"/>
  </r>
  <r>
    <b v="0"/>
    <x v="491"/>
    <x v="14"/>
    <x v="6"/>
    <x v="1"/>
    <x v="33"/>
    <x v="414"/>
    <x v="3"/>
    <n v="0"/>
    <n v="8.7668175737550899E+18"/>
  </r>
  <r>
    <b v="0"/>
    <x v="492"/>
    <x v="14"/>
    <x v="7"/>
    <x v="13"/>
    <x v="20"/>
    <x v="415"/>
    <x v="3"/>
    <n v="0"/>
    <n v="5.7701730922016901E+18"/>
  </r>
  <r>
    <b v="0"/>
    <x v="493"/>
    <x v="14"/>
    <x v="7"/>
    <x v="4"/>
    <x v="2"/>
    <x v="416"/>
    <x v="3"/>
    <n v="0"/>
    <n v="2.20013698876722E+18"/>
  </r>
  <r>
    <b v="0"/>
    <x v="494"/>
    <x v="14"/>
    <x v="7"/>
    <x v="4"/>
    <x v="14"/>
    <x v="50"/>
    <x v="3"/>
    <n v="0"/>
    <n v="1.0373103749549601E+19"/>
  </r>
  <r>
    <b v="0"/>
    <x v="495"/>
    <x v="14"/>
    <x v="7"/>
    <x v="0"/>
    <x v="6"/>
    <x v="417"/>
    <x v="3"/>
    <n v="0"/>
    <n v="3.8625341282817101E+18"/>
  </r>
  <r>
    <b v="0"/>
    <x v="496"/>
    <x v="14"/>
    <x v="7"/>
    <x v="0"/>
    <x v="13"/>
    <x v="193"/>
    <x v="3"/>
    <n v="0"/>
    <n v="8.9036936215555103E+18"/>
  </r>
  <r>
    <b v="0"/>
    <x v="497"/>
    <x v="14"/>
    <x v="7"/>
    <x v="2"/>
    <x v="15"/>
    <x v="418"/>
    <x v="3"/>
    <n v="0"/>
    <n v="9.1878226198256896E+18"/>
  </r>
  <r>
    <b v="0"/>
    <x v="498"/>
    <x v="14"/>
    <x v="7"/>
    <x v="7"/>
    <x v="31"/>
    <x v="419"/>
    <x v="3"/>
    <n v="0"/>
    <n v="1.52237336643566E+19"/>
  </r>
  <r>
    <b v="0"/>
    <x v="499"/>
    <x v="14"/>
    <x v="7"/>
    <x v="5"/>
    <x v="33"/>
    <x v="420"/>
    <x v="3"/>
    <n v="0"/>
    <n v="1.8134789465925501E+19"/>
  </r>
  <r>
    <b v="0"/>
    <x v="500"/>
    <x v="14"/>
    <x v="7"/>
    <x v="2"/>
    <x v="20"/>
    <x v="421"/>
    <x v="3"/>
    <n v="0"/>
    <n v="1.6647126556319101E+19"/>
  </r>
  <r>
    <b v="0"/>
    <x v="501"/>
    <x v="14"/>
    <x v="7"/>
    <x v="10"/>
    <x v="6"/>
    <x v="422"/>
    <x v="3"/>
    <n v="0"/>
    <n v="7.2859114938494095E+18"/>
  </r>
  <r>
    <b v="0"/>
    <x v="502"/>
    <x v="14"/>
    <x v="7"/>
    <x v="1"/>
    <x v="13"/>
    <x v="423"/>
    <x v="3"/>
    <n v="0"/>
    <n v="1.60528557956085E+19"/>
  </r>
  <r>
    <b v="0"/>
    <x v="503"/>
    <x v="14"/>
    <x v="7"/>
    <x v="2"/>
    <x v="21"/>
    <x v="306"/>
    <x v="3"/>
    <n v="0"/>
    <n v="1.7785369015399201E+19"/>
  </r>
  <r>
    <b v="0"/>
    <x v="504"/>
    <x v="14"/>
    <x v="7"/>
    <x v="10"/>
    <x v="36"/>
    <x v="70"/>
    <x v="3"/>
    <n v="0"/>
    <n v="2.80967624222338E+18"/>
  </r>
  <r>
    <b v="0"/>
    <x v="505"/>
    <x v="14"/>
    <x v="7"/>
    <x v="5"/>
    <x v="25"/>
    <x v="370"/>
    <x v="3"/>
    <n v="0"/>
    <n v="5.8562943581089997E+18"/>
  </r>
  <r>
    <b v="0"/>
    <x v="506"/>
    <x v="15"/>
    <x v="0"/>
    <x v="4"/>
    <x v="27"/>
    <x v="424"/>
    <x v="0"/>
    <n v="0"/>
    <n v="2.3466846089988803E+18"/>
  </r>
  <r>
    <b v="0"/>
    <x v="507"/>
    <x v="15"/>
    <x v="0"/>
    <x v="7"/>
    <x v="2"/>
    <x v="321"/>
    <x v="0"/>
    <n v="0"/>
    <n v="1.1172475566546301E+19"/>
  </r>
  <r>
    <b v="0"/>
    <x v="508"/>
    <x v="15"/>
    <x v="0"/>
    <x v="2"/>
    <x v="14"/>
    <x v="425"/>
    <x v="0"/>
    <n v="0"/>
    <n v="3.6779658150037402E+18"/>
  </r>
  <r>
    <b v="0"/>
    <x v="509"/>
    <x v="15"/>
    <x v="1"/>
    <x v="0"/>
    <x v="0"/>
    <x v="12"/>
    <x v="1"/>
    <n v="0"/>
    <n v="1.48316814367518E+19"/>
  </r>
  <r>
    <b v="0"/>
    <x v="510"/>
    <x v="15"/>
    <x v="1"/>
    <x v="10"/>
    <x v="19"/>
    <x v="426"/>
    <x v="1"/>
    <n v="0"/>
    <n v="1.04920350297965E+18"/>
  </r>
  <r>
    <b v="0"/>
    <x v="511"/>
    <x v="15"/>
    <x v="2"/>
    <x v="4"/>
    <x v="21"/>
    <x v="427"/>
    <x v="1"/>
    <n v="0"/>
    <n v="4.6595187478129705E+18"/>
  </r>
  <r>
    <b v="0"/>
    <x v="512"/>
    <x v="15"/>
    <x v="3"/>
    <x v="1"/>
    <x v="0"/>
    <x v="428"/>
    <x v="1"/>
    <n v="0"/>
    <n v="8.6709309321252997E+18"/>
  </r>
  <r>
    <b v="0"/>
    <x v="513"/>
    <x v="15"/>
    <x v="4"/>
    <x v="2"/>
    <x v="1"/>
    <x v="429"/>
    <x v="1"/>
    <n v="0"/>
    <n v="1.46650842835625E+19"/>
  </r>
  <r>
    <b v="0"/>
    <x v="514"/>
    <x v="15"/>
    <x v="4"/>
    <x v="3"/>
    <x v="21"/>
    <x v="9"/>
    <x v="1"/>
    <n v="0"/>
    <n v="1.6081680167290499E+19"/>
  </r>
  <r>
    <b v="0"/>
    <x v="515"/>
    <x v="15"/>
    <x v="5"/>
    <x v="2"/>
    <x v="0"/>
    <x v="343"/>
    <x v="2"/>
    <n v="0"/>
    <n v="1.4236246210452799E+19"/>
  </r>
  <r>
    <b v="0"/>
    <x v="516"/>
    <x v="15"/>
    <x v="5"/>
    <x v="6"/>
    <x v="14"/>
    <x v="430"/>
    <x v="2"/>
    <n v="0"/>
    <n v="1.5418981531884401E+19"/>
  </r>
  <r>
    <b v="0"/>
    <x v="517"/>
    <x v="15"/>
    <x v="5"/>
    <x v="0"/>
    <x v="12"/>
    <x v="431"/>
    <x v="2"/>
    <n v="0"/>
    <n v="1.4135182011248699E+19"/>
  </r>
  <r>
    <b v="0"/>
    <x v="518"/>
    <x v="15"/>
    <x v="5"/>
    <x v="5"/>
    <x v="12"/>
    <x v="432"/>
    <x v="2"/>
    <n v="0"/>
    <n v="4.7429465321035203E+18"/>
  </r>
  <r>
    <b v="0"/>
    <x v="519"/>
    <x v="15"/>
    <x v="5"/>
    <x v="2"/>
    <x v="13"/>
    <x v="433"/>
    <x v="2"/>
    <n v="0"/>
    <n v="2.1819415623488599E+18"/>
  </r>
  <r>
    <b v="0"/>
    <x v="520"/>
    <x v="15"/>
    <x v="5"/>
    <x v="2"/>
    <x v="1"/>
    <x v="434"/>
    <x v="2"/>
    <n v="0"/>
    <n v="6.9828632818337495E+18"/>
  </r>
  <r>
    <b v="0"/>
    <x v="521"/>
    <x v="15"/>
    <x v="5"/>
    <x v="7"/>
    <x v="14"/>
    <x v="239"/>
    <x v="2"/>
    <n v="0"/>
    <n v="6.49698512058927E+18"/>
  </r>
  <r>
    <b v="0"/>
    <x v="522"/>
    <x v="15"/>
    <x v="5"/>
    <x v="2"/>
    <x v="0"/>
    <x v="341"/>
    <x v="2"/>
    <n v="0"/>
    <n v="1.3635333185938301E+19"/>
  </r>
  <r>
    <b v="0"/>
    <x v="523"/>
    <x v="15"/>
    <x v="6"/>
    <x v="9"/>
    <x v="13"/>
    <x v="435"/>
    <x v="3"/>
    <n v="0"/>
    <n v="8.7875138091772498E+18"/>
  </r>
  <r>
    <b v="0"/>
    <x v="524"/>
    <x v="15"/>
    <x v="6"/>
    <x v="0"/>
    <x v="0"/>
    <x v="436"/>
    <x v="3"/>
    <n v="0"/>
    <n v="8.3989750034457303E+18"/>
  </r>
  <r>
    <b v="0"/>
    <x v="525"/>
    <x v="15"/>
    <x v="6"/>
    <x v="2"/>
    <x v="31"/>
    <x v="326"/>
    <x v="3"/>
    <n v="0"/>
    <n v="1.3403153112150499E+19"/>
  </r>
  <r>
    <b v="0"/>
    <x v="526"/>
    <x v="15"/>
    <x v="6"/>
    <x v="0"/>
    <x v="0"/>
    <x v="135"/>
    <x v="3"/>
    <n v="0"/>
    <n v="1.32631585801821E+19"/>
  </r>
  <r>
    <b v="0"/>
    <x v="527"/>
    <x v="15"/>
    <x v="6"/>
    <x v="10"/>
    <x v="31"/>
    <x v="437"/>
    <x v="3"/>
    <n v="0"/>
    <n v="2.07216554779709E+18"/>
  </r>
  <r>
    <b v="0"/>
    <x v="528"/>
    <x v="15"/>
    <x v="6"/>
    <x v="7"/>
    <x v="31"/>
    <x v="359"/>
    <x v="3"/>
    <n v="0"/>
    <n v="1.53253683660235E+19"/>
  </r>
  <r>
    <b v="0"/>
    <x v="529"/>
    <x v="15"/>
    <x v="6"/>
    <x v="0"/>
    <x v="25"/>
    <x v="60"/>
    <x v="3"/>
    <n v="0"/>
    <n v="1.05384114525493E+19"/>
  </r>
  <r>
    <b v="0"/>
    <x v="530"/>
    <x v="15"/>
    <x v="6"/>
    <x v="2"/>
    <x v="2"/>
    <x v="438"/>
    <x v="3"/>
    <n v="0"/>
    <n v="1.58231979670348E+19"/>
  </r>
  <r>
    <b v="0"/>
    <x v="531"/>
    <x v="15"/>
    <x v="6"/>
    <x v="10"/>
    <x v="73"/>
    <x v="77"/>
    <x v="3"/>
    <n v="0"/>
    <n v="5.41208996448512E+18"/>
  </r>
  <r>
    <b v="0"/>
    <x v="532"/>
    <x v="15"/>
    <x v="6"/>
    <x v="2"/>
    <x v="31"/>
    <x v="343"/>
    <x v="3"/>
    <n v="0"/>
    <n v="9.4657402829785293E+18"/>
  </r>
  <r>
    <b v="0"/>
    <x v="533"/>
    <x v="15"/>
    <x v="6"/>
    <x v="10"/>
    <x v="12"/>
    <x v="439"/>
    <x v="3"/>
    <n v="0"/>
    <n v="8.7128228852419297E+18"/>
  </r>
  <r>
    <b v="0"/>
    <x v="534"/>
    <x v="15"/>
    <x v="7"/>
    <x v="0"/>
    <x v="6"/>
    <x v="440"/>
    <x v="3"/>
    <n v="0"/>
    <n v="4.5716331026551002E+17"/>
  </r>
  <r>
    <b v="0"/>
    <x v="535"/>
    <x v="15"/>
    <x v="7"/>
    <x v="0"/>
    <x v="13"/>
    <x v="441"/>
    <x v="3"/>
    <n v="0"/>
    <n v="2.50701152325421E+18"/>
  </r>
  <r>
    <b v="0"/>
    <x v="536"/>
    <x v="15"/>
    <x v="7"/>
    <x v="2"/>
    <x v="2"/>
    <x v="109"/>
    <x v="3"/>
    <n v="0"/>
    <n v="8.26107596180113E+18"/>
  </r>
  <r>
    <b v="0"/>
    <x v="537"/>
    <x v="15"/>
    <x v="7"/>
    <x v="10"/>
    <x v="16"/>
    <x v="442"/>
    <x v="3"/>
    <n v="0"/>
    <n v="7.8234986269380905E+18"/>
  </r>
  <r>
    <b v="0"/>
    <x v="538"/>
    <x v="15"/>
    <x v="7"/>
    <x v="0"/>
    <x v="1"/>
    <x v="311"/>
    <x v="3"/>
    <n v="0"/>
    <n v="1.7034446259988699E+19"/>
  </r>
  <r>
    <b v="0"/>
    <x v="539"/>
    <x v="15"/>
    <x v="7"/>
    <x v="10"/>
    <x v="25"/>
    <x v="443"/>
    <x v="3"/>
    <n v="0"/>
    <n v="1.4189036696189999E+19"/>
  </r>
  <r>
    <b v="0"/>
    <x v="540"/>
    <x v="15"/>
    <x v="7"/>
    <x v="7"/>
    <x v="13"/>
    <x v="444"/>
    <x v="3"/>
    <n v="0"/>
    <n v="1.6251080914395601E+19"/>
  </r>
  <r>
    <b v="0"/>
    <x v="541"/>
    <x v="15"/>
    <x v="7"/>
    <x v="10"/>
    <x v="6"/>
    <x v="445"/>
    <x v="3"/>
    <n v="0"/>
    <n v="4.3816085485416899E+18"/>
  </r>
  <r>
    <b v="0"/>
    <x v="542"/>
    <x v="16"/>
    <x v="0"/>
    <x v="7"/>
    <x v="25"/>
    <x v="446"/>
    <x v="0"/>
    <n v="0"/>
    <n v="1.65255324273017E+19"/>
  </r>
  <r>
    <b v="0"/>
    <x v="543"/>
    <x v="16"/>
    <x v="0"/>
    <x v="4"/>
    <x v="54"/>
    <x v="72"/>
    <x v="0"/>
    <n v="0"/>
    <n v="9.8989705881164001E+18"/>
  </r>
  <r>
    <b v="0"/>
    <x v="544"/>
    <x v="16"/>
    <x v="1"/>
    <x v="0"/>
    <x v="16"/>
    <x v="447"/>
    <x v="1"/>
    <n v="0"/>
    <n v="1.4087959293627699E+19"/>
  </r>
  <r>
    <b v="0"/>
    <x v="545"/>
    <x v="16"/>
    <x v="1"/>
    <x v="6"/>
    <x v="62"/>
    <x v="363"/>
    <x v="1"/>
    <n v="0"/>
    <n v="1.3728957665951001E+19"/>
  </r>
  <r>
    <b v="0"/>
    <x v="546"/>
    <x v="16"/>
    <x v="1"/>
    <x v="9"/>
    <x v="19"/>
    <x v="209"/>
    <x v="1"/>
    <n v="0"/>
    <n v="7.8271394700746004E+18"/>
  </r>
  <r>
    <b v="0"/>
    <x v="547"/>
    <x v="16"/>
    <x v="2"/>
    <x v="1"/>
    <x v="8"/>
    <x v="448"/>
    <x v="1"/>
    <n v="0"/>
    <n v="4.6709022498964101E+18"/>
  </r>
  <r>
    <b v="0"/>
    <x v="548"/>
    <x v="16"/>
    <x v="3"/>
    <x v="1"/>
    <x v="8"/>
    <x v="369"/>
    <x v="1"/>
    <n v="0"/>
    <n v="8.01557511990541E+18"/>
  </r>
  <r>
    <b v="0"/>
    <x v="549"/>
    <x v="16"/>
    <x v="3"/>
    <x v="6"/>
    <x v="21"/>
    <x v="373"/>
    <x v="1"/>
    <n v="0"/>
    <n v="7.2486432891415398E+18"/>
  </r>
  <r>
    <b v="0"/>
    <x v="550"/>
    <x v="16"/>
    <x v="4"/>
    <x v="0"/>
    <x v="6"/>
    <x v="292"/>
    <x v="1"/>
    <n v="0"/>
    <n v="2.4091012722115E+18"/>
  </r>
  <r>
    <b v="0"/>
    <x v="551"/>
    <x v="16"/>
    <x v="5"/>
    <x v="0"/>
    <x v="0"/>
    <x v="449"/>
    <x v="2"/>
    <n v="0"/>
    <n v="9.571993647744469E+18"/>
  </r>
  <r>
    <b v="0"/>
    <x v="552"/>
    <x v="16"/>
    <x v="5"/>
    <x v="1"/>
    <x v="3"/>
    <x v="292"/>
    <x v="2"/>
    <n v="0"/>
    <n v="1.65971125980992E+18"/>
  </r>
  <r>
    <b v="0"/>
    <x v="553"/>
    <x v="16"/>
    <x v="5"/>
    <x v="2"/>
    <x v="16"/>
    <x v="450"/>
    <x v="2"/>
    <n v="0"/>
    <n v="9.2944082112528507E+18"/>
  </r>
  <r>
    <b v="0"/>
    <x v="554"/>
    <x v="16"/>
    <x v="5"/>
    <x v="1"/>
    <x v="6"/>
    <x v="451"/>
    <x v="2"/>
    <n v="0"/>
    <n v="9.8460287444213309E+18"/>
  </r>
  <r>
    <b v="0"/>
    <x v="555"/>
    <x v="16"/>
    <x v="5"/>
    <x v="0"/>
    <x v="2"/>
    <x v="452"/>
    <x v="2"/>
    <n v="0"/>
    <n v="1.63451175771166E+19"/>
  </r>
  <r>
    <b v="0"/>
    <x v="556"/>
    <x v="16"/>
    <x v="6"/>
    <x v="0"/>
    <x v="19"/>
    <x v="453"/>
    <x v="3"/>
    <n v="0"/>
    <n v="5.0533407485816504E+18"/>
  </r>
  <r>
    <b v="0"/>
    <x v="557"/>
    <x v="16"/>
    <x v="6"/>
    <x v="5"/>
    <x v="38"/>
    <x v="454"/>
    <x v="3"/>
    <n v="0"/>
    <n v="6.9935189981292298E+18"/>
  </r>
  <r>
    <b v="0"/>
    <x v="558"/>
    <x v="16"/>
    <x v="6"/>
    <x v="14"/>
    <x v="7"/>
    <x v="455"/>
    <x v="3"/>
    <n v="0"/>
    <n v="9.4285955069380096E+18"/>
  </r>
  <r>
    <b v="0"/>
    <x v="559"/>
    <x v="16"/>
    <x v="6"/>
    <x v="0"/>
    <x v="47"/>
    <x v="456"/>
    <x v="3"/>
    <n v="0"/>
    <n v="5.2899542230945198E+18"/>
  </r>
  <r>
    <b v="0"/>
    <x v="560"/>
    <x v="16"/>
    <x v="6"/>
    <x v="0"/>
    <x v="29"/>
    <x v="457"/>
    <x v="3"/>
    <n v="0"/>
    <n v="1.2698373676281999E+19"/>
  </r>
  <r>
    <b v="0"/>
    <x v="561"/>
    <x v="16"/>
    <x v="6"/>
    <x v="6"/>
    <x v="2"/>
    <x v="458"/>
    <x v="3"/>
    <n v="0"/>
    <n v="8.9602182783588598E+18"/>
  </r>
  <r>
    <b v="0"/>
    <x v="562"/>
    <x v="16"/>
    <x v="6"/>
    <x v="2"/>
    <x v="36"/>
    <x v="234"/>
    <x v="3"/>
    <n v="0"/>
    <n v="1.05419442765295E+19"/>
  </r>
  <r>
    <b v="0"/>
    <x v="563"/>
    <x v="16"/>
    <x v="7"/>
    <x v="2"/>
    <x v="64"/>
    <x v="173"/>
    <x v="3"/>
    <n v="0"/>
    <n v="1.4707114193085901E+19"/>
  </r>
  <r>
    <b v="0"/>
    <x v="475"/>
    <x v="16"/>
    <x v="7"/>
    <x v="0"/>
    <x v="31"/>
    <x v="97"/>
    <x v="3"/>
    <n v="0"/>
    <n v="2.0368988142061199E+18"/>
  </r>
  <r>
    <b v="0"/>
    <x v="564"/>
    <x v="16"/>
    <x v="7"/>
    <x v="10"/>
    <x v="6"/>
    <x v="459"/>
    <x v="3"/>
    <n v="0"/>
    <n v="2.5581065551571599E+18"/>
  </r>
  <r>
    <b v="0"/>
    <x v="565"/>
    <x v="16"/>
    <x v="7"/>
    <x v="1"/>
    <x v="1"/>
    <x v="68"/>
    <x v="3"/>
    <n v="0"/>
    <n v="7.88666021532723E+18"/>
  </r>
  <r>
    <b v="0"/>
    <x v="566"/>
    <x v="16"/>
    <x v="7"/>
    <x v="5"/>
    <x v="74"/>
    <x v="460"/>
    <x v="3"/>
    <n v="0"/>
    <n v="9.7766737902602691E+18"/>
  </r>
  <r>
    <b v="0"/>
    <x v="567"/>
    <x v="16"/>
    <x v="7"/>
    <x v="2"/>
    <x v="56"/>
    <x v="16"/>
    <x v="3"/>
    <n v="0"/>
    <n v="1.47199508268871E+19"/>
  </r>
  <r>
    <b v="0"/>
    <x v="568"/>
    <x v="16"/>
    <x v="7"/>
    <x v="2"/>
    <x v="0"/>
    <x v="167"/>
    <x v="3"/>
    <n v="0"/>
    <n v="1.2144401432995E+19"/>
  </r>
  <r>
    <b v="0"/>
    <x v="569"/>
    <x v="17"/>
    <x v="0"/>
    <x v="1"/>
    <x v="1"/>
    <x v="461"/>
    <x v="0"/>
    <n v="0"/>
    <n v="2.4514494562054502E+18"/>
  </r>
  <r>
    <b v="0"/>
    <x v="570"/>
    <x v="17"/>
    <x v="0"/>
    <x v="0"/>
    <x v="25"/>
    <x v="36"/>
    <x v="0"/>
    <n v="0"/>
    <n v="1.2891304507904801E+19"/>
  </r>
  <r>
    <b v="0"/>
    <x v="571"/>
    <x v="17"/>
    <x v="1"/>
    <x v="0"/>
    <x v="0"/>
    <x v="462"/>
    <x v="1"/>
    <n v="0"/>
    <n v="4.3854219012828401E+18"/>
  </r>
  <r>
    <b v="0"/>
    <x v="572"/>
    <x v="17"/>
    <x v="2"/>
    <x v="4"/>
    <x v="6"/>
    <x v="437"/>
    <x v="1"/>
    <n v="0"/>
    <n v="3.4219809410727301E+18"/>
  </r>
  <r>
    <b v="0"/>
    <x v="573"/>
    <x v="17"/>
    <x v="3"/>
    <x v="1"/>
    <x v="33"/>
    <x v="463"/>
    <x v="1"/>
    <n v="0"/>
    <n v="1.47695692851391E+18"/>
  </r>
  <r>
    <b v="0"/>
    <x v="574"/>
    <x v="17"/>
    <x v="3"/>
    <x v="7"/>
    <x v="14"/>
    <x v="464"/>
    <x v="1"/>
    <n v="0"/>
    <n v="1.7392084927956401E+18"/>
  </r>
  <r>
    <b v="0"/>
    <x v="575"/>
    <x v="17"/>
    <x v="4"/>
    <x v="0"/>
    <x v="2"/>
    <x v="373"/>
    <x v="1"/>
    <n v="0"/>
    <n v="5.8834657680321004E+18"/>
  </r>
  <r>
    <b v="0"/>
    <x v="576"/>
    <x v="17"/>
    <x v="4"/>
    <x v="0"/>
    <x v="6"/>
    <x v="465"/>
    <x v="1"/>
    <n v="0"/>
    <n v="1.2715354026293701E+18"/>
  </r>
  <r>
    <b v="0"/>
    <x v="577"/>
    <x v="17"/>
    <x v="5"/>
    <x v="10"/>
    <x v="25"/>
    <x v="466"/>
    <x v="2"/>
    <n v="0"/>
    <n v="2.5288504986050202E+18"/>
  </r>
  <r>
    <b v="0"/>
    <x v="578"/>
    <x v="17"/>
    <x v="5"/>
    <x v="6"/>
    <x v="47"/>
    <x v="467"/>
    <x v="2"/>
    <n v="0"/>
    <n v="7.7494368695276096E+17"/>
  </r>
  <r>
    <b v="0"/>
    <x v="579"/>
    <x v="17"/>
    <x v="5"/>
    <x v="4"/>
    <x v="0"/>
    <x v="468"/>
    <x v="2"/>
    <n v="0"/>
    <n v="9.0128294456437402E+18"/>
  </r>
  <r>
    <b v="0"/>
    <x v="580"/>
    <x v="17"/>
    <x v="5"/>
    <x v="2"/>
    <x v="6"/>
    <x v="469"/>
    <x v="2"/>
    <n v="0"/>
    <n v="1.12447011397999E+19"/>
  </r>
  <r>
    <b v="0"/>
    <x v="581"/>
    <x v="17"/>
    <x v="5"/>
    <x v="5"/>
    <x v="6"/>
    <x v="470"/>
    <x v="2"/>
    <n v="0"/>
    <n v="1.202000207419E+19"/>
  </r>
  <r>
    <b v="0"/>
    <x v="582"/>
    <x v="17"/>
    <x v="5"/>
    <x v="4"/>
    <x v="33"/>
    <x v="361"/>
    <x v="2"/>
    <n v="0"/>
    <n v="4.9188459374618696E+18"/>
  </r>
  <r>
    <b v="0"/>
    <x v="583"/>
    <x v="17"/>
    <x v="5"/>
    <x v="7"/>
    <x v="27"/>
    <x v="471"/>
    <x v="2"/>
    <n v="0"/>
    <n v="9.9409942460848294E+17"/>
  </r>
  <r>
    <b v="0"/>
    <x v="584"/>
    <x v="17"/>
    <x v="6"/>
    <x v="0"/>
    <x v="25"/>
    <x v="41"/>
    <x v="3"/>
    <n v="0"/>
    <n v="1.2300087664009001E+19"/>
  </r>
  <r>
    <b v="0"/>
    <x v="585"/>
    <x v="17"/>
    <x v="6"/>
    <x v="1"/>
    <x v="0"/>
    <x v="472"/>
    <x v="3"/>
    <n v="0"/>
    <n v="5.1287537805225997E+17"/>
  </r>
  <r>
    <b v="0"/>
    <x v="586"/>
    <x v="17"/>
    <x v="6"/>
    <x v="5"/>
    <x v="40"/>
    <x v="74"/>
    <x v="3"/>
    <n v="0"/>
    <n v="1.4568705364821899E+19"/>
  </r>
  <r>
    <b v="0"/>
    <x v="587"/>
    <x v="17"/>
    <x v="6"/>
    <x v="9"/>
    <x v="20"/>
    <x v="470"/>
    <x v="3"/>
    <n v="0"/>
    <n v="1.4792075868613401E+19"/>
  </r>
  <r>
    <b v="0"/>
    <x v="588"/>
    <x v="17"/>
    <x v="6"/>
    <x v="5"/>
    <x v="75"/>
    <x v="32"/>
    <x v="3"/>
    <n v="0"/>
    <n v="1.19942302928862E+19"/>
  </r>
  <r>
    <b v="0"/>
    <x v="589"/>
    <x v="17"/>
    <x v="7"/>
    <x v="2"/>
    <x v="8"/>
    <x v="473"/>
    <x v="3"/>
    <n v="0"/>
    <n v="7.3238647039992699E+18"/>
  </r>
  <r>
    <b v="0"/>
    <x v="590"/>
    <x v="17"/>
    <x v="7"/>
    <x v="5"/>
    <x v="2"/>
    <x v="357"/>
    <x v="3"/>
    <n v="0"/>
    <n v="1.7986799280854999E+19"/>
  </r>
  <r>
    <b v="0"/>
    <x v="591"/>
    <x v="17"/>
    <x v="7"/>
    <x v="8"/>
    <x v="25"/>
    <x v="474"/>
    <x v="3"/>
    <n v="0"/>
    <n v="1.81245272323538E+19"/>
  </r>
  <r>
    <b v="0"/>
    <x v="592"/>
    <x v="17"/>
    <x v="7"/>
    <x v="7"/>
    <x v="6"/>
    <x v="277"/>
    <x v="3"/>
    <n v="0"/>
    <n v="1.1221113372627499E+19"/>
  </r>
  <r>
    <b v="0"/>
    <x v="593"/>
    <x v="17"/>
    <x v="7"/>
    <x v="5"/>
    <x v="14"/>
    <x v="475"/>
    <x v="3"/>
    <n v="0"/>
    <n v="1.5789147120065401E+19"/>
  </r>
  <r>
    <b v="0"/>
    <x v="594"/>
    <x v="17"/>
    <x v="7"/>
    <x v="1"/>
    <x v="25"/>
    <x v="476"/>
    <x v="3"/>
    <n v="0"/>
    <n v="6.8330927444019098E+18"/>
  </r>
  <r>
    <b v="0"/>
    <x v="595"/>
    <x v="17"/>
    <x v="7"/>
    <x v="1"/>
    <x v="12"/>
    <x v="477"/>
    <x v="3"/>
    <n v="0"/>
    <n v="1.2585194008414401E+19"/>
  </r>
  <r>
    <b v="0"/>
    <x v="596"/>
    <x v="17"/>
    <x v="7"/>
    <x v="2"/>
    <x v="33"/>
    <x v="137"/>
    <x v="3"/>
    <n v="0"/>
    <n v="6.6500073318322196E+18"/>
  </r>
  <r>
    <b v="0"/>
    <x v="597"/>
    <x v="17"/>
    <x v="7"/>
    <x v="2"/>
    <x v="25"/>
    <x v="168"/>
    <x v="3"/>
    <n v="0"/>
    <n v="1.56664003080476E+19"/>
  </r>
  <r>
    <b v="0"/>
    <x v="598"/>
    <x v="17"/>
    <x v="7"/>
    <x v="7"/>
    <x v="12"/>
    <x v="387"/>
    <x v="3"/>
    <n v="0"/>
    <n v="1.1531023245965601E+19"/>
  </r>
  <r>
    <b v="0"/>
    <x v="599"/>
    <x v="17"/>
    <x v="7"/>
    <x v="4"/>
    <x v="47"/>
    <x v="478"/>
    <x v="3"/>
    <n v="0"/>
    <n v="2.5180077426296699E+18"/>
  </r>
  <r>
    <b v="0"/>
    <x v="600"/>
    <x v="17"/>
    <x v="7"/>
    <x v="5"/>
    <x v="13"/>
    <x v="9"/>
    <x v="3"/>
    <n v="0"/>
    <n v="1.6923190898658601E+19"/>
  </r>
  <r>
    <b v="0"/>
    <x v="601"/>
    <x v="18"/>
    <x v="0"/>
    <x v="6"/>
    <x v="15"/>
    <x v="479"/>
    <x v="0"/>
    <n v="0"/>
    <n v="9.8684987492264694E+18"/>
  </r>
  <r>
    <b v="0"/>
    <x v="602"/>
    <x v="18"/>
    <x v="0"/>
    <x v="7"/>
    <x v="2"/>
    <x v="480"/>
    <x v="0"/>
    <n v="0"/>
    <n v="1.05379994207081E+19"/>
  </r>
  <r>
    <b v="0"/>
    <x v="603"/>
    <x v="18"/>
    <x v="0"/>
    <x v="0"/>
    <x v="13"/>
    <x v="71"/>
    <x v="0"/>
    <n v="0"/>
    <n v="5.0124488930696602E+18"/>
  </r>
  <r>
    <b v="0"/>
    <x v="604"/>
    <x v="18"/>
    <x v="1"/>
    <x v="7"/>
    <x v="6"/>
    <x v="282"/>
    <x v="1"/>
    <n v="0"/>
    <n v="1.25815366425821E+19"/>
  </r>
  <r>
    <b v="0"/>
    <x v="605"/>
    <x v="18"/>
    <x v="1"/>
    <x v="2"/>
    <x v="2"/>
    <x v="481"/>
    <x v="1"/>
    <n v="0"/>
    <n v="9.0433943718466601E+18"/>
  </r>
  <r>
    <b v="0"/>
    <x v="606"/>
    <x v="18"/>
    <x v="2"/>
    <x v="4"/>
    <x v="8"/>
    <x v="482"/>
    <x v="1"/>
    <n v="0"/>
    <n v="1.3597566535911899E+19"/>
  </r>
  <r>
    <b v="0"/>
    <x v="607"/>
    <x v="18"/>
    <x v="3"/>
    <x v="4"/>
    <x v="14"/>
    <x v="1"/>
    <x v="1"/>
    <n v="0"/>
    <n v="1.44451418029761E+19"/>
  </r>
  <r>
    <b v="0"/>
    <x v="608"/>
    <x v="18"/>
    <x v="3"/>
    <x v="1"/>
    <x v="57"/>
    <x v="483"/>
    <x v="1"/>
    <n v="0"/>
    <n v="3.4979461112551598E+18"/>
  </r>
  <r>
    <b v="0"/>
    <x v="609"/>
    <x v="18"/>
    <x v="4"/>
    <x v="2"/>
    <x v="13"/>
    <x v="484"/>
    <x v="1"/>
    <n v="0"/>
    <n v="5.7030791857335398E+18"/>
  </r>
  <r>
    <b v="0"/>
    <x v="610"/>
    <x v="18"/>
    <x v="4"/>
    <x v="2"/>
    <x v="14"/>
    <x v="485"/>
    <x v="1"/>
    <n v="0"/>
    <n v="8.8414021435676897E+18"/>
  </r>
  <r>
    <b v="0"/>
    <x v="611"/>
    <x v="18"/>
    <x v="4"/>
    <x v="1"/>
    <x v="0"/>
    <x v="486"/>
    <x v="1"/>
    <n v="0"/>
    <n v="1.63138984316335E+19"/>
  </r>
  <r>
    <b v="0"/>
    <x v="612"/>
    <x v="18"/>
    <x v="5"/>
    <x v="3"/>
    <x v="6"/>
    <x v="56"/>
    <x v="2"/>
    <n v="0"/>
    <n v="2.0601391915258299E+18"/>
  </r>
  <r>
    <b v="0"/>
    <x v="613"/>
    <x v="18"/>
    <x v="5"/>
    <x v="2"/>
    <x v="8"/>
    <x v="471"/>
    <x v="2"/>
    <n v="0"/>
    <n v="1.4257551803746601E+19"/>
  </r>
  <r>
    <b v="0"/>
    <x v="614"/>
    <x v="18"/>
    <x v="5"/>
    <x v="8"/>
    <x v="20"/>
    <x v="487"/>
    <x v="2"/>
    <n v="0"/>
    <n v="8.7064404535163597E+18"/>
  </r>
  <r>
    <b v="0"/>
    <x v="615"/>
    <x v="18"/>
    <x v="5"/>
    <x v="4"/>
    <x v="8"/>
    <x v="384"/>
    <x v="2"/>
    <n v="0"/>
    <n v="8.3092989348412396E+18"/>
  </r>
  <r>
    <b v="0"/>
    <x v="616"/>
    <x v="18"/>
    <x v="5"/>
    <x v="2"/>
    <x v="25"/>
    <x v="488"/>
    <x v="2"/>
    <n v="0"/>
    <n v="6.2655596859029402E+18"/>
  </r>
  <r>
    <b v="0"/>
    <x v="617"/>
    <x v="18"/>
    <x v="5"/>
    <x v="7"/>
    <x v="13"/>
    <x v="489"/>
    <x v="2"/>
    <n v="0"/>
    <n v="1.63960077686481E+19"/>
  </r>
  <r>
    <b v="0"/>
    <x v="618"/>
    <x v="18"/>
    <x v="5"/>
    <x v="5"/>
    <x v="13"/>
    <x v="490"/>
    <x v="2"/>
    <n v="0"/>
    <n v="1.2531728673268199E+19"/>
  </r>
  <r>
    <b v="0"/>
    <x v="619"/>
    <x v="18"/>
    <x v="5"/>
    <x v="6"/>
    <x v="0"/>
    <x v="491"/>
    <x v="2"/>
    <n v="0"/>
    <n v="2.30380865022735E+18"/>
  </r>
  <r>
    <b v="0"/>
    <x v="620"/>
    <x v="18"/>
    <x v="6"/>
    <x v="0"/>
    <x v="44"/>
    <x v="492"/>
    <x v="3"/>
    <n v="0"/>
    <n v="1.8892016268432899E+17"/>
  </r>
  <r>
    <b v="0"/>
    <x v="621"/>
    <x v="18"/>
    <x v="6"/>
    <x v="10"/>
    <x v="31"/>
    <x v="493"/>
    <x v="3"/>
    <n v="0"/>
    <n v="1.6156187568225499E+19"/>
  </r>
  <r>
    <b v="0"/>
    <x v="622"/>
    <x v="18"/>
    <x v="6"/>
    <x v="7"/>
    <x v="48"/>
    <x v="494"/>
    <x v="3"/>
    <n v="0"/>
    <n v="8.08684827742464E+18"/>
  </r>
  <r>
    <b v="0"/>
    <x v="623"/>
    <x v="18"/>
    <x v="6"/>
    <x v="9"/>
    <x v="20"/>
    <x v="495"/>
    <x v="3"/>
    <n v="0"/>
    <n v="1.6815830990937801E+19"/>
  </r>
  <r>
    <b v="0"/>
    <x v="624"/>
    <x v="18"/>
    <x v="6"/>
    <x v="1"/>
    <x v="0"/>
    <x v="52"/>
    <x v="3"/>
    <n v="0"/>
    <n v="5.9826073561177395E+18"/>
  </r>
  <r>
    <b v="0"/>
    <x v="625"/>
    <x v="18"/>
    <x v="7"/>
    <x v="10"/>
    <x v="12"/>
    <x v="496"/>
    <x v="3"/>
    <n v="0"/>
    <n v="3.49386401969681E+18"/>
  </r>
  <r>
    <b v="0"/>
    <x v="626"/>
    <x v="18"/>
    <x v="7"/>
    <x v="2"/>
    <x v="14"/>
    <x v="497"/>
    <x v="3"/>
    <n v="0"/>
    <n v="1.6282329405130799E+19"/>
  </r>
  <r>
    <b v="0"/>
    <x v="627"/>
    <x v="18"/>
    <x v="7"/>
    <x v="7"/>
    <x v="1"/>
    <x v="498"/>
    <x v="3"/>
    <n v="0"/>
    <n v="1.4699716988886499E+19"/>
  </r>
  <r>
    <b v="0"/>
    <x v="628"/>
    <x v="18"/>
    <x v="7"/>
    <x v="7"/>
    <x v="31"/>
    <x v="287"/>
    <x v="3"/>
    <n v="0"/>
    <n v="1.00029218914183E+19"/>
  </r>
  <r>
    <b v="0"/>
    <x v="629"/>
    <x v="18"/>
    <x v="7"/>
    <x v="7"/>
    <x v="14"/>
    <x v="499"/>
    <x v="3"/>
    <n v="0"/>
    <n v="7.2266371650378004E+18"/>
  </r>
  <r>
    <b v="0"/>
    <x v="630"/>
    <x v="18"/>
    <x v="7"/>
    <x v="2"/>
    <x v="1"/>
    <x v="355"/>
    <x v="3"/>
    <n v="0"/>
    <n v="1.2745259402083E+19"/>
  </r>
  <r>
    <b v="0"/>
    <x v="631"/>
    <x v="18"/>
    <x v="7"/>
    <x v="2"/>
    <x v="1"/>
    <x v="333"/>
    <x v="3"/>
    <n v="0"/>
    <n v="4.5391139855074698E+18"/>
  </r>
  <r>
    <b v="0"/>
    <x v="632"/>
    <x v="18"/>
    <x v="7"/>
    <x v="5"/>
    <x v="25"/>
    <x v="500"/>
    <x v="3"/>
    <n v="0"/>
    <n v="1.2903971988067799E+19"/>
  </r>
  <r>
    <b v="0"/>
    <x v="633"/>
    <x v="18"/>
    <x v="7"/>
    <x v="10"/>
    <x v="25"/>
    <x v="501"/>
    <x v="3"/>
    <n v="0"/>
    <n v="6.0811087153197005E+18"/>
  </r>
  <r>
    <b v="0"/>
    <x v="634"/>
    <x v="18"/>
    <x v="7"/>
    <x v="7"/>
    <x v="12"/>
    <x v="379"/>
    <x v="3"/>
    <n v="0"/>
    <n v="1.6252629776713099E+19"/>
  </r>
  <r>
    <b v="0"/>
    <x v="635"/>
    <x v="18"/>
    <x v="7"/>
    <x v="6"/>
    <x v="14"/>
    <x v="502"/>
    <x v="3"/>
    <n v="0"/>
    <n v="1.8446110010826299E+19"/>
  </r>
  <r>
    <b v="0"/>
    <x v="636"/>
    <x v="19"/>
    <x v="0"/>
    <x v="4"/>
    <x v="31"/>
    <x v="503"/>
    <x v="0"/>
    <n v="0"/>
    <n v="1.3980530272124201E+19"/>
  </r>
  <r>
    <b v="0"/>
    <x v="637"/>
    <x v="19"/>
    <x v="0"/>
    <x v="4"/>
    <x v="14"/>
    <x v="504"/>
    <x v="0"/>
    <n v="0"/>
    <n v="9.0808570984167096E+18"/>
  </r>
  <r>
    <b v="0"/>
    <x v="638"/>
    <x v="19"/>
    <x v="0"/>
    <x v="7"/>
    <x v="5"/>
    <x v="226"/>
    <x v="0"/>
    <n v="0"/>
    <n v="2.87163696746402E+18"/>
  </r>
  <r>
    <b v="0"/>
    <x v="639"/>
    <x v="19"/>
    <x v="1"/>
    <x v="0"/>
    <x v="42"/>
    <x v="505"/>
    <x v="1"/>
    <n v="0"/>
    <n v="1.7320169542640001E+19"/>
  </r>
  <r>
    <b v="0"/>
    <x v="640"/>
    <x v="19"/>
    <x v="2"/>
    <x v="3"/>
    <x v="33"/>
    <x v="506"/>
    <x v="1"/>
    <n v="0"/>
    <n v="8.0836978208390103E+18"/>
  </r>
  <r>
    <b v="0"/>
    <x v="641"/>
    <x v="19"/>
    <x v="2"/>
    <x v="6"/>
    <x v="8"/>
    <x v="507"/>
    <x v="1"/>
    <n v="0"/>
    <n v="8.9421547960571597E+18"/>
  </r>
  <r>
    <b v="0"/>
    <x v="642"/>
    <x v="19"/>
    <x v="3"/>
    <x v="7"/>
    <x v="13"/>
    <x v="508"/>
    <x v="1"/>
    <n v="0"/>
    <n v="5.6914824373024102E+18"/>
  </r>
  <r>
    <b v="0"/>
    <x v="643"/>
    <x v="19"/>
    <x v="3"/>
    <x v="1"/>
    <x v="21"/>
    <x v="16"/>
    <x v="1"/>
    <n v="0"/>
    <n v="1.3592333524704901E+18"/>
  </r>
  <r>
    <b v="0"/>
    <x v="644"/>
    <x v="19"/>
    <x v="4"/>
    <x v="7"/>
    <x v="2"/>
    <x v="509"/>
    <x v="1"/>
    <n v="0"/>
    <n v="1.12159919955422E+19"/>
  </r>
  <r>
    <b v="0"/>
    <x v="645"/>
    <x v="19"/>
    <x v="5"/>
    <x v="2"/>
    <x v="31"/>
    <x v="510"/>
    <x v="2"/>
    <n v="0"/>
    <n v="3.3531315930866202E+18"/>
  </r>
  <r>
    <b v="0"/>
    <x v="646"/>
    <x v="19"/>
    <x v="5"/>
    <x v="1"/>
    <x v="0"/>
    <x v="511"/>
    <x v="2"/>
    <n v="0"/>
    <n v="1.6754382929232501E+19"/>
  </r>
  <r>
    <b v="0"/>
    <x v="647"/>
    <x v="19"/>
    <x v="5"/>
    <x v="1"/>
    <x v="0"/>
    <x v="166"/>
    <x v="2"/>
    <n v="0"/>
    <n v="5.7953252369478298E+18"/>
  </r>
  <r>
    <b v="0"/>
    <x v="648"/>
    <x v="19"/>
    <x v="5"/>
    <x v="1"/>
    <x v="9"/>
    <x v="226"/>
    <x v="2"/>
    <n v="0"/>
    <n v="7.19229599275537E+18"/>
  </r>
  <r>
    <b v="0"/>
    <x v="649"/>
    <x v="19"/>
    <x v="5"/>
    <x v="5"/>
    <x v="35"/>
    <x v="409"/>
    <x v="2"/>
    <n v="0"/>
    <n v="3.61055000812544E+18"/>
  </r>
  <r>
    <b v="0"/>
    <x v="650"/>
    <x v="19"/>
    <x v="5"/>
    <x v="7"/>
    <x v="6"/>
    <x v="512"/>
    <x v="2"/>
    <n v="0"/>
    <n v="5.70992048264802E+18"/>
  </r>
  <r>
    <b v="0"/>
    <x v="651"/>
    <x v="19"/>
    <x v="5"/>
    <x v="0"/>
    <x v="2"/>
    <x v="513"/>
    <x v="2"/>
    <n v="0"/>
    <n v="7.15499317715345E+18"/>
  </r>
  <r>
    <b v="0"/>
    <x v="652"/>
    <x v="19"/>
    <x v="6"/>
    <x v="3"/>
    <x v="0"/>
    <x v="514"/>
    <x v="3"/>
    <n v="0"/>
    <n v="6.5283375221370696E+18"/>
  </r>
  <r>
    <b v="0"/>
    <x v="653"/>
    <x v="19"/>
    <x v="6"/>
    <x v="2"/>
    <x v="31"/>
    <x v="515"/>
    <x v="3"/>
    <n v="0"/>
    <n v="3.2659276950726001E+18"/>
  </r>
  <r>
    <b v="0"/>
    <x v="654"/>
    <x v="19"/>
    <x v="6"/>
    <x v="1"/>
    <x v="54"/>
    <x v="516"/>
    <x v="3"/>
    <n v="0"/>
    <n v="4.0136200475941898E+18"/>
  </r>
  <r>
    <b v="0"/>
    <x v="655"/>
    <x v="19"/>
    <x v="6"/>
    <x v="1"/>
    <x v="17"/>
    <x v="517"/>
    <x v="3"/>
    <n v="0"/>
    <n v="1.20406316222208E+19"/>
  </r>
  <r>
    <b v="0"/>
    <x v="656"/>
    <x v="19"/>
    <x v="6"/>
    <x v="7"/>
    <x v="13"/>
    <x v="518"/>
    <x v="3"/>
    <n v="0"/>
    <n v="4.3540236396013399E+18"/>
  </r>
  <r>
    <b v="0"/>
    <x v="657"/>
    <x v="19"/>
    <x v="6"/>
    <x v="10"/>
    <x v="33"/>
    <x v="196"/>
    <x v="3"/>
    <n v="0"/>
    <n v="5.3841693664148797E+18"/>
  </r>
  <r>
    <b v="0"/>
    <x v="658"/>
    <x v="19"/>
    <x v="6"/>
    <x v="5"/>
    <x v="6"/>
    <x v="283"/>
    <x v="3"/>
    <n v="0"/>
    <n v="5.1883566112743301E+18"/>
  </r>
  <r>
    <b v="0"/>
    <x v="659"/>
    <x v="19"/>
    <x v="6"/>
    <x v="13"/>
    <x v="36"/>
    <x v="406"/>
    <x v="3"/>
    <n v="0"/>
    <n v="1.2424201604128399E+19"/>
  </r>
  <r>
    <b v="0"/>
    <x v="660"/>
    <x v="19"/>
    <x v="6"/>
    <x v="10"/>
    <x v="6"/>
    <x v="519"/>
    <x v="3"/>
    <n v="0"/>
    <n v="2.1131797662102899E+18"/>
  </r>
  <r>
    <b v="0"/>
    <x v="661"/>
    <x v="19"/>
    <x v="6"/>
    <x v="5"/>
    <x v="25"/>
    <x v="389"/>
    <x v="3"/>
    <n v="0"/>
    <n v="1.2487757544930099E+19"/>
  </r>
  <r>
    <b v="0"/>
    <x v="662"/>
    <x v="19"/>
    <x v="7"/>
    <x v="9"/>
    <x v="6"/>
    <x v="460"/>
    <x v="3"/>
    <n v="0"/>
    <n v="1.2966060129252E+17"/>
  </r>
  <r>
    <b v="0"/>
    <x v="663"/>
    <x v="19"/>
    <x v="7"/>
    <x v="4"/>
    <x v="31"/>
    <x v="520"/>
    <x v="3"/>
    <n v="0"/>
    <n v="3.37098197838483E+18"/>
  </r>
  <r>
    <b v="0"/>
    <x v="664"/>
    <x v="19"/>
    <x v="7"/>
    <x v="7"/>
    <x v="33"/>
    <x v="521"/>
    <x v="3"/>
    <n v="0"/>
    <n v="6.9155225537128899E+18"/>
  </r>
  <r>
    <b v="0"/>
    <x v="665"/>
    <x v="19"/>
    <x v="7"/>
    <x v="2"/>
    <x v="31"/>
    <x v="522"/>
    <x v="3"/>
    <n v="0"/>
    <n v="1.65805046011833E+19"/>
  </r>
  <r>
    <b v="0"/>
    <x v="666"/>
    <x v="19"/>
    <x v="7"/>
    <x v="5"/>
    <x v="25"/>
    <x v="402"/>
    <x v="3"/>
    <n v="0"/>
    <n v="1.35123339910214E+19"/>
  </r>
  <r>
    <b v="0"/>
    <x v="667"/>
    <x v="19"/>
    <x v="7"/>
    <x v="10"/>
    <x v="1"/>
    <x v="523"/>
    <x v="3"/>
    <n v="0"/>
    <n v="1.2217557065895399E+19"/>
  </r>
  <r>
    <b v="0"/>
    <x v="668"/>
    <x v="19"/>
    <x v="7"/>
    <x v="2"/>
    <x v="23"/>
    <x v="524"/>
    <x v="3"/>
    <n v="0"/>
    <n v="1.54871150996364E+19"/>
  </r>
  <r>
    <b v="0"/>
    <x v="669"/>
    <x v="19"/>
    <x v="7"/>
    <x v="5"/>
    <x v="1"/>
    <x v="400"/>
    <x v="3"/>
    <n v="0"/>
    <n v="1.4261016726991999E+19"/>
  </r>
  <r>
    <b v="0"/>
    <x v="670"/>
    <x v="20"/>
    <x v="0"/>
    <x v="6"/>
    <x v="8"/>
    <x v="525"/>
    <x v="0"/>
    <n v="0"/>
    <n v="2.1855924620157E+18"/>
  </r>
  <r>
    <b v="0"/>
    <x v="671"/>
    <x v="20"/>
    <x v="0"/>
    <x v="7"/>
    <x v="35"/>
    <x v="526"/>
    <x v="0"/>
    <n v="0"/>
    <n v="8.89315110185728E+18"/>
  </r>
  <r>
    <b v="0"/>
    <x v="672"/>
    <x v="20"/>
    <x v="1"/>
    <x v="2"/>
    <x v="3"/>
    <x v="527"/>
    <x v="1"/>
    <n v="0"/>
    <n v="6.6286756315545999E+18"/>
  </r>
  <r>
    <b v="0"/>
    <x v="673"/>
    <x v="20"/>
    <x v="1"/>
    <x v="7"/>
    <x v="12"/>
    <x v="528"/>
    <x v="1"/>
    <n v="0"/>
    <n v="1.82284649396072E+19"/>
  </r>
  <r>
    <b v="0"/>
    <x v="674"/>
    <x v="20"/>
    <x v="2"/>
    <x v="6"/>
    <x v="14"/>
    <x v="529"/>
    <x v="1"/>
    <n v="0"/>
    <n v="1.7915183859176301E+19"/>
  </r>
  <r>
    <b v="0"/>
    <x v="675"/>
    <x v="20"/>
    <x v="2"/>
    <x v="3"/>
    <x v="76"/>
    <x v="530"/>
    <x v="1"/>
    <n v="0"/>
    <n v="1.2338982538969999E+19"/>
  </r>
  <r>
    <b v="0"/>
    <x v="676"/>
    <x v="20"/>
    <x v="3"/>
    <x v="4"/>
    <x v="31"/>
    <x v="531"/>
    <x v="1"/>
    <n v="0"/>
    <n v="7.2288752688734904E+18"/>
  </r>
  <r>
    <b v="0"/>
    <x v="677"/>
    <x v="20"/>
    <x v="3"/>
    <x v="1"/>
    <x v="9"/>
    <x v="532"/>
    <x v="1"/>
    <n v="0"/>
    <n v="1.7500647501305801E+19"/>
  </r>
  <r>
    <b v="0"/>
    <x v="678"/>
    <x v="20"/>
    <x v="4"/>
    <x v="1"/>
    <x v="6"/>
    <x v="533"/>
    <x v="1"/>
    <n v="0"/>
    <n v="1.90425461628974E+18"/>
  </r>
  <r>
    <b v="0"/>
    <x v="679"/>
    <x v="20"/>
    <x v="5"/>
    <x v="2"/>
    <x v="6"/>
    <x v="534"/>
    <x v="2"/>
    <n v="0"/>
    <n v="6.0596715650567096E+18"/>
  </r>
  <r>
    <b v="0"/>
    <x v="680"/>
    <x v="20"/>
    <x v="5"/>
    <x v="6"/>
    <x v="10"/>
    <x v="535"/>
    <x v="2"/>
    <n v="0"/>
    <n v="5.7536289231420703E+18"/>
  </r>
  <r>
    <b v="0"/>
    <x v="681"/>
    <x v="20"/>
    <x v="5"/>
    <x v="6"/>
    <x v="0"/>
    <x v="536"/>
    <x v="2"/>
    <n v="0"/>
    <n v="4.5720930570553298E+18"/>
  </r>
  <r>
    <b v="0"/>
    <x v="682"/>
    <x v="20"/>
    <x v="5"/>
    <x v="2"/>
    <x v="31"/>
    <x v="381"/>
    <x v="2"/>
    <n v="0"/>
    <n v="1.24631339335162E+19"/>
  </r>
  <r>
    <b v="0"/>
    <x v="683"/>
    <x v="20"/>
    <x v="5"/>
    <x v="5"/>
    <x v="6"/>
    <x v="537"/>
    <x v="2"/>
    <n v="0"/>
    <n v="1.34879128865951E+18"/>
  </r>
  <r>
    <b v="0"/>
    <x v="684"/>
    <x v="20"/>
    <x v="5"/>
    <x v="7"/>
    <x v="25"/>
    <x v="538"/>
    <x v="2"/>
    <n v="0"/>
    <n v="3.6418054092620001E+18"/>
  </r>
  <r>
    <b v="0"/>
    <x v="685"/>
    <x v="20"/>
    <x v="5"/>
    <x v="1"/>
    <x v="62"/>
    <x v="539"/>
    <x v="2"/>
    <n v="0"/>
    <n v="4.87384906538573E+18"/>
  </r>
  <r>
    <b v="0"/>
    <x v="686"/>
    <x v="20"/>
    <x v="6"/>
    <x v="2"/>
    <x v="20"/>
    <x v="540"/>
    <x v="3"/>
    <n v="0"/>
    <n v="2.1334908835418199E+18"/>
  </r>
  <r>
    <b v="0"/>
    <x v="687"/>
    <x v="20"/>
    <x v="6"/>
    <x v="9"/>
    <x v="31"/>
    <x v="74"/>
    <x v="3"/>
    <n v="0"/>
    <n v="1.76243919173097E+19"/>
  </r>
  <r>
    <b v="0"/>
    <x v="688"/>
    <x v="20"/>
    <x v="6"/>
    <x v="4"/>
    <x v="0"/>
    <x v="541"/>
    <x v="3"/>
    <n v="0"/>
    <n v="6.5786640988487404E+18"/>
  </r>
  <r>
    <b v="0"/>
    <x v="689"/>
    <x v="20"/>
    <x v="6"/>
    <x v="1"/>
    <x v="8"/>
    <x v="542"/>
    <x v="3"/>
    <n v="0"/>
    <n v="7.2083535031590502E+18"/>
  </r>
  <r>
    <b v="0"/>
    <x v="690"/>
    <x v="20"/>
    <x v="6"/>
    <x v="0"/>
    <x v="2"/>
    <x v="543"/>
    <x v="3"/>
    <n v="0"/>
    <n v="4.3928271626919598E+18"/>
  </r>
  <r>
    <b v="0"/>
    <x v="691"/>
    <x v="20"/>
    <x v="6"/>
    <x v="0"/>
    <x v="25"/>
    <x v="544"/>
    <x v="3"/>
    <n v="0"/>
    <n v="1.2172366644418001E+19"/>
  </r>
  <r>
    <b v="0"/>
    <x v="692"/>
    <x v="20"/>
    <x v="6"/>
    <x v="0"/>
    <x v="11"/>
    <x v="386"/>
    <x v="3"/>
    <n v="0"/>
    <n v="1.8207746155702301E+19"/>
  </r>
  <r>
    <b v="0"/>
    <x v="693"/>
    <x v="20"/>
    <x v="6"/>
    <x v="1"/>
    <x v="31"/>
    <x v="545"/>
    <x v="3"/>
    <n v="0"/>
    <n v="7.6491770254497702E+17"/>
  </r>
  <r>
    <b v="0"/>
    <x v="694"/>
    <x v="20"/>
    <x v="6"/>
    <x v="5"/>
    <x v="58"/>
    <x v="546"/>
    <x v="3"/>
    <n v="0"/>
    <n v="1.5364034109679301E+19"/>
  </r>
  <r>
    <b v="0"/>
    <x v="695"/>
    <x v="20"/>
    <x v="7"/>
    <x v="5"/>
    <x v="21"/>
    <x v="547"/>
    <x v="3"/>
    <n v="0"/>
    <n v="1.0914557874806499E+19"/>
  </r>
  <r>
    <b v="0"/>
    <x v="696"/>
    <x v="20"/>
    <x v="7"/>
    <x v="1"/>
    <x v="0"/>
    <x v="548"/>
    <x v="3"/>
    <n v="0"/>
    <n v="7.1683765201675796E+18"/>
  </r>
  <r>
    <b v="0"/>
    <x v="697"/>
    <x v="20"/>
    <x v="7"/>
    <x v="1"/>
    <x v="1"/>
    <x v="428"/>
    <x v="3"/>
    <n v="0"/>
    <n v="1.7758715391585599E+19"/>
  </r>
  <r>
    <b v="0"/>
    <x v="698"/>
    <x v="20"/>
    <x v="7"/>
    <x v="4"/>
    <x v="2"/>
    <x v="330"/>
    <x v="3"/>
    <n v="0"/>
    <n v="1.1850439890729001E+19"/>
  </r>
  <r>
    <b v="0"/>
    <x v="699"/>
    <x v="20"/>
    <x v="7"/>
    <x v="1"/>
    <x v="6"/>
    <x v="549"/>
    <x v="3"/>
    <n v="0"/>
    <n v="1.71214094596829E+19"/>
  </r>
  <r>
    <b v="0"/>
    <x v="700"/>
    <x v="20"/>
    <x v="7"/>
    <x v="1"/>
    <x v="31"/>
    <x v="550"/>
    <x v="3"/>
    <n v="0"/>
    <n v="6.6626916958419098E+18"/>
  </r>
  <r>
    <b v="0"/>
    <x v="701"/>
    <x v="20"/>
    <x v="7"/>
    <x v="6"/>
    <x v="8"/>
    <x v="551"/>
    <x v="3"/>
    <n v="0"/>
    <n v="1.00101745461102E+19"/>
  </r>
  <r>
    <b v="0"/>
    <x v="702"/>
    <x v="20"/>
    <x v="7"/>
    <x v="10"/>
    <x v="25"/>
    <x v="552"/>
    <x v="3"/>
    <n v="0"/>
    <n v="2.8339518486409902E+18"/>
  </r>
  <r>
    <b v="0"/>
    <x v="703"/>
    <x v="20"/>
    <x v="7"/>
    <x v="0"/>
    <x v="33"/>
    <x v="553"/>
    <x v="3"/>
    <n v="0"/>
    <n v="1.1469611353507299E+19"/>
  </r>
  <r>
    <b v="0"/>
    <x v="704"/>
    <x v="20"/>
    <x v="7"/>
    <x v="1"/>
    <x v="14"/>
    <x v="364"/>
    <x v="3"/>
    <n v="0"/>
    <n v="1.75426584626931E+19"/>
  </r>
  <r>
    <b v="0"/>
    <x v="705"/>
    <x v="20"/>
    <x v="7"/>
    <x v="5"/>
    <x v="13"/>
    <x v="554"/>
    <x v="3"/>
    <n v="0"/>
    <n v="1.0144648374863901E+19"/>
  </r>
  <r>
    <b v="0"/>
    <x v="706"/>
    <x v="20"/>
    <x v="7"/>
    <x v="4"/>
    <x v="14"/>
    <x v="555"/>
    <x v="3"/>
    <n v="0"/>
    <n v="1.3771919143334199E+19"/>
  </r>
  <r>
    <b v="0"/>
    <x v="707"/>
    <x v="20"/>
    <x v="7"/>
    <x v="5"/>
    <x v="2"/>
    <x v="533"/>
    <x v="3"/>
    <n v="0"/>
    <n v="5.3668182495481702E+18"/>
  </r>
  <r>
    <b v="0"/>
    <x v="708"/>
    <x v="21"/>
    <x v="0"/>
    <x v="4"/>
    <x v="31"/>
    <x v="556"/>
    <x v="0"/>
    <n v="0"/>
    <n v="3.9154951659244201E+18"/>
  </r>
  <r>
    <b v="0"/>
    <x v="709"/>
    <x v="21"/>
    <x v="0"/>
    <x v="2"/>
    <x v="31"/>
    <x v="167"/>
    <x v="0"/>
    <n v="0"/>
    <n v="4.74809034746769E+18"/>
  </r>
  <r>
    <b v="0"/>
    <x v="710"/>
    <x v="21"/>
    <x v="0"/>
    <x v="6"/>
    <x v="0"/>
    <x v="557"/>
    <x v="0"/>
    <n v="0"/>
    <n v="7.0851898069817201E+18"/>
  </r>
  <r>
    <b v="0"/>
    <x v="711"/>
    <x v="21"/>
    <x v="1"/>
    <x v="2"/>
    <x v="25"/>
    <x v="558"/>
    <x v="1"/>
    <n v="0"/>
    <n v="7.7485091683344097E+18"/>
  </r>
  <r>
    <b v="0"/>
    <x v="712"/>
    <x v="21"/>
    <x v="1"/>
    <x v="2"/>
    <x v="31"/>
    <x v="402"/>
    <x v="1"/>
    <n v="0"/>
    <n v="5.9039238817648804E+18"/>
  </r>
  <r>
    <b v="0"/>
    <x v="713"/>
    <x v="21"/>
    <x v="2"/>
    <x v="1"/>
    <x v="24"/>
    <x v="559"/>
    <x v="1"/>
    <n v="0"/>
    <n v="1.7486857210343E+19"/>
  </r>
  <r>
    <b v="0"/>
    <x v="714"/>
    <x v="21"/>
    <x v="2"/>
    <x v="4"/>
    <x v="8"/>
    <x v="560"/>
    <x v="1"/>
    <n v="0"/>
    <n v="1.4490213630571901E+19"/>
  </r>
  <r>
    <b v="0"/>
    <x v="715"/>
    <x v="21"/>
    <x v="2"/>
    <x v="4"/>
    <x v="31"/>
    <x v="409"/>
    <x v="1"/>
    <n v="0"/>
    <n v="3.8477173658285302E+18"/>
  </r>
  <r>
    <b v="0"/>
    <x v="716"/>
    <x v="21"/>
    <x v="2"/>
    <x v="4"/>
    <x v="0"/>
    <x v="437"/>
    <x v="1"/>
    <n v="0"/>
    <n v="1.48210505673473E+19"/>
  </r>
  <r>
    <b v="0"/>
    <x v="717"/>
    <x v="21"/>
    <x v="2"/>
    <x v="1"/>
    <x v="31"/>
    <x v="561"/>
    <x v="1"/>
    <n v="0"/>
    <n v="7.9913426653903596E+18"/>
  </r>
  <r>
    <b v="0"/>
    <x v="718"/>
    <x v="21"/>
    <x v="3"/>
    <x v="1"/>
    <x v="33"/>
    <x v="562"/>
    <x v="1"/>
    <n v="0"/>
    <n v="8.98917845511953E+18"/>
  </r>
  <r>
    <b v="0"/>
    <x v="719"/>
    <x v="21"/>
    <x v="4"/>
    <x v="0"/>
    <x v="2"/>
    <x v="563"/>
    <x v="1"/>
    <n v="0"/>
    <n v="3.8178623950637701E+18"/>
  </r>
  <r>
    <b v="0"/>
    <x v="720"/>
    <x v="21"/>
    <x v="5"/>
    <x v="0"/>
    <x v="20"/>
    <x v="49"/>
    <x v="2"/>
    <n v="0"/>
    <n v="1.64247235368756E+19"/>
  </r>
  <r>
    <b v="0"/>
    <x v="721"/>
    <x v="21"/>
    <x v="5"/>
    <x v="0"/>
    <x v="25"/>
    <x v="8"/>
    <x v="2"/>
    <n v="0"/>
    <n v="4.9896556390021499E+18"/>
  </r>
  <r>
    <b v="0"/>
    <x v="722"/>
    <x v="21"/>
    <x v="5"/>
    <x v="4"/>
    <x v="0"/>
    <x v="564"/>
    <x v="2"/>
    <n v="0"/>
    <n v="1.03367554939806E+19"/>
  </r>
  <r>
    <b v="0"/>
    <x v="723"/>
    <x v="21"/>
    <x v="5"/>
    <x v="1"/>
    <x v="2"/>
    <x v="429"/>
    <x v="2"/>
    <n v="0"/>
    <n v="1.31594502674636E+19"/>
  </r>
  <r>
    <b v="0"/>
    <x v="724"/>
    <x v="21"/>
    <x v="5"/>
    <x v="7"/>
    <x v="2"/>
    <x v="565"/>
    <x v="2"/>
    <n v="0"/>
    <n v="2.7590445355493402E+18"/>
  </r>
  <r>
    <b v="0"/>
    <x v="725"/>
    <x v="21"/>
    <x v="6"/>
    <x v="1"/>
    <x v="14"/>
    <x v="140"/>
    <x v="3"/>
    <n v="0"/>
    <n v="1.6959433268991001E+19"/>
  </r>
  <r>
    <b v="0"/>
    <x v="726"/>
    <x v="21"/>
    <x v="6"/>
    <x v="4"/>
    <x v="9"/>
    <x v="514"/>
    <x v="3"/>
    <n v="0"/>
    <n v="2.10618138183905E+18"/>
  </r>
  <r>
    <b v="0"/>
    <x v="727"/>
    <x v="21"/>
    <x v="6"/>
    <x v="1"/>
    <x v="0"/>
    <x v="566"/>
    <x v="3"/>
    <n v="0"/>
    <n v="3.27383677981824E+18"/>
  </r>
  <r>
    <b v="0"/>
    <x v="728"/>
    <x v="21"/>
    <x v="6"/>
    <x v="1"/>
    <x v="13"/>
    <x v="425"/>
    <x v="3"/>
    <n v="0"/>
    <n v="4.3533840499688899E+18"/>
  </r>
  <r>
    <b v="0"/>
    <x v="729"/>
    <x v="21"/>
    <x v="6"/>
    <x v="1"/>
    <x v="6"/>
    <x v="567"/>
    <x v="3"/>
    <n v="0"/>
    <n v="5.6641656726492303E+18"/>
  </r>
  <r>
    <b v="0"/>
    <x v="730"/>
    <x v="21"/>
    <x v="6"/>
    <x v="1"/>
    <x v="8"/>
    <x v="330"/>
    <x v="3"/>
    <n v="0"/>
    <n v="1.26988082856391E+19"/>
  </r>
  <r>
    <b v="0"/>
    <x v="731"/>
    <x v="21"/>
    <x v="6"/>
    <x v="0"/>
    <x v="19"/>
    <x v="503"/>
    <x v="3"/>
    <n v="0"/>
    <n v="1.3719911291111801E+19"/>
  </r>
  <r>
    <b v="0"/>
    <x v="732"/>
    <x v="21"/>
    <x v="7"/>
    <x v="0"/>
    <x v="31"/>
    <x v="371"/>
    <x v="3"/>
    <n v="0"/>
    <n v="1.0508627200098501E+19"/>
  </r>
  <r>
    <b v="0"/>
    <x v="733"/>
    <x v="21"/>
    <x v="7"/>
    <x v="10"/>
    <x v="2"/>
    <x v="568"/>
    <x v="3"/>
    <n v="0"/>
    <n v="5.9417458315537101E+17"/>
  </r>
  <r>
    <b v="0"/>
    <x v="734"/>
    <x v="21"/>
    <x v="7"/>
    <x v="7"/>
    <x v="6"/>
    <x v="569"/>
    <x v="3"/>
    <n v="0"/>
    <n v="1.5465384892782299E+19"/>
  </r>
  <r>
    <b v="0"/>
    <x v="735"/>
    <x v="21"/>
    <x v="7"/>
    <x v="2"/>
    <x v="6"/>
    <x v="562"/>
    <x v="3"/>
    <n v="0"/>
    <n v="1.0664295501494499E+19"/>
  </r>
  <r>
    <b v="0"/>
    <x v="736"/>
    <x v="21"/>
    <x v="7"/>
    <x v="7"/>
    <x v="37"/>
    <x v="448"/>
    <x v="3"/>
    <n v="0"/>
    <n v="7.4089121909802301E+18"/>
  </r>
  <r>
    <b v="0"/>
    <x v="737"/>
    <x v="21"/>
    <x v="7"/>
    <x v="2"/>
    <x v="1"/>
    <x v="570"/>
    <x v="3"/>
    <n v="0"/>
    <n v="3.4740317856369802E+18"/>
  </r>
  <r>
    <b v="0"/>
    <x v="738"/>
    <x v="21"/>
    <x v="7"/>
    <x v="5"/>
    <x v="20"/>
    <x v="51"/>
    <x v="3"/>
    <n v="0"/>
    <n v="1.4666405369911501E+19"/>
  </r>
  <r>
    <b v="0"/>
    <x v="739"/>
    <x v="21"/>
    <x v="7"/>
    <x v="1"/>
    <x v="33"/>
    <x v="193"/>
    <x v="3"/>
    <n v="0"/>
    <n v="1.0858886512237099E+19"/>
  </r>
  <r>
    <b v="0"/>
    <x v="740"/>
    <x v="21"/>
    <x v="7"/>
    <x v="10"/>
    <x v="25"/>
    <x v="571"/>
    <x v="3"/>
    <n v="0"/>
    <n v="1.27417446280354E+18"/>
  </r>
  <r>
    <b v="0"/>
    <x v="741"/>
    <x v="21"/>
    <x v="7"/>
    <x v="7"/>
    <x v="77"/>
    <x v="572"/>
    <x v="3"/>
    <n v="0"/>
    <n v="9.8184302067685601E+18"/>
  </r>
  <r>
    <b v="0"/>
    <x v="742"/>
    <x v="22"/>
    <x v="0"/>
    <x v="1"/>
    <x v="31"/>
    <x v="573"/>
    <x v="0"/>
    <n v="0"/>
    <n v="7.8960787407104102E+18"/>
  </r>
  <r>
    <b v="0"/>
    <x v="743"/>
    <x v="22"/>
    <x v="0"/>
    <x v="4"/>
    <x v="57"/>
    <x v="574"/>
    <x v="0"/>
    <n v="0"/>
    <n v="1.5572309485883699E+18"/>
  </r>
  <r>
    <b v="0"/>
    <x v="744"/>
    <x v="22"/>
    <x v="1"/>
    <x v="4"/>
    <x v="71"/>
    <x v="575"/>
    <x v="1"/>
    <n v="0"/>
    <n v="1.2414847779491101E+19"/>
  </r>
  <r>
    <b v="0"/>
    <x v="745"/>
    <x v="22"/>
    <x v="1"/>
    <x v="7"/>
    <x v="6"/>
    <x v="152"/>
    <x v="1"/>
    <n v="0"/>
    <n v="9.8279896567792599E+18"/>
  </r>
  <r>
    <b v="0"/>
    <x v="746"/>
    <x v="22"/>
    <x v="1"/>
    <x v="1"/>
    <x v="31"/>
    <x v="554"/>
    <x v="1"/>
    <n v="0"/>
    <n v="7.5891809509973197E+18"/>
  </r>
  <r>
    <b v="0"/>
    <x v="747"/>
    <x v="22"/>
    <x v="2"/>
    <x v="2"/>
    <x v="2"/>
    <x v="576"/>
    <x v="1"/>
    <n v="0"/>
    <n v="1.28899835303908E+19"/>
  </r>
  <r>
    <b v="0"/>
    <x v="748"/>
    <x v="22"/>
    <x v="2"/>
    <x v="2"/>
    <x v="31"/>
    <x v="577"/>
    <x v="1"/>
    <n v="0"/>
    <n v="4.6161078193656699E+18"/>
  </r>
  <r>
    <b v="0"/>
    <x v="749"/>
    <x v="22"/>
    <x v="2"/>
    <x v="4"/>
    <x v="6"/>
    <x v="578"/>
    <x v="1"/>
    <n v="0"/>
    <n v="5.1421906582451497E+18"/>
  </r>
  <r>
    <b v="0"/>
    <x v="750"/>
    <x v="22"/>
    <x v="3"/>
    <x v="6"/>
    <x v="47"/>
    <x v="579"/>
    <x v="1"/>
    <n v="0"/>
    <n v="1.4548673490638801E+19"/>
  </r>
  <r>
    <b v="0"/>
    <x v="751"/>
    <x v="22"/>
    <x v="4"/>
    <x v="7"/>
    <x v="31"/>
    <x v="318"/>
    <x v="1"/>
    <n v="0"/>
    <n v="1.2412589296615299E+19"/>
  </r>
  <r>
    <b v="0"/>
    <x v="752"/>
    <x v="22"/>
    <x v="4"/>
    <x v="4"/>
    <x v="8"/>
    <x v="110"/>
    <x v="1"/>
    <n v="0"/>
    <n v="8.4936787638077399E+18"/>
  </r>
  <r>
    <b v="0"/>
    <x v="753"/>
    <x v="22"/>
    <x v="5"/>
    <x v="5"/>
    <x v="12"/>
    <x v="580"/>
    <x v="2"/>
    <n v="0"/>
    <n v="1.06140990963061E+19"/>
  </r>
  <r>
    <b v="0"/>
    <x v="754"/>
    <x v="22"/>
    <x v="5"/>
    <x v="2"/>
    <x v="48"/>
    <x v="581"/>
    <x v="2"/>
    <n v="0"/>
    <n v="4.03972578856975E+18"/>
  </r>
  <r>
    <b v="0"/>
    <x v="755"/>
    <x v="22"/>
    <x v="5"/>
    <x v="12"/>
    <x v="5"/>
    <x v="308"/>
    <x v="2"/>
    <n v="0"/>
    <n v="1.3610555103189201E+19"/>
  </r>
  <r>
    <b v="0"/>
    <x v="756"/>
    <x v="22"/>
    <x v="5"/>
    <x v="4"/>
    <x v="21"/>
    <x v="582"/>
    <x v="2"/>
    <n v="0"/>
    <n v="1.5996365086891201E+19"/>
  </r>
  <r>
    <b v="0"/>
    <x v="757"/>
    <x v="22"/>
    <x v="5"/>
    <x v="1"/>
    <x v="0"/>
    <x v="240"/>
    <x v="2"/>
    <n v="0"/>
    <n v="9.13961931719437E+18"/>
  </r>
  <r>
    <b v="0"/>
    <x v="758"/>
    <x v="22"/>
    <x v="5"/>
    <x v="0"/>
    <x v="6"/>
    <x v="583"/>
    <x v="2"/>
    <n v="0"/>
    <n v="1.6338709411851999E+19"/>
  </r>
  <r>
    <b v="0"/>
    <x v="759"/>
    <x v="22"/>
    <x v="6"/>
    <x v="10"/>
    <x v="13"/>
    <x v="584"/>
    <x v="3"/>
    <n v="0"/>
    <n v="8.4231171688194796E+18"/>
  </r>
  <r>
    <b v="0"/>
    <x v="760"/>
    <x v="22"/>
    <x v="6"/>
    <x v="1"/>
    <x v="6"/>
    <x v="263"/>
    <x v="3"/>
    <n v="0"/>
    <n v="8.9450062367243305E+18"/>
  </r>
  <r>
    <b v="0"/>
    <x v="761"/>
    <x v="22"/>
    <x v="6"/>
    <x v="5"/>
    <x v="36"/>
    <x v="193"/>
    <x v="3"/>
    <n v="0"/>
    <n v="2.9017322370009999E+18"/>
  </r>
  <r>
    <b v="0"/>
    <x v="762"/>
    <x v="22"/>
    <x v="6"/>
    <x v="8"/>
    <x v="2"/>
    <x v="569"/>
    <x v="3"/>
    <n v="0"/>
    <n v="1.14846613549043E+18"/>
  </r>
  <r>
    <b v="0"/>
    <x v="763"/>
    <x v="22"/>
    <x v="6"/>
    <x v="11"/>
    <x v="12"/>
    <x v="585"/>
    <x v="3"/>
    <n v="0"/>
    <n v="1.1929046728636801E+19"/>
  </r>
  <r>
    <b v="0"/>
    <x v="764"/>
    <x v="22"/>
    <x v="6"/>
    <x v="1"/>
    <x v="78"/>
    <x v="586"/>
    <x v="3"/>
    <n v="0"/>
    <n v="1.3184381636012401E+19"/>
  </r>
  <r>
    <b v="0"/>
    <x v="765"/>
    <x v="22"/>
    <x v="7"/>
    <x v="2"/>
    <x v="57"/>
    <x v="587"/>
    <x v="3"/>
    <n v="0"/>
    <n v="1.0629598227809901E+19"/>
  </r>
  <r>
    <b v="0"/>
    <x v="766"/>
    <x v="22"/>
    <x v="7"/>
    <x v="5"/>
    <x v="20"/>
    <x v="588"/>
    <x v="3"/>
    <n v="0"/>
    <n v="1.05165704895058E+19"/>
  </r>
  <r>
    <b v="0"/>
    <x v="767"/>
    <x v="22"/>
    <x v="7"/>
    <x v="1"/>
    <x v="6"/>
    <x v="589"/>
    <x v="3"/>
    <n v="0"/>
    <n v="1.9904104072085E+18"/>
  </r>
  <r>
    <b v="0"/>
    <x v="768"/>
    <x v="22"/>
    <x v="7"/>
    <x v="1"/>
    <x v="1"/>
    <x v="427"/>
    <x v="3"/>
    <n v="0"/>
    <n v="2.4345846698044001E+18"/>
  </r>
  <r>
    <b v="0"/>
    <x v="769"/>
    <x v="22"/>
    <x v="7"/>
    <x v="0"/>
    <x v="61"/>
    <x v="501"/>
    <x v="3"/>
    <n v="0"/>
    <n v="1.6757826235727901E+19"/>
  </r>
  <r>
    <b v="0"/>
    <x v="770"/>
    <x v="22"/>
    <x v="7"/>
    <x v="5"/>
    <x v="2"/>
    <x v="98"/>
    <x v="3"/>
    <n v="0"/>
    <n v="1.1900907010499299E+19"/>
  </r>
  <r>
    <b v="0"/>
    <x v="771"/>
    <x v="22"/>
    <x v="7"/>
    <x v="2"/>
    <x v="33"/>
    <x v="590"/>
    <x v="3"/>
    <n v="0"/>
    <n v="1.5985254526685999E+19"/>
  </r>
  <r>
    <b v="0"/>
    <x v="772"/>
    <x v="22"/>
    <x v="7"/>
    <x v="5"/>
    <x v="1"/>
    <x v="591"/>
    <x v="3"/>
    <n v="0"/>
    <n v="1.0157211946363501E+19"/>
  </r>
  <r>
    <b v="0"/>
    <x v="773"/>
    <x v="22"/>
    <x v="7"/>
    <x v="7"/>
    <x v="79"/>
    <x v="264"/>
    <x v="3"/>
    <n v="0"/>
    <n v="1.74518375619531E+19"/>
  </r>
  <r>
    <b v="0"/>
    <x v="774"/>
    <x v="22"/>
    <x v="7"/>
    <x v="6"/>
    <x v="40"/>
    <x v="592"/>
    <x v="3"/>
    <n v="0"/>
    <n v="1.0190306826686401E+19"/>
  </r>
  <r>
    <b v="0"/>
    <x v="775"/>
    <x v="23"/>
    <x v="0"/>
    <x v="4"/>
    <x v="6"/>
    <x v="445"/>
    <x v="0"/>
    <n v="0"/>
    <n v="1.5246832766119201E+19"/>
  </r>
  <r>
    <b v="0"/>
    <x v="776"/>
    <x v="23"/>
    <x v="0"/>
    <x v="0"/>
    <x v="25"/>
    <x v="593"/>
    <x v="0"/>
    <n v="0"/>
    <n v="1.03929310595391E+19"/>
  </r>
  <r>
    <b v="0"/>
    <x v="777"/>
    <x v="23"/>
    <x v="0"/>
    <x v="1"/>
    <x v="33"/>
    <x v="394"/>
    <x v="0"/>
    <n v="0"/>
    <n v="7.2992256893449001E+18"/>
  </r>
  <r>
    <b v="0"/>
    <x v="778"/>
    <x v="23"/>
    <x v="0"/>
    <x v="2"/>
    <x v="6"/>
    <x v="594"/>
    <x v="0"/>
    <n v="0"/>
    <n v="8.2819195193244099E+18"/>
  </r>
  <r>
    <b v="0"/>
    <x v="779"/>
    <x v="23"/>
    <x v="1"/>
    <x v="5"/>
    <x v="12"/>
    <x v="595"/>
    <x v="1"/>
    <n v="0"/>
    <n v="7.3733565106262106E+17"/>
  </r>
  <r>
    <b v="0"/>
    <x v="780"/>
    <x v="23"/>
    <x v="1"/>
    <x v="5"/>
    <x v="7"/>
    <x v="516"/>
    <x v="1"/>
    <n v="0"/>
    <n v="8.2344834050901105E+18"/>
  </r>
  <r>
    <b v="0"/>
    <x v="781"/>
    <x v="23"/>
    <x v="2"/>
    <x v="2"/>
    <x v="80"/>
    <x v="39"/>
    <x v="1"/>
    <n v="0"/>
    <n v="1.0693161091537199E+19"/>
  </r>
  <r>
    <b v="0"/>
    <x v="782"/>
    <x v="23"/>
    <x v="2"/>
    <x v="4"/>
    <x v="15"/>
    <x v="33"/>
    <x v="1"/>
    <n v="0"/>
    <n v="3.3957375291583002E+18"/>
  </r>
  <r>
    <b v="0"/>
    <x v="783"/>
    <x v="23"/>
    <x v="3"/>
    <x v="12"/>
    <x v="55"/>
    <x v="466"/>
    <x v="1"/>
    <n v="0"/>
    <n v="1.50616131531992E+19"/>
  </r>
  <r>
    <b v="0"/>
    <x v="784"/>
    <x v="23"/>
    <x v="4"/>
    <x v="4"/>
    <x v="31"/>
    <x v="596"/>
    <x v="1"/>
    <n v="0"/>
    <n v="1.4525251445521E+19"/>
  </r>
  <r>
    <b v="0"/>
    <x v="785"/>
    <x v="23"/>
    <x v="5"/>
    <x v="4"/>
    <x v="0"/>
    <x v="597"/>
    <x v="2"/>
    <n v="0"/>
    <n v="1.60620197544035E+19"/>
  </r>
  <r>
    <b v="0"/>
    <x v="786"/>
    <x v="23"/>
    <x v="5"/>
    <x v="0"/>
    <x v="0"/>
    <x v="598"/>
    <x v="2"/>
    <n v="0"/>
    <n v="1.5178563903964101E+19"/>
  </r>
  <r>
    <b v="0"/>
    <x v="787"/>
    <x v="23"/>
    <x v="5"/>
    <x v="10"/>
    <x v="1"/>
    <x v="599"/>
    <x v="2"/>
    <n v="0"/>
    <n v="1.44270441849902E+19"/>
  </r>
  <r>
    <b v="0"/>
    <x v="788"/>
    <x v="23"/>
    <x v="5"/>
    <x v="3"/>
    <x v="9"/>
    <x v="600"/>
    <x v="2"/>
    <n v="0"/>
    <n v="1.38517706630306E+19"/>
  </r>
  <r>
    <b v="0"/>
    <x v="789"/>
    <x v="23"/>
    <x v="5"/>
    <x v="1"/>
    <x v="13"/>
    <x v="330"/>
    <x v="2"/>
    <n v="0"/>
    <n v="6.8043720816956396E+18"/>
  </r>
  <r>
    <b v="0"/>
    <x v="790"/>
    <x v="23"/>
    <x v="5"/>
    <x v="5"/>
    <x v="68"/>
    <x v="601"/>
    <x v="2"/>
    <n v="0"/>
    <n v="1.22969450139036E+19"/>
  </r>
  <r>
    <b v="0"/>
    <x v="791"/>
    <x v="23"/>
    <x v="6"/>
    <x v="7"/>
    <x v="21"/>
    <x v="602"/>
    <x v="3"/>
    <n v="0"/>
    <n v="1.24678808473752E+19"/>
  </r>
  <r>
    <b v="0"/>
    <x v="792"/>
    <x v="23"/>
    <x v="6"/>
    <x v="5"/>
    <x v="33"/>
    <x v="546"/>
    <x v="3"/>
    <n v="0"/>
    <n v="1.19438542832145E+19"/>
  </r>
  <r>
    <b v="0"/>
    <x v="793"/>
    <x v="23"/>
    <x v="6"/>
    <x v="7"/>
    <x v="31"/>
    <x v="472"/>
    <x v="3"/>
    <n v="0"/>
    <n v="1.4073419077305301E+19"/>
  </r>
  <r>
    <b v="0"/>
    <x v="794"/>
    <x v="23"/>
    <x v="6"/>
    <x v="5"/>
    <x v="20"/>
    <x v="603"/>
    <x v="3"/>
    <n v="0"/>
    <n v="1.4452125843809599E+19"/>
  </r>
  <r>
    <b v="0"/>
    <x v="795"/>
    <x v="23"/>
    <x v="6"/>
    <x v="1"/>
    <x v="21"/>
    <x v="604"/>
    <x v="3"/>
    <n v="0"/>
    <n v="1.34809439505741E+19"/>
  </r>
  <r>
    <b v="0"/>
    <x v="796"/>
    <x v="23"/>
    <x v="6"/>
    <x v="0"/>
    <x v="12"/>
    <x v="605"/>
    <x v="3"/>
    <n v="0"/>
    <n v="1.6973319790395099E+19"/>
  </r>
  <r>
    <b v="0"/>
    <x v="797"/>
    <x v="23"/>
    <x v="6"/>
    <x v="5"/>
    <x v="68"/>
    <x v="291"/>
    <x v="3"/>
    <n v="0"/>
    <n v="1.40340950599807E+19"/>
  </r>
  <r>
    <b v="0"/>
    <x v="798"/>
    <x v="23"/>
    <x v="6"/>
    <x v="0"/>
    <x v="81"/>
    <x v="606"/>
    <x v="3"/>
    <n v="0"/>
    <n v="2.2660224102896699E+18"/>
  </r>
  <r>
    <b v="0"/>
    <x v="799"/>
    <x v="23"/>
    <x v="7"/>
    <x v="1"/>
    <x v="55"/>
    <x v="551"/>
    <x v="3"/>
    <n v="0"/>
    <n v="4.8574530515846605E+18"/>
  </r>
  <r>
    <b v="0"/>
    <x v="800"/>
    <x v="23"/>
    <x v="7"/>
    <x v="7"/>
    <x v="14"/>
    <x v="108"/>
    <x v="3"/>
    <n v="0"/>
    <n v="1.5398837233267401E+19"/>
  </r>
  <r>
    <b v="0"/>
    <x v="801"/>
    <x v="23"/>
    <x v="7"/>
    <x v="8"/>
    <x v="31"/>
    <x v="216"/>
    <x v="3"/>
    <n v="0"/>
    <n v="9.67869652653218E+18"/>
  </r>
  <r>
    <b v="0"/>
    <x v="802"/>
    <x v="23"/>
    <x v="7"/>
    <x v="10"/>
    <x v="36"/>
    <x v="607"/>
    <x v="3"/>
    <n v="0"/>
    <n v="9.6858354702929203E+18"/>
  </r>
  <r>
    <b v="0"/>
    <x v="803"/>
    <x v="23"/>
    <x v="7"/>
    <x v="6"/>
    <x v="31"/>
    <x v="608"/>
    <x v="3"/>
    <n v="0"/>
    <n v="5.3275458297886198E+18"/>
  </r>
  <r>
    <b v="0"/>
    <x v="804"/>
    <x v="23"/>
    <x v="7"/>
    <x v="1"/>
    <x v="31"/>
    <x v="609"/>
    <x v="3"/>
    <n v="0"/>
    <n v="1.16309199303429E+19"/>
  </r>
  <r>
    <b v="0"/>
    <x v="805"/>
    <x v="23"/>
    <x v="7"/>
    <x v="9"/>
    <x v="31"/>
    <x v="610"/>
    <x v="3"/>
    <n v="0"/>
    <n v="8.3144119789020201E+18"/>
  </r>
  <r>
    <b v="0"/>
    <x v="806"/>
    <x v="23"/>
    <x v="7"/>
    <x v="0"/>
    <x v="33"/>
    <x v="401"/>
    <x v="3"/>
    <n v="0"/>
    <n v="1.8432102969157599E+19"/>
  </r>
  <r>
    <b v="0"/>
    <x v="807"/>
    <x v="23"/>
    <x v="7"/>
    <x v="4"/>
    <x v="9"/>
    <x v="438"/>
    <x v="3"/>
    <n v="0"/>
    <n v="1.0347738202027399E+19"/>
  </r>
  <r>
    <b v="0"/>
    <x v="808"/>
    <x v="23"/>
    <x v="7"/>
    <x v="12"/>
    <x v="59"/>
    <x v="611"/>
    <x v="3"/>
    <n v="0"/>
    <n v="1.26369913570857E+19"/>
  </r>
  <r>
    <b v="0"/>
    <x v="809"/>
    <x v="23"/>
    <x v="7"/>
    <x v="10"/>
    <x v="16"/>
    <x v="612"/>
    <x v="3"/>
    <n v="0"/>
    <n v="1.62781314050635E+19"/>
  </r>
  <r>
    <b v="0"/>
    <x v="810"/>
    <x v="24"/>
    <x v="0"/>
    <x v="7"/>
    <x v="25"/>
    <x v="529"/>
    <x v="0"/>
    <n v="0"/>
    <n v="3.9109397026435999E+18"/>
  </r>
  <r>
    <b v="0"/>
    <x v="811"/>
    <x v="24"/>
    <x v="0"/>
    <x v="4"/>
    <x v="5"/>
    <x v="399"/>
    <x v="0"/>
    <n v="0"/>
    <n v="1.4844282796381E+19"/>
  </r>
  <r>
    <b v="0"/>
    <x v="812"/>
    <x v="24"/>
    <x v="0"/>
    <x v="1"/>
    <x v="2"/>
    <x v="613"/>
    <x v="0"/>
    <n v="0"/>
    <n v="1.8164959486797901E+18"/>
  </r>
  <r>
    <b v="0"/>
    <x v="813"/>
    <x v="24"/>
    <x v="0"/>
    <x v="6"/>
    <x v="4"/>
    <x v="409"/>
    <x v="0"/>
    <n v="0"/>
    <n v="2.7720610767944202E+18"/>
  </r>
  <r>
    <b v="0"/>
    <x v="814"/>
    <x v="24"/>
    <x v="1"/>
    <x v="1"/>
    <x v="28"/>
    <x v="152"/>
    <x v="1"/>
    <n v="0"/>
    <n v="1.72917527680261E+19"/>
  </r>
  <r>
    <b v="0"/>
    <x v="815"/>
    <x v="24"/>
    <x v="2"/>
    <x v="1"/>
    <x v="14"/>
    <x v="614"/>
    <x v="1"/>
    <n v="0"/>
    <n v="8.9093647661694996E+18"/>
  </r>
  <r>
    <b v="0"/>
    <x v="816"/>
    <x v="24"/>
    <x v="2"/>
    <x v="2"/>
    <x v="31"/>
    <x v="615"/>
    <x v="1"/>
    <n v="0"/>
    <n v="8.5807455891345603E+18"/>
  </r>
  <r>
    <b v="0"/>
    <x v="817"/>
    <x v="24"/>
    <x v="3"/>
    <x v="1"/>
    <x v="52"/>
    <x v="616"/>
    <x v="1"/>
    <n v="0"/>
    <n v="6.4301556763933696E+18"/>
  </r>
  <r>
    <b v="0"/>
    <x v="818"/>
    <x v="24"/>
    <x v="3"/>
    <x v="0"/>
    <x v="0"/>
    <x v="346"/>
    <x v="1"/>
    <n v="0"/>
    <n v="1.7354889020725201E+19"/>
  </r>
  <r>
    <b v="0"/>
    <x v="819"/>
    <x v="24"/>
    <x v="3"/>
    <x v="1"/>
    <x v="14"/>
    <x v="617"/>
    <x v="1"/>
    <n v="0"/>
    <n v="9.0022753265290895E+18"/>
  </r>
  <r>
    <b v="0"/>
    <x v="820"/>
    <x v="24"/>
    <x v="4"/>
    <x v="1"/>
    <x v="14"/>
    <x v="618"/>
    <x v="1"/>
    <n v="0"/>
    <n v="7.4922198580541501E+18"/>
  </r>
  <r>
    <b v="0"/>
    <x v="821"/>
    <x v="24"/>
    <x v="4"/>
    <x v="7"/>
    <x v="11"/>
    <x v="543"/>
    <x v="1"/>
    <n v="0"/>
    <n v="7.8261924577787802E+18"/>
  </r>
  <r>
    <b v="0"/>
    <x v="822"/>
    <x v="24"/>
    <x v="5"/>
    <x v="1"/>
    <x v="16"/>
    <x v="284"/>
    <x v="2"/>
    <n v="0"/>
    <n v="6.0435425824933402E+17"/>
  </r>
  <r>
    <b v="0"/>
    <x v="823"/>
    <x v="24"/>
    <x v="5"/>
    <x v="2"/>
    <x v="26"/>
    <x v="619"/>
    <x v="2"/>
    <n v="0"/>
    <n v="1.2179061803933E+19"/>
  </r>
  <r>
    <b v="0"/>
    <x v="824"/>
    <x v="24"/>
    <x v="5"/>
    <x v="0"/>
    <x v="57"/>
    <x v="620"/>
    <x v="2"/>
    <n v="0"/>
    <n v="4.7278911253069701E+18"/>
  </r>
  <r>
    <b v="0"/>
    <x v="825"/>
    <x v="24"/>
    <x v="5"/>
    <x v="1"/>
    <x v="8"/>
    <x v="90"/>
    <x v="2"/>
    <n v="0"/>
    <n v="1.1371568613223999E+19"/>
  </r>
  <r>
    <b v="0"/>
    <x v="826"/>
    <x v="24"/>
    <x v="5"/>
    <x v="8"/>
    <x v="6"/>
    <x v="51"/>
    <x v="2"/>
    <n v="0"/>
    <n v="2.0626433126135301E+18"/>
  </r>
  <r>
    <b v="0"/>
    <x v="827"/>
    <x v="24"/>
    <x v="5"/>
    <x v="7"/>
    <x v="5"/>
    <x v="621"/>
    <x v="2"/>
    <n v="0"/>
    <n v="2.6061133562105298E+18"/>
  </r>
  <r>
    <b v="0"/>
    <x v="828"/>
    <x v="24"/>
    <x v="5"/>
    <x v="1"/>
    <x v="6"/>
    <x v="462"/>
    <x v="2"/>
    <n v="0"/>
    <n v="1.7248573086140899E+19"/>
  </r>
  <r>
    <b v="0"/>
    <x v="829"/>
    <x v="24"/>
    <x v="5"/>
    <x v="0"/>
    <x v="14"/>
    <x v="622"/>
    <x v="2"/>
    <n v="0"/>
    <n v="1.0904470569282501E+19"/>
  </r>
  <r>
    <b v="0"/>
    <x v="830"/>
    <x v="24"/>
    <x v="6"/>
    <x v="7"/>
    <x v="29"/>
    <x v="474"/>
    <x v="3"/>
    <n v="0"/>
    <n v="9.8878476191975895E+18"/>
  </r>
  <r>
    <b v="0"/>
    <x v="831"/>
    <x v="24"/>
    <x v="6"/>
    <x v="7"/>
    <x v="2"/>
    <x v="438"/>
    <x v="3"/>
    <n v="0"/>
    <n v="1.1685842124660099E+19"/>
  </r>
  <r>
    <b v="0"/>
    <x v="832"/>
    <x v="24"/>
    <x v="6"/>
    <x v="5"/>
    <x v="31"/>
    <x v="154"/>
    <x v="3"/>
    <n v="0"/>
    <n v="2.3278398192143498E+18"/>
  </r>
  <r>
    <b v="0"/>
    <x v="833"/>
    <x v="24"/>
    <x v="6"/>
    <x v="0"/>
    <x v="26"/>
    <x v="487"/>
    <x v="3"/>
    <n v="0"/>
    <n v="1.3683522762778599E+19"/>
  </r>
  <r>
    <b v="0"/>
    <x v="834"/>
    <x v="24"/>
    <x v="6"/>
    <x v="0"/>
    <x v="31"/>
    <x v="388"/>
    <x v="3"/>
    <n v="0"/>
    <n v="1.67500575892545E+19"/>
  </r>
  <r>
    <b v="0"/>
    <x v="835"/>
    <x v="24"/>
    <x v="6"/>
    <x v="2"/>
    <x v="53"/>
    <x v="503"/>
    <x v="3"/>
    <n v="0"/>
    <n v="2.6927874868994202E+18"/>
  </r>
  <r>
    <b v="0"/>
    <x v="836"/>
    <x v="24"/>
    <x v="6"/>
    <x v="0"/>
    <x v="25"/>
    <x v="623"/>
    <x v="3"/>
    <n v="0"/>
    <n v="1.18606486920257E+19"/>
  </r>
  <r>
    <b v="0"/>
    <x v="837"/>
    <x v="24"/>
    <x v="7"/>
    <x v="4"/>
    <x v="31"/>
    <x v="624"/>
    <x v="3"/>
    <n v="0"/>
    <n v="1.72330772836823E+19"/>
  </r>
  <r>
    <b v="0"/>
    <x v="838"/>
    <x v="24"/>
    <x v="7"/>
    <x v="0"/>
    <x v="35"/>
    <x v="625"/>
    <x v="3"/>
    <n v="0"/>
    <n v="1.3961621416825E+19"/>
  </r>
  <r>
    <b v="0"/>
    <x v="839"/>
    <x v="24"/>
    <x v="7"/>
    <x v="7"/>
    <x v="2"/>
    <x v="82"/>
    <x v="3"/>
    <n v="0"/>
    <n v="5.8656078575413699E+18"/>
  </r>
  <r>
    <b v="0"/>
    <x v="840"/>
    <x v="24"/>
    <x v="7"/>
    <x v="5"/>
    <x v="6"/>
    <x v="108"/>
    <x v="3"/>
    <n v="0"/>
    <n v="1.6266575522108801E+19"/>
  </r>
  <r>
    <b v="0"/>
    <x v="841"/>
    <x v="24"/>
    <x v="7"/>
    <x v="0"/>
    <x v="3"/>
    <x v="626"/>
    <x v="3"/>
    <n v="0"/>
    <n v="5.1629078604095304E+18"/>
  </r>
  <r>
    <b v="0"/>
    <x v="842"/>
    <x v="24"/>
    <x v="7"/>
    <x v="5"/>
    <x v="2"/>
    <x v="28"/>
    <x v="3"/>
    <n v="0"/>
    <n v="5.9947963910838702E+18"/>
  </r>
  <r>
    <b v="0"/>
    <x v="843"/>
    <x v="24"/>
    <x v="7"/>
    <x v="5"/>
    <x v="35"/>
    <x v="210"/>
    <x v="3"/>
    <n v="0"/>
    <n v="9.39597394808944E+17"/>
  </r>
  <r>
    <b v="0"/>
    <x v="844"/>
    <x v="24"/>
    <x v="7"/>
    <x v="2"/>
    <x v="3"/>
    <x v="627"/>
    <x v="3"/>
    <n v="0"/>
    <n v="5.16439389826136E+17"/>
  </r>
  <r>
    <b v="0"/>
    <x v="845"/>
    <x v="25"/>
    <x v="0"/>
    <x v="7"/>
    <x v="1"/>
    <x v="561"/>
    <x v="0"/>
    <n v="0"/>
    <n v="1.38759207185698E+19"/>
  </r>
  <r>
    <b v="0"/>
    <x v="846"/>
    <x v="25"/>
    <x v="0"/>
    <x v="7"/>
    <x v="82"/>
    <x v="628"/>
    <x v="0"/>
    <n v="0"/>
    <n v="1.4501606875041401E+19"/>
  </r>
  <r>
    <b v="0"/>
    <x v="847"/>
    <x v="25"/>
    <x v="1"/>
    <x v="0"/>
    <x v="25"/>
    <x v="629"/>
    <x v="1"/>
    <n v="0"/>
    <n v="4.6918028822782505E+18"/>
  </r>
  <r>
    <b v="0"/>
    <x v="848"/>
    <x v="25"/>
    <x v="2"/>
    <x v="12"/>
    <x v="0"/>
    <x v="630"/>
    <x v="1"/>
    <n v="0"/>
    <n v="3.2154577636070702E+18"/>
  </r>
  <r>
    <b v="0"/>
    <x v="849"/>
    <x v="25"/>
    <x v="2"/>
    <x v="1"/>
    <x v="8"/>
    <x v="85"/>
    <x v="1"/>
    <n v="0"/>
    <n v="1.6883011388683301E+19"/>
  </r>
  <r>
    <b v="0"/>
    <x v="850"/>
    <x v="25"/>
    <x v="3"/>
    <x v="7"/>
    <x v="6"/>
    <x v="631"/>
    <x v="1"/>
    <n v="0"/>
    <n v="1.536106390479E+19"/>
  </r>
  <r>
    <b v="0"/>
    <x v="851"/>
    <x v="25"/>
    <x v="3"/>
    <x v="4"/>
    <x v="2"/>
    <x v="621"/>
    <x v="1"/>
    <n v="0"/>
    <n v="1.5277967022027201E+19"/>
  </r>
  <r>
    <b v="0"/>
    <x v="852"/>
    <x v="25"/>
    <x v="5"/>
    <x v="6"/>
    <x v="25"/>
    <x v="628"/>
    <x v="2"/>
    <n v="0"/>
    <n v="8.6457672074643702E+18"/>
  </r>
  <r>
    <b v="0"/>
    <x v="853"/>
    <x v="25"/>
    <x v="5"/>
    <x v="1"/>
    <x v="8"/>
    <x v="71"/>
    <x v="2"/>
    <n v="0"/>
    <n v="1.77993537816343E+19"/>
  </r>
  <r>
    <b v="0"/>
    <x v="854"/>
    <x v="25"/>
    <x v="5"/>
    <x v="2"/>
    <x v="7"/>
    <x v="632"/>
    <x v="2"/>
    <n v="0"/>
    <n v="1.4773026993457101E+19"/>
  </r>
  <r>
    <b v="0"/>
    <x v="855"/>
    <x v="25"/>
    <x v="5"/>
    <x v="1"/>
    <x v="2"/>
    <x v="633"/>
    <x v="2"/>
    <n v="0"/>
    <n v="1.0819929840383799E+19"/>
  </r>
  <r>
    <b v="0"/>
    <x v="856"/>
    <x v="25"/>
    <x v="5"/>
    <x v="7"/>
    <x v="14"/>
    <x v="634"/>
    <x v="2"/>
    <n v="0"/>
    <n v="6.6725352680000696E+18"/>
  </r>
  <r>
    <b v="0"/>
    <x v="857"/>
    <x v="25"/>
    <x v="5"/>
    <x v="0"/>
    <x v="6"/>
    <x v="635"/>
    <x v="2"/>
    <n v="0"/>
    <n v="6.68489926094568E+16"/>
  </r>
  <r>
    <b v="0"/>
    <x v="858"/>
    <x v="25"/>
    <x v="5"/>
    <x v="6"/>
    <x v="13"/>
    <x v="636"/>
    <x v="2"/>
    <n v="0"/>
    <n v="1.80752703442851E+19"/>
  </r>
  <r>
    <b v="0"/>
    <x v="859"/>
    <x v="25"/>
    <x v="6"/>
    <x v="5"/>
    <x v="6"/>
    <x v="637"/>
    <x v="3"/>
    <n v="0"/>
    <n v="2.6174498075025603E+18"/>
  </r>
  <r>
    <b v="0"/>
    <x v="860"/>
    <x v="25"/>
    <x v="6"/>
    <x v="4"/>
    <x v="31"/>
    <x v="230"/>
    <x v="3"/>
    <n v="0"/>
    <n v="1.6371413399840399E+19"/>
  </r>
  <r>
    <b v="0"/>
    <x v="551"/>
    <x v="25"/>
    <x v="6"/>
    <x v="14"/>
    <x v="36"/>
    <x v="185"/>
    <x v="3"/>
    <n v="0"/>
    <n v="1.40591552670197E+19"/>
  </r>
  <r>
    <b v="0"/>
    <x v="861"/>
    <x v="25"/>
    <x v="6"/>
    <x v="1"/>
    <x v="8"/>
    <x v="638"/>
    <x v="3"/>
    <n v="0"/>
    <n v="7.4671352852369203E+18"/>
  </r>
  <r>
    <b v="0"/>
    <x v="862"/>
    <x v="25"/>
    <x v="6"/>
    <x v="2"/>
    <x v="0"/>
    <x v="77"/>
    <x v="3"/>
    <n v="0"/>
    <n v="1.7836556013729599E+19"/>
  </r>
  <r>
    <b v="0"/>
    <x v="863"/>
    <x v="25"/>
    <x v="7"/>
    <x v="0"/>
    <x v="33"/>
    <x v="639"/>
    <x v="3"/>
    <n v="0"/>
    <n v="4.1411822961037798E+18"/>
  </r>
  <r>
    <b v="0"/>
    <x v="864"/>
    <x v="25"/>
    <x v="7"/>
    <x v="4"/>
    <x v="0"/>
    <x v="640"/>
    <x v="3"/>
    <n v="0"/>
    <n v="9.3327311290119209E+18"/>
  </r>
  <r>
    <b v="0"/>
    <x v="865"/>
    <x v="25"/>
    <x v="7"/>
    <x v="7"/>
    <x v="48"/>
    <x v="176"/>
    <x v="3"/>
    <n v="0"/>
    <n v="1.43828080709749E+19"/>
  </r>
  <r>
    <b v="0"/>
    <x v="866"/>
    <x v="25"/>
    <x v="7"/>
    <x v="10"/>
    <x v="35"/>
    <x v="412"/>
    <x v="3"/>
    <n v="0"/>
    <n v="4.8948005548233196E+18"/>
  </r>
  <r>
    <b v="0"/>
    <x v="867"/>
    <x v="25"/>
    <x v="7"/>
    <x v="1"/>
    <x v="1"/>
    <x v="641"/>
    <x v="3"/>
    <n v="0"/>
    <n v="4.2165574750631398E+18"/>
  </r>
  <r>
    <b v="0"/>
    <x v="868"/>
    <x v="25"/>
    <x v="7"/>
    <x v="0"/>
    <x v="78"/>
    <x v="148"/>
    <x v="3"/>
    <n v="0"/>
    <n v="3.86470472565837E+18"/>
  </r>
  <r>
    <b v="0"/>
    <x v="869"/>
    <x v="25"/>
    <x v="7"/>
    <x v="1"/>
    <x v="25"/>
    <x v="642"/>
    <x v="3"/>
    <n v="0"/>
    <n v="1.4343596435804799E+19"/>
  </r>
  <r>
    <b v="0"/>
    <x v="870"/>
    <x v="25"/>
    <x v="7"/>
    <x v="2"/>
    <x v="8"/>
    <x v="498"/>
    <x v="3"/>
    <n v="0"/>
    <n v="1.0045129771019901E+19"/>
  </r>
  <r>
    <b v="0"/>
    <x v="871"/>
    <x v="25"/>
    <x v="7"/>
    <x v="8"/>
    <x v="12"/>
    <x v="357"/>
    <x v="3"/>
    <n v="0"/>
    <n v="1.5332332433648001E+19"/>
  </r>
  <r>
    <b v="0"/>
    <x v="872"/>
    <x v="25"/>
    <x v="7"/>
    <x v="10"/>
    <x v="31"/>
    <x v="643"/>
    <x v="3"/>
    <n v="0"/>
    <n v="1.4070376879524999E+19"/>
  </r>
  <r>
    <b v="0"/>
    <x v="873"/>
    <x v="25"/>
    <x v="7"/>
    <x v="2"/>
    <x v="6"/>
    <x v="292"/>
    <x v="3"/>
    <n v="0"/>
    <n v="1.4841626051620499E+19"/>
  </r>
  <r>
    <b v="0"/>
    <x v="874"/>
    <x v="25"/>
    <x v="7"/>
    <x v="2"/>
    <x v="0"/>
    <x v="644"/>
    <x v="3"/>
    <n v="0"/>
    <n v="1.3567003168131899E+19"/>
  </r>
  <r>
    <b v="0"/>
    <x v="875"/>
    <x v="25"/>
    <x v="7"/>
    <x v="2"/>
    <x v="31"/>
    <x v="645"/>
    <x v="3"/>
    <n v="0"/>
    <n v="1.34556218524118E+19"/>
  </r>
  <r>
    <b v="0"/>
    <x v="876"/>
    <x v="26"/>
    <x v="0"/>
    <x v="2"/>
    <x v="81"/>
    <x v="646"/>
    <x v="0"/>
    <n v="0"/>
    <n v="3.7922518999606999E+18"/>
  </r>
  <r>
    <b v="0"/>
    <x v="877"/>
    <x v="26"/>
    <x v="0"/>
    <x v="2"/>
    <x v="0"/>
    <x v="647"/>
    <x v="0"/>
    <n v="0"/>
    <n v="1.50595571431737E+19"/>
  </r>
  <r>
    <b v="0"/>
    <x v="878"/>
    <x v="26"/>
    <x v="1"/>
    <x v="5"/>
    <x v="12"/>
    <x v="648"/>
    <x v="1"/>
    <n v="0"/>
    <n v="3.70448962367586E+18"/>
  </r>
  <r>
    <b v="0"/>
    <x v="879"/>
    <x v="26"/>
    <x v="1"/>
    <x v="7"/>
    <x v="27"/>
    <x v="649"/>
    <x v="1"/>
    <n v="0"/>
    <n v="4.3297267215642301E+18"/>
  </r>
  <r>
    <b v="0"/>
    <x v="880"/>
    <x v="26"/>
    <x v="2"/>
    <x v="6"/>
    <x v="9"/>
    <x v="650"/>
    <x v="1"/>
    <n v="0"/>
    <n v="1.52667243790603E+19"/>
  </r>
  <r>
    <b v="0"/>
    <x v="881"/>
    <x v="26"/>
    <x v="3"/>
    <x v="2"/>
    <x v="41"/>
    <x v="151"/>
    <x v="1"/>
    <n v="0"/>
    <n v="6.8122853293409004E+18"/>
  </r>
  <r>
    <b v="0"/>
    <x v="882"/>
    <x v="26"/>
    <x v="3"/>
    <x v="1"/>
    <x v="13"/>
    <x v="651"/>
    <x v="1"/>
    <n v="0"/>
    <n v="3.0001493432463498E+18"/>
  </r>
  <r>
    <b v="0"/>
    <x v="883"/>
    <x v="26"/>
    <x v="3"/>
    <x v="2"/>
    <x v="8"/>
    <x v="652"/>
    <x v="1"/>
    <n v="0"/>
    <n v="8.7484498114413404E+18"/>
  </r>
  <r>
    <b v="0"/>
    <x v="884"/>
    <x v="26"/>
    <x v="4"/>
    <x v="7"/>
    <x v="2"/>
    <x v="653"/>
    <x v="1"/>
    <n v="0"/>
    <n v="2.6234473258093501E+18"/>
  </r>
  <r>
    <b v="0"/>
    <x v="885"/>
    <x v="26"/>
    <x v="5"/>
    <x v="0"/>
    <x v="0"/>
    <x v="654"/>
    <x v="2"/>
    <n v="0"/>
    <n v="1.21196710564188E+19"/>
  </r>
  <r>
    <b v="0"/>
    <x v="886"/>
    <x v="26"/>
    <x v="5"/>
    <x v="2"/>
    <x v="31"/>
    <x v="456"/>
    <x v="2"/>
    <n v="0"/>
    <n v="1.7582054398900199E+19"/>
  </r>
  <r>
    <b v="0"/>
    <x v="887"/>
    <x v="26"/>
    <x v="5"/>
    <x v="2"/>
    <x v="6"/>
    <x v="372"/>
    <x v="2"/>
    <n v="0"/>
    <n v="1.5880614190196101E+18"/>
  </r>
  <r>
    <b v="0"/>
    <x v="888"/>
    <x v="26"/>
    <x v="5"/>
    <x v="5"/>
    <x v="83"/>
    <x v="655"/>
    <x v="2"/>
    <n v="0"/>
    <n v="1.6018909653090001E+19"/>
  </r>
  <r>
    <b v="0"/>
    <x v="889"/>
    <x v="26"/>
    <x v="5"/>
    <x v="2"/>
    <x v="31"/>
    <x v="313"/>
    <x v="2"/>
    <n v="0"/>
    <n v="2.7944998357353498E+18"/>
  </r>
  <r>
    <b v="0"/>
    <x v="890"/>
    <x v="26"/>
    <x v="5"/>
    <x v="7"/>
    <x v="25"/>
    <x v="44"/>
    <x v="2"/>
    <n v="0"/>
    <n v="6.2994447635398502E+18"/>
  </r>
  <r>
    <b v="0"/>
    <x v="891"/>
    <x v="26"/>
    <x v="5"/>
    <x v="6"/>
    <x v="47"/>
    <x v="656"/>
    <x v="2"/>
    <n v="0"/>
    <n v="1.37032133205196E+19"/>
  </r>
  <r>
    <b v="0"/>
    <x v="892"/>
    <x v="26"/>
    <x v="6"/>
    <x v="10"/>
    <x v="13"/>
    <x v="192"/>
    <x v="3"/>
    <n v="0"/>
    <n v="9.1235082459416504E+18"/>
  </r>
  <r>
    <b v="0"/>
    <x v="893"/>
    <x v="26"/>
    <x v="6"/>
    <x v="1"/>
    <x v="6"/>
    <x v="657"/>
    <x v="3"/>
    <n v="0"/>
    <n v="1.03569756635998E+19"/>
  </r>
  <r>
    <b v="0"/>
    <x v="894"/>
    <x v="26"/>
    <x v="6"/>
    <x v="10"/>
    <x v="48"/>
    <x v="658"/>
    <x v="3"/>
    <n v="0"/>
    <n v="1.1633704103349101E+19"/>
  </r>
  <r>
    <b v="0"/>
    <x v="895"/>
    <x v="26"/>
    <x v="6"/>
    <x v="0"/>
    <x v="8"/>
    <x v="305"/>
    <x v="3"/>
    <n v="0"/>
    <n v="8.1464962709043599E+18"/>
  </r>
  <r>
    <b v="0"/>
    <x v="896"/>
    <x v="26"/>
    <x v="6"/>
    <x v="7"/>
    <x v="1"/>
    <x v="659"/>
    <x v="3"/>
    <n v="0"/>
    <n v="2.65150426786195E+18"/>
  </r>
  <r>
    <b v="0"/>
    <x v="897"/>
    <x v="26"/>
    <x v="6"/>
    <x v="7"/>
    <x v="33"/>
    <x v="291"/>
    <x v="3"/>
    <n v="0"/>
    <n v="7.6364491254410199E+18"/>
  </r>
  <r>
    <b v="0"/>
    <x v="898"/>
    <x v="26"/>
    <x v="7"/>
    <x v="7"/>
    <x v="35"/>
    <x v="660"/>
    <x v="3"/>
    <n v="0"/>
    <n v="1.74305724640967E+19"/>
  </r>
  <r>
    <b v="0"/>
    <x v="899"/>
    <x v="26"/>
    <x v="7"/>
    <x v="7"/>
    <x v="2"/>
    <x v="438"/>
    <x v="3"/>
    <n v="0"/>
    <n v="1.0242216966354301E+19"/>
  </r>
  <r>
    <b v="0"/>
    <x v="900"/>
    <x v="26"/>
    <x v="7"/>
    <x v="1"/>
    <x v="33"/>
    <x v="111"/>
    <x v="3"/>
    <n v="0"/>
    <n v="8.6973670045474304E+18"/>
  </r>
  <r>
    <b v="0"/>
    <x v="901"/>
    <x v="26"/>
    <x v="7"/>
    <x v="0"/>
    <x v="0"/>
    <x v="139"/>
    <x v="3"/>
    <n v="0"/>
    <n v="1.4435481305221599E+19"/>
  </r>
  <r>
    <b v="0"/>
    <x v="902"/>
    <x v="26"/>
    <x v="7"/>
    <x v="4"/>
    <x v="33"/>
    <x v="661"/>
    <x v="3"/>
    <n v="0"/>
    <n v="4.8575802622291302E+18"/>
  </r>
  <r>
    <b v="0"/>
    <x v="903"/>
    <x v="26"/>
    <x v="7"/>
    <x v="5"/>
    <x v="31"/>
    <x v="278"/>
    <x v="3"/>
    <n v="0"/>
    <n v="3.0010753941539898E+17"/>
  </r>
  <r>
    <b v="0"/>
    <x v="904"/>
    <x v="26"/>
    <x v="7"/>
    <x v="4"/>
    <x v="59"/>
    <x v="174"/>
    <x v="3"/>
    <n v="0"/>
    <n v="4.16753287518611E+18"/>
  </r>
  <r>
    <b v="0"/>
    <x v="905"/>
    <x v="26"/>
    <x v="7"/>
    <x v="7"/>
    <x v="12"/>
    <x v="662"/>
    <x v="3"/>
    <n v="0"/>
    <n v="1.72999419953015E+16"/>
  </r>
  <r>
    <b v="0"/>
    <x v="906"/>
    <x v="26"/>
    <x v="7"/>
    <x v="5"/>
    <x v="17"/>
    <x v="663"/>
    <x v="3"/>
    <n v="0"/>
    <n v="1.2422460475683E+19"/>
  </r>
  <r>
    <b v="0"/>
    <x v="907"/>
    <x v="26"/>
    <x v="7"/>
    <x v="15"/>
    <x v="28"/>
    <x v="664"/>
    <x v="3"/>
    <n v="0"/>
    <n v="5.8273934569319199E+18"/>
  </r>
  <r>
    <b v="0"/>
    <x v="908"/>
    <x v="26"/>
    <x v="7"/>
    <x v="7"/>
    <x v="84"/>
    <x v="656"/>
    <x v="3"/>
    <n v="0"/>
    <n v="1.1916298226687001E+19"/>
  </r>
  <r>
    <b v="0"/>
    <x v="909"/>
    <x v="26"/>
    <x v="7"/>
    <x v="0"/>
    <x v="24"/>
    <x v="627"/>
    <x v="3"/>
    <n v="0"/>
    <n v="1.38195342343436E+19"/>
  </r>
  <r>
    <b v="0"/>
    <x v="910"/>
    <x v="26"/>
    <x v="7"/>
    <x v="5"/>
    <x v="2"/>
    <x v="140"/>
    <x v="3"/>
    <n v="0"/>
    <n v="1.4599866907537199E+19"/>
  </r>
  <r>
    <b v="0"/>
    <x v="911"/>
    <x v="26"/>
    <x v="7"/>
    <x v="1"/>
    <x v="40"/>
    <x v="178"/>
    <x v="3"/>
    <n v="0"/>
    <n v="4.8340328464983695E+18"/>
  </r>
  <r>
    <b v="0"/>
    <x v="912"/>
    <x v="27"/>
    <x v="0"/>
    <x v="1"/>
    <x v="2"/>
    <x v="518"/>
    <x v="0"/>
    <n v="0"/>
    <n v="5.1916331454240604E+18"/>
  </r>
  <r>
    <b v="0"/>
    <x v="913"/>
    <x v="27"/>
    <x v="0"/>
    <x v="7"/>
    <x v="1"/>
    <x v="665"/>
    <x v="0"/>
    <n v="0"/>
    <n v="8.6354107100481403E+18"/>
  </r>
  <r>
    <b v="0"/>
    <x v="914"/>
    <x v="27"/>
    <x v="1"/>
    <x v="7"/>
    <x v="0"/>
    <x v="572"/>
    <x v="1"/>
    <n v="0"/>
    <n v="3.4682448689679299E+18"/>
  </r>
  <r>
    <b v="0"/>
    <x v="915"/>
    <x v="27"/>
    <x v="1"/>
    <x v="1"/>
    <x v="6"/>
    <x v="666"/>
    <x v="1"/>
    <n v="0"/>
    <n v="1.69481243980299E+19"/>
  </r>
  <r>
    <b v="0"/>
    <x v="916"/>
    <x v="27"/>
    <x v="1"/>
    <x v="10"/>
    <x v="19"/>
    <x v="471"/>
    <x v="1"/>
    <n v="0"/>
    <n v="7.7488267308599603E+18"/>
  </r>
  <r>
    <b v="0"/>
    <x v="917"/>
    <x v="27"/>
    <x v="2"/>
    <x v="2"/>
    <x v="6"/>
    <x v="667"/>
    <x v="1"/>
    <n v="0"/>
    <n v="1.31840591705425E+19"/>
  </r>
  <r>
    <b v="0"/>
    <x v="918"/>
    <x v="27"/>
    <x v="3"/>
    <x v="1"/>
    <x v="15"/>
    <x v="626"/>
    <x v="1"/>
    <n v="0"/>
    <n v="1.1391133610699201E+19"/>
  </r>
  <r>
    <b v="0"/>
    <x v="919"/>
    <x v="27"/>
    <x v="4"/>
    <x v="6"/>
    <x v="15"/>
    <x v="668"/>
    <x v="1"/>
    <n v="0"/>
    <n v="8.7846655831783501E+17"/>
  </r>
  <r>
    <b v="0"/>
    <x v="920"/>
    <x v="27"/>
    <x v="5"/>
    <x v="0"/>
    <x v="6"/>
    <x v="669"/>
    <x v="2"/>
    <n v="0"/>
    <n v="4.3432434798092401E+18"/>
  </r>
  <r>
    <b v="0"/>
    <x v="921"/>
    <x v="27"/>
    <x v="5"/>
    <x v="1"/>
    <x v="15"/>
    <x v="217"/>
    <x v="2"/>
    <n v="0"/>
    <n v="1.34604705663435E+19"/>
  </r>
  <r>
    <b v="0"/>
    <x v="922"/>
    <x v="27"/>
    <x v="5"/>
    <x v="0"/>
    <x v="13"/>
    <x v="670"/>
    <x v="2"/>
    <n v="0"/>
    <n v="8.0988661206035999E+18"/>
  </r>
  <r>
    <b v="0"/>
    <x v="923"/>
    <x v="27"/>
    <x v="5"/>
    <x v="1"/>
    <x v="31"/>
    <x v="671"/>
    <x v="2"/>
    <n v="0"/>
    <n v="1.4052389634980301E+19"/>
  </r>
  <r>
    <b v="0"/>
    <x v="924"/>
    <x v="27"/>
    <x v="5"/>
    <x v="4"/>
    <x v="24"/>
    <x v="672"/>
    <x v="2"/>
    <n v="0"/>
    <n v="6.5569000940914401E+18"/>
  </r>
  <r>
    <b v="0"/>
    <x v="925"/>
    <x v="27"/>
    <x v="5"/>
    <x v="6"/>
    <x v="33"/>
    <x v="486"/>
    <x v="2"/>
    <n v="0"/>
    <n v="2.3650976192695699E+17"/>
  </r>
  <r>
    <b v="0"/>
    <x v="926"/>
    <x v="27"/>
    <x v="5"/>
    <x v="4"/>
    <x v="54"/>
    <x v="217"/>
    <x v="2"/>
    <n v="0"/>
    <n v="1.1283551555942001E+19"/>
  </r>
  <r>
    <b v="0"/>
    <x v="927"/>
    <x v="27"/>
    <x v="6"/>
    <x v="5"/>
    <x v="11"/>
    <x v="540"/>
    <x v="3"/>
    <n v="0"/>
    <n v="8.5697277800849398E+18"/>
  </r>
  <r>
    <b v="0"/>
    <x v="928"/>
    <x v="27"/>
    <x v="6"/>
    <x v="0"/>
    <x v="6"/>
    <x v="305"/>
    <x v="3"/>
    <n v="0"/>
    <n v="3.73260463849184E+18"/>
  </r>
  <r>
    <b v="0"/>
    <x v="929"/>
    <x v="27"/>
    <x v="6"/>
    <x v="5"/>
    <x v="25"/>
    <x v="253"/>
    <x v="3"/>
    <n v="0"/>
    <n v="1.40677831639746E+18"/>
  </r>
  <r>
    <b v="0"/>
    <x v="930"/>
    <x v="27"/>
    <x v="6"/>
    <x v="0"/>
    <x v="85"/>
    <x v="373"/>
    <x v="3"/>
    <n v="0"/>
    <n v="9.7229798616037499E+18"/>
  </r>
  <r>
    <b v="0"/>
    <x v="931"/>
    <x v="27"/>
    <x v="6"/>
    <x v="0"/>
    <x v="16"/>
    <x v="673"/>
    <x v="3"/>
    <n v="0"/>
    <n v="1.2460381024752501E+19"/>
  </r>
  <r>
    <b v="0"/>
    <x v="932"/>
    <x v="27"/>
    <x v="6"/>
    <x v="0"/>
    <x v="85"/>
    <x v="674"/>
    <x v="3"/>
    <n v="0"/>
    <n v="8.20496981139072E+18"/>
  </r>
  <r>
    <b v="0"/>
    <x v="933"/>
    <x v="27"/>
    <x v="6"/>
    <x v="7"/>
    <x v="26"/>
    <x v="668"/>
    <x v="3"/>
    <n v="0"/>
    <n v="1.00529098551825E+19"/>
  </r>
  <r>
    <b v="0"/>
    <x v="934"/>
    <x v="27"/>
    <x v="6"/>
    <x v="7"/>
    <x v="16"/>
    <x v="675"/>
    <x v="3"/>
    <n v="0"/>
    <n v="4.9259847290660403E+18"/>
  </r>
  <r>
    <b v="0"/>
    <x v="935"/>
    <x v="27"/>
    <x v="6"/>
    <x v="4"/>
    <x v="33"/>
    <x v="67"/>
    <x v="3"/>
    <n v="0"/>
    <n v="9.4746655837800305E+18"/>
  </r>
  <r>
    <b v="0"/>
    <x v="936"/>
    <x v="27"/>
    <x v="6"/>
    <x v="4"/>
    <x v="31"/>
    <x v="676"/>
    <x v="3"/>
    <n v="0"/>
    <n v="7.3968830016530596E+18"/>
  </r>
  <r>
    <b v="0"/>
    <x v="937"/>
    <x v="27"/>
    <x v="7"/>
    <x v="0"/>
    <x v="2"/>
    <x v="677"/>
    <x v="3"/>
    <n v="0"/>
    <n v="9.6599224671747502E+18"/>
  </r>
  <r>
    <b v="0"/>
    <x v="938"/>
    <x v="27"/>
    <x v="7"/>
    <x v="10"/>
    <x v="12"/>
    <x v="678"/>
    <x v="3"/>
    <n v="0"/>
    <n v="8.2919648359348204E+18"/>
  </r>
  <r>
    <b v="0"/>
    <x v="939"/>
    <x v="27"/>
    <x v="7"/>
    <x v="4"/>
    <x v="2"/>
    <x v="679"/>
    <x v="3"/>
    <n v="0"/>
    <n v="7.8460291175962604E+18"/>
  </r>
  <r>
    <b v="0"/>
    <x v="940"/>
    <x v="27"/>
    <x v="7"/>
    <x v="0"/>
    <x v="6"/>
    <x v="680"/>
    <x v="3"/>
    <n v="0"/>
    <n v="8.8464063829544397E+18"/>
  </r>
  <r>
    <b v="0"/>
    <x v="941"/>
    <x v="27"/>
    <x v="7"/>
    <x v="7"/>
    <x v="86"/>
    <x v="449"/>
    <x v="3"/>
    <n v="0"/>
    <n v="1.58497761352332E+19"/>
  </r>
  <r>
    <b v="0"/>
    <x v="942"/>
    <x v="27"/>
    <x v="7"/>
    <x v="10"/>
    <x v="67"/>
    <x v="155"/>
    <x v="3"/>
    <n v="0"/>
    <n v="4.1742257484614098E+18"/>
  </r>
  <r>
    <b v="0"/>
    <x v="943"/>
    <x v="27"/>
    <x v="7"/>
    <x v="5"/>
    <x v="37"/>
    <x v="294"/>
    <x v="3"/>
    <n v="0"/>
    <n v="2.1453207314594299E+18"/>
  </r>
  <r>
    <b v="0"/>
    <x v="944"/>
    <x v="27"/>
    <x v="7"/>
    <x v="0"/>
    <x v="6"/>
    <x v="29"/>
    <x v="3"/>
    <n v="0"/>
    <n v="7.1934104416705096E+18"/>
  </r>
  <r>
    <b v="0"/>
    <x v="945"/>
    <x v="27"/>
    <x v="7"/>
    <x v="5"/>
    <x v="31"/>
    <x v="179"/>
    <x v="3"/>
    <n v="0"/>
    <n v="1.6899659080630499E+19"/>
  </r>
  <r>
    <b v="0"/>
    <x v="946"/>
    <x v="27"/>
    <x v="7"/>
    <x v="1"/>
    <x v="33"/>
    <x v="681"/>
    <x v="3"/>
    <n v="0"/>
    <n v="1.5526894982656299E+19"/>
  </r>
  <r>
    <b v="0"/>
    <x v="947"/>
    <x v="28"/>
    <x v="0"/>
    <x v="4"/>
    <x v="25"/>
    <x v="619"/>
    <x v="0"/>
    <n v="0"/>
    <n v="1.19978687771036E+19"/>
  </r>
  <r>
    <b v="0"/>
    <x v="948"/>
    <x v="28"/>
    <x v="0"/>
    <x v="1"/>
    <x v="68"/>
    <x v="518"/>
    <x v="0"/>
    <n v="0"/>
    <n v="1.48933364432734E+19"/>
  </r>
  <r>
    <b v="0"/>
    <x v="949"/>
    <x v="28"/>
    <x v="1"/>
    <x v="7"/>
    <x v="2"/>
    <x v="682"/>
    <x v="1"/>
    <n v="0"/>
    <n v="7.0370968241487698E+18"/>
  </r>
  <r>
    <b v="0"/>
    <x v="950"/>
    <x v="28"/>
    <x v="1"/>
    <x v="2"/>
    <x v="1"/>
    <x v="683"/>
    <x v="1"/>
    <n v="0"/>
    <n v="1.0312556811108499E+19"/>
  </r>
  <r>
    <b v="0"/>
    <x v="951"/>
    <x v="28"/>
    <x v="2"/>
    <x v="12"/>
    <x v="81"/>
    <x v="222"/>
    <x v="1"/>
    <n v="0"/>
    <n v="4.7068354665622702E+18"/>
  </r>
  <r>
    <b v="0"/>
    <x v="952"/>
    <x v="28"/>
    <x v="2"/>
    <x v="1"/>
    <x v="21"/>
    <x v="385"/>
    <x v="1"/>
    <n v="0"/>
    <n v="1.5299155657435099E+19"/>
  </r>
  <r>
    <b v="0"/>
    <x v="953"/>
    <x v="28"/>
    <x v="3"/>
    <x v="3"/>
    <x v="21"/>
    <x v="502"/>
    <x v="1"/>
    <n v="0"/>
    <n v="6.2112408970107003E+18"/>
  </r>
  <r>
    <b v="0"/>
    <x v="954"/>
    <x v="28"/>
    <x v="4"/>
    <x v="2"/>
    <x v="10"/>
    <x v="684"/>
    <x v="1"/>
    <n v="0"/>
    <n v="2.0658505695056899E+17"/>
  </r>
  <r>
    <b v="0"/>
    <x v="955"/>
    <x v="28"/>
    <x v="4"/>
    <x v="2"/>
    <x v="13"/>
    <x v="158"/>
    <x v="1"/>
    <n v="0"/>
    <n v="1.2900549645874601E+18"/>
  </r>
  <r>
    <b v="0"/>
    <x v="956"/>
    <x v="28"/>
    <x v="5"/>
    <x v="7"/>
    <x v="2"/>
    <x v="378"/>
    <x v="2"/>
    <n v="0"/>
    <n v="9.5198946502931108E+18"/>
  </r>
  <r>
    <b v="0"/>
    <x v="957"/>
    <x v="28"/>
    <x v="5"/>
    <x v="6"/>
    <x v="0"/>
    <x v="109"/>
    <x v="2"/>
    <n v="0"/>
    <n v="1.7252193416511001E+19"/>
  </r>
  <r>
    <b v="0"/>
    <x v="958"/>
    <x v="28"/>
    <x v="5"/>
    <x v="6"/>
    <x v="0"/>
    <x v="685"/>
    <x v="2"/>
    <n v="0"/>
    <n v="1.6626872079391701E+19"/>
  </r>
  <r>
    <b v="0"/>
    <x v="959"/>
    <x v="28"/>
    <x v="5"/>
    <x v="0"/>
    <x v="54"/>
    <x v="686"/>
    <x v="2"/>
    <n v="0"/>
    <n v="1.3719202380109799E+19"/>
  </r>
  <r>
    <b v="0"/>
    <x v="960"/>
    <x v="28"/>
    <x v="5"/>
    <x v="7"/>
    <x v="25"/>
    <x v="687"/>
    <x v="2"/>
    <n v="0"/>
    <n v="1.35312155194873E+19"/>
  </r>
  <r>
    <b v="0"/>
    <x v="961"/>
    <x v="28"/>
    <x v="5"/>
    <x v="0"/>
    <x v="29"/>
    <x v="688"/>
    <x v="2"/>
    <n v="0"/>
    <n v="8.6605255091727299E+18"/>
  </r>
  <r>
    <b v="0"/>
    <x v="962"/>
    <x v="28"/>
    <x v="5"/>
    <x v="0"/>
    <x v="31"/>
    <x v="181"/>
    <x v="2"/>
    <n v="0"/>
    <n v="9.4486053433924403E+18"/>
  </r>
  <r>
    <b v="0"/>
    <x v="963"/>
    <x v="28"/>
    <x v="6"/>
    <x v="2"/>
    <x v="42"/>
    <x v="689"/>
    <x v="3"/>
    <n v="0"/>
    <n v="1.75137048827748E+19"/>
  </r>
  <r>
    <b v="0"/>
    <x v="964"/>
    <x v="28"/>
    <x v="6"/>
    <x v="0"/>
    <x v="47"/>
    <x v="690"/>
    <x v="3"/>
    <n v="0"/>
    <n v="1.1682597153044601E+19"/>
  </r>
  <r>
    <b v="0"/>
    <x v="965"/>
    <x v="28"/>
    <x v="6"/>
    <x v="7"/>
    <x v="82"/>
    <x v="254"/>
    <x v="3"/>
    <n v="0"/>
    <n v="1.78976868692242E+19"/>
  </r>
  <r>
    <b v="0"/>
    <x v="966"/>
    <x v="28"/>
    <x v="6"/>
    <x v="10"/>
    <x v="25"/>
    <x v="691"/>
    <x v="3"/>
    <n v="0"/>
    <n v="8.8922739237902899E+18"/>
  </r>
  <r>
    <b v="0"/>
    <x v="967"/>
    <x v="28"/>
    <x v="6"/>
    <x v="2"/>
    <x v="48"/>
    <x v="48"/>
    <x v="3"/>
    <n v="0"/>
    <n v="1.54325876054906E+19"/>
  </r>
  <r>
    <b v="0"/>
    <x v="968"/>
    <x v="28"/>
    <x v="6"/>
    <x v="0"/>
    <x v="2"/>
    <x v="692"/>
    <x v="3"/>
    <n v="0"/>
    <n v="1.2640379679137401E+19"/>
  </r>
  <r>
    <b v="0"/>
    <x v="969"/>
    <x v="28"/>
    <x v="6"/>
    <x v="5"/>
    <x v="1"/>
    <x v="201"/>
    <x v="3"/>
    <n v="0"/>
    <n v="7.6244298729275197E+18"/>
  </r>
  <r>
    <b v="0"/>
    <x v="970"/>
    <x v="28"/>
    <x v="7"/>
    <x v="0"/>
    <x v="14"/>
    <x v="39"/>
    <x v="3"/>
    <n v="0"/>
    <n v="7.4102905533572997E+18"/>
  </r>
  <r>
    <b v="0"/>
    <x v="971"/>
    <x v="28"/>
    <x v="7"/>
    <x v="7"/>
    <x v="6"/>
    <x v="196"/>
    <x v="3"/>
    <n v="0"/>
    <n v="8.7008853023702702E+18"/>
  </r>
  <r>
    <b v="0"/>
    <x v="972"/>
    <x v="28"/>
    <x v="7"/>
    <x v="2"/>
    <x v="1"/>
    <x v="693"/>
    <x v="3"/>
    <n v="0"/>
    <n v="1.66569488551819E+19"/>
  </r>
  <r>
    <b v="0"/>
    <x v="973"/>
    <x v="28"/>
    <x v="7"/>
    <x v="5"/>
    <x v="66"/>
    <x v="694"/>
    <x v="3"/>
    <n v="0"/>
    <n v="1.27569585066163E+19"/>
  </r>
  <r>
    <b v="0"/>
    <x v="974"/>
    <x v="28"/>
    <x v="7"/>
    <x v="8"/>
    <x v="20"/>
    <x v="695"/>
    <x v="3"/>
    <n v="0"/>
    <n v="8.9188442651857603E+18"/>
  </r>
  <r>
    <b v="0"/>
    <x v="975"/>
    <x v="28"/>
    <x v="7"/>
    <x v="7"/>
    <x v="85"/>
    <x v="696"/>
    <x v="3"/>
    <n v="0"/>
    <n v="1.5368722082243701E+19"/>
  </r>
  <r>
    <b v="0"/>
    <x v="976"/>
    <x v="28"/>
    <x v="7"/>
    <x v="2"/>
    <x v="13"/>
    <x v="150"/>
    <x v="3"/>
    <n v="0"/>
    <n v="1.6918394253453699E+19"/>
  </r>
  <r>
    <b v="0"/>
    <x v="977"/>
    <x v="28"/>
    <x v="7"/>
    <x v="10"/>
    <x v="48"/>
    <x v="697"/>
    <x v="3"/>
    <n v="0"/>
    <n v="1.1337243900281201E+19"/>
  </r>
  <r>
    <b v="0"/>
    <x v="978"/>
    <x v="28"/>
    <x v="7"/>
    <x v="0"/>
    <x v="8"/>
    <x v="698"/>
    <x v="3"/>
    <n v="0"/>
    <n v="1.4031042025953201E+18"/>
  </r>
  <r>
    <b v="0"/>
    <x v="979"/>
    <x v="28"/>
    <x v="7"/>
    <x v="1"/>
    <x v="31"/>
    <x v="246"/>
    <x v="3"/>
    <n v="0"/>
    <n v="1.22061279311477E+19"/>
  </r>
  <r>
    <b v="0"/>
    <x v="980"/>
    <x v="28"/>
    <x v="7"/>
    <x v="0"/>
    <x v="33"/>
    <x v="699"/>
    <x v="3"/>
    <n v="0"/>
    <n v="6.855488564228E+16"/>
  </r>
  <r>
    <b v="0"/>
    <x v="981"/>
    <x v="29"/>
    <x v="0"/>
    <x v="1"/>
    <x v="48"/>
    <x v="607"/>
    <x v="0"/>
    <n v="0"/>
    <n v="3.1332130615979802E+18"/>
  </r>
  <r>
    <b v="0"/>
    <x v="982"/>
    <x v="29"/>
    <x v="0"/>
    <x v="4"/>
    <x v="16"/>
    <x v="140"/>
    <x v="0"/>
    <n v="0"/>
    <n v="1.2839606176355799E+19"/>
  </r>
  <r>
    <b v="0"/>
    <x v="983"/>
    <x v="29"/>
    <x v="1"/>
    <x v="2"/>
    <x v="31"/>
    <x v="16"/>
    <x v="1"/>
    <n v="0"/>
    <n v="6.5105118521856602E+17"/>
  </r>
  <r>
    <b v="0"/>
    <x v="984"/>
    <x v="29"/>
    <x v="1"/>
    <x v="7"/>
    <x v="16"/>
    <x v="409"/>
    <x v="1"/>
    <n v="0"/>
    <n v="9.6290445848112294E+17"/>
  </r>
  <r>
    <b v="0"/>
    <x v="985"/>
    <x v="29"/>
    <x v="2"/>
    <x v="2"/>
    <x v="8"/>
    <x v="208"/>
    <x v="1"/>
    <n v="0"/>
    <n v="3.2320293003445202E+18"/>
  </r>
  <r>
    <b v="0"/>
    <x v="986"/>
    <x v="29"/>
    <x v="2"/>
    <x v="16"/>
    <x v="0"/>
    <x v="517"/>
    <x v="1"/>
    <n v="0"/>
    <n v="7.8351217287190405E+18"/>
  </r>
  <r>
    <b v="0"/>
    <x v="987"/>
    <x v="29"/>
    <x v="3"/>
    <x v="16"/>
    <x v="47"/>
    <x v="700"/>
    <x v="1"/>
    <n v="0"/>
    <n v="6.4837175029962004E+18"/>
  </r>
  <r>
    <b v="0"/>
    <x v="988"/>
    <x v="29"/>
    <x v="4"/>
    <x v="5"/>
    <x v="20"/>
    <x v="701"/>
    <x v="1"/>
    <n v="0"/>
    <n v="1.79763121792646E+19"/>
  </r>
  <r>
    <b v="0"/>
    <x v="989"/>
    <x v="29"/>
    <x v="4"/>
    <x v="0"/>
    <x v="25"/>
    <x v="702"/>
    <x v="1"/>
    <n v="0"/>
    <n v="1.4389846088623301E+19"/>
  </r>
  <r>
    <b v="0"/>
    <x v="990"/>
    <x v="29"/>
    <x v="5"/>
    <x v="2"/>
    <x v="26"/>
    <x v="703"/>
    <x v="2"/>
    <n v="0"/>
    <n v="5.8475895986951895E+18"/>
  </r>
  <r>
    <b v="0"/>
    <x v="991"/>
    <x v="29"/>
    <x v="5"/>
    <x v="6"/>
    <x v="87"/>
    <x v="704"/>
    <x v="2"/>
    <n v="0"/>
    <n v="1.2661891410573601E+19"/>
  </r>
  <r>
    <b v="0"/>
    <x v="992"/>
    <x v="29"/>
    <x v="5"/>
    <x v="7"/>
    <x v="1"/>
    <x v="491"/>
    <x v="2"/>
    <n v="0"/>
    <n v="1.7105552209569499E+19"/>
  </r>
  <r>
    <b v="0"/>
    <x v="993"/>
    <x v="29"/>
    <x v="5"/>
    <x v="6"/>
    <x v="21"/>
    <x v="459"/>
    <x v="2"/>
    <n v="0"/>
    <n v="1.67255642580271E+19"/>
  </r>
  <r>
    <b v="0"/>
    <x v="994"/>
    <x v="29"/>
    <x v="5"/>
    <x v="1"/>
    <x v="13"/>
    <x v="705"/>
    <x v="2"/>
    <n v="0"/>
    <n v="9.5273593684241695E+18"/>
  </r>
  <r>
    <b v="0"/>
    <x v="995"/>
    <x v="29"/>
    <x v="5"/>
    <x v="10"/>
    <x v="2"/>
    <x v="706"/>
    <x v="2"/>
    <n v="0"/>
    <n v="1.34948947237648E+18"/>
  </r>
  <r>
    <b v="0"/>
    <x v="996"/>
    <x v="29"/>
    <x v="6"/>
    <x v="9"/>
    <x v="13"/>
    <x v="520"/>
    <x v="3"/>
    <n v="0"/>
    <n v="4.22526583285201E+18"/>
  </r>
  <r>
    <b v="0"/>
    <x v="997"/>
    <x v="29"/>
    <x v="6"/>
    <x v="8"/>
    <x v="48"/>
    <x v="112"/>
    <x v="3"/>
    <n v="0"/>
    <n v="1.20229507166063E+19"/>
  </r>
  <r>
    <b v="0"/>
    <x v="998"/>
    <x v="29"/>
    <x v="6"/>
    <x v="0"/>
    <x v="1"/>
    <x v="111"/>
    <x v="3"/>
    <n v="0"/>
    <n v="3.3476153007321298E+18"/>
  </r>
  <r>
    <b v="0"/>
    <x v="999"/>
    <x v="29"/>
    <x v="6"/>
    <x v="7"/>
    <x v="0"/>
    <x v="707"/>
    <x v="3"/>
    <n v="0"/>
    <n v="1.2653712223671501E+19"/>
  </r>
  <r>
    <b v="0"/>
    <x v="1000"/>
    <x v="29"/>
    <x v="6"/>
    <x v="7"/>
    <x v="6"/>
    <x v="264"/>
    <x v="3"/>
    <n v="0"/>
    <n v="1.55362807375563E+19"/>
  </r>
  <r>
    <b v="0"/>
    <x v="1001"/>
    <x v="29"/>
    <x v="6"/>
    <x v="8"/>
    <x v="12"/>
    <x v="158"/>
    <x v="3"/>
    <n v="0"/>
    <n v="9.0052371841837896E+18"/>
  </r>
  <r>
    <b v="0"/>
    <x v="1002"/>
    <x v="29"/>
    <x v="7"/>
    <x v="5"/>
    <x v="32"/>
    <x v="708"/>
    <x v="3"/>
    <n v="0"/>
    <n v="7.8225563281190697E+18"/>
  </r>
  <r>
    <b v="0"/>
    <x v="1003"/>
    <x v="29"/>
    <x v="7"/>
    <x v="7"/>
    <x v="12"/>
    <x v="709"/>
    <x v="3"/>
    <n v="0"/>
    <n v="4.7148333432539003E+18"/>
  </r>
  <r>
    <b v="0"/>
    <x v="1004"/>
    <x v="29"/>
    <x v="7"/>
    <x v="3"/>
    <x v="31"/>
    <x v="710"/>
    <x v="3"/>
    <n v="0"/>
    <n v="5.0603502961426196E+18"/>
  </r>
  <r>
    <b v="0"/>
    <x v="1005"/>
    <x v="29"/>
    <x v="7"/>
    <x v="7"/>
    <x v="25"/>
    <x v="678"/>
    <x v="3"/>
    <n v="0"/>
    <n v="2.5354688121843799E+18"/>
  </r>
  <r>
    <b v="0"/>
    <x v="1006"/>
    <x v="29"/>
    <x v="7"/>
    <x v="1"/>
    <x v="0"/>
    <x v="711"/>
    <x v="3"/>
    <n v="0"/>
    <n v="8.6026042513581998E+18"/>
  </r>
  <r>
    <b v="0"/>
    <x v="1007"/>
    <x v="29"/>
    <x v="7"/>
    <x v="7"/>
    <x v="13"/>
    <x v="712"/>
    <x v="3"/>
    <n v="0"/>
    <n v="6.9311754955544205E+17"/>
  </r>
  <r>
    <b v="0"/>
    <x v="1008"/>
    <x v="29"/>
    <x v="7"/>
    <x v="2"/>
    <x v="31"/>
    <x v="253"/>
    <x v="3"/>
    <n v="0"/>
    <n v="9.1983856248190904E+18"/>
  </r>
  <r>
    <b v="0"/>
    <x v="1009"/>
    <x v="29"/>
    <x v="7"/>
    <x v="0"/>
    <x v="0"/>
    <x v="713"/>
    <x v="3"/>
    <n v="0"/>
    <n v="6.8996634498895903E+18"/>
  </r>
  <r>
    <b v="0"/>
    <x v="1010"/>
    <x v="29"/>
    <x v="7"/>
    <x v="7"/>
    <x v="13"/>
    <x v="288"/>
    <x v="3"/>
    <n v="0"/>
    <n v="1.82110148430313E+19"/>
  </r>
  <r>
    <b v="0"/>
    <x v="1011"/>
    <x v="29"/>
    <x v="7"/>
    <x v="7"/>
    <x v="31"/>
    <x v="714"/>
    <x v="3"/>
    <n v="0"/>
    <n v="1.07186561616873E+19"/>
  </r>
  <r>
    <b v="0"/>
    <x v="1012"/>
    <x v="29"/>
    <x v="7"/>
    <x v="2"/>
    <x v="14"/>
    <x v="715"/>
    <x v="3"/>
    <n v="0"/>
    <n v="1.7212740477663701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9F398E-8445-4064-A568-BE7C41919A12}" name="pvt_Blanks" cacheId="10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8:K1022" firstHeaderRow="0" firstDataRow="1" firstDataCol="7"/>
  <pivotFields count="10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dataField="1"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Fields count="1">
    <field x="-2"/>
  </colFields>
  <colItems count="2">
    <i>
      <x/>
    </i>
    <i i="1">
      <x v="1"/>
    </i>
  </colItems>
  <dataFields count="2">
    <dataField name="Has Blank %" fld="8" subtotal="average" baseField="0" baseItem="1" numFmtId="164"/>
    <dataField name="% of Total Blanks" fld="8" showDataAs="percentOfTotal" baseField="0" baseItem="1" numFmtId="164"/>
  </dataFields>
  <formats count="1093">
    <format dxfId="2159">
      <pivotArea type="all" dataOnly="0" outline="0" fieldPosition="0"/>
    </format>
    <format dxfId="2158">
      <pivotArea type="all" dataOnly="0" outline="0" fieldPosition="0"/>
    </format>
    <format dxfId="2157">
      <pivotArea dataOnly="0" outline="0" fieldPosition="0">
        <references count="1">
          <reference field="4294967294" count="1">
            <x v="0"/>
          </reference>
        </references>
      </pivotArea>
    </format>
    <format dxfId="2156">
      <pivotArea outline="0" fieldPosition="0">
        <references count="1">
          <reference field="4294967294" count="1">
            <x v="0"/>
          </reference>
        </references>
      </pivotArea>
    </format>
    <format dxfId="2155">
      <pivotArea outline="0" fieldPosition="0">
        <references count="1">
          <reference field="4294967294" count="1">
            <x v="1"/>
          </reference>
        </references>
      </pivotArea>
    </format>
    <format dxfId="2154">
      <pivotArea type="all" dataOnly="0" outline="0" fieldPosition="0"/>
    </format>
    <format dxfId="215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152">
      <pivotArea outline="0" fieldPosition="0">
        <references count="1">
          <reference field="4294967294" count="1" selected="0">
            <x v="1"/>
          </reference>
        </references>
      </pivotArea>
    </format>
    <format dxfId="1085">
      <pivotArea field="1" type="button" dataOnly="0" labelOnly="1" outline="0" axis="axisRow" fieldPosition="0"/>
    </format>
    <format dxfId="1084">
      <pivotArea field="2" type="button" dataOnly="0" labelOnly="1" outline="0" axis="axisRow" fieldPosition="1"/>
    </format>
    <format dxfId="1083">
      <pivotArea field="3" type="button" dataOnly="0" labelOnly="1" outline="0" axis="axisRow" fieldPosition="2"/>
    </format>
    <format dxfId="1082">
      <pivotArea field="4" type="button" dataOnly="0" labelOnly="1" outline="0" axis="axisRow" fieldPosition="3"/>
    </format>
    <format dxfId="1081">
      <pivotArea field="5" type="button" dataOnly="0" labelOnly="1" outline="0" axis="axisRow" fieldPosition="4"/>
    </format>
    <format dxfId="1080">
      <pivotArea field="6" type="button" dataOnly="0" labelOnly="1" outline="0" axis="axisRow" fieldPosition="5"/>
    </format>
    <format dxfId="1079">
      <pivotArea field="7" type="button" dataOnly="0" labelOnly="1" outline="0" axis="axisRow" fieldPosition="6"/>
    </format>
    <format dxfId="107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77">
      <pivotArea type="all" dataOnly="0" outline="0" fieldPosition="0"/>
    </format>
    <format dxfId="1076">
      <pivotArea outline="0" collapsedLevelsAreSubtotals="1" fieldPosition="0"/>
    </format>
    <format dxfId="1075">
      <pivotArea field="2" type="button" dataOnly="0" labelOnly="1" outline="0" axis="axisRow" fieldPosition="1"/>
    </format>
    <format dxfId="1074">
      <pivotArea field="3" type="button" dataOnly="0" labelOnly="1" outline="0" axis="axisRow" fieldPosition="2"/>
    </format>
    <format dxfId="1073">
      <pivotArea field="4" type="button" dataOnly="0" labelOnly="1" outline="0" axis="axisRow" fieldPosition="3"/>
    </format>
    <format dxfId="1072">
      <pivotArea field="5" type="button" dataOnly="0" labelOnly="1" outline="0" axis="axisRow" fieldPosition="4"/>
    </format>
    <format dxfId="1071">
      <pivotArea field="6" type="button" dataOnly="0" labelOnly="1" outline="0" axis="axisRow" fieldPosition="5"/>
    </format>
    <format dxfId="1070">
      <pivotArea field="7" type="button" dataOnly="0" labelOnly="1" outline="0" axis="axisRow" fieldPosition="6"/>
    </format>
    <format dxfId="1069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68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67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66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65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64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63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62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61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60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59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58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57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56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55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54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53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52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51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50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49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4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47">
      <pivotArea type="all" dataOnly="0" outline="0" fieldPosition="0"/>
    </format>
    <format dxfId="1046">
      <pivotArea outline="0" collapsedLevelsAreSubtotals="1" fieldPosition="0"/>
    </format>
    <format dxfId="1045">
      <pivotArea field="1" type="button" dataOnly="0" labelOnly="1" outline="0" axis="axisRow" fieldPosition="0"/>
    </format>
    <format dxfId="1044">
      <pivotArea field="2" type="button" dataOnly="0" labelOnly="1" outline="0" axis="axisRow" fieldPosition="1"/>
    </format>
    <format dxfId="1043">
      <pivotArea field="3" type="button" dataOnly="0" labelOnly="1" outline="0" axis="axisRow" fieldPosition="2"/>
    </format>
    <format dxfId="1042">
      <pivotArea field="4" type="button" dataOnly="0" labelOnly="1" outline="0" axis="axisRow" fieldPosition="3"/>
    </format>
    <format dxfId="1041">
      <pivotArea field="5" type="button" dataOnly="0" labelOnly="1" outline="0" axis="axisRow" fieldPosition="4"/>
    </format>
    <format dxfId="1040">
      <pivotArea field="6" type="button" dataOnly="0" labelOnly="1" outline="0" axis="axisRow" fieldPosition="5"/>
    </format>
    <format dxfId="1039">
      <pivotArea field="7" type="button" dataOnly="0" labelOnly="1" outline="0" axis="axisRow" fieldPosition="6"/>
    </format>
    <format dxfId="1038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037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036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1035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1034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1033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1032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1031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1030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1029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1028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1027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1026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1025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1024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1023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1022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1021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1020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1019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1018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1017">
      <pivotArea dataOnly="0" labelOnly="1" grandRow="1" outline="0" fieldPosition="0"/>
    </format>
    <format dxfId="101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015">
      <pivotArea field="1" type="button" dataOnly="0" labelOnly="1" outline="0" axis="axisRow" fieldPosition="0"/>
    </format>
    <format dxfId="1014">
      <pivotArea dataOnly="0" labelOnly="1" outline="0" fieldPosition="0">
        <references count="1">
          <reference field="1" count="1">
            <x v="0"/>
          </reference>
        </references>
      </pivotArea>
    </format>
    <format dxfId="1013">
      <pivotArea dataOnly="0" labelOnly="1" outline="0" fieldPosition="0">
        <references count="1">
          <reference field="1" count="1">
            <x v="1"/>
          </reference>
        </references>
      </pivotArea>
    </format>
    <format dxfId="1012">
      <pivotArea dataOnly="0" labelOnly="1" outline="0" fieldPosition="0">
        <references count="1">
          <reference field="1" count="1">
            <x v="2"/>
          </reference>
        </references>
      </pivotArea>
    </format>
    <format dxfId="1011">
      <pivotArea dataOnly="0" labelOnly="1" outline="0" fieldPosition="0">
        <references count="1">
          <reference field="1" count="1">
            <x v="3"/>
          </reference>
        </references>
      </pivotArea>
    </format>
    <format dxfId="1010">
      <pivotArea dataOnly="0" labelOnly="1" outline="0" fieldPosition="0">
        <references count="1">
          <reference field="1" count="1">
            <x v="4"/>
          </reference>
        </references>
      </pivotArea>
    </format>
    <format dxfId="1009">
      <pivotArea dataOnly="0" labelOnly="1" outline="0" fieldPosition="0">
        <references count="1">
          <reference field="1" count="1">
            <x v="5"/>
          </reference>
        </references>
      </pivotArea>
    </format>
    <format dxfId="1008">
      <pivotArea dataOnly="0" labelOnly="1" outline="0" fieldPosition="0">
        <references count="1">
          <reference field="1" count="1">
            <x v="6"/>
          </reference>
        </references>
      </pivotArea>
    </format>
    <format dxfId="1007">
      <pivotArea dataOnly="0" labelOnly="1" outline="0" fieldPosition="0">
        <references count="1">
          <reference field="1" count="1">
            <x v="7"/>
          </reference>
        </references>
      </pivotArea>
    </format>
    <format dxfId="1006">
      <pivotArea dataOnly="0" labelOnly="1" outline="0" fieldPosition="0">
        <references count="1">
          <reference field="1" count="1">
            <x v="8"/>
          </reference>
        </references>
      </pivotArea>
    </format>
    <format dxfId="1005">
      <pivotArea dataOnly="0" labelOnly="1" outline="0" fieldPosition="0">
        <references count="1">
          <reference field="1" count="1">
            <x v="9"/>
          </reference>
        </references>
      </pivotArea>
    </format>
    <format dxfId="1004">
      <pivotArea dataOnly="0" labelOnly="1" outline="0" fieldPosition="0">
        <references count="1">
          <reference field="1" count="1">
            <x v="10"/>
          </reference>
        </references>
      </pivotArea>
    </format>
    <format dxfId="1003">
      <pivotArea dataOnly="0" labelOnly="1" outline="0" fieldPosition="0">
        <references count="1">
          <reference field="1" count="1">
            <x v="11"/>
          </reference>
        </references>
      </pivotArea>
    </format>
    <format dxfId="1002">
      <pivotArea dataOnly="0" labelOnly="1" outline="0" fieldPosition="0">
        <references count="1">
          <reference field="1" count="1">
            <x v="12"/>
          </reference>
        </references>
      </pivotArea>
    </format>
    <format dxfId="1001">
      <pivotArea dataOnly="0" labelOnly="1" outline="0" fieldPosition="0">
        <references count="1">
          <reference field="1" count="1">
            <x v="13"/>
          </reference>
        </references>
      </pivotArea>
    </format>
    <format dxfId="1000">
      <pivotArea dataOnly="0" labelOnly="1" outline="0" fieldPosition="0">
        <references count="1">
          <reference field="1" count="1">
            <x v="14"/>
          </reference>
        </references>
      </pivotArea>
    </format>
    <format dxfId="999">
      <pivotArea dataOnly="0" labelOnly="1" outline="0" fieldPosition="0">
        <references count="1">
          <reference field="1" count="1">
            <x v="15"/>
          </reference>
        </references>
      </pivotArea>
    </format>
    <format dxfId="998">
      <pivotArea dataOnly="0" labelOnly="1" outline="0" fieldPosition="0">
        <references count="1">
          <reference field="1" count="1">
            <x v="16"/>
          </reference>
        </references>
      </pivotArea>
    </format>
    <format dxfId="997">
      <pivotArea dataOnly="0" labelOnly="1" outline="0" fieldPosition="0">
        <references count="1">
          <reference field="1" count="1">
            <x v="17"/>
          </reference>
        </references>
      </pivotArea>
    </format>
    <format dxfId="996">
      <pivotArea dataOnly="0" labelOnly="1" outline="0" fieldPosition="0">
        <references count="1">
          <reference field="1" count="1">
            <x v="18"/>
          </reference>
        </references>
      </pivotArea>
    </format>
    <format dxfId="995">
      <pivotArea dataOnly="0" labelOnly="1" outline="0" fieldPosition="0">
        <references count="1">
          <reference field="1" count="1">
            <x v="19"/>
          </reference>
        </references>
      </pivotArea>
    </format>
    <format dxfId="994">
      <pivotArea dataOnly="0" labelOnly="1" outline="0" fieldPosition="0">
        <references count="1">
          <reference field="1" count="1">
            <x v="20"/>
          </reference>
        </references>
      </pivotArea>
    </format>
    <format dxfId="993">
      <pivotArea dataOnly="0" labelOnly="1" outline="0" fieldPosition="0">
        <references count="1">
          <reference field="1" count="1">
            <x v="21"/>
          </reference>
        </references>
      </pivotArea>
    </format>
    <format dxfId="992">
      <pivotArea dataOnly="0" labelOnly="1" outline="0" fieldPosition="0">
        <references count="1">
          <reference field="1" count="1">
            <x v="22"/>
          </reference>
        </references>
      </pivotArea>
    </format>
    <format dxfId="991">
      <pivotArea dataOnly="0" labelOnly="1" outline="0" fieldPosition="0">
        <references count="1">
          <reference field="1" count="1">
            <x v="23"/>
          </reference>
        </references>
      </pivotArea>
    </format>
    <format dxfId="990">
      <pivotArea dataOnly="0" labelOnly="1" outline="0" fieldPosition="0">
        <references count="1">
          <reference field="1" count="1">
            <x v="24"/>
          </reference>
        </references>
      </pivotArea>
    </format>
    <format dxfId="989">
      <pivotArea dataOnly="0" labelOnly="1" outline="0" fieldPosition="0">
        <references count="1">
          <reference field="1" count="1">
            <x v="25"/>
          </reference>
        </references>
      </pivotArea>
    </format>
    <format dxfId="988">
      <pivotArea dataOnly="0" labelOnly="1" outline="0" fieldPosition="0">
        <references count="1">
          <reference field="1" count="1">
            <x v="26"/>
          </reference>
        </references>
      </pivotArea>
    </format>
    <format dxfId="987">
      <pivotArea dataOnly="0" labelOnly="1" outline="0" fieldPosition="0">
        <references count="1">
          <reference field="1" count="1">
            <x v="27"/>
          </reference>
        </references>
      </pivotArea>
    </format>
    <format dxfId="986">
      <pivotArea dataOnly="0" labelOnly="1" outline="0" fieldPosition="0">
        <references count="1">
          <reference field="1" count="1">
            <x v="28"/>
          </reference>
        </references>
      </pivotArea>
    </format>
    <format dxfId="985">
      <pivotArea dataOnly="0" labelOnly="1" outline="0" fieldPosition="0">
        <references count="1">
          <reference field="1" count="1">
            <x v="29"/>
          </reference>
        </references>
      </pivotArea>
    </format>
    <format dxfId="984">
      <pivotArea dataOnly="0" labelOnly="1" outline="0" fieldPosition="0">
        <references count="1">
          <reference field="1" count="1">
            <x v="30"/>
          </reference>
        </references>
      </pivotArea>
    </format>
    <format dxfId="983">
      <pivotArea dataOnly="0" labelOnly="1" outline="0" fieldPosition="0">
        <references count="1">
          <reference field="1" count="1">
            <x v="31"/>
          </reference>
        </references>
      </pivotArea>
    </format>
    <format dxfId="982">
      <pivotArea dataOnly="0" labelOnly="1" outline="0" fieldPosition="0">
        <references count="1">
          <reference field="1" count="1">
            <x v="32"/>
          </reference>
        </references>
      </pivotArea>
    </format>
    <format dxfId="981">
      <pivotArea dataOnly="0" labelOnly="1" outline="0" fieldPosition="0">
        <references count="1">
          <reference field="1" count="1">
            <x v="33"/>
          </reference>
        </references>
      </pivotArea>
    </format>
    <format dxfId="980">
      <pivotArea dataOnly="0" labelOnly="1" outline="0" fieldPosition="0">
        <references count="1">
          <reference field="1" count="1">
            <x v="34"/>
          </reference>
        </references>
      </pivotArea>
    </format>
    <format dxfId="979">
      <pivotArea dataOnly="0" labelOnly="1" outline="0" fieldPosition="0">
        <references count="1">
          <reference field="1" count="1">
            <x v="35"/>
          </reference>
        </references>
      </pivotArea>
    </format>
    <format dxfId="978">
      <pivotArea dataOnly="0" labelOnly="1" outline="0" fieldPosition="0">
        <references count="1">
          <reference field="1" count="1">
            <x v="36"/>
          </reference>
        </references>
      </pivotArea>
    </format>
    <format dxfId="977">
      <pivotArea dataOnly="0" labelOnly="1" outline="0" fieldPosition="0">
        <references count="1">
          <reference field="1" count="1">
            <x v="37"/>
          </reference>
        </references>
      </pivotArea>
    </format>
    <format dxfId="976">
      <pivotArea dataOnly="0" labelOnly="1" outline="0" fieldPosition="0">
        <references count="1">
          <reference field="1" count="1">
            <x v="38"/>
          </reference>
        </references>
      </pivotArea>
    </format>
    <format dxfId="975">
      <pivotArea dataOnly="0" labelOnly="1" outline="0" fieldPosition="0">
        <references count="1">
          <reference field="1" count="1">
            <x v="39"/>
          </reference>
        </references>
      </pivotArea>
    </format>
    <format dxfId="974">
      <pivotArea dataOnly="0" labelOnly="1" outline="0" fieldPosition="0">
        <references count="1">
          <reference field="1" count="1">
            <x v="40"/>
          </reference>
        </references>
      </pivotArea>
    </format>
    <format dxfId="973">
      <pivotArea dataOnly="0" labelOnly="1" outline="0" fieldPosition="0">
        <references count="1">
          <reference field="1" count="1">
            <x v="41"/>
          </reference>
        </references>
      </pivotArea>
    </format>
    <format dxfId="972">
      <pivotArea dataOnly="0" labelOnly="1" outline="0" fieldPosition="0">
        <references count="1">
          <reference field="1" count="1">
            <x v="42"/>
          </reference>
        </references>
      </pivotArea>
    </format>
    <format dxfId="971">
      <pivotArea dataOnly="0" labelOnly="1" outline="0" fieldPosition="0">
        <references count="1">
          <reference field="1" count="1">
            <x v="43"/>
          </reference>
        </references>
      </pivotArea>
    </format>
    <format dxfId="970">
      <pivotArea dataOnly="0" labelOnly="1" outline="0" fieldPosition="0">
        <references count="1">
          <reference field="1" count="1">
            <x v="44"/>
          </reference>
        </references>
      </pivotArea>
    </format>
    <format dxfId="969">
      <pivotArea dataOnly="0" labelOnly="1" outline="0" fieldPosition="0">
        <references count="1">
          <reference field="1" count="1">
            <x v="45"/>
          </reference>
        </references>
      </pivotArea>
    </format>
    <format dxfId="968">
      <pivotArea dataOnly="0" labelOnly="1" outline="0" fieldPosition="0">
        <references count="1">
          <reference field="1" count="1">
            <x v="46"/>
          </reference>
        </references>
      </pivotArea>
    </format>
    <format dxfId="967">
      <pivotArea dataOnly="0" labelOnly="1" outline="0" fieldPosition="0">
        <references count="1">
          <reference field="1" count="1">
            <x v="47"/>
          </reference>
        </references>
      </pivotArea>
    </format>
    <format dxfId="966">
      <pivotArea dataOnly="0" labelOnly="1" outline="0" fieldPosition="0">
        <references count="1">
          <reference field="1" count="1">
            <x v="48"/>
          </reference>
        </references>
      </pivotArea>
    </format>
    <format dxfId="965">
      <pivotArea dataOnly="0" labelOnly="1" outline="0" fieldPosition="0">
        <references count="1">
          <reference field="1" count="1">
            <x v="49"/>
          </reference>
        </references>
      </pivotArea>
    </format>
    <format dxfId="964">
      <pivotArea dataOnly="0" labelOnly="1" outline="0" fieldPosition="0">
        <references count="1">
          <reference field="1" count="1">
            <x v="50"/>
          </reference>
        </references>
      </pivotArea>
    </format>
    <format dxfId="963">
      <pivotArea dataOnly="0" labelOnly="1" outline="0" fieldPosition="0">
        <references count="1">
          <reference field="1" count="1">
            <x v="51"/>
          </reference>
        </references>
      </pivotArea>
    </format>
    <format dxfId="962">
      <pivotArea dataOnly="0" labelOnly="1" outline="0" fieldPosition="0">
        <references count="1">
          <reference field="1" count="1">
            <x v="52"/>
          </reference>
        </references>
      </pivotArea>
    </format>
    <format dxfId="961">
      <pivotArea dataOnly="0" labelOnly="1" outline="0" fieldPosition="0">
        <references count="1">
          <reference field="1" count="1">
            <x v="53"/>
          </reference>
        </references>
      </pivotArea>
    </format>
    <format dxfId="960">
      <pivotArea dataOnly="0" labelOnly="1" outline="0" fieldPosition="0">
        <references count="1">
          <reference field="1" count="1">
            <x v="54"/>
          </reference>
        </references>
      </pivotArea>
    </format>
    <format dxfId="959">
      <pivotArea dataOnly="0" labelOnly="1" outline="0" fieldPosition="0">
        <references count="1">
          <reference field="1" count="1">
            <x v="55"/>
          </reference>
        </references>
      </pivotArea>
    </format>
    <format dxfId="958">
      <pivotArea dataOnly="0" labelOnly="1" outline="0" fieldPosition="0">
        <references count="1">
          <reference field="1" count="1">
            <x v="56"/>
          </reference>
        </references>
      </pivotArea>
    </format>
    <format dxfId="957">
      <pivotArea dataOnly="0" labelOnly="1" outline="0" fieldPosition="0">
        <references count="1">
          <reference field="1" count="1">
            <x v="57"/>
          </reference>
        </references>
      </pivotArea>
    </format>
    <format dxfId="956">
      <pivotArea dataOnly="0" labelOnly="1" outline="0" fieldPosition="0">
        <references count="1">
          <reference field="1" count="1">
            <x v="58"/>
          </reference>
        </references>
      </pivotArea>
    </format>
    <format dxfId="955">
      <pivotArea dataOnly="0" labelOnly="1" outline="0" fieldPosition="0">
        <references count="1">
          <reference field="1" count="1">
            <x v="59"/>
          </reference>
        </references>
      </pivotArea>
    </format>
    <format dxfId="954">
      <pivotArea dataOnly="0" labelOnly="1" outline="0" fieldPosition="0">
        <references count="1">
          <reference field="1" count="1">
            <x v="60"/>
          </reference>
        </references>
      </pivotArea>
    </format>
    <format dxfId="953">
      <pivotArea dataOnly="0" labelOnly="1" outline="0" fieldPosition="0">
        <references count="1">
          <reference field="1" count="1">
            <x v="61"/>
          </reference>
        </references>
      </pivotArea>
    </format>
    <format dxfId="952">
      <pivotArea dataOnly="0" labelOnly="1" outline="0" fieldPosition="0">
        <references count="1">
          <reference field="1" count="1">
            <x v="62"/>
          </reference>
        </references>
      </pivotArea>
    </format>
    <format dxfId="951">
      <pivotArea dataOnly="0" labelOnly="1" outline="0" fieldPosition="0">
        <references count="1">
          <reference field="1" count="1">
            <x v="63"/>
          </reference>
        </references>
      </pivotArea>
    </format>
    <format dxfId="950">
      <pivotArea dataOnly="0" labelOnly="1" outline="0" fieldPosition="0">
        <references count="1">
          <reference field="1" count="1">
            <x v="64"/>
          </reference>
        </references>
      </pivotArea>
    </format>
    <format dxfId="949">
      <pivotArea dataOnly="0" labelOnly="1" outline="0" fieldPosition="0">
        <references count="1">
          <reference field="1" count="1">
            <x v="65"/>
          </reference>
        </references>
      </pivotArea>
    </format>
    <format dxfId="948">
      <pivotArea dataOnly="0" labelOnly="1" outline="0" fieldPosition="0">
        <references count="1">
          <reference field="1" count="1">
            <x v="66"/>
          </reference>
        </references>
      </pivotArea>
    </format>
    <format dxfId="947">
      <pivotArea dataOnly="0" labelOnly="1" outline="0" fieldPosition="0">
        <references count="1">
          <reference field="1" count="1">
            <x v="67"/>
          </reference>
        </references>
      </pivotArea>
    </format>
    <format dxfId="946">
      <pivotArea dataOnly="0" labelOnly="1" outline="0" fieldPosition="0">
        <references count="1">
          <reference field="1" count="1">
            <x v="68"/>
          </reference>
        </references>
      </pivotArea>
    </format>
    <format dxfId="945">
      <pivotArea dataOnly="0" labelOnly="1" outline="0" fieldPosition="0">
        <references count="1">
          <reference field="1" count="1">
            <x v="69"/>
          </reference>
        </references>
      </pivotArea>
    </format>
    <format dxfId="944">
      <pivotArea dataOnly="0" labelOnly="1" outline="0" fieldPosition="0">
        <references count="1">
          <reference field="1" count="1">
            <x v="70"/>
          </reference>
        </references>
      </pivotArea>
    </format>
    <format dxfId="943">
      <pivotArea dataOnly="0" labelOnly="1" outline="0" fieldPosition="0">
        <references count="1">
          <reference field="1" count="1">
            <x v="71"/>
          </reference>
        </references>
      </pivotArea>
    </format>
    <format dxfId="942">
      <pivotArea dataOnly="0" labelOnly="1" outline="0" fieldPosition="0">
        <references count="1">
          <reference field="1" count="1">
            <x v="72"/>
          </reference>
        </references>
      </pivotArea>
    </format>
    <format dxfId="941">
      <pivotArea dataOnly="0" labelOnly="1" outline="0" fieldPosition="0">
        <references count="1">
          <reference field="1" count="1">
            <x v="73"/>
          </reference>
        </references>
      </pivotArea>
    </format>
    <format dxfId="940">
      <pivotArea dataOnly="0" labelOnly="1" outline="0" fieldPosition="0">
        <references count="1">
          <reference field="1" count="1">
            <x v="74"/>
          </reference>
        </references>
      </pivotArea>
    </format>
    <format dxfId="939">
      <pivotArea dataOnly="0" labelOnly="1" outline="0" fieldPosition="0">
        <references count="1">
          <reference field="1" count="1">
            <x v="75"/>
          </reference>
        </references>
      </pivotArea>
    </format>
    <format dxfId="938">
      <pivotArea dataOnly="0" labelOnly="1" outline="0" fieldPosition="0">
        <references count="1">
          <reference field="1" count="1">
            <x v="76"/>
          </reference>
        </references>
      </pivotArea>
    </format>
    <format dxfId="937">
      <pivotArea dataOnly="0" labelOnly="1" outline="0" fieldPosition="0">
        <references count="1">
          <reference field="1" count="1">
            <x v="77"/>
          </reference>
        </references>
      </pivotArea>
    </format>
    <format dxfId="936">
      <pivotArea dataOnly="0" labelOnly="1" outline="0" fieldPosition="0">
        <references count="1">
          <reference field="1" count="1">
            <x v="78"/>
          </reference>
        </references>
      </pivotArea>
    </format>
    <format dxfId="935">
      <pivotArea dataOnly="0" labelOnly="1" outline="0" fieldPosition="0">
        <references count="1">
          <reference field="1" count="1">
            <x v="79"/>
          </reference>
        </references>
      </pivotArea>
    </format>
    <format dxfId="934">
      <pivotArea dataOnly="0" labelOnly="1" outline="0" fieldPosition="0">
        <references count="1">
          <reference field="1" count="1">
            <x v="80"/>
          </reference>
        </references>
      </pivotArea>
    </format>
    <format dxfId="933">
      <pivotArea dataOnly="0" labelOnly="1" outline="0" fieldPosition="0">
        <references count="1">
          <reference field="1" count="1">
            <x v="81"/>
          </reference>
        </references>
      </pivotArea>
    </format>
    <format dxfId="932">
      <pivotArea dataOnly="0" labelOnly="1" outline="0" fieldPosition="0">
        <references count="1">
          <reference field="1" count="1">
            <x v="82"/>
          </reference>
        </references>
      </pivotArea>
    </format>
    <format dxfId="931">
      <pivotArea dataOnly="0" labelOnly="1" outline="0" fieldPosition="0">
        <references count="1">
          <reference field="1" count="1">
            <x v="83"/>
          </reference>
        </references>
      </pivotArea>
    </format>
    <format dxfId="930">
      <pivotArea dataOnly="0" labelOnly="1" outline="0" fieldPosition="0">
        <references count="1">
          <reference field="1" count="1">
            <x v="84"/>
          </reference>
        </references>
      </pivotArea>
    </format>
    <format dxfId="929">
      <pivotArea dataOnly="0" labelOnly="1" outline="0" fieldPosition="0">
        <references count="1">
          <reference field="1" count="1">
            <x v="85"/>
          </reference>
        </references>
      </pivotArea>
    </format>
    <format dxfId="928">
      <pivotArea dataOnly="0" labelOnly="1" outline="0" fieldPosition="0">
        <references count="1">
          <reference field="1" count="1">
            <x v="86"/>
          </reference>
        </references>
      </pivotArea>
    </format>
    <format dxfId="927">
      <pivotArea dataOnly="0" labelOnly="1" outline="0" fieldPosition="0">
        <references count="1">
          <reference field="1" count="1">
            <x v="87"/>
          </reference>
        </references>
      </pivotArea>
    </format>
    <format dxfId="926">
      <pivotArea dataOnly="0" labelOnly="1" outline="0" fieldPosition="0">
        <references count="1">
          <reference field="1" count="1">
            <x v="88"/>
          </reference>
        </references>
      </pivotArea>
    </format>
    <format dxfId="925">
      <pivotArea dataOnly="0" labelOnly="1" outline="0" fieldPosition="0">
        <references count="1">
          <reference field="1" count="1">
            <x v="89"/>
          </reference>
        </references>
      </pivotArea>
    </format>
    <format dxfId="924">
      <pivotArea dataOnly="0" labelOnly="1" outline="0" fieldPosition="0">
        <references count="1">
          <reference field="1" count="1">
            <x v="90"/>
          </reference>
        </references>
      </pivotArea>
    </format>
    <format dxfId="923">
      <pivotArea dataOnly="0" labelOnly="1" outline="0" fieldPosition="0">
        <references count="1">
          <reference field="1" count="1">
            <x v="91"/>
          </reference>
        </references>
      </pivotArea>
    </format>
    <format dxfId="922">
      <pivotArea dataOnly="0" labelOnly="1" outline="0" fieldPosition="0">
        <references count="1">
          <reference field="1" count="1">
            <x v="92"/>
          </reference>
        </references>
      </pivotArea>
    </format>
    <format dxfId="921">
      <pivotArea dataOnly="0" labelOnly="1" outline="0" fieldPosition="0">
        <references count="1">
          <reference field="1" count="1">
            <x v="93"/>
          </reference>
        </references>
      </pivotArea>
    </format>
    <format dxfId="920">
      <pivotArea dataOnly="0" labelOnly="1" outline="0" fieldPosition="0">
        <references count="1">
          <reference field="1" count="1">
            <x v="94"/>
          </reference>
        </references>
      </pivotArea>
    </format>
    <format dxfId="919">
      <pivotArea dataOnly="0" labelOnly="1" outline="0" fieldPosition="0">
        <references count="1">
          <reference field="1" count="1">
            <x v="95"/>
          </reference>
        </references>
      </pivotArea>
    </format>
    <format dxfId="918">
      <pivotArea dataOnly="0" labelOnly="1" outline="0" fieldPosition="0">
        <references count="1">
          <reference field="1" count="1">
            <x v="96"/>
          </reference>
        </references>
      </pivotArea>
    </format>
    <format dxfId="917">
      <pivotArea dataOnly="0" labelOnly="1" outline="0" fieldPosition="0">
        <references count="1">
          <reference field="1" count="1">
            <x v="97"/>
          </reference>
        </references>
      </pivotArea>
    </format>
    <format dxfId="916">
      <pivotArea dataOnly="0" labelOnly="1" outline="0" fieldPosition="0">
        <references count="1">
          <reference field="1" count="1">
            <x v="98"/>
          </reference>
        </references>
      </pivotArea>
    </format>
    <format dxfId="915">
      <pivotArea dataOnly="0" labelOnly="1" outline="0" fieldPosition="0">
        <references count="1">
          <reference field="1" count="1">
            <x v="99"/>
          </reference>
        </references>
      </pivotArea>
    </format>
    <format dxfId="914">
      <pivotArea dataOnly="0" labelOnly="1" outline="0" fieldPosition="0">
        <references count="1">
          <reference field="1" count="1">
            <x v="100"/>
          </reference>
        </references>
      </pivotArea>
    </format>
    <format dxfId="913">
      <pivotArea dataOnly="0" labelOnly="1" outline="0" fieldPosition="0">
        <references count="1">
          <reference field="1" count="1">
            <x v="101"/>
          </reference>
        </references>
      </pivotArea>
    </format>
    <format dxfId="912">
      <pivotArea dataOnly="0" labelOnly="1" outline="0" fieldPosition="0">
        <references count="1">
          <reference field="1" count="1">
            <x v="102"/>
          </reference>
        </references>
      </pivotArea>
    </format>
    <format dxfId="911">
      <pivotArea dataOnly="0" labelOnly="1" outline="0" fieldPosition="0">
        <references count="1">
          <reference field="1" count="1">
            <x v="103"/>
          </reference>
        </references>
      </pivotArea>
    </format>
    <format dxfId="910">
      <pivotArea dataOnly="0" labelOnly="1" outline="0" fieldPosition="0">
        <references count="1">
          <reference field="1" count="1">
            <x v="104"/>
          </reference>
        </references>
      </pivotArea>
    </format>
    <format dxfId="909">
      <pivotArea dataOnly="0" labelOnly="1" outline="0" fieldPosition="0">
        <references count="1">
          <reference field="1" count="1">
            <x v="105"/>
          </reference>
        </references>
      </pivotArea>
    </format>
    <format dxfId="908">
      <pivotArea dataOnly="0" labelOnly="1" outline="0" fieldPosition="0">
        <references count="1">
          <reference field="1" count="1">
            <x v="106"/>
          </reference>
        </references>
      </pivotArea>
    </format>
    <format dxfId="907">
      <pivotArea dataOnly="0" labelOnly="1" outline="0" fieldPosition="0">
        <references count="1">
          <reference field="1" count="1">
            <x v="107"/>
          </reference>
        </references>
      </pivotArea>
    </format>
    <format dxfId="906">
      <pivotArea dataOnly="0" labelOnly="1" outline="0" fieldPosition="0">
        <references count="1">
          <reference field="1" count="1">
            <x v="108"/>
          </reference>
        </references>
      </pivotArea>
    </format>
    <format dxfId="905">
      <pivotArea dataOnly="0" labelOnly="1" outline="0" fieldPosition="0">
        <references count="1">
          <reference field="1" count="1">
            <x v="109"/>
          </reference>
        </references>
      </pivotArea>
    </format>
    <format dxfId="904">
      <pivotArea dataOnly="0" labelOnly="1" outline="0" fieldPosition="0">
        <references count="1">
          <reference field="1" count="1">
            <x v="110"/>
          </reference>
        </references>
      </pivotArea>
    </format>
    <format dxfId="903">
      <pivotArea dataOnly="0" labelOnly="1" outline="0" fieldPosition="0">
        <references count="1">
          <reference field="1" count="1">
            <x v="111"/>
          </reference>
        </references>
      </pivotArea>
    </format>
    <format dxfId="902">
      <pivotArea dataOnly="0" labelOnly="1" outline="0" fieldPosition="0">
        <references count="1">
          <reference field="1" count="1">
            <x v="112"/>
          </reference>
        </references>
      </pivotArea>
    </format>
    <format dxfId="901">
      <pivotArea dataOnly="0" labelOnly="1" outline="0" fieldPosition="0">
        <references count="1">
          <reference field="1" count="1">
            <x v="113"/>
          </reference>
        </references>
      </pivotArea>
    </format>
    <format dxfId="900">
      <pivotArea dataOnly="0" labelOnly="1" outline="0" fieldPosition="0">
        <references count="1">
          <reference field="1" count="1">
            <x v="114"/>
          </reference>
        </references>
      </pivotArea>
    </format>
    <format dxfId="899">
      <pivotArea dataOnly="0" labelOnly="1" outline="0" fieldPosition="0">
        <references count="1">
          <reference field="1" count="1">
            <x v="115"/>
          </reference>
        </references>
      </pivotArea>
    </format>
    <format dxfId="898">
      <pivotArea dataOnly="0" labelOnly="1" outline="0" fieldPosition="0">
        <references count="1">
          <reference field="1" count="1">
            <x v="116"/>
          </reference>
        </references>
      </pivotArea>
    </format>
    <format dxfId="897">
      <pivotArea dataOnly="0" labelOnly="1" outline="0" fieldPosition="0">
        <references count="1">
          <reference field="1" count="1">
            <x v="117"/>
          </reference>
        </references>
      </pivotArea>
    </format>
    <format dxfId="896">
      <pivotArea dataOnly="0" labelOnly="1" outline="0" fieldPosition="0">
        <references count="1">
          <reference field="1" count="1">
            <x v="118"/>
          </reference>
        </references>
      </pivotArea>
    </format>
    <format dxfId="895">
      <pivotArea dataOnly="0" labelOnly="1" outline="0" fieldPosition="0">
        <references count="1">
          <reference field="1" count="1">
            <x v="119"/>
          </reference>
        </references>
      </pivotArea>
    </format>
    <format dxfId="894">
      <pivotArea dataOnly="0" labelOnly="1" outline="0" fieldPosition="0">
        <references count="1">
          <reference field="1" count="1">
            <x v="120"/>
          </reference>
        </references>
      </pivotArea>
    </format>
    <format dxfId="893">
      <pivotArea dataOnly="0" labelOnly="1" outline="0" fieldPosition="0">
        <references count="1">
          <reference field="1" count="1">
            <x v="121"/>
          </reference>
        </references>
      </pivotArea>
    </format>
    <format dxfId="892">
      <pivotArea dataOnly="0" labelOnly="1" outline="0" fieldPosition="0">
        <references count="1">
          <reference field="1" count="1">
            <x v="122"/>
          </reference>
        </references>
      </pivotArea>
    </format>
    <format dxfId="891">
      <pivotArea dataOnly="0" labelOnly="1" outline="0" fieldPosition="0">
        <references count="1">
          <reference field="1" count="1">
            <x v="123"/>
          </reference>
        </references>
      </pivotArea>
    </format>
    <format dxfId="890">
      <pivotArea dataOnly="0" labelOnly="1" outline="0" fieldPosition="0">
        <references count="1">
          <reference field="1" count="1">
            <x v="124"/>
          </reference>
        </references>
      </pivotArea>
    </format>
    <format dxfId="889">
      <pivotArea dataOnly="0" labelOnly="1" outline="0" fieldPosition="0">
        <references count="1">
          <reference field="1" count="1">
            <x v="125"/>
          </reference>
        </references>
      </pivotArea>
    </format>
    <format dxfId="888">
      <pivotArea dataOnly="0" labelOnly="1" outline="0" fieldPosition="0">
        <references count="1">
          <reference field="1" count="1">
            <x v="126"/>
          </reference>
        </references>
      </pivotArea>
    </format>
    <format dxfId="887">
      <pivotArea dataOnly="0" labelOnly="1" outline="0" fieldPosition="0">
        <references count="1">
          <reference field="1" count="1">
            <x v="127"/>
          </reference>
        </references>
      </pivotArea>
    </format>
    <format dxfId="886">
      <pivotArea dataOnly="0" labelOnly="1" outline="0" fieldPosition="0">
        <references count="1">
          <reference field="1" count="1">
            <x v="128"/>
          </reference>
        </references>
      </pivotArea>
    </format>
    <format dxfId="885">
      <pivotArea dataOnly="0" labelOnly="1" outline="0" fieldPosition="0">
        <references count="1">
          <reference field="1" count="1">
            <x v="129"/>
          </reference>
        </references>
      </pivotArea>
    </format>
    <format dxfId="884">
      <pivotArea dataOnly="0" labelOnly="1" outline="0" fieldPosition="0">
        <references count="1">
          <reference field="1" count="1">
            <x v="130"/>
          </reference>
        </references>
      </pivotArea>
    </format>
    <format dxfId="883">
      <pivotArea dataOnly="0" labelOnly="1" outline="0" fieldPosition="0">
        <references count="1">
          <reference field="1" count="1">
            <x v="131"/>
          </reference>
        </references>
      </pivotArea>
    </format>
    <format dxfId="882">
      <pivotArea dataOnly="0" labelOnly="1" outline="0" fieldPosition="0">
        <references count="1">
          <reference field="1" count="1">
            <x v="132"/>
          </reference>
        </references>
      </pivotArea>
    </format>
    <format dxfId="881">
      <pivotArea dataOnly="0" labelOnly="1" outline="0" fieldPosition="0">
        <references count="1">
          <reference field="1" count="1">
            <x v="133"/>
          </reference>
        </references>
      </pivotArea>
    </format>
    <format dxfId="880">
      <pivotArea dataOnly="0" labelOnly="1" outline="0" fieldPosition="0">
        <references count="1">
          <reference field="1" count="1">
            <x v="134"/>
          </reference>
        </references>
      </pivotArea>
    </format>
    <format dxfId="879">
      <pivotArea dataOnly="0" labelOnly="1" outline="0" fieldPosition="0">
        <references count="1">
          <reference field="1" count="1">
            <x v="135"/>
          </reference>
        </references>
      </pivotArea>
    </format>
    <format dxfId="878">
      <pivotArea dataOnly="0" labelOnly="1" outline="0" fieldPosition="0">
        <references count="1">
          <reference field="1" count="1">
            <x v="136"/>
          </reference>
        </references>
      </pivotArea>
    </format>
    <format dxfId="877">
      <pivotArea dataOnly="0" labelOnly="1" outline="0" fieldPosition="0">
        <references count="1">
          <reference field="1" count="1">
            <x v="137"/>
          </reference>
        </references>
      </pivotArea>
    </format>
    <format dxfId="876">
      <pivotArea dataOnly="0" labelOnly="1" outline="0" fieldPosition="0">
        <references count="1">
          <reference field="1" count="1">
            <x v="138"/>
          </reference>
        </references>
      </pivotArea>
    </format>
    <format dxfId="875">
      <pivotArea dataOnly="0" labelOnly="1" outline="0" fieldPosition="0">
        <references count="1">
          <reference field="1" count="1">
            <x v="139"/>
          </reference>
        </references>
      </pivotArea>
    </format>
    <format dxfId="874">
      <pivotArea dataOnly="0" labelOnly="1" outline="0" fieldPosition="0">
        <references count="1">
          <reference field="1" count="1">
            <x v="140"/>
          </reference>
        </references>
      </pivotArea>
    </format>
    <format dxfId="873">
      <pivotArea dataOnly="0" labelOnly="1" outline="0" fieldPosition="0">
        <references count="1">
          <reference field="1" count="1">
            <x v="141"/>
          </reference>
        </references>
      </pivotArea>
    </format>
    <format dxfId="872">
      <pivotArea dataOnly="0" labelOnly="1" outline="0" fieldPosition="0">
        <references count="1">
          <reference field="1" count="1">
            <x v="142"/>
          </reference>
        </references>
      </pivotArea>
    </format>
    <format dxfId="871">
      <pivotArea dataOnly="0" labelOnly="1" outline="0" fieldPosition="0">
        <references count="1">
          <reference field="1" count="1">
            <x v="143"/>
          </reference>
        </references>
      </pivotArea>
    </format>
    <format dxfId="870">
      <pivotArea dataOnly="0" labelOnly="1" outline="0" fieldPosition="0">
        <references count="1">
          <reference field="1" count="1">
            <x v="144"/>
          </reference>
        </references>
      </pivotArea>
    </format>
    <format dxfId="869">
      <pivotArea dataOnly="0" labelOnly="1" outline="0" fieldPosition="0">
        <references count="1">
          <reference field="1" count="1">
            <x v="145"/>
          </reference>
        </references>
      </pivotArea>
    </format>
    <format dxfId="868">
      <pivotArea dataOnly="0" labelOnly="1" outline="0" fieldPosition="0">
        <references count="1">
          <reference field="1" count="1">
            <x v="146"/>
          </reference>
        </references>
      </pivotArea>
    </format>
    <format dxfId="867">
      <pivotArea dataOnly="0" labelOnly="1" outline="0" fieldPosition="0">
        <references count="1">
          <reference field="1" count="1">
            <x v="147"/>
          </reference>
        </references>
      </pivotArea>
    </format>
    <format dxfId="866">
      <pivotArea dataOnly="0" labelOnly="1" outline="0" fieldPosition="0">
        <references count="1">
          <reference field="1" count="1">
            <x v="148"/>
          </reference>
        </references>
      </pivotArea>
    </format>
    <format dxfId="865">
      <pivotArea dataOnly="0" labelOnly="1" outline="0" fieldPosition="0">
        <references count="1">
          <reference field="1" count="1">
            <x v="149"/>
          </reference>
        </references>
      </pivotArea>
    </format>
    <format dxfId="864">
      <pivotArea dataOnly="0" labelOnly="1" outline="0" fieldPosition="0">
        <references count="1">
          <reference field="1" count="1">
            <x v="150"/>
          </reference>
        </references>
      </pivotArea>
    </format>
    <format dxfId="863">
      <pivotArea dataOnly="0" labelOnly="1" outline="0" fieldPosition="0">
        <references count="1">
          <reference field="1" count="1">
            <x v="151"/>
          </reference>
        </references>
      </pivotArea>
    </format>
    <format dxfId="862">
      <pivotArea dataOnly="0" labelOnly="1" outline="0" fieldPosition="0">
        <references count="1">
          <reference field="1" count="1">
            <x v="152"/>
          </reference>
        </references>
      </pivotArea>
    </format>
    <format dxfId="861">
      <pivotArea dataOnly="0" labelOnly="1" outline="0" fieldPosition="0">
        <references count="1">
          <reference field="1" count="1">
            <x v="153"/>
          </reference>
        </references>
      </pivotArea>
    </format>
    <format dxfId="860">
      <pivotArea dataOnly="0" labelOnly="1" outline="0" fieldPosition="0">
        <references count="1">
          <reference field="1" count="1">
            <x v="154"/>
          </reference>
        </references>
      </pivotArea>
    </format>
    <format dxfId="859">
      <pivotArea dataOnly="0" labelOnly="1" outline="0" fieldPosition="0">
        <references count="1">
          <reference field="1" count="1">
            <x v="155"/>
          </reference>
        </references>
      </pivotArea>
    </format>
    <format dxfId="858">
      <pivotArea dataOnly="0" labelOnly="1" outline="0" fieldPosition="0">
        <references count="1">
          <reference field="1" count="1">
            <x v="156"/>
          </reference>
        </references>
      </pivotArea>
    </format>
    <format dxfId="857">
      <pivotArea dataOnly="0" labelOnly="1" outline="0" fieldPosition="0">
        <references count="1">
          <reference field="1" count="1">
            <x v="157"/>
          </reference>
        </references>
      </pivotArea>
    </format>
    <format dxfId="856">
      <pivotArea dataOnly="0" labelOnly="1" outline="0" fieldPosition="0">
        <references count="1">
          <reference field="1" count="1">
            <x v="158"/>
          </reference>
        </references>
      </pivotArea>
    </format>
    <format dxfId="855">
      <pivotArea dataOnly="0" labelOnly="1" outline="0" fieldPosition="0">
        <references count="1">
          <reference field="1" count="1">
            <x v="159"/>
          </reference>
        </references>
      </pivotArea>
    </format>
    <format dxfId="854">
      <pivotArea dataOnly="0" labelOnly="1" outline="0" fieldPosition="0">
        <references count="1">
          <reference field="1" count="1">
            <x v="160"/>
          </reference>
        </references>
      </pivotArea>
    </format>
    <format dxfId="853">
      <pivotArea dataOnly="0" labelOnly="1" outline="0" fieldPosition="0">
        <references count="1">
          <reference field="1" count="1">
            <x v="161"/>
          </reference>
        </references>
      </pivotArea>
    </format>
    <format dxfId="852">
      <pivotArea dataOnly="0" labelOnly="1" outline="0" fieldPosition="0">
        <references count="1">
          <reference field="1" count="1">
            <x v="162"/>
          </reference>
        </references>
      </pivotArea>
    </format>
    <format dxfId="851">
      <pivotArea dataOnly="0" labelOnly="1" outline="0" fieldPosition="0">
        <references count="1">
          <reference field="1" count="1">
            <x v="163"/>
          </reference>
        </references>
      </pivotArea>
    </format>
    <format dxfId="850">
      <pivotArea dataOnly="0" labelOnly="1" outline="0" fieldPosition="0">
        <references count="1">
          <reference field="1" count="1">
            <x v="164"/>
          </reference>
        </references>
      </pivotArea>
    </format>
    <format dxfId="849">
      <pivotArea dataOnly="0" labelOnly="1" outline="0" fieldPosition="0">
        <references count="1">
          <reference field="1" count="1">
            <x v="165"/>
          </reference>
        </references>
      </pivotArea>
    </format>
    <format dxfId="848">
      <pivotArea dataOnly="0" labelOnly="1" outline="0" fieldPosition="0">
        <references count="1">
          <reference field="1" count="1">
            <x v="166"/>
          </reference>
        </references>
      </pivotArea>
    </format>
    <format dxfId="847">
      <pivotArea dataOnly="0" labelOnly="1" outline="0" fieldPosition="0">
        <references count="1">
          <reference field="1" count="1">
            <x v="167"/>
          </reference>
        </references>
      </pivotArea>
    </format>
    <format dxfId="846">
      <pivotArea dataOnly="0" labelOnly="1" outline="0" fieldPosition="0">
        <references count="1">
          <reference field="1" count="1">
            <x v="168"/>
          </reference>
        </references>
      </pivotArea>
    </format>
    <format dxfId="845">
      <pivotArea dataOnly="0" labelOnly="1" outline="0" fieldPosition="0">
        <references count="1">
          <reference field="1" count="1">
            <x v="169"/>
          </reference>
        </references>
      </pivotArea>
    </format>
    <format dxfId="844">
      <pivotArea dataOnly="0" labelOnly="1" outline="0" fieldPosition="0">
        <references count="1">
          <reference field="1" count="1">
            <x v="170"/>
          </reference>
        </references>
      </pivotArea>
    </format>
    <format dxfId="843">
      <pivotArea dataOnly="0" labelOnly="1" outline="0" fieldPosition="0">
        <references count="1">
          <reference field="1" count="1">
            <x v="171"/>
          </reference>
        </references>
      </pivotArea>
    </format>
    <format dxfId="842">
      <pivotArea dataOnly="0" labelOnly="1" outline="0" fieldPosition="0">
        <references count="1">
          <reference field="1" count="1">
            <x v="172"/>
          </reference>
        </references>
      </pivotArea>
    </format>
    <format dxfId="841">
      <pivotArea dataOnly="0" labelOnly="1" outline="0" fieldPosition="0">
        <references count="1">
          <reference field="1" count="1">
            <x v="173"/>
          </reference>
        </references>
      </pivotArea>
    </format>
    <format dxfId="840">
      <pivotArea dataOnly="0" labelOnly="1" outline="0" fieldPosition="0">
        <references count="1">
          <reference field="1" count="1">
            <x v="174"/>
          </reference>
        </references>
      </pivotArea>
    </format>
    <format dxfId="839">
      <pivotArea dataOnly="0" labelOnly="1" outline="0" fieldPosition="0">
        <references count="1">
          <reference field="1" count="1">
            <x v="175"/>
          </reference>
        </references>
      </pivotArea>
    </format>
    <format dxfId="838">
      <pivotArea dataOnly="0" labelOnly="1" outline="0" fieldPosition="0">
        <references count="1">
          <reference field="1" count="1">
            <x v="176"/>
          </reference>
        </references>
      </pivotArea>
    </format>
    <format dxfId="837">
      <pivotArea dataOnly="0" labelOnly="1" outline="0" fieldPosition="0">
        <references count="1">
          <reference field="1" count="1">
            <x v="177"/>
          </reference>
        </references>
      </pivotArea>
    </format>
    <format dxfId="836">
      <pivotArea dataOnly="0" labelOnly="1" outline="0" fieldPosition="0">
        <references count="1">
          <reference field="1" count="1">
            <x v="178"/>
          </reference>
        </references>
      </pivotArea>
    </format>
    <format dxfId="835">
      <pivotArea dataOnly="0" labelOnly="1" outline="0" fieldPosition="0">
        <references count="1">
          <reference field="1" count="1">
            <x v="179"/>
          </reference>
        </references>
      </pivotArea>
    </format>
    <format dxfId="834">
      <pivotArea dataOnly="0" labelOnly="1" outline="0" fieldPosition="0">
        <references count="1">
          <reference field="1" count="1">
            <x v="180"/>
          </reference>
        </references>
      </pivotArea>
    </format>
    <format dxfId="833">
      <pivotArea dataOnly="0" labelOnly="1" outline="0" fieldPosition="0">
        <references count="1">
          <reference field="1" count="1">
            <x v="181"/>
          </reference>
        </references>
      </pivotArea>
    </format>
    <format dxfId="832">
      <pivotArea dataOnly="0" labelOnly="1" outline="0" fieldPosition="0">
        <references count="1">
          <reference field="1" count="1">
            <x v="182"/>
          </reference>
        </references>
      </pivotArea>
    </format>
    <format dxfId="831">
      <pivotArea dataOnly="0" labelOnly="1" outline="0" fieldPosition="0">
        <references count="1">
          <reference field="1" count="1">
            <x v="183"/>
          </reference>
        </references>
      </pivotArea>
    </format>
    <format dxfId="830">
      <pivotArea dataOnly="0" labelOnly="1" outline="0" fieldPosition="0">
        <references count="1">
          <reference field="1" count="1">
            <x v="184"/>
          </reference>
        </references>
      </pivotArea>
    </format>
    <format dxfId="829">
      <pivotArea dataOnly="0" labelOnly="1" outline="0" fieldPosition="0">
        <references count="1">
          <reference field="1" count="1">
            <x v="185"/>
          </reference>
        </references>
      </pivotArea>
    </format>
    <format dxfId="828">
      <pivotArea dataOnly="0" labelOnly="1" outline="0" fieldPosition="0">
        <references count="1">
          <reference field="1" count="1">
            <x v="186"/>
          </reference>
        </references>
      </pivotArea>
    </format>
    <format dxfId="827">
      <pivotArea dataOnly="0" labelOnly="1" outline="0" fieldPosition="0">
        <references count="1">
          <reference field="1" count="1">
            <x v="187"/>
          </reference>
        </references>
      </pivotArea>
    </format>
    <format dxfId="826">
      <pivotArea dataOnly="0" labelOnly="1" outline="0" fieldPosition="0">
        <references count="1">
          <reference field="1" count="1">
            <x v="188"/>
          </reference>
        </references>
      </pivotArea>
    </format>
    <format dxfId="825">
      <pivotArea dataOnly="0" labelOnly="1" outline="0" fieldPosition="0">
        <references count="1">
          <reference field="1" count="1">
            <x v="189"/>
          </reference>
        </references>
      </pivotArea>
    </format>
    <format dxfId="824">
      <pivotArea dataOnly="0" labelOnly="1" outline="0" fieldPosition="0">
        <references count="1">
          <reference field="1" count="1">
            <x v="190"/>
          </reference>
        </references>
      </pivotArea>
    </format>
    <format dxfId="823">
      <pivotArea dataOnly="0" labelOnly="1" outline="0" fieldPosition="0">
        <references count="1">
          <reference field="1" count="1">
            <x v="191"/>
          </reference>
        </references>
      </pivotArea>
    </format>
    <format dxfId="822">
      <pivotArea dataOnly="0" labelOnly="1" outline="0" fieldPosition="0">
        <references count="1">
          <reference field="1" count="1">
            <x v="192"/>
          </reference>
        </references>
      </pivotArea>
    </format>
    <format dxfId="821">
      <pivotArea dataOnly="0" labelOnly="1" outline="0" fieldPosition="0">
        <references count="1">
          <reference field="1" count="1">
            <x v="193"/>
          </reference>
        </references>
      </pivotArea>
    </format>
    <format dxfId="820">
      <pivotArea dataOnly="0" labelOnly="1" outline="0" fieldPosition="0">
        <references count="1">
          <reference field="1" count="1">
            <x v="194"/>
          </reference>
        </references>
      </pivotArea>
    </format>
    <format dxfId="819">
      <pivotArea dataOnly="0" labelOnly="1" outline="0" fieldPosition="0">
        <references count="1">
          <reference field="1" count="1">
            <x v="195"/>
          </reference>
        </references>
      </pivotArea>
    </format>
    <format dxfId="818">
      <pivotArea dataOnly="0" labelOnly="1" outline="0" fieldPosition="0">
        <references count="1">
          <reference field="1" count="1">
            <x v="196"/>
          </reference>
        </references>
      </pivotArea>
    </format>
    <format dxfId="817">
      <pivotArea dataOnly="0" labelOnly="1" outline="0" fieldPosition="0">
        <references count="1">
          <reference field="1" count="1">
            <x v="197"/>
          </reference>
        </references>
      </pivotArea>
    </format>
    <format dxfId="816">
      <pivotArea dataOnly="0" labelOnly="1" outline="0" fieldPosition="0">
        <references count="1">
          <reference field="1" count="1">
            <x v="198"/>
          </reference>
        </references>
      </pivotArea>
    </format>
    <format dxfId="815">
      <pivotArea dataOnly="0" labelOnly="1" outline="0" fieldPosition="0">
        <references count="1">
          <reference field="1" count="1">
            <x v="199"/>
          </reference>
        </references>
      </pivotArea>
    </format>
    <format dxfId="814">
      <pivotArea dataOnly="0" labelOnly="1" outline="0" fieldPosition="0">
        <references count="1">
          <reference field="1" count="1">
            <x v="200"/>
          </reference>
        </references>
      </pivotArea>
    </format>
    <format dxfId="813">
      <pivotArea dataOnly="0" labelOnly="1" outline="0" fieldPosition="0">
        <references count="1">
          <reference field="1" count="1">
            <x v="201"/>
          </reference>
        </references>
      </pivotArea>
    </format>
    <format dxfId="812">
      <pivotArea dataOnly="0" labelOnly="1" outline="0" fieldPosition="0">
        <references count="1">
          <reference field="1" count="1">
            <x v="202"/>
          </reference>
        </references>
      </pivotArea>
    </format>
    <format dxfId="811">
      <pivotArea dataOnly="0" labelOnly="1" outline="0" fieldPosition="0">
        <references count="1">
          <reference field="1" count="1">
            <x v="203"/>
          </reference>
        </references>
      </pivotArea>
    </format>
    <format dxfId="810">
      <pivotArea dataOnly="0" labelOnly="1" outline="0" fieldPosition="0">
        <references count="1">
          <reference field="1" count="1">
            <x v="204"/>
          </reference>
        </references>
      </pivotArea>
    </format>
    <format dxfId="809">
      <pivotArea dataOnly="0" labelOnly="1" outline="0" fieldPosition="0">
        <references count="1">
          <reference field="1" count="1">
            <x v="205"/>
          </reference>
        </references>
      </pivotArea>
    </format>
    <format dxfId="808">
      <pivotArea dataOnly="0" labelOnly="1" outline="0" fieldPosition="0">
        <references count="1">
          <reference field="1" count="1">
            <x v="206"/>
          </reference>
        </references>
      </pivotArea>
    </format>
    <format dxfId="807">
      <pivotArea dataOnly="0" labelOnly="1" outline="0" fieldPosition="0">
        <references count="1">
          <reference field="1" count="1">
            <x v="207"/>
          </reference>
        </references>
      </pivotArea>
    </format>
    <format dxfId="806">
      <pivotArea dataOnly="0" labelOnly="1" outline="0" fieldPosition="0">
        <references count="1">
          <reference field="1" count="1">
            <x v="208"/>
          </reference>
        </references>
      </pivotArea>
    </format>
    <format dxfId="805">
      <pivotArea dataOnly="0" labelOnly="1" outline="0" fieldPosition="0">
        <references count="1">
          <reference field="1" count="1">
            <x v="209"/>
          </reference>
        </references>
      </pivotArea>
    </format>
    <format dxfId="804">
      <pivotArea dataOnly="0" labelOnly="1" outline="0" fieldPosition="0">
        <references count="1">
          <reference field="1" count="1">
            <x v="210"/>
          </reference>
        </references>
      </pivotArea>
    </format>
    <format dxfId="803">
      <pivotArea dataOnly="0" labelOnly="1" outline="0" fieldPosition="0">
        <references count="1">
          <reference field="1" count="1">
            <x v="211"/>
          </reference>
        </references>
      </pivotArea>
    </format>
    <format dxfId="802">
      <pivotArea dataOnly="0" labelOnly="1" outline="0" fieldPosition="0">
        <references count="1">
          <reference field="1" count="1">
            <x v="212"/>
          </reference>
        </references>
      </pivotArea>
    </format>
    <format dxfId="801">
      <pivotArea dataOnly="0" labelOnly="1" outline="0" fieldPosition="0">
        <references count="1">
          <reference field="1" count="1">
            <x v="213"/>
          </reference>
        </references>
      </pivotArea>
    </format>
    <format dxfId="800">
      <pivotArea dataOnly="0" labelOnly="1" outline="0" fieldPosition="0">
        <references count="1">
          <reference field="1" count="1">
            <x v="214"/>
          </reference>
        </references>
      </pivotArea>
    </format>
    <format dxfId="799">
      <pivotArea dataOnly="0" labelOnly="1" outline="0" fieldPosition="0">
        <references count="1">
          <reference field="1" count="1">
            <x v="215"/>
          </reference>
        </references>
      </pivotArea>
    </format>
    <format dxfId="798">
      <pivotArea dataOnly="0" labelOnly="1" outline="0" fieldPosition="0">
        <references count="1">
          <reference field="1" count="1">
            <x v="216"/>
          </reference>
        </references>
      </pivotArea>
    </format>
    <format dxfId="797">
      <pivotArea dataOnly="0" labelOnly="1" outline="0" fieldPosition="0">
        <references count="1">
          <reference field="1" count="1">
            <x v="217"/>
          </reference>
        </references>
      </pivotArea>
    </format>
    <format dxfId="796">
      <pivotArea dataOnly="0" labelOnly="1" outline="0" fieldPosition="0">
        <references count="1">
          <reference field="1" count="1">
            <x v="218"/>
          </reference>
        </references>
      </pivotArea>
    </format>
    <format dxfId="795">
      <pivotArea dataOnly="0" labelOnly="1" outline="0" fieldPosition="0">
        <references count="1">
          <reference field="1" count="1">
            <x v="219"/>
          </reference>
        </references>
      </pivotArea>
    </format>
    <format dxfId="794">
      <pivotArea dataOnly="0" labelOnly="1" outline="0" fieldPosition="0">
        <references count="1">
          <reference field="1" count="1">
            <x v="220"/>
          </reference>
        </references>
      </pivotArea>
    </format>
    <format dxfId="793">
      <pivotArea dataOnly="0" labelOnly="1" outline="0" fieldPosition="0">
        <references count="1">
          <reference field="1" count="1">
            <x v="221"/>
          </reference>
        </references>
      </pivotArea>
    </format>
    <format dxfId="792">
      <pivotArea dataOnly="0" labelOnly="1" outline="0" fieldPosition="0">
        <references count="1">
          <reference field="1" count="1">
            <x v="222"/>
          </reference>
        </references>
      </pivotArea>
    </format>
    <format dxfId="791">
      <pivotArea dataOnly="0" labelOnly="1" outline="0" fieldPosition="0">
        <references count="1">
          <reference field="1" count="1">
            <x v="223"/>
          </reference>
        </references>
      </pivotArea>
    </format>
    <format dxfId="790">
      <pivotArea dataOnly="0" labelOnly="1" outline="0" fieldPosition="0">
        <references count="1">
          <reference field="1" count="1">
            <x v="224"/>
          </reference>
        </references>
      </pivotArea>
    </format>
    <format dxfId="789">
      <pivotArea dataOnly="0" labelOnly="1" outline="0" fieldPosition="0">
        <references count="1">
          <reference field="1" count="1">
            <x v="225"/>
          </reference>
        </references>
      </pivotArea>
    </format>
    <format dxfId="788">
      <pivotArea dataOnly="0" labelOnly="1" outline="0" fieldPosition="0">
        <references count="1">
          <reference field="1" count="1">
            <x v="226"/>
          </reference>
        </references>
      </pivotArea>
    </format>
    <format dxfId="787">
      <pivotArea dataOnly="0" labelOnly="1" outline="0" fieldPosition="0">
        <references count="1">
          <reference field="1" count="1">
            <x v="227"/>
          </reference>
        </references>
      </pivotArea>
    </format>
    <format dxfId="786">
      <pivotArea dataOnly="0" labelOnly="1" outline="0" fieldPosition="0">
        <references count="1">
          <reference field="1" count="1">
            <x v="228"/>
          </reference>
        </references>
      </pivotArea>
    </format>
    <format dxfId="785">
      <pivotArea dataOnly="0" labelOnly="1" outline="0" fieldPosition="0">
        <references count="1">
          <reference field="1" count="1">
            <x v="229"/>
          </reference>
        </references>
      </pivotArea>
    </format>
    <format dxfId="784">
      <pivotArea dataOnly="0" labelOnly="1" outline="0" fieldPosition="0">
        <references count="1">
          <reference field="1" count="1">
            <x v="230"/>
          </reference>
        </references>
      </pivotArea>
    </format>
    <format dxfId="783">
      <pivotArea dataOnly="0" labelOnly="1" outline="0" fieldPosition="0">
        <references count="1">
          <reference field="1" count="1">
            <x v="231"/>
          </reference>
        </references>
      </pivotArea>
    </format>
    <format dxfId="782">
      <pivotArea dataOnly="0" labelOnly="1" outline="0" fieldPosition="0">
        <references count="1">
          <reference field="1" count="1">
            <x v="232"/>
          </reference>
        </references>
      </pivotArea>
    </format>
    <format dxfId="781">
      <pivotArea dataOnly="0" labelOnly="1" outline="0" fieldPosition="0">
        <references count="1">
          <reference field="1" count="1">
            <x v="233"/>
          </reference>
        </references>
      </pivotArea>
    </format>
    <format dxfId="780">
      <pivotArea dataOnly="0" labelOnly="1" outline="0" fieldPosition="0">
        <references count="1">
          <reference field="1" count="1">
            <x v="234"/>
          </reference>
        </references>
      </pivotArea>
    </format>
    <format dxfId="779">
      <pivotArea dataOnly="0" labelOnly="1" outline="0" fieldPosition="0">
        <references count="1">
          <reference field="1" count="1">
            <x v="235"/>
          </reference>
        </references>
      </pivotArea>
    </format>
    <format dxfId="778">
      <pivotArea dataOnly="0" labelOnly="1" outline="0" fieldPosition="0">
        <references count="1">
          <reference field="1" count="1">
            <x v="236"/>
          </reference>
        </references>
      </pivotArea>
    </format>
    <format dxfId="777">
      <pivotArea dataOnly="0" labelOnly="1" outline="0" fieldPosition="0">
        <references count="1">
          <reference field="1" count="1">
            <x v="237"/>
          </reference>
        </references>
      </pivotArea>
    </format>
    <format dxfId="776">
      <pivotArea dataOnly="0" labelOnly="1" outline="0" fieldPosition="0">
        <references count="1">
          <reference field="1" count="1">
            <x v="238"/>
          </reference>
        </references>
      </pivotArea>
    </format>
    <format dxfId="775">
      <pivotArea dataOnly="0" labelOnly="1" outline="0" fieldPosition="0">
        <references count="1">
          <reference field="1" count="1">
            <x v="239"/>
          </reference>
        </references>
      </pivotArea>
    </format>
    <format dxfId="774">
      <pivotArea dataOnly="0" labelOnly="1" outline="0" fieldPosition="0">
        <references count="1">
          <reference field="1" count="1">
            <x v="240"/>
          </reference>
        </references>
      </pivotArea>
    </format>
    <format dxfId="773">
      <pivotArea dataOnly="0" labelOnly="1" outline="0" fieldPosition="0">
        <references count="1">
          <reference field="1" count="1">
            <x v="241"/>
          </reference>
        </references>
      </pivotArea>
    </format>
    <format dxfId="772">
      <pivotArea dataOnly="0" labelOnly="1" outline="0" fieldPosition="0">
        <references count="1">
          <reference field="1" count="1">
            <x v="242"/>
          </reference>
        </references>
      </pivotArea>
    </format>
    <format dxfId="771">
      <pivotArea dataOnly="0" labelOnly="1" outline="0" fieldPosition="0">
        <references count="1">
          <reference field="1" count="1">
            <x v="243"/>
          </reference>
        </references>
      </pivotArea>
    </format>
    <format dxfId="770">
      <pivotArea dataOnly="0" labelOnly="1" outline="0" fieldPosition="0">
        <references count="1">
          <reference field="1" count="1">
            <x v="244"/>
          </reference>
        </references>
      </pivotArea>
    </format>
    <format dxfId="769">
      <pivotArea dataOnly="0" labelOnly="1" outline="0" fieldPosition="0">
        <references count="1">
          <reference field="1" count="1">
            <x v="245"/>
          </reference>
        </references>
      </pivotArea>
    </format>
    <format dxfId="768">
      <pivotArea dataOnly="0" labelOnly="1" outline="0" fieldPosition="0">
        <references count="1">
          <reference field="1" count="1">
            <x v="246"/>
          </reference>
        </references>
      </pivotArea>
    </format>
    <format dxfId="767">
      <pivotArea dataOnly="0" labelOnly="1" outline="0" fieldPosition="0">
        <references count="1">
          <reference field="1" count="1">
            <x v="247"/>
          </reference>
        </references>
      </pivotArea>
    </format>
    <format dxfId="766">
      <pivotArea dataOnly="0" labelOnly="1" outline="0" fieldPosition="0">
        <references count="1">
          <reference field="1" count="1">
            <x v="248"/>
          </reference>
        </references>
      </pivotArea>
    </format>
    <format dxfId="765">
      <pivotArea dataOnly="0" labelOnly="1" outline="0" fieldPosition="0">
        <references count="1">
          <reference field="1" count="1">
            <x v="249"/>
          </reference>
        </references>
      </pivotArea>
    </format>
    <format dxfId="764">
      <pivotArea dataOnly="0" labelOnly="1" outline="0" fieldPosition="0">
        <references count="1">
          <reference field="1" count="1">
            <x v="250"/>
          </reference>
        </references>
      </pivotArea>
    </format>
    <format dxfId="763">
      <pivotArea dataOnly="0" labelOnly="1" outline="0" fieldPosition="0">
        <references count="1">
          <reference field="1" count="1">
            <x v="251"/>
          </reference>
        </references>
      </pivotArea>
    </format>
    <format dxfId="762">
      <pivotArea dataOnly="0" labelOnly="1" outline="0" fieldPosition="0">
        <references count="1">
          <reference field="1" count="1">
            <x v="252"/>
          </reference>
        </references>
      </pivotArea>
    </format>
    <format dxfId="761">
      <pivotArea dataOnly="0" labelOnly="1" outline="0" fieldPosition="0">
        <references count="1">
          <reference field="1" count="1">
            <x v="253"/>
          </reference>
        </references>
      </pivotArea>
    </format>
    <format dxfId="760">
      <pivotArea dataOnly="0" labelOnly="1" outline="0" fieldPosition="0">
        <references count="1">
          <reference field="1" count="1">
            <x v="254"/>
          </reference>
        </references>
      </pivotArea>
    </format>
    <format dxfId="759">
      <pivotArea dataOnly="0" labelOnly="1" outline="0" fieldPosition="0">
        <references count="1">
          <reference field="1" count="1">
            <x v="255"/>
          </reference>
        </references>
      </pivotArea>
    </format>
    <format dxfId="758">
      <pivotArea dataOnly="0" labelOnly="1" outline="0" fieldPosition="0">
        <references count="1">
          <reference field="1" count="1">
            <x v="256"/>
          </reference>
        </references>
      </pivotArea>
    </format>
    <format dxfId="757">
      <pivotArea dataOnly="0" labelOnly="1" outline="0" fieldPosition="0">
        <references count="1">
          <reference field="1" count="1">
            <x v="257"/>
          </reference>
        </references>
      </pivotArea>
    </format>
    <format dxfId="756">
      <pivotArea dataOnly="0" labelOnly="1" outline="0" fieldPosition="0">
        <references count="1">
          <reference field="1" count="1">
            <x v="258"/>
          </reference>
        </references>
      </pivotArea>
    </format>
    <format dxfId="755">
      <pivotArea dataOnly="0" labelOnly="1" outline="0" fieldPosition="0">
        <references count="1">
          <reference field="1" count="1">
            <x v="259"/>
          </reference>
        </references>
      </pivotArea>
    </format>
    <format dxfId="754">
      <pivotArea dataOnly="0" labelOnly="1" outline="0" fieldPosition="0">
        <references count="1">
          <reference field="1" count="1">
            <x v="260"/>
          </reference>
        </references>
      </pivotArea>
    </format>
    <format dxfId="753">
      <pivotArea dataOnly="0" labelOnly="1" outline="0" fieldPosition="0">
        <references count="1">
          <reference field="1" count="1">
            <x v="261"/>
          </reference>
        </references>
      </pivotArea>
    </format>
    <format dxfId="752">
      <pivotArea dataOnly="0" labelOnly="1" outline="0" fieldPosition="0">
        <references count="1">
          <reference field="1" count="1">
            <x v="262"/>
          </reference>
        </references>
      </pivotArea>
    </format>
    <format dxfId="751">
      <pivotArea dataOnly="0" labelOnly="1" outline="0" fieldPosition="0">
        <references count="1">
          <reference field="1" count="1">
            <x v="263"/>
          </reference>
        </references>
      </pivotArea>
    </format>
    <format dxfId="750">
      <pivotArea dataOnly="0" labelOnly="1" outline="0" fieldPosition="0">
        <references count="1">
          <reference field="1" count="1">
            <x v="264"/>
          </reference>
        </references>
      </pivotArea>
    </format>
    <format dxfId="749">
      <pivotArea dataOnly="0" labelOnly="1" outline="0" fieldPosition="0">
        <references count="1">
          <reference field="1" count="1">
            <x v="265"/>
          </reference>
        </references>
      </pivotArea>
    </format>
    <format dxfId="748">
      <pivotArea dataOnly="0" labelOnly="1" outline="0" fieldPosition="0">
        <references count="1">
          <reference field="1" count="1">
            <x v="266"/>
          </reference>
        </references>
      </pivotArea>
    </format>
    <format dxfId="747">
      <pivotArea dataOnly="0" labelOnly="1" outline="0" fieldPosition="0">
        <references count="1">
          <reference field="1" count="1">
            <x v="267"/>
          </reference>
        </references>
      </pivotArea>
    </format>
    <format dxfId="746">
      <pivotArea dataOnly="0" labelOnly="1" outline="0" fieldPosition="0">
        <references count="1">
          <reference field="1" count="1">
            <x v="268"/>
          </reference>
        </references>
      </pivotArea>
    </format>
    <format dxfId="745">
      <pivotArea dataOnly="0" labelOnly="1" outline="0" fieldPosition="0">
        <references count="1">
          <reference field="1" count="1">
            <x v="269"/>
          </reference>
        </references>
      </pivotArea>
    </format>
    <format dxfId="744">
      <pivotArea dataOnly="0" labelOnly="1" outline="0" fieldPosition="0">
        <references count="1">
          <reference field="1" count="1">
            <x v="270"/>
          </reference>
        </references>
      </pivotArea>
    </format>
    <format dxfId="743">
      <pivotArea dataOnly="0" labelOnly="1" outline="0" fieldPosition="0">
        <references count="1">
          <reference field="1" count="1">
            <x v="271"/>
          </reference>
        </references>
      </pivotArea>
    </format>
    <format dxfId="742">
      <pivotArea dataOnly="0" labelOnly="1" outline="0" fieldPosition="0">
        <references count="1">
          <reference field="1" count="1">
            <x v="272"/>
          </reference>
        </references>
      </pivotArea>
    </format>
    <format dxfId="741">
      <pivotArea dataOnly="0" labelOnly="1" outline="0" fieldPosition="0">
        <references count="1">
          <reference field="1" count="1">
            <x v="273"/>
          </reference>
        </references>
      </pivotArea>
    </format>
    <format dxfId="740">
      <pivotArea dataOnly="0" labelOnly="1" outline="0" fieldPosition="0">
        <references count="1">
          <reference field="1" count="1">
            <x v="274"/>
          </reference>
        </references>
      </pivotArea>
    </format>
    <format dxfId="739">
      <pivotArea dataOnly="0" labelOnly="1" outline="0" fieldPosition="0">
        <references count="1">
          <reference field="1" count="1">
            <x v="275"/>
          </reference>
        </references>
      </pivotArea>
    </format>
    <format dxfId="738">
      <pivotArea dataOnly="0" labelOnly="1" outline="0" fieldPosition="0">
        <references count="1">
          <reference field="1" count="1">
            <x v="276"/>
          </reference>
        </references>
      </pivotArea>
    </format>
    <format dxfId="737">
      <pivotArea dataOnly="0" labelOnly="1" outline="0" fieldPosition="0">
        <references count="1">
          <reference field="1" count="1">
            <x v="277"/>
          </reference>
        </references>
      </pivotArea>
    </format>
    <format dxfId="736">
      <pivotArea dataOnly="0" labelOnly="1" outline="0" fieldPosition="0">
        <references count="1">
          <reference field="1" count="1">
            <x v="278"/>
          </reference>
        </references>
      </pivotArea>
    </format>
    <format dxfId="735">
      <pivotArea dataOnly="0" labelOnly="1" outline="0" fieldPosition="0">
        <references count="1">
          <reference field="1" count="1">
            <x v="279"/>
          </reference>
        </references>
      </pivotArea>
    </format>
    <format dxfId="734">
      <pivotArea dataOnly="0" labelOnly="1" outline="0" fieldPosition="0">
        <references count="1">
          <reference field="1" count="1">
            <x v="280"/>
          </reference>
        </references>
      </pivotArea>
    </format>
    <format dxfId="733">
      <pivotArea dataOnly="0" labelOnly="1" outline="0" fieldPosition="0">
        <references count="1">
          <reference field="1" count="1">
            <x v="281"/>
          </reference>
        </references>
      </pivotArea>
    </format>
    <format dxfId="732">
      <pivotArea dataOnly="0" labelOnly="1" outline="0" fieldPosition="0">
        <references count="1">
          <reference field="1" count="1">
            <x v="282"/>
          </reference>
        </references>
      </pivotArea>
    </format>
    <format dxfId="731">
      <pivotArea dataOnly="0" labelOnly="1" outline="0" fieldPosition="0">
        <references count="1">
          <reference field="1" count="1">
            <x v="283"/>
          </reference>
        </references>
      </pivotArea>
    </format>
    <format dxfId="730">
      <pivotArea dataOnly="0" labelOnly="1" outline="0" fieldPosition="0">
        <references count="1">
          <reference field="1" count="1">
            <x v="284"/>
          </reference>
        </references>
      </pivotArea>
    </format>
    <format dxfId="729">
      <pivotArea dataOnly="0" labelOnly="1" outline="0" fieldPosition="0">
        <references count="1">
          <reference field="1" count="1">
            <x v="285"/>
          </reference>
        </references>
      </pivotArea>
    </format>
    <format dxfId="728">
      <pivotArea dataOnly="0" labelOnly="1" outline="0" fieldPosition="0">
        <references count="1">
          <reference field="1" count="1">
            <x v="286"/>
          </reference>
        </references>
      </pivotArea>
    </format>
    <format dxfId="727">
      <pivotArea dataOnly="0" labelOnly="1" outline="0" fieldPosition="0">
        <references count="1">
          <reference field="1" count="1">
            <x v="287"/>
          </reference>
        </references>
      </pivotArea>
    </format>
    <format dxfId="726">
      <pivotArea dataOnly="0" labelOnly="1" outline="0" fieldPosition="0">
        <references count="1">
          <reference field="1" count="1">
            <x v="288"/>
          </reference>
        </references>
      </pivotArea>
    </format>
    <format dxfId="725">
      <pivotArea dataOnly="0" labelOnly="1" outline="0" fieldPosition="0">
        <references count="1">
          <reference field="1" count="1">
            <x v="289"/>
          </reference>
        </references>
      </pivotArea>
    </format>
    <format dxfId="724">
      <pivotArea dataOnly="0" labelOnly="1" outline="0" fieldPosition="0">
        <references count="1">
          <reference field="1" count="1">
            <x v="290"/>
          </reference>
        </references>
      </pivotArea>
    </format>
    <format dxfId="723">
      <pivotArea dataOnly="0" labelOnly="1" outline="0" fieldPosition="0">
        <references count="1">
          <reference field="1" count="1">
            <x v="291"/>
          </reference>
        </references>
      </pivotArea>
    </format>
    <format dxfId="722">
      <pivotArea dataOnly="0" labelOnly="1" outline="0" fieldPosition="0">
        <references count="1">
          <reference field="1" count="1">
            <x v="292"/>
          </reference>
        </references>
      </pivotArea>
    </format>
    <format dxfId="721">
      <pivotArea dataOnly="0" labelOnly="1" outline="0" fieldPosition="0">
        <references count="1">
          <reference field="1" count="1">
            <x v="293"/>
          </reference>
        </references>
      </pivotArea>
    </format>
    <format dxfId="720">
      <pivotArea dataOnly="0" labelOnly="1" outline="0" fieldPosition="0">
        <references count="1">
          <reference field="1" count="1">
            <x v="294"/>
          </reference>
        </references>
      </pivotArea>
    </format>
    <format dxfId="719">
      <pivotArea dataOnly="0" labelOnly="1" outline="0" fieldPosition="0">
        <references count="1">
          <reference field="1" count="1">
            <x v="295"/>
          </reference>
        </references>
      </pivotArea>
    </format>
    <format dxfId="718">
      <pivotArea dataOnly="0" labelOnly="1" outline="0" fieldPosition="0">
        <references count="1">
          <reference field="1" count="1">
            <x v="296"/>
          </reference>
        </references>
      </pivotArea>
    </format>
    <format dxfId="717">
      <pivotArea dataOnly="0" labelOnly="1" outline="0" fieldPosition="0">
        <references count="1">
          <reference field="1" count="1">
            <x v="297"/>
          </reference>
        </references>
      </pivotArea>
    </format>
    <format dxfId="716">
      <pivotArea dataOnly="0" labelOnly="1" outline="0" fieldPosition="0">
        <references count="1">
          <reference field="1" count="1">
            <x v="298"/>
          </reference>
        </references>
      </pivotArea>
    </format>
    <format dxfId="715">
      <pivotArea dataOnly="0" labelOnly="1" outline="0" fieldPosition="0">
        <references count="1">
          <reference field="1" count="1">
            <x v="299"/>
          </reference>
        </references>
      </pivotArea>
    </format>
    <format dxfId="714">
      <pivotArea dataOnly="0" labelOnly="1" outline="0" fieldPosition="0">
        <references count="1">
          <reference field="1" count="1">
            <x v="300"/>
          </reference>
        </references>
      </pivotArea>
    </format>
    <format dxfId="713">
      <pivotArea dataOnly="0" labelOnly="1" outline="0" fieldPosition="0">
        <references count="1">
          <reference field="1" count="1">
            <x v="301"/>
          </reference>
        </references>
      </pivotArea>
    </format>
    <format dxfId="712">
      <pivotArea dataOnly="0" labelOnly="1" outline="0" fieldPosition="0">
        <references count="1">
          <reference field="1" count="1">
            <x v="302"/>
          </reference>
        </references>
      </pivotArea>
    </format>
    <format dxfId="711">
      <pivotArea dataOnly="0" labelOnly="1" outline="0" fieldPosition="0">
        <references count="1">
          <reference field="1" count="1">
            <x v="303"/>
          </reference>
        </references>
      </pivotArea>
    </format>
    <format dxfId="710">
      <pivotArea dataOnly="0" labelOnly="1" outline="0" fieldPosition="0">
        <references count="1">
          <reference field="1" count="1">
            <x v="304"/>
          </reference>
        </references>
      </pivotArea>
    </format>
    <format dxfId="709">
      <pivotArea dataOnly="0" labelOnly="1" outline="0" fieldPosition="0">
        <references count="1">
          <reference field="1" count="1">
            <x v="305"/>
          </reference>
        </references>
      </pivotArea>
    </format>
    <format dxfId="708">
      <pivotArea dataOnly="0" labelOnly="1" outline="0" fieldPosition="0">
        <references count="1">
          <reference field="1" count="1">
            <x v="306"/>
          </reference>
        </references>
      </pivotArea>
    </format>
    <format dxfId="707">
      <pivotArea dataOnly="0" labelOnly="1" outline="0" fieldPosition="0">
        <references count="1">
          <reference field="1" count="1">
            <x v="307"/>
          </reference>
        </references>
      </pivotArea>
    </format>
    <format dxfId="706">
      <pivotArea dataOnly="0" labelOnly="1" outline="0" fieldPosition="0">
        <references count="1">
          <reference field="1" count="1">
            <x v="308"/>
          </reference>
        </references>
      </pivotArea>
    </format>
    <format dxfId="705">
      <pivotArea dataOnly="0" labelOnly="1" outline="0" fieldPosition="0">
        <references count="1">
          <reference field="1" count="1">
            <x v="309"/>
          </reference>
        </references>
      </pivotArea>
    </format>
    <format dxfId="704">
      <pivotArea dataOnly="0" labelOnly="1" outline="0" fieldPosition="0">
        <references count="1">
          <reference field="1" count="1">
            <x v="310"/>
          </reference>
        </references>
      </pivotArea>
    </format>
    <format dxfId="703">
      <pivotArea dataOnly="0" labelOnly="1" outline="0" fieldPosition="0">
        <references count="1">
          <reference field="1" count="1">
            <x v="311"/>
          </reference>
        </references>
      </pivotArea>
    </format>
    <format dxfId="702">
      <pivotArea dataOnly="0" labelOnly="1" outline="0" fieldPosition="0">
        <references count="1">
          <reference field="1" count="1">
            <x v="312"/>
          </reference>
        </references>
      </pivotArea>
    </format>
    <format dxfId="701">
      <pivotArea dataOnly="0" labelOnly="1" outline="0" fieldPosition="0">
        <references count="1">
          <reference field="1" count="1">
            <x v="313"/>
          </reference>
        </references>
      </pivotArea>
    </format>
    <format dxfId="700">
      <pivotArea dataOnly="0" labelOnly="1" outline="0" fieldPosition="0">
        <references count="1">
          <reference field="1" count="1">
            <x v="314"/>
          </reference>
        </references>
      </pivotArea>
    </format>
    <format dxfId="699">
      <pivotArea dataOnly="0" labelOnly="1" outline="0" fieldPosition="0">
        <references count="1">
          <reference field="1" count="1">
            <x v="315"/>
          </reference>
        </references>
      </pivotArea>
    </format>
    <format dxfId="698">
      <pivotArea dataOnly="0" labelOnly="1" outline="0" fieldPosition="0">
        <references count="1">
          <reference field="1" count="1">
            <x v="316"/>
          </reference>
        </references>
      </pivotArea>
    </format>
    <format dxfId="697">
      <pivotArea dataOnly="0" labelOnly="1" outline="0" fieldPosition="0">
        <references count="1">
          <reference field="1" count="1">
            <x v="317"/>
          </reference>
        </references>
      </pivotArea>
    </format>
    <format dxfId="696">
      <pivotArea dataOnly="0" labelOnly="1" outline="0" fieldPosition="0">
        <references count="1">
          <reference field="1" count="1">
            <x v="318"/>
          </reference>
        </references>
      </pivotArea>
    </format>
    <format dxfId="695">
      <pivotArea dataOnly="0" labelOnly="1" outline="0" fieldPosition="0">
        <references count="1">
          <reference field="1" count="1">
            <x v="319"/>
          </reference>
        </references>
      </pivotArea>
    </format>
    <format dxfId="694">
      <pivotArea dataOnly="0" labelOnly="1" outline="0" fieldPosition="0">
        <references count="1">
          <reference field="1" count="1">
            <x v="320"/>
          </reference>
        </references>
      </pivotArea>
    </format>
    <format dxfId="693">
      <pivotArea dataOnly="0" labelOnly="1" outline="0" fieldPosition="0">
        <references count="1">
          <reference field="1" count="1">
            <x v="321"/>
          </reference>
        </references>
      </pivotArea>
    </format>
    <format dxfId="692">
      <pivotArea dataOnly="0" labelOnly="1" outline="0" fieldPosition="0">
        <references count="1">
          <reference field="1" count="1">
            <x v="322"/>
          </reference>
        </references>
      </pivotArea>
    </format>
    <format dxfId="691">
      <pivotArea dataOnly="0" labelOnly="1" outline="0" fieldPosition="0">
        <references count="1">
          <reference field="1" count="1">
            <x v="323"/>
          </reference>
        </references>
      </pivotArea>
    </format>
    <format dxfId="690">
      <pivotArea dataOnly="0" labelOnly="1" outline="0" fieldPosition="0">
        <references count="1">
          <reference field="1" count="1">
            <x v="324"/>
          </reference>
        </references>
      </pivotArea>
    </format>
    <format dxfId="689">
      <pivotArea dataOnly="0" labelOnly="1" outline="0" fieldPosition="0">
        <references count="1">
          <reference field="1" count="1">
            <x v="325"/>
          </reference>
        </references>
      </pivotArea>
    </format>
    <format dxfId="688">
      <pivotArea dataOnly="0" labelOnly="1" outline="0" fieldPosition="0">
        <references count="1">
          <reference field="1" count="1">
            <x v="326"/>
          </reference>
        </references>
      </pivotArea>
    </format>
    <format dxfId="687">
      <pivotArea dataOnly="0" labelOnly="1" outline="0" fieldPosition="0">
        <references count="1">
          <reference field="1" count="1">
            <x v="327"/>
          </reference>
        </references>
      </pivotArea>
    </format>
    <format dxfId="686">
      <pivotArea dataOnly="0" labelOnly="1" outline="0" fieldPosition="0">
        <references count="1">
          <reference field="1" count="1">
            <x v="328"/>
          </reference>
        </references>
      </pivotArea>
    </format>
    <format dxfId="685">
      <pivotArea dataOnly="0" labelOnly="1" outline="0" fieldPosition="0">
        <references count="1">
          <reference field="1" count="1">
            <x v="329"/>
          </reference>
        </references>
      </pivotArea>
    </format>
    <format dxfId="684">
      <pivotArea dataOnly="0" labelOnly="1" outline="0" fieldPosition="0">
        <references count="1">
          <reference field="1" count="1">
            <x v="330"/>
          </reference>
        </references>
      </pivotArea>
    </format>
    <format dxfId="683">
      <pivotArea dataOnly="0" labelOnly="1" outline="0" fieldPosition="0">
        <references count="1">
          <reference field="1" count="1">
            <x v="331"/>
          </reference>
        </references>
      </pivotArea>
    </format>
    <format dxfId="682">
      <pivotArea dataOnly="0" labelOnly="1" outline="0" fieldPosition="0">
        <references count="1">
          <reference field="1" count="1">
            <x v="332"/>
          </reference>
        </references>
      </pivotArea>
    </format>
    <format dxfId="681">
      <pivotArea dataOnly="0" labelOnly="1" outline="0" fieldPosition="0">
        <references count="1">
          <reference field="1" count="1">
            <x v="333"/>
          </reference>
        </references>
      </pivotArea>
    </format>
    <format dxfId="680">
      <pivotArea dataOnly="0" labelOnly="1" outline="0" fieldPosition="0">
        <references count="1">
          <reference field="1" count="1">
            <x v="334"/>
          </reference>
        </references>
      </pivotArea>
    </format>
    <format dxfId="679">
      <pivotArea dataOnly="0" labelOnly="1" outline="0" fieldPosition="0">
        <references count="1">
          <reference field="1" count="1">
            <x v="335"/>
          </reference>
        </references>
      </pivotArea>
    </format>
    <format dxfId="678">
      <pivotArea dataOnly="0" labelOnly="1" outline="0" fieldPosition="0">
        <references count="1">
          <reference field="1" count="1">
            <x v="336"/>
          </reference>
        </references>
      </pivotArea>
    </format>
    <format dxfId="677">
      <pivotArea dataOnly="0" labelOnly="1" outline="0" fieldPosition="0">
        <references count="1">
          <reference field="1" count="1">
            <x v="337"/>
          </reference>
        </references>
      </pivotArea>
    </format>
    <format dxfId="676">
      <pivotArea dataOnly="0" labelOnly="1" outline="0" fieldPosition="0">
        <references count="1">
          <reference field="1" count="1">
            <x v="338"/>
          </reference>
        </references>
      </pivotArea>
    </format>
    <format dxfId="675">
      <pivotArea dataOnly="0" labelOnly="1" outline="0" fieldPosition="0">
        <references count="1">
          <reference field="1" count="1">
            <x v="339"/>
          </reference>
        </references>
      </pivotArea>
    </format>
    <format dxfId="674">
      <pivotArea dataOnly="0" labelOnly="1" outline="0" fieldPosition="0">
        <references count="1">
          <reference field="1" count="1">
            <x v="340"/>
          </reference>
        </references>
      </pivotArea>
    </format>
    <format dxfId="673">
      <pivotArea dataOnly="0" labelOnly="1" outline="0" fieldPosition="0">
        <references count="1">
          <reference field="1" count="1">
            <x v="341"/>
          </reference>
        </references>
      </pivotArea>
    </format>
    <format dxfId="672">
      <pivotArea dataOnly="0" labelOnly="1" outline="0" fieldPosition="0">
        <references count="1">
          <reference field="1" count="1">
            <x v="342"/>
          </reference>
        </references>
      </pivotArea>
    </format>
    <format dxfId="671">
      <pivotArea dataOnly="0" labelOnly="1" outline="0" fieldPosition="0">
        <references count="1">
          <reference field="1" count="1">
            <x v="343"/>
          </reference>
        </references>
      </pivotArea>
    </format>
    <format dxfId="670">
      <pivotArea dataOnly="0" labelOnly="1" outline="0" fieldPosition="0">
        <references count="1">
          <reference field="1" count="1">
            <x v="344"/>
          </reference>
        </references>
      </pivotArea>
    </format>
    <format dxfId="669">
      <pivotArea dataOnly="0" labelOnly="1" outline="0" fieldPosition="0">
        <references count="1">
          <reference field="1" count="1">
            <x v="345"/>
          </reference>
        </references>
      </pivotArea>
    </format>
    <format dxfId="668">
      <pivotArea dataOnly="0" labelOnly="1" outline="0" fieldPosition="0">
        <references count="1">
          <reference field="1" count="1">
            <x v="346"/>
          </reference>
        </references>
      </pivotArea>
    </format>
    <format dxfId="667">
      <pivotArea dataOnly="0" labelOnly="1" outline="0" fieldPosition="0">
        <references count="1">
          <reference field="1" count="1">
            <x v="347"/>
          </reference>
        </references>
      </pivotArea>
    </format>
    <format dxfId="666">
      <pivotArea dataOnly="0" labelOnly="1" outline="0" fieldPosition="0">
        <references count="1">
          <reference field="1" count="1">
            <x v="348"/>
          </reference>
        </references>
      </pivotArea>
    </format>
    <format dxfId="665">
      <pivotArea dataOnly="0" labelOnly="1" outline="0" fieldPosition="0">
        <references count="1">
          <reference field="1" count="1">
            <x v="349"/>
          </reference>
        </references>
      </pivotArea>
    </format>
    <format dxfId="664">
      <pivotArea dataOnly="0" labelOnly="1" outline="0" fieldPosition="0">
        <references count="1">
          <reference field="1" count="1">
            <x v="350"/>
          </reference>
        </references>
      </pivotArea>
    </format>
    <format dxfId="663">
      <pivotArea dataOnly="0" labelOnly="1" outline="0" fieldPosition="0">
        <references count="1">
          <reference field="1" count="1">
            <x v="351"/>
          </reference>
        </references>
      </pivotArea>
    </format>
    <format dxfId="662">
      <pivotArea dataOnly="0" labelOnly="1" outline="0" fieldPosition="0">
        <references count="1">
          <reference field="1" count="1">
            <x v="352"/>
          </reference>
        </references>
      </pivotArea>
    </format>
    <format dxfId="661">
      <pivotArea dataOnly="0" labelOnly="1" outline="0" fieldPosition="0">
        <references count="1">
          <reference field="1" count="1">
            <x v="353"/>
          </reference>
        </references>
      </pivotArea>
    </format>
    <format dxfId="660">
      <pivotArea dataOnly="0" labelOnly="1" outline="0" fieldPosition="0">
        <references count="1">
          <reference field="1" count="1">
            <x v="354"/>
          </reference>
        </references>
      </pivotArea>
    </format>
    <format dxfId="659">
      <pivotArea dataOnly="0" labelOnly="1" outline="0" fieldPosition="0">
        <references count="1">
          <reference field="1" count="1">
            <x v="355"/>
          </reference>
        </references>
      </pivotArea>
    </format>
    <format dxfId="658">
      <pivotArea dataOnly="0" labelOnly="1" outline="0" fieldPosition="0">
        <references count="1">
          <reference field="1" count="1">
            <x v="356"/>
          </reference>
        </references>
      </pivotArea>
    </format>
    <format dxfId="657">
      <pivotArea dataOnly="0" labelOnly="1" outline="0" fieldPosition="0">
        <references count="1">
          <reference field="1" count="1">
            <x v="357"/>
          </reference>
        </references>
      </pivotArea>
    </format>
    <format dxfId="656">
      <pivotArea dataOnly="0" labelOnly="1" outline="0" fieldPosition="0">
        <references count="1">
          <reference field="1" count="1">
            <x v="358"/>
          </reference>
        </references>
      </pivotArea>
    </format>
    <format dxfId="655">
      <pivotArea dataOnly="0" labelOnly="1" outline="0" fieldPosition="0">
        <references count="1">
          <reference field="1" count="1">
            <x v="359"/>
          </reference>
        </references>
      </pivotArea>
    </format>
    <format dxfId="654">
      <pivotArea dataOnly="0" labelOnly="1" outline="0" fieldPosition="0">
        <references count="1">
          <reference field="1" count="1">
            <x v="360"/>
          </reference>
        </references>
      </pivotArea>
    </format>
    <format dxfId="653">
      <pivotArea dataOnly="0" labelOnly="1" outline="0" fieldPosition="0">
        <references count="1">
          <reference field="1" count="1">
            <x v="361"/>
          </reference>
        </references>
      </pivotArea>
    </format>
    <format dxfId="652">
      <pivotArea dataOnly="0" labelOnly="1" outline="0" fieldPosition="0">
        <references count="1">
          <reference field="1" count="1">
            <x v="362"/>
          </reference>
        </references>
      </pivotArea>
    </format>
    <format dxfId="651">
      <pivotArea dataOnly="0" labelOnly="1" outline="0" fieldPosition="0">
        <references count="1">
          <reference field="1" count="1">
            <x v="363"/>
          </reference>
        </references>
      </pivotArea>
    </format>
    <format dxfId="650">
      <pivotArea dataOnly="0" labelOnly="1" outline="0" fieldPosition="0">
        <references count="1">
          <reference field="1" count="1">
            <x v="364"/>
          </reference>
        </references>
      </pivotArea>
    </format>
    <format dxfId="649">
      <pivotArea dataOnly="0" labelOnly="1" outline="0" fieldPosition="0">
        <references count="1">
          <reference field="1" count="1">
            <x v="365"/>
          </reference>
        </references>
      </pivotArea>
    </format>
    <format dxfId="648">
      <pivotArea dataOnly="0" labelOnly="1" outline="0" fieldPosition="0">
        <references count="1">
          <reference field="1" count="1">
            <x v="366"/>
          </reference>
        </references>
      </pivotArea>
    </format>
    <format dxfId="647">
      <pivotArea dataOnly="0" labelOnly="1" outline="0" fieldPosition="0">
        <references count="1">
          <reference field="1" count="1">
            <x v="367"/>
          </reference>
        </references>
      </pivotArea>
    </format>
    <format dxfId="646">
      <pivotArea dataOnly="0" labelOnly="1" outline="0" fieldPosition="0">
        <references count="1">
          <reference field="1" count="1">
            <x v="368"/>
          </reference>
        </references>
      </pivotArea>
    </format>
    <format dxfId="645">
      <pivotArea dataOnly="0" labelOnly="1" outline="0" fieldPosition="0">
        <references count="1">
          <reference field="1" count="1">
            <x v="369"/>
          </reference>
        </references>
      </pivotArea>
    </format>
    <format dxfId="644">
      <pivotArea dataOnly="0" labelOnly="1" outline="0" fieldPosition="0">
        <references count="1">
          <reference field="1" count="1">
            <x v="370"/>
          </reference>
        </references>
      </pivotArea>
    </format>
    <format dxfId="643">
      <pivotArea dataOnly="0" labelOnly="1" outline="0" fieldPosition="0">
        <references count="1">
          <reference field="1" count="1">
            <x v="371"/>
          </reference>
        </references>
      </pivotArea>
    </format>
    <format dxfId="642">
      <pivotArea dataOnly="0" labelOnly="1" outline="0" fieldPosition="0">
        <references count="1">
          <reference field="1" count="1">
            <x v="372"/>
          </reference>
        </references>
      </pivotArea>
    </format>
    <format dxfId="641">
      <pivotArea dataOnly="0" labelOnly="1" outline="0" fieldPosition="0">
        <references count="1">
          <reference field="1" count="1">
            <x v="373"/>
          </reference>
        </references>
      </pivotArea>
    </format>
    <format dxfId="640">
      <pivotArea dataOnly="0" labelOnly="1" outline="0" fieldPosition="0">
        <references count="1">
          <reference field="1" count="1">
            <x v="374"/>
          </reference>
        </references>
      </pivotArea>
    </format>
    <format dxfId="639">
      <pivotArea dataOnly="0" labelOnly="1" outline="0" fieldPosition="0">
        <references count="1">
          <reference field="1" count="1">
            <x v="375"/>
          </reference>
        </references>
      </pivotArea>
    </format>
    <format dxfId="638">
      <pivotArea dataOnly="0" labelOnly="1" outline="0" fieldPosition="0">
        <references count="1">
          <reference field="1" count="1">
            <x v="376"/>
          </reference>
        </references>
      </pivotArea>
    </format>
    <format dxfId="637">
      <pivotArea dataOnly="0" labelOnly="1" outline="0" fieldPosition="0">
        <references count="1">
          <reference field="1" count="1">
            <x v="377"/>
          </reference>
        </references>
      </pivotArea>
    </format>
    <format dxfId="636">
      <pivotArea dataOnly="0" labelOnly="1" outline="0" fieldPosition="0">
        <references count="1">
          <reference field="1" count="1">
            <x v="378"/>
          </reference>
        </references>
      </pivotArea>
    </format>
    <format dxfId="635">
      <pivotArea dataOnly="0" labelOnly="1" outline="0" fieldPosition="0">
        <references count="1">
          <reference field="1" count="1">
            <x v="379"/>
          </reference>
        </references>
      </pivotArea>
    </format>
    <format dxfId="634">
      <pivotArea dataOnly="0" labelOnly="1" outline="0" fieldPosition="0">
        <references count="1">
          <reference field="1" count="1">
            <x v="380"/>
          </reference>
        </references>
      </pivotArea>
    </format>
    <format dxfId="633">
      <pivotArea dataOnly="0" labelOnly="1" outline="0" fieldPosition="0">
        <references count="1">
          <reference field="1" count="1">
            <x v="381"/>
          </reference>
        </references>
      </pivotArea>
    </format>
    <format dxfId="632">
      <pivotArea dataOnly="0" labelOnly="1" outline="0" fieldPosition="0">
        <references count="1">
          <reference field="1" count="1">
            <x v="382"/>
          </reference>
        </references>
      </pivotArea>
    </format>
    <format dxfId="631">
      <pivotArea dataOnly="0" labelOnly="1" outline="0" fieldPosition="0">
        <references count="1">
          <reference field="1" count="1">
            <x v="383"/>
          </reference>
        </references>
      </pivotArea>
    </format>
    <format dxfId="630">
      <pivotArea dataOnly="0" labelOnly="1" outline="0" fieldPosition="0">
        <references count="1">
          <reference field="1" count="1">
            <x v="384"/>
          </reference>
        </references>
      </pivotArea>
    </format>
    <format dxfId="629">
      <pivotArea dataOnly="0" labelOnly="1" outline="0" fieldPosition="0">
        <references count="1">
          <reference field="1" count="1">
            <x v="385"/>
          </reference>
        </references>
      </pivotArea>
    </format>
    <format dxfId="628">
      <pivotArea dataOnly="0" labelOnly="1" outline="0" fieldPosition="0">
        <references count="1">
          <reference field="1" count="1">
            <x v="386"/>
          </reference>
        </references>
      </pivotArea>
    </format>
    <format dxfId="627">
      <pivotArea dataOnly="0" labelOnly="1" outline="0" fieldPosition="0">
        <references count="1">
          <reference field="1" count="1">
            <x v="387"/>
          </reference>
        </references>
      </pivotArea>
    </format>
    <format dxfId="626">
      <pivotArea dataOnly="0" labelOnly="1" outline="0" fieldPosition="0">
        <references count="1">
          <reference field="1" count="1">
            <x v="388"/>
          </reference>
        </references>
      </pivotArea>
    </format>
    <format dxfId="625">
      <pivotArea dataOnly="0" labelOnly="1" outline="0" fieldPosition="0">
        <references count="1">
          <reference field="1" count="1">
            <x v="389"/>
          </reference>
        </references>
      </pivotArea>
    </format>
    <format dxfId="624">
      <pivotArea dataOnly="0" labelOnly="1" outline="0" fieldPosition="0">
        <references count="1">
          <reference field="1" count="1">
            <x v="390"/>
          </reference>
        </references>
      </pivotArea>
    </format>
    <format dxfId="623">
      <pivotArea dataOnly="0" labelOnly="1" outline="0" fieldPosition="0">
        <references count="1">
          <reference field="1" count="1">
            <x v="391"/>
          </reference>
        </references>
      </pivotArea>
    </format>
    <format dxfId="622">
      <pivotArea dataOnly="0" labelOnly="1" outline="0" fieldPosition="0">
        <references count="1">
          <reference field="1" count="1">
            <x v="392"/>
          </reference>
        </references>
      </pivotArea>
    </format>
    <format dxfId="621">
      <pivotArea dataOnly="0" labelOnly="1" outline="0" fieldPosition="0">
        <references count="1">
          <reference field="1" count="1">
            <x v="393"/>
          </reference>
        </references>
      </pivotArea>
    </format>
    <format dxfId="620">
      <pivotArea dataOnly="0" labelOnly="1" outline="0" fieldPosition="0">
        <references count="1">
          <reference field="1" count="1">
            <x v="394"/>
          </reference>
        </references>
      </pivotArea>
    </format>
    <format dxfId="619">
      <pivotArea dataOnly="0" labelOnly="1" outline="0" fieldPosition="0">
        <references count="1">
          <reference field="1" count="1">
            <x v="395"/>
          </reference>
        </references>
      </pivotArea>
    </format>
    <format dxfId="618">
      <pivotArea dataOnly="0" labelOnly="1" outline="0" fieldPosition="0">
        <references count="1">
          <reference field="1" count="1">
            <x v="396"/>
          </reference>
        </references>
      </pivotArea>
    </format>
    <format dxfId="617">
      <pivotArea dataOnly="0" labelOnly="1" outline="0" fieldPosition="0">
        <references count="1">
          <reference field="1" count="1">
            <x v="397"/>
          </reference>
        </references>
      </pivotArea>
    </format>
    <format dxfId="616">
      <pivotArea dataOnly="0" labelOnly="1" outline="0" fieldPosition="0">
        <references count="1">
          <reference field="1" count="1">
            <x v="398"/>
          </reference>
        </references>
      </pivotArea>
    </format>
    <format dxfId="615">
      <pivotArea dataOnly="0" labelOnly="1" outline="0" fieldPosition="0">
        <references count="1">
          <reference field="1" count="1">
            <x v="399"/>
          </reference>
        </references>
      </pivotArea>
    </format>
    <format dxfId="614">
      <pivotArea dataOnly="0" labelOnly="1" outline="0" fieldPosition="0">
        <references count="1">
          <reference field="1" count="1">
            <x v="400"/>
          </reference>
        </references>
      </pivotArea>
    </format>
    <format dxfId="613">
      <pivotArea dataOnly="0" labelOnly="1" outline="0" fieldPosition="0">
        <references count="1">
          <reference field="1" count="1">
            <x v="401"/>
          </reference>
        </references>
      </pivotArea>
    </format>
    <format dxfId="612">
      <pivotArea dataOnly="0" labelOnly="1" outline="0" fieldPosition="0">
        <references count="1">
          <reference field="1" count="1">
            <x v="402"/>
          </reference>
        </references>
      </pivotArea>
    </format>
    <format dxfId="611">
      <pivotArea dataOnly="0" labelOnly="1" outline="0" fieldPosition="0">
        <references count="1">
          <reference field="1" count="1">
            <x v="403"/>
          </reference>
        </references>
      </pivotArea>
    </format>
    <format dxfId="610">
      <pivotArea dataOnly="0" labelOnly="1" outline="0" fieldPosition="0">
        <references count="1">
          <reference field="1" count="1">
            <x v="404"/>
          </reference>
        </references>
      </pivotArea>
    </format>
    <format dxfId="609">
      <pivotArea dataOnly="0" labelOnly="1" outline="0" fieldPosition="0">
        <references count="1">
          <reference field="1" count="1">
            <x v="405"/>
          </reference>
        </references>
      </pivotArea>
    </format>
    <format dxfId="608">
      <pivotArea dataOnly="0" labelOnly="1" outline="0" fieldPosition="0">
        <references count="1">
          <reference field="1" count="1">
            <x v="406"/>
          </reference>
        </references>
      </pivotArea>
    </format>
    <format dxfId="607">
      <pivotArea dataOnly="0" labelOnly="1" outline="0" fieldPosition="0">
        <references count="1">
          <reference field="1" count="1">
            <x v="407"/>
          </reference>
        </references>
      </pivotArea>
    </format>
    <format dxfId="606">
      <pivotArea dataOnly="0" labelOnly="1" outline="0" fieldPosition="0">
        <references count="1">
          <reference field="1" count="1">
            <x v="408"/>
          </reference>
        </references>
      </pivotArea>
    </format>
    <format dxfId="605">
      <pivotArea dataOnly="0" labelOnly="1" outline="0" fieldPosition="0">
        <references count="1">
          <reference field="1" count="1">
            <x v="409"/>
          </reference>
        </references>
      </pivotArea>
    </format>
    <format dxfId="604">
      <pivotArea dataOnly="0" labelOnly="1" outline="0" fieldPosition="0">
        <references count="1">
          <reference field="1" count="1">
            <x v="410"/>
          </reference>
        </references>
      </pivotArea>
    </format>
    <format dxfId="603">
      <pivotArea dataOnly="0" labelOnly="1" outline="0" fieldPosition="0">
        <references count="1">
          <reference field="1" count="1">
            <x v="411"/>
          </reference>
        </references>
      </pivotArea>
    </format>
    <format dxfId="602">
      <pivotArea dataOnly="0" labelOnly="1" outline="0" fieldPosition="0">
        <references count="1">
          <reference field="1" count="1">
            <x v="412"/>
          </reference>
        </references>
      </pivotArea>
    </format>
    <format dxfId="601">
      <pivotArea dataOnly="0" labelOnly="1" outline="0" fieldPosition="0">
        <references count="1">
          <reference field="1" count="1">
            <x v="413"/>
          </reference>
        </references>
      </pivotArea>
    </format>
    <format dxfId="600">
      <pivotArea dataOnly="0" labelOnly="1" outline="0" fieldPosition="0">
        <references count="1">
          <reference field="1" count="1">
            <x v="414"/>
          </reference>
        </references>
      </pivotArea>
    </format>
    <format dxfId="599">
      <pivotArea dataOnly="0" labelOnly="1" outline="0" fieldPosition="0">
        <references count="1">
          <reference field="1" count="1">
            <x v="415"/>
          </reference>
        </references>
      </pivotArea>
    </format>
    <format dxfId="598">
      <pivotArea dataOnly="0" labelOnly="1" outline="0" fieldPosition="0">
        <references count="1">
          <reference field="1" count="1">
            <x v="416"/>
          </reference>
        </references>
      </pivotArea>
    </format>
    <format dxfId="597">
      <pivotArea dataOnly="0" labelOnly="1" outline="0" fieldPosition="0">
        <references count="1">
          <reference field="1" count="1">
            <x v="417"/>
          </reference>
        </references>
      </pivotArea>
    </format>
    <format dxfId="596">
      <pivotArea dataOnly="0" labelOnly="1" outline="0" fieldPosition="0">
        <references count="1">
          <reference field="1" count="1">
            <x v="418"/>
          </reference>
        </references>
      </pivotArea>
    </format>
    <format dxfId="595">
      <pivotArea dataOnly="0" labelOnly="1" outline="0" fieldPosition="0">
        <references count="1">
          <reference field="1" count="1">
            <x v="419"/>
          </reference>
        </references>
      </pivotArea>
    </format>
    <format dxfId="594">
      <pivotArea dataOnly="0" labelOnly="1" outline="0" fieldPosition="0">
        <references count="1">
          <reference field="1" count="1">
            <x v="420"/>
          </reference>
        </references>
      </pivotArea>
    </format>
    <format dxfId="593">
      <pivotArea dataOnly="0" labelOnly="1" outline="0" fieldPosition="0">
        <references count="1">
          <reference field="1" count="1">
            <x v="421"/>
          </reference>
        </references>
      </pivotArea>
    </format>
    <format dxfId="592">
      <pivotArea dataOnly="0" labelOnly="1" outline="0" fieldPosition="0">
        <references count="1">
          <reference field="1" count="1">
            <x v="422"/>
          </reference>
        </references>
      </pivotArea>
    </format>
    <format dxfId="591">
      <pivotArea dataOnly="0" labelOnly="1" outline="0" fieldPosition="0">
        <references count="1">
          <reference field="1" count="1">
            <x v="423"/>
          </reference>
        </references>
      </pivotArea>
    </format>
    <format dxfId="590">
      <pivotArea dataOnly="0" labelOnly="1" outline="0" fieldPosition="0">
        <references count="1">
          <reference field="1" count="1">
            <x v="424"/>
          </reference>
        </references>
      </pivotArea>
    </format>
    <format dxfId="589">
      <pivotArea dataOnly="0" labelOnly="1" outline="0" fieldPosition="0">
        <references count="1">
          <reference field="1" count="1">
            <x v="425"/>
          </reference>
        </references>
      </pivotArea>
    </format>
    <format dxfId="588">
      <pivotArea dataOnly="0" labelOnly="1" outline="0" fieldPosition="0">
        <references count="1">
          <reference field="1" count="1">
            <x v="426"/>
          </reference>
        </references>
      </pivotArea>
    </format>
    <format dxfId="587">
      <pivotArea dataOnly="0" labelOnly="1" outline="0" fieldPosition="0">
        <references count="1">
          <reference field="1" count="1">
            <x v="427"/>
          </reference>
        </references>
      </pivotArea>
    </format>
    <format dxfId="586">
      <pivotArea dataOnly="0" labelOnly="1" outline="0" fieldPosition="0">
        <references count="1">
          <reference field="1" count="1">
            <x v="428"/>
          </reference>
        </references>
      </pivotArea>
    </format>
    <format dxfId="585">
      <pivotArea dataOnly="0" labelOnly="1" outline="0" fieldPosition="0">
        <references count="1">
          <reference field="1" count="1">
            <x v="429"/>
          </reference>
        </references>
      </pivotArea>
    </format>
    <format dxfId="584">
      <pivotArea dataOnly="0" labelOnly="1" outline="0" fieldPosition="0">
        <references count="1">
          <reference field="1" count="1">
            <x v="430"/>
          </reference>
        </references>
      </pivotArea>
    </format>
    <format dxfId="583">
      <pivotArea dataOnly="0" labelOnly="1" outline="0" fieldPosition="0">
        <references count="1">
          <reference field="1" count="1">
            <x v="431"/>
          </reference>
        </references>
      </pivotArea>
    </format>
    <format dxfId="582">
      <pivotArea dataOnly="0" labelOnly="1" outline="0" fieldPosition="0">
        <references count="1">
          <reference field="1" count="1">
            <x v="432"/>
          </reference>
        </references>
      </pivotArea>
    </format>
    <format dxfId="581">
      <pivotArea dataOnly="0" labelOnly="1" outline="0" fieldPosition="0">
        <references count="1">
          <reference field="1" count="1">
            <x v="433"/>
          </reference>
        </references>
      </pivotArea>
    </format>
    <format dxfId="580">
      <pivotArea dataOnly="0" labelOnly="1" outline="0" fieldPosition="0">
        <references count="1">
          <reference field="1" count="1">
            <x v="434"/>
          </reference>
        </references>
      </pivotArea>
    </format>
    <format dxfId="579">
      <pivotArea dataOnly="0" labelOnly="1" outline="0" fieldPosition="0">
        <references count="1">
          <reference field="1" count="1">
            <x v="435"/>
          </reference>
        </references>
      </pivotArea>
    </format>
    <format dxfId="578">
      <pivotArea dataOnly="0" labelOnly="1" outline="0" fieldPosition="0">
        <references count="1">
          <reference field="1" count="1">
            <x v="436"/>
          </reference>
        </references>
      </pivotArea>
    </format>
    <format dxfId="577">
      <pivotArea dataOnly="0" labelOnly="1" outline="0" fieldPosition="0">
        <references count="1">
          <reference field="1" count="1">
            <x v="437"/>
          </reference>
        </references>
      </pivotArea>
    </format>
    <format dxfId="576">
      <pivotArea dataOnly="0" labelOnly="1" outline="0" fieldPosition="0">
        <references count="1">
          <reference field="1" count="1">
            <x v="438"/>
          </reference>
        </references>
      </pivotArea>
    </format>
    <format dxfId="575">
      <pivotArea dataOnly="0" labelOnly="1" outline="0" fieldPosition="0">
        <references count="1">
          <reference field="1" count="1">
            <x v="439"/>
          </reference>
        </references>
      </pivotArea>
    </format>
    <format dxfId="574">
      <pivotArea dataOnly="0" labelOnly="1" outline="0" fieldPosition="0">
        <references count="1">
          <reference field="1" count="1">
            <x v="440"/>
          </reference>
        </references>
      </pivotArea>
    </format>
    <format dxfId="573">
      <pivotArea dataOnly="0" labelOnly="1" outline="0" fieldPosition="0">
        <references count="1">
          <reference field="1" count="1">
            <x v="441"/>
          </reference>
        </references>
      </pivotArea>
    </format>
    <format dxfId="572">
      <pivotArea dataOnly="0" labelOnly="1" outline="0" fieldPosition="0">
        <references count="1">
          <reference field="1" count="1">
            <x v="442"/>
          </reference>
        </references>
      </pivotArea>
    </format>
    <format dxfId="571">
      <pivotArea dataOnly="0" labelOnly="1" outline="0" fieldPosition="0">
        <references count="1">
          <reference field="1" count="1">
            <x v="443"/>
          </reference>
        </references>
      </pivotArea>
    </format>
    <format dxfId="570">
      <pivotArea dataOnly="0" labelOnly="1" outline="0" fieldPosition="0">
        <references count="1">
          <reference field="1" count="1">
            <x v="444"/>
          </reference>
        </references>
      </pivotArea>
    </format>
    <format dxfId="569">
      <pivotArea dataOnly="0" labelOnly="1" outline="0" fieldPosition="0">
        <references count="1">
          <reference field="1" count="1">
            <x v="445"/>
          </reference>
        </references>
      </pivotArea>
    </format>
    <format dxfId="568">
      <pivotArea dataOnly="0" labelOnly="1" outline="0" fieldPosition="0">
        <references count="1">
          <reference field="1" count="1">
            <x v="446"/>
          </reference>
        </references>
      </pivotArea>
    </format>
    <format dxfId="567">
      <pivotArea dataOnly="0" labelOnly="1" outline="0" fieldPosition="0">
        <references count="1">
          <reference field="1" count="1">
            <x v="447"/>
          </reference>
        </references>
      </pivotArea>
    </format>
    <format dxfId="566">
      <pivotArea dataOnly="0" labelOnly="1" outline="0" fieldPosition="0">
        <references count="1">
          <reference field="1" count="1">
            <x v="448"/>
          </reference>
        </references>
      </pivotArea>
    </format>
    <format dxfId="565">
      <pivotArea dataOnly="0" labelOnly="1" outline="0" fieldPosition="0">
        <references count="1">
          <reference field="1" count="1">
            <x v="449"/>
          </reference>
        </references>
      </pivotArea>
    </format>
    <format dxfId="564">
      <pivotArea dataOnly="0" labelOnly="1" outline="0" fieldPosition="0">
        <references count="1">
          <reference field="1" count="1">
            <x v="450"/>
          </reference>
        </references>
      </pivotArea>
    </format>
    <format dxfId="563">
      <pivotArea dataOnly="0" labelOnly="1" outline="0" fieldPosition="0">
        <references count="1">
          <reference field="1" count="1">
            <x v="451"/>
          </reference>
        </references>
      </pivotArea>
    </format>
    <format dxfId="562">
      <pivotArea dataOnly="0" labelOnly="1" outline="0" fieldPosition="0">
        <references count="1">
          <reference field="1" count="1">
            <x v="452"/>
          </reference>
        </references>
      </pivotArea>
    </format>
    <format dxfId="561">
      <pivotArea dataOnly="0" labelOnly="1" outline="0" fieldPosition="0">
        <references count="1">
          <reference field="1" count="1">
            <x v="453"/>
          </reference>
        </references>
      </pivotArea>
    </format>
    <format dxfId="560">
      <pivotArea dataOnly="0" labelOnly="1" outline="0" fieldPosition="0">
        <references count="1">
          <reference field="1" count="1">
            <x v="454"/>
          </reference>
        </references>
      </pivotArea>
    </format>
    <format dxfId="559">
      <pivotArea dataOnly="0" labelOnly="1" outline="0" fieldPosition="0">
        <references count="1">
          <reference field="1" count="1">
            <x v="455"/>
          </reference>
        </references>
      </pivotArea>
    </format>
    <format dxfId="558">
      <pivotArea dataOnly="0" labelOnly="1" outline="0" fieldPosition="0">
        <references count="1">
          <reference field="1" count="1">
            <x v="456"/>
          </reference>
        </references>
      </pivotArea>
    </format>
    <format dxfId="557">
      <pivotArea dataOnly="0" labelOnly="1" outline="0" fieldPosition="0">
        <references count="1">
          <reference field="1" count="1">
            <x v="457"/>
          </reference>
        </references>
      </pivotArea>
    </format>
    <format dxfId="556">
      <pivotArea dataOnly="0" labelOnly="1" outline="0" fieldPosition="0">
        <references count="1">
          <reference field="1" count="1">
            <x v="458"/>
          </reference>
        </references>
      </pivotArea>
    </format>
    <format dxfId="555">
      <pivotArea dataOnly="0" labelOnly="1" outline="0" fieldPosition="0">
        <references count="1">
          <reference field="1" count="1">
            <x v="459"/>
          </reference>
        </references>
      </pivotArea>
    </format>
    <format dxfId="554">
      <pivotArea dataOnly="0" labelOnly="1" outline="0" fieldPosition="0">
        <references count="1">
          <reference field="1" count="1">
            <x v="460"/>
          </reference>
        </references>
      </pivotArea>
    </format>
    <format dxfId="553">
      <pivotArea dataOnly="0" labelOnly="1" outline="0" fieldPosition="0">
        <references count="1">
          <reference field="1" count="1">
            <x v="461"/>
          </reference>
        </references>
      </pivotArea>
    </format>
    <format dxfId="552">
      <pivotArea dataOnly="0" labelOnly="1" outline="0" fieldPosition="0">
        <references count="1">
          <reference field="1" count="1">
            <x v="462"/>
          </reference>
        </references>
      </pivotArea>
    </format>
    <format dxfId="551">
      <pivotArea dataOnly="0" labelOnly="1" outline="0" fieldPosition="0">
        <references count="1">
          <reference field="1" count="1">
            <x v="463"/>
          </reference>
        </references>
      </pivotArea>
    </format>
    <format dxfId="550">
      <pivotArea dataOnly="0" labelOnly="1" outline="0" fieldPosition="0">
        <references count="1">
          <reference field="1" count="1">
            <x v="464"/>
          </reference>
        </references>
      </pivotArea>
    </format>
    <format dxfId="549">
      <pivotArea dataOnly="0" labelOnly="1" outline="0" fieldPosition="0">
        <references count="1">
          <reference field="1" count="1">
            <x v="465"/>
          </reference>
        </references>
      </pivotArea>
    </format>
    <format dxfId="548">
      <pivotArea dataOnly="0" labelOnly="1" outline="0" fieldPosition="0">
        <references count="1">
          <reference field="1" count="1">
            <x v="466"/>
          </reference>
        </references>
      </pivotArea>
    </format>
    <format dxfId="547">
      <pivotArea dataOnly="0" labelOnly="1" outline="0" fieldPosition="0">
        <references count="1">
          <reference field="1" count="1">
            <x v="467"/>
          </reference>
        </references>
      </pivotArea>
    </format>
    <format dxfId="546">
      <pivotArea dataOnly="0" labelOnly="1" outline="0" fieldPosition="0">
        <references count="1">
          <reference field="1" count="1">
            <x v="468"/>
          </reference>
        </references>
      </pivotArea>
    </format>
    <format dxfId="545">
      <pivotArea dataOnly="0" labelOnly="1" outline="0" fieldPosition="0">
        <references count="1">
          <reference field="1" count="1">
            <x v="469"/>
          </reference>
        </references>
      </pivotArea>
    </format>
    <format dxfId="544">
      <pivotArea dataOnly="0" labelOnly="1" outline="0" fieldPosition="0">
        <references count="1">
          <reference field="1" count="1">
            <x v="470"/>
          </reference>
        </references>
      </pivotArea>
    </format>
    <format dxfId="543">
      <pivotArea dataOnly="0" labelOnly="1" outline="0" fieldPosition="0">
        <references count="1">
          <reference field="1" count="1">
            <x v="471"/>
          </reference>
        </references>
      </pivotArea>
    </format>
    <format dxfId="542">
      <pivotArea dataOnly="0" labelOnly="1" outline="0" fieldPosition="0">
        <references count="1">
          <reference field="1" count="1">
            <x v="472"/>
          </reference>
        </references>
      </pivotArea>
    </format>
    <format dxfId="541">
      <pivotArea dataOnly="0" labelOnly="1" outline="0" fieldPosition="0">
        <references count="1">
          <reference field="1" count="1">
            <x v="473"/>
          </reference>
        </references>
      </pivotArea>
    </format>
    <format dxfId="540">
      <pivotArea dataOnly="0" labelOnly="1" outline="0" fieldPosition="0">
        <references count="1">
          <reference field="1" count="1">
            <x v="474"/>
          </reference>
        </references>
      </pivotArea>
    </format>
    <format dxfId="539">
      <pivotArea dataOnly="0" labelOnly="1" outline="0" fieldPosition="0">
        <references count="1">
          <reference field="1" count="1">
            <x v="475"/>
          </reference>
        </references>
      </pivotArea>
    </format>
    <format dxfId="538">
      <pivotArea dataOnly="0" labelOnly="1" outline="0" fieldPosition="0">
        <references count="1">
          <reference field="1" count="1">
            <x v="476"/>
          </reference>
        </references>
      </pivotArea>
    </format>
    <format dxfId="537">
      <pivotArea dataOnly="0" labelOnly="1" outline="0" fieldPosition="0">
        <references count="1">
          <reference field="1" count="1">
            <x v="477"/>
          </reference>
        </references>
      </pivotArea>
    </format>
    <format dxfId="536">
      <pivotArea dataOnly="0" labelOnly="1" outline="0" fieldPosition="0">
        <references count="1">
          <reference field="1" count="1">
            <x v="478"/>
          </reference>
        </references>
      </pivotArea>
    </format>
    <format dxfId="535">
      <pivotArea dataOnly="0" labelOnly="1" outline="0" fieldPosition="0">
        <references count="1">
          <reference field="1" count="1">
            <x v="479"/>
          </reference>
        </references>
      </pivotArea>
    </format>
    <format dxfId="534">
      <pivotArea dataOnly="0" labelOnly="1" outline="0" fieldPosition="0">
        <references count="1">
          <reference field="1" count="1">
            <x v="480"/>
          </reference>
        </references>
      </pivotArea>
    </format>
    <format dxfId="533">
      <pivotArea dataOnly="0" labelOnly="1" outline="0" fieldPosition="0">
        <references count="1">
          <reference field="1" count="1">
            <x v="481"/>
          </reference>
        </references>
      </pivotArea>
    </format>
    <format dxfId="532">
      <pivotArea dataOnly="0" labelOnly="1" outline="0" fieldPosition="0">
        <references count="1">
          <reference field="1" count="1">
            <x v="482"/>
          </reference>
        </references>
      </pivotArea>
    </format>
    <format dxfId="531">
      <pivotArea dataOnly="0" labelOnly="1" outline="0" fieldPosition="0">
        <references count="1">
          <reference field="1" count="1">
            <x v="483"/>
          </reference>
        </references>
      </pivotArea>
    </format>
    <format dxfId="530">
      <pivotArea dataOnly="0" labelOnly="1" outline="0" fieldPosition="0">
        <references count="1">
          <reference field="1" count="1">
            <x v="484"/>
          </reference>
        </references>
      </pivotArea>
    </format>
    <format dxfId="529">
      <pivotArea dataOnly="0" labelOnly="1" outline="0" fieldPosition="0">
        <references count="1">
          <reference field="1" count="1">
            <x v="485"/>
          </reference>
        </references>
      </pivotArea>
    </format>
    <format dxfId="528">
      <pivotArea dataOnly="0" labelOnly="1" outline="0" fieldPosition="0">
        <references count="1">
          <reference field="1" count="1">
            <x v="486"/>
          </reference>
        </references>
      </pivotArea>
    </format>
    <format dxfId="527">
      <pivotArea dataOnly="0" labelOnly="1" outline="0" fieldPosition="0">
        <references count="1">
          <reference field="1" count="1">
            <x v="487"/>
          </reference>
        </references>
      </pivotArea>
    </format>
    <format dxfId="526">
      <pivotArea dataOnly="0" labelOnly="1" outline="0" fieldPosition="0">
        <references count="1">
          <reference field="1" count="1">
            <x v="488"/>
          </reference>
        </references>
      </pivotArea>
    </format>
    <format dxfId="525">
      <pivotArea dataOnly="0" labelOnly="1" outline="0" fieldPosition="0">
        <references count="1">
          <reference field="1" count="1">
            <x v="489"/>
          </reference>
        </references>
      </pivotArea>
    </format>
    <format dxfId="524">
      <pivotArea dataOnly="0" labelOnly="1" outline="0" fieldPosition="0">
        <references count="1">
          <reference field="1" count="1">
            <x v="490"/>
          </reference>
        </references>
      </pivotArea>
    </format>
    <format dxfId="523">
      <pivotArea dataOnly="0" labelOnly="1" outline="0" fieldPosition="0">
        <references count="1">
          <reference field="1" count="1">
            <x v="491"/>
          </reference>
        </references>
      </pivotArea>
    </format>
    <format dxfId="522">
      <pivotArea dataOnly="0" labelOnly="1" outline="0" fieldPosition="0">
        <references count="1">
          <reference field="1" count="1">
            <x v="492"/>
          </reference>
        </references>
      </pivotArea>
    </format>
    <format dxfId="521">
      <pivotArea dataOnly="0" labelOnly="1" outline="0" fieldPosition="0">
        <references count="1">
          <reference field="1" count="1">
            <x v="493"/>
          </reference>
        </references>
      </pivotArea>
    </format>
    <format dxfId="520">
      <pivotArea dataOnly="0" labelOnly="1" outline="0" fieldPosition="0">
        <references count="1">
          <reference field="1" count="1">
            <x v="494"/>
          </reference>
        </references>
      </pivotArea>
    </format>
    <format dxfId="519">
      <pivotArea dataOnly="0" labelOnly="1" outline="0" fieldPosition="0">
        <references count="1">
          <reference field="1" count="1">
            <x v="495"/>
          </reference>
        </references>
      </pivotArea>
    </format>
    <format dxfId="518">
      <pivotArea dataOnly="0" labelOnly="1" outline="0" fieldPosition="0">
        <references count="1">
          <reference field="1" count="1">
            <x v="496"/>
          </reference>
        </references>
      </pivotArea>
    </format>
    <format dxfId="517">
      <pivotArea dataOnly="0" labelOnly="1" outline="0" fieldPosition="0">
        <references count="1">
          <reference field="1" count="1">
            <x v="497"/>
          </reference>
        </references>
      </pivotArea>
    </format>
    <format dxfId="516">
      <pivotArea dataOnly="0" labelOnly="1" outline="0" fieldPosition="0">
        <references count="1">
          <reference field="1" count="1">
            <x v="498"/>
          </reference>
        </references>
      </pivotArea>
    </format>
    <format dxfId="515">
      <pivotArea dataOnly="0" labelOnly="1" outline="0" fieldPosition="0">
        <references count="1">
          <reference field="1" count="1">
            <x v="499"/>
          </reference>
        </references>
      </pivotArea>
    </format>
    <format dxfId="514">
      <pivotArea dataOnly="0" labelOnly="1" outline="0" fieldPosition="0">
        <references count="1">
          <reference field="1" count="1">
            <x v="500"/>
          </reference>
        </references>
      </pivotArea>
    </format>
    <format dxfId="513">
      <pivotArea dataOnly="0" labelOnly="1" outline="0" fieldPosition="0">
        <references count="1">
          <reference field="1" count="1">
            <x v="501"/>
          </reference>
        </references>
      </pivotArea>
    </format>
    <format dxfId="512">
      <pivotArea dataOnly="0" labelOnly="1" outline="0" fieldPosition="0">
        <references count="1">
          <reference field="1" count="1">
            <x v="502"/>
          </reference>
        </references>
      </pivotArea>
    </format>
    <format dxfId="511">
      <pivotArea dataOnly="0" labelOnly="1" outline="0" fieldPosition="0">
        <references count="1">
          <reference field="1" count="1">
            <x v="503"/>
          </reference>
        </references>
      </pivotArea>
    </format>
    <format dxfId="510">
      <pivotArea dataOnly="0" labelOnly="1" outline="0" fieldPosition="0">
        <references count="1">
          <reference field="1" count="1">
            <x v="504"/>
          </reference>
        </references>
      </pivotArea>
    </format>
    <format dxfId="509">
      <pivotArea dataOnly="0" labelOnly="1" outline="0" fieldPosition="0">
        <references count="1">
          <reference field="1" count="1">
            <x v="505"/>
          </reference>
        </references>
      </pivotArea>
    </format>
    <format dxfId="508">
      <pivotArea dataOnly="0" labelOnly="1" outline="0" fieldPosition="0">
        <references count="1">
          <reference field="1" count="1">
            <x v="506"/>
          </reference>
        </references>
      </pivotArea>
    </format>
    <format dxfId="507">
      <pivotArea dataOnly="0" labelOnly="1" outline="0" fieldPosition="0">
        <references count="1">
          <reference field="1" count="1">
            <x v="507"/>
          </reference>
        </references>
      </pivotArea>
    </format>
    <format dxfId="506">
      <pivotArea dataOnly="0" labelOnly="1" outline="0" fieldPosition="0">
        <references count="1">
          <reference field="1" count="1">
            <x v="508"/>
          </reference>
        </references>
      </pivotArea>
    </format>
    <format dxfId="505">
      <pivotArea dataOnly="0" labelOnly="1" outline="0" fieldPosition="0">
        <references count="1">
          <reference field="1" count="1">
            <x v="509"/>
          </reference>
        </references>
      </pivotArea>
    </format>
    <format dxfId="504">
      <pivotArea dataOnly="0" labelOnly="1" outline="0" fieldPosition="0">
        <references count="1">
          <reference field="1" count="1">
            <x v="510"/>
          </reference>
        </references>
      </pivotArea>
    </format>
    <format dxfId="503">
      <pivotArea dataOnly="0" labelOnly="1" outline="0" fieldPosition="0">
        <references count="1">
          <reference field="1" count="1">
            <x v="511"/>
          </reference>
        </references>
      </pivotArea>
    </format>
    <format dxfId="502">
      <pivotArea dataOnly="0" labelOnly="1" outline="0" fieldPosition="0">
        <references count="1">
          <reference field="1" count="1">
            <x v="512"/>
          </reference>
        </references>
      </pivotArea>
    </format>
    <format dxfId="501">
      <pivotArea dataOnly="0" labelOnly="1" outline="0" fieldPosition="0">
        <references count="1">
          <reference field="1" count="1">
            <x v="513"/>
          </reference>
        </references>
      </pivotArea>
    </format>
    <format dxfId="500">
      <pivotArea dataOnly="0" labelOnly="1" outline="0" fieldPosition="0">
        <references count="1">
          <reference field="1" count="1">
            <x v="514"/>
          </reference>
        </references>
      </pivotArea>
    </format>
    <format dxfId="499">
      <pivotArea dataOnly="0" labelOnly="1" outline="0" fieldPosition="0">
        <references count="1">
          <reference field="1" count="1">
            <x v="515"/>
          </reference>
        </references>
      </pivotArea>
    </format>
    <format dxfId="498">
      <pivotArea dataOnly="0" labelOnly="1" outline="0" fieldPosition="0">
        <references count="1">
          <reference field="1" count="1">
            <x v="516"/>
          </reference>
        </references>
      </pivotArea>
    </format>
    <format dxfId="497">
      <pivotArea dataOnly="0" labelOnly="1" outline="0" fieldPosition="0">
        <references count="1">
          <reference field="1" count="1">
            <x v="517"/>
          </reference>
        </references>
      </pivotArea>
    </format>
    <format dxfId="496">
      <pivotArea dataOnly="0" labelOnly="1" outline="0" fieldPosition="0">
        <references count="1">
          <reference field="1" count="1">
            <x v="518"/>
          </reference>
        </references>
      </pivotArea>
    </format>
    <format dxfId="495">
      <pivotArea dataOnly="0" labelOnly="1" outline="0" fieldPosition="0">
        <references count="1">
          <reference field="1" count="1">
            <x v="519"/>
          </reference>
        </references>
      </pivotArea>
    </format>
    <format dxfId="494">
      <pivotArea dataOnly="0" labelOnly="1" outline="0" fieldPosition="0">
        <references count="1">
          <reference field="1" count="1">
            <x v="520"/>
          </reference>
        </references>
      </pivotArea>
    </format>
    <format dxfId="493">
      <pivotArea dataOnly="0" labelOnly="1" outline="0" fieldPosition="0">
        <references count="1">
          <reference field="1" count="1">
            <x v="521"/>
          </reference>
        </references>
      </pivotArea>
    </format>
    <format dxfId="492">
      <pivotArea dataOnly="0" labelOnly="1" outline="0" fieldPosition="0">
        <references count="1">
          <reference field="1" count="1">
            <x v="522"/>
          </reference>
        </references>
      </pivotArea>
    </format>
    <format dxfId="491">
      <pivotArea dataOnly="0" labelOnly="1" outline="0" fieldPosition="0">
        <references count="1">
          <reference field="1" count="1">
            <x v="523"/>
          </reference>
        </references>
      </pivotArea>
    </format>
    <format dxfId="490">
      <pivotArea dataOnly="0" labelOnly="1" outline="0" fieldPosition="0">
        <references count="1">
          <reference field="1" count="1">
            <x v="524"/>
          </reference>
        </references>
      </pivotArea>
    </format>
    <format dxfId="489">
      <pivotArea dataOnly="0" labelOnly="1" outline="0" fieldPosition="0">
        <references count="1">
          <reference field="1" count="1">
            <x v="525"/>
          </reference>
        </references>
      </pivotArea>
    </format>
    <format dxfId="488">
      <pivotArea dataOnly="0" labelOnly="1" outline="0" fieldPosition="0">
        <references count="1">
          <reference field="1" count="1">
            <x v="526"/>
          </reference>
        </references>
      </pivotArea>
    </format>
    <format dxfId="487">
      <pivotArea dataOnly="0" labelOnly="1" outline="0" fieldPosition="0">
        <references count="1">
          <reference field="1" count="1">
            <x v="527"/>
          </reference>
        </references>
      </pivotArea>
    </format>
    <format dxfId="486">
      <pivotArea dataOnly="0" labelOnly="1" outline="0" fieldPosition="0">
        <references count="1">
          <reference field="1" count="1">
            <x v="528"/>
          </reference>
        </references>
      </pivotArea>
    </format>
    <format dxfId="485">
      <pivotArea dataOnly="0" labelOnly="1" outline="0" fieldPosition="0">
        <references count="1">
          <reference field="1" count="1">
            <x v="529"/>
          </reference>
        </references>
      </pivotArea>
    </format>
    <format dxfId="484">
      <pivotArea dataOnly="0" labelOnly="1" outline="0" fieldPosition="0">
        <references count="1">
          <reference field="1" count="1">
            <x v="530"/>
          </reference>
        </references>
      </pivotArea>
    </format>
    <format dxfId="483">
      <pivotArea dataOnly="0" labelOnly="1" outline="0" fieldPosition="0">
        <references count="1">
          <reference field="1" count="1">
            <x v="531"/>
          </reference>
        </references>
      </pivotArea>
    </format>
    <format dxfId="482">
      <pivotArea dataOnly="0" labelOnly="1" outline="0" fieldPosition="0">
        <references count="1">
          <reference field="1" count="1">
            <x v="532"/>
          </reference>
        </references>
      </pivotArea>
    </format>
    <format dxfId="481">
      <pivotArea dataOnly="0" labelOnly="1" outline="0" fieldPosition="0">
        <references count="1">
          <reference field="1" count="1">
            <x v="533"/>
          </reference>
        </references>
      </pivotArea>
    </format>
    <format dxfId="480">
      <pivotArea dataOnly="0" labelOnly="1" outline="0" fieldPosition="0">
        <references count="1">
          <reference field="1" count="1">
            <x v="534"/>
          </reference>
        </references>
      </pivotArea>
    </format>
    <format dxfId="479">
      <pivotArea dataOnly="0" labelOnly="1" outline="0" fieldPosition="0">
        <references count="1">
          <reference field="1" count="1">
            <x v="535"/>
          </reference>
        </references>
      </pivotArea>
    </format>
    <format dxfId="478">
      <pivotArea dataOnly="0" labelOnly="1" outline="0" fieldPosition="0">
        <references count="1">
          <reference field="1" count="1">
            <x v="536"/>
          </reference>
        </references>
      </pivotArea>
    </format>
    <format dxfId="477">
      <pivotArea dataOnly="0" labelOnly="1" outline="0" fieldPosition="0">
        <references count="1">
          <reference field="1" count="1">
            <x v="537"/>
          </reference>
        </references>
      </pivotArea>
    </format>
    <format dxfId="476">
      <pivotArea dataOnly="0" labelOnly="1" outline="0" fieldPosition="0">
        <references count="1">
          <reference field="1" count="1">
            <x v="538"/>
          </reference>
        </references>
      </pivotArea>
    </format>
    <format dxfId="475">
      <pivotArea dataOnly="0" labelOnly="1" outline="0" fieldPosition="0">
        <references count="1">
          <reference field="1" count="1">
            <x v="539"/>
          </reference>
        </references>
      </pivotArea>
    </format>
    <format dxfId="474">
      <pivotArea dataOnly="0" labelOnly="1" outline="0" fieldPosition="0">
        <references count="1">
          <reference field="1" count="1">
            <x v="540"/>
          </reference>
        </references>
      </pivotArea>
    </format>
    <format dxfId="473">
      <pivotArea dataOnly="0" labelOnly="1" outline="0" fieldPosition="0">
        <references count="1">
          <reference field="1" count="1">
            <x v="541"/>
          </reference>
        </references>
      </pivotArea>
    </format>
    <format dxfId="472">
      <pivotArea dataOnly="0" labelOnly="1" outline="0" fieldPosition="0">
        <references count="1">
          <reference field="1" count="1">
            <x v="542"/>
          </reference>
        </references>
      </pivotArea>
    </format>
    <format dxfId="471">
      <pivotArea dataOnly="0" labelOnly="1" outline="0" fieldPosition="0">
        <references count="1">
          <reference field="1" count="1">
            <x v="543"/>
          </reference>
        </references>
      </pivotArea>
    </format>
    <format dxfId="470">
      <pivotArea dataOnly="0" labelOnly="1" outline="0" fieldPosition="0">
        <references count="1">
          <reference field="1" count="1">
            <x v="544"/>
          </reference>
        </references>
      </pivotArea>
    </format>
    <format dxfId="469">
      <pivotArea dataOnly="0" labelOnly="1" outline="0" fieldPosition="0">
        <references count="1">
          <reference field="1" count="1">
            <x v="545"/>
          </reference>
        </references>
      </pivotArea>
    </format>
    <format dxfId="468">
      <pivotArea dataOnly="0" labelOnly="1" outline="0" fieldPosition="0">
        <references count="1">
          <reference field="1" count="1">
            <x v="546"/>
          </reference>
        </references>
      </pivotArea>
    </format>
    <format dxfId="467">
      <pivotArea dataOnly="0" labelOnly="1" outline="0" fieldPosition="0">
        <references count="1">
          <reference field="1" count="1">
            <x v="547"/>
          </reference>
        </references>
      </pivotArea>
    </format>
    <format dxfId="466">
      <pivotArea dataOnly="0" labelOnly="1" outline="0" fieldPosition="0">
        <references count="1">
          <reference field="1" count="1">
            <x v="548"/>
          </reference>
        </references>
      </pivotArea>
    </format>
    <format dxfId="465">
      <pivotArea dataOnly="0" labelOnly="1" outline="0" fieldPosition="0">
        <references count="1">
          <reference field="1" count="1">
            <x v="549"/>
          </reference>
        </references>
      </pivotArea>
    </format>
    <format dxfId="464">
      <pivotArea dataOnly="0" labelOnly="1" outline="0" fieldPosition="0">
        <references count="1">
          <reference field="1" count="1">
            <x v="550"/>
          </reference>
        </references>
      </pivotArea>
    </format>
    <format dxfId="463">
      <pivotArea dataOnly="0" labelOnly="1" outline="0" fieldPosition="0">
        <references count="1">
          <reference field="1" count="1">
            <x v="551"/>
          </reference>
        </references>
      </pivotArea>
    </format>
    <format dxfId="462">
      <pivotArea dataOnly="0" labelOnly="1" outline="0" fieldPosition="0">
        <references count="1">
          <reference field="1" count="1">
            <x v="552"/>
          </reference>
        </references>
      </pivotArea>
    </format>
    <format dxfId="461">
      <pivotArea dataOnly="0" labelOnly="1" outline="0" fieldPosition="0">
        <references count="1">
          <reference field="1" count="1">
            <x v="553"/>
          </reference>
        </references>
      </pivotArea>
    </format>
    <format dxfId="460">
      <pivotArea dataOnly="0" labelOnly="1" outline="0" fieldPosition="0">
        <references count="1">
          <reference field="1" count="1">
            <x v="554"/>
          </reference>
        </references>
      </pivotArea>
    </format>
    <format dxfId="459">
      <pivotArea dataOnly="0" labelOnly="1" outline="0" fieldPosition="0">
        <references count="1">
          <reference field="1" count="1">
            <x v="555"/>
          </reference>
        </references>
      </pivotArea>
    </format>
    <format dxfId="458">
      <pivotArea dataOnly="0" labelOnly="1" outline="0" fieldPosition="0">
        <references count="1">
          <reference field="1" count="1">
            <x v="556"/>
          </reference>
        </references>
      </pivotArea>
    </format>
    <format dxfId="457">
      <pivotArea dataOnly="0" labelOnly="1" outline="0" fieldPosition="0">
        <references count="1">
          <reference field="1" count="1">
            <x v="557"/>
          </reference>
        </references>
      </pivotArea>
    </format>
    <format dxfId="456">
      <pivotArea dataOnly="0" labelOnly="1" outline="0" fieldPosition="0">
        <references count="1">
          <reference field="1" count="1">
            <x v="558"/>
          </reference>
        </references>
      </pivotArea>
    </format>
    <format dxfId="455">
      <pivotArea dataOnly="0" labelOnly="1" outline="0" fieldPosition="0">
        <references count="1">
          <reference field="1" count="1">
            <x v="559"/>
          </reference>
        </references>
      </pivotArea>
    </format>
    <format dxfId="454">
      <pivotArea dataOnly="0" labelOnly="1" outline="0" fieldPosition="0">
        <references count="1">
          <reference field="1" count="1">
            <x v="560"/>
          </reference>
        </references>
      </pivotArea>
    </format>
    <format dxfId="453">
      <pivotArea dataOnly="0" labelOnly="1" outline="0" fieldPosition="0">
        <references count="1">
          <reference field="1" count="1">
            <x v="561"/>
          </reference>
        </references>
      </pivotArea>
    </format>
    <format dxfId="452">
      <pivotArea dataOnly="0" labelOnly="1" outline="0" fieldPosition="0">
        <references count="1">
          <reference field="1" count="1">
            <x v="562"/>
          </reference>
        </references>
      </pivotArea>
    </format>
    <format dxfId="451">
      <pivotArea dataOnly="0" labelOnly="1" outline="0" fieldPosition="0">
        <references count="1">
          <reference field="1" count="1">
            <x v="563"/>
          </reference>
        </references>
      </pivotArea>
    </format>
    <format dxfId="450">
      <pivotArea dataOnly="0" labelOnly="1" outline="0" fieldPosition="0">
        <references count="1">
          <reference field="1" count="1">
            <x v="564"/>
          </reference>
        </references>
      </pivotArea>
    </format>
    <format dxfId="449">
      <pivotArea dataOnly="0" labelOnly="1" outline="0" fieldPosition="0">
        <references count="1">
          <reference field="1" count="1">
            <x v="565"/>
          </reference>
        </references>
      </pivotArea>
    </format>
    <format dxfId="448">
      <pivotArea dataOnly="0" labelOnly="1" outline="0" fieldPosition="0">
        <references count="1">
          <reference field="1" count="1">
            <x v="566"/>
          </reference>
        </references>
      </pivotArea>
    </format>
    <format dxfId="447">
      <pivotArea dataOnly="0" labelOnly="1" outline="0" fieldPosition="0">
        <references count="1">
          <reference field="1" count="1">
            <x v="567"/>
          </reference>
        </references>
      </pivotArea>
    </format>
    <format dxfId="446">
      <pivotArea dataOnly="0" labelOnly="1" outline="0" fieldPosition="0">
        <references count="1">
          <reference field="1" count="1">
            <x v="568"/>
          </reference>
        </references>
      </pivotArea>
    </format>
    <format dxfId="445">
      <pivotArea dataOnly="0" labelOnly="1" outline="0" fieldPosition="0">
        <references count="1">
          <reference field="1" count="1">
            <x v="569"/>
          </reference>
        </references>
      </pivotArea>
    </format>
    <format dxfId="444">
      <pivotArea dataOnly="0" labelOnly="1" outline="0" fieldPosition="0">
        <references count="1">
          <reference field="1" count="1">
            <x v="570"/>
          </reference>
        </references>
      </pivotArea>
    </format>
    <format dxfId="443">
      <pivotArea dataOnly="0" labelOnly="1" outline="0" fieldPosition="0">
        <references count="1">
          <reference field="1" count="1">
            <x v="571"/>
          </reference>
        </references>
      </pivotArea>
    </format>
    <format dxfId="442">
      <pivotArea dataOnly="0" labelOnly="1" outline="0" fieldPosition="0">
        <references count="1">
          <reference field="1" count="1">
            <x v="572"/>
          </reference>
        </references>
      </pivotArea>
    </format>
    <format dxfId="441">
      <pivotArea dataOnly="0" labelOnly="1" outline="0" fieldPosition="0">
        <references count="1">
          <reference field="1" count="1">
            <x v="573"/>
          </reference>
        </references>
      </pivotArea>
    </format>
    <format dxfId="440">
      <pivotArea dataOnly="0" labelOnly="1" outline="0" fieldPosition="0">
        <references count="1">
          <reference field="1" count="1">
            <x v="574"/>
          </reference>
        </references>
      </pivotArea>
    </format>
    <format dxfId="439">
      <pivotArea dataOnly="0" labelOnly="1" outline="0" fieldPosition="0">
        <references count="1">
          <reference field="1" count="1">
            <x v="575"/>
          </reference>
        </references>
      </pivotArea>
    </format>
    <format dxfId="438">
      <pivotArea dataOnly="0" labelOnly="1" outline="0" fieldPosition="0">
        <references count="1">
          <reference field="1" count="1">
            <x v="576"/>
          </reference>
        </references>
      </pivotArea>
    </format>
    <format dxfId="437">
      <pivotArea dataOnly="0" labelOnly="1" outline="0" fieldPosition="0">
        <references count="1">
          <reference field="1" count="1">
            <x v="577"/>
          </reference>
        </references>
      </pivotArea>
    </format>
    <format dxfId="436">
      <pivotArea dataOnly="0" labelOnly="1" outline="0" fieldPosition="0">
        <references count="1">
          <reference field="1" count="1">
            <x v="578"/>
          </reference>
        </references>
      </pivotArea>
    </format>
    <format dxfId="435">
      <pivotArea dataOnly="0" labelOnly="1" outline="0" fieldPosition="0">
        <references count="1">
          <reference field="1" count="1">
            <x v="579"/>
          </reference>
        </references>
      </pivotArea>
    </format>
    <format dxfId="434">
      <pivotArea dataOnly="0" labelOnly="1" outline="0" fieldPosition="0">
        <references count="1">
          <reference field="1" count="1">
            <x v="580"/>
          </reference>
        </references>
      </pivotArea>
    </format>
    <format dxfId="433">
      <pivotArea dataOnly="0" labelOnly="1" outline="0" fieldPosition="0">
        <references count="1">
          <reference field="1" count="1">
            <x v="581"/>
          </reference>
        </references>
      </pivotArea>
    </format>
    <format dxfId="432">
      <pivotArea dataOnly="0" labelOnly="1" outline="0" fieldPosition="0">
        <references count="1">
          <reference field="1" count="1">
            <x v="582"/>
          </reference>
        </references>
      </pivotArea>
    </format>
    <format dxfId="431">
      <pivotArea dataOnly="0" labelOnly="1" outline="0" fieldPosition="0">
        <references count="1">
          <reference field="1" count="1">
            <x v="583"/>
          </reference>
        </references>
      </pivotArea>
    </format>
    <format dxfId="430">
      <pivotArea dataOnly="0" labelOnly="1" outline="0" fieldPosition="0">
        <references count="1">
          <reference field="1" count="1">
            <x v="584"/>
          </reference>
        </references>
      </pivotArea>
    </format>
    <format dxfId="429">
      <pivotArea dataOnly="0" labelOnly="1" outline="0" fieldPosition="0">
        <references count="1">
          <reference field="1" count="1">
            <x v="585"/>
          </reference>
        </references>
      </pivotArea>
    </format>
    <format dxfId="428">
      <pivotArea dataOnly="0" labelOnly="1" outline="0" fieldPosition="0">
        <references count="1">
          <reference field="1" count="1">
            <x v="586"/>
          </reference>
        </references>
      </pivotArea>
    </format>
    <format dxfId="427">
      <pivotArea dataOnly="0" labelOnly="1" outline="0" fieldPosition="0">
        <references count="1">
          <reference field="1" count="1">
            <x v="587"/>
          </reference>
        </references>
      </pivotArea>
    </format>
    <format dxfId="426">
      <pivotArea dataOnly="0" labelOnly="1" outline="0" fieldPosition="0">
        <references count="1">
          <reference field="1" count="1">
            <x v="588"/>
          </reference>
        </references>
      </pivotArea>
    </format>
    <format dxfId="425">
      <pivotArea dataOnly="0" labelOnly="1" outline="0" fieldPosition="0">
        <references count="1">
          <reference field="1" count="1">
            <x v="589"/>
          </reference>
        </references>
      </pivotArea>
    </format>
    <format dxfId="424">
      <pivotArea dataOnly="0" labelOnly="1" outline="0" fieldPosition="0">
        <references count="1">
          <reference field="1" count="1">
            <x v="590"/>
          </reference>
        </references>
      </pivotArea>
    </format>
    <format dxfId="423">
      <pivotArea dataOnly="0" labelOnly="1" outline="0" fieldPosition="0">
        <references count="1">
          <reference field="1" count="1">
            <x v="591"/>
          </reference>
        </references>
      </pivotArea>
    </format>
    <format dxfId="422">
      <pivotArea dataOnly="0" labelOnly="1" outline="0" fieldPosition="0">
        <references count="1">
          <reference field="1" count="1">
            <x v="592"/>
          </reference>
        </references>
      </pivotArea>
    </format>
    <format dxfId="421">
      <pivotArea dataOnly="0" labelOnly="1" outline="0" fieldPosition="0">
        <references count="1">
          <reference field="1" count="1">
            <x v="593"/>
          </reference>
        </references>
      </pivotArea>
    </format>
    <format dxfId="420">
      <pivotArea dataOnly="0" labelOnly="1" outline="0" fieldPosition="0">
        <references count="1">
          <reference field="1" count="1">
            <x v="594"/>
          </reference>
        </references>
      </pivotArea>
    </format>
    <format dxfId="419">
      <pivotArea dataOnly="0" labelOnly="1" outline="0" fieldPosition="0">
        <references count="1">
          <reference field="1" count="1">
            <x v="595"/>
          </reference>
        </references>
      </pivotArea>
    </format>
    <format dxfId="418">
      <pivotArea dataOnly="0" labelOnly="1" outline="0" fieldPosition="0">
        <references count="1">
          <reference field="1" count="1">
            <x v="596"/>
          </reference>
        </references>
      </pivotArea>
    </format>
    <format dxfId="417">
      <pivotArea dataOnly="0" labelOnly="1" outline="0" fieldPosition="0">
        <references count="1">
          <reference field="1" count="1">
            <x v="597"/>
          </reference>
        </references>
      </pivotArea>
    </format>
    <format dxfId="416">
      <pivotArea dataOnly="0" labelOnly="1" outline="0" fieldPosition="0">
        <references count="1">
          <reference field="1" count="1">
            <x v="598"/>
          </reference>
        </references>
      </pivotArea>
    </format>
    <format dxfId="415">
      <pivotArea dataOnly="0" labelOnly="1" outline="0" fieldPosition="0">
        <references count="1">
          <reference field="1" count="1">
            <x v="599"/>
          </reference>
        </references>
      </pivotArea>
    </format>
    <format dxfId="414">
      <pivotArea dataOnly="0" labelOnly="1" outline="0" fieldPosition="0">
        <references count="1">
          <reference field="1" count="1">
            <x v="600"/>
          </reference>
        </references>
      </pivotArea>
    </format>
    <format dxfId="413">
      <pivotArea dataOnly="0" labelOnly="1" outline="0" fieldPosition="0">
        <references count="1">
          <reference field="1" count="1">
            <x v="601"/>
          </reference>
        </references>
      </pivotArea>
    </format>
    <format dxfId="412">
      <pivotArea dataOnly="0" labelOnly="1" outline="0" fieldPosition="0">
        <references count="1">
          <reference field="1" count="1">
            <x v="602"/>
          </reference>
        </references>
      </pivotArea>
    </format>
    <format dxfId="411">
      <pivotArea dataOnly="0" labelOnly="1" outline="0" fieldPosition="0">
        <references count="1">
          <reference field="1" count="1">
            <x v="603"/>
          </reference>
        </references>
      </pivotArea>
    </format>
    <format dxfId="410">
      <pivotArea dataOnly="0" labelOnly="1" outline="0" fieldPosition="0">
        <references count="1">
          <reference field="1" count="1">
            <x v="604"/>
          </reference>
        </references>
      </pivotArea>
    </format>
    <format dxfId="409">
      <pivotArea dataOnly="0" labelOnly="1" outline="0" fieldPosition="0">
        <references count="1">
          <reference field="1" count="1">
            <x v="605"/>
          </reference>
        </references>
      </pivotArea>
    </format>
    <format dxfId="408">
      <pivotArea dataOnly="0" labelOnly="1" outline="0" fieldPosition="0">
        <references count="1">
          <reference field="1" count="1">
            <x v="606"/>
          </reference>
        </references>
      </pivotArea>
    </format>
    <format dxfId="407">
      <pivotArea dataOnly="0" labelOnly="1" outline="0" fieldPosition="0">
        <references count="1">
          <reference field="1" count="1">
            <x v="607"/>
          </reference>
        </references>
      </pivotArea>
    </format>
    <format dxfId="406">
      <pivotArea dataOnly="0" labelOnly="1" outline="0" fieldPosition="0">
        <references count="1">
          <reference field="1" count="1">
            <x v="608"/>
          </reference>
        </references>
      </pivotArea>
    </format>
    <format dxfId="405">
      <pivotArea dataOnly="0" labelOnly="1" outline="0" fieldPosition="0">
        <references count="1">
          <reference field="1" count="1">
            <x v="609"/>
          </reference>
        </references>
      </pivotArea>
    </format>
    <format dxfId="404">
      <pivotArea dataOnly="0" labelOnly="1" outline="0" fieldPosition="0">
        <references count="1">
          <reference field="1" count="1">
            <x v="610"/>
          </reference>
        </references>
      </pivotArea>
    </format>
    <format dxfId="403">
      <pivotArea dataOnly="0" labelOnly="1" outline="0" fieldPosition="0">
        <references count="1">
          <reference field="1" count="1">
            <x v="611"/>
          </reference>
        </references>
      </pivotArea>
    </format>
    <format dxfId="402">
      <pivotArea dataOnly="0" labelOnly="1" outline="0" fieldPosition="0">
        <references count="1">
          <reference field="1" count="1">
            <x v="612"/>
          </reference>
        </references>
      </pivotArea>
    </format>
    <format dxfId="401">
      <pivotArea dataOnly="0" labelOnly="1" outline="0" fieldPosition="0">
        <references count="1">
          <reference field="1" count="1">
            <x v="613"/>
          </reference>
        </references>
      </pivotArea>
    </format>
    <format dxfId="400">
      <pivotArea dataOnly="0" labelOnly="1" outline="0" fieldPosition="0">
        <references count="1">
          <reference field="1" count="1">
            <x v="614"/>
          </reference>
        </references>
      </pivotArea>
    </format>
    <format dxfId="399">
      <pivotArea dataOnly="0" labelOnly="1" outline="0" fieldPosition="0">
        <references count="1">
          <reference field="1" count="1">
            <x v="615"/>
          </reference>
        </references>
      </pivotArea>
    </format>
    <format dxfId="398">
      <pivotArea dataOnly="0" labelOnly="1" outline="0" fieldPosition="0">
        <references count="1">
          <reference field="1" count="1">
            <x v="616"/>
          </reference>
        </references>
      </pivotArea>
    </format>
    <format dxfId="397">
      <pivotArea dataOnly="0" labelOnly="1" outline="0" fieldPosition="0">
        <references count="1">
          <reference field="1" count="1">
            <x v="617"/>
          </reference>
        </references>
      </pivotArea>
    </format>
    <format dxfId="396">
      <pivotArea dataOnly="0" labelOnly="1" outline="0" fieldPosition="0">
        <references count="1">
          <reference field="1" count="1">
            <x v="618"/>
          </reference>
        </references>
      </pivotArea>
    </format>
    <format dxfId="395">
      <pivotArea dataOnly="0" labelOnly="1" outline="0" fieldPosition="0">
        <references count="1">
          <reference field="1" count="1">
            <x v="619"/>
          </reference>
        </references>
      </pivotArea>
    </format>
    <format dxfId="394">
      <pivotArea dataOnly="0" labelOnly="1" outline="0" fieldPosition="0">
        <references count="1">
          <reference field="1" count="1">
            <x v="620"/>
          </reference>
        </references>
      </pivotArea>
    </format>
    <format dxfId="393">
      <pivotArea dataOnly="0" labelOnly="1" outline="0" fieldPosition="0">
        <references count="1">
          <reference field="1" count="1">
            <x v="621"/>
          </reference>
        </references>
      </pivotArea>
    </format>
    <format dxfId="392">
      <pivotArea dataOnly="0" labelOnly="1" outline="0" fieldPosition="0">
        <references count="1">
          <reference field="1" count="1">
            <x v="622"/>
          </reference>
        </references>
      </pivotArea>
    </format>
    <format dxfId="391">
      <pivotArea dataOnly="0" labelOnly="1" outline="0" fieldPosition="0">
        <references count="1">
          <reference field="1" count="1">
            <x v="623"/>
          </reference>
        </references>
      </pivotArea>
    </format>
    <format dxfId="390">
      <pivotArea dataOnly="0" labelOnly="1" outline="0" fieldPosition="0">
        <references count="1">
          <reference field="1" count="1">
            <x v="624"/>
          </reference>
        </references>
      </pivotArea>
    </format>
    <format dxfId="389">
      <pivotArea dataOnly="0" labelOnly="1" outline="0" fieldPosition="0">
        <references count="1">
          <reference field="1" count="1">
            <x v="625"/>
          </reference>
        </references>
      </pivotArea>
    </format>
    <format dxfId="388">
      <pivotArea dataOnly="0" labelOnly="1" outline="0" fieldPosition="0">
        <references count="1">
          <reference field="1" count="1">
            <x v="626"/>
          </reference>
        </references>
      </pivotArea>
    </format>
    <format dxfId="387">
      <pivotArea dataOnly="0" labelOnly="1" outline="0" fieldPosition="0">
        <references count="1">
          <reference field="1" count="1">
            <x v="627"/>
          </reference>
        </references>
      </pivotArea>
    </format>
    <format dxfId="386">
      <pivotArea dataOnly="0" labelOnly="1" outline="0" fieldPosition="0">
        <references count="1">
          <reference field="1" count="1">
            <x v="628"/>
          </reference>
        </references>
      </pivotArea>
    </format>
    <format dxfId="385">
      <pivotArea dataOnly="0" labelOnly="1" outline="0" fieldPosition="0">
        <references count="1">
          <reference field="1" count="1">
            <x v="629"/>
          </reference>
        </references>
      </pivotArea>
    </format>
    <format dxfId="384">
      <pivotArea dataOnly="0" labelOnly="1" outline="0" fieldPosition="0">
        <references count="1">
          <reference field="1" count="1">
            <x v="630"/>
          </reference>
        </references>
      </pivotArea>
    </format>
    <format dxfId="383">
      <pivotArea dataOnly="0" labelOnly="1" outline="0" fieldPosition="0">
        <references count="1">
          <reference field="1" count="1">
            <x v="631"/>
          </reference>
        </references>
      </pivotArea>
    </format>
    <format dxfId="382">
      <pivotArea dataOnly="0" labelOnly="1" outline="0" fieldPosition="0">
        <references count="1">
          <reference field="1" count="1">
            <x v="632"/>
          </reference>
        </references>
      </pivotArea>
    </format>
    <format dxfId="381">
      <pivotArea dataOnly="0" labelOnly="1" outline="0" fieldPosition="0">
        <references count="1">
          <reference field="1" count="1">
            <x v="633"/>
          </reference>
        </references>
      </pivotArea>
    </format>
    <format dxfId="380">
      <pivotArea dataOnly="0" labelOnly="1" outline="0" fieldPosition="0">
        <references count="1">
          <reference field="1" count="1">
            <x v="634"/>
          </reference>
        </references>
      </pivotArea>
    </format>
    <format dxfId="379">
      <pivotArea dataOnly="0" labelOnly="1" outline="0" fieldPosition="0">
        <references count="1">
          <reference field="1" count="1">
            <x v="635"/>
          </reference>
        </references>
      </pivotArea>
    </format>
    <format dxfId="378">
      <pivotArea dataOnly="0" labelOnly="1" outline="0" fieldPosition="0">
        <references count="1">
          <reference field="1" count="1">
            <x v="636"/>
          </reference>
        </references>
      </pivotArea>
    </format>
    <format dxfId="377">
      <pivotArea dataOnly="0" labelOnly="1" outline="0" fieldPosition="0">
        <references count="1">
          <reference field="1" count="1">
            <x v="637"/>
          </reference>
        </references>
      </pivotArea>
    </format>
    <format dxfId="376">
      <pivotArea dataOnly="0" labelOnly="1" outline="0" fieldPosition="0">
        <references count="1">
          <reference field="1" count="1">
            <x v="638"/>
          </reference>
        </references>
      </pivotArea>
    </format>
    <format dxfId="375">
      <pivotArea dataOnly="0" labelOnly="1" outline="0" fieldPosition="0">
        <references count="1">
          <reference field="1" count="1">
            <x v="639"/>
          </reference>
        </references>
      </pivotArea>
    </format>
    <format dxfId="374">
      <pivotArea dataOnly="0" labelOnly="1" outline="0" fieldPosition="0">
        <references count="1">
          <reference field="1" count="1">
            <x v="640"/>
          </reference>
        </references>
      </pivotArea>
    </format>
    <format dxfId="373">
      <pivotArea dataOnly="0" labelOnly="1" outline="0" fieldPosition="0">
        <references count="1">
          <reference field="1" count="1">
            <x v="641"/>
          </reference>
        </references>
      </pivotArea>
    </format>
    <format dxfId="372">
      <pivotArea dataOnly="0" labelOnly="1" outline="0" fieldPosition="0">
        <references count="1">
          <reference field="1" count="1">
            <x v="642"/>
          </reference>
        </references>
      </pivotArea>
    </format>
    <format dxfId="371">
      <pivotArea dataOnly="0" labelOnly="1" outline="0" fieldPosition="0">
        <references count="1">
          <reference field="1" count="1">
            <x v="643"/>
          </reference>
        </references>
      </pivotArea>
    </format>
    <format dxfId="370">
      <pivotArea dataOnly="0" labelOnly="1" outline="0" fieldPosition="0">
        <references count="1">
          <reference field="1" count="1">
            <x v="644"/>
          </reference>
        </references>
      </pivotArea>
    </format>
    <format dxfId="369">
      <pivotArea dataOnly="0" labelOnly="1" outline="0" fieldPosition="0">
        <references count="1">
          <reference field="1" count="1">
            <x v="645"/>
          </reference>
        </references>
      </pivotArea>
    </format>
    <format dxfId="368">
      <pivotArea dataOnly="0" labelOnly="1" outline="0" fieldPosition="0">
        <references count="1">
          <reference field="1" count="1">
            <x v="646"/>
          </reference>
        </references>
      </pivotArea>
    </format>
    <format dxfId="367">
      <pivotArea dataOnly="0" labelOnly="1" outline="0" fieldPosition="0">
        <references count="1">
          <reference field="1" count="1">
            <x v="647"/>
          </reference>
        </references>
      </pivotArea>
    </format>
    <format dxfId="366">
      <pivotArea dataOnly="0" labelOnly="1" outline="0" fieldPosition="0">
        <references count="1">
          <reference field="1" count="1">
            <x v="648"/>
          </reference>
        </references>
      </pivotArea>
    </format>
    <format dxfId="365">
      <pivotArea dataOnly="0" labelOnly="1" outline="0" fieldPosition="0">
        <references count="1">
          <reference field="1" count="1">
            <x v="649"/>
          </reference>
        </references>
      </pivotArea>
    </format>
    <format dxfId="364">
      <pivotArea dataOnly="0" labelOnly="1" outline="0" fieldPosition="0">
        <references count="1">
          <reference field="1" count="1">
            <x v="650"/>
          </reference>
        </references>
      </pivotArea>
    </format>
    <format dxfId="363">
      <pivotArea dataOnly="0" labelOnly="1" outline="0" fieldPosition="0">
        <references count="1">
          <reference field="1" count="1">
            <x v="651"/>
          </reference>
        </references>
      </pivotArea>
    </format>
    <format dxfId="362">
      <pivotArea dataOnly="0" labelOnly="1" outline="0" fieldPosition="0">
        <references count="1">
          <reference field="1" count="1">
            <x v="652"/>
          </reference>
        </references>
      </pivotArea>
    </format>
    <format dxfId="361">
      <pivotArea dataOnly="0" labelOnly="1" outline="0" fieldPosition="0">
        <references count="1">
          <reference field="1" count="1">
            <x v="653"/>
          </reference>
        </references>
      </pivotArea>
    </format>
    <format dxfId="360">
      <pivotArea dataOnly="0" labelOnly="1" outline="0" fieldPosition="0">
        <references count="1">
          <reference field="1" count="1">
            <x v="654"/>
          </reference>
        </references>
      </pivotArea>
    </format>
    <format dxfId="359">
      <pivotArea dataOnly="0" labelOnly="1" outline="0" fieldPosition="0">
        <references count="1">
          <reference field="1" count="1">
            <x v="655"/>
          </reference>
        </references>
      </pivotArea>
    </format>
    <format dxfId="358">
      <pivotArea dataOnly="0" labelOnly="1" outline="0" fieldPosition="0">
        <references count="1">
          <reference field="1" count="1">
            <x v="656"/>
          </reference>
        </references>
      </pivotArea>
    </format>
    <format dxfId="357">
      <pivotArea dataOnly="0" labelOnly="1" outline="0" fieldPosition="0">
        <references count="1">
          <reference field="1" count="1">
            <x v="657"/>
          </reference>
        </references>
      </pivotArea>
    </format>
    <format dxfId="356">
      <pivotArea dataOnly="0" labelOnly="1" outline="0" fieldPosition="0">
        <references count="1">
          <reference field="1" count="1">
            <x v="658"/>
          </reference>
        </references>
      </pivotArea>
    </format>
    <format dxfId="355">
      <pivotArea dataOnly="0" labelOnly="1" outline="0" fieldPosition="0">
        <references count="1">
          <reference field="1" count="1">
            <x v="659"/>
          </reference>
        </references>
      </pivotArea>
    </format>
    <format dxfId="354">
      <pivotArea dataOnly="0" labelOnly="1" outline="0" fieldPosition="0">
        <references count="1">
          <reference field="1" count="1">
            <x v="660"/>
          </reference>
        </references>
      </pivotArea>
    </format>
    <format dxfId="353">
      <pivotArea dataOnly="0" labelOnly="1" outline="0" fieldPosition="0">
        <references count="1">
          <reference field="1" count="1">
            <x v="661"/>
          </reference>
        </references>
      </pivotArea>
    </format>
    <format dxfId="352">
      <pivotArea dataOnly="0" labelOnly="1" outline="0" fieldPosition="0">
        <references count="1">
          <reference field="1" count="1">
            <x v="662"/>
          </reference>
        </references>
      </pivotArea>
    </format>
    <format dxfId="351">
      <pivotArea dataOnly="0" labelOnly="1" outline="0" fieldPosition="0">
        <references count="1">
          <reference field="1" count="1">
            <x v="663"/>
          </reference>
        </references>
      </pivotArea>
    </format>
    <format dxfId="350">
      <pivotArea dataOnly="0" labelOnly="1" outline="0" fieldPosition="0">
        <references count="1">
          <reference field="1" count="1">
            <x v="664"/>
          </reference>
        </references>
      </pivotArea>
    </format>
    <format dxfId="349">
      <pivotArea dataOnly="0" labelOnly="1" outline="0" fieldPosition="0">
        <references count="1">
          <reference field="1" count="1">
            <x v="665"/>
          </reference>
        </references>
      </pivotArea>
    </format>
    <format dxfId="348">
      <pivotArea dataOnly="0" labelOnly="1" outline="0" fieldPosition="0">
        <references count="1">
          <reference field="1" count="1">
            <x v="666"/>
          </reference>
        </references>
      </pivotArea>
    </format>
    <format dxfId="347">
      <pivotArea dataOnly="0" labelOnly="1" outline="0" fieldPosition="0">
        <references count="1">
          <reference field="1" count="1">
            <x v="667"/>
          </reference>
        </references>
      </pivotArea>
    </format>
    <format dxfId="346">
      <pivotArea dataOnly="0" labelOnly="1" outline="0" fieldPosition="0">
        <references count="1">
          <reference field="1" count="1">
            <x v="668"/>
          </reference>
        </references>
      </pivotArea>
    </format>
    <format dxfId="345">
      <pivotArea dataOnly="0" labelOnly="1" outline="0" fieldPosition="0">
        <references count="1">
          <reference field="1" count="1">
            <x v="669"/>
          </reference>
        </references>
      </pivotArea>
    </format>
    <format dxfId="344">
      <pivotArea dataOnly="0" labelOnly="1" outline="0" fieldPosition="0">
        <references count="1">
          <reference field="1" count="1">
            <x v="670"/>
          </reference>
        </references>
      </pivotArea>
    </format>
    <format dxfId="343">
      <pivotArea dataOnly="0" labelOnly="1" outline="0" fieldPosition="0">
        <references count="1">
          <reference field="1" count="1">
            <x v="671"/>
          </reference>
        </references>
      </pivotArea>
    </format>
    <format dxfId="342">
      <pivotArea dataOnly="0" labelOnly="1" outline="0" fieldPosition="0">
        <references count="1">
          <reference field="1" count="1">
            <x v="672"/>
          </reference>
        </references>
      </pivotArea>
    </format>
    <format dxfId="341">
      <pivotArea dataOnly="0" labelOnly="1" outline="0" fieldPosition="0">
        <references count="1">
          <reference field="1" count="1">
            <x v="673"/>
          </reference>
        </references>
      </pivotArea>
    </format>
    <format dxfId="340">
      <pivotArea dataOnly="0" labelOnly="1" outline="0" fieldPosition="0">
        <references count="1">
          <reference field="1" count="1">
            <x v="674"/>
          </reference>
        </references>
      </pivotArea>
    </format>
    <format dxfId="339">
      <pivotArea dataOnly="0" labelOnly="1" outline="0" fieldPosition="0">
        <references count="1">
          <reference field="1" count="1">
            <x v="675"/>
          </reference>
        </references>
      </pivotArea>
    </format>
    <format dxfId="338">
      <pivotArea dataOnly="0" labelOnly="1" outline="0" fieldPosition="0">
        <references count="1">
          <reference field="1" count="1">
            <x v="676"/>
          </reference>
        </references>
      </pivotArea>
    </format>
    <format dxfId="337">
      <pivotArea dataOnly="0" labelOnly="1" outline="0" fieldPosition="0">
        <references count="1">
          <reference field="1" count="1">
            <x v="677"/>
          </reference>
        </references>
      </pivotArea>
    </format>
    <format dxfId="336">
      <pivotArea dataOnly="0" labelOnly="1" outline="0" fieldPosition="0">
        <references count="1">
          <reference field="1" count="1">
            <x v="678"/>
          </reference>
        </references>
      </pivotArea>
    </format>
    <format dxfId="335">
      <pivotArea dataOnly="0" labelOnly="1" outline="0" fieldPosition="0">
        <references count="1">
          <reference field="1" count="1">
            <x v="679"/>
          </reference>
        </references>
      </pivotArea>
    </format>
    <format dxfId="334">
      <pivotArea dataOnly="0" labelOnly="1" outline="0" fieldPosition="0">
        <references count="1">
          <reference field="1" count="1">
            <x v="680"/>
          </reference>
        </references>
      </pivotArea>
    </format>
    <format dxfId="333">
      <pivotArea dataOnly="0" labelOnly="1" outline="0" fieldPosition="0">
        <references count="1">
          <reference field="1" count="1">
            <x v="681"/>
          </reference>
        </references>
      </pivotArea>
    </format>
    <format dxfId="332">
      <pivotArea dataOnly="0" labelOnly="1" outline="0" fieldPosition="0">
        <references count="1">
          <reference field="1" count="1">
            <x v="682"/>
          </reference>
        </references>
      </pivotArea>
    </format>
    <format dxfId="331">
      <pivotArea dataOnly="0" labelOnly="1" outline="0" fieldPosition="0">
        <references count="1">
          <reference field="1" count="1">
            <x v="683"/>
          </reference>
        </references>
      </pivotArea>
    </format>
    <format dxfId="330">
      <pivotArea dataOnly="0" labelOnly="1" outline="0" fieldPosition="0">
        <references count="1">
          <reference field="1" count="1">
            <x v="684"/>
          </reference>
        </references>
      </pivotArea>
    </format>
    <format dxfId="329">
      <pivotArea dataOnly="0" labelOnly="1" outline="0" fieldPosition="0">
        <references count="1">
          <reference field="1" count="1">
            <x v="685"/>
          </reference>
        </references>
      </pivotArea>
    </format>
    <format dxfId="328">
      <pivotArea dataOnly="0" labelOnly="1" outline="0" fieldPosition="0">
        <references count="1">
          <reference field="1" count="1">
            <x v="686"/>
          </reference>
        </references>
      </pivotArea>
    </format>
    <format dxfId="327">
      <pivotArea dataOnly="0" labelOnly="1" outline="0" fieldPosition="0">
        <references count="1">
          <reference field="1" count="1">
            <x v="687"/>
          </reference>
        </references>
      </pivotArea>
    </format>
    <format dxfId="326">
      <pivotArea dataOnly="0" labelOnly="1" outline="0" fieldPosition="0">
        <references count="1">
          <reference field="1" count="1">
            <x v="688"/>
          </reference>
        </references>
      </pivotArea>
    </format>
    <format dxfId="325">
      <pivotArea dataOnly="0" labelOnly="1" outline="0" fieldPosition="0">
        <references count="1">
          <reference field="1" count="1">
            <x v="689"/>
          </reference>
        </references>
      </pivotArea>
    </format>
    <format dxfId="324">
      <pivotArea dataOnly="0" labelOnly="1" outline="0" fieldPosition="0">
        <references count="1">
          <reference field="1" count="1">
            <x v="690"/>
          </reference>
        </references>
      </pivotArea>
    </format>
    <format dxfId="323">
      <pivotArea dataOnly="0" labelOnly="1" outline="0" fieldPosition="0">
        <references count="1">
          <reference field="1" count="1">
            <x v="691"/>
          </reference>
        </references>
      </pivotArea>
    </format>
    <format dxfId="322">
      <pivotArea dataOnly="0" labelOnly="1" outline="0" fieldPosition="0">
        <references count="1">
          <reference field="1" count="1">
            <x v="692"/>
          </reference>
        </references>
      </pivotArea>
    </format>
    <format dxfId="321">
      <pivotArea dataOnly="0" labelOnly="1" outline="0" fieldPosition="0">
        <references count="1">
          <reference field="1" count="1">
            <x v="693"/>
          </reference>
        </references>
      </pivotArea>
    </format>
    <format dxfId="320">
      <pivotArea dataOnly="0" labelOnly="1" outline="0" fieldPosition="0">
        <references count="1">
          <reference field="1" count="1">
            <x v="694"/>
          </reference>
        </references>
      </pivotArea>
    </format>
    <format dxfId="319">
      <pivotArea dataOnly="0" labelOnly="1" outline="0" fieldPosition="0">
        <references count="1">
          <reference field="1" count="1">
            <x v="695"/>
          </reference>
        </references>
      </pivotArea>
    </format>
    <format dxfId="318">
      <pivotArea dataOnly="0" labelOnly="1" outline="0" fieldPosition="0">
        <references count="1">
          <reference field="1" count="1">
            <x v="696"/>
          </reference>
        </references>
      </pivotArea>
    </format>
    <format dxfId="317">
      <pivotArea dataOnly="0" labelOnly="1" outline="0" fieldPosition="0">
        <references count="1">
          <reference field="1" count="1">
            <x v="697"/>
          </reference>
        </references>
      </pivotArea>
    </format>
    <format dxfId="316">
      <pivotArea dataOnly="0" labelOnly="1" outline="0" fieldPosition="0">
        <references count="1">
          <reference field="1" count="1">
            <x v="698"/>
          </reference>
        </references>
      </pivotArea>
    </format>
    <format dxfId="315">
      <pivotArea dataOnly="0" labelOnly="1" outline="0" fieldPosition="0">
        <references count="1">
          <reference field="1" count="1">
            <x v="699"/>
          </reference>
        </references>
      </pivotArea>
    </format>
    <format dxfId="314">
      <pivotArea dataOnly="0" labelOnly="1" outline="0" fieldPosition="0">
        <references count="1">
          <reference field="1" count="1">
            <x v="700"/>
          </reference>
        </references>
      </pivotArea>
    </format>
    <format dxfId="313">
      <pivotArea dataOnly="0" labelOnly="1" outline="0" fieldPosition="0">
        <references count="1">
          <reference field="1" count="1">
            <x v="701"/>
          </reference>
        </references>
      </pivotArea>
    </format>
    <format dxfId="312">
      <pivotArea dataOnly="0" labelOnly="1" outline="0" fieldPosition="0">
        <references count="1">
          <reference field="1" count="1">
            <x v="702"/>
          </reference>
        </references>
      </pivotArea>
    </format>
    <format dxfId="311">
      <pivotArea dataOnly="0" labelOnly="1" outline="0" fieldPosition="0">
        <references count="1">
          <reference field="1" count="1">
            <x v="703"/>
          </reference>
        </references>
      </pivotArea>
    </format>
    <format dxfId="310">
      <pivotArea dataOnly="0" labelOnly="1" outline="0" fieldPosition="0">
        <references count="1">
          <reference field="1" count="1">
            <x v="704"/>
          </reference>
        </references>
      </pivotArea>
    </format>
    <format dxfId="309">
      <pivotArea dataOnly="0" labelOnly="1" outline="0" fieldPosition="0">
        <references count="1">
          <reference field="1" count="1">
            <x v="705"/>
          </reference>
        </references>
      </pivotArea>
    </format>
    <format dxfId="308">
      <pivotArea dataOnly="0" labelOnly="1" outline="0" fieldPosition="0">
        <references count="1">
          <reference field="1" count="1">
            <x v="706"/>
          </reference>
        </references>
      </pivotArea>
    </format>
    <format dxfId="307">
      <pivotArea dataOnly="0" labelOnly="1" outline="0" fieldPosition="0">
        <references count="1">
          <reference field="1" count="1">
            <x v="707"/>
          </reference>
        </references>
      </pivotArea>
    </format>
    <format dxfId="306">
      <pivotArea dataOnly="0" labelOnly="1" outline="0" fieldPosition="0">
        <references count="1">
          <reference field="1" count="1">
            <x v="708"/>
          </reference>
        </references>
      </pivotArea>
    </format>
    <format dxfId="305">
      <pivotArea dataOnly="0" labelOnly="1" outline="0" fieldPosition="0">
        <references count="1">
          <reference field="1" count="1">
            <x v="709"/>
          </reference>
        </references>
      </pivotArea>
    </format>
    <format dxfId="304">
      <pivotArea dataOnly="0" labelOnly="1" outline="0" fieldPosition="0">
        <references count="1">
          <reference field="1" count="1">
            <x v="710"/>
          </reference>
        </references>
      </pivotArea>
    </format>
    <format dxfId="303">
      <pivotArea dataOnly="0" labelOnly="1" outline="0" fieldPosition="0">
        <references count="1">
          <reference field="1" count="1">
            <x v="711"/>
          </reference>
        </references>
      </pivotArea>
    </format>
    <format dxfId="302">
      <pivotArea dataOnly="0" labelOnly="1" outline="0" fieldPosition="0">
        <references count="1">
          <reference field="1" count="1">
            <x v="712"/>
          </reference>
        </references>
      </pivotArea>
    </format>
    <format dxfId="301">
      <pivotArea dataOnly="0" labelOnly="1" outline="0" fieldPosition="0">
        <references count="1">
          <reference field="1" count="1">
            <x v="713"/>
          </reference>
        </references>
      </pivotArea>
    </format>
    <format dxfId="300">
      <pivotArea dataOnly="0" labelOnly="1" outline="0" fieldPosition="0">
        <references count="1">
          <reference field="1" count="1">
            <x v="714"/>
          </reference>
        </references>
      </pivotArea>
    </format>
    <format dxfId="299">
      <pivotArea dataOnly="0" labelOnly="1" outline="0" fieldPosition="0">
        <references count="1">
          <reference field="1" count="1">
            <x v="715"/>
          </reference>
        </references>
      </pivotArea>
    </format>
    <format dxfId="298">
      <pivotArea dataOnly="0" labelOnly="1" outline="0" fieldPosition="0">
        <references count="1">
          <reference field="1" count="1">
            <x v="716"/>
          </reference>
        </references>
      </pivotArea>
    </format>
    <format dxfId="297">
      <pivotArea dataOnly="0" labelOnly="1" outline="0" fieldPosition="0">
        <references count="1">
          <reference field="1" count="1">
            <x v="717"/>
          </reference>
        </references>
      </pivotArea>
    </format>
    <format dxfId="296">
      <pivotArea dataOnly="0" labelOnly="1" outline="0" fieldPosition="0">
        <references count="1">
          <reference field="1" count="1">
            <x v="718"/>
          </reference>
        </references>
      </pivotArea>
    </format>
    <format dxfId="295">
      <pivotArea dataOnly="0" labelOnly="1" outline="0" fieldPosition="0">
        <references count="1">
          <reference field="1" count="1">
            <x v="719"/>
          </reference>
        </references>
      </pivotArea>
    </format>
    <format dxfId="294">
      <pivotArea dataOnly="0" labelOnly="1" outline="0" fieldPosition="0">
        <references count="1">
          <reference field="1" count="1">
            <x v="720"/>
          </reference>
        </references>
      </pivotArea>
    </format>
    <format dxfId="293">
      <pivotArea dataOnly="0" labelOnly="1" outline="0" fieldPosition="0">
        <references count="1">
          <reference field="1" count="1">
            <x v="721"/>
          </reference>
        </references>
      </pivotArea>
    </format>
    <format dxfId="292">
      <pivotArea dataOnly="0" labelOnly="1" outline="0" fieldPosition="0">
        <references count="1">
          <reference field="1" count="1">
            <x v="722"/>
          </reference>
        </references>
      </pivotArea>
    </format>
    <format dxfId="291">
      <pivotArea dataOnly="0" labelOnly="1" outline="0" fieldPosition="0">
        <references count="1">
          <reference field="1" count="1">
            <x v="723"/>
          </reference>
        </references>
      </pivotArea>
    </format>
    <format dxfId="290">
      <pivotArea dataOnly="0" labelOnly="1" outline="0" fieldPosition="0">
        <references count="1">
          <reference field="1" count="1">
            <x v="724"/>
          </reference>
        </references>
      </pivotArea>
    </format>
    <format dxfId="289">
      <pivotArea dataOnly="0" labelOnly="1" outline="0" fieldPosition="0">
        <references count="1">
          <reference field="1" count="1">
            <x v="725"/>
          </reference>
        </references>
      </pivotArea>
    </format>
    <format dxfId="288">
      <pivotArea dataOnly="0" labelOnly="1" outline="0" fieldPosition="0">
        <references count="1">
          <reference field="1" count="1">
            <x v="726"/>
          </reference>
        </references>
      </pivotArea>
    </format>
    <format dxfId="287">
      <pivotArea dataOnly="0" labelOnly="1" outline="0" fieldPosition="0">
        <references count="1">
          <reference field="1" count="1">
            <x v="727"/>
          </reference>
        </references>
      </pivotArea>
    </format>
    <format dxfId="286">
      <pivotArea dataOnly="0" labelOnly="1" outline="0" fieldPosition="0">
        <references count="1">
          <reference field="1" count="1">
            <x v="728"/>
          </reference>
        </references>
      </pivotArea>
    </format>
    <format dxfId="285">
      <pivotArea dataOnly="0" labelOnly="1" outline="0" fieldPosition="0">
        <references count="1">
          <reference field="1" count="1">
            <x v="729"/>
          </reference>
        </references>
      </pivotArea>
    </format>
    <format dxfId="284">
      <pivotArea dataOnly="0" labelOnly="1" outline="0" fieldPosition="0">
        <references count="1">
          <reference field="1" count="1">
            <x v="730"/>
          </reference>
        </references>
      </pivotArea>
    </format>
    <format dxfId="283">
      <pivotArea dataOnly="0" labelOnly="1" outline="0" fieldPosition="0">
        <references count="1">
          <reference field="1" count="1">
            <x v="731"/>
          </reference>
        </references>
      </pivotArea>
    </format>
    <format dxfId="282">
      <pivotArea dataOnly="0" labelOnly="1" outline="0" fieldPosition="0">
        <references count="1">
          <reference field="1" count="1">
            <x v="732"/>
          </reference>
        </references>
      </pivotArea>
    </format>
    <format dxfId="281">
      <pivotArea dataOnly="0" labelOnly="1" outline="0" fieldPosition="0">
        <references count="1">
          <reference field="1" count="1">
            <x v="733"/>
          </reference>
        </references>
      </pivotArea>
    </format>
    <format dxfId="280">
      <pivotArea dataOnly="0" labelOnly="1" outline="0" fieldPosition="0">
        <references count="1">
          <reference field="1" count="1">
            <x v="734"/>
          </reference>
        </references>
      </pivotArea>
    </format>
    <format dxfId="279">
      <pivotArea dataOnly="0" labelOnly="1" outline="0" fieldPosition="0">
        <references count="1">
          <reference field="1" count="1">
            <x v="735"/>
          </reference>
        </references>
      </pivotArea>
    </format>
    <format dxfId="278">
      <pivotArea dataOnly="0" labelOnly="1" outline="0" fieldPosition="0">
        <references count="1">
          <reference field="1" count="1">
            <x v="736"/>
          </reference>
        </references>
      </pivotArea>
    </format>
    <format dxfId="277">
      <pivotArea dataOnly="0" labelOnly="1" outline="0" fieldPosition="0">
        <references count="1">
          <reference field="1" count="1">
            <x v="737"/>
          </reference>
        </references>
      </pivotArea>
    </format>
    <format dxfId="276">
      <pivotArea dataOnly="0" labelOnly="1" outline="0" fieldPosition="0">
        <references count="1">
          <reference field="1" count="1">
            <x v="738"/>
          </reference>
        </references>
      </pivotArea>
    </format>
    <format dxfId="275">
      <pivotArea dataOnly="0" labelOnly="1" outline="0" fieldPosition="0">
        <references count="1">
          <reference field="1" count="1">
            <x v="739"/>
          </reference>
        </references>
      </pivotArea>
    </format>
    <format dxfId="274">
      <pivotArea dataOnly="0" labelOnly="1" outline="0" fieldPosition="0">
        <references count="1">
          <reference field="1" count="1">
            <x v="740"/>
          </reference>
        </references>
      </pivotArea>
    </format>
    <format dxfId="273">
      <pivotArea dataOnly="0" labelOnly="1" outline="0" fieldPosition="0">
        <references count="1">
          <reference field="1" count="1">
            <x v="741"/>
          </reference>
        </references>
      </pivotArea>
    </format>
    <format dxfId="272">
      <pivotArea dataOnly="0" labelOnly="1" outline="0" fieldPosition="0">
        <references count="1">
          <reference field="1" count="1">
            <x v="742"/>
          </reference>
        </references>
      </pivotArea>
    </format>
    <format dxfId="271">
      <pivotArea dataOnly="0" labelOnly="1" outline="0" fieldPosition="0">
        <references count="1">
          <reference field="1" count="1">
            <x v="743"/>
          </reference>
        </references>
      </pivotArea>
    </format>
    <format dxfId="270">
      <pivotArea dataOnly="0" labelOnly="1" outline="0" fieldPosition="0">
        <references count="1">
          <reference field="1" count="1">
            <x v="744"/>
          </reference>
        </references>
      </pivotArea>
    </format>
    <format dxfId="269">
      <pivotArea dataOnly="0" labelOnly="1" outline="0" fieldPosition="0">
        <references count="1">
          <reference field="1" count="1">
            <x v="745"/>
          </reference>
        </references>
      </pivotArea>
    </format>
    <format dxfId="268">
      <pivotArea dataOnly="0" labelOnly="1" outline="0" fieldPosition="0">
        <references count="1">
          <reference field="1" count="1">
            <x v="746"/>
          </reference>
        </references>
      </pivotArea>
    </format>
    <format dxfId="267">
      <pivotArea dataOnly="0" labelOnly="1" outline="0" fieldPosition="0">
        <references count="1">
          <reference field="1" count="1">
            <x v="747"/>
          </reference>
        </references>
      </pivotArea>
    </format>
    <format dxfId="266">
      <pivotArea dataOnly="0" labelOnly="1" outline="0" fieldPosition="0">
        <references count="1">
          <reference field="1" count="1">
            <x v="748"/>
          </reference>
        </references>
      </pivotArea>
    </format>
    <format dxfId="265">
      <pivotArea dataOnly="0" labelOnly="1" outline="0" fieldPosition="0">
        <references count="1">
          <reference field="1" count="1">
            <x v="749"/>
          </reference>
        </references>
      </pivotArea>
    </format>
    <format dxfId="264">
      <pivotArea dataOnly="0" labelOnly="1" outline="0" fieldPosition="0">
        <references count="1">
          <reference field="1" count="1">
            <x v="750"/>
          </reference>
        </references>
      </pivotArea>
    </format>
    <format dxfId="263">
      <pivotArea dataOnly="0" labelOnly="1" outline="0" fieldPosition="0">
        <references count="1">
          <reference field="1" count="1">
            <x v="751"/>
          </reference>
        </references>
      </pivotArea>
    </format>
    <format dxfId="262">
      <pivotArea dataOnly="0" labelOnly="1" outline="0" fieldPosition="0">
        <references count="1">
          <reference field="1" count="1">
            <x v="752"/>
          </reference>
        </references>
      </pivotArea>
    </format>
    <format dxfId="261">
      <pivotArea dataOnly="0" labelOnly="1" outline="0" fieldPosition="0">
        <references count="1">
          <reference field="1" count="1">
            <x v="753"/>
          </reference>
        </references>
      </pivotArea>
    </format>
    <format dxfId="260">
      <pivotArea dataOnly="0" labelOnly="1" outline="0" fieldPosition="0">
        <references count="1">
          <reference field="1" count="1">
            <x v="754"/>
          </reference>
        </references>
      </pivotArea>
    </format>
    <format dxfId="259">
      <pivotArea dataOnly="0" labelOnly="1" outline="0" fieldPosition="0">
        <references count="1">
          <reference field="1" count="1">
            <x v="755"/>
          </reference>
        </references>
      </pivotArea>
    </format>
    <format dxfId="258">
      <pivotArea dataOnly="0" labelOnly="1" outline="0" fieldPosition="0">
        <references count="1">
          <reference field="1" count="1">
            <x v="756"/>
          </reference>
        </references>
      </pivotArea>
    </format>
    <format dxfId="257">
      <pivotArea dataOnly="0" labelOnly="1" outline="0" fieldPosition="0">
        <references count="1">
          <reference field="1" count="1">
            <x v="757"/>
          </reference>
        </references>
      </pivotArea>
    </format>
    <format dxfId="256">
      <pivotArea dataOnly="0" labelOnly="1" outline="0" fieldPosition="0">
        <references count="1">
          <reference field="1" count="1">
            <x v="758"/>
          </reference>
        </references>
      </pivotArea>
    </format>
    <format dxfId="255">
      <pivotArea dataOnly="0" labelOnly="1" outline="0" fieldPosition="0">
        <references count="1">
          <reference field="1" count="1">
            <x v="759"/>
          </reference>
        </references>
      </pivotArea>
    </format>
    <format dxfId="254">
      <pivotArea dataOnly="0" labelOnly="1" outline="0" fieldPosition="0">
        <references count="1">
          <reference field="1" count="1">
            <x v="760"/>
          </reference>
        </references>
      </pivotArea>
    </format>
    <format dxfId="253">
      <pivotArea dataOnly="0" labelOnly="1" outline="0" fieldPosition="0">
        <references count="1">
          <reference field="1" count="1">
            <x v="761"/>
          </reference>
        </references>
      </pivotArea>
    </format>
    <format dxfId="252">
      <pivotArea dataOnly="0" labelOnly="1" outline="0" fieldPosition="0">
        <references count="1">
          <reference field="1" count="1">
            <x v="762"/>
          </reference>
        </references>
      </pivotArea>
    </format>
    <format dxfId="251">
      <pivotArea dataOnly="0" labelOnly="1" outline="0" fieldPosition="0">
        <references count="1">
          <reference field="1" count="1">
            <x v="763"/>
          </reference>
        </references>
      </pivotArea>
    </format>
    <format dxfId="250">
      <pivotArea dataOnly="0" labelOnly="1" outline="0" fieldPosition="0">
        <references count="1">
          <reference field="1" count="1">
            <x v="764"/>
          </reference>
        </references>
      </pivotArea>
    </format>
    <format dxfId="249">
      <pivotArea dataOnly="0" labelOnly="1" outline="0" fieldPosition="0">
        <references count="1">
          <reference field="1" count="1">
            <x v="765"/>
          </reference>
        </references>
      </pivotArea>
    </format>
    <format dxfId="248">
      <pivotArea dataOnly="0" labelOnly="1" outline="0" fieldPosition="0">
        <references count="1">
          <reference field="1" count="1">
            <x v="766"/>
          </reference>
        </references>
      </pivotArea>
    </format>
    <format dxfId="247">
      <pivotArea dataOnly="0" labelOnly="1" outline="0" fieldPosition="0">
        <references count="1">
          <reference field="1" count="1">
            <x v="767"/>
          </reference>
        </references>
      </pivotArea>
    </format>
    <format dxfId="246">
      <pivotArea dataOnly="0" labelOnly="1" outline="0" fieldPosition="0">
        <references count="1">
          <reference field="1" count="1">
            <x v="768"/>
          </reference>
        </references>
      </pivotArea>
    </format>
    <format dxfId="245">
      <pivotArea dataOnly="0" labelOnly="1" outline="0" fieldPosition="0">
        <references count="1">
          <reference field="1" count="1">
            <x v="769"/>
          </reference>
        </references>
      </pivotArea>
    </format>
    <format dxfId="244">
      <pivotArea dataOnly="0" labelOnly="1" outline="0" fieldPosition="0">
        <references count="1">
          <reference field="1" count="1">
            <x v="770"/>
          </reference>
        </references>
      </pivotArea>
    </format>
    <format dxfId="243">
      <pivotArea dataOnly="0" labelOnly="1" outline="0" fieldPosition="0">
        <references count="1">
          <reference field="1" count="1">
            <x v="771"/>
          </reference>
        </references>
      </pivotArea>
    </format>
    <format dxfId="242">
      <pivotArea dataOnly="0" labelOnly="1" outline="0" fieldPosition="0">
        <references count="1">
          <reference field="1" count="1">
            <x v="772"/>
          </reference>
        </references>
      </pivotArea>
    </format>
    <format dxfId="241">
      <pivotArea dataOnly="0" labelOnly="1" outline="0" fieldPosition="0">
        <references count="1">
          <reference field="1" count="1">
            <x v="773"/>
          </reference>
        </references>
      </pivotArea>
    </format>
    <format dxfId="240">
      <pivotArea dataOnly="0" labelOnly="1" outline="0" fieldPosition="0">
        <references count="1">
          <reference field="1" count="1">
            <x v="774"/>
          </reference>
        </references>
      </pivotArea>
    </format>
    <format dxfId="239">
      <pivotArea dataOnly="0" labelOnly="1" outline="0" fieldPosition="0">
        <references count="1">
          <reference field="1" count="1">
            <x v="775"/>
          </reference>
        </references>
      </pivotArea>
    </format>
    <format dxfId="238">
      <pivotArea dataOnly="0" labelOnly="1" outline="0" fieldPosition="0">
        <references count="1">
          <reference field="1" count="1">
            <x v="776"/>
          </reference>
        </references>
      </pivotArea>
    </format>
    <format dxfId="237">
      <pivotArea dataOnly="0" labelOnly="1" outline="0" fieldPosition="0">
        <references count="1">
          <reference field="1" count="1">
            <x v="777"/>
          </reference>
        </references>
      </pivotArea>
    </format>
    <format dxfId="236">
      <pivotArea dataOnly="0" labelOnly="1" outline="0" fieldPosition="0">
        <references count="1">
          <reference field="1" count="1">
            <x v="778"/>
          </reference>
        </references>
      </pivotArea>
    </format>
    <format dxfId="235">
      <pivotArea dataOnly="0" labelOnly="1" outline="0" fieldPosition="0">
        <references count="1">
          <reference field="1" count="1">
            <x v="779"/>
          </reference>
        </references>
      </pivotArea>
    </format>
    <format dxfId="234">
      <pivotArea dataOnly="0" labelOnly="1" outline="0" fieldPosition="0">
        <references count="1">
          <reference field="1" count="1">
            <x v="780"/>
          </reference>
        </references>
      </pivotArea>
    </format>
    <format dxfId="233">
      <pivotArea dataOnly="0" labelOnly="1" outline="0" fieldPosition="0">
        <references count="1">
          <reference field="1" count="1">
            <x v="781"/>
          </reference>
        </references>
      </pivotArea>
    </format>
    <format dxfId="232">
      <pivotArea dataOnly="0" labelOnly="1" outline="0" fieldPosition="0">
        <references count="1">
          <reference field="1" count="1">
            <x v="782"/>
          </reference>
        </references>
      </pivotArea>
    </format>
    <format dxfId="231">
      <pivotArea dataOnly="0" labelOnly="1" outline="0" fieldPosition="0">
        <references count="1">
          <reference field="1" count="1">
            <x v="783"/>
          </reference>
        </references>
      </pivotArea>
    </format>
    <format dxfId="230">
      <pivotArea dataOnly="0" labelOnly="1" outline="0" fieldPosition="0">
        <references count="1">
          <reference field="1" count="1">
            <x v="784"/>
          </reference>
        </references>
      </pivotArea>
    </format>
    <format dxfId="229">
      <pivotArea dataOnly="0" labelOnly="1" outline="0" fieldPosition="0">
        <references count="1">
          <reference field="1" count="1">
            <x v="785"/>
          </reference>
        </references>
      </pivotArea>
    </format>
    <format dxfId="228">
      <pivotArea dataOnly="0" labelOnly="1" outline="0" fieldPosition="0">
        <references count="1">
          <reference field="1" count="1">
            <x v="786"/>
          </reference>
        </references>
      </pivotArea>
    </format>
    <format dxfId="227">
      <pivotArea dataOnly="0" labelOnly="1" outline="0" fieldPosition="0">
        <references count="1">
          <reference field="1" count="1">
            <x v="787"/>
          </reference>
        </references>
      </pivotArea>
    </format>
    <format dxfId="226">
      <pivotArea dataOnly="0" labelOnly="1" outline="0" fieldPosition="0">
        <references count="1">
          <reference field="1" count="1">
            <x v="788"/>
          </reference>
        </references>
      </pivotArea>
    </format>
    <format dxfId="225">
      <pivotArea dataOnly="0" labelOnly="1" outline="0" fieldPosition="0">
        <references count="1">
          <reference field="1" count="1">
            <x v="789"/>
          </reference>
        </references>
      </pivotArea>
    </format>
    <format dxfId="224">
      <pivotArea dataOnly="0" labelOnly="1" outline="0" fieldPosition="0">
        <references count="1">
          <reference field="1" count="1">
            <x v="790"/>
          </reference>
        </references>
      </pivotArea>
    </format>
    <format dxfId="223">
      <pivotArea dataOnly="0" labelOnly="1" outline="0" fieldPosition="0">
        <references count="1">
          <reference field="1" count="1">
            <x v="791"/>
          </reference>
        </references>
      </pivotArea>
    </format>
    <format dxfId="222">
      <pivotArea dataOnly="0" labelOnly="1" outline="0" fieldPosition="0">
        <references count="1">
          <reference field="1" count="1">
            <x v="792"/>
          </reference>
        </references>
      </pivotArea>
    </format>
    <format dxfId="221">
      <pivotArea dataOnly="0" labelOnly="1" outline="0" fieldPosition="0">
        <references count="1">
          <reference field="1" count="1">
            <x v="793"/>
          </reference>
        </references>
      </pivotArea>
    </format>
    <format dxfId="220">
      <pivotArea dataOnly="0" labelOnly="1" outline="0" fieldPosition="0">
        <references count="1">
          <reference field="1" count="1">
            <x v="794"/>
          </reference>
        </references>
      </pivotArea>
    </format>
    <format dxfId="219">
      <pivotArea dataOnly="0" labelOnly="1" outline="0" fieldPosition="0">
        <references count="1">
          <reference field="1" count="1">
            <x v="795"/>
          </reference>
        </references>
      </pivotArea>
    </format>
    <format dxfId="218">
      <pivotArea dataOnly="0" labelOnly="1" outline="0" fieldPosition="0">
        <references count="1">
          <reference field="1" count="1">
            <x v="796"/>
          </reference>
        </references>
      </pivotArea>
    </format>
    <format dxfId="217">
      <pivotArea dataOnly="0" labelOnly="1" outline="0" fieldPosition="0">
        <references count="1">
          <reference field="1" count="1">
            <x v="797"/>
          </reference>
        </references>
      </pivotArea>
    </format>
    <format dxfId="216">
      <pivotArea dataOnly="0" labelOnly="1" outline="0" fieldPosition="0">
        <references count="1">
          <reference field="1" count="1">
            <x v="798"/>
          </reference>
        </references>
      </pivotArea>
    </format>
    <format dxfId="215">
      <pivotArea dataOnly="0" labelOnly="1" outline="0" fieldPosition="0">
        <references count="1">
          <reference field="1" count="1">
            <x v="799"/>
          </reference>
        </references>
      </pivotArea>
    </format>
    <format dxfId="214">
      <pivotArea dataOnly="0" labelOnly="1" outline="0" fieldPosition="0">
        <references count="1">
          <reference field="1" count="1">
            <x v="800"/>
          </reference>
        </references>
      </pivotArea>
    </format>
    <format dxfId="213">
      <pivotArea dataOnly="0" labelOnly="1" outline="0" fieldPosition="0">
        <references count="1">
          <reference field="1" count="1">
            <x v="801"/>
          </reference>
        </references>
      </pivotArea>
    </format>
    <format dxfId="212">
      <pivotArea dataOnly="0" labelOnly="1" outline="0" fieldPosition="0">
        <references count="1">
          <reference field="1" count="1">
            <x v="802"/>
          </reference>
        </references>
      </pivotArea>
    </format>
    <format dxfId="211">
      <pivotArea dataOnly="0" labelOnly="1" outline="0" fieldPosition="0">
        <references count="1">
          <reference field="1" count="1">
            <x v="803"/>
          </reference>
        </references>
      </pivotArea>
    </format>
    <format dxfId="210">
      <pivotArea dataOnly="0" labelOnly="1" outline="0" fieldPosition="0">
        <references count="1">
          <reference field="1" count="1">
            <x v="804"/>
          </reference>
        </references>
      </pivotArea>
    </format>
    <format dxfId="209">
      <pivotArea dataOnly="0" labelOnly="1" outline="0" fieldPosition="0">
        <references count="1">
          <reference field="1" count="1">
            <x v="805"/>
          </reference>
        </references>
      </pivotArea>
    </format>
    <format dxfId="208">
      <pivotArea dataOnly="0" labelOnly="1" outline="0" fieldPosition="0">
        <references count="1">
          <reference field="1" count="1">
            <x v="806"/>
          </reference>
        </references>
      </pivotArea>
    </format>
    <format dxfId="207">
      <pivotArea dataOnly="0" labelOnly="1" outline="0" fieldPosition="0">
        <references count="1">
          <reference field="1" count="1">
            <x v="807"/>
          </reference>
        </references>
      </pivotArea>
    </format>
    <format dxfId="206">
      <pivotArea dataOnly="0" labelOnly="1" outline="0" fieldPosition="0">
        <references count="1">
          <reference field="1" count="1">
            <x v="808"/>
          </reference>
        </references>
      </pivotArea>
    </format>
    <format dxfId="205">
      <pivotArea dataOnly="0" labelOnly="1" outline="0" fieldPosition="0">
        <references count="1">
          <reference field="1" count="1">
            <x v="809"/>
          </reference>
        </references>
      </pivotArea>
    </format>
    <format dxfId="204">
      <pivotArea dataOnly="0" labelOnly="1" outline="0" fieldPosition="0">
        <references count="1">
          <reference field="1" count="1">
            <x v="810"/>
          </reference>
        </references>
      </pivotArea>
    </format>
    <format dxfId="203">
      <pivotArea dataOnly="0" labelOnly="1" outline="0" fieldPosition="0">
        <references count="1">
          <reference field="1" count="1">
            <x v="811"/>
          </reference>
        </references>
      </pivotArea>
    </format>
    <format dxfId="202">
      <pivotArea dataOnly="0" labelOnly="1" outline="0" fieldPosition="0">
        <references count="1">
          <reference field="1" count="1">
            <x v="812"/>
          </reference>
        </references>
      </pivotArea>
    </format>
    <format dxfId="201">
      <pivotArea dataOnly="0" labelOnly="1" outline="0" fieldPosition="0">
        <references count="1">
          <reference field="1" count="1">
            <x v="813"/>
          </reference>
        </references>
      </pivotArea>
    </format>
    <format dxfId="200">
      <pivotArea dataOnly="0" labelOnly="1" outline="0" fieldPosition="0">
        <references count="1">
          <reference field="1" count="1">
            <x v="814"/>
          </reference>
        </references>
      </pivotArea>
    </format>
    <format dxfId="199">
      <pivotArea dataOnly="0" labelOnly="1" outline="0" fieldPosition="0">
        <references count="1">
          <reference field="1" count="1">
            <x v="815"/>
          </reference>
        </references>
      </pivotArea>
    </format>
    <format dxfId="198">
      <pivotArea dataOnly="0" labelOnly="1" outline="0" fieldPosition="0">
        <references count="1">
          <reference field="1" count="1">
            <x v="816"/>
          </reference>
        </references>
      </pivotArea>
    </format>
    <format dxfId="197">
      <pivotArea dataOnly="0" labelOnly="1" outline="0" fieldPosition="0">
        <references count="1">
          <reference field="1" count="1">
            <x v="817"/>
          </reference>
        </references>
      </pivotArea>
    </format>
    <format dxfId="196">
      <pivotArea dataOnly="0" labelOnly="1" outline="0" fieldPosition="0">
        <references count="1">
          <reference field="1" count="1">
            <x v="818"/>
          </reference>
        </references>
      </pivotArea>
    </format>
    <format dxfId="195">
      <pivotArea dataOnly="0" labelOnly="1" outline="0" fieldPosition="0">
        <references count="1">
          <reference field="1" count="1">
            <x v="819"/>
          </reference>
        </references>
      </pivotArea>
    </format>
    <format dxfId="194">
      <pivotArea dataOnly="0" labelOnly="1" outline="0" fieldPosition="0">
        <references count="1">
          <reference field="1" count="1">
            <x v="820"/>
          </reference>
        </references>
      </pivotArea>
    </format>
    <format dxfId="193">
      <pivotArea dataOnly="0" labelOnly="1" outline="0" fieldPosition="0">
        <references count="1">
          <reference field="1" count="1">
            <x v="821"/>
          </reference>
        </references>
      </pivotArea>
    </format>
    <format dxfId="192">
      <pivotArea dataOnly="0" labelOnly="1" outline="0" fieldPosition="0">
        <references count="1">
          <reference field="1" count="1">
            <x v="822"/>
          </reference>
        </references>
      </pivotArea>
    </format>
    <format dxfId="191">
      <pivotArea dataOnly="0" labelOnly="1" outline="0" fieldPosition="0">
        <references count="1">
          <reference field="1" count="1">
            <x v="823"/>
          </reference>
        </references>
      </pivotArea>
    </format>
    <format dxfId="190">
      <pivotArea dataOnly="0" labelOnly="1" outline="0" fieldPosition="0">
        <references count="1">
          <reference field="1" count="1">
            <x v="824"/>
          </reference>
        </references>
      </pivotArea>
    </format>
    <format dxfId="189">
      <pivotArea dataOnly="0" labelOnly="1" outline="0" fieldPosition="0">
        <references count="1">
          <reference field="1" count="1">
            <x v="825"/>
          </reference>
        </references>
      </pivotArea>
    </format>
    <format dxfId="188">
      <pivotArea dataOnly="0" labelOnly="1" outline="0" fieldPosition="0">
        <references count="1">
          <reference field="1" count="1">
            <x v="826"/>
          </reference>
        </references>
      </pivotArea>
    </format>
    <format dxfId="187">
      <pivotArea dataOnly="0" labelOnly="1" outline="0" fieldPosition="0">
        <references count="1">
          <reference field="1" count="1">
            <x v="827"/>
          </reference>
        </references>
      </pivotArea>
    </format>
    <format dxfId="186">
      <pivotArea dataOnly="0" labelOnly="1" outline="0" fieldPosition="0">
        <references count="1">
          <reference field="1" count="1">
            <x v="828"/>
          </reference>
        </references>
      </pivotArea>
    </format>
    <format dxfId="185">
      <pivotArea dataOnly="0" labelOnly="1" outline="0" fieldPosition="0">
        <references count="1">
          <reference field="1" count="1">
            <x v="829"/>
          </reference>
        </references>
      </pivotArea>
    </format>
    <format dxfId="184">
      <pivotArea dataOnly="0" labelOnly="1" outline="0" fieldPosition="0">
        <references count="1">
          <reference field="1" count="1">
            <x v="830"/>
          </reference>
        </references>
      </pivotArea>
    </format>
    <format dxfId="183">
      <pivotArea dataOnly="0" labelOnly="1" outline="0" fieldPosition="0">
        <references count="1">
          <reference field="1" count="1">
            <x v="831"/>
          </reference>
        </references>
      </pivotArea>
    </format>
    <format dxfId="182">
      <pivotArea dataOnly="0" labelOnly="1" outline="0" fieldPosition="0">
        <references count="1">
          <reference field="1" count="1">
            <x v="832"/>
          </reference>
        </references>
      </pivotArea>
    </format>
    <format dxfId="181">
      <pivotArea dataOnly="0" labelOnly="1" outline="0" fieldPosition="0">
        <references count="1">
          <reference field="1" count="1">
            <x v="833"/>
          </reference>
        </references>
      </pivotArea>
    </format>
    <format dxfId="180">
      <pivotArea dataOnly="0" labelOnly="1" outline="0" fieldPosition="0">
        <references count="1">
          <reference field="1" count="1">
            <x v="834"/>
          </reference>
        </references>
      </pivotArea>
    </format>
    <format dxfId="179">
      <pivotArea dataOnly="0" labelOnly="1" outline="0" fieldPosition="0">
        <references count="1">
          <reference field="1" count="1">
            <x v="835"/>
          </reference>
        </references>
      </pivotArea>
    </format>
    <format dxfId="178">
      <pivotArea dataOnly="0" labelOnly="1" outline="0" fieldPosition="0">
        <references count="1">
          <reference field="1" count="1">
            <x v="836"/>
          </reference>
        </references>
      </pivotArea>
    </format>
    <format dxfId="177">
      <pivotArea dataOnly="0" labelOnly="1" outline="0" fieldPosition="0">
        <references count="1">
          <reference field="1" count="1">
            <x v="837"/>
          </reference>
        </references>
      </pivotArea>
    </format>
    <format dxfId="176">
      <pivotArea dataOnly="0" labelOnly="1" outline="0" fieldPosition="0">
        <references count="1">
          <reference field="1" count="1">
            <x v="838"/>
          </reference>
        </references>
      </pivotArea>
    </format>
    <format dxfId="175">
      <pivotArea dataOnly="0" labelOnly="1" outline="0" fieldPosition="0">
        <references count="1">
          <reference field="1" count="1">
            <x v="839"/>
          </reference>
        </references>
      </pivotArea>
    </format>
    <format dxfId="174">
      <pivotArea dataOnly="0" labelOnly="1" outline="0" fieldPosition="0">
        <references count="1">
          <reference field="1" count="1">
            <x v="840"/>
          </reference>
        </references>
      </pivotArea>
    </format>
    <format dxfId="173">
      <pivotArea dataOnly="0" labelOnly="1" outline="0" fieldPosition="0">
        <references count="1">
          <reference field="1" count="1">
            <x v="841"/>
          </reference>
        </references>
      </pivotArea>
    </format>
    <format dxfId="172">
      <pivotArea dataOnly="0" labelOnly="1" outline="0" fieldPosition="0">
        <references count="1">
          <reference field="1" count="1">
            <x v="842"/>
          </reference>
        </references>
      </pivotArea>
    </format>
    <format dxfId="171">
      <pivotArea dataOnly="0" labelOnly="1" outline="0" fieldPosition="0">
        <references count="1">
          <reference field="1" count="1">
            <x v="843"/>
          </reference>
        </references>
      </pivotArea>
    </format>
    <format dxfId="170">
      <pivotArea dataOnly="0" labelOnly="1" outline="0" fieldPosition="0">
        <references count="1">
          <reference field="1" count="1">
            <x v="844"/>
          </reference>
        </references>
      </pivotArea>
    </format>
    <format dxfId="169">
      <pivotArea dataOnly="0" labelOnly="1" outline="0" fieldPosition="0">
        <references count="1">
          <reference field="1" count="1">
            <x v="845"/>
          </reference>
        </references>
      </pivotArea>
    </format>
    <format dxfId="168">
      <pivotArea dataOnly="0" labelOnly="1" outline="0" fieldPosition="0">
        <references count="1">
          <reference field="1" count="1">
            <x v="846"/>
          </reference>
        </references>
      </pivotArea>
    </format>
    <format dxfId="167">
      <pivotArea dataOnly="0" labelOnly="1" outline="0" fieldPosition="0">
        <references count="1">
          <reference field="1" count="1">
            <x v="847"/>
          </reference>
        </references>
      </pivotArea>
    </format>
    <format dxfId="166">
      <pivotArea dataOnly="0" labelOnly="1" outline="0" fieldPosition="0">
        <references count="1">
          <reference field="1" count="1">
            <x v="848"/>
          </reference>
        </references>
      </pivotArea>
    </format>
    <format dxfId="165">
      <pivotArea dataOnly="0" labelOnly="1" outline="0" fieldPosition="0">
        <references count="1">
          <reference field="1" count="1">
            <x v="849"/>
          </reference>
        </references>
      </pivotArea>
    </format>
    <format dxfId="164">
      <pivotArea dataOnly="0" labelOnly="1" outline="0" fieldPosition="0">
        <references count="1">
          <reference field="1" count="1">
            <x v="850"/>
          </reference>
        </references>
      </pivotArea>
    </format>
    <format dxfId="163">
      <pivotArea dataOnly="0" labelOnly="1" outline="0" fieldPosition="0">
        <references count="1">
          <reference field="1" count="1">
            <x v="851"/>
          </reference>
        </references>
      </pivotArea>
    </format>
    <format dxfId="162">
      <pivotArea dataOnly="0" labelOnly="1" outline="0" fieldPosition="0">
        <references count="1">
          <reference field="1" count="1">
            <x v="852"/>
          </reference>
        </references>
      </pivotArea>
    </format>
    <format dxfId="161">
      <pivotArea dataOnly="0" labelOnly="1" outline="0" fieldPosition="0">
        <references count="1">
          <reference field="1" count="1">
            <x v="853"/>
          </reference>
        </references>
      </pivotArea>
    </format>
    <format dxfId="160">
      <pivotArea dataOnly="0" labelOnly="1" outline="0" fieldPosition="0">
        <references count="1">
          <reference field="1" count="1">
            <x v="854"/>
          </reference>
        </references>
      </pivotArea>
    </format>
    <format dxfId="159">
      <pivotArea dataOnly="0" labelOnly="1" outline="0" fieldPosition="0">
        <references count="1">
          <reference field="1" count="1">
            <x v="855"/>
          </reference>
        </references>
      </pivotArea>
    </format>
    <format dxfId="158">
      <pivotArea dataOnly="0" labelOnly="1" outline="0" fieldPosition="0">
        <references count="1">
          <reference field="1" count="1">
            <x v="856"/>
          </reference>
        </references>
      </pivotArea>
    </format>
    <format dxfId="157">
      <pivotArea dataOnly="0" labelOnly="1" outline="0" fieldPosition="0">
        <references count="1">
          <reference field="1" count="1">
            <x v="857"/>
          </reference>
        </references>
      </pivotArea>
    </format>
    <format dxfId="156">
      <pivotArea dataOnly="0" labelOnly="1" outline="0" fieldPosition="0">
        <references count="1">
          <reference field="1" count="1">
            <x v="858"/>
          </reference>
        </references>
      </pivotArea>
    </format>
    <format dxfId="155">
      <pivotArea dataOnly="0" labelOnly="1" outline="0" fieldPosition="0">
        <references count="1">
          <reference field="1" count="1">
            <x v="859"/>
          </reference>
        </references>
      </pivotArea>
    </format>
    <format dxfId="154">
      <pivotArea dataOnly="0" labelOnly="1" outline="0" fieldPosition="0">
        <references count="1">
          <reference field="1" count="1">
            <x v="860"/>
          </reference>
        </references>
      </pivotArea>
    </format>
    <format dxfId="153">
      <pivotArea dataOnly="0" labelOnly="1" outline="0" fieldPosition="0">
        <references count="1">
          <reference field="1" count="1">
            <x v="861"/>
          </reference>
        </references>
      </pivotArea>
    </format>
    <format dxfId="152">
      <pivotArea dataOnly="0" labelOnly="1" outline="0" fieldPosition="0">
        <references count="1">
          <reference field="1" count="1">
            <x v="862"/>
          </reference>
        </references>
      </pivotArea>
    </format>
    <format dxfId="151">
      <pivotArea dataOnly="0" labelOnly="1" outline="0" fieldPosition="0">
        <references count="1">
          <reference field="1" count="1">
            <x v="863"/>
          </reference>
        </references>
      </pivotArea>
    </format>
    <format dxfId="150">
      <pivotArea dataOnly="0" labelOnly="1" outline="0" fieldPosition="0">
        <references count="1">
          <reference field="1" count="1">
            <x v="864"/>
          </reference>
        </references>
      </pivotArea>
    </format>
    <format dxfId="149">
      <pivotArea dataOnly="0" labelOnly="1" outline="0" fieldPosition="0">
        <references count="1">
          <reference field="1" count="1">
            <x v="865"/>
          </reference>
        </references>
      </pivotArea>
    </format>
    <format dxfId="148">
      <pivotArea dataOnly="0" labelOnly="1" outline="0" fieldPosition="0">
        <references count="1">
          <reference field="1" count="1">
            <x v="866"/>
          </reference>
        </references>
      </pivotArea>
    </format>
    <format dxfId="147">
      <pivotArea dataOnly="0" labelOnly="1" outline="0" fieldPosition="0">
        <references count="1">
          <reference field="1" count="1">
            <x v="867"/>
          </reference>
        </references>
      </pivotArea>
    </format>
    <format dxfId="146">
      <pivotArea dataOnly="0" labelOnly="1" outline="0" fieldPosition="0">
        <references count="1">
          <reference field="1" count="1">
            <x v="868"/>
          </reference>
        </references>
      </pivotArea>
    </format>
    <format dxfId="145">
      <pivotArea dataOnly="0" labelOnly="1" outline="0" fieldPosition="0">
        <references count="1">
          <reference field="1" count="1">
            <x v="869"/>
          </reference>
        </references>
      </pivotArea>
    </format>
    <format dxfId="144">
      <pivotArea dataOnly="0" labelOnly="1" outline="0" fieldPosition="0">
        <references count="1">
          <reference field="1" count="1">
            <x v="870"/>
          </reference>
        </references>
      </pivotArea>
    </format>
    <format dxfId="143">
      <pivotArea dataOnly="0" labelOnly="1" outline="0" fieldPosition="0">
        <references count="1">
          <reference field="1" count="1">
            <x v="871"/>
          </reference>
        </references>
      </pivotArea>
    </format>
    <format dxfId="142">
      <pivotArea dataOnly="0" labelOnly="1" outline="0" fieldPosition="0">
        <references count="1">
          <reference field="1" count="1">
            <x v="872"/>
          </reference>
        </references>
      </pivotArea>
    </format>
    <format dxfId="141">
      <pivotArea dataOnly="0" labelOnly="1" outline="0" fieldPosition="0">
        <references count="1">
          <reference field="1" count="1">
            <x v="873"/>
          </reference>
        </references>
      </pivotArea>
    </format>
    <format dxfId="140">
      <pivotArea dataOnly="0" labelOnly="1" outline="0" fieldPosition="0">
        <references count="1">
          <reference field="1" count="1">
            <x v="874"/>
          </reference>
        </references>
      </pivotArea>
    </format>
    <format dxfId="139">
      <pivotArea dataOnly="0" labelOnly="1" outline="0" fieldPosition="0">
        <references count="1">
          <reference field="1" count="1">
            <x v="875"/>
          </reference>
        </references>
      </pivotArea>
    </format>
    <format dxfId="138">
      <pivotArea dataOnly="0" labelOnly="1" outline="0" fieldPosition="0">
        <references count="1">
          <reference field="1" count="1">
            <x v="876"/>
          </reference>
        </references>
      </pivotArea>
    </format>
    <format dxfId="137">
      <pivotArea dataOnly="0" labelOnly="1" outline="0" fieldPosition="0">
        <references count="1">
          <reference field="1" count="1">
            <x v="877"/>
          </reference>
        </references>
      </pivotArea>
    </format>
    <format dxfId="136">
      <pivotArea dataOnly="0" labelOnly="1" outline="0" fieldPosition="0">
        <references count="1">
          <reference field="1" count="1">
            <x v="878"/>
          </reference>
        </references>
      </pivotArea>
    </format>
    <format dxfId="135">
      <pivotArea dataOnly="0" labelOnly="1" outline="0" fieldPosition="0">
        <references count="1">
          <reference field="1" count="1">
            <x v="879"/>
          </reference>
        </references>
      </pivotArea>
    </format>
    <format dxfId="134">
      <pivotArea dataOnly="0" labelOnly="1" outline="0" fieldPosition="0">
        <references count="1">
          <reference field="1" count="1">
            <x v="880"/>
          </reference>
        </references>
      </pivotArea>
    </format>
    <format dxfId="133">
      <pivotArea dataOnly="0" labelOnly="1" outline="0" fieldPosition="0">
        <references count="1">
          <reference field="1" count="1">
            <x v="881"/>
          </reference>
        </references>
      </pivotArea>
    </format>
    <format dxfId="132">
      <pivotArea dataOnly="0" labelOnly="1" outline="0" fieldPosition="0">
        <references count="1">
          <reference field="1" count="1">
            <x v="882"/>
          </reference>
        </references>
      </pivotArea>
    </format>
    <format dxfId="131">
      <pivotArea dataOnly="0" labelOnly="1" outline="0" fieldPosition="0">
        <references count="1">
          <reference field="1" count="1">
            <x v="883"/>
          </reference>
        </references>
      </pivotArea>
    </format>
    <format dxfId="130">
      <pivotArea dataOnly="0" labelOnly="1" outline="0" fieldPosition="0">
        <references count="1">
          <reference field="1" count="1">
            <x v="884"/>
          </reference>
        </references>
      </pivotArea>
    </format>
    <format dxfId="129">
      <pivotArea dataOnly="0" labelOnly="1" outline="0" fieldPosition="0">
        <references count="1">
          <reference field="1" count="1">
            <x v="885"/>
          </reference>
        </references>
      </pivotArea>
    </format>
    <format dxfId="128">
      <pivotArea dataOnly="0" labelOnly="1" outline="0" fieldPosition="0">
        <references count="1">
          <reference field="1" count="1">
            <x v="886"/>
          </reference>
        </references>
      </pivotArea>
    </format>
    <format dxfId="127">
      <pivotArea dataOnly="0" labelOnly="1" outline="0" fieldPosition="0">
        <references count="1">
          <reference field="1" count="1">
            <x v="887"/>
          </reference>
        </references>
      </pivotArea>
    </format>
    <format dxfId="126">
      <pivotArea dataOnly="0" labelOnly="1" outline="0" fieldPosition="0">
        <references count="1">
          <reference field="1" count="1">
            <x v="888"/>
          </reference>
        </references>
      </pivotArea>
    </format>
    <format dxfId="125">
      <pivotArea dataOnly="0" labelOnly="1" outline="0" fieldPosition="0">
        <references count="1">
          <reference field="1" count="1">
            <x v="889"/>
          </reference>
        </references>
      </pivotArea>
    </format>
    <format dxfId="124">
      <pivotArea dataOnly="0" labelOnly="1" outline="0" fieldPosition="0">
        <references count="1">
          <reference field="1" count="1">
            <x v="890"/>
          </reference>
        </references>
      </pivotArea>
    </format>
    <format dxfId="123">
      <pivotArea dataOnly="0" labelOnly="1" outline="0" fieldPosition="0">
        <references count="1">
          <reference field="1" count="1">
            <x v="891"/>
          </reference>
        </references>
      </pivotArea>
    </format>
    <format dxfId="122">
      <pivotArea dataOnly="0" labelOnly="1" outline="0" fieldPosition="0">
        <references count="1">
          <reference field="1" count="1">
            <x v="892"/>
          </reference>
        </references>
      </pivotArea>
    </format>
    <format dxfId="121">
      <pivotArea dataOnly="0" labelOnly="1" outline="0" fieldPosition="0">
        <references count="1">
          <reference field="1" count="1">
            <x v="893"/>
          </reference>
        </references>
      </pivotArea>
    </format>
    <format dxfId="120">
      <pivotArea dataOnly="0" labelOnly="1" outline="0" fieldPosition="0">
        <references count="1">
          <reference field="1" count="1">
            <x v="894"/>
          </reference>
        </references>
      </pivotArea>
    </format>
    <format dxfId="119">
      <pivotArea dataOnly="0" labelOnly="1" outline="0" fieldPosition="0">
        <references count="1">
          <reference field="1" count="1">
            <x v="895"/>
          </reference>
        </references>
      </pivotArea>
    </format>
    <format dxfId="118">
      <pivotArea dataOnly="0" labelOnly="1" outline="0" fieldPosition="0">
        <references count="1">
          <reference field="1" count="1">
            <x v="896"/>
          </reference>
        </references>
      </pivotArea>
    </format>
    <format dxfId="117">
      <pivotArea dataOnly="0" labelOnly="1" outline="0" fieldPosition="0">
        <references count="1">
          <reference field="1" count="1">
            <x v="897"/>
          </reference>
        </references>
      </pivotArea>
    </format>
    <format dxfId="116">
      <pivotArea dataOnly="0" labelOnly="1" outline="0" fieldPosition="0">
        <references count="1">
          <reference field="1" count="1">
            <x v="898"/>
          </reference>
        </references>
      </pivotArea>
    </format>
    <format dxfId="115">
      <pivotArea dataOnly="0" labelOnly="1" outline="0" fieldPosition="0">
        <references count="1">
          <reference field="1" count="1">
            <x v="899"/>
          </reference>
        </references>
      </pivotArea>
    </format>
    <format dxfId="114">
      <pivotArea dataOnly="0" labelOnly="1" outline="0" fieldPosition="0">
        <references count="1">
          <reference field="1" count="1">
            <x v="900"/>
          </reference>
        </references>
      </pivotArea>
    </format>
    <format dxfId="113">
      <pivotArea dataOnly="0" labelOnly="1" outline="0" fieldPosition="0">
        <references count="1">
          <reference field="1" count="1">
            <x v="901"/>
          </reference>
        </references>
      </pivotArea>
    </format>
    <format dxfId="112">
      <pivotArea dataOnly="0" labelOnly="1" outline="0" fieldPosition="0">
        <references count="1">
          <reference field="1" count="1">
            <x v="902"/>
          </reference>
        </references>
      </pivotArea>
    </format>
    <format dxfId="111">
      <pivotArea dataOnly="0" labelOnly="1" outline="0" fieldPosition="0">
        <references count="1">
          <reference field="1" count="1">
            <x v="903"/>
          </reference>
        </references>
      </pivotArea>
    </format>
    <format dxfId="110">
      <pivotArea dataOnly="0" labelOnly="1" outline="0" fieldPosition="0">
        <references count="1">
          <reference field="1" count="1">
            <x v="904"/>
          </reference>
        </references>
      </pivotArea>
    </format>
    <format dxfId="109">
      <pivotArea dataOnly="0" labelOnly="1" outline="0" fieldPosition="0">
        <references count="1">
          <reference field="1" count="1">
            <x v="905"/>
          </reference>
        </references>
      </pivotArea>
    </format>
    <format dxfId="108">
      <pivotArea dataOnly="0" labelOnly="1" outline="0" fieldPosition="0">
        <references count="1">
          <reference field="1" count="1">
            <x v="906"/>
          </reference>
        </references>
      </pivotArea>
    </format>
    <format dxfId="107">
      <pivotArea dataOnly="0" labelOnly="1" outline="0" fieldPosition="0">
        <references count="1">
          <reference field="1" count="1">
            <x v="907"/>
          </reference>
        </references>
      </pivotArea>
    </format>
    <format dxfId="106">
      <pivotArea dataOnly="0" labelOnly="1" outline="0" fieldPosition="0">
        <references count="1">
          <reference field="1" count="1">
            <x v="908"/>
          </reference>
        </references>
      </pivotArea>
    </format>
    <format dxfId="105">
      <pivotArea dataOnly="0" labelOnly="1" outline="0" fieldPosition="0">
        <references count="1">
          <reference field="1" count="1">
            <x v="909"/>
          </reference>
        </references>
      </pivotArea>
    </format>
    <format dxfId="104">
      <pivotArea dataOnly="0" labelOnly="1" outline="0" fieldPosition="0">
        <references count="1">
          <reference field="1" count="1">
            <x v="910"/>
          </reference>
        </references>
      </pivotArea>
    </format>
    <format dxfId="103">
      <pivotArea dataOnly="0" labelOnly="1" outline="0" fieldPosition="0">
        <references count="1">
          <reference field="1" count="1">
            <x v="911"/>
          </reference>
        </references>
      </pivotArea>
    </format>
    <format dxfId="102">
      <pivotArea dataOnly="0" labelOnly="1" outline="0" fieldPosition="0">
        <references count="1">
          <reference field="1" count="1">
            <x v="912"/>
          </reference>
        </references>
      </pivotArea>
    </format>
    <format dxfId="101">
      <pivotArea dataOnly="0" labelOnly="1" outline="0" fieldPosition="0">
        <references count="1">
          <reference field="1" count="1">
            <x v="913"/>
          </reference>
        </references>
      </pivotArea>
    </format>
    <format dxfId="100">
      <pivotArea dataOnly="0" labelOnly="1" outline="0" fieldPosition="0">
        <references count="1">
          <reference field="1" count="1">
            <x v="914"/>
          </reference>
        </references>
      </pivotArea>
    </format>
    <format dxfId="99">
      <pivotArea dataOnly="0" labelOnly="1" outline="0" fieldPosition="0">
        <references count="1">
          <reference field="1" count="1">
            <x v="915"/>
          </reference>
        </references>
      </pivotArea>
    </format>
    <format dxfId="98">
      <pivotArea dataOnly="0" labelOnly="1" outline="0" fieldPosition="0">
        <references count="1">
          <reference field="1" count="1">
            <x v="916"/>
          </reference>
        </references>
      </pivotArea>
    </format>
    <format dxfId="97">
      <pivotArea dataOnly="0" labelOnly="1" outline="0" fieldPosition="0">
        <references count="1">
          <reference field="1" count="1">
            <x v="917"/>
          </reference>
        </references>
      </pivotArea>
    </format>
    <format dxfId="96">
      <pivotArea dataOnly="0" labelOnly="1" outline="0" fieldPosition="0">
        <references count="1">
          <reference field="1" count="1">
            <x v="918"/>
          </reference>
        </references>
      </pivotArea>
    </format>
    <format dxfId="95">
      <pivotArea dataOnly="0" labelOnly="1" outline="0" fieldPosition="0">
        <references count="1">
          <reference field="1" count="1">
            <x v="919"/>
          </reference>
        </references>
      </pivotArea>
    </format>
    <format dxfId="94">
      <pivotArea dataOnly="0" labelOnly="1" outline="0" fieldPosition="0">
        <references count="1">
          <reference field="1" count="1">
            <x v="920"/>
          </reference>
        </references>
      </pivotArea>
    </format>
    <format dxfId="93">
      <pivotArea dataOnly="0" labelOnly="1" outline="0" fieldPosition="0">
        <references count="1">
          <reference field="1" count="1">
            <x v="921"/>
          </reference>
        </references>
      </pivotArea>
    </format>
    <format dxfId="92">
      <pivotArea dataOnly="0" labelOnly="1" outline="0" fieldPosition="0">
        <references count="1">
          <reference field="1" count="1">
            <x v="922"/>
          </reference>
        </references>
      </pivotArea>
    </format>
    <format dxfId="91">
      <pivotArea dataOnly="0" labelOnly="1" outline="0" fieldPosition="0">
        <references count="1">
          <reference field="1" count="1">
            <x v="923"/>
          </reference>
        </references>
      </pivotArea>
    </format>
    <format dxfId="90">
      <pivotArea dataOnly="0" labelOnly="1" outline="0" fieldPosition="0">
        <references count="1">
          <reference field="1" count="1">
            <x v="924"/>
          </reference>
        </references>
      </pivotArea>
    </format>
    <format dxfId="89">
      <pivotArea dataOnly="0" labelOnly="1" outline="0" fieldPosition="0">
        <references count="1">
          <reference field="1" count="1">
            <x v="925"/>
          </reference>
        </references>
      </pivotArea>
    </format>
    <format dxfId="88">
      <pivotArea dataOnly="0" labelOnly="1" outline="0" fieldPosition="0">
        <references count="1">
          <reference field="1" count="1">
            <x v="926"/>
          </reference>
        </references>
      </pivotArea>
    </format>
    <format dxfId="87">
      <pivotArea dataOnly="0" labelOnly="1" outline="0" fieldPosition="0">
        <references count="1">
          <reference field="1" count="1">
            <x v="927"/>
          </reference>
        </references>
      </pivotArea>
    </format>
    <format dxfId="86">
      <pivotArea dataOnly="0" labelOnly="1" outline="0" fieldPosition="0">
        <references count="1">
          <reference field="1" count="1">
            <x v="928"/>
          </reference>
        </references>
      </pivotArea>
    </format>
    <format dxfId="85">
      <pivotArea dataOnly="0" labelOnly="1" outline="0" fieldPosition="0">
        <references count="1">
          <reference field="1" count="1">
            <x v="929"/>
          </reference>
        </references>
      </pivotArea>
    </format>
    <format dxfId="84">
      <pivotArea dataOnly="0" labelOnly="1" outline="0" fieldPosition="0">
        <references count="1">
          <reference field="1" count="1">
            <x v="930"/>
          </reference>
        </references>
      </pivotArea>
    </format>
    <format dxfId="83">
      <pivotArea dataOnly="0" labelOnly="1" outline="0" fieldPosition="0">
        <references count="1">
          <reference field="1" count="1">
            <x v="931"/>
          </reference>
        </references>
      </pivotArea>
    </format>
    <format dxfId="82">
      <pivotArea dataOnly="0" labelOnly="1" outline="0" fieldPosition="0">
        <references count="1">
          <reference field="1" count="1">
            <x v="932"/>
          </reference>
        </references>
      </pivotArea>
    </format>
    <format dxfId="81">
      <pivotArea dataOnly="0" labelOnly="1" outline="0" fieldPosition="0">
        <references count="1">
          <reference field="1" count="1">
            <x v="933"/>
          </reference>
        </references>
      </pivotArea>
    </format>
    <format dxfId="80">
      <pivotArea dataOnly="0" labelOnly="1" outline="0" fieldPosition="0">
        <references count="1">
          <reference field="1" count="1">
            <x v="934"/>
          </reference>
        </references>
      </pivotArea>
    </format>
    <format dxfId="79">
      <pivotArea dataOnly="0" labelOnly="1" outline="0" fieldPosition="0">
        <references count="1">
          <reference field="1" count="1">
            <x v="935"/>
          </reference>
        </references>
      </pivotArea>
    </format>
    <format dxfId="78">
      <pivotArea dataOnly="0" labelOnly="1" outline="0" fieldPosition="0">
        <references count="1">
          <reference field="1" count="1">
            <x v="936"/>
          </reference>
        </references>
      </pivotArea>
    </format>
    <format dxfId="77">
      <pivotArea dataOnly="0" labelOnly="1" outline="0" fieldPosition="0">
        <references count="1">
          <reference field="1" count="1">
            <x v="937"/>
          </reference>
        </references>
      </pivotArea>
    </format>
    <format dxfId="76">
      <pivotArea dataOnly="0" labelOnly="1" outline="0" fieldPosition="0">
        <references count="1">
          <reference field="1" count="1">
            <x v="938"/>
          </reference>
        </references>
      </pivotArea>
    </format>
    <format dxfId="75">
      <pivotArea dataOnly="0" labelOnly="1" outline="0" fieldPosition="0">
        <references count="1">
          <reference field="1" count="1">
            <x v="939"/>
          </reference>
        </references>
      </pivotArea>
    </format>
    <format dxfId="74">
      <pivotArea dataOnly="0" labelOnly="1" outline="0" fieldPosition="0">
        <references count="1">
          <reference field="1" count="1">
            <x v="940"/>
          </reference>
        </references>
      </pivotArea>
    </format>
    <format dxfId="73">
      <pivotArea dataOnly="0" labelOnly="1" outline="0" fieldPosition="0">
        <references count="1">
          <reference field="1" count="1">
            <x v="941"/>
          </reference>
        </references>
      </pivotArea>
    </format>
    <format dxfId="72">
      <pivotArea dataOnly="0" labelOnly="1" outline="0" fieldPosition="0">
        <references count="1">
          <reference field="1" count="1">
            <x v="942"/>
          </reference>
        </references>
      </pivotArea>
    </format>
    <format dxfId="71">
      <pivotArea dataOnly="0" labelOnly="1" outline="0" fieldPosition="0">
        <references count="1">
          <reference field="1" count="1">
            <x v="943"/>
          </reference>
        </references>
      </pivotArea>
    </format>
    <format dxfId="70">
      <pivotArea dataOnly="0" labelOnly="1" outline="0" fieldPosition="0">
        <references count="1">
          <reference field="1" count="1">
            <x v="944"/>
          </reference>
        </references>
      </pivotArea>
    </format>
    <format dxfId="69">
      <pivotArea dataOnly="0" labelOnly="1" outline="0" fieldPosition="0">
        <references count="1">
          <reference field="1" count="1">
            <x v="945"/>
          </reference>
        </references>
      </pivotArea>
    </format>
    <format dxfId="68">
      <pivotArea dataOnly="0" labelOnly="1" outline="0" fieldPosition="0">
        <references count="1">
          <reference field="1" count="1">
            <x v="946"/>
          </reference>
        </references>
      </pivotArea>
    </format>
    <format dxfId="67">
      <pivotArea dataOnly="0" labelOnly="1" outline="0" fieldPosition="0">
        <references count="1">
          <reference field="1" count="1">
            <x v="947"/>
          </reference>
        </references>
      </pivotArea>
    </format>
    <format dxfId="66">
      <pivotArea dataOnly="0" labelOnly="1" outline="0" fieldPosition="0">
        <references count="1">
          <reference field="1" count="1">
            <x v="948"/>
          </reference>
        </references>
      </pivotArea>
    </format>
    <format dxfId="65">
      <pivotArea dataOnly="0" labelOnly="1" outline="0" fieldPosition="0">
        <references count="1">
          <reference field="1" count="1">
            <x v="949"/>
          </reference>
        </references>
      </pivotArea>
    </format>
    <format dxfId="64">
      <pivotArea dataOnly="0" labelOnly="1" outline="0" fieldPosition="0">
        <references count="1">
          <reference field="1" count="1">
            <x v="950"/>
          </reference>
        </references>
      </pivotArea>
    </format>
    <format dxfId="63">
      <pivotArea dataOnly="0" labelOnly="1" outline="0" fieldPosition="0">
        <references count="1">
          <reference field="1" count="1">
            <x v="951"/>
          </reference>
        </references>
      </pivotArea>
    </format>
    <format dxfId="62">
      <pivotArea dataOnly="0" labelOnly="1" outline="0" fieldPosition="0">
        <references count="1">
          <reference field="1" count="1">
            <x v="952"/>
          </reference>
        </references>
      </pivotArea>
    </format>
    <format dxfId="61">
      <pivotArea dataOnly="0" labelOnly="1" outline="0" fieldPosition="0">
        <references count="1">
          <reference field="1" count="1">
            <x v="953"/>
          </reference>
        </references>
      </pivotArea>
    </format>
    <format dxfId="60">
      <pivotArea dataOnly="0" labelOnly="1" outline="0" fieldPosition="0">
        <references count="1">
          <reference field="1" count="1">
            <x v="954"/>
          </reference>
        </references>
      </pivotArea>
    </format>
    <format dxfId="59">
      <pivotArea dataOnly="0" labelOnly="1" outline="0" fieldPosition="0">
        <references count="1">
          <reference field="1" count="1">
            <x v="955"/>
          </reference>
        </references>
      </pivotArea>
    </format>
    <format dxfId="58">
      <pivotArea dataOnly="0" labelOnly="1" outline="0" fieldPosition="0">
        <references count="1">
          <reference field="1" count="1">
            <x v="956"/>
          </reference>
        </references>
      </pivotArea>
    </format>
    <format dxfId="57">
      <pivotArea dataOnly="0" labelOnly="1" outline="0" fieldPosition="0">
        <references count="1">
          <reference field="1" count="1">
            <x v="957"/>
          </reference>
        </references>
      </pivotArea>
    </format>
    <format dxfId="56">
      <pivotArea dataOnly="0" labelOnly="1" outline="0" fieldPosition="0">
        <references count="1">
          <reference field="1" count="1">
            <x v="958"/>
          </reference>
        </references>
      </pivotArea>
    </format>
    <format dxfId="55">
      <pivotArea dataOnly="0" labelOnly="1" outline="0" fieldPosition="0">
        <references count="1">
          <reference field="1" count="1">
            <x v="959"/>
          </reference>
        </references>
      </pivotArea>
    </format>
    <format dxfId="54">
      <pivotArea dataOnly="0" labelOnly="1" outline="0" fieldPosition="0">
        <references count="1">
          <reference field="1" count="1">
            <x v="960"/>
          </reference>
        </references>
      </pivotArea>
    </format>
    <format dxfId="53">
      <pivotArea dataOnly="0" labelOnly="1" outline="0" fieldPosition="0">
        <references count="1">
          <reference field="1" count="1">
            <x v="961"/>
          </reference>
        </references>
      </pivotArea>
    </format>
    <format dxfId="52">
      <pivotArea dataOnly="0" labelOnly="1" outline="0" fieldPosition="0">
        <references count="1">
          <reference field="1" count="1">
            <x v="962"/>
          </reference>
        </references>
      </pivotArea>
    </format>
    <format dxfId="51">
      <pivotArea dataOnly="0" labelOnly="1" outline="0" fieldPosition="0">
        <references count="1">
          <reference field="1" count="1">
            <x v="963"/>
          </reference>
        </references>
      </pivotArea>
    </format>
    <format dxfId="50">
      <pivotArea dataOnly="0" labelOnly="1" outline="0" fieldPosition="0">
        <references count="1">
          <reference field="1" count="1">
            <x v="964"/>
          </reference>
        </references>
      </pivotArea>
    </format>
    <format dxfId="49">
      <pivotArea dataOnly="0" labelOnly="1" outline="0" fieldPosition="0">
        <references count="1">
          <reference field="1" count="1">
            <x v="965"/>
          </reference>
        </references>
      </pivotArea>
    </format>
    <format dxfId="48">
      <pivotArea dataOnly="0" labelOnly="1" outline="0" fieldPosition="0">
        <references count="1">
          <reference field="1" count="1">
            <x v="966"/>
          </reference>
        </references>
      </pivotArea>
    </format>
    <format dxfId="47">
      <pivotArea dataOnly="0" labelOnly="1" outline="0" fieldPosition="0">
        <references count="1">
          <reference field="1" count="1">
            <x v="967"/>
          </reference>
        </references>
      </pivotArea>
    </format>
    <format dxfId="46">
      <pivotArea dataOnly="0" labelOnly="1" outline="0" fieldPosition="0">
        <references count="1">
          <reference field="1" count="1">
            <x v="968"/>
          </reference>
        </references>
      </pivotArea>
    </format>
    <format dxfId="45">
      <pivotArea dataOnly="0" labelOnly="1" outline="0" fieldPosition="0">
        <references count="1">
          <reference field="1" count="1">
            <x v="969"/>
          </reference>
        </references>
      </pivotArea>
    </format>
    <format dxfId="44">
      <pivotArea dataOnly="0" labelOnly="1" outline="0" fieldPosition="0">
        <references count="1">
          <reference field="1" count="1">
            <x v="970"/>
          </reference>
        </references>
      </pivotArea>
    </format>
    <format dxfId="43">
      <pivotArea dataOnly="0" labelOnly="1" outline="0" fieldPosition="0">
        <references count="1">
          <reference field="1" count="1">
            <x v="971"/>
          </reference>
        </references>
      </pivotArea>
    </format>
    <format dxfId="42">
      <pivotArea dataOnly="0" labelOnly="1" outline="0" fieldPosition="0">
        <references count="1">
          <reference field="1" count="1">
            <x v="972"/>
          </reference>
        </references>
      </pivotArea>
    </format>
    <format dxfId="41">
      <pivotArea dataOnly="0" labelOnly="1" outline="0" fieldPosition="0">
        <references count="1">
          <reference field="1" count="1">
            <x v="973"/>
          </reference>
        </references>
      </pivotArea>
    </format>
    <format dxfId="40">
      <pivotArea dataOnly="0" labelOnly="1" outline="0" fieldPosition="0">
        <references count="1">
          <reference field="1" count="1">
            <x v="974"/>
          </reference>
        </references>
      </pivotArea>
    </format>
    <format dxfId="39">
      <pivotArea dataOnly="0" labelOnly="1" outline="0" fieldPosition="0">
        <references count="1">
          <reference field="1" count="1">
            <x v="975"/>
          </reference>
        </references>
      </pivotArea>
    </format>
    <format dxfId="38">
      <pivotArea dataOnly="0" labelOnly="1" outline="0" fieldPosition="0">
        <references count="1">
          <reference field="1" count="1">
            <x v="976"/>
          </reference>
        </references>
      </pivotArea>
    </format>
    <format dxfId="37">
      <pivotArea dataOnly="0" labelOnly="1" outline="0" fieldPosition="0">
        <references count="1">
          <reference field="1" count="1">
            <x v="977"/>
          </reference>
        </references>
      </pivotArea>
    </format>
    <format dxfId="36">
      <pivotArea dataOnly="0" labelOnly="1" outline="0" fieldPosition="0">
        <references count="1">
          <reference field="1" count="1">
            <x v="978"/>
          </reference>
        </references>
      </pivotArea>
    </format>
    <format dxfId="35">
      <pivotArea dataOnly="0" labelOnly="1" outline="0" fieldPosition="0">
        <references count="1">
          <reference field="1" count="1">
            <x v="979"/>
          </reference>
        </references>
      </pivotArea>
    </format>
    <format dxfId="34">
      <pivotArea dataOnly="0" labelOnly="1" outline="0" fieldPosition="0">
        <references count="1">
          <reference field="1" count="1">
            <x v="980"/>
          </reference>
        </references>
      </pivotArea>
    </format>
    <format dxfId="33">
      <pivotArea dataOnly="0" labelOnly="1" outline="0" fieldPosition="0">
        <references count="1">
          <reference field="1" count="1">
            <x v="981"/>
          </reference>
        </references>
      </pivotArea>
    </format>
    <format dxfId="32">
      <pivotArea dataOnly="0" labelOnly="1" outline="0" fieldPosition="0">
        <references count="1">
          <reference field="1" count="1">
            <x v="982"/>
          </reference>
        </references>
      </pivotArea>
    </format>
    <format dxfId="31">
      <pivotArea dataOnly="0" labelOnly="1" outline="0" fieldPosition="0">
        <references count="1">
          <reference field="1" count="1">
            <x v="983"/>
          </reference>
        </references>
      </pivotArea>
    </format>
    <format dxfId="30">
      <pivotArea dataOnly="0" labelOnly="1" outline="0" fieldPosition="0">
        <references count="1">
          <reference field="1" count="1">
            <x v="984"/>
          </reference>
        </references>
      </pivotArea>
    </format>
    <format dxfId="29">
      <pivotArea dataOnly="0" labelOnly="1" outline="0" fieldPosition="0">
        <references count="1">
          <reference field="1" count="1">
            <x v="985"/>
          </reference>
        </references>
      </pivotArea>
    </format>
    <format dxfId="28">
      <pivotArea dataOnly="0" labelOnly="1" outline="0" fieldPosition="0">
        <references count="1">
          <reference field="1" count="1">
            <x v="986"/>
          </reference>
        </references>
      </pivotArea>
    </format>
    <format dxfId="27">
      <pivotArea dataOnly="0" labelOnly="1" outline="0" fieldPosition="0">
        <references count="1">
          <reference field="1" count="1">
            <x v="987"/>
          </reference>
        </references>
      </pivotArea>
    </format>
    <format dxfId="26">
      <pivotArea dataOnly="0" labelOnly="1" outline="0" fieldPosition="0">
        <references count="1">
          <reference field="1" count="1">
            <x v="988"/>
          </reference>
        </references>
      </pivotArea>
    </format>
    <format dxfId="25">
      <pivotArea dataOnly="0" labelOnly="1" outline="0" fieldPosition="0">
        <references count="1">
          <reference field="1" count="1">
            <x v="989"/>
          </reference>
        </references>
      </pivotArea>
    </format>
    <format dxfId="24">
      <pivotArea dataOnly="0" labelOnly="1" outline="0" fieldPosition="0">
        <references count="1">
          <reference field="1" count="1">
            <x v="990"/>
          </reference>
        </references>
      </pivotArea>
    </format>
    <format dxfId="23">
      <pivotArea dataOnly="0" labelOnly="1" outline="0" fieldPosition="0">
        <references count="1">
          <reference field="1" count="1">
            <x v="991"/>
          </reference>
        </references>
      </pivotArea>
    </format>
    <format dxfId="22">
      <pivotArea dataOnly="0" labelOnly="1" outline="0" fieldPosition="0">
        <references count="1">
          <reference field="1" count="1">
            <x v="992"/>
          </reference>
        </references>
      </pivotArea>
    </format>
    <format dxfId="21">
      <pivotArea dataOnly="0" labelOnly="1" outline="0" fieldPosition="0">
        <references count="1">
          <reference field="1" count="1">
            <x v="993"/>
          </reference>
        </references>
      </pivotArea>
    </format>
    <format dxfId="20">
      <pivotArea dataOnly="0" labelOnly="1" outline="0" fieldPosition="0">
        <references count="1">
          <reference field="1" count="1">
            <x v="994"/>
          </reference>
        </references>
      </pivotArea>
    </format>
    <format dxfId="19">
      <pivotArea dataOnly="0" labelOnly="1" outline="0" fieldPosition="0">
        <references count="1">
          <reference field="1" count="1">
            <x v="995"/>
          </reference>
        </references>
      </pivotArea>
    </format>
    <format dxfId="18">
      <pivotArea dataOnly="0" labelOnly="1" outline="0" fieldPosition="0">
        <references count="1">
          <reference field="1" count="1">
            <x v="996"/>
          </reference>
        </references>
      </pivotArea>
    </format>
    <format dxfId="17">
      <pivotArea dataOnly="0" labelOnly="1" outline="0" fieldPosition="0">
        <references count="1">
          <reference field="1" count="1">
            <x v="997"/>
          </reference>
        </references>
      </pivotArea>
    </format>
    <format dxfId="16">
      <pivotArea dataOnly="0" labelOnly="1" outline="0" fieldPosition="0">
        <references count="1">
          <reference field="1" count="1">
            <x v="998"/>
          </reference>
        </references>
      </pivotArea>
    </format>
    <format dxfId="15">
      <pivotArea dataOnly="0" labelOnly="1" outline="0" fieldPosition="0">
        <references count="1">
          <reference field="1" count="1">
            <x v="999"/>
          </reference>
        </references>
      </pivotArea>
    </format>
    <format dxfId="14">
      <pivotArea dataOnly="0" labelOnly="1" outline="0" fieldPosition="0">
        <references count="1">
          <reference field="1" count="1">
            <x v="1000"/>
          </reference>
        </references>
      </pivotArea>
    </format>
    <format dxfId="13">
      <pivotArea dataOnly="0" labelOnly="1" outline="0" fieldPosition="0">
        <references count="1">
          <reference field="1" count="1">
            <x v="1001"/>
          </reference>
        </references>
      </pivotArea>
    </format>
    <format dxfId="12">
      <pivotArea dataOnly="0" labelOnly="1" outline="0" fieldPosition="0">
        <references count="1">
          <reference field="1" count="1">
            <x v="1002"/>
          </reference>
        </references>
      </pivotArea>
    </format>
    <format dxfId="11">
      <pivotArea dataOnly="0" labelOnly="1" outline="0" fieldPosition="0">
        <references count="1">
          <reference field="1" count="1">
            <x v="1003"/>
          </reference>
        </references>
      </pivotArea>
    </format>
    <format dxfId="10">
      <pivotArea dataOnly="0" labelOnly="1" outline="0" fieldPosition="0">
        <references count="1">
          <reference field="1" count="1">
            <x v="1004"/>
          </reference>
        </references>
      </pivotArea>
    </format>
    <format dxfId="9">
      <pivotArea dataOnly="0" labelOnly="1" outline="0" fieldPosition="0">
        <references count="1">
          <reference field="1" count="1">
            <x v="1005"/>
          </reference>
        </references>
      </pivotArea>
    </format>
    <format dxfId="8">
      <pivotArea dataOnly="0" labelOnly="1" outline="0" fieldPosition="0">
        <references count="1">
          <reference field="1" count="1">
            <x v="1006"/>
          </reference>
        </references>
      </pivotArea>
    </format>
    <format dxfId="7">
      <pivotArea dataOnly="0" labelOnly="1" outline="0" fieldPosition="0">
        <references count="1">
          <reference field="1" count="1">
            <x v="1007"/>
          </reference>
        </references>
      </pivotArea>
    </format>
    <format dxfId="6">
      <pivotArea dataOnly="0" labelOnly="1" outline="0" fieldPosition="0">
        <references count="1">
          <reference field="1" count="1">
            <x v="1008"/>
          </reference>
        </references>
      </pivotArea>
    </format>
    <format dxfId="5">
      <pivotArea dataOnly="0" labelOnly="1" outline="0" fieldPosition="0">
        <references count="1">
          <reference field="1" count="1">
            <x v="1009"/>
          </reference>
        </references>
      </pivotArea>
    </format>
    <format dxfId="4">
      <pivotArea dataOnly="0" labelOnly="1" outline="0" fieldPosition="0">
        <references count="1">
          <reference field="1" count="1">
            <x v="1010"/>
          </reference>
        </references>
      </pivotArea>
    </format>
    <format dxfId="3">
      <pivotArea dataOnly="0" labelOnly="1" outline="0" fieldPosition="0">
        <references count="1">
          <reference field="1" count="1">
            <x v="1011"/>
          </reference>
        </references>
      </pivotArea>
    </format>
    <format dxfId="2">
      <pivotArea dataOnly="0" labelOnly="1" outline="0" fieldPosition="0">
        <references count="1">
          <reference field="1" count="1">
            <x v="1012"/>
          </reference>
        </references>
      </pivotArea>
    </format>
    <format dxfId="1">
      <pivotArea dataOnly="0" labelOnly="1" grandRow="1" outline="0" fieldPosition="0"/>
    </format>
  </formats>
  <conditionalFormats count="2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F208037-CF07-4ED7-802D-5BAA60F99DB9}" name="pvt_Pivot" cacheId="10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C8:I1022" firstHeaderRow="1" firstDataRow="1" firstDataCol="7"/>
  <pivotFields count="10">
    <pivotField compact="0" outline="0" showAll="0"/>
    <pivotField axis="axisRow" compact="0" outline="0" showAll="0" defaultSubtotal="0">
      <items count="1013">
        <item sd="0" x="422"/>
        <item sd="0" x="390"/>
        <item sd="0" x="34"/>
        <item sd="0" x="576"/>
        <item sd="0" x="656"/>
        <item sd="0" x="163"/>
        <item sd="0" x="623"/>
        <item sd="0" x="702"/>
        <item sd="0" x="410"/>
        <item sd="0" x="986"/>
        <item sd="0" x="789"/>
        <item sd="0" x="784"/>
        <item sd="0" x="0"/>
        <item sd="0" x="614"/>
        <item sd="0" x="798"/>
        <item sd="0" x="718"/>
        <item sd="0" x="285"/>
        <item sd="0" x="985"/>
        <item sd="0" x="914"/>
        <item sd="0" x="18"/>
        <item sd="0" x="171"/>
        <item sd="0" x="9"/>
        <item sd="0" x="996"/>
        <item sd="0" x="280"/>
        <item sd="0" x="847"/>
        <item sd="0" x="397"/>
        <item sd="0" x="194"/>
        <item sd="0" x="686"/>
        <item sd="0" x="984"/>
        <item sd="0" x="549"/>
        <item sd="0" x="444"/>
        <item sd="0" x="39"/>
        <item sd="0" x="105"/>
        <item sd="0" x="889"/>
        <item sd="0" x="608"/>
        <item sd="0" x="417"/>
        <item sd="0" x="213"/>
        <item sd="0" x="443"/>
        <item sd="0" x="515"/>
        <item sd="0" x="578"/>
        <item sd="0" x="792"/>
        <item sd="0" x="638"/>
        <item sd="0" x="696"/>
        <item sd="0" x="806"/>
        <item sd="0" x="675"/>
        <item sd="0" x="754"/>
        <item sd="0" x="346"/>
        <item sd="0" x="871"/>
        <item sd="0" x="267"/>
        <item sd="0" x="59"/>
        <item sd="0" x="482"/>
        <item sd="0" x="752"/>
        <item sd="0" x="142"/>
        <item sd="0" x="221"/>
        <item sd="0" x="207"/>
        <item sd="0" x="345"/>
        <item sd="0" x="528"/>
        <item sd="0" x="522"/>
        <item sd="0" x="344"/>
        <item sd="0" x="585"/>
        <item sd="0" x="998"/>
        <item sd="0" x="802"/>
        <item sd="0" x="179"/>
        <item sd="0" x="513"/>
        <item sd="0" x="973"/>
        <item sd="0" x="8"/>
        <item sd="0" x="890"/>
        <item sd="0" x="426"/>
        <item sd="0" x="313"/>
        <item sd="0" x="961"/>
        <item sd="0" x="969"/>
        <item sd="0" x="86"/>
        <item sd="0" x="901"/>
        <item sd="0" x="275"/>
        <item sd="0" x="143"/>
        <item sd="0" x="832"/>
        <item sd="0" x="679"/>
        <item sd="0" x="835"/>
        <item sd="0" x="312"/>
        <item sd="0" x="947"/>
        <item sd="0" x="880"/>
        <item sd="0" x="627"/>
        <item sd="0" x="819"/>
        <item sd="0" x="979"/>
        <item sd="0" x="892"/>
        <item sd="0" x="706"/>
        <item sd="0" x="498"/>
        <item sd="0" x="539"/>
        <item sd="0" x="500"/>
        <item sd="0" x="215"/>
        <item sd="0" x="177"/>
        <item sd="0" x="61"/>
        <item sd="0" x="183"/>
        <item sd="0" x="628"/>
        <item sd="0" x="458"/>
        <item sd="0" x="62"/>
        <item sd="0" x="708"/>
        <item sd="0" x="916"/>
        <item sd="0" x="189"/>
        <item sd="0" x="650"/>
        <item sd="0" x="978"/>
        <item sd="0" x="733"/>
        <item sd="0" x="761"/>
        <item sd="0" x="632"/>
        <item sd="0" x="1008"/>
        <item sd="0" x="382"/>
        <item sd="0" x="1005"/>
        <item sd="0" x="824"/>
        <item sd="0" x="727"/>
        <item sd="0" x="13"/>
        <item sd="0" x="246"/>
        <item sd="0" x="432"/>
        <item sd="0" x="568"/>
        <item sd="0" x="391"/>
        <item sd="0" x="563"/>
        <item sd="0" x="111"/>
        <item sd="0" x="606"/>
        <item sd="0" x="560"/>
        <item sd="0" x="469"/>
        <item sd="0" x="128"/>
        <item sd="0" x="310"/>
        <item sd="0" x="250"/>
        <item sd="0" x="900"/>
        <item sd="0" x="797"/>
        <item sd="0" x="772"/>
        <item sd="0" x="360"/>
        <item sd="0" x="228"/>
        <item sd="0" x="28"/>
        <item sd="0" x="666"/>
        <item sd="0" x="858"/>
        <item sd="0" x="654"/>
        <item sd="0" x="470"/>
        <item sd="0" x="43"/>
        <item sd="0" x="5"/>
        <item sd="0" x="945"/>
        <item sd="0" x="804"/>
        <item sd="0" x="876"/>
        <item sd="0" x="626"/>
        <item sd="0" x="837"/>
        <item sd="0" x="157"/>
        <item sd="0" x="327"/>
        <item sd="0" x="428"/>
        <item sd="0" x="976"/>
        <item sd="0" x="621"/>
        <item sd="0" x="715"/>
        <item sd="0" x="943"/>
        <item sd="0" x="615"/>
        <item sd="0" x="521"/>
        <item sd="0" x="652"/>
        <item sd="0" x="154"/>
        <item sd="0" x="404"/>
        <item sd="0" x="314"/>
        <item sd="0" x="220"/>
        <item sd="0" x="682"/>
        <item sd="0" x="673"/>
        <item sd="0" x="243"/>
        <item sd="0" x="720"/>
        <item sd="0" x="524"/>
        <item sd="0" x="596"/>
        <item sd="0" x="553"/>
        <item sd="0" x="777"/>
        <item sd="0" x="456"/>
        <item sd="0" x="834"/>
        <item sd="0" x="531"/>
        <item sd="0" x="150"/>
        <item sd="0" x="321"/>
        <item sd="0" x="420"/>
        <item sd="0" x="68"/>
        <item sd="0" x="514"/>
        <item sd="0" x="300"/>
        <item sd="0" x="292"/>
        <item sd="0" x="764"/>
        <item sd="0" x="26"/>
        <item sd="0" x="911"/>
        <item sd="0" x="261"/>
        <item sd="0" x="198"/>
        <item sd="0" x="602"/>
        <item sd="0" x="332"/>
        <item sd="0" x="504"/>
        <item sd="0" x="740"/>
        <item sd="0" x="550"/>
        <item sd="0" x="690"/>
        <item sd="0" x="50"/>
        <item sd="0" x="724"/>
        <item sd="0" x="781"/>
        <item sd="0" x="225"/>
        <item sd="0" x="769"/>
        <item sd="0" x="477"/>
        <item sd="0" x="83"/>
        <item sd="0" x="905"/>
        <item sd="0" x="229"/>
        <item sd="0" x="716"/>
        <item sd="0" x="831"/>
        <item sd="0" x="1001"/>
        <item sd="0" x="778"/>
        <item sd="0" x="613"/>
        <item sd="0" x="925"/>
        <item sd="0" x="995"/>
        <item sd="0" x="4"/>
        <item sd="0" x="440"/>
        <item sd="0" x="637"/>
        <item sd="0" x="1010"/>
        <item sd="0" x="32"/>
        <item sd="0" x="299"/>
        <item sd="0" x="92"/>
        <item sd="0" x="786"/>
        <item sd="0" x="739"/>
        <item sd="0" x="899"/>
        <item sd="0" x="239"/>
        <item sd="0" x="891"/>
        <item sd="0" x="542"/>
        <item sd="0" x="375"/>
        <item sd="0" x="472"/>
        <item sd="0" x="551"/>
        <item sd="0" x="491"/>
        <item sd="0" x="870"/>
        <item sd="0" x="830"/>
        <item sd="0" x="800"/>
        <item sd="0" x="860"/>
        <item sd="0" x="518"/>
        <item sd="0" x="152"/>
        <item sd="0" x="643"/>
        <item sd="0" x="114"/>
        <item sd="0" x="579"/>
        <item sd="0" x="791"/>
        <item sd="0" x="544"/>
        <item sd="0" x="826"/>
        <item sd="0" x="821"/>
        <item sd="0" x="14"/>
        <item sd="0" x="646"/>
        <item sd="0" x="714"/>
        <item sd="0" x="126"/>
        <item sd="0" x="817"/>
        <item sd="0" x="124"/>
        <item sd="0" x="247"/>
        <item sd="0" x="471"/>
        <item sd="0" x="882"/>
        <item sd="0" x="115"/>
        <item sd="0" x="249"/>
        <item sd="0" x="75"/>
        <item sd="0" x="940"/>
        <item sd="0" x="810"/>
        <item sd="0" x="676"/>
        <item sd="0" x="190"/>
        <item sd="0" x="173"/>
        <item sd="0" x="333"/>
        <item sd="0" x="572"/>
        <item sd="0" x="736"/>
        <item sd="0" x="562"/>
        <item sd="0" x="19"/>
        <item sd="0" x="782"/>
        <item sd="0" x="25"/>
        <item sd="0" x="48"/>
        <item sd="0" x="222"/>
        <item sd="0" x="95"/>
        <item sd="0" x="517"/>
        <item sd="0" x="833"/>
        <item sd="0" x="957"/>
        <item sd="0" x="692"/>
        <item sd="0" x="58"/>
        <item sd="0" x="735"/>
        <item sd="0" x="349"/>
        <item sd="0" x="149"/>
        <item sd="0" x="987"/>
        <item sd="0" x="112"/>
        <item sd="0" x="681"/>
        <item sd="0" x="369"/>
        <item sd="0" x="603"/>
        <item sd="0" x="187"/>
        <item sd="0" x="634"/>
        <item sd="0" x="678"/>
        <item sd="0" x="436"/>
        <item sd="0" x="318"/>
        <item sd="0" x="755"/>
        <item sd="0" x="842"/>
        <item sd="0" x="657"/>
        <item sd="0" x="468"/>
        <item sd="0" x="212"/>
        <item sd="0" x="762"/>
        <item sd="0" x="510"/>
        <item sd="0" x="839"/>
        <item sd="0" x="121"/>
        <item sd="0" x="307"/>
        <item sd="0" x="174"/>
        <item sd="0" x="588"/>
        <item sd="0" x="866"/>
        <item sd="0" x="557"/>
        <item sd="0" x="208"/>
        <item sd="0" x="100"/>
        <item sd="0" x="564"/>
        <item sd="0" x="829"/>
        <item sd="0" x="700"/>
        <item sd="0" x="433"/>
        <item sd="0" x="88"/>
        <item sd="0" x="104"/>
        <item sd="0" x="565"/>
        <item sd="0" x="476"/>
        <item sd="0" x="389"/>
        <item sd="0" x="271"/>
        <item sd="0" x="158"/>
        <item sd="0" x="610"/>
        <item sd="0" x="319"/>
        <item sd="0" x="948"/>
        <item sd="0" x="317"/>
        <item sd="0" x="624"/>
        <item sd="0" x="774"/>
        <item sd="0" x="353"/>
        <item sd="0" x="898"/>
        <item sd="0" x="680"/>
        <item sd="0" x="561"/>
        <item sd="0" x="717"/>
        <item sd="0" x="555"/>
        <item sd="0" x="180"/>
        <item sd="0" x="398"/>
        <item sd="0" x="113"/>
        <item sd="0" x="622"/>
        <item sd="0" x="301"/>
        <item sd="0" x="582"/>
        <item sd="0" x="768"/>
        <item sd="0" x="74"/>
        <item sd="0" x="16"/>
        <item sd="0" x="89"/>
        <item sd="0" x="342"/>
        <item sd="0" x="193"/>
        <item sd="0" x="807"/>
        <item sd="0" x="741"/>
        <item sd="0" x="808"/>
        <item sd="0" x="162"/>
        <item sd="0" x="883"/>
        <item sd="0" x="288"/>
        <item sd="0" x="159"/>
        <item sd="0" x="725"/>
        <item sd="0" x="260"/>
        <item sd="0" x="838"/>
        <item sd="0" x="396"/>
        <item sd="0" x="459"/>
        <item sd="0" x="98"/>
        <item sd="0" x="435"/>
        <item sd="0" x="385"/>
        <item sd="0" x="395"/>
        <item sd="0" x="145"/>
        <item sd="0" x="962"/>
        <item sd="0" x="11"/>
        <item sd="0" x="794"/>
        <item sd="0" x="919"/>
        <item sd="0" x="827"/>
        <item sd="0" x="81"/>
        <item sd="0" x="644"/>
        <item sd="0" x="981"/>
        <item sd="0" x="630"/>
        <item sd="0" x="80"/>
        <item sd="0" x="252"/>
        <item sd="0" x="52"/>
        <item sd="0" x="850"/>
        <item sd="0" x="799"/>
        <item sd="0" x="823"/>
        <item sd="0" x="102"/>
        <item sd="0" x="296"/>
        <item sd="0" x="508"/>
        <item sd="0" x="372"/>
        <item sd="0" x="358"/>
        <item sd="0" x="462"/>
        <item sd="0" x="146"/>
        <item sd="0" x="841"/>
        <item sd="0" x="844"/>
        <item sd="0" x="99"/>
        <item sd="0" x="861"/>
        <item sd="0" x="316"/>
        <item sd="0" x="406"/>
        <item sd="0" x="705"/>
        <item sd="0" x="374"/>
        <item sd="0" x="421"/>
        <item sd="0" x="380"/>
        <item sd="0" x="574"/>
        <item sd="0" x="17"/>
        <item sd="0" x="868"/>
        <item sd="0" x="51"/>
        <item sd="0" x="96"/>
        <item sd="0" x="710"/>
        <item sd="0" x="140"/>
        <item sd="0" x="506"/>
        <item sd="0" x="598"/>
        <item sd="0" x="216"/>
        <item sd="0" x="125"/>
        <item sd="0" x="767"/>
        <item sd="0" x="291"/>
        <item sd="0" x="72"/>
        <item sd="0" x="912"/>
        <item sd="0" x="709"/>
        <item sd="0" x="224"/>
        <item sd="0" x="201"/>
        <item sd="0" x="377"/>
        <item sd="0" x="935"/>
        <item sd="0" x="286"/>
        <item sd="0" x="236"/>
        <item sd="0" x="130"/>
        <item sd="0" x="813"/>
        <item sd="0" x="109"/>
        <item sd="0" x="818"/>
        <item sd="0" x="298"/>
        <item sd="0" x="323"/>
        <item sd="0" x="854"/>
        <item sd="0" x="975"/>
        <item sd="0" x="918"/>
        <item sd="0" x="516"/>
        <item sd="0" x="322"/>
        <item sd="0" x="331"/>
        <item sd="0" x="862"/>
        <item sd="0" x="153"/>
        <item sd="0" x="303"/>
        <item sd="0" x="30"/>
        <item sd="0" x="745"/>
        <item sd="0" x="326"/>
        <item sd="0" x="640"/>
        <item sd="0" x="795"/>
        <item sd="0" x="27"/>
        <item sd="0" x="633"/>
        <item sd="0" x="21"/>
        <item sd="0" x="295"/>
        <item sd="0" x="445"/>
        <item sd="0" x="920"/>
        <item sd="0" x="903"/>
        <item sd="0" x="168"/>
        <item sd="0" x="958"/>
        <item sd="0" x="434"/>
        <item sd="0" x="262"/>
        <item sd="0" x="325"/>
        <item sd="0" x="659"/>
        <item sd="0" x="1003"/>
        <item sd="0" x="731"/>
        <item sd="0" x="170"/>
        <item sd="0" x="453"/>
        <item sd="0" x="721"/>
        <item sd="0" x="338"/>
        <item sd="0" x="530"/>
        <item sd="0" x="147"/>
        <item sd="0" x="407"/>
        <item sd="0" x="756"/>
        <item sd="0" x="759"/>
        <item sd="0" x="411"/>
        <item sd="0" x="449"/>
        <item sd="0" x="697"/>
        <item sd="0" x="101"/>
        <item sd="0" x="186"/>
        <item sd="0" x="129"/>
        <item sd="0" x="601"/>
        <item sd="0" x="55"/>
        <item sd="0" x="203"/>
        <item sd="0" x="15"/>
        <item sd="0" x="195"/>
        <item sd="0" x="787"/>
        <item sd="0" x="431"/>
        <item sd="0" x="651"/>
        <item sd="0" x="447"/>
        <item sd="0" x="616"/>
        <item sd="0" x="554"/>
        <item sd="0" x="10"/>
        <item sd="0" x="660"/>
        <item sd="0" x="479"/>
        <item sd="0" x="223"/>
        <item sd="0" x="747"/>
        <item sd="0" x="611"/>
        <item sd="0" x="66"/>
        <item sd="0" x="329"/>
        <item sd="0" x="647"/>
        <item sd="0" x="836"/>
        <item sd="0" x="294"/>
        <item sd="0" x="91"/>
        <item sd="0" x="437"/>
        <item sd="0" x="669"/>
        <item sd="0" x="254"/>
        <item sd="0" x="33"/>
        <item sd="0" x="581"/>
        <item sd="0" x="283"/>
        <item sd="0" x="155"/>
        <item sd="0" x="47"/>
        <item sd="0" x="908"/>
        <item sd="0" x="465"/>
        <item sd="0" x="877"/>
        <item sd="0" x="141"/>
        <item sd="0" x="805"/>
        <item sd="0" x="990"/>
        <item sd="0" x="364"/>
        <item sd="0" x="783"/>
        <item sd="0" x="367"/>
        <item sd="0" x="378"/>
        <item sd="0" x="400"/>
        <item sd="0" x="923"/>
        <item sd="0" x="773"/>
        <item sd="0" x="188"/>
        <item sd="0" x="577"/>
        <item sd="0" x="166"/>
        <item sd="0" x="40"/>
        <item sd="0" x="138"/>
        <item sd="0" x="192"/>
        <item sd="0" x="439"/>
        <item sd="0" x="467"/>
        <item sd="0" x="371"/>
        <item sd="0" x="90"/>
        <item sd="0" x="896"/>
        <item sd="0" x="365"/>
        <item sd="0" x="131"/>
        <item sd="0" x="265"/>
        <item sd="0" x="494"/>
        <item sd="0" x="348"/>
        <item sd="0" x="604"/>
        <item sd="0" x="455"/>
        <item sd="0" x="354"/>
        <item sd="0" x="339"/>
        <item sd="0" x="937"/>
        <item sd="0" x="415"/>
        <item sd="0" x="394"/>
        <item sd="0" x="85"/>
        <item sd="0" x="694"/>
        <item sd="0" x="412"/>
        <item sd="0" x="983"/>
        <item sd="0" x="24"/>
        <item sd="0" x="894"/>
        <item sd="0" x="388"/>
        <item sd="0" x="994"/>
        <item sd="0" x="488"/>
        <item sd="0" x="424"/>
        <item sd="0" x="214"/>
        <item sd="0" x="811"/>
        <item sd="0" x="698"/>
        <item sd="0" x="54"/>
        <item sd="0" x="302"/>
        <item sd="0" x="122"/>
        <item sd="0" x="796"/>
        <item sd="0" x="907"/>
        <item sd="0" x="335"/>
        <item sd="0" x="944"/>
        <item sd="0" x="766"/>
        <item sd="0" x="487"/>
        <item sd="0" x="119"/>
        <item sd="0" x="964"/>
        <item sd="0" x="266"/>
        <item sd="0" x="311"/>
        <item sd="0" x="362"/>
        <item sd="0" x="567"/>
        <item sd="0" x="205"/>
        <item sd="0" x="703"/>
        <item sd="0" x="921"/>
        <item sd="0" x="843"/>
        <item sd="0" x="917"/>
        <item sd="0" x="53"/>
        <item sd="0" x="855"/>
        <item sd="0" x="599"/>
        <item sd="0" x="282"/>
        <item sd="0" x="276"/>
        <item sd="0" x="263"/>
        <item sd="0" x="65"/>
        <item sd="0" x="677"/>
        <item sd="0" x="674"/>
        <item sd="0" x="566"/>
        <item sd="0" x="231"/>
        <item sd="0" x="277"/>
        <item sd="0" x="845"/>
        <item sd="0" x="139"/>
        <item sd="0" x="117"/>
        <item sd="0" x="41"/>
        <item sd="0" x="655"/>
        <item sd="0" x="618"/>
        <item sd="0" x="1007"/>
        <item sd="0" x="587"/>
        <item sd="0" x="1012"/>
        <item sd="0" x="306"/>
        <item sd="0" x="209"/>
        <item sd="0" x="402"/>
        <item sd="0" x="942"/>
        <item sd="0" x="929"/>
        <item sd="0" x="580"/>
        <item sd="0" x="881"/>
        <item sd="0" x="607"/>
        <item sd="0" x="559"/>
        <item sd="0" x="992"/>
        <item sd="0" x="161"/>
        <item sd="0" x="526"/>
        <item sd="0" x="665"/>
        <item sd="0" x="699"/>
        <item sd="0" x="946"/>
        <item sd="0" x="757"/>
        <item sd="0" x="464"/>
        <item sd="0" x="84"/>
        <item sd="0" x="328"/>
        <item sd="0" x="38"/>
        <item sd="0" x="132"/>
        <item sd="0" x="463"/>
        <item sd="0" x="672"/>
        <item sd="0" x="106"/>
        <item sd="0" x="297"/>
        <item sd="0" x="196"/>
        <item sd="0" x="873"/>
        <item sd="0" x="441"/>
        <item sd="0" x="94"/>
        <item sd="0" x="256"/>
        <item sd="0" x="123"/>
        <item sd="0" x="641"/>
        <item sd="0" x="481"/>
        <item sd="0" x="136"/>
        <item sd="0" x="87"/>
        <item sd="0" x="963"/>
        <item sd="0" x="617"/>
        <item sd="0" x="368"/>
        <item sd="0" x="69"/>
        <item sd="0" x="273"/>
        <item sd="0" x="384"/>
        <item sd="0" x="258"/>
        <item sd="0" x="537"/>
        <item sd="0" x="874"/>
        <item sd="0" x="971"/>
        <item sd="0" x="952"/>
        <item sd="0" x="591"/>
        <item sd="0" x="822"/>
        <item sd="0" x="3"/>
        <item sd="0" x="393"/>
        <item sd="0" x="218"/>
        <item sd="0" x="103"/>
        <item sd="0" x="851"/>
        <item sd="0" x="197"/>
        <item sd="0" x="1000"/>
        <item sd="0" x="887"/>
        <item sd="0" x="22"/>
        <item sd="0" x="29"/>
        <item sd="0" x="490"/>
        <item sd="0" x="232"/>
        <item sd="0" x="620"/>
        <item sd="0" x="120"/>
        <item sd="0" x="711"/>
        <item sd="0" x="497"/>
        <item sd="0" x="949"/>
        <item sd="0" x="878"/>
        <item sd="0" x="685"/>
        <item sd="0" x="667"/>
        <item sd="0" x="828"/>
        <item sd="0" x="199"/>
        <item sd="0" x="902"/>
        <item sd="0" x="452"/>
        <item sd="0" x="738"/>
        <item sd="0" x="556"/>
        <item sd="0" x="589"/>
        <item sd="0" x="909"/>
        <item sd="0" x="442"/>
        <item sd="0" x="758"/>
        <item sd="0" x="446"/>
        <item sd="0" x="44"/>
        <item sd="0" x="233"/>
        <item sd="0" x="355"/>
        <item sd="0" x="723"/>
        <item sd="0" x="408"/>
        <item sd="0" x="493"/>
        <item sd="0" x="248"/>
        <item sd="0" x="76"/>
        <item sd="0" x="499"/>
        <item sd="0" x="664"/>
        <item sd="0" x="127"/>
        <item sd="0" x="110"/>
        <item sd="0" x="176"/>
        <item sd="0" x="695"/>
        <item sd="0" x="848"/>
        <item sd="0" x="204"/>
        <item sd="0" x="251"/>
        <item sd="0" x="235"/>
        <item sd="0" x="609"/>
        <item sd="0" x="56"/>
        <item sd="0" x="519"/>
        <item sd="0" x="175"/>
        <item sd="0" x="343"/>
        <item sd="0" x="763"/>
        <item sd="0" x="178"/>
        <item sd="0" x="184"/>
        <item sd="0" x="713"/>
        <item sd="0" x="305"/>
        <item sd="0" x="997"/>
        <item sd="0" x="533"/>
        <item sd="0" x="950"/>
        <item sd="0" x="347"/>
        <item sd="0" x="376"/>
        <item sd="0" x="749"/>
        <item sd="0" x="381"/>
        <item sd="0" x="474"/>
        <item sd="0" x="938"/>
        <item sd="0" x="728"/>
        <item sd="0" x="629"/>
        <item sd="0" x="965"/>
        <item sd="0" x="941"/>
        <item sd="0" x="118"/>
        <item sd="0" x="480"/>
        <item sd="0" x="457"/>
        <item sd="0" x="466"/>
        <item sd="0" x="649"/>
        <item sd="0" x="753"/>
        <item sd="0" x="600"/>
        <item sd="0" x="167"/>
        <item sd="0" x="966"/>
        <item sd="0" x="520"/>
        <item sd="0" x="429"/>
        <item sd="0" x="809"/>
        <item sd="0" x="60"/>
        <item sd="0" x="570"/>
        <item sd="0" x="840"/>
        <item sd="0" x="217"/>
        <item sd="0" x="7"/>
        <item sd="0" x="977"/>
        <item sd="0" x="906"/>
        <item sd="0" x="507"/>
        <item sd="0" x="785"/>
        <item sd="0" x="450"/>
        <item sd="0" x="379"/>
        <item sd="0" x="732"/>
        <item sd="0" x="293"/>
        <item sd="0" x="575"/>
        <item sd="0" x="210"/>
        <item sd="0" x="543"/>
        <item sd="0" x="373"/>
        <item sd="0" x="569"/>
        <item sd="0" x="6"/>
        <item sd="0" x="872"/>
        <item sd="0" x="857"/>
        <item sd="0" x="496"/>
        <item sd="0" x="489"/>
        <item sd="0" x="571"/>
        <item sd="0" x="712"/>
        <item sd="0" x="742"/>
        <item sd="0" x="107"/>
        <item sd="0" x="57"/>
        <item sd="0" x="259"/>
        <item sd="0" x="287"/>
        <item sd="0" x="219"/>
        <item sd="0" x="234"/>
        <item sd="0" x="67"/>
        <item sd="0" x="897"/>
        <item sd="0" x="687"/>
        <item sd="0" x="169"/>
        <item sd="0" x="438"/>
        <item sd="0" x="888"/>
        <item sd="0" x="812"/>
        <item sd="0" x="631"/>
        <item sd="0" x="859"/>
        <item sd="0" x="133"/>
        <item sd="0" x="540"/>
        <item sd="0" x="181"/>
        <item sd="0" x="351"/>
        <item sd="0" x="684"/>
        <item sd="0" x="719"/>
        <item sd="0" x="924"/>
        <item sd="0" x="255"/>
        <item sd="0" x="534"/>
        <item sd="0" x="359"/>
        <item sd="0" x="242"/>
        <item sd="0" x="386"/>
        <item sd="0" x="134"/>
        <item sd="0" x="879"/>
        <item sd="0" x="12"/>
        <item sd="0" x="64"/>
        <item sd="0" x="448"/>
        <item sd="0" x="172"/>
        <item sd="0" x="968"/>
        <item sd="0" x="746"/>
        <item sd="0" x="885"/>
        <item sd="0" x="612"/>
        <item sd="0" x="370"/>
        <item sd="0" x="357"/>
        <item sd="0" x="693"/>
        <item sd="0" x="744"/>
        <item sd="0" x="240"/>
        <item sd="0" x="953"/>
        <item sd="0" x="73"/>
        <item sd="0" x="691"/>
        <item sd="0" x="547"/>
        <item sd="0" x="722"/>
        <item sd="0" x="502"/>
        <item sd="0" x="279"/>
        <item sd="0" x="45"/>
        <item sd="0" x="790"/>
        <item sd="0" x="980"/>
        <item sd="0" x="461"/>
        <item sd="0" x="1"/>
        <item sd="0" x="151"/>
        <item sd="0" x="737"/>
        <item sd="0" x="36"/>
        <item sd="0" x="670"/>
        <item sd="0" x="931"/>
        <item sd="0" x="852"/>
        <item sd="0" x="701"/>
        <item sd="0" x="955"/>
        <item sd="0" x="688"/>
        <item sd="0" x="473"/>
        <item sd="0" x="495"/>
        <item sd="0" x="93"/>
        <item sd="0" x="492"/>
        <item sd="0" x="707"/>
        <item sd="0" x="241"/>
        <item sd="0" x="814"/>
        <item sd="0" x="164"/>
        <item sd="0" x="750"/>
        <item sd="0" x="156"/>
        <item sd="0" x="503"/>
        <item sd="0" x="926"/>
        <item sd="0" x="671"/>
        <item sd="0" x="2"/>
        <item sd="0" x="748"/>
        <item sd="0" x="454"/>
        <item sd="0" x="663"/>
        <item sd="0" x="244"/>
        <item sd="0" x="1006"/>
        <item sd="0" x="558"/>
        <item sd="0" x="1011"/>
        <item sd="0" x="594"/>
        <item sd="0" x="959"/>
        <item sd="0" x="760"/>
        <item sd="0" x="281"/>
        <item sd="0" x="951"/>
        <item sd="0" x="416"/>
        <item sd="0" x="583"/>
        <item sd="0" x="352"/>
        <item sd="0" x="77"/>
        <item sd="0" x="272"/>
        <item sd="0" x="593"/>
        <item sd="0" x="635"/>
        <item sd="0" x="1004"/>
        <item sd="0" x="954"/>
        <item sd="0" x="191"/>
        <item sd="0" x="527"/>
        <item sd="0" x="274"/>
        <item sd="0" x="401"/>
        <item sd="0" x="815"/>
        <item sd="0" x="584"/>
        <item sd="0" x="846"/>
        <item sd="0" x="49"/>
        <item sd="0" x="71"/>
        <item sd="0" x="545"/>
        <item sd="0" x="573"/>
        <item sd="0" x="165"/>
        <item sd="0" x="541"/>
        <item sd="0" x="211"/>
        <item sd="0" x="387"/>
        <item sd="0" x="315"/>
        <item sd="0" x="776"/>
        <item sd="0" x="653"/>
        <item sd="0" x="270"/>
        <item sd="0" x="202"/>
        <item sd="0" x="399"/>
        <item sd="0" x="512"/>
        <item sd="0" x="913"/>
        <item sd="0" x="341"/>
        <item sd="0" x="423"/>
        <item sd="0" x="730"/>
        <item sd="0" x="413"/>
        <item sd="0" x="869"/>
        <item sd="0" x="330"/>
        <item sd="0" x="409"/>
        <item sd="0" x="967"/>
        <item sd="0" x="1002"/>
        <item sd="0" x="856"/>
        <item sd="0" x="743"/>
        <item sd="0" x="366"/>
        <item sd="0" x="775"/>
        <item sd="0" x="886"/>
        <item sd="0" x="538"/>
        <item sd="0" x="915"/>
        <item sd="0" x="289"/>
        <item sd="0" x="999"/>
        <item sd="0" x="619"/>
        <item sd="0" x="137"/>
        <item sd="0" x="185"/>
        <item sd="0" x="779"/>
        <item sd="0" x="875"/>
        <item sd="0" x="960"/>
        <item sd="0" x="483"/>
        <item sd="0" x="801"/>
        <item sd="0" x="525"/>
        <item sd="0" x="340"/>
        <item sd="0" x="662"/>
        <item sd="0" x="645"/>
        <item sd="0" x="42"/>
        <item sd="0" x="511"/>
        <item sd="0" x="910"/>
        <item sd="0" x="884"/>
        <item sd="0" x="939"/>
        <item sd="0" x="383"/>
        <item sd="0" x="904"/>
        <item sd="0" x="97"/>
        <item sd="0" x="460"/>
        <item sd="0" x="863"/>
        <item sd="0" x="337"/>
        <item sd="0" x="427"/>
        <item sd="0" x="200"/>
        <item sd="0" x="356"/>
        <item sd="0" x="536"/>
        <item sd="0" x="405"/>
        <item sd="0" x="552"/>
        <item sd="0" x="605"/>
        <item sd="0" x="320"/>
        <item sd="0" x="865"/>
        <item sd="0" x="793"/>
        <item sd="0" x="509"/>
        <item sd="0" x="974"/>
        <item sd="0" x="586"/>
        <item sd="0" x="46"/>
        <item sd="0" x="227"/>
        <item sd="0" x="988"/>
        <item sd="0" x="704"/>
        <item sd="0" x="989"/>
        <item sd="0" x="864"/>
        <item sd="0" x="484"/>
        <item sd="0" x="23"/>
        <item sd="0" x="936"/>
        <item sd="0" x="238"/>
        <item sd="0" x="304"/>
        <item sd="0" x="226"/>
        <item sd="0" x="523"/>
        <item sd="0" x="63"/>
        <item sd="0" x="290"/>
        <item sd="0" x="31"/>
        <item sd="0" x="590"/>
        <item sd="0" x="334"/>
        <item sd="0" x="350"/>
        <item sd="0" x="788"/>
        <item sd="0" x="927"/>
        <item sd="0" x="182"/>
        <item sd="0" x="419"/>
        <item sd="0" x="336"/>
        <item sd="0" x="933"/>
        <item sd="0" x="683"/>
        <item sd="0" x="895"/>
        <item sd="0" x="308"/>
        <item sd="0" x="70"/>
        <item sd="0" x="144"/>
        <item sd="0" x="993"/>
        <item sd="0" x="991"/>
        <item sd="0" x="548"/>
        <item sd="0" x="972"/>
        <item sd="0" x="20"/>
        <item sd="0" x="230"/>
        <item sd="0" x="485"/>
        <item sd="0" x="37"/>
        <item sd="0" x="765"/>
        <item sd="0" x="501"/>
        <item sd="0" x="661"/>
        <item sd="0" x="597"/>
        <item sd="0" x="532"/>
        <item sd="0" x="853"/>
        <item sd="0" x="79"/>
        <item sd="0" x="324"/>
        <item sd="0" x="770"/>
        <item sd="0" x="486"/>
        <item sd="0" x="893"/>
        <item sd="0" x="116"/>
        <item sd="0" x="35"/>
        <item sd="0" x="625"/>
        <item sd="0" x="639"/>
        <item sd="0" x="264"/>
        <item sd="0" x="956"/>
        <item sd="0" x="849"/>
        <item sd="0" x="363"/>
        <item sd="0" x="689"/>
        <item sd="0" x="803"/>
        <item sd="0" x="932"/>
        <item sd="0" x="668"/>
        <item sd="0" x="160"/>
        <item sd="0" x="78"/>
        <item sd="0" x="425"/>
        <item sd="0" x="934"/>
        <item sd="0" x="546"/>
        <item sd="0" x="245"/>
        <item sd="0" x="816"/>
        <item sd="0" x="825"/>
        <item sd="0" x="475"/>
        <item sd="0" x="451"/>
        <item sd="0" x="430"/>
        <item sd="0" x="592"/>
        <item sd="0" x="734"/>
        <item sd="0" x="867"/>
        <item sd="0" x="148"/>
        <item sd="0" x="414"/>
        <item sd="0" x="642"/>
        <item sd="0" x="309"/>
        <item sd="0" x="1009"/>
        <item sd="0" x="505"/>
        <item sd="0" x="658"/>
        <item sd="0" x="237"/>
        <item sd="0" x="418"/>
        <item sd="0" x="392"/>
        <item sd="0" x="135"/>
        <item sd="0" x="970"/>
        <item sd="0" x="820"/>
        <item sd="0" x="257"/>
        <item sd="0" x="82"/>
        <item sd="0" x="529"/>
        <item sd="0" x="726"/>
        <item sd="0" x="780"/>
        <item sd="0" x="403"/>
        <item sd="0" x="206"/>
        <item sd="0" x="269"/>
        <item sd="0" x="535"/>
        <item sd="0" x="284"/>
        <item sd="0" x="478"/>
        <item sd="0" x="648"/>
        <item sd="0" x="751"/>
        <item sd="0" x="108"/>
        <item sd="0" x="729"/>
        <item sd="0" x="922"/>
        <item sd="0" x="982"/>
        <item sd="0" x="771"/>
        <item sd="0" x="268"/>
        <item sd="0" x="636"/>
        <item sd="0" x="928"/>
        <item sd="0" x="278"/>
        <item sd="0" x="595"/>
        <item sd="0" x="930"/>
        <item sd="0" x="253"/>
        <item sd="0" x="361"/>
      </items>
    </pivotField>
    <pivotField axis="axisRow" compact="0" outline="0" showAll="0" defaultSubtotal="0">
      <items count="30">
        <item sd="0" x="2"/>
        <item sd="0" x="16"/>
        <item sd="0" x="14"/>
        <item sd="0" x="0"/>
        <item sd="0" x="3"/>
        <item sd="0" x="15"/>
        <item sd="0" x="18"/>
        <item sd="0" x="4"/>
        <item sd="0" x="19"/>
        <item sd="0" x="1"/>
        <item sd="0" x="7"/>
        <item sd="0" x="17"/>
        <item sd="0" x="21"/>
        <item sd="0" x="10"/>
        <item sd="0" x="22"/>
        <item sd="0" x="13"/>
        <item sd="0" x="24"/>
        <item sd="0" x="20"/>
        <item sd="0" x="6"/>
        <item sd="0" x="5"/>
        <item sd="0" x="23"/>
        <item sd="0" x="27"/>
        <item sd="0" x="25"/>
        <item sd="0" x="8"/>
        <item sd="0" x="28"/>
        <item sd="0" x="29"/>
        <item sd="0" x="9"/>
        <item sd="0" x="11"/>
        <item sd="0" x="12"/>
        <item sd="0" x="26"/>
      </items>
    </pivotField>
    <pivotField axis="axisRow" compact="0" outline="0" showAll="0" defaultSubtotal="0">
      <items count="8">
        <item sd="0" x="0"/>
        <item sd="0" x="1"/>
        <item sd="0" x="5"/>
        <item sd="0" x="7"/>
        <item sd="0" x="2"/>
        <item sd="0" x="3"/>
        <item sd="0" x="6"/>
        <item sd="0" x="4"/>
      </items>
    </pivotField>
    <pivotField axis="axisRow" compact="0" outline="0" showAll="0" defaultSubtotal="0">
      <items count="17">
        <item sd="0" x="16"/>
        <item sd="0" x="12"/>
        <item sd="0" x="3"/>
        <item sd="0" x="6"/>
        <item sd="0" x="4"/>
        <item sd="0" x="1"/>
        <item sd="0" x="2"/>
        <item sd="0" x="0"/>
        <item sd="0" x="7"/>
        <item sd="0" x="5"/>
        <item sd="0" x="10"/>
        <item sd="0" x="8"/>
        <item sd="0" x="9"/>
        <item sd="0" x="13"/>
        <item sd="0" x="11"/>
        <item sd="0" x="14"/>
        <item sd="0" x="15"/>
      </items>
    </pivotField>
    <pivotField axis="axisRow" compact="0" outline="0" showAll="0" defaultSubtotal="0">
      <items count="88">
        <item sd="0" x="59"/>
        <item sd="0" x="34"/>
        <item sd="0" x="77"/>
        <item sd="0" x="9"/>
        <item sd="0" x="87"/>
        <item sd="0" x="72"/>
        <item sd="0" x="47"/>
        <item sd="0" x="55"/>
        <item sd="0" x="76"/>
        <item sd="0" x="33"/>
        <item sd="0" x="60"/>
        <item sd="0" x="21"/>
        <item sd="0" x="4"/>
        <item sd="0" x="61"/>
        <item sd="0" x="41"/>
        <item sd="0" x="0"/>
        <item sd="0" x="65"/>
        <item sd="0" x="18"/>
        <item sd="0" x="80"/>
        <item sd="0" x="52"/>
        <item sd="0" x="8"/>
        <item sd="0" x="24"/>
        <item sd="0" x="62"/>
        <item sd="0" x="3"/>
        <item sd="0" x="10"/>
        <item sd="0" x="31"/>
        <item sd="0" x="64"/>
        <item sd="0" x="15"/>
        <item sd="0" x="58"/>
        <item sd="0" x="39"/>
        <item sd="0" x="14"/>
        <item sd="0" x="81"/>
        <item sd="0" x="54"/>
        <item sd="0" x="40"/>
        <item sd="0" x="22"/>
        <item sd="0" x="6"/>
        <item sd="0" x="44"/>
        <item sd="0" x="57"/>
        <item sd="0" x="17"/>
        <item sd="0" x="42"/>
        <item sd="0" x="13"/>
        <item sd="0" x="23"/>
        <item sd="0" x="85"/>
        <item sd="0" x="48"/>
        <item sd="0" x="5"/>
        <item sd="0" x="2"/>
        <item sd="0" x="32"/>
        <item sd="0" x="26"/>
        <item sd="0" x="38"/>
        <item sd="0" x="63"/>
        <item sd="0" x="1"/>
        <item sd="0" x="82"/>
        <item sd="0" x="79"/>
        <item sd="0" x="53"/>
        <item sd="0" x="11"/>
        <item sd="0" x="25"/>
        <item sd="0" x="71"/>
        <item sd="0" x="37"/>
        <item sd="0" x="68"/>
        <item sd="0" x="27"/>
        <item sd="0" x="16"/>
        <item sd="0" x="50"/>
        <item sd="0" x="69"/>
        <item sd="0" x="29"/>
        <item sd="0" x="66"/>
        <item sd="0" x="12"/>
        <item sd="0" x="7"/>
        <item sd="0" x="56"/>
        <item sd="0" x="45"/>
        <item sd="0" x="67"/>
        <item sd="0" x="35"/>
        <item sd="0" x="46"/>
        <item sd="0" x="86"/>
        <item sd="0" x="75"/>
        <item sd="0" x="20"/>
        <item sd="0" x="49"/>
        <item sd="0" x="78"/>
        <item sd="0" x="19"/>
        <item sd="0" x="84"/>
        <item sd="0" x="70"/>
        <item sd="0" x="36"/>
        <item sd="0" x="74"/>
        <item sd="0" x="73"/>
        <item sd="0" x="83"/>
        <item sd="0" x="28"/>
        <item sd="0" x="30"/>
        <item sd="0" x="51"/>
        <item sd="0" x="43"/>
      </items>
    </pivotField>
    <pivotField axis="axisRow" compact="0" outline="0" showAll="0" defaultSubtotal="0">
      <items count="716">
        <item sd="0" x="259"/>
        <item sd="0" x="281"/>
        <item sd="0" x="260"/>
        <item sd="0" x="257"/>
        <item sd="0" x="247"/>
        <item sd="0" x="689"/>
        <item sd="0" x="539"/>
        <item sd="0" x="42"/>
        <item sd="0" x="269"/>
        <item sd="0" x="611"/>
        <item sd="0" x="478"/>
        <item sd="0" x="477"/>
        <item sd="0" x="268"/>
        <item sd="0" x="245"/>
        <item sd="0" x="647"/>
        <item sd="0" x="17"/>
        <item sd="0" x="508"/>
        <item sd="0" x="254"/>
        <item sd="0" x="653"/>
        <item sd="0" x="580"/>
        <item sd="0" x="328"/>
        <item sd="0" x="276"/>
        <item sd="0" x="547"/>
        <item sd="0" x="62"/>
        <item sd="0" x="586"/>
        <item sd="0" x="376"/>
        <item sd="0" x="248"/>
        <item sd="0" x="280"/>
        <item sd="0" x="588"/>
        <item sd="0" x="660"/>
        <item sd="0" x="319"/>
        <item sd="0" x="152"/>
        <item sd="0" x="463"/>
        <item sd="0" x="548"/>
        <item sd="0" x="18"/>
        <item sd="0" x="0"/>
        <item sd="0" x="472"/>
        <item sd="0" x="397"/>
        <item sd="0" x="275"/>
        <item sd="0" x="470"/>
        <item sd="0" x="283"/>
        <item sd="0" x="74"/>
        <item sd="0" x="404"/>
        <item sd="0" x="120"/>
        <item sd="0" x="602"/>
        <item sd="0" x="464"/>
        <item sd="0" x="156"/>
        <item sd="0" x="388"/>
        <item sd="0" x="252"/>
        <item sd="0" x="12"/>
        <item sd="0" x="522"/>
        <item sd="0" x="234"/>
        <item sd="0" x="390"/>
        <item sd="0" x="138"/>
        <item sd="0" x="303"/>
        <item sd="0" x="50"/>
        <item sd="0" x="110"/>
        <item sd="0" x="282"/>
        <item sd="0" x="449"/>
        <item sd="0" x="130"/>
        <item sd="0" x="103"/>
        <item sd="0" x="194"/>
        <item sd="0" x="72"/>
        <item sd="0" x="338"/>
        <item sd="0" x="337"/>
        <item sd="0" x="69"/>
        <item sd="0" x="532"/>
        <item sd="0" x="273"/>
        <item sd="0" x="498"/>
        <item sd="0" x="293"/>
        <item sd="0" x="212"/>
        <item sd="0" x="101"/>
        <item sd="0" x="286"/>
        <item sd="0" x="373"/>
        <item sd="0" x="10"/>
        <item sd="0" x="504"/>
        <item sd="0" x="66"/>
        <item sd="0" x="191"/>
        <item sd="0" x="369"/>
        <item sd="0" x="168"/>
        <item sd="0" x="392"/>
        <item sd="0" x="195"/>
        <item sd="0" x="68"/>
        <item sd="0" x="574"/>
        <item sd="0" x="348"/>
        <item sd="0" x="428"/>
        <item sd="0" x="368"/>
        <item sd="0" x="52"/>
        <item sd="0" x="425"/>
        <item sd="0" x="59"/>
        <item sd="0" x="88"/>
        <item sd="0" x="485"/>
        <item sd="0" x="393"/>
        <item sd="0" x="30"/>
        <item sd="0" x="597"/>
        <item sd="0" x="533"/>
        <item sd="0" x="135"/>
        <item sd="0" x="41"/>
        <item sd="0" x="521"/>
        <item sd="0" x="231"/>
        <item sd="0" x="690"/>
        <item sd="0" x="91"/>
        <item sd="0" x="530"/>
        <item sd="0" x="237"/>
        <item sd="0" x="416"/>
        <item sd="0" x="203"/>
        <item sd="0" x="436"/>
        <item sd="0" x="90"/>
        <item sd="0" x="557"/>
        <item sd="0" x="211"/>
        <item sd="0" x="676"/>
        <item sd="0" x="614"/>
        <item sd="0" x="570"/>
        <item sd="0" x="287"/>
        <item sd="0" x="435"/>
        <item sd="0" x="450"/>
        <item sd="0" x="346"/>
        <item sd="0" x="458"/>
        <item sd="0" x="141"/>
        <item sd="0" x="179"/>
        <item sd="0" x="140"/>
        <item sd="0" x="674"/>
        <item sd="0" x="475"/>
        <item sd="0" x="473"/>
        <item sd="0" x="308"/>
        <item sd="0" x="673"/>
        <item sd="0" x="327"/>
        <item sd="0" x="239"/>
        <item sd="0" x="137"/>
        <item sd="0" x="385"/>
        <item sd="0" x="64"/>
        <item sd="0" x="629"/>
        <item sd="0" x="447"/>
        <item sd="0" x="377"/>
        <item sd="0" x="645"/>
        <item sd="0" x="581"/>
        <item sd="0" x="121"/>
        <item sd="0" x="51"/>
        <item sd="0" x="178"/>
        <item sd="0" x="150"/>
        <item sd="0" x="43"/>
        <item sd="0" x="180"/>
        <item sd="0" x="406"/>
        <item sd="0" x="124"/>
        <item sd="0" x="253"/>
        <item sd="0" x="107"/>
        <item sd="0" x="79"/>
        <item sd="0" x="32"/>
        <item sd="0" x="97"/>
        <item sd="0" x="408"/>
        <item sd="0" x="58"/>
        <item sd="0" x="226"/>
        <item sd="0" x="288"/>
        <item sd="0" x="359"/>
        <item sd="0" x="307"/>
        <item sd="0" x="372"/>
        <item sd="0" x="656"/>
        <item sd="0" x="184"/>
        <item sd="0" x="423"/>
        <item sd="0" x="153"/>
        <item sd="0" x="697"/>
        <item sd="0" x="414"/>
        <item sd="0" x="67"/>
        <item sd="0" x="672"/>
        <item sd="0" x="139"/>
        <item sd="0" x="111"/>
        <item sd="0" x="389"/>
        <item sd="0" x="659"/>
        <item sd="0" x="434"/>
        <item sd="0" x="278"/>
        <item sd="0" x="246"/>
        <item sd="0" x="360"/>
        <item sd="0" x="304"/>
        <item sd="0" x="271"/>
        <item sd="0" x="520"/>
        <item sd="0" x="699"/>
        <item sd="0" x="545"/>
        <item sd="0" x="476"/>
        <item sd="0" x="277"/>
        <item sd="0" x="589"/>
        <item sd="0" x="316"/>
        <item sd="0" x="419"/>
        <item sd="0" x="270"/>
        <item sd="0" x="341"/>
        <item sd="0" x="482"/>
        <item sd="0" x="513"/>
        <item sd="0" x="534"/>
        <item sd="0" x="89"/>
        <item sd="0" x="622"/>
        <item sd="0" x="713"/>
        <item sd="0" x="501"/>
        <item sd="0" x="77"/>
        <item sd="0" x="19"/>
        <item sd="0" x="490"/>
        <item sd="0" x="374"/>
        <item sd="0" x="546"/>
        <item sd="0" x="706"/>
        <item sd="0" x="420"/>
        <item sd="0" x="305"/>
        <item sd="0" x="214"/>
        <item sd="0" x="665"/>
        <item sd="0" x="28"/>
        <item sd="0" x="315"/>
        <item sd="0" x="666"/>
        <item sd="0" x="151"/>
        <item sd="0" x="401"/>
        <item sd="0" x="667"/>
        <item sd="0" x="61"/>
        <item sd="0" x="314"/>
        <item sd="0" x="628"/>
        <item sd="0" x="357"/>
        <item sd="0" x="182"/>
        <item sd="0" x="446"/>
        <item sd="0" x="296"/>
        <item sd="0" x="154"/>
        <item sd="0" x="155"/>
        <item sd="0" x="13"/>
        <item sd="0" x="210"/>
        <item sd="0" x="519"/>
        <item sd="0" x="133"/>
        <item sd="0" x="582"/>
        <item sd="0" x="468"/>
        <item sd="0" x="642"/>
        <item sd="0" x="648"/>
        <item sd="0" x="367"/>
        <item sd="0" x="181"/>
        <item sd="0" x="361"/>
        <item sd="0" x="600"/>
        <item sd="0" x="166"/>
        <item sd="0" x="118"/>
        <item sd="0" x="347"/>
        <item sd="0" x="63"/>
        <item sd="0" x="637"/>
        <item sd="0" x="462"/>
        <item sd="0" x="217"/>
        <item sd="0" x="692"/>
        <item sd="0" x="294"/>
        <item sd="0" x="371"/>
        <item sd="0" x="661"/>
        <item sd="0" x="183"/>
        <item sd="0" x="76"/>
        <item sd="0" x="496"/>
        <item sd="0" x="439"/>
        <item sd="0" x="391"/>
        <item sd="0" x="352"/>
        <item sd="0" x="216"/>
        <item sd="0" x="196"/>
        <item sd="0" x="418"/>
        <item sd="0" x="291"/>
        <item sd="0" x="29"/>
        <item sd="0" x="123"/>
        <item sd="0" x="318"/>
        <item sd="0" x="75"/>
        <item sd="0" x="149"/>
        <item sd="0" x="471"/>
        <item sd="0" x="299"/>
        <item sd="0" x="335"/>
        <item sd="0" x="378"/>
        <item sd="0" x="225"/>
        <item sd="0" x="31"/>
        <item sd="0" x="590"/>
        <item sd="0" x="499"/>
        <item sd="0" x="172"/>
        <item sd="0" x="292"/>
        <item sd="0" x="44"/>
        <item sd="0" x="116"/>
        <item sd="0" x="652"/>
        <item sd="0" x="162"/>
        <item sd="0" x="132"/>
        <item sd="0" x="486"/>
        <item sd="0" x="326"/>
        <item sd="0" x="618"/>
        <item sd="0" x="213"/>
        <item sd="0" x="440"/>
        <item sd="0" x="11"/>
        <item sd="0" x="437"/>
        <item sd="0" x="695"/>
        <item sd="0" x="355"/>
        <item sd="0" x="407"/>
        <item sd="0" x="9"/>
        <item sd="0" x="698"/>
        <item sd="0" x="459"/>
        <item sd="0" x="136"/>
        <item sd="0" x="173"/>
        <item sd="0" x="415"/>
        <item sd="0" x="409"/>
        <item sd="0" x="171"/>
        <item sd="0" x="366"/>
        <item sd="0" x="500"/>
        <item sd="0" x="617"/>
        <item sd="0" x="306"/>
        <item sd="0" x="644"/>
        <item sd="0" x="509"/>
        <item sd="0" x="427"/>
        <item sd="0" x="654"/>
        <item sd="0" x="261"/>
        <item sd="0" x="595"/>
        <item sd="0" x="324"/>
        <item sd="0" x="487"/>
        <item sd="0" x="572"/>
        <item sd="0" x="113"/>
        <item sd="0" x="621"/>
        <item sd="0" x="550"/>
        <item sd="0" x="540"/>
        <item sd="0" x="54"/>
        <item sd="0" x="565"/>
        <item sd="0" x="192"/>
        <item sd="0" x="340"/>
        <item sd="0" x="289"/>
        <item sd="0" x="510"/>
        <item sd="0" x="230"/>
        <item sd="0" x="78"/>
        <item sd="0" x="598"/>
        <item sd="0" x="511"/>
        <item sd="0" x="445"/>
        <item sd="0" x="14"/>
        <item sd="0" x="167"/>
        <item sd="0" x="460"/>
        <item sd="0" x="38"/>
        <item sd="0" x="650"/>
        <item sd="0" x="512"/>
        <item sd="0" x="612"/>
        <item sd="0" x="400"/>
        <item sd="0" x="336"/>
        <item sd="0" x="185"/>
        <item sd="0" x="599"/>
        <item sd="0" x="457"/>
        <item sd="0" x="610"/>
        <item sd="0" x="387"/>
        <item sd="0" x="272"/>
        <item sd="0" x="33"/>
        <item sd="0" x="715"/>
        <item sd="0" x="382"/>
        <item sd="0" x="56"/>
        <item sd="0" x="102"/>
        <item sd="0" x="386"/>
        <item sd="0" x="16"/>
        <item sd="0" x="469"/>
        <item sd="0" x="518"/>
        <item sd="0" x="682"/>
        <item sd="0" x="92"/>
        <item sd="0" x="394"/>
        <item sd="0" x="514"/>
        <item sd="0" x="632"/>
        <item sd="0" x="655"/>
        <item sd="0" x="131"/>
        <item sd="0" x="39"/>
        <item sd="0" x="444"/>
        <item sd="0" x="358"/>
        <item sd="0" x="417"/>
        <item sd="0" x="466"/>
        <item sd="0" x="670"/>
        <item sd="0" x="552"/>
        <item sd="0" x="290"/>
        <item sd="0" x="677"/>
        <item sd="0" x="84"/>
        <item sd="0" x="456"/>
        <item sd="0" x="492"/>
        <item sd="0" x="664"/>
        <item sd="0" x="128"/>
        <item sd="0" x="669"/>
        <item sd="0" x="649"/>
        <item sd="0" x="313"/>
        <item sd="0" x="681"/>
        <item sd="0" x="147"/>
        <item sd="0" x="438"/>
        <item sd="0" x="571"/>
        <item sd="0" x="609"/>
        <item sd="0" x="395"/>
        <item sd="0" x="643"/>
        <item sd="0" x="503"/>
        <item sd="0" x="461"/>
        <item sd="0" x="83"/>
        <item sd="0" x="134"/>
        <item sd="0" x="429"/>
        <item sd="0" x="474"/>
        <item sd="0" x="193"/>
        <item sd="0" x="630"/>
        <item sd="0" x="201"/>
        <item sd="0" x="495"/>
        <item sd="0" x="675"/>
        <item sd="0" x="40"/>
        <item sd="0" x="696"/>
        <item sd="0" x="175"/>
        <item sd="0" x="712"/>
        <item sd="0" x="566"/>
        <item sd="0" x="685"/>
        <item sd="0" x="561"/>
        <item sd="0" x="651"/>
        <item sd="0" x="405"/>
        <item sd="0" x="297"/>
        <item sd="0" x="657"/>
        <item sd="0" x="535"/>
        <item sd="0" x="119"/>
        <item sd="0" x="658"/>
        <item sd="0" x="301"/>
        <item sd="0" x="82"/>
        <item sd="0" x="705"/>
        <item sd="0" x="467"/>
        <item sd="0" x="627"/>
        <item sd="0" x="284"/>
        <item sd="0" x="267"/>
        <item sd="0" x="626"/>
        <item sd="0" x="668"/>
        <item sd="0" x="448"/>
        <item sd="0" x="174"/>
        <item sd="0" x="241"/>
        <item sd="0" x="24"/>
        <item sd="0" x="606"/>
        <item sd="0" x="189"/>
        <item sd="0" x="380"/>
        <item sd="0" x="579"/>
        <item sd="0" x="5"/>
        <item sd="0" x="148"/>
        <item sd="0" x="198"/>
        <item sd="0" x="365"/>
        <item sd="0" x="671"/>
        <item sd="0" x="25"/>
        <item sd="0" x="238"/>
        <item sd="0" x="330"/>
        <item sd="0" x="240"/>
        <item sd="0" x="441"/>
        <item sd="0" x="370"/>
        <item sd="0" x="112"/>
        <item sd="0" x="265"/>
        <item sd="0" x="344"/>
        <item sd="0" x="126"/>
        <item sd="0" x="442"/>
        <item sd="0" x="169"/>
        <item sd="0" x="331"/>
        <item sd="0" x="285"/>
        <item sd="0" x="232"/>
        <item sd="0" x="363"/>
        <item sd="0" x="311"/>
        <item sd="0" x="553"/>
        <item sd="0" x="381"/>
        <item sd="0" x="264"/>
        <item sd="0" x="199"/>
        <item sd="0" x="71"/>
        <item sd="0" x="235"/>
        <item sd="0" x="57"/>
        <item sd="0" x="233"/>
        <item sd="0" x="493"/>
        <item sd="0" x="266"/>
        <item sd="0" x="549"/>
        <item sd="0" x="483"/>
        <item sd="0" x="562"/>
        <item sd="0" x="351"/>
        <item sd="0" x="345"/>
        <item sd="0" x="362"/>
        <item sd="0" x="215"/>
        <item sd="0" x="34"/>
        <item sd="0" x="568"/>
        <item sd="0" x="8"/>
        <item sd="0" x="517"/>
        <item sd="0" x="662"/>
        <item sd="0" x="356"/>
        <item sd="0" x="398"/>
        <item sd="0" x="646"/>
        <item sd="0" x="98"/>
        <item sd="0" x="242"/>
        <item sd="0" x="321"/>
        <item sd="0" x="329"/>
        <item sd="0" x="601"/>
        <item sd="0" x="350"/>
        <item sd="0" x="251"/>
        <item sd="0" x="60"/>
        <item sd="0" x="613"/>
        <item sd="0" x="497"/>
        <item sd="0" x="551"/>
        <item sd="0" x="263"/>
        <item sd="0" x="384"/>
        <item sd="0" x="176"/>
        <item sd="0" x="55"/>
        <item sd="0" x="399"/>
        <item sd="0" x="49"/>
        <item sd="0" x="249"/>
        <item sd="0" x="127"/>
        <item sd="0" x="6"/>
        <item sd="0" x="2"/>
        <item sd="0" x="256"/>
        <item sd="0" x="516"/>
        <item sd="0" x="142"/>
        <item sd="0" x="640"/>
        <item sd="0" x="218"/>
        <item sd="0" x="86"/>
        <item sd="0" x="300"/>
        <item sd="0" x="317"/>
        <item sd="0" x="46"/>
        <item sd="0" x="596"/>
        <item sd="0" x="491"/>
        <item sd="0" x="36"/>
        <item sd="0" x="526"/>
        <item sd="0" x="714"/>
        <item sd="0" x="312"/>
        <item sd="0" x="23"/>
        <item sd="0" x="452"/>
        <item sd="0" x="558"/>
        <item sd="0" x="81"/>
        <item sd="0" x="208"/>
        <item sd="0" x="343"/>
        <item sd="0" x="21"/>
        <item sd="0" x="122"/>
        <item sd="0" x="634"/>
        <item sd="0" x="515"/>
        <item sd="0" x="177"/>
        <item sd="0" x="108"/>
        <item sd="0" x="105"/>
        <item sd="0" x="170"/>
        <item sd="0" x="507"/>
        <item sd="0" x="35"/>
        <item sd="0" x="104"/>
        <item sd="0" x="227"/>
        <item sd="0" x="639"/>
        <item sd="0" x="229"/>
        <item sd="0" x="454"/>
        <item sd="0" x="479"/>
        <item sd="0" x="375"/>
        <item sd="0" x="426"/>
        <item sd="0" x="593"/>
        <item sd="0" x="563"/>
        <item sd="0" x="402"/>
        <item sd="0" x="494"/>
        <item sd="0" x="711"/>
        <item sd="0" x="70"/>
        <item sd="0" x="96"/>
        <item sd="0" x="383"/>
        <item sd="0" x="410"/>
        <item sd="0" x="431"/>
        <item sd="0" x="603"/>
        <item sd="0" x="65"/>
        <item sd="0" x="274"/>
        <item sd="0" x="625"/>
        <item sd="0" x="158"/>
        <item sd="0" x="430"/>
        <item sd="0" x="701"/>
        <item sd="0" x="433"/>
        <item sd="0" x="453"/>
        <item sd="0" x="480"/>
        <item sd="0" x="680"/>
        <item sd="0" x="325"/>
        <item sd="0" x="700"/>
        <item sd="0" x="190"/>
        <item sd="0" x="623"/>
        <item sd="0" x="250"/>
        <item sd="0" x="339"/>
        <item sd="0" x="37"/>
        <item sd="0" x="320"/>
        <item sd="0" x="396"/>
        <item sd="0" x="663"/>
        <item sd="0" x="22"/>
        <item sd="0" x="73"/>
        <item sd="0" x="678"/>
        <item sd="0" x="323"/>
        <item sd="0" x="353"/>
        <item sd="0" x="26"/>
        <item sd="0" x="45"/>
        <item sd="0" x="484"/>
        <item sd="0" x="117"/>
        <item sd="0" x="691"/>
        <item sd="0" x="219"/>
        <item sd="0" x="619"/>
        <item sd="0" x="411"/>
        <item sd="0" x="224"/>
        <item sd="0" x="164"/>
        <item sd="0" x="585"/>
        <item sd="0" x="200"/>
        <item sd="0" x="206"/>
        <item sd="0" x="686"/>
        <item sd="0" x="48"/>
        <item sd="0" x="310"/>
        <item sd="0" x="202"/>
        <item sd="0" x="334"/>
        <item sd="0" x="633"/>
        <item sd="0" x="143"/>
        <item sd="0" x="298"/>
        <item sd="0" x="205"/>
        <item sd="0" x="106"/>
        <item sd="0" x="506"/>
        <item sd="0" x="47"/>
        <item sd="0" x="578"/>
        <item sd="0" x="451"/>
        <item sd="0" x="322"/>
        <item sd="0" x="93"/>
        <item sd="0" x="204"/>
        <item sd="0" x="144"/>
        <item sd="0" x="258"/>
        <item sd="0" x="364"/>
        <item sd="0" x="536"/>
        <item sd="0" x="157"/>
        <item sd="0" x="145"/>
        <item sd="0" x="505"/>
        <item sd="0" x="443"/>
        <item sd="0" x="554"/>
        <item sd="0" x="543"/>
        <item sd="0" x="228"/>
        <item sd="0" x="569"/>
        <item sd="0" x="85"/>
        <item sd="0" x="631"/>
        <item sd="0" x="620"/>
        <item sd="0" x="591"/>
        <item sd="0" x="223"/>
        <item sd="0" x="465"/>
        <item sd="0" x="707"/>
        <item sd="0" x="594"/>
        <item sd="0" x="584"/>
        <item sd="0" x="635"/>
        <item sd="0" x="523"/>
        <item sd="0" x="432"/>
        <item sd="0" x="15"/>
        <item sd="0" x="537"/>
        <item sd="0" x="694"/>
        <item sd="0" x="577"/>
        <item sd="0" x="702"/>
        <item sd="0" x="413"/>
        <item sd="0" x="709"/>
        <item sd="0" x="188"/>
        <item sd="0" x="693"/>
        <item sd="0" x="279"/>
        <item sd="0" x="80"/>
        <item sd="0" x="528"/>
        <item sd="0" x="1"/>
        <item sd="0" x="209"/>
        <item sd="0" x="615"/>
        <item sd="0" x="255"/>
        <item sd="0" x="109"/>
        <item sd="0" x="403"/>
        <item sd="0" x="607"/>
        <item sd="0" x="525"/>
        <item sd="0" x="100"/>
        <item sd="0" x="165"/>
        <item sd="0" x="679"/>
        <item sd="0" x="7"/>
        <item sd="0" x="573"/>
        <item sd="0" x="342"/>
        <item sd="0" x="186"/>
        <item sd="0" x="53"/>
        <item sd="0" x="222"/>
        <item sd="0" x="161"/>
        <item sd="0" x="541"/>
        <item sd="0" x="3"/>
        <item sd="0" x="684"/>
        <item sd="0" x="424"/>
        <item sd="0" x="197"/>
        <item sd="0" x="559"/>
        <item sd="0" x="555"/>
        <item sd="0" x="125"/>
        <item sd="0" x="27"/>
        <item sd="0" x="4"/>
        <item sd="0" x="687"/>
        <item sd="0" x="160"/>
        <item sd="0" x="349"/>
        <item sd="0" x="262"/>
        <item sd="0" x="636"/>
        <item sd="0" x="592"/>
        <item sd="0" x="146"/>
        <item sd="0" x="20"/>
        <item sd="0" x="99"/>
        <item sd="0" x="422"/>
        <item sd="0" x="575"/>
        <item sd="0" x="94"/>
        <item sd="0" x="295"/>
        <item sd="0" x="616"/>
        <item sd="0" x="302"/>
        <item sd="0" x="703"/>
        <item sd="0" x="524"/>
        <item sd="0" x="710"/>
        <item sd="0" x="605"/>
        <item sd="0" x="587"/>
        <item sd="0" x="187"/>
        <item sd="0" x="354"/>
        <item sd="0" x="481"/>
        <item sd="0" x="221"/>
        <item sd="0" x="489"/>
        <item sd="0" x="531"/>
        <item sd="0" x="683"/>
        <item sd="0" x="95"/>
        <item sd="0" x="529"/>
        <item sd="0" x="544"/>
        <item sd="0" x="379"/>
        <item sd="0" x="704"/>
        <item sd="0" x="220"/>
        <item sd="0" x="87"/>
        <item sd="0" x="556"/>
        <item sd="0" x="421"/>
        <item sd="0" x="564"/>
        <item sd="0" x="207"/>
        <item sd="0" x="236"/>
        <item sd="0" x="332"/>
        <item sd="0" x="708"/>
        <item sd="0" x="624"/>
        <item sd="0" x="163"/>
        <item sd="0" x="244"/>
        <item sd="0" x="576"/>
        <item sd="0" x="309"/>
        <item sd="0" x="608"/>
        <item sd="0" x="641"/>
        <item sd="0" x="583"/>
        <item sd="0" x="333"/>
        <item sd="0" x="412"/>
        <item sd="0" x="502"/>
        <item sd="0" x="114"/>
        <item sd="0" x="567"/>
        <item sd="0" x="115"/>
        <item sd="0" x="538"/>
        <item sd="0" x="488"/>
        <item sd="0" x="243"/>
        <item sd="0" x="638"/>
        <item sd="0" x="542"/>
        <item sd="0" x="129"/>
        <item sd="0" x="560"/>
        <item sd="0" x="159"/>
        <item sd="0" x="688"/>
        <item sd="0" x="455"/>
        <item sd="0" x="604"/>
        <item sd="0" x="527"/>
      </items>
    </pivotField>
    <pivotField axis="axisRow" compact="0" outline="0" showAll="0" defaultSubtotal="0">
      <items count="4">
        <item x="0"/>
        <item x="1"/>
        <item x="2"/>
        <item x="3"/>
      </items>
    </pivotField>
    <pivotField compact="0" outline="0" showAll="0"/>
    <pivotField compact="0" outline="0" showAll="0"/>
  </pivotFields>
  <rowFields count="7">
    <field x="1"/>
    <field x="2"/>
    <field x="3"/>
    <field x="4"/>
    <field x="5"/>
    <field x="6"/>
    <field x="7"/>
  </rowFields>
  <rowItems count="10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 t="grand">
      <x/>
    </i>
  </rowItems>
  <colItems count="1">
    <i/>
  </colItems>
  <formats count="1053">
    <format dxfId="2151">
      <pivotArea type="all" dataOnly="0" outline="0" fieldPosition="0"/>
    </format>
    <format dxfId="2150">
      <pivotArea outline="0" collapsedLevelsAreSubtotals="1" fieldPosition="0"/>
    </format>
    <format dxfId="2149">
      <pivotArea dataOnly="0" labelOnly="1" grandRow="1" outline="0" fieldPosition="0"/>
    </format>
    <format dxfId="2135">
      <pivotArea field="1" type="button" dataOnly="0" labelOnly="1" outline="0" axis="axisRow" fieldPosition="0"/>
    </format>
    <format dxfId="2134">
      <pivotArea field="2" type="button" dataOnly="0" labelOnly="1" outline="0" axis="axisRow" fieldPosition="1"/>
    </format>
    <format dxfId="2133">
      <pivotArea field="3" type="button" dataOnly="0" labelOnly="1" outline="0" axis="axisRow" fieldPosition="2"/>
    </format>
    <format dxfId="2132">
      <pivotArea field="4" type="button" dataOnly="0" labelOnly="1" outline="0" axis="axisRow" fieldPosition="3"/>
    </format>
    <format dxfId="2131">
      <pivotArea field="5" type="button" dataOnly="0" labelOnly="1" outline="0" axis="axisRow" fieldPosition="4"/>
    </format>
    <format dxfId="2130">
      <pivotArea field="6" type="button" dataOnly="0" labelOnly="1" outline="0" axis="axisRow" fieldPosition="5"/>
    </format>
    <format dxfId="2129">
      <pivotArea field="7" type="button" dataOnly="0" labelOnly="1" outline="0" axis="axisRow" fieldPosition="6"/>
    </format>
    <format dxfId="2128">
      <pivotArea type="all" dataOnly="0" outline="0" fieldPosition="0"/>
    </format>
    <format dxfId="2127">
      <pivotArea field="2" type="button" dataOnly="0" labelOnly="1" outline="0" axis="axisRow" fieldPosition="1"/>
    </format>
    <format dxfId="2126">
      <pivotArea field="3" type="button" dataOnly="0" labelOnly="1" outline="0" axis="axisRow" fieldPosition="2"/>
    </format>
    <format dxfId="2125">
      <pivotArea field="4" type="button" dataOnly="0" labelOnly="1" outline="0" axis="axisRow" fieldPosition="3"/>
    </format>
    <format dxfId="2124">
      <pivotArea field="5" type="button" dataOnly="0" labelOnly="1" outline="0" axis="axisRow" fieldPosition="4"/>
    </format>
    <format dxfId="2123">
      <pivotArea field="6" type="button" dataOnly="0" labelOnly="1" outline="0" axis="axisRow" fieldPosition="5"/>
    </format>
    <format dxfId="2122">
      <pivotArea field="7" type="button" dataOnly="0" labelOnly="1" outline="0" axis="axisRow" fieldPosition="6"/>
    </format>
    <format dxfId="2121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120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2119">
      <pivotArea dataOnly="0" labelOnly="1" outline="0" fieldPosition="0">
        <references count="1">
          <reference field="1" count="50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129"/>
            <x v="130"/>
            <x v="131"/>
            <x v="132"/>
            <x v="133"/>
            <x v="134"/>
            <x v="135"/>
            <x v="136"/>
            <x v="137"/>
            <x v="138"/>
            <x v="139"/>
            <x v="140"/>
            <x v="141"/>
            <x v="142"/>
            <x v="143"/>
            <x v="144"/>
            <x v="145"/>
            <x v="146"/>
            <x v="147"/>
            <x v="148"/>
            <x v="149"/>
          </reference>
        </references>
      </pivotArea>
    </format>
    <format dxfId="2118">
      <pivotArea dataOnly="0" labelOnly="1" outline="0" fieldPosition="0">
        <references count="1">
          <reference field="1" count="50">
            <x v="150"/>
            <x v="151"/>
            <x v="152"/>
            <x v="153"/>
            <x v="154"/>
            <x v="155"/>
            <x v="156"/>
            <x v="157"/>
            <x v="158"/>
            <x v="159"/>
            <x v="160"/>
            <x v="161"/>
            <x v="162"/>
            <x v="163"/>
            <x v="164"/>
            <x v="165"/>
            <x v="166"/>
            <x v="167"/>
            <x v="168"/>
            <x v="169"/>
            <x v="170"/>
            <x v="171"/>
            <x v="172"/>
            <x v="173"/>
            <x v="174"/>
            <x v="175"/>
            <x v="176"/>
            <x v="177"/>
            <x v="178"/>
            <x v="179"/>
            <x v="180"/>
            <x v="181"/>
            <x v="182"/>
            <x v="183"/>
            <x v="184"/>
            <x v="185"/>
            <x v="186"/>
            <x v="187"/>
            <x v="188"/>
            <x v="189"/>
            <x v="190"/>
            <x v="191"/>
            <x v="192"/>
            <x v="193"/>
            <x v="194"/>
            <x v="195"/>
            <x v="196"/>
            <x v="197"/>
            <x v="198"/>
            <x v="199"/>
          </reference>
        </references>
      </pivotArea>
    </format>
    <format dxfId="2117">
      <pivotArea dataOnly="0" labelOnly="1" outline="0" fieldPosition="0">
        <references count="1">
          <reference field="1" count="50">
            <x v="200"/>
            <x v="201"/>
            <x v="202"/>
            <x v="203"/>
            <x v="204"/>
            <x v="205"/>
            <x v="206"/>
            <x v="207"/>
            <x v="208"/>
            <x v="209"/>
            <x v="210"/>
            <x v="211"/>
            <x v="212"/>
            <x v="213"/>
            <x v="214"/>
            <x v="215"/>
            <x v="216"/>
            <x v="217"/>
            <x v="218"/>
            <x v="219"/>
            <x v="220"/>
            <x v="221"/>
            <x v="222"/>
            <x v="223"/>
            <x v="224"/>
            <x v="225"/>
            <x v="226"/>
            <x v="227"/>
            <x v="228"/>
            <x v="229"/>
            <x v="230"/>
            <x v="231"/>
            <x v="232"/>
            <x v="233"/>
            <x v="234"/>
            <x v="235"/>
            <x v="236"/>
            <x v="237"/>
            <x v="238"/>
            <x v="239"/>
            <x v="240"/>
            <x v="241"/>
            <x v="242"/>
            <x v="243"/>
            <x v="244"/>
            <x v="245"/>
            <x v="246"/>
            <x v="247"/>
            <x v="248"/>
            <x v="249"/>
          </reference>
        </references>
      </pivotArea>
    </format>
    <format dxfId="2116">
      <pivotArea dataOnly="0" labelOnly="1" outline="0" fieldPosition="0">
        <references count="1">
          <reference field="1" count="50">
            <x v="250"/>
            <x v="251"/>
            <x v="252"/>
            <x v="253"/>
            <x v="254"/>
            <x v="255"/>
            <x v="256"/>
            <x v="257"/>
            <x v="258"/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</reference>
        </references>
      </pivotArea>
    </format>
    <format dxfId="2115">
      <pivotArea dataOnly="0" labelOnly="1" outline="0" fieldPosition="0">
        <references count="1">
          <reference field="1" count="50">
            <x v="300"/>
            <x v="301"/>
            <x v="302"/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</reference>
        </references>
      </pivotArea>
    </format>
    <format dxfId="2114">
      <pivotArea dataOnly="0" labelOnly="1" outline="0" fieldPosition="0">
        <references count="1">
          <reference field="1" count="50">
            <x v="350"/>
            <x v="351"/>
            <x v="352"/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378"/>
            <x v="379"/>
            <x v="380"/>
            <x v="381"/>
            <x v="382"/>
            <x v="383"/>
            <x v="384"/>
            <x v="385"/>
            <x v="386"/>
            <x v="387"/>
            <x v="388"/>
            <x v="389"/>
            <x v="390"/>
            <x v="391"/>
            <x v="392"/>
            <x v="393"/>
            <x v="394"/>
            <x v="395"/>
            <x v="396"/>
            <x v="397"/>
            <x v="398"/>
            <x v="399"/>
          </reference>
        </references>
      </pivotArea>
    </format>
    <format dxfId="2113">
      <pivotArea dataOnly="0" labelOnly="1" outline="0" fieldPosition="0">
        <references count="1">
          <reference field="1" count="50">
            <x v="400"/>
            <x v="401"/>
            <x v="402"/>
            <x v="403"/>
            <x v="404"/>
            <x v="405"/>
            <x v="406"/>
            <x v="407"/>
            <x v="408"/>
            <x v="409"/>
            <x v="410"/>
            <x v="411"/>
            <x v="412"/>
            <x v="413"/>
            <x v="414"/>
            <x v="415"/>
            <x v="416"/>
            <x v="417"/>
            <x v="418"/>
            <x v="419"/>
            <x v="420"/>
            <x v="421"/>
            <x v="422"/>
            <x v="423"/>
            <x v="424"/>
            <x v="425"/>
            <x v="426"/>
            <x v="427"/>
            <x v="428"/>
            <x v="429"/>
            <x v="430"/>
            <x v="431"/>
            <x v="432"/>
            <x v="433"/>
            <x v="434"/>
            <x v="435"/>
            <x v="436"/>
            <x v="437"/>
            <x v="438"/>
            <x v="439"/>
            <x v="440"/>
            <x v="441"/>
            <x v="442"/>
            <x v="443"/>
            <x v="444"/>
            <x v="445"/>
            <x v="446"/>
            <x v="447"/>
            <x v="448"/>
            <x v="449"/>
          </reference>
        </references>
      </pivotArea>
    </format>
    <format dxfId="2112">
      <pivotArea dataOnly="0" labelOnly="1" outline="0" fieldPosition="0">
        <references count="1">
          <reference field="1" count="50">
            <x v="450"/>
            <x v="451"/>
            <x v="452"/>
            <x v="453"/>
            <x v="454"/>
            <x v="455"/>
            <x v="456"/>
            <x v="457"/>
            <x v="458"/>
            <x v="459"/>
            <x v="460"/>
            <x v="461"/>
            <x v="462"/>
            <x v="463"/>
            <x v="464"/>
            <x v="465"/>
            <x v="466"/>
            <x v="467"/>
            <x v="468"/>
            <x v="469"/>
            <x v="470"/>
            <x v="471"/>
            <x v="472"/>
            <x v="473"/>
            <x v="474"/>
            <x v="475"/>
            <x v="476"/>
            <x v="477"/>
            <x v="478"/>
            <x v="479"/>
            <x v="480"/>
            <x v="481"/>
            <x v="482"/>
            <x v="483"/>
            <x v="484"/>
            <x v="485"/>
            <x v="486"/>
            <x v="487"/>
            <x v="488"/>
            <x v="489"/>
            <x v="490"/>
            <x v="491"/>
            <x v="492"/>
            <x v="493"/>
            <x v="494"/>
            <x v="495"/>
            <x v="496"/>
            <x v="497"/>
            <x v="498"/>
            <x v="499"/>
          </reference>
        </references>
      </pivotArea>
    </format>
    <format dxfId="2111">
      <pivotArea dataOnly="0" labelOnly="1" outline="0" fieldPosition="0">
        <references count="1">
          <reference field="1" count="50">
            <x v="500"/>
            <x v="501"/>
            <x v="502"/>
            <x v="503"/>
            <x v="504"/>
            <x v="505"/>
            <x v="506"/>
            <x v="507"/>
            <x v="508"/>
            <x v="509"/>
            <x v="510"/>
            <x v="511"/>
            <x v="512"/>
            <x v="513"/>
            <x v="514"/>
            <x v="515"/>
            <x v="516"/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540"/>
            <x v="541"/>
            <x v="542"/>
            <x v="543"/>
            <x v="544"/>
            <x v="545"/>
            <x v="546"/>
            <x v="547"/>
            <x v="548"/>
            <x v="549"/>
          </reference>
        </references>
      </pivotArea>
    </format>
    <format dxfId="2110">
      <pivotArea dataOnly="0" labelOnly="1" outline="0" fieldPosition="0">
        <references count="1">
          <reference field="1" count="50"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590"/>
            <x v="591"/>
            <x v="592"/>
            <x v="593"/>
            <x v="594"/>
            <x v="595"/>
            <x v="596"/>
            <x v="597"/>
            <x v="598"/>
            <x v="599"/>
          </reference>
        </references>
      </pivotArea>
    </format>
    <format dxfId="2109">
      <pivotArea dataOnly="0" labelOnly="1" outline="0" fieldPosition="0">
        <references count="1">
          <reference field="1" count="50"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640"/>
            <x v="641"/>
            <x v="642"/>
            <x v="643"/>
            <x v="644"/>
            <x v="645"/>
            <x v="646"/>
            <x v="647"/>
            <x v="648"/>
            <x v="649"/>
          </reference>
        </references>
      </pivotArea>
    </format>
    <format dxfId="2108">
      <pivotArea dataOnly="0" labelOnly="1" outline="0" fieldPosition="0">
        <references count="1">
          <reference field="1" count="50">
            <x v="650"/>
            <x v="651"/>
            <x v="652"/>
            <x v="653"/>
            <x v="654"/>
            <x v="655"/>
            <x v="656"/>
            <x v="657"/>
            <x v="658"/>
            <x v="659"/>
            <x v="660"/>
            <x v="661"/>
            <x v="662"/>
            <x v="663"/>
            <x v="664"/>
            <x v="665"/>
            <x v="666"/>
            <x v="667"/>
            <x v="668"/>
            <x v="669"/>
            <x v="670"/>
            <x v="671"/>
            <x v="672"/>
            <x v="673"/>
            <x v="674"/>
            <x v="675"/>
            <x v="676"/>
            <x v="677"/>
            <x v="678"/>
            <x v="679"/>
            <x v="680"/>
            <x v="681"/>
            <x v="682"/>
            <x v="683"/>
            <x v="684"/>
            <x v="685"/>
            <x v="686"/>
            <x v="687"/>
            <x v="688"/>
            <x v="689"/>
            <x v="690"/>
            <x v="691"/>
            <x v="692"/>
            <x v="693"/>
            <x v="694"/>
            <x v="695"/>
            <x v="696"/>
            <x v="697"/>
            <x v="698"/>
            <x v="699"/>
          </reference>
        </references>
      </pivotArea>
    </format>
    <format dxfId="2107">
      <pivotArea dataOnly="0" labelOnly="1" outline="0" fieldPosition="0">
        <references count="1">
          <reference field="1" count="50">
            <x v="700"/>
            <x v="701"/>
            <x v="702"/>
            <x v="703"/>
            <x v="704"/>
            <x v="705"/>
            <x v="706"/>
            <x v="707"/>
            <x v="708"/>
            <x v="709"/>
            <x v="710"/>
            <x v="711"/>
            <x v="712"/>
            <x v="713"/>
            <x v="714"/>
            <x v="715"/>
            <x v="716"/>
            <x v="717"/>
            <x v="718"/>
            <x v="719"/>
            <x v="720"/>
            <x v="721"/>
            <x v="722"/>
            <x v="723"/>
            <x v="724"/>
            <x v="725"/>
            <x v="726"/>
            <x v="727"/>
            <x v="728"/>
            <x v="729"/>
            <x v="730"/>
            <x v="731"/>
            <x v="732"/>
            <x v="733"/>
            <x v="734"/>
            <x v="735"/>
            <x v="736"/>
            <x v="737"/>
            <x v="738"/>
            <x v="739"/>
            <x v="740"/>
            <x v="741"/>
            <x v="742"/>
            <x v="743"/>
            <x v="744"/>
            <x v="745"/>
            <x v="746"/>
            <x v="747"/>
            <x v="748"/>
            <x v="749"/>
          </reference>
        </references>
      </pivotArea>
    </format>
    <format dxfId="2106">
      <pivotArea dataOnly="0" labelOnly="1" outline="0" fieldPosition="0">
        <references count="1">
          <reference field="1" count="50">
            <x v="750"/>
            <x v="751"/>
            <x v="752"/>
            <x v="753"/>
            <x v="754"/>
            <x v="755"/>
            <x v="756"/>
            <x v="757"/>
            <x v="758"/>
            <x v="759"/>
            <x v="760"/>
            <x v="761"/>
            <x v="762"/>
            <x v="763"/>
            <x v="764"/>
            <x v="765"/>
            <x v="766"/>
            <x v="767"/>
            <x v="768"/>
            <x v="769"/>
            <x v="770"/>
            <x v="771"/>
            <x v="772"/>
            <x v="773"/>
            <x v="774"/>
            <x v="775"/>
            <x v="776"/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</reference>
        </references>
      </pivotArea>
    </format>
    <format dxfId="2105">
      <pivotArea dataOnly="0" labelOnly="1" outline="0" fieldPosition="0">
        <references count="1">
          <reference field="1" count="50">
            <x v="800"/>
            <x v="801"/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</reference>
        </references>
      </pivotArea>
    </format>
    <format dxfId="2104">
      <pivotArea dataOnly="0" labelOnly="1" outline="0" fieldPosition="0">
        <references count="1">
          <reference field="1" count="50">
            <x v="850"/>
            <x v="851"/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</reference>
        </references>
      </pivotArea>
    </format>
    <format dxfId="2103">
      <pivotArea dataOnly="0" labelOnly="1" outline="0" fieldPosition="0">
        <references count="1">
          <reference field="1" count="50">
            <x v="900"/>
            <x v="901"/>
            <x v="902"/>
            <x v="903"/>
            <x v="904"/>
            <x v="905"/>
            <x v="906"/>
            <x v="907"/>
            <x v="908"/>
            <x v="909"/>
            <x v="910"/>
            <x v="911"/>
            <x v="912"/>
            <x v="913"/>
            <x v="914"/>
            <x v="915"/>
            <x v="916"/>
            <x v="917"/>
            <x v="918"/>
            <x v="919"/>
            <x v="920"/>
            <x v="921"/>
            <x v="922"/>
            <x v="923"/>
            <x v="924"/>
            <x v="925"/>
            <x v="926"/>
            <x v="927"/>
            <x v="928"/>
            <x v="929"/>
            <x v="930"/>
            <x v="931"/>
            <x v="932"/>
            <x v="933"/>
            <x v="934"/>
            <x v="935"/>
            <x v="936"/>
            <x v="937"/>
            <x v="938"/>
            <x v="939"/>
            <x v="940"/>
            <x v="941"/>
            <x v="942"/>
            <x v="943"/>
            <x v="944"/>
            <x v="945"/>
            <x v="946"/>
            <x v="947"/>
            <x v="948"/>
            <x v="949"/>
          </reference>
        </references>
      </pivotArea>
    </format>
    <format dxfId="2102">
      <pivotArea dataOnly="0" labelOnly="1" outline="0" fieldPosition="0">
        <references count="1">
          <reference field="1" count="50">
            <x v="950"/>
            <x v="951"/>
            <x v="952"/>
            <x v="953"/>
            <x v="954"/>
            <x v="955"/>
            <x v="956"/>
            <x v="957"/>
            <x v="958"/>
            <x v="959"/>
            <x v="960"/>
            <x v="961"/>
            <x v="962"/>
            <x v="963"/>
            <x v="964"/>
            <x v="965"/>
            <x v="966"/>
            <x v="967"/>
            <x v="968"/>
            <x v="969"/>
            <x v="970"/>
            <x v="971"/>
            <x v="972"/>
            <x v="973"/>
            <x v="974"/>
            <x v="975"/>
            <x v="976"/>
            <x v="977"/>
            <x v="978"/>
            <x v="979"/>
            <x v="980"/>
            <x v="981"/>
            <x v="982"/>
            <x v="983"/>
            <x v="984"/>
            <x v="985"/>
            <x v="986"/>
            <x v="987"/>
            <x v="988"/>
            <x v="989"/>
            <x v="990"/>
            <x v="991"/>
            <x v="992"/>
            <x v="993"/>
            <x v="994"/>
            <x v="995"/>
            <x v="996"/>
            <x v="997"/>
            <x v="998"/>
            <x v="999"/>
          </reference>
        </references>
      </pivotArea>
    </format>
    <format dxfId="2101">
      <pivotArea dataOnly="0" labelOnly="1" outline="0" fieldPosition="0">
        <references count="1">
          <reference field="1" count="13">
            <x v="1000"/>
            <x v="1001"/>
            <x v="1002"/>
            <x v="1003"/>
            <x v="1004"/>
            <x v="1005"/>
            <x v="1006"/>
            <x v="1007"/>
            <x v="1008"/>
            <x v="1009"/>
            <x v="1010"/>
            <x v="1011"/>
            <x v="1012"/>
          </reference>
        </references>
      </pivotArea>
    </format>
    <format dxfId="2100">
      <pivotArea field="1" type="button" dataOnly="0" labelOnly="1" outline="0" axis="axisRow" fieldPosition="0"/>
    </format>
    <format dxfId="2099">
      <pivotArea dataOnly="0" labelOnly="1" outline="0" fieldPosition="0">
        <references count="1">
          <reference field="1" count="1">
            <x v="0"/>
          </reference>
        </references>
      </pivotArea>
    </format>
    <format dxfId="2098">
      <pivotArea dataOnly="0" labelOnly="1" outline="0" fieldPosition="0">
        <references count="1">
          <reference field="1" count="1">
            <x v="1"/>
          </reference>
        </references>
      </pivotArea>
    </format>
    <format dxfId="2097">
      <pivotArea dataOnly="0" labelOnly="1" outline="0" fieldPosition="0">
        <references count="1">
          <reference field="1" count="1">
            <x v="2"/>
          </reference>
        </references>
      </pivotArea>
    </format>
    <format dxfId="2096">
      <pivotArea dataOnly="0" labelOnly="1" outline="0" fieldPosition="0">
        <references count="1">
          <reference field="1" count="1">
            <x v="3"/>
          </reference>
        </references>
      </pivotArea>
    </format>
    <format dxfId="2095">
      <pivotArea dataOnly="0" labelOnly="1" outline="0" fieldPosition="0">
        <references count="1">
          <reference field="1" count="1">
            <x v="4"/>
          </reference>
        </references>
      </pivotArea>
    </format>
    <format dxfId="2094">
      <pivotArea dataOnly="0" labelOnly="1" outline="0" fieldPosition="0">
        <references count="1">
          <reference field="1" count="1">
            <x v="5"/>
          </reference>
        </references>
      </pivotArea>
    </format>
    <format dxfId="2093">
      <pivotArea dataOnly="0" labelOnly="1" outline="0" fieldPosition="0">
        <references count="1">
          <reference field="1" count="1">
            <x v="6"/>
          </reference>
        </references>
      </pivotArea>
    </format>
    <format dxfId="2092">
      <pivotArea dataOnly="0" labelOnly="1" outline="0" fieldPosition="0">
        <references count="1">
          <reference field="1" count="1">
            <x v="7"/>
          </reference>
        </references>
      </pivotArea>
    </format>
    <format dxfId="2091">
      <pivotArea dataOnly="0" labelOnly="1" outline="0" fieldPosition="0">
        <references count="1">
          <reference field="1" count="1">
            <x v="8"/>
          </reference>
        </references>
      </pivotArea>
    </format>
    <format dxfId="2090">
      <pivotArea dataOnly="0" labelOnly="1" outline="0" fieldPosition="0">
        <references count="1">
          <reference field="1" count="1">
            <x v="9"/>
          </reference>
        </references>
      </pivotArea>
    </format>
    <format dxfId="2089">
      <pivotArea dataOnly="0" labelOnly="1" outline="0" fieldPosition="0">
        <references count="1">
          <reference field="1" count="1">
            <x v="10"/>
          </reference>
        </references>
      </pivotArea>
    </format>
    <format dxfId="2088">
      <pivotArea dataOnly="0" labelOnly="1" outline="0" fieldPosition="0">
        <references count="1">
          <reference field="1" count="1">
            <x v="11"/>
          </reference>
        </references>
      </pivotArea>
    </format>
    <format dxfId="2087">
      <pivotArea dataOnly="0" labelOnly="1" outline="0" fieldPosition="0">
        <references count="1">
          <reference field="1" count="1">
            <x v="12"/>
          </reference>
        </references>
      </pivotArea>
    </format>
    <format dxfId="2086">
      <pivotArea dataOnly="0" labelOnly="1" outline="0" fieldPosition="0">
        <references count="1">
          <reference field="1" count="1">
            <x v="13"/>
          </reference>
        </references>
      </pivotArea>
    </format>
    <format dxfId="2085">
      <pivotArea dataOnly="0" labelOnly="1" outline="0" fieldPosition="0">
        <references count="1">
          <reference field="1" count="1">
            <x v="14"/>
          </reference>
        </references>
      </pivotArea>
    </format>
    <format dxfId="2084">
      <pivotArea dataOnly="0" labelOnly="1" outline="0" fieldPosition="0">
        <references count="1">
          <reference field="1" count="1">
            <x v="15"/>
          </reference>
        </references>
      </pivotArea>
    </format>
    <format dxfId="2083">
      <pivotArea dataOnly="0" labelOnly="1" outline="0" fieldPosition="0">
        <references count="1">
          <reference field="1" count="1">
            <x v="16"/>
          </reference>
        </references>
      </pivotArea>
    </format>
    <format dxfId="2082">
      <pivotArea dataOnly="0" labelOnly="1" outline="0" fieldPosition="0">
        <references count="1">
          <reference field="1" count="1">
            <x v="17"/>
          </reference>
        </references>
      </pivotArea>
    </format>
    <format dxfId="2081">
      <pivotArea dataOnly="0" labelOnly="1" outline="0" fieldPosition="0">
        <references count="1">
          <reference field="1" count="1">
            <x v="18"/>
          </reference>
        </references>
      </pivotArea>
    </format>
    <format dxfId="2080">
      <pivotArea dataOnly="0" labelOnly="1" outline="0" fieldPosition="0">
        <references count="1">
          <reference field="1" count="1">
            <x v="19"/>
          </reference>
        </references>
      </pivotArea>
    </format>
    <format dxfId="2079">
      <pivotArea dataOnly="0" labelOnly="1" outline="0" fieldPosition="0">
        <references count="1">
          <reference field="1" count="1">
            <x v="20"/>
          </reference>
        </references>
      </pivotArea>
    </format>
    <format dxfId="2078">
      <pivotArea dataOnly="0" labelOnly="1" outline="0" fieldPosition="0">
        <references count="1">
          <reference field="1" count="1">
            <x v="21"/>
          </reference>
        </references>
      </pivotArea>
    </format>
    <format dxfId="2077">
      <pivotArea dataOnly="0" labelOnly="1" outline="0" fieldPosition="0">
        <references count="1">
          <reference field="1" count="1">
            <x v="22"/>
          </reference>
        </references>
      </pivotArea>
    </format>
    <format dxfId="2076">
      <pivotArea dataOnly="0" labelOnly="1" outline="0" fieldPosition="0">
        <references count="1">
          <reference field="1" count="1">
            <x v="23"/>
          </reference>
        </references>
      </pivotArea>
    </format>
    <format dxfId="2075">
      <pivotArea dataOnly="0" labelOnly="1" outline="0" fieldPosition="0">
        <references count="1">
          <reference field="1" count="1">
            <x v="24"/>
          </reference>
        </references>
      </pivotArea>
    </format>
    <format dxfId="2074">
      <pivotArea dataOnly="0" labelOnly="1" outline="0" fieldPosition="0">
        <references count="1">
          <reference field="1" count="1">
            <x v="25"/>
          </reference>
        </references>
      </pivotArea>
    </format>
    <format dxfId="2073">
      <pivotArea dataOnly="0" labelOnly="1" outline="0" fieldPosition="0">
        <references count="1">
          <reference field="1" count="1">
            <x v="26"/>
          </reference>
        </references>
      </pivotArea>
    </format>
    <format dxfId="2072">
      <pivotArea dataOnly="0" labelOnly="1" outline="0" fieldPosition="0">
        <references count="1">
          <reference field="1" count="1">
            <x v="27"/>
          </reference>
        </references>
      </pivotArea>
    </format>
    <format dxfId="2071">
      <pivotArea dataOnly="0" labelOnly="1" outline="0" fieldPosition="0">
        <references count="1">
          <reference field="1" count="1">
            <x v="28"/>
          </reference>
        </references>
      </pivotArea>
    </format>
    <format dxfId="2070">
      <pivotArea dataOnly="0" labelOnly="1" outline="0" fieldPosition="0">
        <references count="1">
          <reference field="1" count="1">
            <x v="29"/>
          </reference>
        </references>
      </pivotArea>
    </format>
    <format dxfId="2069">
      <pivotArea dataOnly="0" labelOnly="1" outline="0" fieldPosition="0">
        <references count="1">
          <reference field="1" count="1">
            <x v="30"/>
          </reference>
        </references>
      </pivotArea>
    </format>
    <format dxfId="2068">
      <pivotArea dataOnly="0" labelOnly="1" outline="0" fieldPosition="0">
        <references count="1">
          <reference field="1" count="1">
            <x v="31"/>
          </reference>
        </references>
      </pivotArea>
    </format>
    <format dxfId="2067">
      <pivotArea dataOnly="0" labelOnly="1" outline="0" fieldPosition="0">
        <references count="1">
          <reference field="1" count="1">
            <x v="32"/>
          </reference>
        </references>
      </pivotArea>
    </format>
    <format dxfId="2066">
      <pivotArea dataOnly="0" labelOnly="1" outline="0" fieldPosition="0">
        <references count="1">
          <reference field="1" count="1">
            <x v="33"/>
          </reference>
        </references>
      </pivotArea>
    </format>
    <format dxfId="2065">
      <pivotArea dataOnly="0" labelOnly="1" outline="0" fieldPosition="0">
        <references count="1">
          <reference field="1" count="1">
            <x v="34"/>
          </reference>
        </references>
      </pivotArea>
    </format>
    <format dxfId="2064">
      <pivotArea dataOnly="0" labelOnly="1" outline="0" fieldPosition="0">
        <references count="1">
          <reference field="1" count="1">
            <x v="35"/>
          </reference>
        </references>
      </pivotArea>
    </format>
    <format dxfId="2063">
      <pivotArea dataOnly="0" labelOnly="1" outline="0" fieldPosition="0">
        <references count="1">
          <reference field="1" count="1">
            <x v="36"/>
          </reference>
        </references>
      </pivotArea>
    </format>
    <format dxfId="2062">
      <pivotArea dataOnly="0" labelOnly="1" outline="0" fieldPosition="0">
        <references count="1">
          <reference field="1" count="1">
            <x v="37"/>
          </reference>
        </references>
      </pivotArea>
    </format>
    <format dxfId="2061">
      <pivotArea dataOnly="0" labelOnly="1" outline="0" fieldPosition="0">
        <references count="1">
          <reference field="1" count="1">
            <x v="38"/>
          </reference>
        </references>
      </pivotArea>
    </format>
    <format dxfId="2060">
      <pivotArea dataOnly="0" labelOnly="1" outline="0" fieldPosition="0">
        <references count="1">
          <reference field="1" count="1">
            <x v="39"/>
          </reference>
        </references>
      </pivotArea>
    </format>
    <format dxfId="2059">
      <pivotArea dataOnly="0" labelOnly="1" outline="0" fieldPosition="0">
        <references count="1">
          <reference field="1" count="1">
            <x v="40"/>
          </reference>
        </references>
      </pivotArea>
    </format>
    <format dxfId="2058">
      <pivotArea dataOnly="0" labelOnly="1" outline="0" fieldPosition="0">
        <references count="1">
          <reference field="1" count="1">
            <x v="41"/>
          </reference>
        </references>
      </pivotArea>
    </format>
    <format dxfId="2057">
      <pivotArea dataOnly="0" labelOnly="1" outline="0" fieldPosition="0">
        <references count="1">
          <reference field="1" count="1">
            <x v="42"/>
          </reference>
        </references>
      </pivotArea>
    </format>
    <format dxfId="2056">
      <pivotArea dataOnly="0" labelOnly="1" outline="0" fieldPosition="0">
        <references count="1">
          <reference field="1" count="1">
            <x v="43"/>
          </reference>
        </references>
      </pivotArea>
    </format>
    <format dxfId="2055">
      <pivotArea dataOnly="0" labelOnly="1" outline="0" fieldPosition="0">
        <references count="1">
          <reference field="1" count="1">
            <x v="44"/>
          </reference>
        </references>
      </pivotArea>
    </format>
    <format dxfId="2054">
      <pivotArea dataOnly="0" labelOnly="1" outline="0" fieldPosition="0">
        <references count="1">
          <reference field="1" count="1">
            <x v="45"/>
          </reference>
        </references>
      </pivotArea>
    </format>
    <format dxfId="2053">
      <pivotArea dataOnly="0" labelOnly="1" outline="0" fieldPosition="0">
        <references count="1">
          <reference field="1" count="1">
            <x v="46"/>
          </reference>
        </references>
      </pivotArea>
    </format>
    <format dxfId="2052">
      <pivotArea dataOnly="0" labelOnly="1" outline="0" fieldPosition="0">
        <references count="1">
          <reference field="1" count="1">
            <x v="47"/>
          </reference>
        </references>
      </pivotArea>
    </format>
    <format dxfId="2051">
      <pivotArea dataOnly="0" labelOnly="1" outline="0" fieldPosition="0">
        <references count="1">
          <reference field="1" count="1">
            <x v="48"/>
          </reference>
        </references>
      </pivotArea>
    </format>
    <format dxfId="2050">
      <pivotArea dataOnly="0" labelOnly="1" outline="0" fieldPosition="0">
        <references count="1">
          <reference field="1" count="1">
            <x v="49"/>
          </reference>
        </references>
      </pivotArea>
    </format>
    <format dxfId="2049">
      <pivotArea dataOnly="0" labelOnly="1" outline="0" fieldPosition="0">
        <references count="1">
          <reference field="1" count="1">
            <x v="50"/>
          </reference>
        </references>
      </pivotArea>
    </format>
    <format dxfId="2048">
      <pivotArea dataOnly="0" labelOnly="1" outline="0" fieldPosition="0">
        <references count="1">
          <reference field="1" count="1">
            <x v="51"/>
          </reference>
        </references>
      </pivotArea>
    </format>
    <format dxfId="2047">
      <pivotArea dataOnly="0" labelOnly="1" outline="0" fieldPosition="0">
        <references count="1">
          <reference field="1" count="1">
            <x v="52"/>
          </reference>
        </references>
      </pivotArea>
    </format>
    <format dxfId="2046">
      <pivotArea dataOnly="0" labelOnly="1" outline="0" fieldPosition="0">
        <references count="1">
          <reference field="1" count="1">
            <x v="53"/>
          </reference>
        </references>
      </pivotArea>
    </format>
    <format dxfId="2045">
      <pivotArea dataOnly="0" labelOnly="1" outline="0" fieldPosition="0">
        <references count="1">
          <reference field="1" count="1">
            <x v="54"/>
          </reference>
        </references>
      </pivotArea>
    </format>
    <format dxfId="2044">
      <pivotArea dataOnly="0" labelOnly="1" outline="0" fieldPosition="0">
        <references count="1">
          <reference field="1" count="1">
            <x v="55"/>
          </reference>
        </references>
      </pivotArea>
    </format>
    <format dxfId="2043">
      <pivotArea dataOnly="0" labelOnly="1" outline="0" fieldPosition="0">
        <references count="1">
          <reference field="1" count="1">
            <x v="56"/>
          </reference>
        </references>
      </pivotArea>
    </format>
    <format dxfId="2042">
      <pivotArea dataOnly="0" labelOnly="1" outline="0" fieldPosition="0">
        <references count="1">
          <reference field="1" count="1">
            <x v="57"/>
          </reference>
        </references>
      </pivotArea>
    </format>
    <format dxfId="2041">
      <pivotArea dataOnly="0" labelOnly="1" outline="0" fieldPosition="0">
        <references count="1">
          <reference field="1" count="1">
            <x v="58"/>
          </reference>
        </references>
      </pivotArea>
    </format>
    <format dxfId="2040">
      <pivotArea dataOnly="0" labelOnly="1" outline="0" fieldPosition="0">
        <references count="1">
          <reference field="1" count="1">
            <x v="59"/>
          </reference>
        </references>
      </pivotArea>
    </format>
    <format dxfId="2039">
      <pivotArea dataOnly="0" labelOnly="1" outline="0" fieldPosition="0">
        <references count="1">
          <reference field="1" count="1">
            <x v="60"/>
          </reference>
        </references>
      </pivotArea>
    </format>
    <format dxfId="2038">
      <pivotArea dataOnly="0" labelOnly="1" outline="0" fieldPosition="0">
        <references count="1">
          <reference field="1" count="1">
            <x v="61"/>
          </reference>
        </references>
      </pivotArea>
    </format>
    <format dxfId="2037">
      <pivotArea dataOnly="0" labelOnly="1" outline="0" fieldPosition="0">
        <references count="1">
          <reference field="1" count="1">
            <x v="62"/>
          </reference>
        </references>
      </pivotArea>
    </format>
    <format dxfId="2036">
      <pivotArea dataOnly="0" labelOnly="1" outline="0" fieldPosition="0">
        <references count="1">
          <reference field="1" count="1">
            <x v="63"/>
          </reference>
        </references>
      </pivotArea>
    </format>
    <format dxfId="2035">
      <pivotArea dataOnly="0" labelOnly="1" outline="0" fieldPosition="0">
        <references count="1">
          <reference field="1" count="1">
            <x v="64"/>
          </reference>
        </references>
      </pivotArea>
    </format>
    <format dxfId="2034">
      <pivotArea dataOnly="0" labelOnly="1" outline="0" fieldPosition="0">
        <references count="1">
          <reference field="1" count="1">
            <x v="65"/>
          </reference>
        </references>
      </pivotArea>
    </format>
    <format dxfId="2033">
      <pivotArea dataOnly="0" labelOnly="1" outline="0" fieldPosition="0">
        <references count="1">
          <reference field="1" count="1">
            <x v="66"/>
          </reference>
        </references>
      </pivotArea>
    </format>
    <format dxfId="2032">
      <pivotArea dataOnly="0" labelOnly="1" outline="0" fieldPosition="0">
        <references count="1">
          <reference field="1" count="1">
            <x v="67"/>
          </reference>
        </references>
      </pivotArea>
    </format>
    <format dxfId="2031">
      <pivotArea dataOnly="0" labelOnly="1" outline="0" fieldPosition="0">
        <references count="1">
          <reference field="1" count="1">
            <x v="68"/>
          </reference>
        </references>
      </pivotArea>
    </format>
    <format dxfId="2030">
      <pivotArea dataOnly="0" labelOnly="1" outline="0" fieldPosition="0">
        <references count="1">
          <reference field="1" count="1">
            <x v="69"/>
          </reference>
        </references>
      </pivotArea>
    </format>
    <format dxfId="2029">
      <pivotArea dataOnly="0" labelOnly="1" outline="0" fieldPosition="0">
        <references count="1">
          <reference field="1" count="1">
            <x v="70"/>
          </reference>
        </references>
      </pivotArea>
    </format>
    <format dxfId="2028">
      <pivotArea dataOnly="0" labelOnly="1" outline="0" fieldPosition="0">
        <references count="1">
          <reference field="1" count="1">
            <x v="71"/>
          </reference>
        </references>
      </pivotArea>
    </format>
    <format dxfId="2027">
      <pivotArea dataOnly="0" labelOnly="1" outline="0" fieldPosition="0">
        <references count="1">
          <reference field="1" count="1">
            <x v="72"/>
          </reference>
        </references>
      </pivotArea>
    </format>
    <format dxfId="2026">
      <pivotArea dataOnly="0" labelOnly="1" outline="0" fieldPosition="0">
        <references count="1">
          <reference field="1" count="1">
            <x v="73"/>
          </reference>
        </references>
      </pivotArea>
    </format>
    <format dxfId="2025">
      <pivotArea dataOnly="0" labelOnly="1" outline="0" fieldPosition="0">
        <references count="1">
          <reference field="1" count="1">
            <x v="74"/>
          </reference>
        </references>
      </pivotArea>
    </format>
    <format dxfId="2024">
      <pivotArea dataOnly="0" labelOnly="1" outline="0" fieldPosition="0">
        <references count="1">
          <reference field="1" count="1">
            <x v="75"/>
          </reference>
        </references>
      </pivotArea>
    </format>
    <format dxfId="2023">
      <pivotArea dataOnly="0" labelOnly="1" outline="0" fieldPosition="0">
        <references count="1">
          <reference field="1" count="1">
            <x v="76"/>
          </reference>
        </references>
      </pivotArea>
    </format>
    <format dxfId="2022">
      <pivotArea dataOnly="0" labelOnly="1" outline="0" fieldPosition="0">
        <references count="1">
          <reference field="1" count="1">
            <x v="77"/>
          </reference>
        </references>
      </pivotArea>
    </format>
    <format dxfId="2021">
      <pivotArea dataOnly="0" labelOnly="1" outline="0" fieldPosition="0">
        <references count="1">
          <reference field="1" count="1">
            <x v="78"/>
          </reference>
        </references>
      </pivotArea>
    </format>
    <format dxfId="2020">
      <pivotArea dataOnly="0" labelOnly="1" outline="0" fieldPosition="0">
        <references count="1">
          <reference field="1" count="1">
            <x v="79"/>
          </reference>
        </references>
      </pivotArea>
    </format>
    <format dxfId="2019">
      <pivotArea dataOnly="0" labelOnly="1" outline="0" fieldPosition="0">
        <references count="1">
          <reference field="1" count="1">
            <x v="80"/>
          </reference>
        </references>
      </pivotArea>
    </format>
    <format dxfId="2018">
      <pivotArea dataOnly="0" labelOnly="1" outline="0" fieldPosition="0">
        <references count="1">
          <reference field="1" count="1">
            <x v="81"/>
          </reference>
        </references>
      </pivotArea>
    </format>
    <format dxfId="2017">
      <pivotArea dataOnly="0" labelOnly="1" outline="0" fieldPosition="0">
        <references count="1">
          <reference field="1" count="1">
            <x v="82"/>
          </reference>
        </references>
      </pivotArea>
    </format>
    <format dxfId="2016">
      <pivotArea dataOnly="0" labelOnly="1" outline="0" fieldPosition="0">
        <references count="1">
          <reference field="1" count="1">
            <x v="83"/>
          </reference>
        </references>
      </pivotArea>
    </format>
    <format dxfId="2015">
      <pivotArea dataOnly="0" labelOnly="1" outline="0" fieldPosition="0">
        <references count="1">
          <reference field="1" count="1">
            <x v="84"/>
          </reference>
        </references>
      </pivotArea>
    </format>
    <format dxfId="2014">
      <pivotArea dataOnly="0" labelOnly="1" outline="0" fieldPosition="0">
        <references count="1">
          <reference field="1" count="1">
            <x v="85"/>
          </reference>
        </references>
      </pivotArea>
    </format>
    <format dxfId="2013">
      <pivotArea dataOnly="0" labelOnly="1" outline="0" fieldPosition="0">
        <references count="1">
          <reference field="1" count="1">
            <x v="86"/>
          </reference>
        </references>
      </pivotArea>
    </format>
    <format dxfId="2012">
      <pivotArea dataOnly="0" labelOnly="1" outline="0" fieldPosition="0">
        <references count="1">
          <reference field="1" count="1">
            <x v="87"/>
          </reference>
        </references>
      </pivotArea>
    </format>
    <format dxfId="2011">
      <pivotArea dataOnly="0" labelOnly="1" outline="0" fieldPosition="0">
        <references count="1">
          <reference field="1" count="1">
            <x v="88"/>
          </reference>
        </references>
      </pivotArea>
    </format>
    <format dxfId="2010">
      <pivotArea dataOnly="0" labelOnly="1" outline="0" fieldPosition="0">
        <references count="1">
          <reference field="1" count="1">
            <x v="89"/>
          </reference>
        </references>
      </pivotArea>
    </format>
    <format dxfId="2009">
      <pivotArea dataOnly="0" labelOnly="1" outline="0" fieldPosition="0">
        <references count="1">
          <reference field="1" count="1">
            <x v="90"/>
          </reference>
        </references>
      </pivotArea>
    </format>
    <format dxfId="2008">
      <pivotArea dataOnly="0" labelOnly="1" outline="0" fieldPosition="0">
        <references count="1">
          <reference field="1" count="1">
            <x v="91"/>
          </reference>
        </references>
      </pivotArea>
    </format>
    <format dxfId="2007">
      <pivotArea dataOnly="0" labelOnly="1" outline="0" fieldPosition="0">
        <references count="1">
          <reference field="1" count="1">
            <x v="92"/>
          </reference>
        </references>
      </pivotArea>
    </format>
    <format dxfId="2006">
      <pivotArea dataOnly="0" labelOnly="1" outline="0" fieldPosition="0">
        <references count="1">
          <reference field="1" count="1">
            <x v="93"/>
          </reference>
        </references>
      </pivotArea>
    </format>
    <format dxfId="2005">
      <pivotArea dataOnly="0" labelOnly="1" outline="0" fieldPosition="0">
        <references count="1">
          <reference field="1" count="1">
            <x v="94"/>
          </reference>
        </references>
      </pivotArea>
    </format>
    <format dxfId="2004">
      <pivotArea dataOnly="0" labelOnly="1" outline="0" fieldPosition="0">
        <references count="1">
          <reference field="1" count="1">
            <x v="95"/>
          </reference>
        </references>
      </pivotArea>
    </format>
    <format dxfId="2003">
      <pivotArea dataOnly="0" labelOnly="1" outline="0" fieldPosition="0">
        <references count="1">
          <reference field="1" count="1">
            <x v="96"/>
          </reference>
        </references>
      </pivotArea>
    </format>
    <format dxfId="2002">
      <pivotArea dataOnly="0" labelOnly="1" outline="0" fieldPosition="0">
        <references count="1">
          <reference field="1" count="1">
            <x v="97"/>
          </reference>
        </references>
      </pivotArea>
    </format>
    <format dxfId="2001">
      <pivotArea dataOnly="0" labelOnly="1" outline="0" fieldPosition="0">
        <references count="1">
          <reference field="1" count="1">
            <x v="98"/>
          </reference>
        </references>
      </pivotArea>
    </format>
    <format dxfId="2000">
      <pivotArea dataOnly="0" labelOnly="1" outline="0" fieldPosition="0">
        <references count="1">
          <reference field="1" count="1">
            <x v="99"/>
          </reference>
        </references>
      </pivotArea>
    </format>
    <format dxfId="1999">
      <pivotArea dataOnly="0" labelOnly="1" outline="0" fieldPosition="0">
        <references count="1">
          <reference field="1" count="1">
            <x v="100"/>
          </reference>
        </references>
      </pivotArea>
    </format>
    <format dxfId="1998">
      <pivotArea dataOnly="0" labelOnly="1" outline="0" fieldPosition="0">
        <references count="1">
          <reference field="1" count="1">
            <x v="101"/>
          </reference>
        </references>
      </pivotArea>
    </format>
    <format dxfId="1997">
      <pivotArea dataOnly="0" labelOnly="1" outline="0" fieldPosition="0">
        <references count="1">
          <reference field="1" count="1">
            <x v="102"/>
          </reference>
        </references>
      </pivotArea>
    </format>
    <format dxfId="1996">
      <pivotArea dataOnly="0" labelOnly="1" outline="0" fieldPosition="0">
        <references count="1">
          <reference field="1" count="1">
            <x v="103"/>
          </reference>
        </references>
      </pivotArea>
    </format>
    <format dxfId="1995">
      <pivotArea dataOnly="0" labelOnly="1" outline="0" fieldPosition="0">
        <references count="1">
          <reference field="1" count="1">
            <x v="104"/>
          </reference>
        </references>
      </pivotArea>
    </format>
    <format dxfId="1994">
      <pivotArea dataOnly="0" labelOnly="1" outline="0" fieldPosition="0">
        <references count="1">
          <reference field="1" count="1">
            <x v="105"/>
          </reference>
        </references>
      </pivotArea>
    </format>
    <format dxfId="1993">
      <pivotArea dataOnly="0" labelOnly="1" outline="0" fieldPosition="0">
        <references count="1">
          <reference field="1" count="1">
            <x v="106"/>
          </reference>
        </references>
      </pivotArea>
    </format>
    <format dxfId="1992">
      <pivotArea dataOnly="0" labelOnly="1" outline="0" fieldPosition="0">
        <references count="1">
          <reference field="1" count="1">
            <x v="107"/>
          </reference>
        </references>
      </pivotArea>
    </format>
    <format dxfId="1991">
      <pivotArea dataOnly="0" labelOnly="1" outline="0" fieldPosition="0">
        <references count="1">
          <reference field="1" count="1">
            <x v="108"/>
          </reference>
        </references>
      </pivotArea>
    </format>
    <format dxfId="1990">
      <pivotArea dataOnly="0" labelOnly="1" outline="0" fieldPosition="0">
        <references count="1">
          <reference field="1" count="1">
            <x v="109"/>
          </reference>
        </references>
      </pivotArea>
    </format>
    <format dxfId="1989">
      <pivotArea dataOnly="0" labelOnly="1" outline="0" fieldPosition="0">
        <references count="1">
          <reference field="1" count="1">
            <x v="110"/>
          </reference>
        </references>
      </pivotArea>
    </format>
    <format dxfId="1988">
      <pivotArea dataOnly="0" labelOnly="1" outline="0" fieldPosition="0">
        <references count="1">
          <reference field="1" count="1">
            <x v="111"/>
          </reference>
        </references>
      </pivotArea>
    </format>
    <format dxfId="1987">
      <pivotArea dataOnly="0" labelOnly="1" outline="0" fieldPosition="0">
        <references count="1">
          <reference field="1" count="1">
            <x v="112"/>
          </reference>
        </references>
      </pivotArea>
    </format>
    <format dxfId="1986">
      <pivotArea dataOnly="0" labelOnly="1" outline="0" fieldPosition="0">
        <references count="1">
          <reference field="1" count="1">
            <x v="113"/>
          </reference>
        </references>
      </pivotArea>
    </format>
    <format dxfId="1985">
      <pivotArea dataOnly="0" labelOnly="1" outline="0" fieldPosition="0">
        <references count="1">
          <reference field="1" count="1">
            <x v="114"/>
          </reference>
        </references>
      </pivotArea>
    </format>
    <format dxfId="1984">
      <pivotArea dataOnly="0" labelOnly="1" outline="0" fieldPosition="0">
        <references count="1">
          <reference field="1" count="1">
            <x v="115"/>
          </reference>
        </references>
      </pivotArea>
    </format>
    <format dxfId="1983">
      <pivotArea dataOnly="0" labelOnly="1" outline="0" fieldPosition="0">
        <references count="1">
          <reference field="1" count="1">
            <x v="116"/>
          </reference>
        </references>
      </pivotArea>
    </format>
    <format dxfId="1982">
      <pivotArea dataOnly="0" labelOnly="1" outline="0" fieldPosition="0">
        <references count="1">
          <reference field="1" count="1">
            <x v="117"/>
          </reference>
        </references>
      </pivotArea>
    </format>
    <format dxfId="1981">
      <pivotArea dataOnly="0" labelOnly="1" outline="0" fieldPosition="0">
        <references count="1">
          <reference field="1" count="1">
            <x v="118"/>
          </reference>
        </references>
      </pivotArea>
    </format>
    <format dxfId="1980">
      <pivotArea dataOnly="0" labelOnly="1" outline="0" fieldPosition="0">
        <references count="1">
          <reference field="1" count="1">
            <x v="119"/>
          </reference>
        </references>
      </pivotArea>
    </format>
    <format dxfId="1979">
      <pivotArea dataOnly="0" labelOnly="1" outline="0" fieldPosition="0">
        <references count="1">
          <reference field="1" count="1">
            <x v="120"/>
          </reference>
        </references>
      </pivotArea>
    </format>
    <format dxfId="1978">
      <pivotArea dataOnly="0" labelOnly="1" outline="0" fieldPosition="0">
        <references count="1">
          <reference field="1" count="1">
            <x v="121"/>
          </reference>
        </references>
      </pivotArea>
    </format>
    <format dxfId="1977">
      <pivotArea dataOnly="0" labelOnly="1" outline="0" fieldPosition="0">
        <references count="1">
          <reference field="1" count="1">
            <x v="122"/>
          </reference>
        </references>
      </pivotArea>
    </format>
    <format dxfId="1976">
      <pivotArea dataOnly="0" labelOnly="1" outline="0" fieldPosition="0">
        <references count="1">
          <reference field="1" count="1">
            <x v="123"/>
          </reference>
        </references>
      </pivotArea>
    </format>
    <format dxfId="1975">
      <pivotArea dataOnly="0" labelOnly="1" outline="0" fieldPosition="0">
        <references count="1">
          <reference field="1" count="1">
            <x v="124"/>
          </reference>
        </references>
      </pivotArea>
    </format>
    <format dxfId="1974">
      <pivotArea dataOnly="0" labelOnly="1" outline="0" fieldPosition="0">
        <references count="1">
          <reference field="1" count="1">
            <x v="125"/>
          </reference>
        </references>
      </pivotArea>
    </format>
    <format dxfId="1973">
      <pivotArea dataOnly="0" labelOnly="1" outline="0" fieldPosition="0">
        <references count="1">
          <reference field="1" count="1">
            <x v="126"/>
          </reference>
        </references>
      </pivotArea>
    </format>
    <format dxfId="1972">
      <pivotArea dataOnly="0" labelOnly="1" outline="0" fieldPosition="0">
        <references count="1">
          <reference field="1" count="1">
            <x v="127"/>
          </reference>
        </references>
      </pivotArea>
    </format>
    <format dxfId="1971">
      <pivotArea dataOnly="0" labelOnly="1" outline="0" fieldPosition="0">
        <references count="1">
          <reference field="1" count="1">
            <x v="128"/>
          </reference>
        </references>
      </pivotArea>
    </format>
    <format dxfId="1970">
      <pivotArea dataOnly="0" labelOnly="1" outline="0" fieldPosition="0">
        <references count="1">
          <reference field="1" count="1">
            <x v="129"/>
          </reference>
        </references>
      </pivotArea>
    </format>
    <format dxfId="1969">
      <pivotArea dataOnly="0" labelOnly="1" outline="0" fieldPosition="0">
        <references count="1">
          <reference field="1" count="1">
            <x v="130"/>
          </reference>
        </references>
      </pivotArea>
    </format>
    <format dxfId="1968">
      <pivotArea dataOnly="0" labelOnly="1" outline="0" fieldPosition="0">
        <references count="1">
          <reference field="1" count="1">
            <x v="131"/>
          </reference>
        </references>
      </pivotArea>
    </format>
    <format dxfId="1967">
      <pivotArea dataOnly="0" labelOnly="1" outline="0" fieldPosition="0">
        <references count="1">
          <reference field="1" count="1">
            <x v="132"/>
          </reference>
        </references>
      </pivotArea>
    </format>
    <format dxfId="1966">
      <pivotArea dataOnly="0" labelOnly="1" outline="0" fieldPosition="0">
        <references count="1">
          <reference field="1" count="1">
            <x v="133"/>
          </reference>
        </references>
      </pivotArea>
    </format>
    <format dxfId="1965">
      <pivotArea dataOnly="0" labelOnly="1" outline="0" fieldPosition="0">
        <references count="1">
          <reference field="1" count="1">
            <x v="134"/>
          </reference>
        </references>
      </pivotArea>
    </format>
    <format dxfId="1964">
      <pivotArea dataOnly="0" labelOnly="1" outline="0" fieldPosition="0">
        <references count="1">
          <reference field="1" count="1">
            <x v="135"/>
          </reference>
        </references>
      </pivotArea>
    </format>
    <format dxfId="1963">
      <pivotArea dataOnly="0" labelOnly="1" outline="0" fieldPosition="0">
        <references count="1">
          <reference field="1" count="1">
            <x v="136"/>
          </reference>
        </references>
      </pivotArea>
    </format>
    <format dxfId="1962">
      <pivotArea dataOnly="0" labelOnly="1" outline="0" fieldPosition="0">
        <references count="1">
          <reference field="1" count="1">
            <x v="137"/>
          </reference>
        </references>
      </pivotArea>
    </format>
    <format dxfId="1961">
      <pivotArea dataOnly="0" labelOnly="1" outline="0" fieldPosition="0">
        <references count="1">
          <reference field="1" count="1">
            <x v="138"/>
          </reference>
        </references>
      </pivotArea>
    </format>
    <format dxfId="1960">
      <pivotArea dataOnly="0" labelOnly="1" outline="0" fieldPosition="0">
        <references count="1">
          <reference field="1" count="1">
            <x v="139"/>
          </reference>
        </references>
      </pivotArea>
    </format>
    <format dxfId="1959">
      <pivotArea dataOnly="0" labelOnly="1" outline="0" fieldPosition="0">
        <references count="1">
          <reference field="1" count="1">
            <x v="140"/>
          </reference>
        </references>
      </pivotArea>
    </format>
    <format dxfId="1958">
      <pivotArea dataOnly="0" labelOnly="1" outline="0" fieldPosition="0">
        <references count="1">
          <reference field="1" count="1">
            <x v="141"/>
          </reference>
        </references>
      </pivotArea>
    </format>
    <format dxfId="1957">
      <pivotArea dataOnly="0" labelOnly="1" outline="0" fieldPosition="0">
        <references count="1">
          <reference field="1" count="1">
            <x v="142"/>
          </reference>
        </references>
      </pivotArea>
    </format>
    <format dxfId="1956">
      <pivotArea dataOnly="0" labelOnly="1" outline="0" fieldPosition="0">
        <references count="1">
          <reference field="1" count="1">
            <x v="143"/>
          </reference>
        </references>
      </pivotArea>
    </format>
    <format dxfId="1955">
      <pivotArea dataOnly="0" labelOnly="1" outline="0" fieldPosition="0">
        <references count="1">
          <reference field="1" count="1">
            <x v="144"/>
          </reference>
        </references>
      </pivotArea>
    </format>
    <format dxfId="1954">
      <pivotArea dataOnly="0" labelOnly="1" outline="0" fieldPosition="0">
        <references count="1">
          <reference field="1" count="1">
            <x v="145"/>
          </reference>
        </references>
      </pivotArea>
    </format>
    <format dxfId="1953">
      <pivotArea dataOnly="0" labelOnly="1" outline="0" fieldPosition="0">
        <references count="1">
          <reference field="1" count="1">
            <x v="146"/>
          </reference>
        </references>
      </pivotArea>
    </format>
    <format dxfId="1952">
      <pivotArea dataOnly="0" labelOnly="1" outline="0" fieldPosition="0">
        <references count="1">
          <reference field="1" count="1">
            <x v="147"/>
          </reference>
        </references>
      </pivotArea>
    </format>
    <format dxfId="1951">
      <pivotArea dataOnly="0" labelOnly="1" outline="0" fieldPosition="0">
        <references count="1">
          <reference field="1" count="1">
            <x v="148"/>
          </reference>
        </references>
      </pivotArea>
    </format>
    <format dxfId="1950">
      <pivotArea dataOnly="0" labelOnly="1" outline="0" fieldPosition="0">
        <references count="1">
          <reference field="1" count="1">
            <x v="149"/>
          </reference>
        </references>
      </pivotArea>
    </format>
    <format dxfId="1949">
      <pivotArea dataOnly="0" labelOnly="1" outline="0" fieldPosition="0">
        <references count="1">
          <reference field="1" count="1">
            <x v="150"/>
          </reference>
        </references>
      </pivotArea>
    </format>
    <format dxfId="1948">
      <pivotArea dataOnly="0" labelOnly="1" outline="0" fieldPosition="0">
        <references count="1">
          <reference field="1" count="1">
            <x v="151"/>
          </reference>
        </references>
      </pivotArea>
    </format>
    <format dxfId="1947">
      <pivotArea dataOnly="0" labelOnly="1" outline="0" fieldPosition="0">
        <references count="1">
          <reference field="1" count="1">
            <x v="152"/>
          </reference>
        </references>
      </pivotArea>
    </format>
    <format dxfId="1946">
      <pivotArea dataOnly="0" labelOnly="1" outline="0" fieldPosition="0">
        <references count="1">
          <reference field="1" count="1">
            <x v="153"/>
          </reference>
        </references>
      </pivotArea>
    </format>
    <format dxfId="1945">
      <pivotArea dataOnly="0" labelOnly="1" outline="0" fieldPosition="0">
        <references count="1">
          <reference field="1" count="1">
            <x v="154"/>
          </reference>
        </references>
      </pivotArea>
    </format>
    <format dxfId="1944">
      <pivotArea dataOnly="0" labelOnly="1" outline="0" fieldPosition="0">
        <references count="1">
          <reference field="1" count="1">
            <x v="155"/>
          </reference>
        </references>
      </pivotArea>
    </format>
    <format dxfId="1943">
      <pivotArea dataOnly="0" labelOnly="1" outline="0" fieldPosition="0">
        <references count="1">
          <reference field="1" count="1">
            <x v="156"/>
          </reference>
        </references>
      </pivotArea>
    </format>
    <format dxfId="1942">
      <pivotArea dataOnly="0" labelOnly="1" outline="0" fieldPosition="0">
        <references count="1">
          <reference field="1" count="1">
            <x v="157"/>
          </reference>
        </references>
      </pivotArea>
    </format>
    <format dxfId="1941">
      <pivotArea dataOnly="0" labelOnly="1" outline="0" fieldPosition="0">
        <references count="1">
          <reference field="1" count="1">
            <x v="158"/>
          </reference>
        </references>
      </pivotArea>
    </format>
    <format dxfId="1940">
      <pivotArea dataOnly="0" labelOnly="1" outline="0" fieldPosition="0">
        <references count="1">
          <reference field="1" count="1">
            <x v="159"/>
          </reference>
        </references>
      </pivotArea>
    </format>
    <format dxfId="1939">
      <pivotArea dataOnly="0" labelOnly="1" outline="0" fieldPosition="0">
        <references count="1">
          <reference field="1" count="1">
            <x v="160"/>
          </reference>
        </references>
      </pivotArea>
    </format>
    <format dxfId="1938">
      <pivotArea dataOnly="0" labelOnly="1" outline="0" fieldPosition="0">
        <references count="1">
          <reference field="1" count="1">
            <x v="161"/>
          </reference>
        </references>
      </pivotArea>
    </format>
    <format dxfId="1937">
      <pivotArea dataOnly="0" labelOnly="1" outline="0" fieldPosition="0">
        <references count="1">
          <reference field="1" count="1">
            <x v="162"/>
          </reference>
        </references>
      </pivotArea>
    </format>
    <format dxfId="1936">
      <pivotArea dataOnly="0" labelOnly="1" outline="0" fieldPosition="0">
        <references count="1">
          <reference field="1" count="1">
            <x v="163"/>
          </reference>
        </references>
      </pivotArea>
    </format>
    <format dxfId="1935">
      <pivotArea dataOnly="0" labelOnly="1" outline="0" fieldPosition="0">
        <references count="1">
          <reference field="1" count="1">
            <x v="164"/>
          </reference>
        </references>
      </pivotArea>
    </format>
    <format dxfId="1934">
      <pivotArea dataOnly="0" labelOnly="1" outline="0" fieldPosition="0">
        <references count="1">
          <reference field="1" count="1">
            <x v="165"/>
          </reference>
        </references>
      </pivotArea>
    </format>
    <format dxfId="1933">
      <pivotArea dataOnly="0" labelOnly="1" outline="0" fieldPosition="0">
        <references count="1">
          <reference field="1" count="1">
            <x v="166"/>
          </reference>
        </references>
      </pivotArea>
    </format>
    <format dxfId="1932">
      <pivotArea dataOnly="0" labelOnly="1" outline="0" fieldPosition="0">
        <references count="1">
          <reference field="1" count="1">
            <x v="167"/>
          </reference>
        </references>
      </pivotArea>
    </format>
    <format dxfId="1931">
      <pivotArea dataOnly="0" labelOnly="1" outline="0" fieldPosition="0">
        <references count="1">
          <reference field="1" count="1">
            <x v="168"/>
          </reference>
        </references>
      </pivotArea>
    </format>
    <format dxfId="1930">
      <pivotArea dataOnly="0" labelOnly="1" outline="0" fieldPosition="0">
        <references count="1">
          <reference field="1" count="1">
            <x v="169"/>
          </reference>
        </references>
      </pivotArea>
    </format>
    <format dxfId="1929">
      <pivotArea dataOnly="0" labelOnly="1" outline="0" fieldPosition="0">
        <references count="1">
          <reference field="1" count="1">
            <x v="170"/>
          </reference>
        </references>
      </pivotArea>
    </format>
    <format dxfId="1928">
      <pivotArea dataOnly="0" labelOnly="1" outline="0" fieldPosition="0">
        <references count="1">
          <reference field="1" count="1">
            <x v="171"/>
          </reference>
        </references>
      </pivotArea>
    </format>
    <format dxfId="1927">
      <pivotArea dataOnly="0" labelOnly="1" outline="0" fieldPosition="0">
        <references count="1">
          <reference field="1" count="1">
            <x v="172"/>
          </reference>
        </references>
      </pivotArea>
    </format>
    <format dxfId="1926">
      <pivotArea dataOnly="0" labelOnly="1" outline="0" fieldPosition="0">
        <references count="1">
          <reference field="1" count="1">
            <x v="173"/>
          </reference>
        </references>
      </pivotArea>
    </format>
    <format dxfId="1925">
      <pivotArea dataOnly="0" labelOnly="1" outline="0" fieldPosition="0">
        <references count="1">
          <reference field="1" count="1">
            <x v="174"/>
          </reference>
        </references>
      </pivotArea>
    </format>
    <format dxfId="1924">
      <pivotArea dataOnly="0" labelOnly="1" outline="0" fieldPosition="0">
        <references count="1">
          <reference field="1" count="1">
            <x v="175"/>
          </reference>
        </references>
      </pivotArea>
    </format>
    <format dxfId="1923">
      <pivotArea dataOnly="0" labelOnly="1" outline="0" fieldPosition="0">
        <references count="1">
          <reference field="1" count="1">
            <x v="176"/>
          </reference>
        </references>
      </pivotArea>
    </format>
    <format dxfId="1922">
      <pivotArea dataOnly="0" labelOnly="1" outline="0" fieldPosition="0">
        <references count="1">
          <reference field="1" count="1">
            <x v="177"/>
          </reference>
        </references>
      </pivotArea>
    </format>
    <format dxfId="1921">
      <pivotArea dataOnly="0" labelOnly="1" outline="0" fieldPosition="0">
        <references count="1">
          <reference field="1" count="1">
            <x v="178"/>
          </reference>
        </references>
      </pivotArea>
    </format>
    <format dxfId="1920">
      <pivotArea dataOnly="0" labelOnly="1" outline="0" fieldPosition="0">
        <references count="1">
          <reference field="1" count="1">
            <x v="179"/>
          </reference>
        </references>
      </pivotArea>
    </format>
    <format dxfId="1919">
      <pivotArea dataOnly="0" labelOnly="1" outline="0" fieldPosition="0">
        <references count="1">
          <reference field="1" count="1">
            <x v="180"/>
          </reference>
        </references>
      </pivotArea>
    </format>
    <format dxfId="1918">
      <pivotArea dataOnly="0" labelOnly="1" outline="0" fieldPosition="0">
        <references count="1">
          <reference field="1" count="1">
            <x v="181"/>
          </reference>
        </references>
      </pivotArea>
    </format>
    <format dxfId="1917">
      <pivotArea dataOnly="0" labelOnly="1" outline="0" fieldPosition="0">
        <references count="1">
          <reference field="1" count="1">
            <x v="182"/>
          </reference>
        </references>
      </pivotArea>
    </format>
    <format dxfId="1916">
      <pivotArea dataOnly="0" labelOnly="1" outline="0" fieldPosition="0">
        <references count="1">
          <reference field="1" count="1">
            <x v="183"/>
          </reference>
        </references>
      </pivotArea>
    </format>
    <format dxfId="1915">
      <pivotArea dataOnly="0" labelOnly="1" outline="0" fieldPosition="0">
        <references count="1">
          <reference field="1" count="1">
            <x v="184"/>
          </reference>
        </references>
      </pivotArea>
    </format>
    <format dxfId="1914">
      <pivotArea dataOnly="0" labelOnly="1" outline="0" fieldPosition="0">
        <references count="1">
          <reference field="1" count="1">
            <x v="185"/>
          </reference>
        </references>
      </pivotArea>
    </format>
    <format dxfId="1913">
      <pivotArea dataOnly="0" labelOnly="1" outline="0" fieldPosition="0">
        <references count="1">
          <reference field="1" count="1">
            <x v="186"/>
          </reference>
        </references>
      </pivotArea>
    </format>
    <format dxfId="1912">
      <pivotArea dataOnly="0" labelOnly="1" outline="0" fieldPosition="0">
        <references count="1">
          <reference field="1" count="1">
            <x v="187"/>
          </reference>
        </references>
      </pivotArea>
    </format>
    <format dxfId="1911">
      <pivotArea dataOnly="0" labelOnly="1" outline="0" fieldPosition="0">
        <references count="1">
          <reference field="1" count="1">
            <x v="188"/>
          </reference>
        </references>
      </pivotArea>
    </format>
    <format dxfId="1910">
      <pivotArea dataOnly="0" labelOnly="1" outline="0" fieldPosition="0">
        <references count="1">
          <reference field="1" count="1">
            <x v="189"/>
          </reference>
        </references>
      </pivotArea>
    </format>
    <format dxfId="1909">
      <pivotArea dataOnly="0" labelOnly="1" outline="0" fieldPosition="0">
        <references count="1">
          <reference field="1" count="1">
            <x v="190"/>
          </reference>
        </references>
      </pivotArea>
    </format>
    <format dxfId="1908">
      <pivotArea dataOnly="0" labelOnly="1" outline="0" fieldPosition="0">
        <references count="1">
          <reference field="1" count="1">
            <x v="191"/>
          </reference>
        </references>
      </pivotArea>
    </format>
    <format dxfId="1907">
      <pivotArea dataOnly="0" labelOnly="1" outline="0" fieldPosition="0">
        <references count="1">
          <reference field="1" count="1">
            <x v="192"/>
          </reference>
        </references>
      </pivotArea>
    </format>
    <format dxfId="1906">
      <pivotArea dataOnly="0" labelOnly="1" outline="0" fieldPosition="0">
        <references count="1">
          <reference field="1" count="1">
            <x v="193"/>
          </reference>
        </references>
      </pivotArea>
    </format>
    <format dxfId="1905">
      <pivotArea dataOnly="0" labelOnly="1" outline="0" fieldPosition="0">
        <references count="1">
          <reference field="1" count="1">
            <x v="194"/>
          </reference>
        </references>
      </pivotArea>
    </format>
    <format dxfId="1904">
      <pivotArea dataOnly="0" labelOnly="1" outline="0" fieldPosition="0">
        <references count="1">
          <reference field="1" count="1">
            <x v="195"/>
          </reference>
        </references>
      </pivotArea>
    </format>
    <format dxfId="1903">
      <pivotArea dataOnly="0" labelOnly="1" outline="0" fieldPosition="0">
        <references count="1">
          <reference field="1" count="1">
            <x v="196"/>
          </reference>
        </references>
      </pivotArea>
    </format>
    <format dxfId="1902">
      <pivotArea dataOnly="0" labelOnly="1" outline="0" fieldPosition="0">
        <references count="1">
          <reference field="1" count="1">
            <x v="197"/>
          </reference>
        </references>
      </pivotArea>
    </format>
    <format dxfId="1901">
      <pivotArea dataOnly="0" labelOnly="1" outline="0" fieldPosition="0">
        <references count="1">
          <reference field="1" count="1">
            <x v="198"/>
          </reference>
        </references>
      </pivotArea>
    </format>
    <format dxfId="1900">
      <pivotArea dataOnly="0" labelOnly="1" outline="0" fieldPosition="0">
        <references count="1">
          <reference field="1" count="1">
            <x v="199"/>
          </reference>
        </references>
      </pivotArea>
    </format>
    <format dxfId="1899">
      <pivotArea dataOnly="0" labelOnly="1" outline="0" fieldPosition="0">
        <references count="1">
          <reference field="1" count="1">
            <x v="200"/>
          </reference>
        </references>
      </pivotArea>
    </format>
    <format dxfId="1898">
      <pivotArea dataOnly="0" labelOnly="1" outline="0" fieldPosition="0">
        <references count="1">
          <reference field="1" count="1">
            <x v="201"/>
          </reference>
        </references>
      </pivotArea>
    </format>
    <format dxfId="1897">
      <pivotArea dataOnly="0" labelOnly="1" outline="0" fieldPosition="0">
        <references count="1">
          <reference field="1" count="1">
            <x v="202"/>
          </reference>
        </references>
      </pivotArea>
    </format>
    <format dxfId="1896">
      <pivotArea dataOnly="0" labelOnly="1" outline="0" fieldPosition="0">
        <references count="1">
          <reference field="1" count="1">
            <x v="203"/>
          </reference>
        </references>
      </pivotArea>
    </format>
    <format dxfId="1895">
      <pivotArea dataOnly="0" labelOnly="1" outline="0" fieldPosition="0">
        <references count="1">
          <reference field="1" count="1">
            <x v="204"/>
          </reference>
        </references>
      </pivotArea>
    </format>
    <format dxfId="1894">
      <pivotArea dataOnly="0" labelOnly="1" outline="0" fieldPosition="0">
        <references count="1">
          <reference field="1" count="1">
            <x v="205"/>
          </reference>
        </references>
      </pivotArea>
    </format>
    <format dxfId="1893">
      <pivotArea dataOnly="0" labelOnly="1" outline="0" fieldPosition="0">
        <references count="1">
          <reference field="1" count="1">
            <x v="206"/>
          </reference>
        </references>
      </pivotArea>
    </format>
    <format dxfId="1892">
      <pivotArea dataOnly="0" labelOnly="1" outline="0" fieldPosition="0">
        <references count="1">
          <reference field="1" count="1">
            <x v="207"/>
          </reference>
        </references>
      </pivotArea>
    </format>
    <format dxfId="1891">
      <pivotArea dataOnly="0" labelOnly="1" outline="0" fieldPosition="0">
        <references count="1">
          <reference field="1" count="1">
            <x v="208"/>
          </reference>
        </references>
      </pivotArea>
    </format>
    <format dxfId="1890">
      <pivotArea dataOnly="0" labelOnly="1" outline="0" fieldPosition="0">
        <references count="1">
          <reference field="1" count="1">
            <x v="209"/>
          </reference>
        </references>
      </pivotArea>
    </format>
    <format dxfId="1889">
      <pivotArea dataOnly="0" labelOnly="1" outline="0" fieldPosition="0">
        <references count="1">
          <reference field="1" count="1">
            <x v="210"/>
          </reference>
        </references>
      </pivotArea>
    </format>
    <format dxfId="1888">
      <pivotArea dataOnly="0" labelOnly="1" outline="0" fieldPosition="0">
        <references count="1">
          <reference field="1" count="1">
            <x v="211"/>
          </reference>
        </references>
      </pivotArea>
    </format>
    <format dxfId="1887">
      <pivotArea dataOnly="0" labelOnly="1" outline="0" fieldPosition="0">
        <references count="1">
          <reference field="1" count="1">
            <x v="212"/>
          </reference>
        </references>
      </pivotArea>
    </format>
    <format dxfId="1886">
      <pivotArea dataOnly="0" labelOnly="1" outline="0" fieldPosition="0">
        <references count="1">
          <reference field="1" count="1">
            <x v="213"/>
          </reference>
        </references>
      </pivotArea>
    </format>
    <format dxfId="1885">
      <pivotArea dataOnly="0" labelOnly="1" outline="0" fieldPosition="0">
        <references count="1">
          <reference field="1" count="1">
            <x v="214"/>
          </reference>
        </references>
      </pivotArea>
    </format>
    <format dxfId="1884">
      <pivotArea dataOnly="0" labelOnly="1" outline="0" fieldPosition="0">
        <references count="1">
          <reference field="1" count="1">
            <x v="215"/>
          </reference>
        </references>
      </pivotArea>
    </format>
    <format dxfId="1883">
      <pivotArea dataOnly="0" labelOnly="1" outline="0" fieldPosition="0">
        <references count="1">
          <reference field="1" count="1">
            <x v="216"/>
          </reference>
        </references>
      </pivotArea>
    </format>
    <format dxfId="1882">
      <pivotArea dataOnly="0" labelOnly="1" outline="0" fieldPosition="0">
        <references count="1">
          <reference field="1" count="1">
            <x v="217"/>
          </reference>
        </references>
      </pivotArea>
    </format>
    <format dxfId="1881">
      <pivotArea dataOnly="0" labelOnly="1" outline="0" fieldPosition="0">
        <references count="1">
          <reference field="1" count="1">
            <x v="218"/>
          </reference>
        </references>
      </pivotArea>
    </format>
    <format dxfId="1880">
      <pivotArea dataOnly="0" labelOnly="1" outline="0" fieldPosition="0">
        <references count="1">
          <reference field="1" count="1">
            <x v="219"/>
          </reference>
        </references>
      </pivotArea>
    </format>
    <format dxfId="1879">
      <pivotArea dataOnly="0" labelOnly="1" outline="0" fieldPosition="0">
        <references count="1">
          <reference field="1" count="1">
            <x v="220"/>
          </reference>
        </references>
      </pivotArea>
    </format>
    <format dxfId="1878">
      <pivotArea dataOnly="0" labelOnly="1" outline="0" fieldPosition="0">
        <references count="1">
          <reference field="1" count="1">
            <x v="221"/>
          </reference>
        </references>
      </pivotArea>
    </format>
    <format dxfId="1877">
      <pivotArea dataOnly="0" labelOnly="1" outline="0" fieldPosition="0">
        <references count="1">
          <reference field="1" count="1">
            <x v="222"/>
          </reference>
        </references>
      </pivotArea>
    </format>
    <format dxfId="1876">
      <pivotArea dataOnly="0" labelOnly="1" outline="0" fieldPosition="0">
        <references count="1">
          <reference field="1" count="1">
            <x v="223"/>
          </reference>
        </references>
      </pivotArea>
    </format>
    <format dxfId="1875">
      <pivotArea dataOnly="0" labelOnly="1" outline="0" fieldPosition="0">
        <references count="1">
          <reference field="1" count="1">
            <x v="224"/>
          </reference>
        </references>
      </pivotArea>
    </format>
    <format dxfId="1874">
      <pivotArea dataOnly="0" labelOnly="1" outline="0" fieldPosition="0">
        <references count="1">
          <reference field="1" count="1">
            <x v="225"/>
          </reference>
        </references>
      </pivotArea>
    </format>
    <format dxfId="1873">
      <pivotArea dataOnly="0" labelOnly="1" outline="0" fieldPosition="0">
        <references count="1">
          <reference field="1" count="1">
            <x v="226"/>
          </reference>
        </references>
      </pivotArea>
    </format>
    <format dxfId="1872">
      <pivotArea dataOnly="0" labelOnly="1" outline="0" fieldPosition="0">
        <references count="1">
          <reference field="1" count="1">
            <x v="227"/>
          </reference>
        </references>
      </pivotArea>
    </format>
    <format dxfId="1871">
      <pivotArea dataOnly="0" labelOnly="1" outline="0" fieldPosition="0">
        <references count="1">
          <reference field="1" count="1">
            <x v="228"/>
          </reference>
        </references>
      </pivotArea>
    </format>
    <format dxfId="1870">
      <pivotArea dataOnly="0" labelOnly="1" outline="0" fieldPosition="0">
        <references count="1">
          <reference field="1" count="1">
            <x v="229"/>
          </reference>
        </references>
      </pivotArea>
    </format>
    <format dxfId="1869">
      <pivotArea dataOnly="0" labelOnly="1" outline="0" fieldPosition="0">
        <references count="1">
          <reference field="1" count="1">
            <x v="230"/>
          </reference>
        </references>
      </pivotArea>
    </format>
    <format dxfId="1868">
      <pivotArea dataOnly="0" labelOnly="1" outline="0" fieldPosition="0">
        <references count="1">
          <reference field="1" count="1">
            <x v="231"/>
          </reference>
        </references>
      </pivotArea>
    </format>
    <format dxfId="1867">
      <pivotArea dataOnly="0" labelOnly="1" outline="0" fieldPosition="0">
        <references count="1">
          <reference field="1" count="1">
            <x v="232"/>
          </reference>
        </references>
      </pivotArea>
    </format>
    <format dxfId="1866">
      <pivotArea dataOnly="0" labelOnly="1" outline="0" fieldPosition="0">
        <references count="1">
          <reference field="1" count="1">
            <x v="233"/>
          </reference>
        </references>
      </pivotArea>
    </format>
    <format dxfId="1865">
      <pivotArea dataOnly="0" labelOnly="1" outline="0" fieldPosition="0">
        <references count="1">
          <reference field="1" count="1">
            <x v="234"/>
          </reference>
        </references>
      </pivotArea>
    </format>
    <format dxfId="1864">
      <pivotArea dataOnly="0" labelOnly="1" outline="0" fieldPosition="0">
        <references count="1">
          <reference field="1" count="1">
            <x v="235"/>
          </reference>
        </references>
      </pivotArea>
    </format>
    <format dxfId="1863">
      <pivotArea dataOnly="0" labelOnly="1" outline="0" fieldPosition="0">
        <references count="1">
          <reference field="1" count="1">
            <x v="236"/>
          </reference>
        </references>
      </pivotArea>
    </format>
    <format dxfId="1862">
      <pivotArea dataOnly="0" labelOnly="1" outline="0" fieldPosition="0">
        <references count="1">
          <reference field="1" count="1">
            <x v="237"/>
          </reference>
        </references>
      </pivotArea>
    </format>
    <format dxfId="1861">
      <pivotArea dataOnly="0" labelOnly="1" outline="0" fieldPosition="0">
        <references count="1">
          <reference field="1" count="1">
            <x v="238"/>
          </reference>
        </references>
      </pivotArea>
    </format>
    <format dxfId="1860">
      <pivotArea dataOnly="0" labelOnly="1" outline="0" fieldPosition="0">
        <references count="1">
          <reference field="1" count="1">
            <x v="239"/>
          </reference>
        </references>
      </pivotArea>
    </format>
    <format dxfId="1859">
      <pivotArea dataOnly="0" labelOnly="1" outline="0" fieldPosition="0">
        <references count="1">
          <reference field="1" count="1">
            <x v="240"/>
          </reference>
        </references>
      </pivotArea>
    </format>
    <format dxfId="1858">
      <pivotArea dataOnly="0" labelOnly="1" outline="0" fieldPosition="0">
        <references count="1">
          <reference field="1" count="1">
            <x v="241"/>
          </reference>
        </references>
      </pivotArea>
    </format>
    <format dxfId="1857">
      <pivotArea dataOnly="0" labelOnly="1" outline="0" fieldPosition="0">
        <references count="1">
          <reference field="1" count="1">
            <x v="242"/>
          </reference>
        </references>
      </pivotArea>
    </format>
    <format dxfId="1856">
      <pivotArea dataOnly="0" labelOnly="1" outline="0" fieldPosition="0">
        <references count="1">
          <reference field="1" count="1">
            <x v="243"/>
          </reference>
        </references>
      </pivotArea>
    </format>
    <format dxfId="1855">
      <pivotArea dataOnly="0" labelOnly="1" outline="0" fieldPosition="0">
        <references count="1">
          <reference field="1" count="1">
            <x v="244"/>
          </reference>
        </references>
      </pivotArea>
    </format>
    <format dxfId="1854">
      <pivotArea dataOnly="0" labelOnly="1" outline="0" fieldPosition="0">
        <references count="1">
          <reference field="1" count="1">
            <x v="245"/>
          </reference>
        </references>
      </pivotArea>
    </format>
    <format dxfId="1853">
      <pivotArea dataOnly="0" labelOnly="1" outline="0" fieldPosition="0">
        <references count="1">
          <reference field="1" count="1">
            <x v="246"/>
          </reference>
        </references>
      </pivotArea>
    </format>
    <format dxfId="1852">
      <pivotArea dataOnly="0" labelOnly="1" outline="0" fieldPosition="0">
        <references count="1">
          <reference field="1" count="1">
            <x v="247"/>
          </reference>
        </references>
      </pivotArea>
    </format>
    <format dxfId="1851">
      <pivotArea dataOnly="0" labelOnly="1" outline="0" fieldPosition="0">
        <references count="1">
          <reference field="1" count="1">
            <x v="248"/>
          </reference>
        </references>
      </pivotArea>
    </format>
    <format dxfId="1850">
      <pivotArea dataOnly="0" labelOnly="1" outline="0" fieldPosition="0">
        <references count="1">
          <reference field="1" count="1">
            <x v="249"/>
          </reference>
        </references>
      </pivotArea>
    </format>
    <format dxfId="1849">
      <pivotArea dataOnly="0" labelOnly="1" outline="0" fieldPosition="0">
        <references count="1">
          <reference field="1" count="1">
            <x v="250"/>
          </reference>
        </references>
      </pivotArea>
    </format>
    <format dxfId="1848">
      <pivotArea dataOnly="0" labelOnly="1" outline="0" fieldPosition="0">
        <references count="1">
          <reference field="1" count="1">
            <x v="251"/>
          </reference>
        </references>
      </pivotArea>
    </format>
    <format dxfId="1847">
      <pivotArea dataOnly="0" labelOnly="1" outline="0" fieldPosition="0">
        <references count="1">
          <reference field="1" count="1">
            <x v="252"/>
          </reference>
        </references>
      </pivotArea>
    </format>
    <format dxfId="1846">
      <pivotArea dataOnly="0" labelOnly="1" outline="0" fieldPosition="0">
        <references count="1">
          <reference field="1" count="1">
            <x v="253"/>
          </reference>
        </references>
      </pivotArea>
    </format>
    <format dxfId="1845">
      <pivotArea dataOnly="0" labelOnly="1" outline="0" fieldPosition="0">
        <references count="1">
          <reference field="1" count="1">
            <x v="254"/>
          </reference>
        </references>
      </pivotArea>
    </format>
    <format dxfId="1844">
      <pivotArea dataOnly="0" labelOnly="1" outline="0" fieldPosition="0">
        <references count="1">
          <reference field="1" count="1">
            <x v="255"/>
          </reference>
        </references>
      </pivotArea>
    </format>
    <format dxfId="1843">
      <pivotArea dataOnly="0" labelOnly="1" outline="0" fieldPosition="0">
        <references count="1">
          <reference field="1" count="1">
            <x v="256"/>
          </reference>
        </references>
      </pivotArea>
    </format>
    <format dxfId="1842">
      <pivotArea dataOnly="0" labelOnly="1" outline="0" fieldPosition="0">
        <references count="1">
          <reference field="1" count="1">
            <x v="257"/>
          </reference>
        </references>
      </pivotArea>
    </format>
    <format dxfId="1841">
      <pivotArea dataOnly="0" labelOnly="1" outline="0" fieldPosition="0">
        <references count="1">
          <reference field="1" count="1">
            <x v="258"/>
          </reference>
        </references>
      </pivotArea>
    </format>
    <format dxfId="1840">
      <pivotArea dataOnly="0" labelOnly="1" outline="0" fieldPosition="0">
        <references count="1">
          <reference field="1" count="1">
            <x v="259"/>
          </reference>
        </references>
      </pivotArea>
    </format>
    <format dxfId="1839">
      <pivotArea dataOnly="0" labelOnly="1" outline="0" fieldPosition="0">
        <references count="1">
          <reference field="1" count="1">
            <x v="260"/>
          </reference>
        </references>
      </pivotArea>
    </format>
    <format dxfId="1838">
      <pivotArea dataOnly="0" labelOnly="1" outline="0" fieldPosition="0">
        <references count="1">
          <reference field="1" count="1">
            <x v="261"/>
          </reference>
        </references>
      </pivotArea>
    </format>
    <format dxfId="1837">
      <pivotArea dataOnly="0" labelOnly="1" outline="0" fieldPosition="0">
        <references count="1">
          <reference field="1" count="1">
            <x v="262"/>
          </reference>
        </references>
      </pivotArea>
    </format>
    <format dxfId="1836">
      <pivotArea dataOnly="0" labelOnly="1" outline="0" fieldPosition="0">
        <references count="1">
          <reference field="1" count="1">
            <x v="263"/>
          </reference>
        </references>
      </pivotArea>
    </format>
    <format dxfId="1835">
      <pivotArea dataOnly="0" labelOnly="1" outline="0" fieldPosition="0">
        <references count="1">
          <reference field="1" count="1">
            <x v="264"/>
          </reference>
        </references>
      </pivotArea>
    </format>
    <format dxfId="1834">
      <pivotArea dataOnly="0" labelOnly="1" outline="0" fieldPosition="0">
        <references count="1">
          <reference field="1" count="1">
            <x v="265"/>
          </reference>
        </references>
      </pivotArea>
    </format>
    <format dxfId="1833">
      <pivotArea dataOnly="0" labelOnly="1" outline="0" fieldPosition="0">
        <references count="1">
          <reference field="1" count="1">
            <x v="266"/>
          </reference>
        </references>
      </pivotArea>
    </format>
    <format dxfId="1832">
      <pivotArea dataOnly="0" labelOnly="1" outline="0" fieldPosition="0">
        <references count="1">
          <reference field="1" count="1">
            <x v="267"/>
          </reference>
        </references>
      </pivotArea>
    </format>
    <format dxfId="1831">
      <pivotArea dataOnly="0" labelOnly="1" outline="0" fieldPosition="0">
        <references count="1">
          <reference field="1" count="1">
            <x v="268"/>
          </reference>
        </references>
      </pivotArea>
    </format>
    <format dxfId="1830">
      <pivotArea dataOnly="0" labelOnly="1" outline="0" fieldPosition="0">
        <references count="1">
          <reference field="1" count="1">
            <x v="269"/>
          </reference>
        </references>
      </pivotArea>
    </format>
    <format dxfId="1829">
      <pivotArea dataOnly="0" labelOnly="1" outline="0" fieldPosition="0">
        <references count="1">
          <reference field="1" count="1">
            <x v="270"/>
          </reference>
        </references>
      </pivotArea>
    </format>
    <format dxfId="1828">
      <pivotArea dataOnly="0" labelOnly="1" outline="0" fieldPosition="0">
        <references count="1">
          <reference field="1" count="1">
            <x v="271"/>
          </reference>
        </references>
      </pivotArea>
    </format>
    <format dxfId="1827">
      <pivotArea dataOnly="0" labelOnly="1" outline="0" fieldPosition="0">
        <references count="1">
          <reference field="1" count="1">
            <x v="272"/>
          </reference>
        </references>
      </pivotArea>
    </format>
    <format dxfId="1826">
      <pivotArea dataOnly="0" labelOnly="1" outline="0" fieldPosition="0">
        <references count="1">
          <reference field="1" count="1">
            <x v="273"/>
          </reference>
        </references>
      </pivotArea>
    </format>
    <format dxfId="1825">
      <pivotArea dataOnly="0" labelOnly="1" outline="0" fieldPosition="0">
        <references count="1">
          <reference field="1" count="1">
            <x v="274"/>
          </reference>
        </references>
      </pivotArea>
    </format>
    <format dxfId="1824">
      <pivotArea dataOnly="0" labelOnly="1" outline="0" fieldPosition="0">
        <references count="1">
          <reference field="1" count="1">
            <x v="275"/>
          </reference>
        </references>
      </pivotArea>
    </format>
    <format dxfId="1823">
      <pivotArea dataOnly="0" labelOnly="1" outline="0" fieldPosition="0">
        <references count="1">
          <reference field="1" count="1">
            <x v="276"/>
          </reference>
        </references>
      </pivotArea>
    </format>
    <format dxfId="1822">
      <pivotArea dataOnly="0" labelOnly="1" outline="0" fieldPosition="0">
        <references count="1">
          <reference field="1" count="1">
            <x v="277"/>
          </reference>
        </references>
      </pivotArea>
    </format>
    <format dxfId="1821">
      <pivotArea dataOnly="0" labelOnly="1" outline="0" fieldPosition="0">
        <references count="1">
          <reference field="1" count="1">
            <x v="278"/>
          </reference>
        </references>
      </pivotArea>
    </format>
    <format dxfId="1820">
      <pivotArea dataOnly="0" labelOnly="1" outline="0" fieldPosition="0">
        <references count="1">
          <reference field="1" count="1">
            <x v="279"/>
          </reference>
        </references>
      </pivotArea>
    </format>
    <format dxfId="1819">
      <pivotArea dataOnly="0" labelOnly="1" outline="0" fieldPosition="0">
        <references count="1">
          <reference field="1" count="1">
            <x v="280"/>
          </reference>
        </references>
      </pivotArea>
    </format>
    <format dxfId="1818">
      <pivotArea dataOnly="0" labelOnly="1" outline="0" fieldPosition="0">
        <references count="1">
          <reference field="1" count="1">
            <x v="281"/>
          </reference>
        </references>
      </pivotArea>
    </format>
    <format dxfId="1817">
      <pivotArea dataOnly="0" labelOnly="1" outline="0" fieldPosition="0">
        <references count="1">
          <reference field="1" count="1">
            <x v="282"/>
          </reference>
        </references>
      </pivotArea>
    </format>
    <format dxfId="1816">
      <pivotArea dataOnly="0" labelOnly="1" outline="0" fieldPosition="0">
        <references count="1">
          <reference field="1" count="1">
            <x v="283"/>
          </reference>
        </references>
      </pivotArea>
    </format>
    <format dxfId="1815">
      <pivotArea dataOnly="0" labelOnly="1" outline="0" fieldPosition="0">
        <references count="1">
          <reference field="1" count="1">
            <x v="284"/>
          </reference>
        </references>
      </pivotArea>
    </format>
    <format dxfId="1814">
      <pivotArea dataOnly="0" labelOnly="1" outline="0" fieldPosition="0">
        <references count="1">
          <reference field="1" count="1">
            <x v="285"/>
          </reference>
        </references>
      </pivotArea>
    </format>
    <format dxfId="1813">
      <pivotArea dataOnly="0" labelOnly="1" outline="0" fieldPosition="0">
        <references count="1">
          <reference field="1" count="1">
            <x v="286"/>
          </reference>
        </references>
      </pivotArea>
    </format>
    <format dxfId="1812">
      <pivotArea dataOnly="0" labelOnly="1" outline="0" fieldPosition="0">
        <references count="1">
          <reference field="1" count="1">
            <x v="287"/>
          </reference>
        </references>
      </pivotArea>
    </format>
    <format dxfId="1811">
      <pivotArea dataOnly="0" labelOnly="1" outline="0" fieldPosition="0">
        <references count="1">
          <reference field="1" count="1">
            <x v="288"/>
          </reference>
        </references>
      </pivotArea>
    </format>
    <format dxfId="1810">
      <pivotArea dataOnly="0" labelOnly="1" outline="0" fieldPosition="0">
        <references count="1">
          <reference field="1" count="1">
            <x v="289"/>
          </reference>
        </references>
      </pivotArea>
    </format>
    <format dxfId="1809">
      <pivotArea dataOnly="0" labelOnly="1" outline="0" fieldPosition="0">
        <references count="1">
          <reference field="1" count="1">
            <x v="290"/>
          </reference>
        </references>
      </pivotArea>
    </format>
    <format dxfId="1808">
      <pivotArea dataOnly="0" labelOnly="1" outline="0" fieldPosition="0">
        <references count="1">
          <reference field="1" count="1">
            <x v="291"/>
          </reference>
        </references>
      </pivotArea>
    </format>
    <format dxfId="1807">
      <pivotArea dataOnly="0" labelOnly="1" outline="0" fieldPosition="0">
        <references count="1">
          <reference field="1" count="1">
            <x v="292"/>
          </reference>
        </references>
      </pivotArea>
    </format>
    <format dxfId="1806">
      <pivotArea dataOnly="0" labelOnly="1" outline="0" fieldPosition="0">
        <references count="1">
          <reference field="1" count="1">
            <x v="293"/>
          </reference>
        </references>
      </pivotArea>
    </format>
    <format dxfId="1805">
      <pivotArea dataOnly="0" labelOnly="1" outline="0" fieldPosition="0">
        <references count="1">
          <reference field="1" count="1">
            <x v="294"/>
          </reference>
        </references>
      </pivotArea>
    </format>
    <format dxfId="1804">
      <pivotArea dataOnly="0" labelOnly="1" outline="0" fieldPosition="0">
        <references count="1">
          <reference field="1" count="1">
            <x v="295"/>
          </reference>
        </references>
      </pivotArea>
    </format>
    <format dxfId="1803">
      <pivotArea dataOnly="0" labelOnly="1" outline="0" fieldPosition="0">
        <references count="1">
          <reference field="1" count="1">
            <x v="296"/>
          </reference>
        </references>
      </pivotArea>
    </format>
    <format dxfId="1802">
      <pivotArea dataOnly="0" labelOnly="1" outline="0" fieldPosition="0">
        <references count="1">
          <reference field="1" count="1">
            <x v="297"/>
          </reference>
        </references>
      </pivotArea>
    </format>
    <format dxfId="1801">
      <pivotArea dataOnly="0" labelOnly="1" outline="0" fieldPosition="0">
        <references count="1">
          <reference field="1" count="1">
            <x v="298"/>
          </reference>
        </references>
      </pivotArea>
    </format>
    <format dxfId="1800">
      <pivotArea dataOnly="0" labelOnly="1" outline="0" fieldPosition="0">
        <references count="1">
          <reference field="1" count="1">
            <x v="299"/>
          </reference>
        </references>
      </pivotArea>
    </format>
    <format dxfId="1799">
      <pivotArea dataOnly="0" labelOnly="1" outline="0" fieldPosition="0">
        <references count="1">
          <reference field="1" count="1">
            <x v="300"/>
          </reference>
        </references>
      </pivotArea>
    </format>
    <format dxfId="1798">
      <pivotArea dataOnly="0" labelOnly="1" outline="0" fieldPosition="0">
        <references count="1">
          <reference field="1" count="1">
            <x v="301"/>
          </reference>
        </references>
      </pivotArea>
    </format>
    <format dxfId="1797">
      <pivotArea dataOnly="0" labelOnly="1" outline="0" fieldPosition="0">
        <references count="1">
          <reference field="1" count="1">
            <x v="302"/>
          </reference>
        </references>
      </pivotArea>
    </format>
    <format dxfId="1796">
      <pivotArea dataOnly="0" labelOnly="1" outline="0" fieldPosition="0">
        <references count="1">
          <reference field="1" count="1">
            <x v="303"/>
          </reference>
        </references>
      </pivotArea>
    </format>
    <format dxfId="1795">
      <pivotArea dataOnly="0" labelOnly="1" outline="0" fieldPosition="0">
        <references count="1">
          <reference field="1" count="1">
            <x v="304"/>
          </reference>
        </references>
      </pivotArea>
    </format>
    <format dxfId="1794">
      <pivotArea dataOnly="0" labelOnly="1" outline="0" fieldPosition="0">
        <references count="1">
          <reference field="1" count="1">
            <x v="305"/>
          </reference>
        </references>
      </pivotArea>
    </format>
    <format dxfId="1793">
      <pivotArea dataOnly="0" labelOnly="1" outline="0" fieldPosition="0">
        <references count="1">
          <reference field="1" count="1">
            <x v="306"/>
          </reference>
        </references>
      </pivotArea>
    </format>
    <format dxfId="1792">
      <pivotArea dataOnly="0" labelOnly="1" outline="0" fieldPosition="0">
        <references count="1">
          <reference field="1" count="1">
            <x v="307"/>
          </reference>
        </references>
      </pivotArea>
    </format>
    <format dxfId="1791">
      <pivotArea dataOnly="0" labelOnly="1" outline="0" fieldPosition="0">
        <references count="1">
          <reference field="1" count="1">
            <x v="308"/>
          </reference>
        </references>
      </pivotArea>
    </format>
    <format dxfId="1790">
      <pivotArea dataOnly="0" labelOnly="1" outline="0" fieldPosition="0">
        <references count="1">
          <reference field="1" count="1">
            <x v="309"/>
          </reference>
        </references>
      </pivotArea>
    </format>
    <format dxfId="1789">
      <pivotArea dataOnly="0" labelOnly="1" outline="0" fieldPosition="0">
        <references count="1">
          <reference field="1" count="1">
            <x v="310"/>
          </reference>
        </references>
      </pivotArea>
    </format>
    <format dxfId="1788">
      <pivotArea dataOnly="0" labelOnly="1" outline="0" fieldPosition="0">
        <references count="1">
          <reference field="1" count="1">
            <x v="311"/>
          </reference>
        </references>
      </pivotArea>
    </format>
    <format dxfId="1787">
      <pivotArea dataOnly="0" labelOnly="1" outline="0" fieldPosition="0">
        <references count="1">
          <reference field="1" count="1">
            <x v="312"/>
          </reference>
        </references>
      </pivotArea>
    </format>
    <format dxfId="1786">
      <pivotArea dataOnly="0" labelOnly="1" outline="0" fieldPosition="0">
        <references count="1">
          <reference field="1" count="1">
            <x v="313"/>
          </reference>
        </references>
      </pivotArea>
    </format>
    <format dxfId="1785">
      <pivotArea dataOnly="0" labelOnly="1" outline="0" fieldPosition="0">
        <references count="1">
          <reference field="1" count="1">
            <x v="314"/>
          </reference>
        </references>
      </pivotArea>
    </format>
    <format dxfId="1784">
      <pivotArea dataOnly="0" labelOnly="1" outline="0" fieldPosition="0">
        <references count="1">
          <reference field="1" count="1">
            <x v="315"/>
          </reference>
        </references>
      </pivotArea>
    </format>
    <format dxfId="1783">
      <pivotArea dataOnly="0" labelOnly="1" outline="0" fieldPosition="0">
        <references count="1">
          <reference field="1" count="1">
            <x v="316"/>
          </reference>
        </references>
      </pivotArea>
    </format>
    <format dxfId="1782">
      <pivotArea dataOnly="0" labelOnly="1" outline="0" fieldPosition="0">
        <references count="1">
          <reference field="1" count="1">
            <x v="317"/>
          </reference>
        </references>
      </pivotArea>
    </format>
    <format dxfId="1781">
      <pivotArea dataOnly="0" labelOnly="1" outline="0" fieldPosition="0">
        <references count="1">
          <reference field="1" count="1">
            <x v="318"/>
          </reference>
        </references>
      </pivotArea>
    </format>
    <format dxfId="1780">
      <pivotArea dataOnly="0" labelOnly="1" outline="0" fieldPosition="0">
        <references count="1">
          <reference field="1" count="1">
            <x v="319"/>
          </reference>
        </references>
      </pivotArea>
    </format>
    <format dxfId="1779">
      <pivotArea dataOnly="0" labelOnly="1" outline="0" fieldPosition="0">
        <references count="1">
          <reference field="1" count="1">
            <x v="320"/>
          </reference>
        </references>
      </pivotArea>
    </format>
    <format dxfId="1778">
      <pivotArea dataOnly="0" labelOnly="1" outline="0" fieldPosition="0">
        <references count="1">
          <reference field="1" count="1">
            <x v="321"/>
          </reference>
        </references>
      </pivotArea>
    </format>
    <format dxfId="1777">
      <pivotArea dataOnly="0" labelOnly="1" outline="0" fieldPosition="0">
        <references count="1">
          <reference field="1" count="1">
            <x v="322"/>
          </reference>
        </references>
      </pivotArea>
    </format>
    <format dxfId="1776">
      <pivotArea dataOnly="0" labelOnly="1" outline="0" fieldPosition="0">
        <references count="1">
          <reference field="1" count="1">
            <x v="323"/>
          </reference>
        </references>
      </pivotArea>
    </format>
    <format dxfId="1775">
      <pivotArea dataOnly="0" labelOnly="1" outline="0" fieldPosition="0">
        <references count="1">
          <reference field="1" count="1">
            <x v="324"/>
          </reference>
        </references>
      </pivotArea>
    </format>
    <format dxfId="1774">
      <pivotArea dataOnly="0" labelOnly="1" outline="0" fieldPosition="0">
        <references count="1">
          <reference field="1" count="1">
            <x v="325"/>
          </reference>
        </references>
      </pivotArea>
    </format>
    <format dxfId="1773">
      <pivotArea dataOnly="0" labelOnly="1" outline="0" fieldPosition="0">
        <references count="1">
          <reference field="1" count="1">
            <x v="326"/>
          </reference>
        </references>
      </pivotArea>
    </format>
    <format dxfId="1772">
      <pivotArea dataOnly="0" labelOnly="1" outline="0" fieldPosition="0">
        <references count="1">
          <reference field="1" count="1">
            <x v="327"/>
          </reference>
        </references>
      </pivotArea>
    </format>
    <format dxfId="1771">
      <pivotArea dataOnly="0" labelOnly="1" outline="0" fieldPosition="0">
        <references count="1">
          <reference field="1" count="1">
            <x v="328"/>
          </reference>
        </references>
      </pivotArea>
    </format>
    <format dxfId="1770">
      <pivotArea dataOnly="0" labelOnly="1" outline="0" fieldPosition="0">
        <references count="1">
          <reference field="1" count="1">
            <x v="329"/>
          </reference>
        </references>
      </pivotArea>
    </format>
    <format dxfId="1769">
      <pivotArea dataOnly="0" labelOnly="1" outline="0" fieldPosition="0">
        <references count="1">
          <reference field="1" count="1">
            <x v="330"/>
          </reference>
        </references>
      </pivotArea>
    </format>
    <format dxfId="1768">
      <pivotArea dataOnly="0" labelOnly="1" outline="0" fieldPosition="0">
        <references count="1">
          <reference field="1" count="1">
            <x v="331"/>
          </reference>
        </references>
      </pivotArea>
    </format>
    <format dxfId="1767">
      <pivotArea dataOnly="0" labelOnly="1" outline="0" fieldPosition="0">
        <references count="1">
          <reference field="1" count="1">
            <x v="332"/>
          </reference>
        </references>
      </pivotArea>
    </format>
    <format dxfId="1766">
      <pivotArea dataOnly="0" labelOnly="1" outline="0" fieldPosition="0">
        <references count="1">
          <reference field="1" count="1">
            <x v="333"/>
          </reference>
        </references>
      </pivotArea>
    </format>
    <format dxfId="1765">
      <pivotArea dataOnly="0" labelOnly="1" outline="0" fieldPosition="0">
        <references count="1">
          <reference field="1" count="1">
            <x v="334"/>
          </reference>
        </references>
      </pivotArea>
    </format>
    <format dxfId="1764">
      <pivotArea dataOnly="0" labelOnly="1" outline="0" fieldPosition="0">
        <references count="1">
          <reference field="1" count="1">
            <x v="335"/>
          </reference>
        </references>
      </pivotArea>
    </format>
    <format dxfId="1763">
      <pivotArea dataOnly="0" labelOnly="1" outline="0" fieldPosition="0">
        <references count="1">
          <reference field="1" count="1">
            <x v="336"/>
          </reference>
        </references>
      </pivotArea>
    </format>
    <format dxfId="1762">
      <pivotArea dataOnly="0" labelOnly="1" outline="0" fieldPosition="0">
        <references count="1">
          <reference field="1" count="1">
            <x v="337"/>
          </reference>
        </references>
      </pivotArea>
    </format>
    <format dxfId="1761">
      <pivotArea dataOnly="0" labelOnly="1" outline="0" fieldPosition="0">
        <references count="1">
          <reference field="1" count="1">
            <x v="338"/>
          </reference>
        </references>
      </pivotArea>
    </format>
    <format dxfId="1760">
      <pivotArea dataOnly="0" labelOnly="1" outline="0" fieldPosition="0">
        <references count="1">
          <reference field="1" count="1">
            <x v="339"/>
          </reference>
        </references>
      </pivotArea>
    </format>
    <format dxfId="1759">
      <pivotArea dataOnly="0" labelOnly="1" outline="0" fieldPosition="0">
        <references count="1">
          <reference field="1" count="1">
            <x v="340"/>
          </reference>
        </references>
      </pivotArea>
    </format>
    <format dxfId="1758">
      <pivotArea dataOnly="0" labelOnly="1" outline="0" fieldPosition="0">
        <references count="1">
          <reference field="1" count="1">
            <x v="341"/>
          </reference>
        </references>
      </pivotArea>
    </format>
    <format dxfId="1757">
      <pivotArea dataOnly="0" labelOnly="1" outline="0" fieldPosition="0">
        <references count="1">
          <reference field="1" count="1">
            <x v="342"/>
          </reference>
        </references>
      </pivotArea>
    </format>
    <format dxfId="1756">
      <pivotArea dataOnly="0" labelOnly="1" outline="0" fieldPosition="0">
        <references count="1">
          <reference field="1" count="1">
            <x v="343"/>
          </reference>
        </references>
      </pivotArea>
    </format>
    <format dxfId="1755">
      <pivotArea dataOnly="0" labelOnly="1" outline="0" fieldPosition="0">
        <references count="1">
          <reference field="1" count="1">
            <x v="344"/>
          </reference>
        </references>
      </pivotArea>
    </format>
    <format dxfId="1754">
      <pivotArea dataOnly="0" labelOnly="1" outline="0" fieldPosition="0">
        <references count="1">
          <reference field="1" count="1">
            <x v="345"/>
          </reference>
        </references>
      </pivotArea>
    </format>
    <format dxfId="1753">
      <pivotArea dataOnly="0" labelOnly="1" outline="0" fieldPosition="0">
        <references count="1">
          <reference field="1" count="1">
            <x v="346"/>
          </reference>
        </references>
      </pivotArea>
    </format>
    <format dxfId="1752">
      <pivotArea dataOnly="0" labelOnly="1" outline="0" fieldPosition="0">
        <references count="1">
          <reference field="1" count="1">
            <x v="347"/>
          </reference>
        </references>
      </pivotArea>
    </format>
    <format dxfId="1751">
      <pivotArea dataOnly="0" labelOnly="1" outline="0" fieldPosition="0">
        <references count="1">
          <reference field="1" count="1">
            <x v="348"/>
          </reference>
        </references>
      </pivotArea>
    </format>
    <format dxfId="1750">
      <pivotArea dataOnly="0" labelOnly="1" outline="0" fieldPosition="0">
        <references count="1">
          <reference field="1" count="1">
            <x v="349"/>
          </reference>
        </references>
      </pivotArea>
    </format>
    <format dxfId="1749">
      <pivotArea dataOnly="0" labelOnly="1" outline="0" fieldPosition="0">
        <references count="1">
          <reference field="1" count="1">
            <x v="350"/>
          </reference>
        </references>
      </pivotArea>
    </format>
    <format dxfId="1748">
      <pivotArea dataOnly="0" labelOnly="1" outline="0" fieldPosition="0">
        <references count="1">
          <reference field="1" count="1">
            <x v="351"/>
          </reference>
        </references>
      </pivotArea>
    </format>
    <format dxfId="1747">
      <pivotArea dataOnly="0" labelOnly="1" outline="0" fieldPosition="0">
        <references count="1">
          <reference field="1" count="1">
            <x v="352"/>
          </reference>
        </references>
      </pivotArea>
    </format>
    <format dxfId="1746">
      <pivotArea dataOnly="0" labelOnly="1" outline="0" fieldPosition="0">
        <references count="1">
          <reference field="1" count="1">
            <x v="353"/>
          </reference>
        </references>
      </pivotArea>
    </format>
    <format dxfId="1745">
      <pivotArea dataOnly="0" labelOnly="1" outline="0" fieldPosition="0">
        <references count="1">
          <reference field="1" count="1">
            <x v="354"/>
          </reference>
        </references>
      </pivotArea>
    </format>
    <format dxfId="1744">
      <pivotArea dataOnly="0" labelOnly="1" outline="0" fieldPosition="0">
        <references count="1">
          <reference field="1" count="1">
            <x v="355"/>
          </reference>
        </references>
      </pivotArea>
    </format>
    <format dxfId="1743">
      <pivotArea dataOnly="0" labelOnly="1" outline="0" fieldPosition="0">
        <references count="1">
          <reference field="1" count="1">
            <x v="356"/>
          </reference>
        </references>
      </pivotArea>
    </format>
    <format dxfId="1742">
      <pivotArea dataOnly="0" labelOnly="1" outline="0" fieldPosition="0">
        <references count="1">
          <reference field="1" count="1">
            <x v="357"/>
          </reference>
        </references>
      </pivotArea>
    </format>
    <format dxfId="1741">
      <pivotArea dataOnly="0" labelOnly="1" outline="0" fieldPosition="0">
        <references count="1">
          <reference field="1" count="1">
            <x v="358"/>
          </reference>
        </references>
      </pivotArea>
    </format>
    <format dxfId="1740">
      <pivotArea dataOnly="0" labelOnly="1" outline="0" fieldPosition="0">
        <references count="1">
          <reference field="1" count="1">
            <x v="359"/>
          </reference>
        </references>
      </pivotArea>
    </format>
    <format dxfId="1739">
      <pivotArea dataOnly="0" labelOnly="1" outline="0" fieldPosition="0">
        <references count="1">
          <reference field="1" count="1">
            <x v="360"/>
          </reference>
        </references>
      </pivotArea>
    </format>
    <format dxfId="1738">
      <pivotArea dataOnly="0" labelOnly="1" outline="0" fieldPosition="0">
        <references count="1">
          <reference field="1" count="1">
            <x v="361"/>
          </reference>
        </references>
      </pivotArea>
    </format>
    <format dxfId="1737">
      <pivotArea dataOnly="0" labelOnly="1" outline="0" fieldPosition="0">
        <references count="1">
          <reference field="1" count="1">
            <x v="362"/>
          </reference>
        </references>
      </pivotArea>
    </format>
    <format dxfId="1736">
      <pivotArea dataOnly="0" labelOnly="1" outline="0" fieldPosition="0">
        <references count="1">
          <reference field="1" count="1">
            <x v="363"/>
          </reference>
        </references>
      </pivotArea>
    </format>
    <format dxfId="1735">
      <pivotArea dataOnly="0" labelOnly="1" outline="0" fieldPosition="0">
        <references count="1">
          <reference field="1" count="1">
            <x v="364"/>
          </reference>
        </references>
      </pivotArea>
    </format>
    <format dxfId="1734">
      <pivotArea dataOnly="0" labelOnly="1" outline="0" fieldPosition="0">
        <references count="1">
          <reference field="1" count="1">
            <x v="365"/>
          </reference>
        </references>
      </pivotArea>
    </format>
    <format dxfId="1733">
      <pivotArea dataOnly="0" labelOnly="1" outline="0" fieldPosition="0">
        <references count="1">
          <reference field="1" count="1">
            <x v="366"/>
          </reference>
        </references>
      </pivotArea>
    </format>
    <format dxfId="1732">
      <pivotArea dataOnly="0" labelOnly="1" outline="0" fieldPosition="0">
        <references count="1">
          <reference field="1" count="1">
            <x v="367"/>
          </reference>
        </references>
      </pivotArea>
    </format>
    <format dxfId="1731">
      <pivotArea dataOnly="0" labelOnly="1" outline="0" fieldPosition="0">
        <references count="1">
          <reference field="1" count="1">
            <x v="368"/>
          </reference>
        </references>
      </pivotArea>
    </format>
    <format dxfId="1730">
      <pivotArea dataOnly="0" labelOnly="1" outline="0" fieldPosition="0">
        <references count="1">
          <reference field="1" count="1">
            <x v="369"/>
          </reference>
        </references>
      </pivotArea>
    </format>
    <format dxfId="1729">
      <pivotArea dataOnly="0" labelOnly="1" outline="0" fieldPosition="0">
        <references count="1">
          <reference field="1" count="1">
            <x v="370"/>
          </reference>
        </references>
      </pivotArea>
    </format>
    <format dxfId="1728">
      <pivotArea dataOnly="0" labelOnly="1" outline="0" fieldPosition="0">
        <references count="1">
          <reference field="1" count="1">
            <x v="371"/>
          </reference>
        </references>
      </pivotArea>
    </format>
    <format dxfId="1727">
      <pivotArea dataOnly="0" labelOnly="1" outline="0" fieldPosition="0">
        <references count="1">
          <reference field="1" count="1">
            <x v="372"/>
          </reference>
        </references>
      </pivotArea>
    </format>
    <format dxfId="1726">
      <pivotArea dataOnly="0" labelOnly="1" outline="0" fieldPosition="0">
        <references count="1">
          <reference field="1" count="1">
            <x v="373"/>
          </reference>
        </references>
      </pivotArea>
    </format>
    <format dxfId="1725">
      <pivotArea dataOnly="0" labelOnly="1" outline="0" fieldPosition="0">
        <references count="1">
          <reference field="1" count="1">
            <x v="374"/>
          </reference>
        </references>
      </pivotArea>
    </format>
    <format dxfId="1724">
      <pivotArea dataOnly="0" labelOnly="1" outline="0" fieldPosition="0">
        <references count="1">
          <reference field="1" count="1">
            <x v="375"/>
          </reference>
        </references>
      </pivotArea>
    </format>
    <format dxfId="1723">
      <pivotArea dataOnly="0" labelOnly="1" outline="0" fieldPosition="0">
        <references count="1">
          <reference field="1" count="1">
            <x v="376"/>
          </reference>
        </references>
      </pivotArea>
    </format>
    <format dxfId="1722">
      <pivotArea dataOnly="0" labelOnly="1" outline="0" fieldPosition="0">
        <references count="1">
          <reference field="1" count="1">
            <x v="377"/>
          </reference>
        </references>
      </pivotArea>
    </format>
    <format dxfId="1721">
      <pivotArea dataOnly="0" labelOnly="1" outline="0" fieldPosition="0">
        <references count="1">
          <reference field="1" count="1">
            <x v="378"/>
          </reference>
        </references>
      </pivotArea>
    </format>
    <format dxfId="1720">
      <pivotArea dataOnly="0" labelOnly="1" outline="0" fieldPosition="0">
        <references count="1">
          <reference field="1" count="1">
            <x v="379"/>
          </reference>
        </references>
      </pivotArea>
    </format>
    <format dxfId="1719">
      <pivotArea dataOnly="0" labelOnly="1" outline="0" fieldPosition="0">
        <references count="1">
          <reference field="1" count="1">
            <x v="380"/>
          </reference>
        </references>
      </pivotArea>
    </format>
    <format dxfId="1718">
      <pivotArea dataOnly="0" labelOnly="1" outline="0" fieldPosition="0">
        <references count="1">
          <reference field="1" count="1">
            <x v="381"/>
          </reference>
        </references>
      </pivotArea>
    </format>
    <format dxfId="1717">
      <pivotArea dataOnly="0" labelOnly="1" outline="0" fieldPosition="0">
        <references count="1">
          <reference field="1" count="1">
            <x v="382"/>
          </reference>
        </references>
      </pivotArea>
    </format>
    <format dxfId="1716">
      <pivotArea dataOnly="0" labelOnly="1" outline="0" fieldPosition="0">
        <references count="1">
          <reference field="1" count="1">
            <x v="383"/>
          </reference>
        </references>
      </pivotArea>
    </format>
    <format dxfId="1715">
      <pivotArea dataOnly="0" labelOnly="1" outline="0" fieldPosition="0">
        <references count="1">
          <reference field="1" count="1">
            <x v="384"/>
          </reference>
        </references>
      </pivotArea>
    </format>
    <format dxfId="1714">
      <pivotArea dataOnly="0" labelOnly="1" outline="0" fieldPosition="0">
        <references count="1">
          <reference field="1" count="1">
            <x v="385"/>
          </reference>
        </references>
      </pivotArea>
    </format>
    <format dxfId="1713">
      <pivotArea dataOnly="0" labelOnly="1" outline="0" fieldPosition="0">
        <references count="1">
          <reference field="1" count="1">
            <x v="386"/>
          </reference>
        </references>
      </pivotArea>
    </format>
    <format dxfId="1712">
      <pivotArea dataOnly="0" labelOnly="1" outline="0" fieldPosition="0">
        <references count="1">
          <reference field="1" count="1">
            <x v="387"/>
          </reference>
        </references>
      </pivotArea>
    </format>
    <format dxfId="1711">
      <pivotArea dataOnly="0" labelOnly="1" outline="0" fieldPosition="0">
        <references count="1">
          <reference field="1" count="1">
            <x v="388"/>
          </reference>
        </references>
      </pivotArea>
    </format>
    <format dxfId="1710">
      <pivotArea dataOnly="0" labelOnly="1" outline="0" fieldPosition="0">
        <references count="1">
          <reference field="1" count="1">
            <x v="389"/>
          </reference>
        </references>
      </pivotArea>
    </format>
    <format dxfId="1709">
      <pivotArea dataOnly="0" labelOnly="1" outline="0" fieldPosition="0">
        <references count="1">
          <reference field="1" count="1">
            <x v="390"/>
          </reference>
        </references>
      </pivotArea>
    </format>
    <format dxfId="1708">
      <pivotArea dataOnly="0" labelOnly="1" outline="0" fieldPosition="0">
        <references count="1">
          <reference field="1" count="1">
            <x v="391"/>
          </reference>
        </references>
      </pivotArea>
    </format>
    <format dxfId="1707">
      <pivotArea dataOnly="0" labelOnly="1" outline="0" fieldPosition="0">
        <references count="1">
          <reference field="1" count="1">
            <x v="392"/>
          </reference>
        </references>
      </pivotArea>
    </format>
    <format dxfId="1706">
      <pivotArea dataOnly="0" labelOnly="1" outline="0" fieldPosition="0">
        <references count="1">
          <reference field="1" count="1">
            <x v="393"/>
          </reference>
        </references>
      </pivotArea>
    </format>
    <format dxfId="1705">
      <pivotArea dataOnly="0" labelOnly="1" outline="0" fieldPosition="0">
        <references count="1">
          <reference field="1" count="1">
            <x v="394"/>
          </reference>
        </references>
      </pivotArea>
    </format>
    <format dxfId="1704">
      <pivotArea dataOnly="0" labelOnly="1" outline="0" fieldPosition="0">
        <references count="1">
          <reference field="1" count="1">
            <x v="395"/>
          </reference>
        </references>
      </pivotArea>
    </format>
    <format dxfId="1703">
      <pivotArea dataOnly="0" labelOnly="1" outline="0" fieldPosition="0">
        <references count="1">
          <reference field="1" count="1">
            <x v="396"/>
          </reference>
        </references>
      </pivotArea>
    </format>
    <format dxfId="1702">
      <pivotArea dataOnly="0" labelOnly="1" outline="0" fieldPosition="0">
        <references count="1">
          <reference field="1" count="1">
            <x v="397"/>
          </reference>
        </references>
      </pivotArea>
    </format>
    <format dxfId="1701">
      <pivotArea dataOnly="0" labelOnly="1" outline="0" fieldPosition="0">
        <references count="1">
          <reference field="1" count="1">
            <x v="398"/>
          </reference>
        </references>
      </pivotArea>
    </format>
    <format dxfId="1700">
      <pivotArea dataOnly="0" labelOnly="1" outline="0" fieldPosition="0">
        <references count="1">
          <reference field="1" count="1">
            <x v="399"/>
          </reference>
        </references>
      </pivotArea>
    </format>
    <format dxfId="1699">
      <pivotArea dataOnly="0" labelOnly="1" outline="0" fieldPosition="0">
        <references count="1">
          <reference field="1" count="1">
            <x v="400"/>
          </reference>
        </references>
      </pivotArea>
    </format>
    <format dxfId="1698">
      <pivotArea dataOnly="0" labelOnly="1" outline="0" fieldPosition="0">
        <references count="1">
          <reference field="1" count="1">
            <x v="401"/>
          </reference>
        </references>
      </pivotArea>
    </format>
    <format dxfId="1697">
      <pivotArea dataOnly="0" labelOnly="1" outline="0" fieldPosition="0">
        <references count="1">
          <reference field="1" count="1">
            <x v="402"/>
          </reference>
        </references>
      </pivotArea>
    </format>
    <format dxfId="1696">
      <pivotArea dataOnly="0" labelOnly="1" outline="0" fieldPosition="0">
        <references count="1">
          <reference field="1" count="1">
            <x v="403"/>
          </reference>
        </references>
      </pivotArea>
    </format>
    <format dxfId="1695">
      <pivotArea dataOnly="0" labelOnly="1" outline="0" fieldPosition="0">
        <references count="1">
          <reference field="1" count="1">
            <x v="404"/>
          </reference>
        </references>
      </pivotArea>
    </format>
    <format dxfId="1694">
      <pivotArea dataOnly="0" labelOnly="1" outline="0" fieldPosition="0">
        <references count="1">
          <reference field="1" count="1">
            <x v="405"/>
          </reference>
        </references>
      </pivotArea>
    </format>
    <format dxfId="1693">
      <pivotArea dataOnly="0" labelOnly="1" outline="0" fieldPosition="0">
        <references count="1">
          <reference field="1" count="1">
            <x v="406"/>
          </reference>
        </references>
      </pivotArea>
    </format>
    <format dxfId="1692">
      <pivotArea dataOnly="0" labelOnly="1" outline="0" fieldPosition="0">
        <references count="1">
          <reference field="1" count="1">
            <x v="407"/>
          </reference>
        </references>
      </pivotArea>
    </format>
    <format dxfId="1691">
      <pivotArea dataOnly="0" labelOnly="1" outline="0" fieldPosition="0">
        <references count="1">
          <reference field="1" count="1">
            <x v="408"/>
          </reference>
        </references>
      </pivotArea>
    </format>
    <format dxfId="1690">
      <pivotArea dataOnly="0" labelOnly="1" outline="0" fieldPosition="0">
        <references count="1">
          <reference field="1" count="1">
            <x v="409"/>
          </reference>
        </references>
      </pivotArea>
    </format>
    <format dxfId="1689">
      <pivotArea dataOnly="0" labelOnly="1" outline="0" fieldPosition="0">
        <references count="1">
          <reference field="1" count="1">
            <x v="410"/>
          </reference>
        </references>
      </pivotArea>
    </format>
    <format dxfId="1688">
      <pivotArea dataOnly="0" labelOnly="1" outline="0" fieldPosition="0">
        <references count="1">
          <reference field="1" count="1">
            <x v="411"/>
          </reference>
        </references>
      </pivotArea>
    </format>
    <format dxfId="1687">
      <pivotArea dataOnly="0" labelOnly="1" outline="0" fieldPosition="0">
        <references count="1">
          <reference field="1" count="1">
            <x v="412"/>
          </reference>
        </references>
      </pivotArea>
    </format>
    <format dxfId="1686">
      <pivotArea dataOnly="0" labelOnly="1" outline="0" fieldPosition="0">
        <references count="1">
          <reference field="1" count="1">
            <x v="413"/>
          </reference>
        </references>
      </pivotArea>
    </format>
    <format dxfId="1685">
      <pivotArea dataOnly="0" labelOnly="1" outline="0" fieldPosition="0">
        <references count="1">
          <reference field="1" count="1">
            <x v="414"/>
          </reference>
        </references>
      </pivotArea>
    </format>
    <format dxfId="1684">
      <pivotArea dataOnly="0" labelOnly="1" outline="0" fieldPosition="0">
        <references count="1">
          <reference field="1" count="1">
            <x v="415"/>
          </reference>
        </references>
      </pivotArea>
    </format>
    <format dxfId="1683">
      <pivotArea dataOnly="0" labelOnly="1" outline="0" fieldPosition="0">
        <references count="1">
          <reference field="1" count="1">
            <x v="416"/>
          </reference>
        </references>
      </pivotArea>
    </format>
    <format dxfId="1682">
      <pivotArea dataOnly="0" labelOnly="1" outline="0" fieldPosition="0">
        <references count="1">
          <reference field="1" count="1">
            <x v="417"/>
          </reference>
        </references>
      </pivotArea>
    </format>
    <format dxfId="1681">
      <pivotArea dataOnly="0" labelOnly="1" outline="0" fieldPosition="0">
        <references count="1">
          <reference field="1" count="1">
            <x v="418"/>
          </reference>
        </references>
      </pivotArea>
    </format>
    <format dxfId="1680">
      <pivotArea dataOnly="0" labelOnly="1" outline="0" fieldPosition="0">
        <references count="1">
          <reference field="1" count="1">
            <x v="419"/>
          </reference>
        </references>
      </pivotArea>
    </format>
    <format dxfId="1679">
      <pivotArea dataOnly="0" labelOnly="1" outline="0" fieldPosition="0">
        <references count="1">
          <reference field="1" count="1">
            <x v="420"/>
          </reference>
        </references>
      </pivotArea>
    </format>
    <format dxfId="1678">
      <pivotArea dataOnly="0" labelOnly="1" outline="0" fieldPosition="0">
        <references count="1">
          <reference field="1" count="1">
            <x v="421"/>
          </reference>
        </references>
      </pivotArea>
    </format>
    <format dxfId="1677">
      <pivotArea dataOnly="0" labelOnly="1" outline="0" fieldPosition="0">
        <references count="1">
          <reference field="1" count="1">
            <x v="422"/>
          </reference>
        </references>
      </pivotArea>
    </format>
    <format dxfId="1676">
      <pivotArea dataOnly="0" labelOnly="1" outline="0" fieldPosition="0">
        <references count="1">
          <reference field="1" count="1">
            <x v="423"/>
          </reference>
        </references>
      </pivotArea>
    </format>
    <format dxfId="1675">
      <pivotArea dataOnly="0" labelOnly="1" outline="0" fieldPosition="0">
        <references count="1">
          <reference field="1" count="1">
            <x v="424"/>
          </reference>
        </references>
      </pivotArea>
    </format>
    <format dxfId="1674">
      <pivotArea dataOnly="0" labelOnly="1" outline="0" fieldPosition="0">
        <references count="1">
          <reference field="1" count="1">
            <x v="425"/>
          </reference>
        </references>
      </pivotArea>
    </format>
    <format dxfId="1673">
      <pivotArea dataOnly="0" labelOnly="1" outline="0" fieldPosition="0">
        <references count="1">
          <reference field="1" count="1">
            <x v="426"/>
          </reference>
        </references>
      </pivotArea>
    </format>
    <format dxfId="1672">
      <pivotArea dataOnly="0" labelOnly="1" outline="0" fieldPosition="0">
        <references count="1">
          <reference field="1" count="1">
            <x v="427"/>
          </reference>
        </references>
      </pivotArea>
    </format>
    <format dxfId="1671">
      <pivotArea dataOnly="0" labelOnly="1" outline="0" fieldPosition="0">
        <references count="1">
          <reference field="1" count="1">
            <x v="428"/>
          </reference>
        </references>
      </pivotArea>
    </format>
    <format dxfId="1670">
      <pivotArea dataOnly="0" labelOnly="1" outline="0" fieldPosition="0">
        <references count="1">
          <reference field="1" count="1">
            <x v="429"/>
          </reference>
        </references>
      </pivotArea>
    </format>
    <format dxfId="1669">
      <pivotArea dataOnly="0" labelOnly="1" outline="0" fieldPosition="0">
        <references count="1">
          <reference field="1" count="1">
            <x v="430"/>
          </reference>
        </references>
      </pivotArea>
    </format>
    <format dxfId="1668">
      <pivotArea dataOnly="0" labelOnly="1" outline="0" fieldPosition="0">
        <references count="1">
          <reference field="1" count="1">
            <x v="431"/>
          </reference>
        </references>
      </pivotArea>
    </format>
    <format dxfId="1667">
      <pivotArea dataOnly="0" labelOnly="1" outline="0" fieldPosition="0">
        <references count="1">
          <reference field="1" count="1">
            <x v="432"/>
          </reference>
        </references>
      </pivotArea>
    </format>
    <format dxfId="1666">
      <pivotArea dataOnly="0" labelOnly="1" outline="0" fieldPosition="0">
        <references count="1">
          <reference field="1" count="1">
            <x v="433"/>
          </reference>
        </references>
      </pivotArea>
    </format>
    <format dxfId="1665">
      <pivotArea dataOnly="0" labelOnly="1" outline="0" fieldPosition="0">
        <references count="1">
          <reference field="1" count="1">
            <x v="434"/>
          </reference>
        </references>
      </pivotArea>
    </format>
    <format dxfId="1664">
      <pivotArea dataOnly="0" labelOnly="1" outline="0" fieldPosition="0">
        <references count="1">
          <reference field="1" count="1">
            <x v="435"/>
          </reference>
        </references>
      </pivotArea>
    </format>
    <format dxfId="1663">
      <pivotArea dataOnly="0" labelOnly="1" outline="0" fieldPosition="0">
        <references count="1">
          <reference field="1" count="1">
            <x v="436"/>
          </reference>
        </references>
      </pivotArea>
    </format>
    <format dxfId="1662">
      <pivotArea dataOnly="0" labelOnly="1" outline="0" fieldPosition="0">
        <references count="1">
          <reference field="1" count="1">
            <x v="437"/>
          </reference>
        </references>
      </pivotArea>
    </format>
    <format dxfId="1661">
      <pivotArea dataOnly="0" labelOnly="1" outline="0" fieldPosition="0">
        <references count="1">
          <reference field="1" count="1">
            <x v="438"/>
          </reference>
        </references>
      </pivotArea>
    </format>
    <format dxfId="1660">
      <pivotArea dataOnly="0" labelOnly="1" outline="0" fieldPosition="0">
        <references count="1">
          <reference field="1" count="1">
            <x v="439"/>
          </reference>
        </references>
      </pivotArea>
    </format>
    <format dxfId="1659">
      <pivotArea dataOnly="0" labelOnly="1" outline="0" fieldPosition="0">
        <references count="1">
          <reference field="1" count="1">
            <x v="440"/>
          </reference>
        </references>
      </pivotArea>
    </format>
    <format dxfId="1658">
      <pivotArea dataOnly="0" labelOnly="1" outline="0" fieldPosition="0">
        <references count="1">
          <reference field="1" count="1">
            <x v="441"/>
          </reference>
        </references>
      </pivotArea>
    </format>
    <format dxfId="1657">
      <pivotArea dataOnly="0" labelOnly="1" outline="0" fieldPosition="0">
        <references count="1">
          <reference field="1" count="1">
            <x v="442"/>
          </reference>
        </references>
      </pivotArea>
    </format>
    <format dxfId="1656">
      <pivotArea dataOnly="0" labelOnly="1" outline="0" fieldPosition="0">
        <references count="1">
          <reference field="1" count="1">
            <x v="443"/>
          </reference>
        </references>
      </pivotArea>
    </format>
    <format dxfId="1655">
      <pivotArea dataOnly="0" labelOnly="1" outline="0" fieldPosition="0">
        <references count="1">
          <reference field="1" count="1">
            <x v="444"/>
          </reference>
        </references>
      </pivotArea>
    </format>
    <format dxfId="1654">
      <pivotArea dataOnly="0" labelOnly="1" outline="0" fieldPosition="0">
        <references count="1">
          <reference field="1" count="1">
            <x v="445"/>
          </reference>
        </references>
      </pivotArea>
    </format>
    <format dxfId="1653">
      <pivotArea dataOnly="0" labelOnly="1" outline="0" fieldPosition="0">
        <references count="1">
          <reference field="1" count="1">
            <x v="446"/>
          </reference>
        </references>
      </pivotArea>
    </format>
    <format dxfId="1652">
      <pivotArea dataOnly="0" labelOnly="1" outline="0" fieldPosition="0">
        <references count="1">
          <reference field="1" count="1">
            <x v="447"/>
          </reference>
        </references>
      </pivotArea>
    </format>
    <format dxfId="1651">
      <pivotArea dataOnly="0" labelOnly="1" outline="0" fieldPosition="0">
        <references count="1">
          <reference field="1" count="1">
            <x v="448"/>
          </reference>
        </references>
      </pivotArea>
    </format>
    <format dxfId="1650">
      <pivotArea dataOnly="0" labelOnly="1" outline="0" fieldPosition="0">
        <references count="1">
          <reference field="1" count="1">
            <x v="449"/>
          </reference>
        </references>
      </pivotArea>
    </format>
    <format dxfId="1649">
      <pivotArea dataOnly="0" labelOnly="1" outline="0" fieldPosition="0">
        <references count="1">
          <reference field="1" count="1">
            <x v="450"/>
          </reference>
        </references>
      </pivotArea>
    </format>
    <format dxfId="1648">
      <pivotArea dataOnly="0" labelOnly="1" outline="0" fieldPosition="0">
        <references count="1">
          <reference field="1" count="1">
            <x v="451"/>
          </reference>
        </references>
      </pivotArea>
    </format>
    <format dxfId="1647">
      <pivotArea dataOnly="0" labelOnly="1" outline="0" fieldPosition="0">
        <references count="1">
          <reference field="1" count="1">
            <x v="452"/>
          </reference>
        </references>
      </pivotArea>
    </format>
    <format dxfId="1646">
      <pivotArea dataOnly="0" labelOnly="1" outline="0" fieldPosition="0">
        <references count="1">
          <reference field="1" count="1">
            <x v="453"/>
          </reference>
        </references>
      </pivotArea>
    </format>
    <format dxfId="1645">
      <pivotArea dataOnly="0" labelOnly="1" outline="0" fieldPosition="0">
        <references count="1">
          <reference field="1" count="1">
            <x v="454"/>
          </reference>
        </references>
      </pivotArea>
    </format>
    <format dxfId="1644">
      <pivotArea dataOnly="0" labelOnly="1" outline="0" fieldPosition="0">
        <references count="1">
          <reference field="1" count="1">
            <x v="455"/>
          </reference>
        </references>
      </pivotArea>
    </format>
    <format dxfId="1643">
      <pivotArea dataOnly="0" labelOnly="1" outline="0" fieldPosition="0">
        <references count="1">
          <reference field="1" count="1">
            <x v="456"/>
          </reference>
        </references>
      </pivotArea>
    </format>
    <format dxfId="1642">
      <pivotArea dataOnly="0" labelOnly="1" outline="0" fieldPosition="0">
        <references count="1">
          <reference field="1" count="1">
            <x v="457"/>
          </reference>
        </references>
      </pivotArea>
    </format>
    <format dxfId="1641">
      <pivotArea dataOnly="0" labelOnly="1" outline="0" fieldPosition="0">
        <references count="1">
          <reference field="1" count="1">
            <x v="458"/>
          </reference>
        </references>
      </pivotArea>
    </format>
    <format dxfId="1640">
      <pivotArea dataOnly="0" labelOnly="1" outline="0" fieldPosition="0">
        <references count="1">
          <reference field="1" count="1">
            <x v="459"/>
          </reference>
        </references>
      </pivotArea>
    </format>
    <format dxfId="1639">
      <pivotArea dataOnly="0" labelOnly="1" outline="0" fieldPosition="0">
        <references count="1">
          <reference field="1" count="1">
            <x v="460"/>
          </reference>
        </references>
      </pivotArea>
    </format>
    <format dxfId="1638">
      <pivotArea dataOnly="0" labelOnly="1" outline="0" fieldPosition="0">
        <references count="1">
          <reference field="1" count="1">
            <x v="461"/>
          </reference>
        </references>
      </pivotArea>
    </format>
    <format dxfId="1637">
      <pivotArea dataOnly="0" labelOnly="1" outline="0" fieldPosition="0">
        <references count="1">
          <reference field="1" count="1">
            <x v="462"/>
          </reference>
        </references>
      </pivotArea>
    </format>
    <format dxfId="1636">
      <pivotArea dataOnly="0" labelOnly="1" outline="0" fieldPosition="0">
        <references count="1">
          <reference field="1" count="1">
            <x v="463"/>
          </reference>
        </references>
      </pivotArea>
    </format>
    <format dxfId="1635">
      <pivotArea dataOnly="0" labelOnly="1" outline="0" fieldPosition="0">
        <references count="1">
          <reference field="1" count="1">
            <x v="464"/>
          </reference>
        </references>
      </pivotArea>
    </format>
    <format dxfId="1634">
      <pivotArea dataOnly="0" labelOnly="1" outline="0" fieldPosition="0">
        <references count="1">
          <reference field="1" count="1">
            <x v="465"/>
          </reference>
        </references>
      </pivotArea>
    </format>
    <format dxfId="1633">
      <pivotArea dataOnly="0" labelOnly="1" outline="0" fieldPosition="0">
        <references count="1">
          <reference field="1" count="1">
            <x v="466"/>
          </reference>
        </references>
      </pivotArea>
    </format>
    <format dxfId="1632">
      <pivotArea dataOnly="0" labelOnly="1" outline="0" fieldPosition="0">
        <references count="1">
          <reference field="1" count="1">
            <x v="467"/>
          </reference>
        </references>
      </pivotArea>
    </format>
    <format dxfId="1631">
      <pivotArea dataOnly="0" labelOnly="1" outline="0" fieldPosition="0">
        <references count="1">
          <reference field="1" count="1">
            <x v="468"/>
          </reference>
        </references>
      </pivotArea>
    </format>
    <format dxfId="1630">
      <pivotArea dataOnly="0" labelOnly="1" outline="0" fieldPosition="0">
        <references count="1">
          <reference field="1" count="1">
            <x v="469"/>
          </reference>
        </references>
      </pivotArea>
    </format>
    <format dxfId="1629">
      <pivotArea dataOnly="0" labelOnly="1" outline="0" fieldPosition="0">
        <references count="1">
          <reference field="1" count="1">
            <x v="470"/>
          </reference>
        </references>
      </pivotArea>
    </format>
    <format dxfId="1628">
      <pivotArea dataOnly="0" labelOnly="1" outline="0" fieldPosition="0">
        <references count="1">
          <reference field="1" count="1">
            <x v="471"/>
          </reference>
        </references>
      </pivotArea>
    </format>
    <format dxfId="1627">
      <pivotArea dataOnly="0" labelOnly="1" outline="0" fieldPosition="0">
        <references count="1">
          <reference field="1" count="1">
            <x v="472"/>
          </reference>
        </references>
      </pivotArea>
    </format>
    <format dxfId="1626">
      <pivotArea dataOnly="0" labelOnly="1" outline="0" fieldPosition="0">
        <references count="1">
          <reference field="1" count="1">
            <x v="473"/>
          </reference>
        </references>
      </pivotArea>
    </format>
    <format dxfId="1625">
      <pivotArea dataOnly="0" labelOnly="1" outline="0" fieldPosition="0">
        <references count="1">
          <reference field="1" count="1">
            <x v="474"/>
          </reference>
        </references>
      </pivotArea>
    </format>
    <format dxfId="1624">
      <pivotArea dataOnly="0" labelOnly="1" outline="0" fieldPosition="0">
        <references count="1">
          <reference field="1" count="1">
            <x v="475"/>
          </reference>
        </references>
      </pivotArea>
    </format>
    <format dxfId="1623">
      <pivotArea dataOnly="0" labelOnly="1" outline="0" fieldPosition="0">
        <references count="1">
          <reference field="1" count="1">
            <x v="476"/>
          </reference>
        </references>
      </pivotArea>
    </format>
    <format dxfId="1622">
      <pivotArea dataOnly="0" labelOnly="1" outline="0" fieldPosition="0">
        <references count="1">
          <reference field="1" count="1">
            <x v="477"/>
          </reference>
        </references>
      </pivotArea>
    </format>
    <format dxfId="1621">
      <pivotArea dataOnly="0" labelOnly="1" outline="0" fieldPosition="0">
        <references count="1">
          <reference field="1" count="1">
            <x v="478"/>
          </reference>
        </references>
      </pivotArea>
    </format>
    <format dxfId="1620">
      <pivotArea dataOnly="0" labelOnly="1" outline="0" fieldPosition="0">
        <references count="1">
          <reference field="1" count="1">
            <x v="479"/>
          </reference>
        </references>
      </pivotArea>
    </format>
    <format dxfId="1619">
      <pivotArea dataOnly="0" labelOnly="1" outline="0" fieldPosition="0">
        <references count="1">
          <reference field="1" count="1">
            <x v="480"/>
          </reference>
        </references>
      </pivotArea>
    </format>
    <format dxfId="1618">
      <pivotArea dataOnly="0" labelOnly="1" outline="0" fieldPosition="0">
        <references count="1">
          <reference field="1" count="1">
            <x v="481"/>
          </reference>
        </references>
      </pivotArea>
    </format>
    <format dxfId="1617">
      <pivotArea dataOnly="0" labelOnly="1" outline="0" fieldPosition="0">
        <references count="1">
          <reference field="1" count="1">
            <x v="482"/>
          </reference>
        </references>
      </pivotArea>
    </format>
    <format dxfId="1616">
      <pivotArea dataOnly="0" labelOnly="1" outline="0" fieldPosition="0">
        <references count="1">
          <reference field="1" count="1">
            <x v="483"/>
          </reference>
        </references>
      </pivotArea>
    </format>
    <format dxfId="1615">
      <pivotArea dataOnly="0" labelOnly="1" outline="0" fieldPosition="0">
        <references count="1">
          <reference field="1" count="1">
            <x v="484"/>
          </reference>
        </references>
      </pivotArea>
    </format>
    <format dxfId="1614">
      <pivotArea dataOnly="0" labelOnly="1" outline="0" fieldPosition="0">
        <references count="1">
          <reference field="1" count="1">
            <x v="485"/>
          </reference>
        </references>
      </pivotArea>
    </format>
    <format dxfId="1613">
      <pivotArea dataOnly="0" labelOnly="1" outline="0" fieldPosition="0">
        <references count="1">
          <reference field="1" count="1">
            <x v="486"/>
          </reference>
        </references>
      </pivotArea>
    </format>
    <format dxfId="1612">
      <pivotArea dataOnly="0" labelOnly="1" outline="0" fieldPosition="0">
        <references count="1">
          <reference field="1" count="1">
            <x v="487"/>
          </reference>
        </references>
      </pivotArea>
    </format>
    <format dxfId="1611">
      <pivotArea dataOnly="0" labelOnly="1" outline="0" fieldPosition="0">
        <references count="1">
          <reference field="1" count="1">
            <x v="488"/>
          </reference>
        </references>
      </pivotArea>
    </format>
    <format dxfId="1610">
      <pivotArea dataOnly="0" labelOnly="1" outline="0" fieldPosition="0">
        <references count="1">
          <reference field="1" count="1">
            <x v="489"/>
          </reference>
        </references>
      </pivotArea>
    </format>
    <format dxfId="1609">
      <pivotArea dataOnly="0" labelOnly="1" outline="0" fieldPosition="0">
        <references count="1">
          <reference field="1" count="1">
            <x v="490"/>
          </reference>
        </references>
      </pivotArea>
    </format>
    <format dxfId="1608">
      <pivotArea dataOnly="0" labelOnly="1" outline="0" fieldPosition="0">
        <references count="1">
          <reference field="1" count="1">
            <x v="491"/>
          </reference>
        </references>
      </pivotArea>
    </format>
    <format dxfId="1607">
      <pivotArea dataOnly="0" labelOnly="1" outline="0" fieldPosition="0">
        <references count="1">
          <reference field="1" count="1">
            <x v="492"/>
          </reference>
        </references>
      </pivotArea>
    </format>
    <format dxfId="1606">
      <pivotArea dataOnly="0" labelOnly="1" outline="0" fieldPosition="0">
        <references count="1">
          <reference field="1" count="1">
            <x v="493"/>
          </reference>
        </references>
      </pivotArea>
    </format>
    <format dxfId="1605">
      <pivotArea dataOnly="0" labelOnly="1" outline="0" fieldPosition="0">
        <references count="1">
          <reference field="1" count="1">
            <x v="494"/>
          </reference>
        </references>
      </pivotArea>
    </format>
    <format dxfId="1604">
      <pivotArea dataOnly="0" labelOnly="1" outline="0" fieldPosition="0">
        <references count="1">
          <reference field="1" count="1">
            <x v="495"/>
          </reference>
        </references>
      </pivotArea>
    </format>
    <format dxfId="1603">
      <pivotArea dataOnly="0" labelOnly="1" outline="0" fieldPosition="0">
        <references count="1">
          <reference field="1" count="1">
            <x v="496"/>
          </reference>
        </references>
      </pivotArea>
    </format>
    <format dxfId="1602">
      <pivotArea dataOnly="0" labelOnly="1" outline="0" fieldPosition="0">
        <references count="1">
          <reference field="1" count="1">
            <x v="497"/>
          </reference>
        </references>
      </pivotArea>
    </format>
    <format dxfId="1601">
      <pivotArea dataOnly="0" labelOnly="1" outline="0" fieldPosition="0">
        <references count="1">
          <reference field="1" count="1">
            <x v="498"/>
          </reference>
        </references>
      </pivotArea>
    </format>
    <format dxfId="1600">
      <pivotArea dataOnly="0" labelOnly="1" outline="0" fieldPosition="0">
        <references count="1">
          <reference field="1" count="1">
            <x v="499"/>
          </reference>
        </references>
      </pivotArea>
    </format>
    <format dxfId="1599">
      <pivotArea dataOnly="0" labelOnly="1" outline="0" fieldPosition="0">
        <references count="1">
          <reference field="1" count="1">
            <x v="500"/>
          </reference>
        </references>
      </pivotArea>
    </format>
    <format dxfId="1598">
      <pivotArea dataOnly="0" labelOnly="1" outline="0" fieldPosition="0">
        <references count="1">
          <reference field="1" count="1">
            <x v="501"/>
          </reference>
        </references>
      </pivotArea>
    </format>
    <format dxfId="1597">
      <pivotArea dataOnly="0" labelOnly="1" outline="0" fieldPosition="0">
        <references count="1">
          <reference field="1" count="1">
            <x v="502"/>
          </reference>
        </references>
      </pivotArea>
    </format>
    <format dxfId="1596">
      <pivotArea dataOnly="0" labelOnly="1" outline="0" fieldPosition="0">
        <references count="1">
          <reference field="1" count="1">
            <x v="503"/>
          </reference>
        </references>
      </pivotArea>
    </format>
    <format dxfId="1595">
      <pivotArea dataOnly="0" labelOnly="1" outline="0" fieldPosition="0">
        <references count="1">
          <reference field="1" count="1">
            <x v="504"/>
          </reference>
        </references>
      </pivotArea>
    </format>
    <format dxfId="1594">
      <pivotArea dataOnly="0" labelOnly="1" outline="0" fieldPosition="0">
        <references count="1">
          <reference field="1" count="1">
            <x v="505"/>
          </reference>
        </references>
      </pivotArea>
    </format>
    <format dxfId="1593">
      <pivotArea dataOnly="0" labelOnly="1" outline="0" fieldPosition="0">
        <references count="1">
          <reference field="1" count="1">
            <x v="506"/>
          </reference>
        </references>
      </pivotArea>
    </format>
    <format dxfId="1592">
      <pivotArea dataOnly="0" labelOnly="1" outline="0" fieldPosition="0">
        <references count="1">
          <reference field="1" count="1">
            <x v="507"/>
          </reference>
        </references>
      </pivotArea>
    </format>
    <format dxfId="1591">
      <pivotArea dataOnly="0" labelOnly="1" outline="0" fieldPosition="0">
        <references count="1">
          <reference field="1" count="1">
            <x v="508"/>
          </reference>
        </references>
      </pivotArea>
    </format>
    <format dxfId="1590">
      <pivotArea dataOnly="0" labelOnly="1" outline="0" fieldPosition="0">
        <references count="1">
          <reference field="1" count="1">
            <x v="509"/>
          </reference>
        </references>
      </pivotArea>
    </format>
    <format dxfId="1589">
      <pivotArea dataOnly="0" labelOnly="1" outline="0" fieldPosition="0">
        <references count="1">
          <reference field="1" count="1">
            <x v="510"/>
          </reference>
        </references>
      </pivotArea>
    </format>
    <format dxfId="1588">
      <pivotArea dataOnly="0" labelOnly="1" outline="0" fieldPosition="0">
        <references count="1">
          <reference field="1" count="1">
            <x v="511"/>
          </reference>
        </references>
      </pivotArea>
    </format>
    <format dxfId="1587">
      <pivotArea dataOnly="0" labelOnly="1" outline="0" fieldPosition="0">
        <references count="1">
          <reference field="1" count="1">
            <x v="512"/>
          </reference>
        </references>
      </pivotArea>
    </format>
    <format dxfId="1586">
      <pivotArea dataOnly="0" labelOnly="1" outline="0" fieldPosition="0">
        <references count="1">
          <reference field="1" count="1">
            <x v="513"/>
          </reference>
        </references>
      </pivotArea>
    </format>
    <format dxfId="1585">
      <pivotArea dataOnly="0" labelOnly="1" outline="0" fieldPosition="0">
        <references count="1">
          <reference field="1" count="1">
            <x v="514"/>
          </reference>
        </references>
      </pivotArea>
    </format>
    <format dxfId="1584">
      <pivotArea dataOnly="0" labelOnly="1" outline="0" fieldPosition="0">
        <references count="1">
          <reference field="1" count="1">
            <x v="515"/>
          </reference>
        </references>
      </pivotArea>
    </format>
    <format dxfId="1583">
      <pivotArea dataOnly="0" labelOnly="1" outline="0" fieldPosition="0">
        <references count="1">
          <reference field="1" count="1">
            <x v="516"/>
          </reference>
        </references>
      </pivotArea>
    </format>
    <format dxfId="1582">
      <pivotArea dataOnly="0" labelOnly="1" outline="0" fieldPosition="0">
        <references count="1">
          <reference field="1" count="1">
            <x v="517"/>
          </reference>
        </references>
      </pivotArea>
    </format>
    <format dxfId="1581">
      <pivotArea dataOnly="0" labelOnly="1" outline="0" fieldPosition="0">
        <references count="1">
          <reference field="1" count="1">
            <x v="518"/>
          </reference>
        </references>
      </pivotArea>
    </format>
    <format dxfId="1580">
      <pivotArea dataOnly="0" labelOnly="1" outline="0" fieldPosition="0">
        <references count="1">
          <reference field="1" count="1">
            <x v="519"/>
          </reference>
        </references>
      </pivotArea>
    </format>
    <format dxfId="1579">
      <pivotArea dataOnly="0" labelOnly="1" outline="0" fieldPosition="0">
        <references count="1">
          <reference field="1" count="1">
            <x v="520"/>
          </reference>
        </references>
      </pivotArea>
    </format>
    <format dxfId="1578">
      <pivotArea dataOnly="0" labelOnly="1" outline="0" fieldPosition="0">
        <references count="1">
          <reference field="1" count="1">
            <x v="521"/>
          </reference>
        </references>
      </pivotArea>
    </format>
    <format dxfId="1577">
      <pivotArea dataOnly="0" labelOnly="1" outline="0" fieldPosition="0">
        <references count="1">
          <reference field="1" count="1">
            <x v="522"/>
          </reference>
        </references>
      </pivotArea>
    </format>
    <format dxfId="1576">
      <pivotArea dataOnly="0" labelOnly="1" outline="0" fieldPosition="0">
        <references count="1">
          <reference field="1" count="1">
            <x v="523"/>
          </reference>
        </references>
      </pivotArea>
    </format>
    <format dxfId="1575">
      <pivotArea dataOnly="0" labelOnly="1" outline="0" fieldPosition="0">
        <references count="1">
          <reference field="1" count="1">
            <x v="524"/>
          </reference>
        </references>
      </pivotArea>
    </format>
    <format dxfId="1574">
      <pivotArea dataOnly="0" labelOnly="1" outline="0" fieldPosition="0">
        <references count="1">
          <reference field="1" count="1">
            <x v="525"/>
          </reference>
        </references>
      </pivotArea>
    </format>
    <format dxfId="1573">
      <pivotArea dataOnly="0" labelOnly="1" outline="0" fieldPosition="0">
        <references count="1">
          <reference field="1" count="1">
            <x v="526"/>
          </reference>
        </references>
      </pivotArea>
    </format>
    <format dxfId="1572">
      <pivotArea dataOnly="0" labelOnly="1" outline="0" fieldPosition="0">
        <references count="1">
          <reference field="1" count="1">
            <x v="527"/>
          </reference>
        </references>
      </pivotArea>
    </format>
    <format dxfId="1571">
      <pivotArea dataOnly="0" labelOnly="1" outline="0" fieldPosition="0">
        <references count="1">
          <reference field="1" count="1">
            <x v="528"/>
          </reference>
        </references>
      </pivotArea>
    </format>
    <format dxfId="1570">
      <pivotArea dataOnly="0" labelOnly="1" outline="0" fieldPosition="0">
        <references count="1">
          <reference field="1" count="1">
            <x v="529"/>
          </reference>
        </references>
      </pivotArea>
    </format>
    <format dxfId="1569">
      <pivotArea dataOnly="0" labelOnly="1" outline="0" fieldPosition="0">
        <references count="1">
          <reference field="1" count="1">
            <x v="530"/>
          </reference>
        </references>
      </pivotArea>
    </format>
    <format dxfId="1568">
      <pivotArea dataOnly="0" labelOnly="1" outline="0" fieldPosition="0">
        <references count="1">
          <reference field="1" count="1">
            <x v="531"/>
          </reference>
        </references>
      </pivotArea>
    </format>
    <format dxfId="1567">
      <pivotArea dataOnly="0" labelOnly="1" outline="0" fieldPosition="0">
        <references count="1">
          <reference field="1" count="1">
            <x v="532"/>
          </reference>
        </references>
      </pivotArea>
    </format>
    <format dxfId="1566">
      <pivotArea dataOnly="0" labelOnly="1" outline="0" fieldPosition="0">
        <references count="1">
          <reference field="1" count="1">
            <x v="533"/>
          </reference>
        </references>
      </pivotArea>
    </format>
    <format dxfId="1565">
      <pivotArea dataOnly="0" labelOnly="1" outline="0" fieldPosition="0">
        <references count="1">
          <reference field="1" count="1">
            <x v="534"/>
          </reference>
        </references>
      </pivotArea>
    </format>
    <format dxfId="1564">
      <pivotArea dataOnly="0" labelOnly="1" outline="0" fieldPosition="0">
        <references count="1">
          <reference field="1" count="1">
            <x v="535"/>
          </reference>
        </references>
      </pivotArea>
    </format>
    <format dxfId="1563">
      <pivotArea dataOnly="0" labelOnly="1" outline="0" fieldPosition="0">
        <references count="1">
          <reference field="1" count="1">
            <x v="536"/>
          </reference>
        </references>
      </pivotArea>
    </format>
    <format dxfId="1562">
      <pivotArea dataOnly="0" labelOnly="1" outline="0" fieldPosition="0">
        <references count="1">
          <reference field="1" count="1">
            <x v="537"/>
          </reference>
        </references>
      </pivotArea>
    </format>
    <format dxfId="1561">
      <pivotArea dataOnly="0" labelOnly="1" outline="0" fieldPosition="0">
        <references count="1">
          <reference field="1" count="1">
            <x v="538"/>
          </reference>
        </references>
      </pivotArea>
    </format>
    <format dxfId="1560">
      <pivotArea dataOnly="0" labelOnly="1" outline="0" fieldPosition="0">
        <references count="1">
          <reference field="1" count="1">
            <x v="539"/>
          </reference>
        </references>
      </pivotArea>
    </format>
    <format dxfId="1559">
      <pivotArea dataOnly="0" labelOnly="1" outline="0" fieldPosition="0">
        <references count="1">
          <reference field="1" count="1">
            <x v="540"/>
          </reference>
        </references>
      </pivotArea>
    </format>
    <format dxfId="1558">
      <pivotArea dataOnly="0" labelOnly="1" outline="0" fieldPosition="0">
        <references count="1">
          <reference field="1" count="1">
            <x v="541"/>
          </reference>
        </references>
      </pivotArea>
    </format>
    <format dxfId="1557">
      <pivotArea dataOnly="0" labelOnly="1" outline="0" fieldPosition="0">
        <references count="1">
          <reference field="1" count="1">
            <x v="542"/>
          </reference>
        </references>
      </pivotArea>
    </format>
    <format dxfId="1556">
      <pivotArea dataOnly="0" labelOnly="1" outline="0" fieldPosition="0">
        <references count="1">
          <reference field="1" count="1">
            <x v="543"/>
          </reference>
        </references>
      </pivotArea>
    </format>
    <format dxfId="1555">
      <pivotArea dataOnly="0" labelOnly="1" outline="0" fieldPosition="0">
        <references count="1">
          <reference field="1" count="1">
            <x v="544"/>
          </reference>
        </references>
      </pivotArea>
    </format>
    <format dxfId="1554">
      <pivotArea dataOnly="0" labelOnly="1" outline="0" fieldPosition="0">
        <references count="1">
          <reference field="1" count="1">
            <x v="545"/>
          </reference>
        </references>
      </pivotArea>
    </format>
    <format dxfId="1553">
      <pivotArea dataOnly="0" labelOnly="1" outline="0" fieldPosition="0">
        <references count="1">
          <reference field="1" count="1">
            <x v="546"/>
          </reference>
        </references>
      </pivotArea>
    </format>
    <format dxfId="1552">
      <pivotArea dataOnly="0" labelOnly="1" outline="0" fieldPosition="0">
        <references count="1">
          <reference field="1" count="1">
            <x v="547"/>
          </reference>
        </references>
      </pivotArea>
    </format>
    <format dxfId="1551">
      <pivotArea dataOnly="0" labelOnly="1" outline="0" fieldPosition="0">
        <references count="1">
          <reference field="1" count="1">
            <x v="548"/>
          </reference>
        </references>
      </pivotArea>
    </format>
    <format dxfId="1550">
      <pivotArea dataOnly="0" labelOnly="1" outline="0" fieldPosition="0">
        <references count="1">
          <reference field="1" count="1">
            <x v="549"/>
          </reference>
        </references>
      </pivotArea>
    </format>
    <format dxfId="1549">
      <pivotArea dataOnly="0" labelOnly="1" outline="0" fieldPosition="0">
        <references count="1">
          <reference field="1" count="1">
            <x v="550"/>
          </reference>
        </references>
      </pivotArea>
    </format>
    <format dxfId="1548">
      <pivotArea dataOnly="0" labelOnly="1" outline="0" fieldPosition="0">
        <references count="1">
          <reference field="1" count="1">
            <x v="551"/>
          </reference>
        </references>
      </pivotArea>
    </format>
    <format dxfId="1547">
      <pivotArea dataOnly="0" labelOnly="1" outline="0" fieldPosition="0">
        <references count="1">
          <reference field="1" count="1">
            <x v="552"/>
          </reference>
        </references>
      </pivotArea>
    </format>
    <format dxfId="1546">
      <pivotArea dataOnly="0" labelOnly="1" outline="0" fieldPosition="0">
        <references count="1">
          <reference field="1" count="1">
            <x v="553"/>
          </reference>
        </references>
      </pivotArea>
    </format>
    <format dxfId="1545">
      <pivotArea dataOnly="0" labelOnly="1" outline="0" fieldPosition="0">
        <references count="1">
          <reference field="1" count="1">
            <x v="554"/>
          </reference>
        </references>
      </pivotArea>
    </format>
    <format dxfId="1544">
      <pivotArea dataOnly="0" labelOnly="1" outline="0" fieldPosition="0">
        <references count="1">
          <reference field="1" count="1">
            <x v="555"/>
          </reference>
        </references>
      </pivotArea>
    </format>
    <format dxfId="1543">
      <pivotArea dataOnly="0" labelOnly="1" outline="0" fieldPosition="0">
        <references count="1">
          <reference field="1" count="1">
            <x v="556"/>
          </reference>
        </references>
      </pivotArea>
    </format>
    <format dxfId="1542">
      <pivotArea dataOnly="0" labelOnly="1" outline="0" fieldPosition="0">
        <references count="1">
          <reference field="1" count="1">
            <x v="557"/>
          </reference>
        </references>
      </pivotArea>
    </format>
    <format dxfId="1541">
      <pivotArea dataOnly="0" labelOnly="1" outline="0" fieldPosition="0">
        <references count="1">
          <reference field="1" count="1">
            <x v="558"/>
          </reference>
        </references>
      </pivotArea>
    </format>
    <format dxfId="1540">
      <pivotArea dataOnly="0" labelOnly="1" outline="0" fieldPosition="0">
        <references count="1">
          <reference field="1" count="1">
            <x v="559"/>
          </reference>
        </references>
      </pivotArea>
    </format>
    <format dxfId="1539">
      <pivotArea dataOnly="0" labelOnly="1" outline="0" fieldPosition="0">
        <references count="1">
          <reference field="1" count="1">
            <x v="560"/>
          </reference>
        </references>
      </pivotArea>
    </format>
    <format dxfId="1538">
      <pivotArea dataOnly="0" labelOnly="1" outline="0" fieldPosition="0">
        <references count="1">
          <reference field="1" count="1">
            <x v="561"/>
          </reference>
        </references>
      </pivotArea>
    </format>
    <format dxfId="1537">
      <pivotArea dataOnly="0" labelOnly="1" outline="0" fieldPosition="0">
        <references count="1">
          <reference field="1" count="1">
            <x v="562"/>
          </reference>
        </references>
      </pivotArea>
    </format>
    <format dxfId="1536">
      <pivotArea dataOnly="0" labelOnly="1" outline="0" fieldPosition="0">
        <references count="1">
          <reference field="1" count="1">
            <x v="563"/>
          </reference>
        </references>
      </pivotArea>
    </format>
    <format dxfId="1535">
      <pivotArea dataOnly="0" labelOnly="1" outline="0" fieldPosition="0">
        <references count="1">
          <reference field="1" count="1">
            <x v="564"/>
          </reference>
        </references>
      </pivotArea>
    </format>
    <format dxfId="1534">
      <pivotArea dataOnly="0" labelOnly="1" outline="0" fieldPosition="0">
        <references count="1">
          <reference field="1" count="1">
            <x v="565"/>
          </reference>
        </references>
      </pivotArea>
    </format>
    <format dxfId="1533">
      <pivotArea dataOnly="0" labelOnly="1" outline="0" fieldPosition="0">
        <references count="1">
          <reference field="1" count="1">
            <x v="566"/>
          </reference>
        </references>
      </pivotArea>
    </format>
    <format dxfId="1532">
      <pivotArea dataOnly="0" labelOnly="1" outline="0" fieldPosition="0">
        <references count="1">
          <reference field="1" count="1">
            <x v="567"/>
          </reference>
        </references>
      </pivotArea>
    </format>
    <format dxfId="1531">
      <pivotArea dataOnly="0" labelOnly="1" outline="0" fieldPosition="0">
        <references count="1">
          <reference field="1" count="1">
            <x v="568"/>
          </reference>
        </references>
      </pivotArea>
    </format>
    <format dxfId="1530">
      <pivotArea dataOnly="0" labelOnly="1" outline="0" fieldPosition="0">
        <references count="1">
          <reference field="1" count="1">
            <x v="569"/>
          </reference>
        </references>
      </pivotArea>
    </format>
    <format dxfId="1529">
      <pivotArea dataOnly="0" labelOnly="1" outline="0" fieldPosition="0">
        <references count="1">
          <reference field="1" count="1">
            <x v="570"/>
          </reference>
        </references>
      </pivotArea>
    </format>
    <format dxfId="1528">
      <pivotArea dataOnly="0" labelOnly="1" outline="0" fieldPosition="0">
        <references count="1">
          <reference field="1" count="1">
            <x v="571"/>
          </reference>
        </references>
      </pivotArea>
    </format>
    <format dxfId="1527">
      <pivotArea dataOnly="0" labelOnly="1" outline="0" fieldPosition="0">
        <references count="1">
          <reference field="1" count="1">
            <x v="572"/>
          </reference>
        </references>
      </pivotArea>
    </format>
    <format dxfId="1526">
      <pivotArea dataOnly="0" labelOnly="1" outline="0" fieldPosition="0">
        <references count="1">
          <reference field="1" count="1">
            <x v="573"/>
          </reference>
        </references>
      </pivotArea>
    </format>
    <format dxfId="1525">
      <pivotArea dataOnly="0" labelOnly="1" outline="0" fieldPosition="0">
        <references count="1">
          <reference field="1" count="1">
            <x v="574"/>
          </reference>
        </references>
      </pivotArea>
    </format>
    <format dxfId="1524">
      <pivotArea dataOnly="0" labelOnly="1" outline="0" fieldPosition="0">
        <references count="1">
          <reference field="1" count="1">
            <x v="575"/>
          </reference>
        </references>
      </pivotArea>
    </format>
    <format dxfId="1523">
      <pivotArea dataOnly="0" labelOnly="1" outline="0" fieldPosition="0">
        <references count="1">
          <reference field="1" count="1">
            <x v="576"/>
          </reference>
        </references>
      </pivotArea>
    </format>
    <format dxfId="1522">
      <pivotArea dataOnly="0" labelOnly="1" outline="0" fieldPosition="0">
        <references count="1">
          <reference field="1" count="1">
            <x v="577"/>
          </reference>
        </references>
      </pivotArea>
    </format>
    <format dxfId="1521">
      <pivotArea dataOnly="0" labelOnly="1" outline="0" fieldPosition="0">
        <references count="1">
          <reference field="1" count="1">
            <x v="578"/>
          </reference>
        </references>
      </pivotArea>
    </format>
    <format dxfId="1520">
      <pivotArea dataOnly="0" labelOnly="1" outline="0" fieldPosition="0">
        <references count="1">
          <reference field="1" count="1">
            <x v="579"/>
          </reference>
        </references>
      </pivotArea>
    </format>
    <format dxfId="1519">
      <pivotArea dataOnly="0" labelOnly="1" outline="0" fieldPosition="0">
        <references count="1">
          <reference field="1" count="1">
            <x v="580"/>
          </reference>
        </references>
      </pivotArea>
    </format>
    <format dxfId="1518">
      <pivotArea dataOnly="0" labelOnly="1" outline="0" fieldPosition="0">
        <references count="1">
          <reference field="1" count="1">
            <x v="581"/>
          </reference>
        </references>
      </pivotArea>
    </format>
    <format dxfId="1517">
      <pivotArea dataOnly="0" labelOnly="1" outline="0" fieldPosition="0">
        <references count="1">
          <reference field="1" count="1">
            <x v="582"/>
          </reference>
        </references>
      </pivotArea>
    </format>
    <format dxfId="1516">
      <pivotArea dataOnly="0" labelOnly="1" outline="0" fieldPosition="0">
        <references count="1">
          <reference field="1" count="1">
            <x v="583"/>
          </reference>
        </references>
      </pivotArea>
    </format>
    <format dxfId="1515">
      <pivotArea dataOnly="0" labelOnly="1" outline="0" fieldPosition="0">
        <references count="1">
          <reference field="1" count="1">
            <x v="584"/>
          </reference>
        </references>
      </pivotArea>
    </format>
    <format dxfId="1514">
      <pivotArea dataOnly="0" labelOnly="1" outline="0" fieldPosition="0">
        <references count="1">
          <reference field="1" count="1">
            <x v="585"/>
          </reference>
        </references>
      </pivotArea>
    </format>
    <format dxfId="1513">
      <pivotArea dataOnly="0" labelOnly="1" outline="0" fieldPosition="0">
        <references count="1">
          <reference field="1" count="1">
            <x v="586"/>
          </reference>
        </references>
      </pivotArea>
    </format>
    <format dxfId="1512">
      <pivotArea dataOnly="0" labelOnly="1" outline="0" fieldPosition="0">
        <references count="1">
          <reference field="1" count="1">
            <x v="587"/>
          </reference>
        </references>
      </pivotArea>
    </format>
    <format dxfId="1511">
      <pivotArea dataOnly="0" labelOnly="1" outline="0" fieldPosition="0">
        <references count="1">
          <reference field="1" count="1">
            <x v="588"/>
          </reference>
        </references>
      </pivotArea>
    </format>
    <format dxfId="1510">
      <pivotArea dataOnly="0" labelOnly="1" outline="0" fieldPosition="0">
        <references count="1">
          <reference field="1" count="1">
            <x v="589"/>
          </reference>
        </references>
      </pivotArea>
    </format>
    <format dxfId="1509">
      <pivotArea dataOnly="0" labelOnly="1" outline="0" fieldPosition="0">
        <references count="1">
          <reference field="1" count="1">
            <x v="590"/>
          </reference>
        </references>
      </pivotArea>
    </format>
    <format dxfId="1508">
      <pivotArea dataOnly="0" labelOnly="1" outline="0" fieldPosition="0">
        <references count="1">
          <reference field="1" count="1">
            <x v="591"/>
          </reference>
        </references>
      </pivotArea>
    </format>
    <format dxfId="1507">
      <pivotArea dataOnly="0" labelOnly="1" outline="0" fieldPosition="0">
        <references count="1">
          <reference field="1" count="1">
            <x v="592"/>
          </reference>
        </references>
      </pivotArea>
    </format>
    <format dxfId="1506">
      <pivotArea dataOnly="0" labelOnly="1" outline="0" fieldPosition="0">
        <references count="1">
          <reference field="1" count="1">
            <x v="593"/>
          </reference>
        </references>
      </pivotArea>
    </format>
    <format dxfId="1505">
      <pivotArea dataOnly="0" labelOnly="1" outline="0" fieldPosition="0">
        <references count="1">
          <reference field="1" count="1">
            <x v="594"/>
          </reference>
        </references>
      </pivotArea>
    </format>
    <format dxfId="1504">
      <pivotArea dataOnly="0" labelOnly="1" outline="0" fieldPosition="0">
        <references count="1">
          <reference field="1" count="1">
            <x v="595"/>
          </reference>
        </references>
      </pivotArea>
    </format>
    <format dxfId="1503">
      <pivotArea dataOnly="0" labelOnly="1" outline="0" fieldPosition="0">
        <references count="1">
          <reference field="1" count="1">
            <x v="596"/>
          </reference>
        </references>
      </pivotArea>
    </format>
    <format dxfId="1502">
      <pivotArea dataOnly="0" labelOnly="1" outline="0" fieldPosition="0">
        <references count="1">
          <reference field="1" count="1">
            <x v="597"/>
          </reference>
        </references>
      </pivotArea>
    </format>
    <format dxfId="1501">
      <pivotArea dataOnly="0" labelOnly="1" outline="0" fieldPosition="0">
        <references count="1">
          <reference field="1" count="1">
            <x v="598"/>
          </reference>
        </references>
      </pivotArea>
    </format>
    <format dxfId="1500">
      <pivotArea dataOnly="0" labelOnly="1" outline="0" fieldPosition="0">
        <references count="1">
          <reference field="1" count="1">
            <x v="599"/>
          </reference>
        </references>
      </pivotArea>
    </format>
    <format dxfId="1499">
      <pivotArea dataOnly="0" labelOnly="1" outline="0" fieldPosition="0">
        <references count="1">
          <reference field="1" count="1">
            <x v="600"/>
          </reference>
        </references>
      </pivotArea>
    </format>
    <format dxfId="1498">
      <pivotArea dataOnly="0" labelOnly="1" outline="0" fieldPosition="0">
        <references count="1">
          <reference field="1" count="1">
            <x v="601"/>
          </reference>
        </references>
      </pivotArea>
    </format>
    <format dxfId="1497">
      <pivotArea dataOnly="0" labelOnly="1" outline="0" fieldPosition="0">
        <references count="1">
          <reference field="1" count="1">
            <x v="602"/>
          </reference>
        </references>
      </pivotArea>
    </format>
    <format dxfId="1496">
      <pivotArea dataOnly="0" labelOnly="1" outline="0" fieldPosition="0">
        <references count="1">
          <reference field="1" count="1">
            <x v="603"/>
          </reference>
        </references>
      </pivotArea>
    </format>
    <format dxfId="1495">
      <pivotArea dataOnly="0" labelOnly="1" outline="0" fieldPosition="0">
        <references count="1">
          <reference field="1" count="1">
            <x v="604"/>
          </reference>
        </references>
      </pivotArea>
    </format>
    <format dxfId="1494">
      <pivotArea dataOnly="0" labelOnly="1" outline="0" fieldPosition="0">
        <references count="1">
          <reference field="1" count="1">
            <x v="605"/>
          </reference>
        </references>
      </pivotArea>
    </format>
    <format dxfId="1493">
      <pivotArea dataOnly="0" labelOnly="1" outline="0" fieldPosition="0">
        <references count="1">
          <reference field="1" count="1">
            <x v="606"/>
          </reference>
        </references>
      </pivotArea>
    </format>
    <format dxfId="1492">
      <pivotArea dataOnly="0" labelOnly="1" outline="0" fieldPosition="0">
        <references count="1">
          <reference field="1" count="1">
            <x v="607"/>
          </reference>
        </references>
      </pivotArea>
    </format>
    <format dxfId="1491">
      <pivotArea dataOnly="0" labelOnly="1" outline="0" fieldPosition="0">
        <references count="1">
          <reference field="1" count="1">
            <x v="608"/>
          </reference>
        </references>
      </pivotArea>
    </format>
    <format dxfId="1490">
      <pivotArea dataOnly="0" labelOnly="1" outline="0" fieldPosition="0">
        <references count="1">
          <reference field="1" count="1">
            <x v="609"/>
          </reference>
        </references>
      </pivotArea>
    </format>
    <format dxfId="1489">
      <pivotArea dataOnly="0" labelOnly="1" outline="0" fieldPosition="0">
        <references count="1">
          <reference field="1" count="1">
            <x v="610"/>
          </reference>
        </references>
      </pivotArea>
    </format>
    <format dxfId="1488">
      <pivotArea dataOnly="0" labelOnly="1" outline="0" fieldPosition="0">
        <references count="1">
          <reference field="1" count="1">
            <x v="611"/>
          </reference>
        </references>
      </pivotArea>
    </format>
    <format dxfId="1487">
      <pivotArea dataOnly="0" labelOnly="1" outline="0" fieldPosition="0">
        <references count="1">
          <reference field="1" count="1">
            <x v="612"/>
          </reference>
        </references>
      </pivotArea>
    </format>
    <format dxfId="1486">
      <pivotArea dataOnly="0" labelOnly="1" outline="0" fieldPosition="0">
        <references count="1">
          <reference field="1" count="1">
            <x v="613"/>
          </reference>
        </references>
      </pivotArea>
    </format>
    <format dxfId="1485">
      <pivotArea dataOnly="0" labelOnly="1" outline="0" fieldPosition="0">
        <references count="1">
          <reference field="1" count="1">
            <x v="614"/>
          </reference>
        </references>
      </pivotArea>
    </format>
    <format dxfId="1484">
      <pivotArea dataOnly="0" labelOnly="1" outline="0" fieldPosition="0">
        <references count="1">
          <reference field="1" count="1">
            <x v="615"/>
          </reference>
        </references>
      </pivotArea>
    </format>
    <format dxfId="1483">
      <pivotArea dataOnly="0" labelOnly="1" outline="0" fieldPosition="0">
        <references count="1">
          <reference field="1" count="1">
            <x v="616"/>
          </reference>
        </references>
      </pivotArea>
    </format>
    <format dxfId="1482">
      <pivotArea dataOnly="0" labelOnly="1" outline="0" fieldPosition="0">
        <references count="1">
          <reference field="1" count="1">
            <x v="617"/>
          </reference>
        </references>
      </pivotArea>
    </format>
    <format dxfId="1481">
      <pivotArea dataOnly="0" labelOnly="1" outline="0" fieldPosition="0">
        <references count="1">
          <reference field="1" count="1">
            <x v="618"/>
          </reference>
        </references>
      </pivotArea>
    </format>
    <format dxfId="1480">
      <pivotArea dataOnly="0" labelOnly="1" outline="0" fieldPosition="0">
        <references count="1">
          <reference field="1" count="1">
            <x v="619"/>
          </reference>
        </references>
      </pivotArea>
    </format>
    <format dxfId="1479">
      <pivotArea dataOnly="0" labelOnly="1" outline="0" fieldPosition="0">
        <references count="1">
          <reference field="1" count="1">
            <x v="620"/>
          </reference>
        </references>
      </pivotArea>
    </format>
    <format dxfId="1478">
      <pivotArea dataOnly="0" labelOnly="1" outline="0" fieldPosition="0">
        <references count="1">
          <reference field="1" count="1">
            <x v="621"/>
          </reference>
        </references>
      </pivotArea>
    </format>
    <format dxfId="1477">
      <pivotArea dataOnly="0" labelOnly="1" outline="0" fieldPosition="0">
        <references count="1">
          <reference field="1" count="1">
            <x v="622"/>
          </reference>
        </references>
      </pivotArea>
    </format>
    <format dxfId="1476">
      <pivotArea dataOnly="0" labelOnly="1" outline="0" fieldPosition="0">
        <references count="1">
          <reference field="1" count="1">
            <x v="623"/>
          </reference>
        </references>
      </pivotArea>
    </format>
    <format dxfId="1475">
      <pivotArea dataOnly="0" labelOnly="1" outline="0" fieldPosition="0">
        <references count="1">
          <reference field="1" count="1">
            <x v="624"/>
          </reference>
        </references>
      </pivotArea>
    </format>
    <format dxfId="1474">
      <pivotArea dataOnly="0" labelOnly="1" outline="0" fieldPosition="0">
        <references count="1">
          <reference field="1" count="1">
            <x v="625"/>
          </reference>
        </references>
      </pivotArea>
    </format>
    <format dxfId="1473">
      <pivotArea dataOnly="0" labelOnly="1" outline="0" fieldPosition="0">
        <references count="1">
          <reference field="1" count="1">
            <x v="626"/>
          </reference>
        </references>
      </pivotArea>
    </format>
    <format dxfId="1472">
      <pivotArea dataOnly="0" labelOnly="1" outline="0" fieldPosition="0">
        <references count="1">
          <reference field="1" count="1">
            <x v="627"/>
          </reference>
        </references>
      </pivotArea>
    </format>
    <format dxfId="1471">
      <pivotArea dataOnly="0" labelOnly="1" outline="0" fieldPosition="0">
        <references count="1">
          <reference field="1" count="1">
            <x v="628"/>
          </reference>
        </references>
      </pivotArea>
    </format>
    <format dxfId="1470">
      <pivotArea dataOnly="0" labelOnly="1" outline="0" fieldPosition="0">
        <references count="1">
          <reference field="1" count="1">
            <x v="629"/>
          </reference>
        </references>
      </pivotArea>
    </format>
    <format dxfId="1469">
      <pivotArea dataOnly="0" labelOnly="1" outline="0" fieldPosition="0">
        <references count="1">
          <reference field="1" count="1">
            <x v="630"/>
          </reference>
        </references>
      </pivotArea>
    </format>
    <format dxfId="1468">
      <pivotArea dataOnly="0" labelOnly="1" outline="0" fieldPosition="0">
        <references count="1">
          <reference field="1" count="1">
            <x v="631"/>
          </reference>
        </references>
      </pivotArea>
    </format>
    <format dxfId="1467">
      <pivotArea dataOnly="0" labelOnly="1" outline="0" fieldPosition="0">
        <references count="1">
          <reference field="1" count="1">
            <x v="632"/>
          </reference>
        </references>
      </pivotArea>
    </format>
    <format dxfId="1466">
      <pivotArea dataOnly="0" labelOnly="1" outline="0" fieldPosition="0">
        <references count="1">
          <reference field="1" count="1">
            <x v="633"/>
          </reference>
        </references>
      </pivotArea>
    </format>
    <format dxfId="1465">
      <pivotArea dataOnly="0" labelOnly="1" outline="0" fieldPosition="0">
        <references count="1">
          <reference field="1" count="1">
            <x v="634"/>
          </reference>
        </references>
      </pivotArea>
    </format>
    <format dxfId="1464">
      <pivotArea dataOnly="0" labelOnly="1" outline="0" fieldPosition="0">
        <references count="1">
          <reference field="1" count="1">
            <x v="635"/>
          </reference>
        </references>
      </pivotArea>
    </format>
    <format dxfId="1463">
      <pivotArea dataOnly="0" labelOnly="1" outline="0" fieldPosition="0">
        <references count="1">
          <reference field="1" count="1">
            <x v="636"/>
          </reference>
        </references>
      </pivotArea>
    </format>
    <format dxfId="1462">
      <pivotArea dataOnly="0" labelOnly="1" outline="0" fieldPosition="0">
        <references count="1">
          <reference field="1" count="1">
            <x v="637"/>
          </reference>
        </references>
      </pivotArea>
    </format>
    <format dxfId="1461">
      <pivotArea dataOnly="0" labelOnly="1" outline="0" fieldPosition="0">
        <references count="1">
          <reference field="1" count="1">
            <x v="638"/>
          </reference>
        </references>
      </pivotArea>
    </format>
    <format dxfId="1460">
      <pivotArea dataOnly="0" labelOnly="1" outline="0" fieldPosition="0">
        <references count="1">
          <reference field="1" count="1">
            <x v="639"/>
          </reference>
        </references>
      </pivotArea>
    </format>
    <format dxfId="1459">
      <pivotArea dataOnly="0" labelOnly="1" outline="0" fieldPosition="0">
        <references count="1">
          <reference field="1" count="1">
            <x v="640"/>
          </reference>
        </references>
      </pivotArea>
    </format>
    <format dxfId="1458">
      <pivotArea dataOnly="0" labelOnly="1" outline="0" fieldPosition="0">
        <references count="1">
          <reference field="1" count="1">
            <x v="641"/>
          </reference>
        </references>
      </pivotArea>
    </format>
    <format dxfId="1457">
      <pivotArea dataOnly="0" labelOnly="1" outline="0" fieldPosition="0">
        <references count="1">
          <reference field="1" count="1">
            <x v="642"/>
          </reference>
        </references>
      </pivotArea>
    </format>
    <format dxfId="1456">
      <pivotArea dataOnly="0" labelOnly="1" outline="0" fieldPosition="0">
        <references count="1">
          <reference field="1" count="1">
            <x v="643"/>
          </reference>
        </references>
      </pivotArea>
    </format>
    <format dxfId="1455">
      <pivotArea dataOnly="0" labelOnly="1" outline="0" fieldPosition="0">
        <references count="1">
          <reference field="1" count="1">
            <x v="644"/>
          </reference>
        </references>
      </pivotArea>
    </format>
    <format dxfId="1454">
      <pivotArea dataOnly="0" labelOnly="1" outline="0" fieldPosition="0">
        <references count="1">
          <reference field="1" count="1">
            <x v="645"/>
          </reference>
        </references>
      </pivotArea>
    </format>
    <format dxfId="1453">
      <pivotArea dataOnly="0" labelOnly="1" outline="0" fieldPosition="0">
        <references count="1">
          <reference field="1" count="1">
            <x v="646"/>
          </reference>
        </references>
      </pivotArea>
    </format>
    <format dxfId="1452">
      <pivotArea dataOnly="0" labelOnly="1" outline="0" fieldPosition="0">
        <references count="1">
          <reference field="1" count="1">
            <x v="647"/>
          </reference>
        </references>
      </pivotArea>
    </format>
    <format dxfId="1451">
      <pivotArea dataOnly="0" labelOnly="1" outline="0" fieldPosition="0">
        <references count="1">
          <reference field="1" count="1">
            <x v="648"/>
          </reference>
        </references>
      </pivotArea>
    </format>
    <format dxfId="1450">
      <pivotArea dataOnly="0" labelOnly="1" outline="0" fieldPosition="0">
        <references count="1">
          <reference field="1" count="1">
            <x v="649"/>
          </reference>
        </references>
      </pivotArea>
    </format>
    <format dxfId="1449">
      <pivotArea dataOnly="0" labelOnly="1" outline="0" fieldPosition="0">
        <references count="1">
          <reference field="1" count="1">
            <x v="650"/>
          </reference>
        </references>
      </pivotArea>
    </format>
    <format dxfId="1448">
      <pivotArea dataOnly="0" labelOnly="1" outline="0" fieldPosition="0">
        <references count="1">
          <reference field="1" count="1">
            <x v="651"/>
          </reference>
        </references>
      </pivotArea>
    </format>
    <format dxfId="1447">
      <pivotArea dataOnly="0" labelOnly="1" outline="0" fieldPosition="0">
        <references count="1">
          <reference field="1" count="1">
            <x v="652"/>
          </reference>
        </references>
      </pivotArea>
    </format>
    <format dxfId="1446">
      <pivotArea dataOnly="0" labelOnly="1" outline="0" fieldPosition="0">
        <references count="1">
          <reference field="1" count="1">
            <x v="653"/>
          </reference>
        </references>
      </pivotArea>
    </format>
    <format dxfId="1445">
      <pivotArea dataOnly="0" labelOnly="1" outline="0" fieldPosition="0">
        <references count="1">
          <reference field="1" count="1">
            <x v="654"/>
          </reference>
        </references>
      </pivotArea>
    </format>
    <format dxfId="1444">
      <pivotArea dataOnly="0" labelOnly="1" outline="0" fieldPosition="0">
        <references count="1">
          <reference field="1" count="1">
            <x v="655"/>
          </reference>
        </references>
      </pivotArea>
    </format>
    <format dxfId="1443">
      <pivotArea dataOnly="0" labelOnly="1" outline="0" fieldPosition="0">
        <references count="1">
          <reference field="1" count="1">
            <x v="656"/>
          </reference>
        </references>
      </pivotArea>
    </format>
    <format dxfId="1442">
      <pivotArea dataOnly="0" labelOnly="1" outline="0" fieldPosition="0">
        <references count="1">
          <reference field="1" count="1">
            <x v="657"/>
          </reference>
        </references>
      </pivotArea>
    </format>
    <format dxfId="1441">
      <pivotArea dataOnly="0" labelOnly="1" outline="0" fieldPosition="0">
        <references count="1">
          <reference field="1" count="1">
            <x v="658"/>
          </reference>
        </references>
      </pivotArea>
    </format>
    <format dxfId="1440">
      <pivotArea dataOnly="0" labelOnly="1" outline="0" fieldPosition="0">
        <references count="1">
          <reference field="1" count="1">
            <x v="659"/>
          </reference>
        </references>
      </pivotArea>
    </format>
    <format dxfId="1439">
      <pivotArea dataOnly="0" labelOnly="1" outline="0" fieldPosition="0">
        <references count="1">
          <reference field="1" count="1">
            <x v="660"/>
          </reference>
        </references>
      </pivotArea>
    </format>
    <format dxfId="1438">
      <pivotArea dataOnly="0" labelOnly="1" outline="0" fieldPosition="0">
        <references count="1">
          <reference field="1" count="1">
            <x v="661"/>
          </reference>
        </references>
      </pivotArea>
    </format>
    <format dxfId="1437">
      <pivotArea dataOnly="0" labelOnly="1" outline="0" fieldPosition="0">
        <references count="1">
          <reference field="1" count="1">
            <x v="662"/>
          </reference>
        </references>
      </pivotArea>
    </format>
    <format dxfId="1436">
      <pivotArea dataOnly="0" labelOnly="1" outline="0" fieldPosition="0">
        <references count="1">
          <reference field="1" count="1">
            <x v="663"/>
          </reference>
        </references>
      </pivotArea>
    </format>
    <format dxfId="1435">
      <pivotArea dataOnly="0" labelOnly="1" outline="0" fieldPosition="0">
        <references count="1">
          <reference field="1" count="1">
            <x v="664"/>
          </reference>
        </references>
      </pivotArea>
    </format>
    <format dxfId="1434">
      <pivotArea dataOnly="0" labelOnly="1" outline="0" fieldPosition="0">
        <references count="1">
          <reference field="1" count="1">
            <x v="665"/>
          </reference>
        </references>
      </pivotArea>
    </format>
    <format dxfId="1433">
      <pivotArea dataOnly="0" labelOnly="1" outline="0" fieldPosition="0">
        <references count="1">
          <reference field="1" count="1">
            <x v="666"/>
          </reference>
        </references>
      </pivotArea>
    </format>
    <format dxfId="1432">
      <pivotArea dataOnly="0" labelOnly="1" outline="0" fieldPosition="0">
        <references count="1">
          <reference field="1" count="1">
            <x v="667"/>
          </reference>
        </references>
      </pivotArea>
    </format>
    <format dxfId="1431">
      <pivotArea dataOnly="0" labelOnly="1" outline="0" fieldPosition="0">
        <references count="1">
          <reference field="1" count="1">
            <x v="668"/>
          </reference>
        </references>
      </pivotArea>
    </format>
    <format dxfId="1430">
      <pivotArea dataOnly="0" labelOnly="1" outline="0" fieldPosition="0">
        <references count="1">
          <reference field="1" count="1">
            <x v="669"/>
          </reference>
        </references>
      </pivotArea>
    </format>
    <format dxfId="1429">
      <pivotArea dataOnly="0" labelOnly="1" outline="0" fieldPosition="0">
        <references count="1">
          <reference field="1" count="1">
            <x v="670"/>
          </reference>
        </references>
      </pivotArea>
    </format>
    <format dxfId="1428">
      <pivotArea dataOnly="0" labelOnly="1" outline="0" fieldPosition="0">
        <references count="1">
          <reference field="1" count="1">
            <x v="671"/>
          </reference>
        </references>
      </pivotArea>
    </format>
    <format dxfId="1427">
      <pivotArea dataOnly="0" labelOnly="1" outline="0" fieldPosition="0">
        <references count="1">
          <reference field="1" count="1">
            <x v="672"/>
          </reference>
        </references>
      </pivotArea>
    </format>
    <format dxfId="1426">
      <pivotArea dataOnly="0" labelOnly="1" outline="0" fieldPosition="0">
        <references count="1">
          <reference field="1" count="1">
            <x v="673"/>
          </reference>
        </references>
      </pivotArea>
    </format>
    <format dxfId="1425">
      <pivotArea dataOnly="0" labelOnly="1" outline="0" fieldPosition="0">
        <references count="1">
          <reference field="1" count="1">
            <x v="674"/>
          </reference>
        </references>
      </pivotArea>
    </format>
    <format dxfId="1424">
      <pivotArea dataOnly="0" labelOnly="1" outline="0" fieldPosition="0">
        <references count="1">
          <reference field="1" count="1">
            <x v="675"/>
          </reference>
        </references>
      </pivotArea>
    </format>
    <format dxfId="1423">
      <pivotArea dataOnly="0" labelOnly="1" outline="0" fieldPosition="0">
        <references count="1">
          <reference field="1" count="1">
            <x v="676"/>
          </reference>
        </references>
      </pivotArea>
    </format>
    <format dxfId="1422">
      <pivotArea dataOnly="0" labelOnly="1" outline="0" fieldPosition="0">
        <references count="1">
          <reference field="1" count="1">
            <x v="677"/>
          </reference>
        </references>
      </pivotArea>
    </format>
    <format dxfId="1421">
      <pivotArea dataOnly="0" labelOnly="1" outline="0" fieldPosition="0">
        <references count="1">
          <reference field="1" count="1">
            <x v="678"/>
          </reference>
        </references>
      </pivotArea>
    </format>
    <format dxfId="1420">
      <pivotArea dataOnly="0" labelOnly="1" outline="0" fieldPosition="0">
        <references count="1">
          <reference field="1" count="1">
            <x v="679"/>
          </reference>
        </references>
      </pivotArea>
    </format>
    <format dxfId="1419">
      <pivotArea dataOnly="0" labelOnly="1" outline="0" fieldPosition="0">
        <references count="1">
          <reference field="1" count="1">
            <x v="680"/>
          </reference>
        </references>
      </pivotArea>
    </format>
    <format dxfId="1418">
      <pivotArea dataOnly="0" labelOnly="1" outline="0" fieldPosition="0">
        <references count="1">
          <reference field="1" count="1">
            <x v="681"/>
          </reference>
        </references>
      </pivotArea>
    </format>
    <format dxfId="1417">
      <pivotArea dataOnly="0" labelOnly="1" outline="0" fieldPosition="0">
        <references count="1">
          <reference field="1" count="1">
            <x v="682"/>
          </reference>
        </references>
      </pivotArea>
    </format>
    <format dxfId="1416">
      <pivotArea dataOnly="0" labelOnly="1" outline="0" fieldPosition="0">
        <references count="1">
          <reference field="1" count="1">
            <x v="683"/>
          </reference>
        </references>
      </pivotArea>
    </format>
    <format dxfId="1415">
      <pivotArea dataOnly="0" labelOnly="1" outline="0" fieldPosition="0">
        <references count="1">
          <reference field="1" count="1">
            <x v="684"/>
          </reference>
        </references>
      </pivotArea>
    </format>
    <format dxfId="1414">
      <pivotArea dataOnly="0" labelOnly="1" outline="0" fieldPosition="0">
        <references count="1">
          <reference field="1" count="1">
            <x v="685"/>
          </reference>
        </references>
      </pivotArea>
    </format>
    <format dxfId="1413">
      <pivotArea dataOnly="0" labelOnly="1" outline="0" fieldPosition="0">
        <references count="1">
          <reference field="1" count="1">
            <x v="686"/>
          </reference>
        </references>
      </pivotArea>
    </format>
    <format dxfId="1412">
      <pivotArea dataOnly="0" labelOnly="1" outline="0" fieldPosition="0">
        <references count="1">
          <reference field="1" count="1">
            <x v="687"/>
          </reference>
        </references>
      </pivotArea>
    </format>
    <format dxfId="1411">
      <pivotArea dataOnly="0" labelOnly="1" outline="0" fieldPosition="0">
        <references count="1">
          <reference field="1" count="1">
            <x v="688"/>
          </reference>
        </references>
      </pivotArea>
    </format>
    <format dxfId="1410">
      <pivotArea dataOnly="0" labelOnly="1" outline="0" fieldPosition="0">
        <references count="1">
          <reference field="1" count="1">
            <x v="689"/>
          </reference>
        </references>
      </pivotArea>
    </format>
    <format dxfId="1409">
      <pivotArea dataOnly="0" labelOnly="1" outline="0" fieldPosition="0">
        <references count="1">
          <reference field="1" count="1">
            <x v="690"/>
          </reference>
        </references>
      </pivotArea>
    </format>
    <format dxfId="1408">
      <pivotArea dataOnly="0" labelOnly="1" outline="0" fieldPosition="0">
        <references count="1">
          <reference field="1" count="1">
            <x v="691"/>
          </reference>
        </references>
      </pivotArea>
    </format>
    <format dxfId="1407">
      <pivotArea dataOnly="0" labelOnly="1" outline="0" fieldPosition="0">
        <references count="1">
          <reference field="1" count="1">
            <x v="692"/>
          </reference>
        </references>
      </pivotArea>
    </format>
    <format dxfId="1406">
      <pivotArea dataOnly="0" labelOnly="1" outline="0" fieldPosition="0">
        <references count="1">
          <reference field="1" count="1">
            <x v="693"/>
          </reference>
        </references>
      </pivotArea>
    </format>
    <format dxfId="1405">
      <pivotArea dataOnly="0" labelOnly="1" outline="0" fieldPosition="0">
        <references count="1">
          <reference field="1" count="1">
            <x v="694"/>
          </reference>
        </references>
      </pivotArea>
    </format>
    <format dxfId="1404">
      <pivotArea dataOnly="0" labelOnly="1" outline="0" fieldPosition="0">
        <references count="1">
          <reference field="1" count="1">
            <x v="695"/>
          </reference>
        </references>
      </pivotArea>
    </format>
    <format dxfId="1403">
      <pivotArea dataOnly="0" labelOnly="1" outline="0" fieldPosition="0">
        <references count="1">
          <reference field="1" count="1">
            <x v="696"/>
          </reference>
        </references>
      </pivotArea>
    </format>
    <format dxfId="1402">
      <pivotArea dataOnly="0" labelOnly="1" outline="0" fieldPosition="0">
        <references count="1">
          <reference field="1" count="1">
            <x v="697"/>
          </reference>
        </references>
      </pivotArea>
    </format>
    <format dxfId="1401">
      <pivotArea dataOnly="0" labelOnly="1" outline="0" fieldPosition="0">
        <references count="1">
          <reference field="1" count="1">
            <x v="698"/>
          </reference>
        </references>
      </pivotArea>
    </format>
    <format dxfId="1400">
      <pivotArea dataOnly="0" labelOnly="1" outline="0" fieldPosition="0">
        <references count="1">
          <reference field="1" count="1">
            <x v="699"/>
          </reference>
        </references>
      </pivotArea>
    </format>
    <format dxfId="1399">
      <pivotArea dataOnly="0" labelOnly="1" outline="0" fieldPosition="0">
        <references count="1">
          <reference field="1" count="1">
            <x v="700"/>
          </reference>
        </references>
      </pivotArea>
    </format>
    <format dxfId="1398">
      <pivotArea dataOnly="0" labelOnly="1" outline="0" fieldPosition="0">
        <references count="1">
          <reference field="1" count="1">
            <x v="701"/>
          </reference>
        </references>
      </pivotArea>
    </format>
    <format dxfId="1397">
      <pivotArea dataOnly="0" labelOnly="1" outline="0" fieldPosition="0">
        <references count="1">
          <reference field="1" count="1">
            <x v="702"/>
          </reference>
        </references>
      </pivotArea>
    </format>
    <format dxfId="1396">
      <pivotArea dataOnly="0" labelOnly="1" outline="0" fieldPosition="0">
        <references count="1">
          <reference field="1" count="1">
            <x v="703"/>
          </reference>
        </references>
      </pivotArea>
    </format>
    <format dxfId="1395">
      <pivotArea dataOnly="0" labelOnly="1" outline="0" fieldPosition="0">
        <references count="1">
          <reference field="1" count="1">
            <x v="704"/>
          </reference>
        </references>
      </pivotArea>
    </format>
    <format dxfId="1394">
      <pivotArea dataOnly="0" labelOnly="1" outline="0" fieldPosition="0">
        <references count="1">
          <reference field="1" count="1">
            <x v="705"/>
          </reference>
        </references>
      </pivotArea>
    </format>
    <format dxfId="1393">
      <pivotArea dataOnly="0" labelOnly="1" outline="0" fieldPosition="0">
        <references count="1">
          <reference field="1" count="1">
            <x v="706"/>
          </reference>
        </references>
      </pivotArea>
    </format>
    <format dxfId="1392">
      <pivotArea dataOnly="0" labelOnly="1" outline="0" fieldPosition="0">
        <references count="1">
          <reference field="1" count="1">
            <x v="707"/>
          </reference>
        </references>
      </pivotArea>
    </format>
    <format dxfId="1391">
      <pivotArea dataOnly="0" labelOnly="1" outline="0" fieldPosition="0">
        <references count="1">
          <reference field="1" count="1">
            <x v="708"/>
          </reference>
        </references>
      </pivotArea>
    </format>
    <format dxfId="1390">
      <pivotArea dataOnly="0" labelOnly="1" outline="0" fieldPosition="0">
        <references count="1">
          <reference field="1" count="1">
            <x v="709"/>
          </reference>
        </references>
      </pivotArea>
    </format>
    <format dxfId="1389">
      <pivotArea dataOnly="0" labelOnly="1" outline="0" fieldPosition="0">
        <references count="1">
          <reference field="1" count="1">
            <x v="710"/>
          </reference>
        </references>
      </pivotArea>
    </format>
    <format dxfId="1388">
      <pivotArea dataOnly="0" labelOnly="1" outline="0" fieldPosition="0">
        <references count="1">
          <reference field="1" count="1">
            <x v="711"/>
          </reference>
        </references>
      </pivotArea>
    </format>
    <format dxfId="1387">
      <pivotArea dataOnly="0" labelOnly="1" outline="0" fieldPosition="0">
        <references count="1">
          <reference field="1" count="1">
            <x v="712"/>
          </reference>
        </references>
      </pivotArea>
    </format>
    <format dxfId="1386">
      <pivotArea dataOnly="0" labelOnly="1" outline="0" fieldPosition="0">
        <references count="1">
          <reference field="1" count="1">
            <x v="713"/>
          </reference>
        </references>
      </pivotArea>
    </format>
    <format dxfId="1385">
      <pivotArea dataOnly="0" labelOnly="1" outline="0" fieldPosition="0">
        <references count="1">
          <reference field="1" count="1">
            <x v="714"/>
          </reference>
        </references>
      </pivotArea>
    </format>
    <format dxfId="1384">
      <pivotArea dataOnly="0" labelOnly="1" outline="0" fieldPosition="0">
        <references count="1">
          <reference field="1" count="1">
            <x v="715"/>
          </reference>
        </references>
      </pivotArea>
    </format>
    <format dxfId="1383">
      <pivotArea dataOnly="0" labelOnly="1" outline="0" fieldPosition="0">
        <references count="1">
          <reference field="1" count="1">
            <x v="716"/>
          </reference>
        </references>
      </pivotArea>
    </format>
    <format dxfId="1382">
      <pivotArea dataOnly="0" labelOnly="1" outline="0" fieldPosition="0">
        <references count="1">
          <reference field="1" count="1">
            <x v="717"/>
          </reference>
        </references>
      </pivotArea>
    </format>
    <format dxfId="1381">
      <pivotArea dataOnly="0" labelOnly="1" outline="0" fieldPosition="0">
        <references count="1">
          <reference field="1" count="1">
            <x v="718"/>
          </reference>
        </references>
      </pivotArea>
    </format>
    <format dxfId="1380">
      <pivotArea dataOnly="0" labelOnly="1" outline="0" fieldPosition="0">
        <references count="1">
          <reference field="1" count="1">
            <x v="719"/>
          </reference>
        </references>
      </pivotArea>
    </format>
    <format dxfId="1379">
      <pivotArea dataOnly="0" labelOnly="1" outline="0" fieldPosition="0">
        <references count="1">
          <reference field="1" count="1">
            <x v="720"/>
          </reference>
        </references>
      </pivotArea>
    </format>
    <format dxfId="1378">
      <pivotArea dataOnly="0" labelOnly="1" outline="0" fieldPosition="0">
        <references count="1">
          <reference field="1" count="1">
            <x v="721"/>
          </reference>
        </references>
      </pivotArea>
    </format>
    <format dxfId="1377">
      <pivotArea dataOnly="0" labelOnly="1" outline="0" fieldPosition="0">
        <references count="1">
          <reference field="1" count="1">
            <x v="722"/>
          </reference>
        </references>
      </pivotArea>
    </format>
    <format dxfId="1376">
      <pivotArea dataOnly="0" labelOnly="1" outline="0" fieldPosition="0">
        <references count="1">
          <reference field="1" count="1">
            <x v="723"/>
          </reference>
        </references>
      </pivotArea>
    </format>
    <format dxfId="1375">
      <pivotArea dataOnly="0" labelOnly="1" outline="0" fieldPosition="0">
        <references count="1">
          <reference field="1" count="1">
            <x v="724"/>
          </reference>
        </references>
      </pivotArea>
    </format>
    <format dxfId="1374">
      <pivotArea dataOnly="0" labelOnly="1" outline="0" fieldPosition="0">
        <references count="1">
          <reference field="1" count="1">
            <x v="725"/>
          </reference>
        </references>
      </pivotArea>
    </format>
    <format dxfId="1373">
      <pivotArea dataOnly="0" labelOnly="1" outline="0" fieldPosition="0">
        <references count="1">
          <reference field="1" count="1">
            <x v="726"/>
          </reference>
        </references>
      </pivotArea>
    </format>
    <format dxfId="1372">
      <pivotArea dataOnly="0" labelOnly="1" outline="0" fieldPosition="0">
        <references count="1">
          <reference field="1" count="1">
            <x v="727"/>
          </reference>
        </references>
      </pivotArea>
    </format>
    <format dxfId="1371">
      <pivotArea dataOnly="0" labelOnly="1" outline="0" fieldPosition="0">
        <references count="1">
          <reference field="1" count="1">
            <x v="728"/>
          </reference>
        </references>
      </pivotArea>
    </format>
    <format dxfId="1370">
      <pivotArea dataOnly="0" labelOnly="1" outline="0" fieldPosition="0">
        <references count="1">
          <reference field="1" count="1">
            <x v="729"/>
          </reference>
        </references>
      </pivotArea>
    </format>
    <format dxfId="1369">
      <pivotArea dataOnly="0" labelOnly="1" outline="0" fieldPosition="0">
        <references count="1">
          <reference field="1" count="1">
            <x v="730"/>
          </reference>
        </references>
      </pivotArea>
    </format>
    <format dxfId="1368">
      <pivotArea dataOnly="0" labelOnly="1" outline="0" fieldPosition="0">
        <references count="1">
          <reference field="1" count="1">
            <x v="731"/>
          </reference>
        </references>
      </pivotArea>
    </format>
    <format dxfId="1367">
      <pivotArea dataOnly="0" labelOnly="1" outline="0" fieldPosition="0">
        <references count="1">
          <reference field="1" count="1">
            <x v="732"/>
          </reference>
        </references>
      </pivotArea>
    </format>
    <format dxfId="1366">
      <pivotArea dataOnly="0" labelOnly="1" outline="0" fieldPosition="0">
        <references count="1">
          <reference field="1" count="1">
            <x v="733"/>
          </reference>
        </references>
      </pivotArea>
    </format>
    <format dxfId="1365">
      <pivotArea dataOnly="0" labelOnly="1" outline="0" fieldPosition="0">
        <references count="1">
          <reference field="1" count="1">
            <x v="734"/>
          </reference>
        </references>
      </pivotArea>
    </format>
    <format dxfId="1364">
      <pivotArea dataOnly="0" labelOnly="1" outline="0" fieldPosition="0">
        <references count="1">
          <reference field="1" count="1">
            <x v="735"/>
          </reference>
        </references>
      </pivotArea>
    </format>
    <format dxfId="1363">
      <pivotArea dataOnly="0" labelOnly="1" outline="0" fieldPosition="0">
        <references count="1">
          <reference field="1" count="1">
            <x v="736"/>
          </reference>
        </references>
      </pivotArea>
    </format>
    <format dxfId="1362">
      <pivotArea dataOnly="0" labelOnly="1" outline="0" fieldPosition="0">
        <references count="1">
          <reference field="1" count="1">
            <x v="737"/>
          </reference>
        </references>
      </pivotArea>
    </format>
    <format dxfId="1361">
      <pivotArea dataOnly="0" labelOnly="1" outline="0" fieldPosition="0">
        <references count="1">
          <reference field="1" count="1">
            <x v="738"/>
          </reference>
        </references>
      </pivotArea>
    </format>
    <format dxfId="1360">
      <pivotArea dataOnly="0" labelOnly="1" outline="0" fieldPosition="0">
        <references count="1">
          <reference field="1" count="1">
            <x v="739"/>
          </reference>
        </references>
      </pivotArea>
    </format>
    <format dxfId="1359">
      <pivotArea dataOnly="0" labelOnly="1" outline="0" fieldPosition="0">
        <references count="1">
          <reference field="1" count="1">
            <x v="740"/>
          </reference>
        </references>
      </pivotArea>
    </format>
    <format dxfId="1358">
      <pivotArea dataOnly="0" labelOnly="1" outline="0" fieldPosition="0">
        <references count="1">
          <reference field="1" count="1">
            <x v="741"/>
          </reference>
        </references>
      </pivotArea>
    </format>
    <format dxfId="1357">
      <pivotArea dataOnly="0" labelOnly="1" outline="0" fieldPosition="0">
        <references count="1">
          <reference field="1" count="1">
            <x v="742"/>
          </reference>
        </references>
      </pivotArea>
    </format>
    <format dxfId="1356">
      <pivotArea dataOnly="0" labelOnly="1" outline="0" fieldPosition="0">
        <references count="1">
          <reference field="1" count="1">
            <x v="743"/>
          </reference>
        </references>
      </pivotArea>
    </format>
    <format dxfId="1355">
      <pivotArea dataOnly="0" labelOnly="1" outline="0" fieldPosition="0">
        <references count="1">
          <reference field="1" count="1">
            <x v="744"/>
          </reference>
        </references>
      </pivotArea>
    </format>
    <format dxfId="1354">
      <pivotArea dataOnly="0" labelOnly="1" outline="0" fieldPosition="0">
        <references count="1">
          <reference field="1" count="1">
            <x v="745"/>
          </reference>
        </references>
      </pivotArea>
    </format>
    <format dxfId="1353">
      <pivotArea dataOnly="0" labelOnly="1" outline="0" fieldPosition="0">
        <references count="1">
          <reference field="1" count="1">
            <x v="746"/>
          </reference>
        </references>
      </pivotArea>
    </format>
    <format dxfId="1352">
      <pivotArea dataOnly="0" labelOnly="1" outline="0" fieldPosition="0">
        <references count="1">
          <reference field="1" count="1">
            <x v="747"/>
          </reference>
        </references>
      </pivotArea>
    </format>
    <format dxfId="1351">
      <pivotArea dataOnly="0" labelOnly="1" outline="0" fieldPosition="0">
        <references count="1">
          <reference field="1" count="1">
            <x v="748"/>
          </reference>
        </references>
      </pivotArea>
    </format>
    <format dxfId="1350">
      <pivotArea dataOnly="0" labelOnly="1" outline="0" fieldPosition="0">
        <references count="1">
          <reference field="1" count="1">
            <x v="749"/>
          </reference>
        </references>
      </pivotArea>
    </format>
    <format dxfId="1349">
      <pivotArea dataOnly="0" labelOnly="1" outline="0" fieldPosition="0">
        <references count="1">
          <reference field="1" count="1">
            <x v="750"/>
          </reference>
        </references>
      </pivotArea>
    </format>
    <format dxfId="1348">
      <pivotArea dataOnly="0" labelOnly="1" outline="0" fieldPosition="0">
        <references count="1">
          <reference field="1" count="1">
            <x v="751"/>
          </reference>
        </references>
      </pivotArea>
    </format>
    <format dxfId="1347">
      <pivotArea dataOnly="0" labelOnly="1" outline="0" fieldPosition="0">
        <references count="1">
          <reference field="1" count="1">
            <x v="752"/>
          </reference>
        </references>
      </pivotArea>
    </format>
    <format dxfId="1346">
      <pivotArea dataOnly="0" labelOnly="1" outline="0" fieldPosition="0">
        <references count="1">
          <reference field="1" count="1">
            <x v="753"/>
          </reference>
        </references>
      </pivotArea>
    </format>
    <format dxfId="1345">
      <pivotArea dataOnly="0" labelOnly="1" outline="0" fieldPosition="0">
        <references count="1">
          <reference field="1" count="1">
            <x v="754"/>
          </reference>
        </references>
      </pivotArea>
    </format>
    <format dxfId="1344">
      <pivotArea dataOnly="0" labelOnly="1" outline="0" fieldPosition="0">
        <references count="1">
          <reference field="1" count="1">
            <x v="755"/>
          </reference>
        </references>
      </pivotArea>
    </format>
    <format dxfId="1343">
      <pivotArea dataOnly="0" labelOnly="1" outline="0" fieldPosition="0">
        <references count="1">
          <reference field="1" count="1">
            <x v="756"/>
          </reference>
        </references>
      </pivotArea>
    </format>
    <format dxfId="1342">
      <pivotArea dataOnly="0" labelOnly="1" outline="0" fieldPosition="0">
        <references count="1">
          <reference field="1" count="1">
            <x v="757"/>
          </reference>
        </references>
      </pivotArea>
    </format>
    <format dxfId="1341">
      <pivotArea dataOnly="0" labelOnly="1" outline="0" fieldPosition="0">
        <references count="1">
          <reference field="1" count="1">
            <x v="758"/>
          </reference>
        </references>
      </pivotArea>
    </format>
    <format dxfId="1340">
      <pivotArea dataOnly="0" labelOnly="1" outline="0" fieldPosition="0">
        <references count="1">
          <reference field="1" count="1">
            <x v="759"/>
          </reference>
        </references>
      </pivotArea>
    </format>
    <format dxfId="1339">
      <pivotArea dataOnly="0" labelOnly="1" outline="0" fieldPosition="0">
        <references count="1">
          <reference field="1" count="1">
            <x v="760"/>
          </reference>
        </references>
      </pivotArea>
    </format>
    <format dxfId="1338">
      <pivotArea dataOnly="0" labelOnly="1" outline="0" fieldPosition="0">
        <references count="1">
          <reference field="1" count="1">
            <x v="761"/>
          </reference>
        </references>
      </pivotArea>
    </format>
    <format dxfId="1337">
      <pivotArea dataOnly="0" labelOnly="1" outline="0" fieldPosition="0">
        <references count="1">
          <reference field="1" count="1">
            <x v="762"/>
          </reference>
        </references>
      </pivotArea>
    </format>
    <format dxfId="1336">
      <pivotArea dataOnly="0" labelOnly="1" outline="0" fieldPosition="0">
        <references count="1">
          <reference field="1" count="1">
            <x v="763"/>
          </reference>
        </references>
      </pivotArea>
    </format>
    <format dxfId="1335">
      <pivotArea dataOnly="0" labelOnly="1" outline="0" fieldPosition="0">
        <references count="1">
          <reference field="1" count="1">
            <x v="764"/>
          </reference>
        </references>
      </pivotArea>
    </format>
    <format dxfId="1334">
      <pivotArea dataOnly="0" labelOnly="1" outline="0" fieldPosition="0">
        <references count="1">
          <reference field="1" count="1">
            <x v="765"/>
          </reference>
        </references>
      </pivotArea>
    </format>
    <format dxfId="1333">
      <pivotArea dataOnly="0" labelOnly="1" outline="0" fieldPosition="0">
        <references count="1">
          <reference field="1" count="1">
            <x v="766"/>
          </reference>
        </references>
      </pivotArea>
    </format>
    <format dxfId="1332">
      <pivotArea dataOnly="0" labelOnly="1" outline="0" fieldPosition="0">
        <references count="1">
          <reference field="1" count="1">
            <x v="767"/>
          </reference>
        </references>
      </pivotArea>
    </format>
    <format dxfId="1331">
      <pivotArea dataOnly="0" labelOnly="1" outline="0" fieldPosition="0">
        <references count="1">
          <reference field="1" count="1">
            <x v="768"/>
          </reference>
        </references>
      </pivotArea>
    </format>
    <format dxfId="1330">
      <pivotArea dataOnly="0" labelOnly="1" outline="0" fieldPosition="0">
        <references count="1">
          <reference field="1" count="1">
            <x v="769"/>
          </reference>
        </references>
      </pivotArea>
    </format>
    <format dxfId="1329">
      <pivotArea dataOnly="0" labelOnly="1" outline="0" fieldPosition="0">
        <references count="1">
          <reference field="1" count="1">
            <x v="770"/>
          </reference>
        </references>
      </pivotArea>
    </format>
    <format dxfId="1328">
      <pivotArea dataOnly="0" labelOnly="1" outline="0" fieldPosition="0">
        <references count="1">
          <reference field="1" count="1">
            <x v="771"/>
          </reference>
        </references>
      </pivotArea>
    </format>
    <format dxfId="1327">
      <pivotArea dataOnly="0" labelOnly="1" outline="0" fieldPosition="0">
        <references count="1">
          <reference field="1" count="1">
            <x v="772"/>
          </reference>
        </references>
      </pivotArea>
    </format>
    <format dxfId="1326">
      <pivotArea dataOnly="0" labelOnly="1" outline="0" fieldPosition="0">
        <references count="1">
          <reference field="1" count="1">
            <x v="773"/>
          </reference>
        </references>
      </pivotArea>
    </format>
    <format dxfId="1325">
      <pivotArea dataOnly="0" labelOnly="1" outline="0" fieldPosition="0">
        <references count="1">
          <reference field="1" count="1">
            <x v="774"/>
          </reference>
        </references>
      </pivotArea>
    </format>
    <format dxfId="1324">
      <pivotArea dataOnly="0" labelOnly="1" outline="0" fieldPosition="0">
        <references count="1">
          <reference field="1" count="1">
            <x v="775"/>
          </reference>
        </references>
      </pivotArea>
    </format>
    <format dxfId="1323">
      <pivotArea dataOnly="0" labelOnly="1" outline="0" fieldPosition="0">
        <references count="1">
          <reference field="1" count="1">
            <x v="776"/>
          </reference>
        </references>
      </pivotArea>
    </format>
    <format dxfId="1322">
      <pivotArea dataOnly="0" labelOnly="1" outline="0" fieldPosition="0">
        <references count="1">
          <reference field="1" count="1">
            <x v="777"/>
          </reference>
        </references>
      </pivotArea>
    </format>
    <format dxfId="1321">
      <pivotArea dataOnly="0" labelOnly="1" outline="0" fieldPosition="0">
        <references count="1">
          <reference field="1" count="1">
            <x v="778"/>
          </reference>
        </references>
      </pivotArea>
    </format>
    <format dxfId="1320">
      <pivotArea dataOnly="0" labelOnly="1" outline="0" fieldPosition="0">
        <references count="1">
          <reference field="1" count="1">
            <x v="779"/>
          </reference>
        </references>
      </pivotArea>
    </format>
    <format dxfId="1319">
      <pivotArea dataOnly="0" labelOnly="1" outline="0" fieldPosition="0">
        <references count="1">
          <reference field="1" count="1">
            <x v="780"/>
          </reference>
        </references>
      </pivotArea>
    </format>
    <format dxfId="1318">
      <pivotArea dataOnly="0" labelOnly="1" outline="0" fieldPosition="0">
        <references count="1">
          <reference field="1" count="1">
            <x v="781"/>
          </reference>
        </references>
      </pivotArea>
    </format>
    <format dxfId="1317">
      <pivotArea dataOnly="0" labelOnly="1" outline="0" fieldPosition="0">
        <references count="1">
          <reference field="1" count="1">
            <x v="782"/>
          </reference>
        </references>
      </pivotArea>
    </format>
    <format dxfId="1316">
      <pivotArea dataOnly="0" labelOnly="1" outline="0" fieldPosition="0">
        <references count="1">
          <reference field="1" count="1">
            <x v="783"/>
          </reference>
        </references>
      </pivotArea>
    </format>
    <format dxfId="1315">
      <pivotArea dataOnly="0" labelOnly="1" outline="0" fieldPosition="0">
        <references count="1">
          <reference field="1" count="1">
            <x v="784"/>
          </reference>
        </references>
      </pivotArea>
    </format>
    <format dxfId="1314">
      <pivotArea dataOnly="0" labelOnly="1" outline="0" fieldPosition="0">
        <references count="1">
          <reference field="1" count="1">
            <x v="785"/>
          </reference>
        </references>
      </pivotArea>
    </format>
    <format dxfId="1313">
      <pivotArea dataOnly="0" labelOnly="1" outline="0" fieldPosition="0">
        <references count="1">
          <reference field="1" count="1">
            <x v="786"/>
          </reference>
        </references>
      </pivotArea>
    </format>
    <format dxfId="1312">
      <pivotArea dataOnly="0" labelOnly="1" outline="0" fieldPosition="0">
        <references count="1">
          <reference field="1" count="1">
            <x v="787"/>
          </reference>
        </references>
      </pivotArea>
    </format>
    <format dxfId="1311">
      <pivotArea dataOnly="0" labelOnly="1" outline="0" fieldPosition="0">
        <references count="1">
          <reference field="1" count="1">
            <x v="788"/>
          </reference>
        </references>
      </pivotArea>
    </format>
    <format dxfId="1310">
      <pivotArea dataOnly="0" labelOnly="1" outline="0" fieldPosition="0">
        <references count="1">
          <reference field="1" count="1">
            <x v="789"/>
          </reference>
        </references>
      </pivotArea>
    </format>
    <format dxfId="1309">
      <pivotArea dataOnly="0" labelOnly="1" outline="0" fieldPosition="0">
        <references count="1">
          <reference field="1" count="1">
            <x v="790"/>
          </reference>
        </references>
      </pivotArea>
    </format>
    <format dxfId="1308">
      <pivotArea dataOnly="0" labelOnly="1" outline="0" fieldPosition="0">
        <references count="1">
          <reference field="1" count="1">
            <x v="791"/>
          </reference>
        </references>
      </pivotArea>
    </format>
    <format dxfId="1307">
      <pivotArea dataOnly="0" labelOnly="1" outline="0" fieldPosition="0">
        <references count="1">
          <reference field="1" count="1">
            <x v="792"/>
          </reference>
        </references>
      </pivotArea>
    </format>
    <format dxfId="1306">
      <pivotArea dataOnly="0" labelOnly="1" outline="0" fieldPosition="0">
        <references count="1">
          <reference field="1" count="1">
            <x v="793"/>
          </reference>
        </references>
      </pivotArea>
    </format>
    <format dxfId="1305">
      <pivotArea dataOnly="0" labelOnly="1" outline="0" fieldPosition="0">
        <references count="1">
          <reference field="1" count="1">
            <x v="794"/>
          </reference>
        </references>
      </pivotArea>
    </format>
    <format dxfId="1304">
      <pivotArea dataOnly="0" labelOnly="1" outline="0" fieldPosition="0">
        <references count="1">
          <reference field="1" count="1">
            <x v="795"/>
          </reference>
        </references>
      </pivotArea>
    </format>
    <format dxfId="1303">
      <pivotArea dataOnly="0" labelOnly="1" outline="0" fieldPosition="0">
        <references count="1">
          <reference field="1" count="1">
            <x v="796"/>
          </reference>
        </references>
      </pivotArea>
    </format>
    <format dxfId="1302">
      <pivotArea dataOnly="0" labelOnly="1" outline="0" fieldPosition="0">
        <references count="1">
          <reference field="1" count="1">
            <x v="797"/>
          </reference>
        </references>
      </pivotArea>
    </format>
    <format dxfId="1301">
      <pivotArea dataOnly="0" labelOnly="1" outline="0" fieldPosition="0">
        <references count="1">
          <reference field="1" count="1">
            <x v="798"/>
          </reference>
        </references>
      </pivotArea>
    </format>
    <format dxfId="1300">
      <pivotArea dataOnly="0" labelOnly="1" outline="0" fieldPosition="0">
        <references count="1">
          <reference field="1" count="1">
            <x v="799"/>
          </reference>
        </references>
      </pivotArea>
    </format>
    <format dxfId="1299">
      <pivotArea dataOnly="0" labelOnly="1" outline="0" fieldPosition="0">
        <references count="1">
          <reference field="1" count="1">
            <x v="800"/>
          </reference>
        </references>
      </pivotArea>
    </format>
    <format dxfId="1298">
      <pivotArea dataOnly="0" labelOnly="1" outline="0" fieldPosition="0">
        <references count="1">
          <reference field="1" count="1">
            <x v="801"/>
          </reference>
        </references>
      </pivotArea>
    </format>
    <format dxfId="1297">
      <pivotArea dataOnly="0" labelOnly="1" outline="0" fieldPosition="0">
        <references count="1">
          <reference field="1" count="1">
            <x v="802"/>
          </reference>
        </references>
      </pivotArea>
    </format>
    <format dxfId="1296">
      <pivotArea dataOnly="0" labelOnly="1" outline="0" fieldPosition="0">
        <references count="1">
          <reference field="1" count="1">
            <x v="803"/>
          </reference>
        </references>
      </pivotArea>
    </format>
    <format dxfId="1295">
      <pivotArea dataOnly="0" labelOnly="1" outline="0" fieldPosition="0">
        <references count="1">
          <reference field="1" count="1">
            <x v="804"/>
          </reference>
        </references>
      </pivotArea>
    </format>
    <format dxfId="1294">
      <pivotArea dataOnly="0" labelOnly="1" outline="0" fieldPosition="0">
        <references count="1">
          <reference field="1" count="1">
            <x v="805"/>
          </reference>
        </references>
      </pivotArea>
    </format>
    <format dxfId="1293">
      <pivotArea dataOnly="0" labelOnly="1" outline="0" fieldPosition="0">
        <references count="1">
          <reference field="1" count="1">
            <x v="806"/>
          </reference>
        </references>
      </pivotArea>
    </format>
    <format dxfId="1292">
      <pivotArea dataOnly="0" labelOnly="1" outline="0" fieldPosition="0">
        <references count="1">
          <reference field="1" count="1">
            <x v="807"/>
          </reference>
        </references>
      </pivotArea>
    </format>
    <format dxfId="1291">
      <pivotArea dataOnly="0" labelOnly="1" outline="0" fieldPosition="0">
        <references count="1">
          <reference field="1" count="1">
            <x v="808"/>
          </reference>
        </references>
      </pivotArea>
    </format>
    <format dxfId="1290">
      <pivotArea dataOnly="0" labelOnly="1" outline="0" fieldPosition="0">
        <references count="1">
          <reference field="1" count="1">
            <x v="809"/>
          </reference>
        </references>
      </pivotArea>
    </format>
    <format dxfId="1289">
      <pivotArea dataOnly="0" labelOnly="1" outline="0" fieldPosition="0">
        <references count="1">
          <reference field="1" count="1">
            <x v="810"/>
          </reference>
        </references>
      </pivotArea>
    </format>
    <format dxfId="1288">
      <pivotArea dataOnly="0" labelOnly="1" outline="0" fieldPosition="0">
        <references count="1">
          <reference field="1" count="1">
            <x v="811"/>
          </reference>
        </references>
      </pivotArea>
    </format>
    <format dxfId="1287">
      <pivotArea dataOnly="0" labelOnly="1" outline="0" fieldPosition="0">
        <references count="1">
          <reference field="1" count="1">
            <x v="812"/>
          </reference>
        </references>
      </pivotArea>
    </format>
    <format dxfId="1286">
      <pivotArea dataOnly="0" labelOnly="1" outline="0" fieldPosition="0">
        <references count="1">
          <reference field="1" count="1">
            <x v="813"/>
          </reference>
        </references>
      </pivotArea>
    </format>
    <format dxfId="1285">
      <pivotArea dataOnly="0" labelOnly="1" outline="0" fieldPosition="0">
        <references count="1">
          <reference field="1" count="1">
            <x v="814"/>
          </reference>
        </references>
      </pivotArea>
    </format>
    <format dxfId="1284">
      <pivotArea dataOnly="0" labelOnly="1" outline="0" fieldPosition="0">
        <references count="1">
          <reference field="1" count="1">
            <x v="815"/>
          </reference>
        </references>
      </pivotArea>
    </format>
    <format dxfId="1283">
      <pivotArea dataOnly="0" labelOnly="1" outline="0" fieldPosition="0">
        <references count="1">
          <reference field="1" count="1">
            <x v="816"/>
          </reference>
        </references>
      </pivotArea>
    </format>
    <format dxfId="1282">
      <pivotArea dataOnly="0" labelOnly="1" outline="0" fieldPosition="0">
        <references count="1">
          <reference field="1" count="1">
            <x v="817"/>
          </reference>
        </references>
      </pivotArea>
    </format>
    <format dxfId="1281">
      <pivotArea dataOnly="0" labelOnly="1" outline="0" fieldPosition="0">
        <references count="1">
          <reference field="1" count="1">
            <x v="818"/>
          </reference>
        </references>
      </pivotArea>
    </format>
    <format dxfId="1280">
      <pivotArea dataOnly="0" labelOnly="1" outline="0" fieldPosition="0">
        <references count="1">
          <reference field="1" count="1">
            <x v="819"/>
          </reference>
        </references>
      </pivotArea>
    </format>
    <format dxfId="1279">
      <pivotArea dataOnly="0" labelOnly="1" outline="0" fieldPosition="0">
        <references count="1">
          <reference field="1" count="1">
            <x v="820"/>
          </reference>
        </references>
      </pivotArea>
    </format>
    <format dxfId="1278">
      <pivotArea dataOnly="0" labelOnly="1" outline="0" fieldPosition="0">
        <references count="1">
          <reference field="1" count="1">
            <x v="821"/>
          </reference>
        </references>
      </pivotArea>
    </format>
    <format dxfId="1277">
      <pivotArea dataOnly="0" labelOnly="1" outline="0" fieldPosition="0">
        <references count="1">
          <reference field="1" count="1">
            <x v="822"/>
          </reference>
        </references>
      </pivotArea>
    </format>
    <format dxfId="1276">
      <pivotArea dataOnly="0" labelOnly="1" outline="0" fieldPosition="0">
        <references count="1">
          <reference field="1" count="1">
            <x v="823"/>
          </reference>
        </references>
      </pivotArea>
    </format>
    <format dxfId="1275">
      <pivotArea dataOnly="0" labelOnly="1" outline="0" fieldPosition="0">
        <references count="1">
          <reference field="1" count="1">
            <x v="824"/>
          </reference>
        </references>
      </pivotArea>
    </format>
    <format dxfId="1274">
      <pivotArea dataOnly="0" labelOnly="1" outline="0" fieldPosition="0">
        <references count="1">
          <reference field="1" count="1">
            <x v="825"/>
          </reference>
        </references>
      </pivotArea>
    </format>
    <format dxfId="1273">
      <pivotArea dataOnly="0" labelOnly="1" outline="0" fieldPosition="0">
        <references count="1">
          <reference field="1" count="1">
            <x v="826"/>
          </reference>
        </references>
      </pivotArea>
    </format>
    <format dxfId="1272">
      <pivotArea dataOnly="0" labelOnly="1" outline="0" fieldPosition="0">
        <references count="1">
          <reference field="1" count="1">
            <x v="827"/>
          </reference>
        </references>
      </pivotArea>
    </format>
    <format dxfId="1271">
      <pivotArea dataOnly="0" labelOnly="1" outline="0" fieldPosition="0">
        <references count="1">
          <reference field="1" count="1">
            <x v="828"/>
          </reference>
        </references>
      </pivotArea>
    </format>
    <format dxfId="1270">
      <pivotArea dataOnly="0" labelOnly="1" outline="0" fieldPosition="0">
        <references count="1">
          <reference field="1" count="1">
            <x v="829"/>
          </reference>
        </references>
      </pivotArea>
    </format>
    <format dxfId="1269">
      <pivotArea dataOnly="0" labelOnly="1" outline="0" fieldPosition="0">
        <references count="1">
          <reference field="1" count="1">
            <x v="830"/>
          </reference>
        </references>
      </pivotArea>
    </format>
    <format dxfId="1268">
      <pivotArea dataOnly="0" labelOnly="1" outline="0" fieldPosition="0">
        <references count="1">
          <reference field="1" count="1">
            <x v="831"/>
          </reference>
        </references>
      </pivotArea>
    </format>
    <format dxfId="1267">
      <pivotArea dataOnly="0" labelOnly="1" outline="0" fieldPosition="0">
        <references count="1">
          <reference field="1" count="1">
            <x v="832"/>
          </reference>
        </references>
      </pivotArea>
    </format>
    <format dxfId="1266">
      <pivotArea dataOnly="0" labelOnly="1" outline="0" fieldPosition="0">
        <references count="1">
          <reference field="1" count="1">
            <x v="833"/>
          </reference>
        </references>
      </pivotArea>
    </format>
    <format dxfId="1265">
      <pivotArea dataOnly="0" labelOnly="1" outline="0" fieldPosition="0">
        <references count="1">
          <reference field="1" count="1">
            <x v="834"/>
          </reference>
        </references>
      </pivotArea>
    </format>
    <format dxfId="1264">
      <pivotArea dataOnly="0" labelOnly="1" outline="0" fieldPosition="0">
        <references count="1">
          <reference field="1" count="1">
            <x v="835"/>
          </reference>
        </references>
      </pivotArea>
    </format>
    <format dxfId="1263">
      <pivotArea dataOnly="0" labelOnly="1" outline="0" fieldPosition="0">
        <references count="1">
          <reference field="1" count="1">
            <x v="836"/>
          </reference>
        </references>
      </pivotArea>
    </format>
    <format dxfId="1262">
      <pivotArea dataOnly="0" labelOnly="1" outline="0" fieldPosition="0">
        <references count="1">
          <reference field="1" count="1">
            <x v="837"/>
          </reference>
        </references>
      </pivotArea>
    </format>
    <format dxfId="1261">
      <pivotArea dataOnly="0" labelOnly="1" outline="0" fieldPosition="0">
        <references count="1">
          <reference field="1" count="1">
            <x v="838"/>
          </reference>
        </references>
      </pivotArea>
    </format>
    <format dxfId="1260">
      <pivotArea dataOnly="0" labelOnly="1" outline="0" fieldPosition="0">
        <references count="1">
          <reference field="1" count="1">
            <x v="839"/>
          </reference>
        </references>
      </pivotArea>
    </format>
    <format dxfId="1259">
      <pivotArea dataOnly="0" labelOnly="1" outline="0" fieldPosition="0">
        <references count="1">
          <reference field="1" count="1">
            <x v="840"/>
          </reference>
        </references>
      </pivotArea>
    </format>
    <format dxfId="1258">
      <pivotArea dataOnly="0" labelOnly="1" outline="0" fieldPosition="0">
        <references count="1">
          <reference field="1" count="1">
            <x v="841"/>
          </reference>
        </references>
      </pivotArea>
    </format>
    <format dxfId="1257">
      <pivotArea dataOnly="0" labelOnly="1" outline="0" fieldPosition="0">
        <references count="1">
          <reference field="1" count="1">
            <x v="842"/>
          </reference>
        </references>
      </pivotArea>
    </format>
    <format dxfId="1256">
      <pivotArea dataOnly="0" labelOnly="1" outline="0" fieldPosition="0">
        <references count="1">
          <reference field="1" count="1">
            <x v="843"/>
          </reference>
        </references>
      </pivotArea>
    </format>
    <format dxfId="1255">
      <pivotArea dataOnly="0" labelOnly="1" outline="0" fieldPosition="0">
        <references count="1">
          <reference field="1" count="1">
            <x v="844"/>
          </reference>
        </references>
      </pivotArea>
    </format>
    <format dxfId="1254">
      <pivotArea dataOnly="0" labelOnly="1" outline="0" fieldPosition="0">
        <references count="1">
          <reference field="1" count="1">
            <x v="845"/>
          </reference>
        </references>
      </pivotArea>
    </format>
    <format dxfId="1253">
      <pivotArea dataOnly="0" labelOnly="1" outline="0" fieldPosition="0">
        <references count="1">
          <reference field="1" count="1">
            <x v="846"/>
          </reference>
        </references>
      </pivotArea>
    </format>
    <format dxfId="1252">
      <pivotArea dataOnly="0" labelOnly="1" outline="0" fieldPosition="0">
        <references count="1">
          <reference field="1" count="1">
            <x v="847"/>
          </reference>
        </references>
      </pivotArea>
    </format>
    <format dxfId="1251">
      <pivotArea dataOnly="0" labelOnly="1" outline="0" fieldPosition="0">
        <references count="1">
          <reference field="1" count="1">
            <x v="848"/>
          </reference>
        </references>
      </pivotArea>
    </format>
    <format dxfId="1250">
      <pivotArea dataOnly="0" labelOnly="1" outline="0" fieldPosition="0">
        <references count="1">
          <reference field="1" count="1">
            <x v="849"/>
          </reference>
        </references>
      </pivotArea>
    </format>
    <format dxfId="1249">
      <pivotArea dataOnly="0" labelOnly="1" outline="0" fieldPosition="0">
        <references count="1">
          <reference field="1" count="1">
            <x v="850"/>
          </reference>
        </references>
      </pivotArea>
    </format>
    <format dxfId="1248">
      <pivotArea dataOnly="0" labelOnly="1" outline="0" fieldPosition="0">
        <references count="1">
          <reference field="1" count="1">
            <x v="851"/>
          </reference>
        </references>
      </pivotArea>
    </format>
    <format dxfId="1247">
      <pivotArea dataOnly="0" labelOnly="1" outline="0" fieldPosition="0">
        <references count="1">
          <reference field="1" count="1">
            <x v="852"/>
          </reference>
        </references>
      </pivotArea>
    </format>
    <format dxfId="1246">
      <pivotArea dataOnly="0" labelOnly="1" outline="0" fieldPosition="0">
        <references count="1">
          <reference field="1" count="1">
            <x v="853"/>
          </reference>
        </references>
      </pivotArea>
    </format>
    <format dxfId="1245">
      <pivotArea dataOnly="0" labelOnly="1" outline="0" fieldPosition="0">
        <references count="1">
          <reference field="1" count="1">
            <x v="854"/>
          </reference>
        </references>
      </pivotArea>
    </format>
    <format dxfId="1244">
      <pivotArea dataOnly="0" labelOnly="1" outline="0" fieldPosition="0">
        <references count="1">
          <reference field="1" count="1">
            <x v="855"/>
          </reference>
        </references>
      </pivotArea>
    </format>
    <format dxfId="1243">
      <pivotArea dataOnly="0" labelOnly="1" outline="0" fieldPosition="0">
        <references count="1">
          <reference field="1" count="1">
            <x v="856"/>
          </reference>
        </references>
      </pivotArea>
    </format>
    <format dxfId="1242">
      <pivotArea dataOnly="0" labelOnly="1" outline="0" fieldPosition="0">
        <references count="1">
          <reference field="1" count="1">
            <x v="857"/>
          </reference>
        </references>
      </pivotArea>
    </format>
    <format dxfId="1241">
      <pivotArea dataOnly="0" labelOnly="1" outline="0" fieldPosition="0">
        <references count="1">
          <reference field="1" count="1">
            <x v="858"/>
          </reference>
        </references>
      </pivotArea>
    </format>
    <format dxfId="1240">
      <pivotArea dataOnly="0" labelOnly="1" outline="0" fieldPosition="0">
        <references count="1">
          <reference field="1" count="1">
            <x v="859"/>
          </reference>
        </references>
      </pivotArea>
    </format>
    <format dxfId="1239">
      <pivotArea dataOnly="0" labelOnly="1" outline="0" fieldPosition="0">
        <references count="1">
          <reference field="1" count="1">
            <x v="860"/>
          </reference>
        </references>
      </pivotArea>
    </format>
    <format dxfId="1238">
      <pivotArea dataOnly="0" labelOnly="1" outline="0" fieldPosition="0">
        <references count="1">
          <reference field="1" count="1">
            <x v="861"/>
          </reference>
        </references>
      </pivotArea>
    </format>
    <format dxfId="1237">
      <pivotArea dataOnly="0" labelOnly="1" outline="0" fieldPosition="0">
        <references count="1">
          <reference field="1" count="1">
            <x v="862"/>
          </reference>
        </references>
      </pivotArea>
    </format>
    <format dxfId="1236">
      <pivotArea dataOnly="0" labelOnly="1" outline="0" fieldPosition="0">
        <references count="1">
          <reference field="1" count="1">
            <x v="863"/>
          </reference>
        </references>
      </pivotArea>
    </format>
    <format dxfId="1235">
      <pivotArea dataOnly="0" labelOnly="1" outline="0" fieldPosition="0">
        <references count="1">
          <reference field="1" count="1">
            <x v="864"/>
          </reference>
        </references>
      </pivotArea>
    </format>
    <format dxfId="1234">
      <pivotArea dataOnly="0" labelOnly="1" outline="0" fieldPosition="0">
        <references count="1">
          <reference field="1" count="1">
            <x v="865"/>
          </reference>
        </references>
      </pivotArea>
    </format>
    <format dxfId="1233">
      <pivotArea dataOnly="0" labelOnly="1" outline="0" fieldPosition="0">
        <references count="1">
          <reference field="1" count="1">
            <x v="866"/>
          </reference>
        </references>
      </pivotArea>
    </format>
    <format dxfId="1232">
      <pivotArea dataOnly="0" labelOnly="1" outline="0" fieldPosition="0">
        <references count="1">
          <reference field="1" count="1">
            <x v="867"/>
          </reference>
        </references>
      </pivotArea>
    </format>
    <format dxfId="1231">
      <pivotArea dataOnly="0" labelOnly="1" outline="0" fieldPosition="0">
        <references count="1">
          <reference field="1" count="1">
            <x v="868"/>
          </reference>
        </references>
      </pivotArea>
    </format>
    <format dxfId="1230">
      <pivotArea dataOnly="0" labelOnly="1" outline="0" fieldPosition="0">
        <references count="1">
          <reference field="1" count="1">
            <x v="869"/>
          </reference>
        </references>
      </pivotArea>
    </format>
    <format dxfId="1229">
      <pivotArea dataOnly="0" labelOnly="1" outline="0" fieldPosition="0">
        <references count="1">
          <reference field="1" count="1">
            <x v="870"/>
          </reference>
        </references>
      </pivotArea>
    </format>
    <format dxfId="1228">
      <pivotArea dataOnly="0" labelOnly="1" outline="0" fieldPosition="0">
        <references count="1">
          <reference field="1" count="1">
            <x v="871"/>
          </reference>
        </references>
      </pivotArea>
    </format>
    <format dxfId="1227">
      <pivotArea dataOnly="0" labelOnly="1" outline="0" fieldPosition="0">
        <references count="1">
          <reference field="1" count="1">
            <x v="872"/>
          </reference>
        </references>
      </pivotArea>
    </format>
    <format dxfId="1226">
      <pivotArea dataOnly="0" labelOnly="1" outline="0" fieldPosition="0">
        <references count="1">
          <reference field="1" count="1">
            <x v="873"/>
          </reference>
        </references>
      </pivotArea>
    </format>
    <format dxfId="1225">
      <pivotArea dataOnly="0" labelOnly="1" outline="0" fieldPosition="0">
        <references count="1">
          <reference field="1" count="1">
            <x v="874"/>
          </reference>
        </references>
      </pivotArea>
    </format>
    <format dxfId="1224">
      <pivotArea dataOnly="0" labelOnly="1" outline="0" fieldPosition="0">
        <references count="1">
          <reference field="1" count="1">
            <x v="875"/>
          </reference>
        </references>
      </pivotArea>
    </format>
    <format dxfId="1223">
      <pivotArea dataOnly="0" labelOnly="1" outline="0" fieldPosition="0">
        <references count="1">
          <reference field="1" count="1">
            <x v="876"/>
          </reference>
        </references>
      </pivotArea>
    </format>
    <format dxfId="1222">
      <pivotArea dataOnly="0" labelOnly="1" outline="0" fieldPosition="0">
        <references count="1">
          <reference field="1" count="1">
            <x v="877"/>
          </reference>
        </references>
      </pivotArea>
    </format>
    <format dxfId="1221">
      <pivotArea dataOnly="0" labelOnly="1" outline="0" fieldPosition="0">
        <references count="1">
          <reference field="1" count="1">
            <x v="878"/>
          </reference>
        </references>
      </pivotArea>
    </format>
    <format dxfId="1220">
      <pivotArea dataOnly="0" labelOnly="1" outline="0" fieldPosition="0">
        <references count="1">
          <reference field="1" count="1">
            <x v="879"/>
          </reference>
        </references>
      </pivotArea>
    </format>
    <format dxfId="1219">
      <pivotArea dataOnly="0" labelOnly="1" outline="0" fieldPosition="0">
        <references count="1">
          <reference field="1" count="1">
            <x v="880"/>
          </reference>
        </references>
      </pivotArea>
    </format>
    <format dxfId="1218">
      <pivotArea dataOnly="0" labelOnly="1" outline="0" fieldPosition="0">
        <references count="1">
          <reference field="1" count="1">
            <x v="881"/>
          </reference>
        </references>
      </pivotArea>
    </format>
    <format dxfId="1217">
      <pivotArea dataOnly="0" labelOnly="1" outline="0" fieldPosition="0">
        <references count="1">
          <reference field="1" count="1">
            <x v="882"/>
          </reference>
        </references>
      </pivotArea>
    </format>
    <format dxfId="1216">
      <pivotArea dataOnly="0" labelOnly="1" outline="0" fieldPosition="0">
        <references count="1">
          <reference field="1" count="1">
            <x v="883"/>
          </reference>
        </references>
      </pivotArea>
    </format>
    <format dxfId="1215">
      <pivotArea dataOnly="0" labelOnly="1" outline="0" fieldPosition="0">
        <references count="1">
          <reference field="1" count="1">
            <x v="884"/>
          </reference>
        </references>
      </pivotArea>
    </format>
    <format dxfId="1214">
      <pivotArea dataOnly="0" labelOnly="1" outline="0" fieldPosition="0">
        <references count="1">
          <reference field="1" count="1">
            <x v="885"/>
          </reference>
        </references>
      </pivotArea>
    </format>
    <format dxfId="1213">
      <pivotArea dataOnly="0" labelOnly="1" outline="0" fieldPosition="0">
        <references count="1">
          <reference field="1" count="1">
            <x v="886"/>
          </reference>
        </references>
      </pivotArea>
    </format>
    <format dxfId="1212">
      <pivotArea dataOnly="0" labelOnly="1" outline="0" fieldPosition="0">
        <references count="1">
          <reference field="1" count="1">
            <x v="887"/>
          </reference>
        </references>
      </pivotArea>
    </format>
    <format dxfId="1211">
      <pivotArea dataOnly="0" labelOnly="1" outline="0" fieldPosition="0">
        <references count="1">
          <reference field="1" count="1">
            <x v="888"/>
          </reference>
        </references>
      </pivotArea>
    </format>
    <format dxfId="1210">
      <pivotArea dataOnly="0" labelOnly="1" outline="0" fieldPosition="0">
        <references count="1">
          <reference field="1" count="1">
            <x v="889"/>
          </reference>
        </references>
      </pivotArea>
    </format>
    <format dxfId="1209">
      <pivotArea dataOnly="0" labelOnly="1" outline="0" fieldPosition="0">
        <references count="1">
          <reference field="1" count="1">
            <x v="890"/>
          </reference>
        </references>
      </pivotArea>
    </format>
    <format dxfId="1208">
      <pivotArea dataOnly="0" labelOnly="1" outline="0" fieldPosition="0">
        <references count="1">
          <reference field="1" count="1">
            <x v="891"/>
          </reference>
        </references>
      </pivotArea>
    </format>
    <format dxfId="1207">
      <pivotArea dataOnly="0" labelOnly="1" outline="0" fieldPosition="0">
        <references count="1">
          <reference field="1" count="1">
            <x v="892"/>
          </reference>
        </references>
      </pivotArea>
    </format>
    <format dxfId="1206">
      <pivotArea dataOnly="0" labelOnly="1" outline="0" fieldPosition="0">
        <references count="1">
          <reference field="1" count="1">
            <x v="893"/>
          </reference>
        </references>
      </pivotArea>
    </format>
    <format dxfId="1205">
      <pivotArea dataOnly="0" labelOnly="1" outline="0" fieldPosition="0">
        <references count="1">
          <reference field="1" count="1">
            <x v="894"/>
          </reference>
        </references>
      </pivotArea>
    </format>
    <format dxfId="1204">
      <pivotArea dataOnly="0" labelOnly="1" outline="0" fieldPosition="0">
        <references count="1">
          <reference field="1" count="1">
            <x v="895"/>
          </reference>
        </references>
      </pivotArea>
    </format>
    <format dxfId="1203">
      <pivotArea dataOnly="0" labelOnly="1" outline="0" fieldPosition="0">
        <references count="1">
          <reference field="1" count="1">
            <x v="896"/>
          </reference>
        </references>
      </pivotArea>
    </format>
    <format dxfId="1202">
      <pivotArea dataOnly="0" labelOnly="1" outline="0" fieldPosition="0">
        <references count="1">
          <reference field="1" count="1">
            <x v="897"/>
          </reference>
        </references>
      </pivotArea>
    </format>
    <format dxfId="1201">
      <pivotArea dataOnly="0" labelOnly="1" outline="0" fieldPosition="0">
        <references count="1">
          <reference field="1" count="1">
            <x v="898"/>
          </reference>
        </references>
      </pivotArea>
    </format>
    <format dxfId="1200">
      <pivotArea dataOnly="0" labelOnly="1" outline="0" fieldPosition="0">
        <references count="1">
          <reference field="1" count="1">
            <x v="899"/>
          </reference>
        </references>
      </pivotArea>
    </format>
    <format dxfId="1199">
      <pivotArea dataOnly="0" labelOnly="1" outline="0" fieldPosition="0">
        <references count="1">
          <reference field="1" count="1">
            <x v="900"/>
          </reference>
        </references>
      </pivotArea>
    </format>
    <format dxfId="1198">
      <pivotArea dataOnly="0" labelOnly="1" outline="0" fieldPosition="0">
        <references count="1">
          <reference field="1" count="1">
            <x v="901"/>
          </reference>
        </references>
      </pivotArea>
    </format>
    <format dxfId="1197">
      <pivotArea dataOnly="0" labelOnly="1" outline="0" fieldPosition="0">
        <references count="1">
          <reference field="1" count="1">
            <x v="902"/>
          </reference>
        </references>
      </pivotArea>
    </format>
    <format dxfId="1196">
      <pivotArea dataOnly="0" labelOnly="1" outline="0" fieldPosition="0">
        <references count="1">
          <reference field="1" count="1">
            <x v="903"/>
          </reference>
        </references>
      </pivotArea>
    </format>
    <format dxfId="1195">
      <pivotArea dataOnly="0" labelOnly="1" outline="0" fieldPosition="0">
        <references count="1">
          <reference field="1" count="1">
            <x v="904"/>
          </reference>
        </references>
      </pivotArea>
    </format>
    <format dxfId="1194">
      <pivotArea dataOnly="0" labelOnly="1" outline="0" fieldPosition="0">
        <references count="1">
          <reference field="1" count="1">
            <x v="905"/>
          </reference>
        </references>
      </pivotArea>
    </format>
    <format dxfId="1193">
      <pivotArea dataOnly="0" labelOnly="1" outline="0" fieldPosition="0">
        <references count="1">
          <reference field="1" count="1">
            <x v="906"/>
          </reference>
        </references>
      </pivotArea>
    </format>
    <format dxfId="1192">
      <pivotArea dataOnly="0" labelOnly="1" outline="0" fieldPosition="0">
        <references count="1">
          <reference field="1" count="1">
            <x v="907"/>
          </reference>
        </references>
      </pivotArea>
    </format>
    <format dxfId="1191">
      <pivotArea dataOnly="0" labelOnly="1" outline="0" fieldPosition="0">
        <references count="1">
          <reference field="1" count="1">
            <x v="908"/>
          </reference>
        </references>
      </pivotArea>
    </format>
    <format dxfId="1190">
      <pivotArea dataOnly="0" labelOnly="1" outline="0" fieldPosition="0">
        <references count="1">
          <reference field="1" count="1">
            <x v="909"/>
          </reference>
        </references>
      </pivotArea>
    </format>
    <format dxfId="1189">
      <pivotArea dataOnly="0" labelOnly="1" outline="0" fieldPosition="0">
        <references count="1">
          <reference field="1" count="1">
            <x v="910"/>
          </reference>
        </references>
      </pivotArea>
    </format>
    <format dxfId="1188">
      <pivotArea dataOnly="0" labelOnly="1" outline="0" fieldPosition="0">
        <references count="1">
          <reference field="1" count="1">
            <x v="911"/>
          </reference>
        </references>
      </pivotArea>
    </format>
    <format dxfId="1187">
      <pivotArea dataOnly="0" labelOnly="1" outline="0" fieldPosition="0">
        <references count="1">
          <reference field="1" count="1">
            <x v="912"/>
          </reference>
        </references>
      </pivotArea>
    </format>
    <format dxfId="1186">
      <pivotArea dataOnly="0" labelOnly="1" outline="0" fieldPosition="0">
        <references count="1">
          <reference field="1" count="1">
            <x v="913"/>
          </reference>
        </references>
      </pivotArea>
    </format>
    <format dxfId="1185">
      <pivotArea dataOnly="0" labelOnly="1" outline="0" fieldPosition="0">
        <references count="1">
          <reference field="1" count="1">
            <x v="914"/>
          </reference>
        </references>
      </pivotArea>
    </format>
    <format dxfId="1184">
      <pivotArea dataOnly="0" labelOnly="1" outline="0" fieldPosition="0">
        <references count="1">
          <reference field="1" count="1">
            <x v="915"/>
          </reference>
        </references>
      </pivotArea>
    </format>
    <format dxfId="1183">
      <pivotArea dataOnly="0" labelOnly="1" outline="0" fieldPosition="0">
        <references count="1">
          <reference field="1" count="1">
            <x v="916"/>
          </reference>
        </references>
      </pivotArea>
    </format>
    <format dxfId="1182">
      <pivotArea dataOnly="0" labelOnly="1" outline="0" fieldPosition="0">
        <references count="1">
          <reference field="1" count="1">
            <x v="917"/>
          </reference>
        </references>
      </pivotArea>
    </format>
    <format dxfId="1181">
      <pivotArea dataOnly="0" labelOnly="1" outline="0" fieldPosition="0">
        <references count="1">
          <reference field="1" count="1">
            <x v="918"/>
          </reference>
        </references>
      </pivotArea>
    </format>
    <format dxfId="1180">
      <pivotArea dataOnly="0" labelOnly="1" outline="0" fieldPosition="0">
        <references count="1">
          <reference field="1" count="1">
            <x v="919"/>
          </reference>
        </references>
      </pivotArea>
    </format>
    <format dxfId="1179">
      <pivotArea dataOnly="0" labelOnly="1" outline="0" fieldPosition="0">
        <references count="1">
          <reference field="1" count="1">
            <x v="920"/>
          </reference>
        </references>
      </pivotArea>
    </format>
    <format dxfId="1178">
      <pivotArea dataOnly="0" labelOnly="1" outline="0" fieldPosition="0">
        <references count="1">
          <reference field="1" count="1">
            <x v="921"/>
          </reference>
        </references>
      </pivotArea>
    </format>
    <format dxfId="1177">
      <pivotArea dataOnly="0" labelOnly="1" outline="0" fieldPosition="0">
        <references count="1">
          <reference field="1" count="1">
            <x v="922"/>
          </reference>
        </references>
      </pivotArea>
    </format>
    <format dxfId="1176">
      <pivotArea dataOnly="0" labelOnly="1" outline="0" fieldPosition="0">
        <references count="1">
          <reference field="1" count="1">
            <x v="923"/>
          </reference>
        </references>
      </pivotArea>
    </format>
    <format dxfId="1175">
      <pivotArea dataOnly="0" labelOnly="1" outline="0" fieldPosition="0">
        <references count="1">
          <reference field="1" count="1">
            <x v="924"/>
          </reference>
        </references>
      </pivotArea>
    </format>
    <format dxfId="1174">
      <pivotArea dataOnly="0" labelOnly="1" outline="0" fieldPosition="0">
        <references count="1">
          <reference field="1" count="1">
            <x v="925"/>
          </reference>
        </references>
      </pivotArea>
    </format>
    <format dxfId="1173">
      <pivotArea dataOnly="0" labelOnly="1" outline="0" fieldPosition="0">
        <references count="1">
          <reference field="1" count="1">
            <x v="926"/>
          </reference>
        </references>
      </pivotArea>
    </format>
    <format dxfId="1172">
      <pivotArea dataOnly="0" labelOnly="1" outline="0" fieldPosition="0">
        <references count="1">
          <reference field="1" count="1">
            <x v="927"/>
          </reference>
        </references>
      </pivotArea>
    </format>
    <format dxfId="1171">
      <pivotArea dataOnly="0" labelOnly="1" outline="0" fieldPosition="0">
        <references count="1">
          <reference field="1" count="1">
            <x v="928"/>
          </reference>
        </references>
      </pivotArea>
    </format>
    <format dxfId="1170">
      <pivotArea dataOnly="0" labelOnly="1" outline="0" fieldPosition="0">
        <references count="1">
          <reference field="1" count="1">
            <x v="929"/>
          </reference>
        </references>
      </pivotArea>
    </format>
    <format dxfId="1169">
      <pivotArea dataOnly="0" labelOnly="1" outline="0" fieldPosition="0">
        <references count="1">
          <reference field="1" count="1">
            <x v="930"/>
          </reference>
        </references>
      </pivotArea>
    </format>
    <format dxfId="1168">
      <pivotArea dataOnly="0" labelOnly="1" outline="0" fieldPosition="0">
        <references count="1">
          <reference field="1" count="1">
            <x v="931"/>
          </reference>
        </references>
      </pivotArea>
    </format>
    <format dxfId="1167">
      <pivotArea dataOnly="0" labelOnly="1" outline="0" fieldPosition="0">
        <references count="1">
          <reference field="1" count="1">
            <x v="932"/>
          </reference>
        </references>
      </pivotArea>
    </format>
    <format dxfId="1166">
      <pivotArea dataOnly="0" labelOnly="1" outline="0" fieldPosition="0">
        <references count="1">
          <reference field="1" count="1">
            <x v="933"/>
          </reference>
        </references>
      </pivotArea>
    </format>
    <format dxfId="1165">
      <pivotArea dataOnly="0" labelOnly="1" outline="0" fieldPosition="0">
        <references count="1">
          <reference field="1" count="1">
            <x v="934"/>
          </reference>
        </references>
      </pivotArea>
    </format>
    <format dxfId="1164">
      <pivotArea dataOnly="0" labelOnly="1" outline="0" fieldPosition="0">
        <references count="1">
          <reference field="1" count="1">
            <x v="935"/>
          </reference>
        </references>
      </pivotArea>
    </format>
    <format dxfId="1163">
      <pivotArea dataOnly="0" labelOnly="1" outline="0" fieldPosition="0">
        <references count="1">
          <reference field="1" count="1">
            <x v="936"/>
          </reference>
        </references>
      </pivotArea>
    </format>
    <format dxfId="1162">
      <pivotArea dataOnly="0" labelOnly="1" outline="0" fieldPosition="0">
        <references count="1">
          <reference field="1" count="1">
            <x v="937"/>
          </reference>
        </references>
      </pivotArea>
    </format>
    <format dxfId="1161">
      <pivotArea dataOnly="0" labelOnly="1" outline="0" fieldPosition="0">
        <references count="1">
          <reference field="1" count="1">
            <x v="938"/>
          </reference>
        </references>
      </pivotArea>
    </format>
    <format dxfId="1160">
      <pivotArea dataOnly="0" labelOnly="1" outline="0" fieldPosition="0">
        <references count="1">
          <reference field="1" count="1">
            <x v="939"/>
          </reference>
        </references>
      </pivotArea>
    </format>
    <format dxfId="1159">
      <pivotArea dataOnly="0" labelOnly="1" outline="0" fieldPosition="0">
        <references count="1">
          <reference field="1" count="1">
            <x v="940"/>
          </reference>
        </references>
      </pivotArea>
    </format>
    <format dxfId="1158">
      <pivotArea dataOnly="0" labelOnly="1" outline="0" fieldPosition="0">
        <references count="1">
          <reference field="1" count="1">
            <x v="941"/>
          </reference>
        </references>
      </pivotArea>
    </format>
    <format dxfId="1157">
      <pivotArea dataOnly="0" labelOnly="1" outline="0" fieldPosition="0">
        <references count="1">
          <reference field="1" count="1">
            <x v="942"/>
          </reference>
        </references>
      </pivotArea>
    </format>
    <format dxfId="1156">
      <pivotArea dataOnly="0" labelOnly="1" outline="0" fieldPosition="0">
        <references count="1">
          <reference field="1" count="1">
            <x v="943"/>
          </reference>
        </references>
      </pivotArea>
    </format>
    <format dxfId="1155">
      <pivotArea dataOnly="0" labelOnly="1" outline="0" fieldPosition="0">
        <references count="1">
          <reference field="1" count="1">
            <x v="944"/>
          </reference>
        </references>
      </pivotArea>
    </format>
    <format dxfId="1154">
      <pivotArea dataOnly="0" labelOnly="1" outline="0" fieldPosition="0">
        <references count="1">
          <reference field="1" count="1">
            <x v="945"/>
          </reference>
        </references>
      </pivotArea>
    </format>
    <format dxfId="1153">
      <pivotArea dataOnly="0" labelOnly="1" outline="0" fieldPosition="0">
        <references count="1">
          <reference field="1" count="1">
            <x v="946"/>
          </reference>
        </references>
      </pivotArea>
    </format>
    <format dxfId="1152">
      <pivotArea dataOnly="0" labelOnly="1" outline="0" fieldPosition="0">
        <references count="1">
          <reference field="1" count="1">
            <x v="947"/>
          </reference>
        </references>
      </pivotArea>
    </format>
    <format dxfId="1151">
      <pivotArea dataOnly="0" labelOnly="1" outline="0" fieldPosition="0">
        <references count="1">
          <reference field="1" count="1">
            <x v="948"/>
          </reference>
        </references>
      </pivotArea>
    </format>
    <format dxfId="1150">
      <pivotArea dataOnly="0" labelOnly="1" outline="0" fieldPosition="0">
        <references count="1">
          <reference field="1" count="1">
            <x v="949"/>
          </reference>
        </references>
      </pivotArea>
    </format>
    <format dxfId="1149">
      <pivotArea dataOnly="0" labelOnly="1" outline="0" fieldPosition="0">
        <references count="1">
          <reference field="1" count="1">
            <x v="950"/>
          </reference>
        </references>
      </pivotArea>
    </format>
    <format dxfId="1148">
      <pivotArea dataOnly="0" labelOnly="1" outline="0" fieldPosition="0">
        <references count="1">
          <reference field="1" count="1">
            <x v="951"/>
          </reference>
        </references>
      </pivotArea>
    </format>
    <format dxfId="1147">
      <pivotArea dataOnly="0" labelOnly="1" outline="0" fieldPosition="0">
        <references count="1">
          <reference field="1" count="1">
            <x v="952"/>
          </reference>
        </references>
      </pivotArea>
    </format>
    <format dxfId="1146">
      <pivotArea dataOnly="0" labelOnly="1" outline="0" fieldPosition="0">
        <references count="1">
          <reference field="1" count="1">
            <x v="953"/>
          </reference>
        </references>
      </pivotArea>
    </format>
    <format dxfId="1145">
      <pivotArea dataOnly="0" labelOnly="1" outline="0" fieldPosition="0">
        <references count="1">
          <reference field="1" count="1">
            <x v="954"/>
          </reference>
        </references>
      </pivotArea>
    </format>
    <format dxfId="1144">
      <pivotArea dataOnly="0" labelOnly="1" outline="0" fieldPosition="0">
        <references count="1">
          <reference field="1" count="1">
            <x v="955"/>
          </reference>
        </references>
      </pivotArea>
    </format>
    <format dxfId="1143">
      <pivotArea dataOnly="0" labelOnly="1" outline="0" fieldPosition="0">
        <references count="1">
          <reference field="1" count="1">
            <x v="956"/>
          </reference>
        </references>
      </pivotArea>
    </format>
    <format dxfId="1142">
      <pivotArea dataOnly="0" labelOnly="1" outline="0" fieldPosition="0">
        <references count="1">
          <reference field="1" count="1">
            <x v="957"/>
          </reference>
        </references>
      </pivotArea>
    </format>
    <format dxfId="1141">
      <pivotArea dataOnly="0" labelOnly="1" outline="0" fieldPosition="0">
        <references count="1">
          <reference field="1" count="1">
            <x v="958"/>
          </reference>
        </references>
      </pivotArea>
    </format>
    <format dxfId="1140">
      <pivotArea dataOnly="0" labelOnly="1" outline="0" fieldPosition="0">
        <references count="1">
          <reference field="1" count="1">
            <x v="959"/>
          </reference>
        </references>
      </pivotArea>
    </format>
    <format dxfId="1139">
      <pivotArea dataOnly="0" labelOnly="1" outline="0" fieldPosition="0">
        <references count="1">
          <reference field="1" count="1">
            <x v="960"/>
          </reference>
        </references>
      </pivotArea>
    </format>
    <format dxfId="1138">
      <pivotArea dataOnly="0" labelOnly="1" outline="0" fieldPosition="0">
        <references count="1">
          <reference field="1" count="1">
            <x v="961"/>
          </reference>
        </references>
      </pivotArea>
    </format>
    <format dxfId="1137">
      <pivotArea dataOnly="0" labelOnly="1" outline="0" fieldPosition="0">
        <references count="1">
          <reference field="1" count="1">
            <x v="962"/>
          </reference>
        </references>
      </pivotArea>
    </format>
    <format dxfId="1136">
      <pivotArea dataOnly="0" labelOnly="1" outline="0" fieldPosition="0">
        <references count="1">
          <reference field="1" count="1">
            <x v="963"/>
          </reference>
        </references>
      </pivotArea>
    </format>
    <format dxfId="1135">
      <pivotArea dataOnly="0" labelOnly="1" outline="0" fieldPosition="0">
        <references count="1">
          <reference field="1" count="1">
            <x v="964"/>
          </reference>
        </references>
      </pivotArea>
    </format>
    <format dxfId="1134">
      <pivotArea dataOnly="0" labelOnly="1" outline="0" fieldPosition="0">
        <references count="1">
          <reference field="1" count="1">
            <x v="965"/>
          </reference>
        </references>
      </pivotArea>
    </format>
    <format dxfId="1133">
      <pivotArea dataOnly="0" labelOnly="1" outline="0" fieldPosition="0">
        <references count="1">
          <reference field="1" count="1">
            <x v="966"/>
          </reference>
        </references>
      </pivotArea>
    </format>
    <format dxfId="1132">
      <pivotArea dataOnly="0" labelOnly="1" outline="0" fieldPosition="0">
        <references count="1">
          <reference field="1" count="1">
            <x v="967"/>
          </reference>
        </references>
      </pivotArea>
    </format>
    <format dxfId="1131">
      <pivotArea dataOnly="0" labelOnly="1" outline="0" fieldPosition="0">
        <references count="1">
          <reference field="1" count="1">
            <x v="968"/>
          </reference>
        </references>
      </pivotArea>
    </format>
    <format dxfId="1130">
      <pivotArea dataOnly="0" labelOnly="1" outline="0" fieldPosition="0">
        <references count="1">
          <reference field="1" count="1">
            <x v="969"/>
          </reference>
        </references>
      </pivotArea>
    </format>
    <format dxfId="1129">
      <pivotArea dataOnly="0" labelOnly="1" outline="0" fieldPosition="0">
        <references count="1">
          <reference field="1" count="1">
            <x v="970"/>
          </reference>
        </references>
      </pivotArea>
    </format>
    <format dxfId="1128">
      <pivotArea dataOnly="0" labelOnly="1" outline="0" fieldPosition="0">
        <references count="1">
          <reference field="1" count="1">
            <x v="971"/>
          </reference>
        </references>
      </pivotArea>
    </format>
    <format dxfId="1127">
      <pivotArea dataOnly="0" labelOnly="1" outline="0" fieldPosition="0">
        <references count="1">
          <reference field="1" count="1">
            <x v="972"/>
          </reference>
        </references>
      </pivotArea>
    </format>
    <format dxfId="1126">
      <pivotArea dataOnly="0" labelOnly="1" outline="0" fieldPosition="0">
        <references count="1">
          <reference field="1" count="1">
            <x v="973"/>
          </reference>
        </references>
      </pivotArea>
    </format>
    <format dxfId="1125">
      <pivotArea dataOnly="0" labelOnly="1" outline="0" fieldPosition="0">
        <references count="1">
          <reference field="1" count="1">
            <x v="974"/>
          </reference>
        </references>
      </pivotArea>
    </format>
    <format dxfId="1124">
      <pivotArea dataOnly="0" labelOnly="1" outline="0" fieldPosition="0">
        <references count="1">
          <reference field="1" count="1">
            <x v="975"/>
          </reference>
        </references>
      </pivotArea>
    </format>
    <format dxfId="1123">
      <pivotArea dataOnly="0" labelOnly="1" outline="0" fieldPosition="0">
        <references count="1">
          <reference field="1" count="1">
            <x v="976"/>
          </reference>
        </references>
      </pivotArea>
    </format>
    <format dxfId="1122">
      <pivotArea dataOnly="0" labelOnly="1" outline="0" fieldPosition="0">
        <references count="1">
          <reference field="1" count="1">
            <x v="977"/>
          </reference>
        </references>
      </pivotArea>
    </format>
    <format dxfId="1121">
      <pivotArea dataOnly="0" labelOnly="1" outline="0" fieldPosition="0">
        <references count="1">
          <reference field="1" count="1">
            <x v="978"/>
          </reference>
        </references>
      </pivotArea>
    </format>
    <format dxfId="1120">
      <pivotArea dataOnly="0" labelOnly="1" outline="0" fieldPosition="0">
        <references count="1">
          <reference field="1" count="1">
            <x v="979"/>
          </reference>
        </references>
      </pivotArea>
    </format>
    <format dxfId="1119">
      <pivotArea dataOnly="0" labelOnly="1" outline="0" fieldPosition="0">
        <references count="1">
          <reference field="1" count="1">
            <x v="980"/>
          </reference>
        </references>
      </pivotArea>
    </format>
    <format dxfId="1118">
      <pivotArea dataOnly="0" labelOnly="1" outline="0" fieldPosition="0">
        <references count="1">
          <reference field="1" count="1">
            <x v="981"/>
          </reference>
        </references>
      </pivotArea>
    </format>
    <format dxfId="1117">
      <pivotArea dataOnly="0" labelOnly="1" outline="0" fieldPosition="0">
        <references count="1">
          <reference field="1" count="1">
            <x v="982"/>
          </reference>
        </references>
      </pivotArea>
    </format>
    <format dxfId="1116">
      <pivotArea dataOnly="0" labelOnly="1" outline="0" fieldPosition="0">
        <references count="1">
          <reference field="1" count="1">
            <x v="983"/>
          </reference>
        </references>
      </pivotArea>
    </format>
    <format dxfId="1115">
      <pivotArea dataOnly="0" labelOnly="1" outline="0" fieldPosition="0">
        <references count="1">
          <reference field="1" count="1">
            <x v="984"/>
          </reference>
        </references>
      </pivotArea>
    </format>
    <format dxfId="1114">
      <pivotArea dataOnly="0" labelOnly="1" outline="0" fieldPosition="0">
        <references count="1">
          <reference field="1" count="1">
            <x v="985"/>
          </reference>
        </references>
      </pivotArea>
    </format>
    <format dxfId="1113">
      <pivotArea dataOnly="0" labelOnly="1" outline="0" fieldPosition="0">
        <references count="1">
          <reference field="1" count="1">
            <x v="986"/>
          </reference>
        </references>
      </pivotArea>
    </format>
    <format dxfId="1112">
      <pivotArea dataOnly="0" labelOnly="1" outline="0" fieldPosition="0">
        <references count="1">
          <reference field="1" count="1">
            <x v="987"/>
          </reference>
        </references>
      </pivotArea>
    </format>
    <format dxfId="1111">
      <pivotArea dataOnly="0" labelOnly="1" outline="0" fieldPosition="0">
        <references count="1">
          <reference field="1" count="1">
            <x v="988"/>
          </reference>
        </references>
      </pivotArea>
    </format>
    <format dxfId="1110">
      <pivotArea dataOnly="0" labelOnly="1" outline="0" fieldPosition="0">
        <references count="1">
          <reference field="1" count="1">
            <x v="989"/>
          </reference>
        </references>
      </pivotArea>
    </format>
    <format dxfId="1109">
      <pivotArea dataOnly="0" labelOnly="1" outline="0" fieldPosition="0">
        <references count="1">
          <reference field="1" count="1">
            <x v="990"/>
          </reference>
        </references>
      </pivotArea>
    </format>
    <format dxfId="1108">
      <pivotArea dataOnly="0" labelOnly="1" outline="0" fieldPosition="0">
        <references count="1">
          <reference field="1" count="1">
            <x v="991"/>
          </reference>
        </references>
      </pivotArea>
    </format>
    <format dxfId="1107">
      <pivotArea dataOnly="0" labelOnly="1" outline="0" fieldPosition="0">
        <references count="1">
          <reference field="1" count="1">
            <x v="992"/>
          </reference>
        </references>
      </pivotArea>
    </format>
    <format dxfId="1106">
      <pivotArea dataOnly="0" labelOnly="1" outline="0" fieldPosition="0">
        <references count="1">
          <reference field="1" count="1">
            <x v="993"/>
          </reference>
        </references>
      </pivotArea>
    </format>
    <format dxfId="1105">
      <pivotArea dataOnly="0" labelOnly="1" outline="0" fieldPosition="0">
        <references count="1">
          <reference field="1" count="1">
            <x v="994"/>
          </reference>
        </references>
      </pivotArea>
    </format>
    <format dxfId="1104">
      <pivotArea dataOnly="0" labelOnly="1" outline="0" fieldPosition="0">
        <references count="1">
          <reference field="1" count="1">
            <x v="995"/>
          </reference>
        </references>
      </pivotArea>
    </format>
    <format dxfId="1103">
      <pivotArea dataOnly="0" labelOnly="1" outline="0" fieldPosition="0">
        <references count="1">
          <reference field="1" count="1">
            <x v="996"/>
          </reference>
        </references>
      </pivotArea>
    </format>
    <format dxfId="1102">
      <pivotArea dataOnly="0" labelOnly="1" outline="0" fieldPosition="0">
        <references count="1">
          <reference field="1" count="1">
            <x v="997"/>
          </reference>
        </references>
      </pivotArea>
    </format>
    <format dxfId="1101">
      <pivotArea dataOnly="0" labelOnly="1" outline="0" fieldPosition="0">
        <references count="1">
          <reference field="1" count="1">
            <x v="998"/>
          </reference>
        </references>
      </pivotArea>
    </format>
    <format dxfId="1100">
      <pivotArea dataOnly="0" labelOnly="1" outline="0" fieldPosition="0">
        <references count="1">
          <reference field="1" count="1">
            <x v="999"/>
          </reference>
        </references>
      </pivotArea>
    </format>
    <format dxfId="1099">
      <pivotArea dataOnly="0" labelOnly="1" outline="0" fieldPosition="0">
        <references count="1">
          <reference field="1" count="1">
            <x v="1000"/>
          </reference>
        </references>
      </pivotArea>
    </format>
    <format dxfId="1098">
      <pivotArea dataOnly="0" labelOnly="1" outline="0" fieldPosition="0">
        <references count="1">
          <reference field="1" count="1">
            <x v="1001"/>
          </reference>
        </references>
      </pivotArea>
    </format>
    <format dxfId="1097">
      <pivotArea dataOnly="0" labelOnly="1" outline="0" fieldPosition="0">
        <references count="1">
          <reference field="1" count="1">
            <x v="1002"/>
          </reference>
        </references>
      </pivotArea>
    </format>
    <format dxfId="1096">
      <pivotArea dataOnly="0" labelOnly="1" outline="0" fieldPosition="0">
        <references count="1">
          <reference field="1" count="1">
            <x v="1003"/>
          </reference>
        </references>
      </pivotArea>
    </format>
    <format dxfId="1095">
      <pivotArea dataOnly="0" labelOnly="1" outline="0" fieldPosition="0">
        <references count="1">
          <reference field="1" count="1">
            <x v="1004"/>
          </reference>
        </references>
      </pivotArea>
    </format>
    <format dxfId="1094">
      <pivotArea dataOnly="0" labelOnly="1" outline="0" fieldPosition="0">
        <references count="1">
          <reference field="1" count="1">
            <x v="1005"/>
          </reference>
        </references>
      </pivotArea>
    </format>
    <format dxfId="1093">
      <pivotArea dataOnly="0" labelOnly="1" outline="0" fieldPosition="0">
        <references count="1">
          <reference field="1" count="1">
            <x v="1006"/>
          </reference>
        </references>
      </pivotArea>
    </format>
    <format dxfId="1092">
      <pivotArea dataOnly="0" labelOnly="1" outline="0" fieldPosition="0">
        <references count="1">
          <reference field="1" count="1">
            <x v="1007"/>
          </reference>
        </references>
      </pivotArea>
    </format>
    <format dxfId="1091">
      <pivotArea dataOnly="0" labelOnly="1" outline="0" fieldPosition="0">
        <references count="1">
          <reference field="1" count="1">
            <x v="1008"/>
          </reference>
        </references>
      </pivotArea>
    </format>
    <format dxfId="1090">
      <pivotArea dataOnly="0" labelOnly="1" outline="0" fieldPosition="0">
        <references count="1">
          <reference field="1" count="1">
            <x v="1009"/>
          </reference>
        </references>
      </pivotArea>
    </format>
    <format dxfId="1089">
      <pivotArea dataOnly="0" labelOnly="1" outline="0" fieldPosition="0">
        <references count="1">
          <reference field="1" count="1">
            <x v="1010"/>
          </reference>
        </references>
      </pivotArea>
    </format>
    <format dxfId="1088">
      <pivotArea dataOnly="0" labelOnly="1" outline="0" fieldPosition="0">
        <references count="1">
          <reference field="1" count="1">
            <x v="1011"/>
          </reference>
        </references>
      </pivotArea>
    </format>
    <format dxfId="1087">
      <pivotArea dataOnly="0" labelOnly="1" outline="0" fieldPosition="0">
        <references count="1">
          <reference field="1" count="1">
            <x v="1012"/>
          </reference>
        </references>
      </pivotArea>
    </format>
    <format dxfId="1086">
      <pivotArea dataOnly="0" labelOnly="1" grandRow="1" outline="0" fieldPosition="0"/>
    </format>
  </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7" totalsRowShown="0" headerRowDxfId="2148" dataDxfId="2198" headerRowBorderDxfId="2199" headerRowCellStyle="Normal 2">
  <autoFilter ref="B10:AA17" xr:uid="{7EC467B7-DE9E-48DF-95B5-2995F1F6DE8F}"/>
  <tableColumns count="26">
    <tableColumn id="1" xr3:uid="{CDAE6949-9186-42E8-AEBE-1928381A0155}" name="Field" dataDxfId="2197" dataCellStyle="Normal 2"/>
    <tableColumn id="2" xr3:uid="{24D139B7-BFC8-4DD9-8DE4-2245810E04F3}" name="Definition" dataDxfId="214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214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2196"/>
    <tableColumn id="8" xr3:uid="{30CDB1E0-924C-48B4-82F4-9B3E3228BE95}" name="Distinct %" dataDxfId="2195"/>
    <tableColumn id="12" xr3:uid="{03824906-BEA5-4B63-A981-21F959B6439E}" name="Missing %" dataDxfId="2194" dataCellStyle="Percent 2"/>
    <tableColumn id="6" xr3:uid="{8DFFE5A0-8676-4576-AB4D-97E8B31EC097}" name="Memory Usage %" dataDxfId="2193" dataCellStyle="Percent 2"/>
    <tableColumn id="5" xr3:uid="{DD50C3DA-F4A8-40F0-AFBD-DBF916650F7E}" name="Memory Usage" dataDxfId="2192"/>
    <tableColumn id="7" xr3:uid="{A0CD56D0-07EF-46CA-BC46-D54CD5E746C7}" name="Distinct" dataDxfId="2191"/>
    <tableColumn id="9" xr3:uid="{1C848176-6AC1-44A6-9B3B-F1C9E8BC32EA}" name="Count" dataDxfId="2190"/>
    <tableColumn id="10" xr3:uid="{6C6E6A37-4969-459F-AC39-2193366810E2}" name="Count %" dataDxfId="2189"/>
    <tableColumn id="11" xr3:uid="{CD47252D-0307-4513-AF7C-13CC4AA1FCD9}" name="Missing" dataDxfId="2188"/>
    <tableColumn id="13" xr3:uid="{2B45F7F8-CE35-48A6-BB27-9684B5D7936D}" name="Mean" dataDxfId="2187"/>
    <tableColumn id="14" xr3:uid="{293386E4-1FA6-4340-9DC6-54CC26209C0A}" name="Median" dataDxfId="2186"/>
    <tableColumn id="15" xr3:uid="{29252F5E-4163-4D62-89FC-FF85F6C4755C}" name="Mode" dataDxfId="2185"/>
    <tableColumn id="16" xr3:uid="{69FFA3C1-FD1E-4395-AF2E-177FDFCDE62A}" name="Standard Deviation" dataDxfId="2184"/>
    <tableColumn id="17" xr3:uid="{2AAB37E9-8AE2-4771-B92B-C04BFABA0B4E}" name="Variance" dataDxfId="2183"/>
    <tableColumn id="18" xr3:uid="{07151E41-6633-4A65-A7E1-091F027DEF95}" name="Min" dataDxfId="2182"/>
    <tableColumn id="19" xr3:uid="{41A1FD5D-4E5C-45B3-A0C7-1820F89F417F}" name="5%" dataDxfId="2181"/>
    <tableColumn id="20" xr3:uid="{50D70984-5A2E-4A19-9F2B-5DA0502339BC}" name="25%" dataDxfId="2180"/>
    <tableColumn id="21" xr3:uid="{75FF5489-8FC0-4894-83BC-802076BF1066}" name="50%" dataDxfId="2179"/>
    <tableColumn id="22" xr3:uid="{B7FA20A8-EE17-470E-93AD-54011230C113}" name="75%" dataDxfId="2178"/>
    <tableColumn id="23" xr3:uid="{378BE758-7A3F-4C04-A75B-FE899B1B0BAD}" name="95%" dataDxfId="2177"/>
    <tableColumn id="24" xr3:uid="{818594E7-DC84-4229-81F6-97C1E2E93633}" name="Max" dataDxfId="2176"/>
    <tableColumn id="25" xr3:uid="{D8116583-A886-47C1-85E2-D28AD96194AD}" name="Range" dataDxfId="2175"/>
    <tableColumn id="26" xr3:uid="{D061AC6A-EAB2-461F-8AB8-E743DC68E666}" name="IQR" dataDxfId="2174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L1093" totalsRowShown="0" headerRowDxfId="2164" dataDxfId="2163">
  <autoFilter ref="C78:L1093" xr:uid="{DB263373-2B4F-4302-9CF6-5012CE3F1A47}"/>
  <tableColumns count="10">
    <tableColumn id="1" xr3:uid="{B87F6371-B38F-4AA9-8A9B-F1D62600E38F}" name="Record List" dataDxfId="2136" dataCellStyle="Normal 2"/>
    <tableColumn id="2" xr3:uid="{55547D6A-0C4F-44F3-8DA7-D9918F9ECA79}" name="Name" dataDxfId="2162"/>
    <tableColumn id="8" xr3:uid="{5CEA6B82-08F7-4BBF-BE74-DD211F1E2384}" name="Team" dataDxfId="2161"/>
    <tableColumn id="3" xr3:uid="{6C0B3232-D5C0-4185-AF99-A47484E561D2}" name="Position" dataDxfId="2160"/>
    <tableColumn id="4" xr3:uid="{B1B1C91D-738C-45DA-97EE-DA9A38356D75}" name="Height" dataDxfId="2142"/>
    <tableColumn id="5" xr3:uid="{E2E9A5FC-DF61-439E-A58E-F72E4190169A}" name="Weight" dataDxfId="2141"/>
    <tableColumn id="6" xr3:uid="{C9620376-85EB-4704-8560-989EBC81771D}" name="Age" dataDxfId="2140"/>
    <tableColumn id="7" xr3:uid="{03721345-4277-42E8-B558-0F2698C64F76}" name="PosCategory" dataDxfId="2139"/>
    <tableColumn id="9" xr3:uid="{94B4E814-992C-428D-AD33-C69AF1A68185}" name="HasBlank" dataDxfId="2138"/>
    <tableColumn id="10" xr3:uid="{E26DE803-D94C-47AD-9B51-6E6B4FB899F4}" name="Record Hash" dataDxfId="2137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7"/>
  <sheetViews>
    <sheetView zoomScale="85" zoomScaleNormal="85" workbookViewId="0">
      <selection activeCell="B10" sqref="B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3" t="str">
        <f>Name</f>
        <v>MLB</v>
      </c>
      <c r="C2"/>
      <c r="AA2" s="97"/>
    </row>
    <row r="3" spans="2:27" ht="10.050000000000001" customHeight="1">
      <c r="B3"/>
      <c r="C3"/>
      <c r="AA3" s="98"/>
    </row>
    <row r="4" spans="2:27">
      <c r="B4" s="82" t="s">
        <v>25</v>
      </c>
      <c r="C4" s="46">
        <v>1015</v>
      </c>
      <c r="AA4" s="99"/>
    </row>
    <row r="5" spans="2:27">
      <c r="B5" s="82" t="s">
        <v>26</v>
      </c>
      <c r="C5" s="47">
        <v>7</v>
      </c>
    </row>
    <row r="6" spans="2:27">
      <c r="B6" s="84" t="s">
        <v>4</v>
      </c>
      <c r="C6" s="47" t="s">
        <v>64</v>
      </c>
      <c r="F6" s="44"/>
    </row>
    <row r="7" spans="2:27">
      <c r="B7" s="80" t="s">
        <v>7</v>
      </c>
      <c r="C7" s="43">
        <v>1</v>
      </c>
    </row>
    <row r="8" spans="2:27">
      <c r="B8" s="84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3" t="s">
        <v>27</v>
      </c>
      <c r="C10" s="114" t="s">
        <v>28</v>
      </c>
      <c r="D10" s="114" t="s">
        <v>29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31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32</v>
      </c>
      <c r="U10" s="116" t="s">
        <v>33</v>
      </c>
      <c r="V10" s="116" t="s">
        <v>34</v>
      </c>
      <c r="W10" s="116" t="s">
        <v>35</v>
      </c>
      <c r="X10" s="116" t="s">
        <v>36</v>
      </c>
      <c r="Y10" s="115" t="s">
        <v>17</v>
      </c>
      <c r="Z10" s="115" t="s">
        <v>18</v>
      </c>
      <c r="AA10" s="115" t="s">
        <v>19</v>
      </c>
    </row>
    <row r="11" spans="2:27">
      <c r="B11" s="57" t="s">
        <v>45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89" t="s">
        <v>65</v>
      </c>
      <c r="F11" s="49">
        <v>0.99802955665024595</v>
      </c>
      <c r="G11" s="50">
        <v>0</v>
      </c>
      <c r="H11" s="49">
        <v>0.65388541458893101</v>
      </c>
      <c r="I11" s="51">
        <v>55730</v>
      </c>
      <c r="J11" s="51">
        <v>1013</v>
      </c>
      <c r="K11" s="51">
        <v>1015</v>
      </c>
      <c r="L11" s="52">
        <v>1</v>
      </c>
      <c r="M11" s="51">
        <v>0</v>
      </c>
      <c r="N11" s="53"/>
      <c r="O11" s="53"/>
      <c r="P11" s="53" t="s">
        <v>66</v>
      </c>
      <c r="Q11" s="53"/>
      <c r="R11" s="53"/>
      <c r="S11" s="53"/>
      <c r="T11" s="53"/>
      <c r="U11" s="53"/>
      <c r="V11" s="53"/>
      <c r="W11" s="53"/>
      <c r="X11" s="53"/>
      <c r="Y11" s="53"/>
      <c r="Z11" s="53"/>
      <c r="AA11" s="53"/>
    </row>
    <row r="12" spans="2:27">
      <c r="B12" s="123" t="s">
        <v>57</v>
      </c>
      <c r="C12" s="124" t="str">
        <f>IF(INDEX(Definitions,1,MATCH(tbl_Overview[[#This Row],[Field]],Headers,0))="Definition","",INDEX(Definitions,1,MATCH(tbl_Overview[[#This Row],[Field]],Headers,0)))</f>
        <v/>
      </c>
      <c r="D12" s="125" t="str">
        <f>IF(INDEX(Notes,1,MATCH(tbl_Overview[[#This Row],[Field]],Headers,0))="Notes","",INDEX(Notes,1,MATCH(tbl_Overview[[#This Row],[Field]],Headers,0)))</f>
        <v/>
      </c>
      <c r="E12" s="89" t="s">
        <v>65</v>
      </c>
      <c r="F12" s="52">
        <v>2.95566502463054E-2</v>
      </c>
      <c r="G12" s="126">
        <v>0</v>
      </c>
      <c r="H12" s="127">
        <v>2.8300226448743901E-2</v>
      </c>
      <c r="I12" s="51">
        <v>2412</v>
      </c>
      <c r="J12" s="51">
        <v>30</v>
      </c>
      <c r="K12" s="51">
        <v>1015</v>
      </c>
      <c r="L12" s="52">
        <v>1</v>
      </c>
      <c r="M12" s="51">
        <v>0</v>
      </c>
      <c r="N12" s="53"/>
      <c r="O12" s="53"/>
      <c r="P12" s="53" t="s">
        <v>67</v>
      </c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</row>
    <row r="13" spans="2:27">
      <c r="B13" s="123" t="s">
        <v>58</v>
      </c>
      <c r="C13" s="124" t="str">
        <f>IF(INDEX(Definitions,1,MATCH(tbl_Overview[[#This Row],[Field]],Headers,0))="Definition","",INDEX(Definitions,1,MATCH(tbl_Overview[[#This Row],[Field]],Headers,0)))</f>
        <v/>
      </c>
      <c r="D13" s="125" t="str">
        <f>IF(INDEX(Notes,1,MATCH(tbl_Overview[[#This Row],[Field]],Headers,0))="Notes","",INDEX(Notes,1,MATCH(tbl_Overview[[#This Row],[Field]],Headers,0)))</f>
        <v/>
      </c>
      <c r="E13" s="89" t="s">
        <v>65</v>
      </c>
      <c r="F13" s="52">
        <v>7.8817733990147708E-3</v>
      </c>
      <c r="G13" s="126">
        <v>0</v>
      </c>
      <c r="H13" s="127">
        <v>1.7306315925330499E-2</v>
      </c>
      <c r="I13" s="51">
        <v>1475</v>
      </c>
      <c r="J13" s="51">
        <v>8</v>
      </c>
      <c r="K13" s="51">
        <v>1015</v>
      </c>
      <c r="L13" s="52">
        <v>1</v>
      </c>
      <c r="M13" s="51">
        <v>0</v>
      </c>
      <c r="N13" s="53"/>
      <c r="O13" s="53"/>
      <c r="P13" s="53" t="s">
        <v>68</v>
      </c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</row>
    <row r="14" spans="2:27">
      <c r="B14" s="123" t="s">
        <v>59</v>
      </c>
      <c r="C14" s="124" t="str">
        <f>IF(INDEX(Definitions,1,MATCH(tbl_Overview[[#This Row],[Field]],Headers,0))="Definition","",INDEX(Definitions,1,MATCH(tbl_Overview[[#This Row],[Field]],Headers,0)))</f>
        <v/>
      </c>
      <c r="D14" s="125" t="str">
        <f>IF(INDEX(Notes,1,MATCH(tbl_Overview[[#This Row],[Field]],Headers,0))="Notes","",INDEX(Notes,1,MATCH(tbl_Overview[[#This Row],[Field]],Headers,0)))</f>
        <v/>
      </c>
      <c r="E14" s="89" t="s">
        <v>69</v>
      </c>
      <c r="F14" s="52">
        <v>1.6748768472906399E-2</v>
      </c>
      <c r="G14" s="126">
        <v>0</v>
      </c>
      <c r="H14" s="127">
        <v>4.7636367902943802E-2</v>
      </c>
      <c r="I14" s="51">
        <v>4060</v>
      </c>
      <c r="J14" s="51">
        <v>17</v>
      </c>
      <c r="K14" s="51">
        <v>1015</v>
      </c>
      <c r="L14" s="52">
        <v>1</v>
      </c>
      <c r="M14" s="51">
        <v>0</v>
      </c>
      <c r="N14" s="53">
        <v>73.689655172413794</v>
      </c>
      <c r="O14" s="53">
        <v>74</v>
      </c>
      <c r="P14" s="53">
        <v>74</v>
      </c>
      <c r="Q14" s="53">
        <v>2.3139320299356401</v>
      </c>
      <c r="R14" s="53">
        <v>5.3542814391620697</v>
      </c>
      <c r="S14" s="53">
        <v>67</v>
      </c>
      <c r="T14" s="53">
        <v>70</v>
      </c>
      <c r="U14" s="53">
        <v>72</v>
      </c>
      <c r="V14" s="53">
        <v>74</v>
      </c>
      <c r="W14" s="53">
        <v>75</v>
      </c>
      <c r="X14" s="53">
        <v>77.299999999999898</v>
      </c>
      <c r="Y14" s="53">
        <v>83</v>
      </c>
      <c r="Z14" s="53">
        <v>16</v>
      </c>
      <c r="AA14" s="53">
        <v>3</v>
      </c>
    </row>
    <row r="15" spans="2:27">
      <c r="B15" s="123" t="s">
        <v>60</v>
      </c>
      <c r="C15" s="124" t="str">
        <f>IF(INDEX(Definitions,1,MATCH(tbl_Overview[[#This Row],[Field]],Headers,0))="Definition","",INDEX(Definitions,1,MATCH(tbl_Overview[[#This Row],[Field]],Headers,0)))</f>
        <v/>
      </c>
      <c r="D15" s="125" t="str">
        <f>IF(INDEX(Notes,1,MATCH(tbl_Overview[[#This Row],[Field]],Headers,0))="Notes","",INDEX(Notes,1,MATCH(tbl_Overview[[#This Row],[Field]],Headers,0)))</f>
        <v/>
      </c>
      <c r="E15" s="89" t="s">
        <v>69</v>
      </c>
      <c r="F15" s="52">
        <v>8.6699507389162503E-2</v>
      </c>
      <c r="G15" s="126">
        <v>0</v>
      </c>
      <c r="H15" s="127">
        <v>4.7636367902943802E-2</v>
      </c>
      <c r="I15" s="51">
        <v>4060</v>
      </c>
      <c r="J15" s="51">
        <v>88</v>
      </c>
      <c r="K15" s="51">
        <v>1015</v>
      </c>
      <c r="L15" s="52">
        <v>1</v>
      </c>
      <c r="M15" s="51">
        <v>0</v>
      </c>
      <c r="N15" s="53">
        <v>201.34876847290599</v>
      </c>
      <c r="O15" s="53">
        <v>200</v>
      </c>
      <c r="P15" s="53">
        <v>200</v>
      </c>
      <c r="Q15" s="53">
        <v>20.8231147158635</v>
      </c>
      <c r="R15" s="53">
        <v>433.60210647001099</v>
      </c>
      <c r="S15" s="53">
        <v>150</v>
      </c>
      <c r="T15" s="53">
        <v>170</v>
      </c>
      <c r="U15" s="53">
        <v>186</v>
      </c>
      <c r="V15" s="53">
        <v>200</v>
      </c>
      <c r="W15" s="53">
        <v>215</v>
      </c>
      <c r="X15" s="53">
        <v>239.29999999999899</v>
      </c>
      <c r="Y15" s="53">
        <v>290</v>
      </c>
      <c r="Z15" s="53">
        <v>140</v>
      </c>
      <c r="AA15" s="53">
        <v>29</v>
      </c>
    </row>
    <row r="16" spans="2:27">
      <c r="B16" s="123" t="s">
        <v>61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89" t="s">
        <v>70</v>
      </c>
      <c r="F16" s="52">
        <v>0.70541871921182198</v>
      </c>
      <c r="G16" s="126">
        <v>0</v>
      </c>
      <c r="H16" s="127">
        <v>9.5272735805887604E-2</v>
      </c>
      <c r="I16" s="51">
        <v>8120</v>
      </c>
      <c r="J16" s="51">
        <v>716</v>
      </c>
      <c r="K16" s="51">
        <v>1015</v>
      </c>
      <c r="L16" s="52">
        <v>1</v>
      </c>
      <c r="M16" s="51">
        <v>0</v>
      </c>
      <c r="N16" s="53">
        <v>28.708354679802898</v>
      </c>
      <c r="O16" s="53">
        <v>27.9</v>
      </c>
      <c r="P16" s="53">
        <v>24.94</v>
      </c>
      <c r="Q16" s="53">
        <v>4.3144526796987996</v>
      </c>
      <c r="R16" s="53">
        <v>18.614501925360202</v>
      </c>
      <c r="S16" s="53">
        <v>20.9</v>
      </c>
      <c r="T16" s="53">
        <v>23.13</v>
      </c>
      <c r="U16" s="53">
        <v>25.405000000000001</v>
      </c>
      <c r="V16" s="53">
        <v>27.9</v>
      </c>
      <c r="W16" s="53">
        <v>31.189999999999898</v>
      </c>
      <c r="X16" s="53">
        <v>37.174999999999997</v>
      </c>
      <c r="Y16" s="53">
        <v>48.52</v>
      </c>
      <c r="Z16" s="53">
        <v>27.62</v>
      </c>
      <c r="AA16" s="53">
        <v>5.7849999999999904</v>
      </c>
    </row>
    <row r="17" spans="2:27">
      <c r="B17" s="128" t="s">
        <v>62</v>
      </c>
      <c r="C17" s="129" t="str">
        <f>IF(INDEX(Definitions,1,MATCH(tbl_Overview[[#This Row],[Field]],Headers,0))="Definition","",INDEX(Definitions,1,MATCH(tbl_Overview[[#This Row],[Field]],Headers,0)))</f>
        <v/>
      </c>
      <c r="D17" s="130" t="str">
        <f>IF(INDEX(Notes,1,MATCH(tbl_Overview[[#This Row],[Field]],Headers,0))="Notes","",INDEX(Notes,1,MATCH(tbl_Overview[[#This Row],[Field]],Headers,0)))</f>
        <v/>
      </c>
      <c r="E17" s="131" t="s">
        <v>65</v>
      </c>
      <c r="F17" s="132">
        <v>3.9408866995073802E-3</v>
      </c>
      <c r="G17" s="133">
        <v>0</v>
      </c>
      <c r="H17" s="134">
        <v>1.46898356193314E-2</v>
      </c>
      <c r="I17" s="135">
        <v>1252</v>
      </c>
      <c r="J17" s="135">
        <v>4</v>
      </c>
      <c r="K17" s="135">
        <v>1015</v>
      </c>
      <c r="L17" s="132">
        <v>1</v>
      </c>
      <c r="M17" s="135">
        <v>0</v>
      </c>
      <c r="N17" s="136"/>
      <c r="O17" s="136"/>
      <c r="P17" s="136" t="s">
        <v>71</v>
      </c>
      <c r="Q17" s="136"/>
      <c r="R17" s="136"/>
      <c r="S17" s="136"/>
      <c r="T17" s="136"/>
      <c r="U17" s="136"/>
      <c r="V17" s="136"/>
      <c r="W17" s="136"/>
      <c r="X17" s="136"/>
      <c r="Y17" s="136"/>
      <c r="Z17" s="136"/>
      <c r="AA17" s="136"/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7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09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3" customWidth="1"/>
    <col min="3" max="3" width="25.77734375" style="6" customWidth="1"/>
    <col min="4" max="10" width="27.77734375" style="1" customWidth="1"/>
    <col min="11" max="12" width="15.77734375" customWidth="1"/>
  </cols>
  <sheetData>
    <row r="1" spans="1:14" ht="31.8" hidden="1" customHeight="1">
      <c r="A1" s="38"/>
      <c r="B1" s="38"/>
      <c r="C1" s="39" t="s">
        <v>38</v>
      </c>
      <c r="D1" s="90"/>
      <c r="E1" s="90"/>
      <c r="F1" s="90"/>
      <c r="G1" s="90"/>
      <c r="H1" s="90"/>
      <c r="I1" s="90"/>
      <c r="J1" s="90"/>
      <c r="K1" s="90"/>
      <c r="L1" s="90"/>
      <c r="M1" s="90"/>
      <c r="N1" s="90"/>
    </row>
    <row r="2" spans="1:14" ht="10.050000000000001" customHeight="1">
      <c r="A2" s="59"/>
      <c r="B2" s="101"/>
      <c r="C2" s="59"/>
      <c r="D2"/>
      <c r="E2"/>
    </row>
    <row r="3" spans="1:14" ht="36.6" customHeight="1">
      <c r="A3" s="61"/>
      <c r="B3" s="100" t="s">
        <v>0</v>
      </c>
      <c r="C3" s="73" t="s">
        <v>56</v>
      </c>
      <c r="D3"/>
      <c r="E3"/>
      <c r="F3" s="92"/>
      <c r="G3" s="92"/>
      <c r="H3" s="92"/>
      <c r="I3" s="92"/>
      <c r="J3" s="92"/>
    </row>
    <row r="4" spans="1:14" ht="4.95" customHeight="1">
      <c r="A4" s="59"/>
      <c r="B4" s="101"/>
      <c r="C4" s="59"/>
      <c r="D4"/>
      <c r="E4"/>
      <c r="F4" s="91"/>
      <c r="G4" s="91"/>
      <c r="H4" s="91"/>
      <c r="I4" s="91"/>
      <c r="J4" s="91"/>
    </row>
    <row r="5" spans="1:14" ht="19.95" customHeight="1">
      <c r="A5" s="61"/>
      <c r="B5" s="72" t="s">
        <v>0</v>
      </c>
      <c r="C5" s="74" t="s">
        <v>29</v>
      </c>
      <c r="D5"/>
      <c r="E5"/>
      <c r="F5" s="93"/>
      <c r="G5" s="93"/>
      <c r="H5" s="93"/>
      <c r="I5" s="93"/>
      <c r="J5" s="93"/>
    </row>
    <row r="6" spans="1:14" ht="4.95" customHeight="1">
      <c r="A6" s="30"/>
      <c r="B6" s="67"/>
      <c r="C6" s="68"/>
      <c r="D6" s="61"/>
      <c r="E6" s="61"/>
      <c r="F6" s="61"/>
      <c r="G6" s="61"/>
      <c r="H6" s="61"/>
      <c r="I6" s="61"/>
      <c r="J6" s="61"/>
    </row>
    <row r="7" spans="1:14" ht="37.799999999999997" hidden="1" customHeight="1" outlineLevel="1">
      <c r="A7" s="30"/>
      <c r="B7" s="67"/>
      <c r="C7" s="69" t="s">
        <v>37</v>
      </c>
      <c r="D7" s="66" t="s">
        <v>28</v>
      </c>
      <c r="E7" s="66" t="s">
        <v>28</v>
      </c>
      <c r="F7" s="66" t="s">
        <v>28</v>
      </c>
      <c r="G7" s="66" t="s">
        <v>28</v>
      </c>
      <c r="H7" s="66" t="s">
        <v>28</v>
      </c>
      <c r="I7" s="66" t="s">
        <v>28</v>
      </c>
      <c r="J7" s="66" t="s">
        <v>28</v>
      </c>
    </row>
    <row r="8" spans="1:14" ht="10.050000000000001" hidden="1" customHeight="1" outlineLevel="1">
      <c r="A8" s="58"/>
      <c r="B8" s="70"/>
      <c r="C8" s="58"/>
      <c r="D8" s="59"/>
      <c r="E8" s="59"/>
      <c r="F8" s="59"/>
      <c r="G8" s="59"/>
      <c r="H8" s="59"/>
      <c r="I8" s="59"/>
      <c r="J8" s="59"/>
    </row>
    <row r="9" spans="1:14" ht="37.799999999999997" hidden="1" customHeight="1" outlineLevel="1">
      <c r="A9" s="30"/>
      <c r="B9" s="102"/>
      <c r="C9" s="69" t="s">
        <v>1</v>
      </c>
      <c r="D9" s="66" t="s">
        <v>1</v>
      </c>
      <c r="E9" s="66" t="s">
        <v>1</v>
      </c>
      <c r="F9" s="66" t="s">
        <v>1</v>
      </c>
      <c r="G9" s="66" t="s">
        <v>1</v>
      </c>
      <c r="H9" s="66" t="s">
        <v>1</v>
      </c>
      <c r="I9" s="66" t="s">
        <v>1</v>
      </c>
      <c r="J9" s="66" t="s">
        <v>1</v>
      </c>
    </row>
    <row r="10" spans="1:14" ht="4.95" hidden="1" customHeight="1" outlineLevel="1">
      <c r="B10" s="28"/>
      <c r="C10" s="3"/>
      <c r="D10" s="54"/>
      <c r="E10" s="54"/>
      <c r="F10" s="54"/>
      <c r="G10" s="54"/>
      <c r="H10" s="54"/>
      <c r="I10" s="54"/>
      <c r="J10" s="54"/>
    </row>
    <row r="11" spans="1:14" s="88" customFormat="1" ht="30" customHeight="1" collapsed="1">
      <c r="A11" s="5"/>
      <c r="B11" s="117"/>
      <c r="C11" s="118" t="s">
        <v>2</v>
      </c>
      <c r="D11" s="119" t="s">
        <v>45</v>
      </c>
      <c r="E11" s="119" t="s">
        <v>57</v>
      </c>
      <c r="F11" s="119" t="s">
        <v>58</v>
      </c>
      <c r="G11" s="119" t="s">
        <v>59</v>
      </c>
      <c r="H11" s="119" t="s">
        <v>60</v>
      </c>
      <c r="I11" s="119" t="s">
        <v>61</v>
      </c>
      <c r="J11" s="119" t="s">
        <v>62</v>
      </c>
      <c r="K11" s="88" t="s">
        <v>55</v>
      </c>
      <c r="L11" s="88" t="s">
        <v>63</v>
      </c>
    </row>
    <row r="12" spans="1:14" ht="4.95" customHeight="1">
      <c r="A12"/>
      <c r="C12"/>
      <c r="D12"/>
      <c r="E12"/>
      <c r="F12"/>
      <c r="G12"/>
      <c r="H12"/>
      <c r="I12"/>
      <c r="J12"/>
    </row>
    <row r="13" spans="1:14" ht="19.95" customHeight="1" outlineLevel="1">
      <c r="A13" s="61"/>
      <c r="B13" s="72" t="s">
        <v>0</v>
      </c>
      <c r="C13" s="74" t="s">
        <v>52</v>
      </c>
      <c r="D13" s="60"/>
      <c r="E13" s="60"/>
      <c r="F13" s="60"/>
      <c r="G13" s="60"/>
      <c r="H13" s="60"/>
      <c r="I13" s="60"/>
      <c r="J13" s="60"/>
    </row>
    <row r="14" spans="1:14" ht="4.95" customHeight="1" outlineLevel="1">
      <c r="A14" s="61"/>
      <c r="B14" s="63"/>
      <c r="C14" s="64"/>
      <c r="D14" s="61"/>
      <c r="E14" s="60"/>
      <c r="F14" s="60"/>
      <c r="G14" s="60"/>
      <c r="H14" s="60"/>
      <c r="I14" s="60"/>
      <c r="J14" s="60"/>
    </row>
    <row r="15" spans="1:14" ht="84.6" hidden="1" customHeight="1" outlineLevel="2">
      <c r="A15" s="61"/>
      <c r="B15" s="63"/>
      <c r="C15" s="71"/>
      <c r="D15" s="111" t="s">
        <v>24</v>
      </c>
      <c r="E15" s="112"/>
      <c r="F15" s="60"/>
      <c r="G15" s="60"/>
      <c r="H15" s="60"/>
      <c r="I15" s="60"/>
      <c r="J15" s="60"/>
    </row>
    <row r="16" spans="1:14" ht="10.050000000000001" hidden="1" customHeight="1" outlineLevel="2">
      <c r="A16" s="61"/>
      <c r="B16" s="63"/>
      <c r="C16" s="65"/>
      <c r="D16" s="62"/>
      <c r="E16" s="61"/>
      <c r="F16" s="61"/>
      <c r="G16" s="61"/>
      <c r="H16" s="61"/>
      <c r="I16" s="61"/>
      <c r="J16" s="61"/>
    </row>
    <row r="17" spans="1:10" hidden="1" outlineLevel="2">
      <c r="A17" s="61"/>
      <c r="B17" s="63"/>
      <c r="C17" s="85" t="s">
        <v>25</v>
      </c>
      <c r="D17" s="87">
        <v>1015</v>
      </c>
      <c r="E17" s="44"/>
      <c r="F17" s="44"/>
      <c r="G17" s="44"/>
      <c r="H17" s="44"/>
      <c r="I17" s="44"/>
      <c r="J17" s="44"/>
    </row>
    <row r="18" spans="1:10" hidden="1" outlineLevel="2">
      <c r="A18" s="61"/>
      <c r="B18" s="63"/>
      <c r="C18" s="85" t="s">
        <v>46</v>
      </c>
      <c r="D18" s="87">
        <v>7</v>
      </c>
      <c r="E18" s="44"/>
      <c r="F18" s="44"/>
      <c r="G18" s="44"/>
      <c r="H18" s="44"/>
      <c r="I18" s="44"/>
      <c r="J18" s="44"/>
    </row>
    <row r="19" spans="1:10" ht="4.95" hidden="1" customHeight="1" outlineLevel="2">
      <c r="A19" s="61"/>
      <c r="B19" s="63"/>
      <c r="C19" s="65"/>
      <c r="D19" s="62"/>
      <c r="E19"/>
      <c r="F19"/>
      <c r="G19"/>
      <c r="H19"/>
      <c r="I19"/>
      <c r="J19"/>
    </row>
    <row r="20" spans="1:10" ht="19.95" customHeight="1" outlineLevel="1" collapsed="1">
      <c r="B20" s="72" t="s">
        <v>0</v>
      </c>
      <c r="C20" s="74" t="s">
        <v>51</v>
      </c>
      <c r="D20" s="86"/>
      <c r="E20"/>
      <c r="F20"/>
      <c r="G20"/>
      <c r="H20"/>
      <c r="I20" s="142"/>
      <c r="J20"/>
    </row>
    <row r="21" spans="1:10" ht="4.95" customHeight="1" outlineLevel="1">
      <c r="B21" s="9"/>
      <c r="C21" s="33"/>
      <c r="D21" s="33"/>
      <c r="E21" s="33"/>
      <c r="F21" s="33"/>
      <c r="G21" s="33"/>
      <c r="H21" s="33"/>
      <c r="I21" s="33"/>
      <c r="J21" s="33"/>
    </row>
    <row r="22" spans="1:10" ht="14.4" hidden="1" customHeight="1" outlineLevel="2">
      <c r="A22" s="34"/>
      <c r="B22" s="35"/>
      <c r="C22" s="82" t="s">
        <v>3</v>
      </c>
      <c r="D22" s="11" t="s">
        <v>65</v>
      </c>
      <c r="E22" s="11" t="s">
        <v>65</v>
      </c>
      <c r="F22" s="11" t="s">
        <v>65</v>
      </c>
      <c r="G22" s="11" t="s">
        <v>69</v>
      </c>
      <c r="H22" s="11" t="s">
        <v>69</v>
      </c>
      <c r="I22" s="11" t="s">
        <v>70</v>
      </c>
      <c r="J22" s="11" t="s">
        <v>65</v>
      </c>
    </row>
    <row r="23" spans="1:10" ht="14.4" hidden="1" customHeight="1" outlineLevel="2">
      <c r="A23" s="34"/>
      <c r="B23" s="36"/>
      <c r="C23" s="80" t="s">
        <v>7</v>
      </c>
      <c r="D23" s="37">
        <v>0.99802955665024595</v>
      </c>
      <c r="E23" s="37">
        <v>2.95566502463054E-2</v>
      </c>
      <c r="F23" s="37">
        <v>7.8817733990147708E-3</v>
      </c>
      <c r="G23" s="37">
        <v>1.6748768472906399E-2</v>
      </c>
      <c r="H23" s="37">
        <v>8.6699507389162503E-2</v>
      </c>
      <c r="I23" s="37">
        <v>0.70541871921182198</v>
      </c>
      <c r="J23" s="37">
        <v>3.9408866995073802E-3</v>
      </c>
    </row>
    <row r="24" spans="1:10" ht="14.4" hidden="1" customHeight="1" outlineLevel="2">
      <c r="A24" s="34"/>
      <c r="B24" s="36"/>
      <c r="C24" s="80" t="s">
        <v>10</v>
      </c>
      <c r="D24" s="37">
        <v>0</v>
      </c>
      <c r="E24" s="37">
        <v>0</v>
      </c>
      <c r="F24" s="37">
        <v>0</v>
      </c>
      <c r="G24" s="37">
        <v>0</v>
      </c>
      <c r="H24" s="37">
        <v>0</v>
      </c>
      <c r="I24" s="37">
        <v>0</v>
      </c>
      <c r="J24" s="37">
        <v>0</v>
      </c>
    </row>
    <row r="25" spans="1:10" ht="14.4" hidden="1" customHeight="1" outlineLevel="2">
      <c r="B25" s="12"/>
      <c r="C25" s="84" t="s">
        <v>5</v>
      </c>
      <c r="D25" s="37">
        <v>0.65388541458893101</v>
      </c>
      <c r="E25" s="37">
        <v>2.8300226448743901E-2</v>
      </c>
      <c r="F25" s="37">
        <v>1.7306315925330499E-2</v>
      </c>
      <c r="G25" s="37">
        <v>4.7636367902943802E-2</v>
      </c>
      <c r="H25" s="37">
        <v>4.7636367902943802E-2</v>
      </c>
      <c r="I25" s="37">
        <v>9.5272735805887604E-2</v>
      </c>
      <c r="J25" s="37">
        <v>1.46898356193314E-2</v>
      </c>
    </row>
    <row r="26" spans="1:10" ht="14.4" hidden="1" customHeight="1" outlineLevel="2">
      <c r="B26" s="12"/>
      <c r="C26" s="80" t="s">
        <v>4</v>
      </c>
      <c r="D26" s="11">
        <v>55730</v>
      </c>
      <c r="E26" s="11">
        <v>2412</v>
      </c>
      <c r="F26" s="11">
        <v>1475</v>
      </c>
      <c r="G26" s="11">
        <v>4060</v>
      </c>
      <c r="H26" s="11">
        <v>4060</v>
      </c>
      <c r="I26" s="11">
        <v>8120</v>
      </c>
      <c r="J26" s="11">
        <v>1252</v>
      </c>
    </row>
    <row r="27" spans="1:10" ht="14.4" hidden="1" customHeight="1" outlineLevel="2">
      <c r="B27" s="12"/>
      <c r="C27" s="80" t="s">
        <v>6</v>
      </c>
      <c r="D27" s="11">
        <v>1013</v>
      </c>
      <c r="E27" s="11">
        <v>30</v>
      </c>
      <c r="F27" s="11">
        <v>8</v>
      </c>
      <c r="G27" s="11">
        <v>17</v>
      </c>
      <c r="H27" s="11">
        <v>88</v>
      </c>
      <c r="I27" s="11">
        <v>716</v>
      </c>
      <c r="J27" s="11">
        <v>4</v>
      </c>
    </row>
    <row r="28" spans="1:10" ht="14.4" hidden="1" customHeight="1" outlineLevel="2">
      <c r="B28" s="12"/>
      <c r="C28" s="80" t="s">
        <v>8</v>
      </c>
      <c r="D28" s="11">
        <v>1015</v>
      </c>
      <c r="E28" s="11">
        <v>1015</v>
      </c>
      <c r="F28" s="11">
        <v>1015</v>
      </c>
      <c r="G28" s="11">
        <v>1015</v>
      </c>
      <c r="H28" s="11">
        <v>1015</v>
      </c>
      <c r="I28" s="11">
        <v>1015</v>
      </c>
      <c r="J28" s="11">
        <v>1015</v>
      </c>
    </row>
    <row r="29" spans="1:10" ht="14.4" hidden="1" customHeight="1" outlineLevel="2">
      <c r="B29" s="12"/>
      <c r="C29" s="84" t="s">
        <v>9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</row>
    <row r="30" spans="1:10" ht="4.95" hidden="1" customHeight="1" outlineLevel="2">
      <c r="B30" s="9"/>
      <c r="D30" s="6"/>
      <c r="E30" s="6"/>
      <c r="F30" s="6"/>
      <c r="G30" s="6"/>
      <c r="H30" s="6"/>
      <c r="I30" s="6"/>
      <c r="J30" s="6"/>
    </row>
    <row r="31" spans="1:10" ht="150" hidden="1" customHeight="1" outlineLevel="2">
      <c r="B31" s="19"/>
      <c r="C31" s="15"/>
      <c r="D31" s="16"/>
      <c r="E31" s="16"/>
      <c r="F31" s="16"/>
      <c r="G31" s="16"/>
      <c r="H31" s="16"/>
      <c r="I31" s="16"/>
      <c r="J31" s="16"/>
    </row>
    <row r="32" spans="1:10" ht="4.95" hidden="1" customHeight="1" outlineLevel="2">
      <c r="B32" s="9"/>
      <c r="D32" s="6"/>
      <c r="E32" s="6"/>
      <c r="F32" s="6"/>
      <c r="G32" s="6"/>
      <c r="H32" s="6"/>
      <c r="I32" s="6"/>
      <c r="J32" s="6"/>
    </row>
    <row r="33" spans="1:10" ht="19.95" customHeight="1" outlineLevel="1" collapsed="1">
      <c r="B33" s="72" t="s">
        <v>0</v>
      </c>
      <c r="C33" s="74" t="s">
        <v>50</v>
      </c>
      <c r="D33" s="6"/>
      <c r="E33" s="6"/>
      <c r="F33" s="6"/>
      <c r="G33" s="6"/>
      <c r="H33" s="6"/>
      <c r="I33" s="6"/>
      <c r="J33" s="6"/>
    </row>
    <row r="34" spans="1:10" ht="4.95" customHeight="1" outlineLevel="1">
      <c r="A34" s="18"/>
      <c r="B34" s="19"/>
      <c r="C34" s="20"/>
      <c r="D34" s="6"/>
      <c r="E34" s="6"/>
      <c r="F34" s="6"/>
      <c r="G34" s="6"/>
      <c r="H34" s="6"/>
      <c r="I34" s="6"/>
      <c r="J34" s="6"/>
    </row>
    <row r="35" spans="1:10" ht="14.4" hidden="1" customHeight="1" outlineLevel="2">
      <c r="B35" s="10"/>
      <c r="C35" s="82" t="s">
        <v>11</v>
      </c>
      <c r="D35" s="21"/>
      <c r="E35" s="21"/>
      <c r="F35" s="21"/>
      <c r="G35" s="21">
        <v>73.689655172413794</v>
      </c>
      <c r="H35" s="21">
        <v>201.34876847290599</v>
      </c>
      <c r="I35" s="21">
        <v>28.708354679802898</v>
      </c>
      <c r="J35" s="21"/>
    </row>
    <row r="36" spans="1:10" ht="14.4" hidden="1" customHeight="1" outlineLevel="2">
      <c r="B36" s="12"/>
      <c r="C36" s="83" t="s">
        <v>12</v>
      </c>
      <c r="D36" s="22"/>
      <c r="E36" s="22"/>
      <c r="F36" s="22"/>
      <c r="G36" s="22">
        <v>74</v>
      </c>
      <c r="H36" s="22">
        <v>200</v>
      </c>
      <c r="I36" s="22">
        <v>27.9</v>
      </c>
      <c r="J36" s="22"/>
    </row>
    <row r="37" spans="1:10" ht="14.4" hidden="1" customHeight="1" outlineLevel="2">
      <c r="B37" s="12"/>
      <c r="C37" s="80" t="s">
        <v>13</v>
      </c>
      <c r="D37" s="13" t="s">
        <v>66</v>
      </c>
      <c r="E37" s="13" t="s">
        <v>67</v>
      </c>
      <c r="F37" s="13" t="s">
        <v>68</v>
      </c>
      <c r="G37" s="13">
        <v>74</v>
      </c>
      <c r="H37" s="13">
        <v>200</v>
      </c>
      <c r="I37" s="13">
        <v>24.94</v>
      </c>
      <c r="J37" s="13" t="s">
        <v>71</v>
      </c>
    </row>
    <row r="38" spans="1:10" ht="14.4" hidden="1" customHeight="1" outlineLevel="2">
      <c r="B38" s="12"/>
      <c r="C38" s="83" t="s">
        <v>14</v>
      </c>
      <c r="D38" s="23"/>
      <c r="E38" s="23"/>
      <c r="F38" s="23"/>
      <c r="G38" s="23">
        <v>2.3139320299356401</v>
      </c>
      <c r="H38" s="23">
        <v>20.8231147158635</v>
      </c>
      <c r="I38" s="23">
        <v>4.3144526796987996</v>
      </c>
      <c r="J38" s="23"/>
    </row>
    <row r="39" spans="1:10" ht="14.4" hidden="1" customHeight="1" outlineLevel="2">
      <c r="B39" s="12"/>
      <c r="C39" s="84" t="s">
        <v>15</v>
      </c>
      <c r="D39" s="21"/>
      <c r="E39" s="21"/>
      <c r="F39" s="21"/>
      <c r="G39" s="21">
        <v>5.3542814391620697</v>
      </c>
      <c r="H39" s="21">
        <v>433.60210647001099</v>
      </c>
      <c r="I39" s="21">
        <v>18.614501925360202</v>
      </c>
      <c r="J39" s="21"/>
    </row>
    <row r="40" spans="1:10" ht="4.95" hidden="1" customHeight="1" outlineLevel="2">
      <c r="B40" s="9"/>
      <c r="D40" s="6"/>
      <c r="E40" s="6"/>
      <c r="F40" s="6"/>
      <c r="G40" s="6"/>
      <c r="H40" s="6"/>
      <c r="I40" s="6"/>
      <c r="J40" s="6"/>
    </row>
    <row r="41" spans="1:10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  <c r="J41" s="16"/>
    </row>
    <row r="42" spans="1:10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  <c r="J42" s="6"/>
    </row>
    <row r="43" spans="1:10" ht="19.95" customHeight="1" outlineLevel="1" collapsed="1">
      <c r="B43" s="72" t="s">
        <v>0</v>
      </c>
      <c r="C43" s="74" t="s">
        <v>49</v>
      </c>
      <c r="D43" s="6"/>
      <c r="E43" s="6"/>
      <c r="F43" s="6"/>
      <c r="G43" s="6"/>
      <c r="H43" s="6"/>
      <c r="I43" s="6"/>
      <c r="J43" s="6"/>
    </row>
    <row r="44" spans="1:10" ht="4.95" customHeight="1" outlineLevel="1">
      <c r="A44" s="18"/>
      <c r="B44" s="19"/>
      <c r="C44" s="20"/>
      <c r="D44" s="6"/>
      <c r="E44" s="6"/>
      <c r="F44" s="6"/>
      <c r="G44" s="6"/>
      <c r="H44" s="6"/>
      <c r="I44" s="6"/>
      <c r="J44" s="6"/>
    </row>
    <row r="45" spans="1:10" ht="14.4" hidden="1" customHeight="1" outlineLevel="2">
      <c r="B45" s="10"/>
      <c r="C45" s="77" t="s">
        <v>16</v>
      </c>
      <c r="D45" s="23"/>
      <c r="E45" s="23"/>
      <c r="F45" s="23"/>
      <c r="G45" s="23">
        <v>67</v>
      </c>
      <c r="H45" s="23">
        <v>150</v>
      </c>
      <c r="I45" s="23">
        <v>20.9</v>
      </c>
      <c r="J45" s="23"/>
    </row>
    <row r="46" spans="1:10" ht="14.4" hidden="1" customHeight="1" outlineLevel="2">
      <c r="B46" s="9"/>
      <c r="C46" s="78">
        <v>0.05</v>
      </c>
      <c r="D46" s="21"/>
      <c r="E46" s="21"/>
      <c r="F46" s="21"/>
      <c r="G46" s="21">
        <v>70</v>
      </c>
      <c r="H46" s="21">
        <v>170</v>
      </c>
      <c r="I46" s="21">
        <v>23.13</v>
      </c>
      <c r="J46" s="21"/>
    </row>
    <row r="47" spans="1:10" ht="14.4" hidden="1" customHeight="1" outlineLevel="2">
      <c r="B47" s="9"/>
      <c r="C47" s="79">
        <v>0.25</v>
      </c>
      <c r="D47" s="23"/>
      <c r="E47" s="23"/>
      <c r="F47" s="23"/>
      <c r="G47" s="23">
        <v>72</v>
      </c>
      <c r="H47" s="23">
        <v>186</v>
      </c>
      <c r="I47" s="23">
        <v>25.405000000000001</v>
      </c>
      <c r="J47" s="23"/>
    </row>
    <row r="48" spans="1:10" ht="14.4" hidden="1" customHeight="1" outlineLevel="2">
      <c r="B48" s="9"/>
      <c r="C48" s="78">
        <v>0.5</v>
      </c>
      <c r="D48" s="21"/>
      <c r="E48" s="21"/>
      <c r="F48" s="21"/>
      <c r="G48" s="21">
        <v>74</v>
      </c>
      <c r="H48" s="21">
        <v>200</v>
      </c>
      <c r="I48" s="21">
        <v>27.9</v>
      </c>
      <c r="J48" s="21"/>
    </row>
    <row r="49" spans="1:10" ht="14.4" hidden="1" customHeight="1" outlineLevel="2">
      <c r="B49" s="9"/>
      <c r="C49" s="79">
        <v>0.75</v>
      </c>
      <c r="D49" s="23"/>
      <c r="E49" s="23"/>
      <c r="F49" s="23"/>
      <c r="G49" s="23">
        <v>75</v>
      </c>
      <c r="H49" s="23">
        <v>215</v>
      </c>
      <c r="I49" s="23">
        <v>31.189999999999898</v>
      </c>
      <c r="J49" s="23"/>
    </row>
    <row r="50" spans="1:10" ht="14.4" hidden="1" customHeight="1" outlineLevel="2">
      <c r="B50" s="9"/>
      <c r="C50" s="78">
        <v>0.95</v>
      </c>
      <c r="D50" s="21"/>
      <c r="E50" s="21"/>
      <c r="F50" s="21"/>
      <c r="G50" s="21">
        <v>77.299999999999898</v>
      </c>
      <c r="H50" s="21">
        <v>239.29999999999899</v>
      </c>
      <c r="I50" s="21">
        <v>37.174999999999997</v>
      </c>
      <c r="J50" s="21"/>
    </row>
    <row r="51" spans="1:10" ht="14.4" hidden="1" customHeight="1" outlineLevel="2">
      <c r="B51" s="9"/>
      <c r="C51" s="79" t="s">
        <v>17</v>
      </c>
      <c r="D51" s="23"/>
      <c r="E51" s="23"/>
      <c r="F51" s="23"/>
      <c r="G51" s="23">
        <v>83</v>
      </c>
      <c r="H51" s="23">
        <v>290</v>
      </c>
      <c r="I51" s="23">
        <v>48.52</v>
      </c>
      <c r="J51" s="23"/>
    </row>
    <row r="52" spans="1:10" ht="14.4" hidden="1" customHeight="1" outlineLevel="2">
      <c r="B52" s="9"/>
      <c r="C52" s="80" t="s">
        <v>18</v>
      </c>
      <c r="D52" s="21"/>
      <c r="E52" s="21"/>
      <c r="F52" s="21"/>
      <c r="G52" s="21">
        <v>16</v>
      </c>
      <c r="H52" s="21">
        <v>140</v>
      </c>
      <c r="I52" s="21">
        <v>27.62</v>
      </c>
      <c r="J52" s="21"/>
    </row>
    <row r="53" spans="1:10" ht="14.4" hidden="1" customHeight="1" outlineLevel="2">
      <c r="B53" s="9"/>
      <c r="C53" s="81" t="s">
        <v>19</v>
      </c>
      <c r="D53" s="23"/>
      <c r="E53" s="23"/>
      <c r="F53" s="23"/>
      <c r="G53" s="23">
        <v>3</v>
      </c>
      <c r="H53" s="23">
        <v>29</v>
      </c>
      <c r="I53" s="23">
        <v>5.7849999999999904</v>
      </c>
      <c r="J53" s="23"/>
    </row>
    <row r="54" spans="1:10" ht="4.95" hidden="1" customHeight="1" outlineLevel="2">
      <c r="B54" s="9"/>
      <c r="D54" s="6"/>
      <c r="E54" s="6"/>
      <c r="F54" s="6"/>
      <c r="G54" s="6"/>
      <c r="H54" s="6"/>
      <c r="I54" s="6"/>
      <c r="J54" s="6"/>
    </row>
    <row r="55" spans="1:10" ht="19.95" customHeight="1" outlineLevel="1" collapsed="1">
      <c r="A55" s="28"/>
      <c r="B55" s="72" t="s">
        <v>0</v>
      </c>
      <c r="C55" s="74" t="s">
        <v>48</v>
      </c>
      <c r="D55" s="6"/>
      <c r="E55" s="6"/>
      <c r="F55" s="6"/>
      <c r="G55" s="6"/>
      <c r="H55" s="6"/>
      <c r="I55" s="6"/>
      <c r="J55" s="6"/>
    </row>
    <row r="56" spans="1:10" ht="4.95" customHeight="1" outlineLevel="1">
      <c r="A56" s="28"/>
      <c r="B56" s="19"/>
      <c r="D56" s="6"/>
      <c r="E56" s="6"/>
      <c r="F56" s="6"/>
      <c r="G56" s="6"/>
      <c r="H56" s="6"/>
      <c r="I56" s="6"/>
      <c r="J56" s="6"/>
    </row>
    <row r="57" spans="1:10" ht="14.4" hidden="1" customHeight="1" outlineLevel="2">
      <c r="A57" s="28"/>
      <c r="B57" s="28"/>
      <c r="C57" s="75" t="s">
        <v>39</v>
      </c>
      <c r="D57" s="56" t="b">
        <v>0</v>
      </c>
      <c r="E57" s="56" t="b">
        <v>0</v>
      </c>
      <c r="F57" s="56" t="b">
        <v>0</v>
      </c>
      <c r="G57" s="56" t="b">
        <v>0</v>
      </c>
      <c r="H57" s="56" t="b">
        <v>0</v>
      </c>
      <c r="I57" s="56" t="b">
        <v>0</v>
      </c>
      <c r="J57" s="56" t="b">
        <v>0</v>
      </c>
    </row>
    <row r="58" spans="1:10" ht="14.4" hidden="1" customHeight="1" outlineLevel="2">
      <c r="A58" s="28"/>
      <c r="B58" s="28"/>
      <c r="C58" s="75" t="s">
        <v>40</v>
      </c>
      <c r="D58" s="56" t="b">
        <v>0</v>
      </c>
      <c r="E58" s="56" t="b">
        <v>0</v>
      </c>
      <c r="F58" s="56" t="b">
        <v>0</v>
      </c>
      <c r="G58" s="56" t="b">
        <v>0</v>
      </c>
      <c r="H58" s="56" t="b">
        <v>0</v>
      </c>
      <c r="I58" s="56" t="b">
        <v>0</v>
      </c>
      <c r="J58" s="56" t="b">
        <v>0</v>
      </c>
    </row>
    <row r="59" spans="1:10" ht="14.4" hidden="1" customHeight="1" outlineLevel="2">
      <c r="A59" s="28"/>
      <c r="B59" s="28"/>
      <c r="C59" s="75" t="s">
        <v>41</v>
      </c>
      <c r="D59" s="56" t="b">
        <v>0</v>
      </c>
      <c r="E59" s="56" t="b">
        <v>0</v>
      </c>
      <c r="F59" s="56" t="b">
        <v>0</v>
      </c>
      <c r="G59" s="56" t="b">
        <v>0</v>
      </c>
      <c r="H59" s="56" t="b">
        <v>0</v>
      </c>
      <c r="I59" s="56" t="b">
        <v>0</v>
      </c>
      <c r="J59" s="56" t="b">
        <v>0</v>
      </c>
    </row>
    <row r="60" spans="1:10" ht="14.4" hidden="1" customHeight="1" outlineLevel="2">
      <c r="A60" s="28"/>
      <c r="B60" s="28"/>
      <c r="C60" s="75" t="s">
        <v>42</v>
      </c>
      <c r="D60" s="56" t="b">
        <v>0</v>
      </c>
      <c r="E60" s="56" t="b">
        <v>0</v>
      </c>
      <c r="F60" s="56" t="b">
        <v>0</v>
      </c>
      <c r="G60" s="56" t="b">
        <v>0</v>
      </c>
      <c r="H60" s="56" t="b">
        <v>0</v>
      </c>
      <c r="I60" s="56" t="b">
        <v>0</v>
      </c>
      <c r="J60" s="56" t="b">
        <v>0</v>
      </c>
    </row>
    <row r="61" spans="1:10" ht="14.4" hidden="1" customHeight="1" outlineLevel="2">
      <c r="A61" s="28"/>
      <c r="B61" s="28"/>
      <c r="C61" s="75" t="s">
        <v>43</v>
      </c>
      <c r="D61" s="56" t="b">
        <v>0</v>
      </c>
      <c r="E61" s="56" t="b">
        <v>0</v>
      </c>
      <c r="F61" s="56" t="b">
        <v>0</v>
      </c>
      <c r="G61" s="56" t="b">
        <v>0</v>
      </c>
      <c r="H61" s="56" t="b">
        <v>0</v>
      </c>
      <c r="I61" s="56" t="b">
        <v>0</v>
      </c>
      <c r="J61" s="56" t="b">
        <v>0</v>
      </c>
    </row>
    <row r="62" spans="1:10" ht="14.4" hidden="1" customHeight="1" outlineLevel="2">
      <c r="A62" s="28"/>
      <c r="B62" s="28"/>
      <c r="C62" s="75" t="s">
        <v>44</v>
      </c>
      <c r="D62" s="56" t="b">
        <v>0</v>
      </c>
      <c r="E62" s="56" t="b">
        <v>0</v>
      </c>
      <c r="F62" s="56" t="b">
        <v>0</v>
      </c>
      <c r="G62" s="56" t="b">
        <v>0</v>
      </c>
      <c r="H62" s="56" t="b">
        <v>0</v>
      </c>
      <c r="I62" s="56" t="b">
        <v>0</v>
      </c>
      <c r="J62" s="56" t="b">
        <v>0</v>
      </c>
    </row>
    <row r="63" spans="1:10" ht="14.4" hidden="1" customHeight="1" outlineLevel="2">
      <c r="A63" s="28"/>
      <c r="B63" s="28"/>
      <c r="C63" s="75" t="s">
        <v>21</v>
      </c>
      <c r="D63" s="56" t="b">
        <v>0</v>
      </c>
      <c r="E63" s="56" t="b">
        <v>0</v>
      </c>
      <c r="F63" s="56" t="b">
        <v>0</v>
      </c>
      <c r="G63" s="56" t="b">
        <v>0</v>
      </c>
      <c r="H63" s="56" t="b">
        <v>0</v>
      </c>
      <c r="I63" s="56" t="b">
        <v>0</v>
      </c>
      <c r="J63" s="56" t="b">
        <v>0</v>
      </c>
    </row>
    <row r="64" spans="1:10" ht="14.4" hidden="1" customHeight="1" outlineLevel="2">
      <c r="B64" s="28"/>
      <c r="C64" s="76" t="s">
        <v>22</v>
      </c>
      <c r="D64" s="56" t="b">
        <v>0</v>
      </c>
      <c r="E64" s="56" t="b">
        <v>0</v>
      </c>
      <c r="F64" s="56" t="b">
        <v>0</v>
      </c>
      <c r="G64" s="56" t="b">
        <v>0</v>
      </c>
      <c r="H64" s="56" t="b">
        <v>0</v>
      </c>
      <c r="I64" s="56" t="b">
        <v>0</v>
      </c>
      <c r="J64" s="56" t="b">
        <v>0</v>
      </c>
    </row>
    <row r="65" spans="1:12" ht="4.95" hidden="1" customHeight="1" outlineLevel="2">
      <c r="B65" s="19"/>
      <c r="D65" s="6"/>
      <c r="E65" s="6"/>
      <c r="F65" s="6"/>
      <c r="G65" s="6"/>
      <c r="H65" s="6"/>
      <c r="I65" s="6"/>
      <c r="J65" s="6"/>
    </row>
    <row r="66" spans="1:12" ht="19.95" customHeight="1" outlineLevel="1" collapsed="1">
      <c r="A66" s="28"/>
      <c r="B66" s="72" t="s">
        <v>0</v>
      </c>
      <c r="C66" s="74" t="s">
        <v>47</v>
      </c>
      <c r="D66" s="6"/>
      <c r="E66" s="6"/>
      <c r="F66" s="6"/>
      <c r="G66" s="6"/>
      <c r="H66" s="6"/>
      <c r="I66" s="6"/>
      <c r="J66" s="6"/>
    </row>
    <row r="67" spans="1:12" ht="4.95" customHeight="1">
      <c r="A67" s="28"/>
      <c r="B67" s="7"/>
      <c r="C67" s="8"/>
      <c r="D67" s="6"/>
      <c r="E67" s="6"/>
      <c r="F67" s="6"/>
      <c r="G67" s="6"/>
      <c r="H67" s="6"/>
      <c r="I67" s="6"/>
      <c r="J67" s="6"/>
    </row>
    <row r="68" spans="1:12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2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2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2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2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2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2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2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2" ht="14.4" hidden="1" customHeight="1" outlineLevel="2">
      <c r="B76" s="104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2" ht="4.95" hidden="1" customHeight="1" outlineLevel="2">
      <c r="B77" s="19"/>
      <c r="C77" s="25"/>
      <c r="D77" s="26"/>
      <c r="E77" s="26"/>
      <c r="F77" s="26"/>
      <c r="G77" s="26"/>
      <c r="H77" s="26"/>
      <c r="I77" s="26"/>
      <c r="J77" s="26"/>
    </row>
    <row r="78" spans="1:12" ht="30" customHeight="1" collapsed="1">
      <c r="C78" s="120" t="s">
        <v>20</v>
      </c>
      <c r="D78" s="27" t="s">
        <v>45</v>
      </c>
      <c r="E78" s="27" t="s">
        <v>57</v>
      </c>
      <c r="F78" s="27" t="s">
        <v>58</v>
      </c>
      <c r="G78" s="27" t="s">
        <v>59</v>
      </c>
      <c r="H78" s="27" t="s">
        <v>60</v>
      </c>
      <c r="I78" s="27" t="s">
        <v>61</v>
      </c>
      <c r="J78" s="27" t="s">
        <v>62</v>
      </c>
      <c r="K78" s="120" t="s">
        <v>55</v>
      </c>
      <c r="L78" s="120" t="s">
        <v>63</v>
      </c>
    </row>
    <row r="79" spans="1:12">
      <c r="C79" s="29" t="b">
        <v>0</v>
      </c>
      <c r="D79" s="30" t="s">
        <v>72</v>
      </c>
      <c r="E79" s="30" t="s">
        <v>73</v>
      </c>
      <c r="F79" s="30" t="s">
        <v>74</v>
      </c>
      <c r="G79" s="30">
        <v>74</v>
      </c>
      <c r="H79" s="30">
        <v>180</v>
      </c>
      <c r="I79" s="30">
        <v>22.99</v>
      </c>
      <c r="J79" s="30" t="s">
        <v>74</v>
      </c>
      <c r="K79" s="58">
        <v>0</v>
      </c>
      <c r="L79" s="58">
        <v>5.74150908949256E+17</v>
      </c>
    </row>
    <row r="80" spans="1:12">
      <c r="C80" s="29" t="b">
        <v>0</v>
      </c>
      <c r="D80" s="30" t="s">
        <v>75</v>
      </c>
      <c r="E80" s="30" t="s">
        <v>73</v>
      </c>
      <c r="F80" s="30" t="s">
        <v>74</v>
      </c>
      <c r="G80" s="30">
        <v>74</v>
      </c>
      <c r="H80" s="30">
        <v>215</v>
      </c>
      <c r="I80" s="30">
        <v>34.69</v>
      </c>
      <c r="J80" s="30" t="s">
        <v>74</v>
      </c>
      <c r="K80" s="58">
        <v>0</v>
      </c>
      <c r="L80" s="58">
        <v>7.4015994310922998E+18</v>
      </c>
    </row>
    <row r="81" spans="3:12">
      <c r="C81" s="29" t="b">
        <v>0</v>
      </c>
      <c r="D81" s="30" t="s">
        <v>76</v>
      </c>
      <c r="E81" s="137" t="s">
        <v>73</v>
      </c>
      <c r="F81" s="30" t="s">
        <v>74</v>
      </c>
      <c r="G81" s="30">
        <v>72</v>
      </c>
      <c r="H81" s="30">
        <v>210</v>
      </c>
      <c r="I81" s="30">
        <v>30.78</v>
      </c>
      <c r="J81" s="30" t="s">
        <v>74</v>
      </c>
      <c r="K81" s="58">
        <v>0</v>
      </c>
      <c r="L81" s="58">
        <v>7.26895125775373E+18</v>
      </c>
    </row>
    <row r="82" spans="3:12">
      <c r="C82" s="29" t="b">
        <v>0</v>
      </c>
      <c r="D82" s="30" t="s">
        <v>77</v>
      </c>
      <c r="E82" s="137" t="s">
        <v>73</v>
      </c>
      <c r="F82" s="30" t="s">
        <v>78</v>
      </c>
      <c r="G82" s="30">
        <v>72</v>
      </c>
      <c r="H82" s="30">
        <v>210</v>
      </c>
      <c r="I82" s="30">
        <v>35.43</v>
      </c>
      <c r="J82" s="30" t="s">
        <v>79</v>
      </c>
      <c r="K82" s="58">
        <v>0</v>
      </c>
      <c r="L82" s="58">
        <v>4.66450228946671E+18</v>
      </c>
    </row>
    <row r="83" spans="3:12">
      <c r="C83" s="29" t="b">
        <v>0</v>
      </c>
      <c r="D83" s="30" t="s">
        <v>80</v>
      </c>
      <c r="E83" s="137" t="s">
        <v>73</v>
      </c>
      <c r="F83" s="30" t="s">
        <v>78</v>
      </c>
      <c r="G83" s="30">
        <v>73</v>
      </c>
      <c r="H83" s="30">
        <v>188</v>
      </c>
      <c r="I83" s="30">
        <v>35.71</v>
      </c>
      <c r="J83" s="30" t="s">
        <v>79</v>
      </c>
      <c r="K83" s="58">
        <v>0</v>
      </c>
      <c r="L83" s="58">
        <v>3.5957060746077798E+18</v>
      </c>
    </row>
    <row r="84" spans="3:12">
      <c r="C84" s="29" t="b">
        <v>0</v>
      </c>
      <c r="D84" s="30" t="s">
        <v>81</v>
      </c>
      <c r="E84" s="137" t="s">
        <v>73</v>
      </c>
      <c r="F84" s="30" t="s">
        <v>82</v>
      </c>
      <c r="G84" s="30">
        <v>69</v>
      </c>
      <c r="H84" s="30">
        <v>176</v>
      </c>
      <c r="I84" s="30">
        <v>29.39</v>
      </c>
      <c r="J84" s="30" t="s">
        <v>79</v>
      </c>
      <c r="K84" s="58">
        <v>0</v>
      </c>
      <c r="L84" s="58">
        <v>1.35317808760051E+19</v>
      </c>
    </row>
    <row r="85" spans="3:12">
      <c r="C85" s="29" t="b">
        <v>0</v>
      </c>
      <c r="D85" s="30" t="s">
        <v>83</v>
      </c>
      <c r="E85" s="137" t="s">
        <v>73</v>
      </c>
      <c r="F85" s="30" t="s">
        <v>84</v>
      </c>
      <c r="G85" s="30">
        <v>69</v>
      </c>
      <c r="H85" s="30">
        <v>209</v>
      </c>
      <c r="I85" s="30">
        <v>30.77</v>
      </c>
      <c r="J85" s="30" t="s">
        <v>79</v>
      </c>
      <c r="K85" s="58">
        <v>0</v>
      </c>
      <c r="L85" s="58">
        <v>3.3620760473245901E+18</v>
      </c>
    </row>
    <row r="86" spans="3:12">
      <c r="C86" s="29" t="b">
        <v>0</v>
      </c>
      <c r="D86" s="30" t="s">
        <v>85</v>
      </c>
      <c r="E86" s="137" t="s">
        <v>73</v>
      </c>
      <c r="F86" s="30" t="s">
        <v>86</v>
      </c>
      <c r="G86" s="30">
        <v>71</v>
      </c>
      <c r="H86" s="30">
        <v>200</v>
      </c>
      <c r="I86" s="30">
        <v>35.07</v>
      </c>
      <c r="J86" s="30" t="s">
        <v>79</v>
      </c>
      <c r="K86" s="58">
        <v>0</v>
      </c>
      <c r="L86" s="58">
        <v>1.22652201772015E+19</v>
      </c>
    </row>
    <row r="87" spans="3:12">
      <c r="C87" s="29" t="b">
        <v>0</v>
      </c>
      <c r="D87" s="30" t="s">
        <v>87</v>
      </c>
      <c r="E87" s="137" t="s">
        <v>73</v>
      </c>
      <c r="F87" s="30" t="s">
        <v>86</v>
      </c>
      <c r="G87" s="30">
        <v>76</v>
      </c>
      <c r="H87" s="30">
        <v>231</v>
      </c>
      <c r="I87" s="30">
        <v>30.19</v>
      </c>
      <c r="J87" s="30" t="s">
        <v>79</v>
      </c>
      <c r="K87" s="58">
        <v>0</v>
      </c>
      <c r="L87" s="58">
        <v>3.2875448276330102E+18</v>
      </c>
    </row>
    <row r="88" spans="3:12">
      <c r="C88" s="29" t="b">
        <v>0</v>
      </c>
      <c r="D88" s="30" t="s">
        <v>88</v>
      </c>
      <c r="E88" s="137" t="s">
        <v>73</v>
      </c>
      <c r="F88" s="30" t="s">
        <v>89</v>
      </c>
      <c r="G88" s="30">
        <v>71</v>
      </c>
      <c r="H88" s="30">
        <v>180</v>
      </c>
      <c r="I88" s="30">
        <v>27.05</v>
      </c>
      <c r="J88" s="30" t="s">
        <v>89</v>
      </c>
      <c r="K88" s="58">
        <v>0</v>
      </c>
      <c r="L88" s="58">
        <v>1.79528373498554E+19</v>
      </c>
    </row>
    <row r="89" spans="3:12">
      <c r="C89" s="29" t="b">
        <v>0</v>
      </c>
      <c r="D89" s="30" t="s">
        <v>90</v>
      </c>
      <c r="E89" s="137" t="s">
        <v>73</v>
      </c>
      <c r="F89" s="30" t="s">
        <v>89</v>
      </c>
      <c r="G89" s="30">
        <v>73</v>
      </c>
      <c r="H89" s="30">
        <v>188</v>
      </c>
      <c r="I89" s="30">
        <v>23.88</v>
      </c>
      <c r="J89" s="30" t="s">
        <v>89</v>
      </c>
      <c r="K89" s="58">
        <v>0</v>
      </c>
      <c r="L89" s="58">
        <v>5.3232258717376502E+18</v>
      </c>
    </row>
    <row r="90" spans="3:12">
      <c r="C90" s="29" t="b">
        <v>0</v>
      </c>
      <c r="D90" s="30" t="s">
        <v>91</v>
      </c>
      <c r="E90" s="137" t="s">
        <v>73</v>
      </c>
      <c r="F90" s="30" t="s">
        <v>89</v>
      </c>
      <c r="G90" s="30">
        <v>73</v>
      </c>
      <c r="H90" s="30">
        <v>180</v>
      </c>
      <c r="I90" s="30">
        <v>26.96</v>
      </c>
      <c r="J90" s="30" t="s">
        <v>89</v>
      </c>
      <c r="K90" s="58">
        <v>0</v>
      </c>
      <c r="L90" s="58">
        <v>8.7052753781683702E+18</v>
      </c>
    </row>
    <row r="91" spans="3:12">
      <c r="C91" s="29" t="b">
        <v>0</v>
      </c>
      <c r="D91" s="30" t="s">
        <v>92</v>
      </c>
      <c r="E91" s="137" t="s">
        <v>73</v>
      </c>
      <c r="F91" s="30" t="s">
        <v>89</v>
      </c>
      <c r="G91" s="30">
        <v>74</v>
      </c>
      <c r="H91" s="30">
        <v>185</v>
      </c>
      <c r="I91" s="30">
        <v>23.29</v>
      </c>
      <c r="J91" s="30" t="s">
        <v>89</v>
      </c>
      <c r="K91" s="58">
        <v>0</v>
      </c>
      <c r="L91" s="58">
        <v>7.3687776168601303E+18</v>
      </c>
    </row>
    <row r="92" spans="3:12">
      <c r="C92" s="29" t="b">
        <v>0</v>
      </c>
      <c r="D92" s="30" t="s">
        <v>93</v>
      </c>
      <c r="E92" s="137" t="s">
        <v>73</v>
      </c>
      <c r="F92" s="30" t="s">
        <v>89</v>
      </c>
      <c r="G92" s="30">
        <v>74</v>
      </c>
      <c r="H92" s="30">
        <v>160</v>
      </c>
      <c r="I92" s="30">
        <v>26.11</v>
      </c>
      <c r="J92" s="30" t="s">
        <v>89</v>
      </c>
      <c r="K92" s="58">
        <v>0</v>
      </c>
      <c r="L92" s="58">
        <v>1.1571893473622401E+19</v>
      </c>
    </row>
    <row r="93" spans="3:12">
      <c r="C93" s="29" t="b">
        <v>0</v>
      </c>
      <c r="D93" s="30" t="s">
        <v>94</v>
      </c>
      <c r="E93" s="137" t="s">
        <v>73</v>
      </c>
      <c r="F93" s="30" t="s">
        <v>89</v>
      </c>
      <c r="G93" s="30">
        <v>69</v>
      </c>
      <c r="H93" s="30">
        <v>180</v>
      </c>
      <c r="I93" s="30">
        <v>27.55</v>
      </c>
      <c r="J93" s="30" t="s">
        <v>89</v>
      </c>
      <c r="K93" s="58">
        <v>0</v>
      </c>
      <c r="L93" s="58">
        <v>9.630653462887639E+18</v>
      </c>
    </row>
    <row r="94" spans="3:12">
      <c r="C94" s="29" t="b">
        <v>0</v>
      </c>
      <c r="D94" s="30" t="s">
        <v>95</v>
      </c>
      <c r="E94" s="137" t="s">
        <v>73</v>
      </c>
      <c r="F94" s="30" t="s">
        <v>89</v>
      </c>
      <c r="G94" s="30">
        <v>70</v>
      </c>
      <c r="H94" s="30">
        <v>185</v>
      </c>
      <c r="I94" s="30">
        <v>34.270000000000003</v>
      </c>
      <c r="J94" s="30" t="s">
        <v>89</v>
      </c>
      <c r="K94" s="58">
        <v>0</v>
      </c>
      <c r="L94" s="58">
        <v>1.4184766433501699E+17</v>
      </c>
    </row>
    <row r="95" spans="3:12">
      <c r="C95" s="29" t="b">
        <v>0</v>
      </c>
      <c r="D95" s="30" t="s">
        <v>96</v>
      </c>
      <c r="E95" s="137" t="s">
        <v>73</v>
      </c>
      <c r="F95" s="30" t="s">
        <v>97</v>
      </c>
      <c r="G95" s="30">
        <v>73</v>
      </c>
      <c r="H95" s="30">
        <v>189</v>
      </c>
      <c r="I95" s="30">
        <v>27.99</v>
      </c>
      <c r="J95" s="30" t="s">
        <v>71</v>
      </c>
      <c r="K95" s="58">
        <v>0</v>
      </c>
      <c r="L95" s="58">
        <v>8.1632594974538394E+17</v>
      </c>
    </row>
    <row r="96" spans="3:12">
      <c r="C96" s="29" t="b">
        <v>0</v>
      </c>
      <c r="D96" s="30" t="s">
        <v>98</v>
      </c>
      <c r="E96" s="137" t="s">
        <v>73</v>
      </c>
      <c r="F96" s="30" t="s">
        <v>97</v>
      </c>
      <c r="G96" s="30">
        <v>75</v>
      </c>
      <c r="H96" s="30">
        <v>185</v>
      </c>
      <c r="I96" s="30">
        <v>22.38</v>
      </c>
      <c r="J96" s="30" t="s">
        <v>71</v>
      </c>
      <c r="K96" s="58">
        <v>0</v>
      </c>
      <c r="L96" s="58">
        <v>1.7767647784768899E+19</v>
      </c>
    </row>
    <row r="97" spans="3:12">
      <c r="C97" s="29" t="b">
        <v>0</v>
      </c>
      <c r="D97" s="30" t="s">
        <v>99</v>
      </c>
      <c r="E97" s="137" t="s">
        <v>73</v>
      </c>
      <c r="F97" s="30" t="s">
        <v>97</v>
      </c>
      <c r="G97" s="30">
        <v>78</v>
      </c>
      <c r="H97" s="30">
        <v>219</v>
      </c>
      <c r="I97" s="30">
        <v>22.89</v>
      </c>
      <c r="J97" s="30" t="s">
        <v>71</v>
      </c>
      <c r="K97" s="58">
        <v>0</v>
      </c>
      <c r="L97" s="58">
        <v>1.9871209874376602E+17</v>
      </c>
    </row>
    <row r="98" spans="3:12">
      <c r="C98" s="29" t="b">
        <v>0</v>
      </c>
      <c r="D98" s="30" t="s">
        <v>100</v>
      </c>
      <c r="E98" s="137" t="s">
        <v>73</v>
      </c>
      <c r="F98" s="30" t="s">
        <v>97</v>
      </c>
      <c r="G98" s="30">
        <v>79</v>
      </c>
      <c r="H98" s="30">
        <v>230</v>
      </c>
      <c r="I98" s="30">
        <v>25.76</v>
      </c>
      <c r="J98" s="30" t="s">
        <v>71</v>
      </c>
      <c r="K98" s="58">
        <v>0</v>
      </c>
      <c r="L98" s="58">
        <v>9.2017466962658601E+18</v>
      </c>
    </row>
    <row r="99" spans="3:12">
      <c r="C99" s="29" t="b">
        <v>0</v>
      </c>
      <c r="D99" s="30" t="s">
        <v>101</v>
      </c>
      <c r="E99" s="137" t="s">
        <v>73</v>
      </c>
      <c r="F99" s="30" t="s">
        <v>97</v>
      </c>
      <c r="G99" s="30">
        <v>76</v>
      </c>
      <c r="H99" s="30">
        <v>205</v>
      </c>
      <c r="I99" s="30">
        <v>36.33</v>
      </c>
      <c r="J99" s="30" t="s">
        <v>71</v>
      </c>
      <c r="K99" s="58">
        <v>0</v>
      </c>
      <c r="L99" s="58">
        <v>2.2443794327680099E+17</v>
      </c>
    </row>
    <row r="100" spans="3:12">
      <c r="C100" s="29" t="b">
        <v>0</v>
      </c>
      <c r="D100" s="30" t="s">
        <v>102</v>
      </c>
      <c r="E100" s="137" t="s">
        <v>73</v>
      </c>
      <c r="F100" s="30" t="s">
        <v>97</v>
      </c>
      <c r="G100" s="30">
        <v>74</v>
      </c>
      <c r="H100" s="30">
        <v>230</v>
      </c>
      <c r="I100" s="30">
        <v>31.17</v>
      </c>
      <c r="J100" s="30" t="s">
        <v>71</v>
      </c>
      <c r="K100" s="58">
        <v>0</v>
      </c>
      <c r="L100" s="58">
        <v>2.02536013184382E+18</v>
      </c>
    </row>
    <row r="101" spans="3:12">
      <c r="C101" s="29" t="b">
        <v>0</v>
      </c>
      <c r="D101" s="30" t="s">
        <v>103</v>
      </c>
      <c r="E101" s="137" t="s">
        <v>73</v>
      </c>
      <c r="F101" s="30" t="s">
        <v>97</v>
      </c>
      <c r="G101" s="30">
        <v>76</v>
      </c>
      <c r="H101" s="30">
        <v>195</v>
      </c>
      <c r="I101" s="30">
        <v>32.31</v>
      </c>
      <c r="J101" s="30" t="s">
        <v>71</v>
      </c>
      <c r="K101" s="58">
        <v>0</v>
      </c>
      <c r="L101" s="58">
        <v>6.7541163635015004E+18</v>
      </c>
    </row>
    <row r="102" spans="3:12">
      <c r="C102" s="29" t="b">
        <v>0</v>
      </c>
      <c r="D102" s="30" t="s">
        <v>104</v>
      </c>
      <c r="E102" s="137" t="s">
        <v>73</v>
      </c>
      <c r="F102" s="30" t="s">
        <v>68</v>
      </c>
      <c r="G102" s="30">
        <v>72</v>
      </c>
      <c r="H102" s="30">
        <v>180</v>
      </c>
      <c r="I102" s="30">
        <v>31.03</v>
      </c>
      <c r="J102" s="30" t="s">
        <v>71</v>
      </c>
      <c r="K102" s="58">
        <v>0</v>
      </c>
      <c r="L102" s="58">
        <v>3.3616959546103398E+18</v>
      </c>
    </row>
    <row r="103" spans="3:12">
      <c r="C103" s="29" t="b">
        <v>0</v>
      </c>
      <c r="D103" s="30" t="s">
        <v>105</v>
      </c>
      <c r="E103" s="137" t="s">
        <v>73</v>
      </c>
      <c r="F103" s="30" t="s">
        <v>68</v>
      </c>
      <c r="G103" s="30">
        <v>71</v>
      </c>
      <c r="H103" s="30">
        <v>192</v>
      </c>
      <c r="I103" s="30">
        <v>29.26</v>
      </c>
      <c r="J103" s="30" t="s">
        <v>71</v>
      </c>
      <c r="K103" s="58">
        <v>0</v>
      </c>
      <c r="L103" s="58">
        <v>1.45020736856018E+19</v>
      </c>
    </row>
    <row r="104" spans="3:12">
      <c r="C104" s="29" t="b">
        <v>0</v>
      </c>
      <c r="D104" s="30" t="s">
        <v>106</v>
      </c>
      <c r="E104" s="137" t="s">
        <v>73</v>
      </c>
      <c r="F104" s="30" t="s">
        <v>68</v>
      </c>
      <c r="G104" s="30">
        <v>75</v>
      </c>
      <c r="H104" s="30">
        <v>225</v>
      </c>
      <c r="I104" s="30">
        <v>29.47</v>
      </c>
      <c r="J104" s="30" t="s">
        <v>71</v>
      </c>
      <c r="K104" s="58">
        <v>0</v>
      </c>
      <c r="L104" s="58">
        <v>1.55399534353698E+19</v>
      </c>
    </row>
    <row r="105" spans="3:12">
      <c r="C105" s="29" t="b">
        <v>0</v>
      </c>
      <c r="D105" s="30" t="s">
        <v>107</v>
      </c>
      <c r="E105" s="137" t="s">
        <v>73</v>
      </c>
      <c r="F105" s="30" t="s">
        <v>68</v>
      </c>
      <c r="G105" s="30">
        <v>77</v>
      </c>
      <c r="H105" s="30">
        <v>203</v>
      </c>
      <c r="I105" s="30">
        <v>32.46</v>
      </c>
      <c r="J105" s="30" t="s">
        <v>71</v>
      </c>
      <c r="K105" s="58">
        <v>0</v>
      </c>
      <c r="L105" s="58">
        <v>1.8354127470180301E+19</v>
      </c>
    </row>
    <row r="106" spans="3:12">
      <c r="C106" s="29" t="b">
        <v>0</v>
      </c>
      <c r="D106" s="30" t="s">
        <v>108</v>
      </c>
      <c r="E106" s="137" t="s">
        <v>73</v>
      </c>
      <c r="F106" s="30" t="s">
        <v>68</v>
      </c>
      <c r="G106" s="30">
        <v>74</v>
      </c>
      <c r="H106" s="30">
        <v>195</v>
      </c>
      <c r="I106" s="30">
        <v>35.67</v>
      </c>
      <c r="J106" s="30" t="s">
        <v>71</v>
      </c>
      <c r="K106" s="58">
        <v>0</v>
      </c>
      <c r="L106" s="58">
        <v>1.55966649286022E+19</v>
      </c>
    </row>
    <row r="107" spans="3:12">
      <c r="C107" s="29" t="b">
        <v>0</v>
      </c>
      <c r="D107" s="30" t="s">
        <v>109</v>
      </c>
      <c r="E107" s="137" t="s">
        <v>73</v>
      </c>
      <c r="F107" s="30" t="s">
        <v>68</v>
      </c>
      <c r="G107" s="30">
        <v>73</v>
      </c>
      <c r="H107" s="30">
        <v>182</v>
      </c>
      <c r="I107" s="30">
        <v>25.89</v>
      </c>
      <c r="J107" s="30" t="s">
        <v>71</v>
      </c>
      <c r="K107" s="58">
        <v>0</v>
      </c>
      <c r="L107" s="58">
        <v>2.6818451505994102E+18</v>
      </c>
    </row>
    <row r="108" spans="3:12">
      <c r="C108" s="29" t="b">
        <v>0</v>
      </c>
      <c r="D108" s="30" t="s">
        <v>110</v>
      </c>
      <c r="E108" s="137" t="s">
        <v>73</v>
      </c>
      <c r="F108" s="30" t="s">
        <v>68</v>
      </c>
      <c r="G108" s="30">
        <v>74</v>
      </c>
      <c r="H108" s="30">
        <v>188</v>
      </c>
      <c r="I108" s="30">
        <v>26.55</v>
      </c>
      <c r="J108" s="30" t="s">
        <v>71</v>
      </c>
      <c r="K108" s="58">
        <v>0</v>
      </c>
      <c r="L108" s="58">
        <v>1.7203357977457799E+19</v>
      </c>
    </row>
    <row r="109" spans="3:12">
      <c r="C109" s="29" t="b">
        <v>0</v>
      </c>
      <c r="D109" s="30" t="s">
        <v>111</v>
      </c>
      <c r="E109" s="137" t="s">
        <v>73</v>
      </c>
      <c r="F109" s="30" t="s">
        <v>68</v>
      </c>
      <c r="G109" s="30">
        <v>78</v>
      </c>
      <c r="H109" s="30">
        <v>200</v>
      </c>
      <c r="I109" s="30">
        <v>24.17</v>
      </c>
      <c r="J109" s="30" t="s">
        <v>71</v>
      </c>
      <c r="K109" s="58">
        <v>0</v>
      </c>
      <c r="L109" s="58">
        <v>5.4402367291834798E+18</v>
      </c>
    </row>
    <row r="110" spans="3:12">
      <c r="C110" s="29" t="b">
        <v>0</v>
      </c>
      <c r="D110" s="30" t="s">
        <v>112</v>
      </c>
      <c r="E110" s="137" t="s">
        <v>73</v>
      </c>
      <c r="F110" s="30" t="s">
        <v>68</v>
      </c>
      <c r="G110" s="30">
        <v>73</v>
      </c>
      <c r="H110" s="30">
        <v>180</v>
      </c>
      <c r="I110" s="30">
        <v>26.69</v>
      </c>
      <c r="J110" s="30" t="s">
        <v>71</v>
      </c>
      <c r="K110" s="58">
        <v>0</v>
      </c>
      <c r="L110" s="58">
        <v>1.7058630343680801E+19</v>
      </c>
    </row>
    <row r="111" spans="3:12">
      <c r="C111" s="29" t="b">
        <v>0</v>
      </c>
      <c r="D111" s="30" t="s">
        <v>113</v>
      </c>
      <c r="E111" s="137" t="s">
        <v>73</v>
      </c>
      <c r="F111" s="30" t="s">
        <v>68</v>
      </c>
      <c r="G111" s="30">
        <v>75</v>
      </c>
      <c r="H111" s="30">
        <v>200</v>
      </c>
      <c r="I111" s="30">
        <v>25.13</v>
      </c>
      <c r="J111" s="30" t="s">
        <v>71</v>
      </c>
      <c r="K111" s="58">
        <v>0</v>
      </c>
      <c r="L111" s="58">
        <v>1.83080190700429E+19</v>
      </c>
    </row>
    <row r="112" spans="3:12">
      <c r="C112" s="29" t="b">
        <v>0</v>
      </c>
      <c r="D112" s="30" t="s">
        <v>114</v>
      </c>
      <c r="E112" s="137" t="s">
        <v>73</v>
      </c>
      <c r="F112" s="30" t="s">
        <v>68</v>
      </c>
      <c r="G112" s="30">
        <v>73</v>
      </c>
      <c r="H112" s="30">
        <v>200</v>
      </c>
      <c r="I112" s="30">
        <v>27.9</v>
      </c>
      <c r="J112" s="30" t="s">
        <v>71</v>
      </c>
      <c r="K112" s="58">
        <v>0</v>
      </c>
      <c r="L112" s="58">
        <v>1.0176423679008299E+19</v>
      </c>
    </row>
    <row r="113" spans="3:12">
      <c r="C113" s="29" t="b">
        <v>0</v>
      </c>
      <c r="D113" s="30" t="s">
        <v>115</v>
      </c>
      <c r="E113" s="137" t="s">
        <v>116</v>
      </c>
      <c r="F113" s="30" t="s">
        <v>74</v>
      </c>
      <c r="G113" s="30">
        <v>75</v>
      </c>
      <c r="H113" s="30">
        <v>245</v>
      </c>
      <c r="I113" s="30">
        <v>30.17</v>
      </c>
      <c r="J113" s="30" t="s">
        <v>74</v>
      </c>
      <c r="K113" s="58">
        <v>0</v>
      </c>
      <c r="L113" s="58">
        <v>3.8074694971909202E+18</v>
      </c>
    </row>
    <row r="114" spans="3:12">
      <c r="C114" s="29" t="b">
        <v>0</v>
      </c>
      <c r="D114" s="30" t="s">
        <v>117</v>
      </c>
      <c r="E114" s="137" t="s">
        <v>116</v>
      </c>
      <c r="F114" s="30" t="s">
        <v>74</v>
      </c>
      <c r="G114" s="30">
        <v>75</v>
      </c>
      <c r="H114" s="30">
        <v>240</v>
      </c>
      <c r="I114" s="30">
        <v>31.36</v>
      </c>
      <c r="J114" s="30" t="s">
        <v>74</v>
      </c>
      <c r="K114" s="58">
        <v>0</v>
      </c>
      <c r="L114" s="58">
        <v>1.41738247139153E+19</v>
      </c>
    </row>
    <row r="115" spans="3:12">
      <c r="C115" s="29" t="b">
        <v>0</v>
      </c>
      <c r="D115" s="30" t="s">
        <v>118</v>
      </c>
      <c r="E115" s="137" t="s">
        <v>116</v>
      </c>
      <c r="F115" s="30" t="s">
        <v>78</v>
      </c>
      <c r="G115" s="30">
        <v>74</v>
      </c>
      <c r="H115" s="30">
        <v>215</v>
      </c>
      <c r="I115" s="30">
        <v>30.99</v>
      </c>
      <c r="J115" s="30" t="s">
        <v>79</v>
      </c>
      <c r="K115" s="58">
        <v>0</v>
      </c>
      <c r="L115" s="58">
        <v>9.6032201632345805E+18</v>
      </c>
    </row>
    <row r="116" spans="3:12">
      <c r="C116" s="29" t="b">
        <v>0</v>
      </c>
      <c r="D116" s="30" t="s">
        <v>119</v>
      </c>
      <c r="E116" s="137" t="s">
        <v>116</v>
      </c>
      <c r="F116" s="30" t="s">
        <v>82</v>
      </c>
      <c r="G116" s="30">
        <v>69</v>
      </c>
      <c r="H116" s="30">
        <v>185</v>
      </c>
      <c r="I116" s="30">
        <v>32.24</v>
      </c>
      <c r="J116" s="30" t="s">
        <v>79</v>
      </c>
      <c r="K116" s="58">
        <v>0</v>
      </c>
      <c r="L116" s="58">
        <v>8.0884168043716301E+18</v>
      </c>
    </row>
    <row r="117" spans="3:12">
      <c r="C117" s="29" t="b">
        <v>0</v>
      </c>
      <c r="D117" s="30" t="s">
        <v>120</v>
      </c>
      <c r="E117" s="137" t="s">
        <v>116</v>
      </c>
      <c r="F117" s="30" t="s">
        <v>84</v>
      </c>
      <c r="G117" s="30">
        <v>71</v>
      </c>
      <c r="H117" s="30">
        <v>175</v>
      </c>
      <c r="I117" s="30">
        <v>27.61</v>
      </c>
      <c r="J117" s="30" t="s">
        <v>79</v>
      </c>
      <c r="K117" s="58">
        <v>0</v>
      </c>
      <c r="L117" s="58">
        <v>6.5558955694410304E+16</v>
      </c>
    </row>
    <row r="118" spans="3:12">
      <c r="C118" s="29" t="b">
        <v>0</v>
      </c>
      <c r="D118" s="30" t="s">
        <v>121</v>
      </c>
      <c r="E118" s="137" t="s">
        <v>116</v>
      </c>
      <c r="F118" s="30" t="s">
        <v>84</v>
      </c>
      <c r="G118" s="30">
        <v>74</v>
      </c>
      <c r="H118" s="30">
        <v>199</v>
      </c>
      <c r="I118" s="30">
        <v>28.2</v>
      </c>
      <c r="J118" s="30" t="s">
        <v>79</v>
      </c>
      <c r="K118" s="58">
        <v>0</v>
      </c>
      <c r="L118" s="58">
        <v>1.32439514012687E+18</v>
      </c>
    </row>
    <row r="119" spans="3:12">
      <c r="C119" s="29" t="b">
        <v>0</v>
      </c>
      <c r="D119" s="30" t="s">
        <v>122</v>
      </c>
      <c r="E119" s="137" t="s">
        <v>116</v>
      </c>
      <c r="F119" s="30" t="s">
        <v>86</v>
      </c>
      <c r="G119" s="30">
        <v>73</v>
      </c>
      <c r="H119" s="30">
        <v>200</v>
      </c>
      <c r="I119" s="30">
        <v>28.85</v>
      </c>
      <c r="J119" s="30" t="s">
        <v>79</v>
      </c>
      <c r="K119" s="58">
        <v>0</v>
      </c>
      <c r="L119" s="58">
        <v>5.0263019253176801E+18</v>
      </c>
    </row>
    <row r="120" spans="3:12">
      <c r="C120" s="29" t="b">
        <v>0</v>
      </c>
      <c r="D120" s="30" t="s">
        <v>123</v>
      </c>
      <c r="E120" s="137" t="s">
        <v>116</v>
      </c>
      <c r="F120" s="30" t="s">
        <v>86</v>
      </c>
      <c r="G120" s="30">
        <v>73</v>
      </c>
      <c r="H120" s="30">
        <v>215</v>
      </c>
      <c r="I120" s="30">
        <v>24.21</v>
      </c>
      <c r="J120" s="30" t="s">
        <v>79</v>
      </c>
      <c r="K120" s="58">
        <v>0</v>
      </c>
      <c r="L120" s="58">
        <v>2.4397240733515402E+18</v>
      </c>
    </row>
    <row r="121" spans="3:12">
      <c r="C121" s="29" t="b">
        <v>0</v>
      </c>
      <c r="D121" s="30" t="s">
        <v>124</v>
      </c>
      <c r="E121" s="137" t="s">
        <v>116</v>
      </c>
      <c r="F121" s="30" t="s">
        <v>89</v>
      </c>
      <c r="G121" s="30">
        <v>76</v>
      </c>
      <c r="H121" s="30">
        <v>200</v>
      </c>
      <c r="I121" s="30">
        <v>22.02</v>
      </c>
      <c r="J121" s="30" t="s">
        <v>89</v>
      </c>
      <c r="K121" s="58">
        <v>0</v>
      </c>
      <c r="L121" s="58">
        <v>6.7847748986027397E+18</v>
      </c>
    </row>
    <row r="122" spans="3:12">
      <c r="C122" s="29" t="b">
        <v>0</v>
      </c>
      <c r="D122" s="30" t="s">
        <v>125</v>
      </c>
      <c r="E122" s="137" t="s">
        <v>116</v>
      </c>
      <c r="F122" s="30" t="s">
        <v>89</v>
      </c>
      <c r="G122" s="30">
        <v>74</v>
      </c>
      <c r="H122" s="30">
        <v>205</v>
      </c>
      <c r="I122" s="30">
        <v>24.97</v>
      </c>
      <c r="J122" s="30" t="s">
        <v>89</v>
      </c>
      <c r="K122" s="58">
        <v>0</v>
      </c>
      <c r="L122" s="58">
        <v>1.21731470991208E+19</v>
      </c>
    </row>
    <row r="123" spans="3:12">
      <c r="C123" s="29" t="b">
        <v>0</v>
      </c>
      <c r="D123" s="30" t="s">
        <v>126</v>
      </c>
      <c r="E123" s="137" t="s">
        <v>116</v>
      </c>
      <c r="F123" s="30" t="s">
        <v>89</v>
      </c>
      <c r="G123" s="30">
        <v>74</v>
      </c>
      <c r="H123" s="30">
        <v>206</v>
      </c>
      <c r="I123" s="30">
        <v>26.78</v>
      </c>
      <c r="J123" s="30" t="s">
        <v>89</v>
      </c>
      <c r="K123" s="58">
        <v>0</v>
      </c>
      <c r="L123" s="58">
        <v>1.31924134779655E+19</v>
      </c>
    </row>
    <row r="124" spans="3:12">
      <c r="C124" s="29" t="b">
        <v>0</v>
      </c>
      <c r="D124" s="30" t="s">
        <v>127</v>
      </c>
      <c r="E124" s="137" t="s">
        <v>116</v>
      </c>
      <c r="F124" s="30" t="s">
        <v>89</v>
      </c>
      <c r="G124" s="30">
        <v>70</v>
      </c>
      <c r="H124" s="30">
        <v>186</v>
      </c>
      <c r="I124" s="30">
        <v>32.51</v>
      </c>
      <c r="J124" s="30" t="s">
        <v>89</v>
      </c>
      <c r="K124" s="58">
        <v>0</v>
      </c>
      <c r="L124" s="58">
        <v>9.9198212179910106E+17</v>
      </c>
    </row>
    <row r="125" spans="3:12">
      <c r="C125" s="29" t="b">
        <v>0</v>
      </c>
      <c r="D125" s="30" t="s">
        <v>128</v>
      </c>
      <c r="E125" s="137" t="s">
        <v>116</v>
      </c>
      <c r="F125" s="30" t="s">
        <v>89</v>
      </c>
      <c r="G125" s="30">
        <v>72</v>
      </c>
      <c r="H125" s="30">
        <v>188</v>
      </c>
      <c r="I125" s="30">
        <v>30.95</v>
      </c>
      <c r="J125" s="30" t="s">
        <v>89</v>
      </c>
      <c r="K125" s="58">
        <v>0</v>
      </c>
      <c r="L125" s="58">
        <v>2.28182048494894E+18</v>
      </c>
    </row>
    <row r="126" spans="3:12">
      <c r="C126" s="29" t="b">
        <v>0</v>
      </c>
      <c r="D126" s="30" t="s">
        <v>129</v>
      </c>
      <c r="E126" s="137" t="s">
        <v>116</v>
      </c>
      <c r="F126" s="30" t="s">
        <v>89</v>
      </c>
      <c r="G126" s="30">
        <v>77</v>
      </c>
      <c r="H126" s="30">
        <v>220</v>
      </c>
      <c r="I126" s="30">
        <v>33.090000000000003</v>
      </c>
      <c r="J126" s="30" t="s">
        <v>89</v>
      </c>
      <c r="K126" s="58">
        <v>0</v>
      </c>
      <c r="L126" s="58">
        <v>2.3788639019155098E+18</v>
      </c>
    </row>
    <row r="127" spans="3:12">
      <c r="C127" s="29" t="b">
        <v>0</v>
      </c>
      <c r="D127" s="30" t="s">
        <v>130</v>
      </c>
      <c r="E127" s="137" t="s">
        <v>116</v>
      </c>
      <c r="F127" s="30" t="s">
        <v>89</v>
      </c>
      <c r="G127" s="30">
        <v>74</v>
      </c>
      <c r="H127" s="30">
        <v>210</v>
      </c>
      <c r="I127" s="30">
        <v>32.74</v>
      </c>
      <c r="J127" s="30" t="s">
        <v>89</v>
      </c>
      <c r="K127" s="58">
        <v>0</v>
      </c>
      <c r="L127" s="58">
        <v>1.31838650779287E+19</v>
      </c>
    </row>
    <row r="128" spans="3:12">
      <c r="C128" s="29" t="b">
        <v>0</v>
      </c>
      <c r="D128" s="30" t="s">
        <v>131</v>
      </c>
      <c r="E128" s="137" t="s">
        <v>116</v>
      </c>
      <c r="F128" s="30" t="s">
        <v>89</v>
      </c>
      <c r="G128" s="30">
        <v>70</v>
      </c>
      <c r="H128" s="30">
        <v>195</v>
      </c>
      <c r="I128" s="30">
        <v>30.69</v>
      </c>
      <c r="J128" s="30" t="s">
        <v>89</v>
      </c>
      <c r="K128" s="58">
        <v>0</v>
      </c>
      <c r="L128" s="58">
        <v>1.2192705468523E+19</v>
      </c>
    </row>
    <row r="129" spans="3:12">
      <c r="C129" s="29" t="b">
        <v>0</v>
      </c>
      <c r="D129" s="30" t="s">
        <v>132</v>
      </c>
      <c r="E129" s="137" t="s">
        <v>116</v>
      </c>
      <c r="F129" s="30" t="s">
        <v>97</v>
      </c>
      <c r="G129" s="30">
        <v>73</v>
      </c>
      <c r="H129" s="30">
        <v>200</v>
      </c>
      <c r="I129" s="30">
        <v>23.45</v>
      </c>
      <c r="J129" s="30" t="s">
        <v>71</v>
      </c>
      <c r="K129" s="58">
        <v>0</v>
      </c>
      <c r="L129" s="58">
        <v>1.32145933654452E+19</v>
      </c>
    </row>
    <row r="130" spans="3:12">
      <c r="C130" s="29" t="b">
        <v>0</v>
      </c>
      <c r="D130" s="30" t="s">
        <v>133</v>
      </c>
      <c r="E130" s="137" t="s">
        <v>116</v>
      </c>
      <c r="F130" s="30" t="s">
        <v>97</v>
      </c>
      <c r="G130" s="30">
        <v>75</v>
      </c>
      <c r="H130" s="30">
        <v>200</v>
      </c>
      <c r="I130" s="30">
        <v>24.94</v>
      </c>
      <c r="J130" s="30" t="s">
        <v>71</v>
      </c>
      <c r="K130" s="58">
        <v>0</v>
      </c>
      <c r="L130" s="58">
        <v>1.2967734266989099E+19</v>
      </c>
    </row>
    <row r="131" spans="3:12">
      <c r="C131" s="29" t="b">
        <v>0</v>
      </c>
      <c r="D131" s="30" t="s">
        <v>134</v>
      </c>
      <c r="E131" s="137" t="s">
        <v>116</v>
      </c>
      <c r="F131" s="30" t="s">
        <v>97</v>
      </c>
      <c r="G131" s="30">
        <v>76</v>
      </c>
      <c r="H131" s="30">
        <v>212</v>
      </c>
      <c r="I131" s="30">
        <v>24.09</v>
      </c>
      <c r="J131" s="30" t="s">
        <v>71</v>
      </c>
      <c r="K131" s="58">
        <v>0</v>
      </c>
      <c r="L131" s="58">
        <v>1.09065757004882E+19</v>
      </c>
    </row>
    <row r="132" spans="3:12">
      <c r="C132" s="29" t="b">
        <v>0</v>
      </c>
      <c r="D132" s="30" t="s">
        <v>135</v>
      </c>
      <c r="E132" s="137" t="s">
        <v>116</v>
      </c>
      <c r="F132" s="30" t="s">
        <v>97</v>
      </c>
      <c r="G132" s="30">
        <v>76</v>
      </c>
      <c r="H132" s="30">
        <v>224</v>
      </c>
      <c r="I132" s="30">
        <v>35.229999999999997</v>
      </c>
      <c r="J132" s="30" t="s">
        <v>71</v>
      </c>
      <c r="K132" s="58">
        <v>0</v>
      </c>
      <c r="L132" s="58">
        <v>1.24809855869574E+19</v>
      </c>
    </row>
    <row r="133" spans="3:12">
      <c r="C133" s="29" t="b">
        <v>0</v>
      </c>
      <c r="D133" s="30" t="s">
        <v>136</v>
      </c>
      <c r="E133" s="137" t="s">
        <v>116</v>
      </c>
      <c r="F133" s="30" t="s">
        <v>97</v>
      </c>
      <c r="G133" s="30">
        <v>78</v>
      </c>
      <c r="H133" s="30">
        <v>210</v>
      </c>
      <c r="I133" s="30">
        <v>27.43</v>
      </c>
      <c r="J133" s="30" t="s">
        <v>71</v>
      </c>
      <c r="K133" s="58">
        <v>0</v>
      </c>
      <c r="L133" s="58">
        <v>9.8462901792204403E+17</v>
      </c>
    </row>
    <row r="134" spans="3:12">
      <c r="C134" s="29" t="b">
        <v>0</v>
      </c>
      <c r="D134" s="30" t="s">
        <v>137</v>
      </c>
      <c r="E134" s="137" t="s">
        <v>116</v>
      </c>
      <c r="F134" s="30" t="s">
        <v>97</v>
      </c>
      <c r="G134" s="30">
        <v>74</v>
      </c>
      <c r="H134" s="30">
        <v>205</v>
      </c>
      <c r="I134" s="30">
        <v>30.6</v>
      </c>
      <c r="J134" s="30" t="s">
        <v>71</v>
      </c>
      <c r="K134" s="58">
        <v>0</v>
      </c>
      <c r="L134" s="58">
        <v>8.1139280710584197E+18</v>
      </c>
    </row>
    <row r="135" spans="3:12">
      <c r="C135" s="29" t="b">
        <v>0</v>
      </c>
      <c r="D135" s="30" t="s">
        <v>138</v>
      </c>
      <c r="E135" s="137" t="s">
        <v>116</v>
      </c>
      <c r="F135" s="30" t="s">
        <v>97</v>
      </c>
      <c r="G135" s="30">
        <v>74</v>
      </c>
      <c r="H135" s="30">
        <v>220</v>
      </c>
      <c r="I135" s="30">
        <v>27.94</v>
      </c>
      <c r="J135" s="30" t="s">
        <v>71</v>
      </c>
      <c r="K135" s="58">
        <v>0</v>
      </c>
      <c r="L135" s="58">
        <v>4.0629357270023798E+18</v>
      </c>
    </row>
    <row r="136" spans="3:12">
      <c r="C136" s="29" t="b">
        <v>0</v>
      </c>
      <c r="D136" s="30" t="s">
        <v>139</v>
      </c>
      <c r="E136" s="137" t="s">
        <v>116</v>
      </c>
      <c r="F136" s="30" t="s">
        <v>68</v>
      </c>
      <c r="G136" s="30">
        <v>76</v>
      </c>
      <c r="H136" s="30">
        <v>195</v>
      </c>
      <c r="I136" s="30">
        <v>29.99</v>
      </c>
      <c r="J136" s="30" t="s">
        <v>71</v>
      </c>
      <c r="K136" s="58">
        <v>0</v>
      </c>
      <c r="L136" s="58">
        <v>1.2227973571588999E+19</v>
      </c>
    </row>
    <row r="137" spans="3:12">
      <c r="C137" s="29" t="b">
        <v>0</v>
      </c>
      <c r="D137" s="30" t="s">
        <v>140</v>
      </c>
      <c r="E137" s="137" t="s">
        <v>116</v>
      </c>
      <c r="F137" s="30" t="s">
        <v>68</v>
      </c>
      <c r="G137" s="30">
        <v>77</v>
      </c>
      <c r="H137" s="30">
        <v>200</v>
      </c>
      <c r="I137" s="30">
        <v>25.17</v>
      </c>
      <c r="J137" s="30" t="s">
        <v>71</v>
      </c>
      <c r="K137" s="58">
        <v>0</v>
      </c>
      <c r="L137" s="58">
        <v>3.9945664201917599E+18</v>
      </c>
    </row>
    <row r="138" spans="3:12">
      <c r="C138" s="29" t="b">
        <v>0</v>
      </c>
      <c r="D138" s="30" t="s">
        <v>141</v>
      </c>
      <c r="E138" s="137" t="s">
        <v>116</v>
      </c>
      <c r="F138" s="30" t="s">
        <v>68</v>
      </c>
      <c r="G138" s="30">
        <v>81</v>
      </c>
      <c r="H138" s="30">
        <v>260</v>
      </c>
      <c r="I138" s="30">
        <v>24.13</v>
      </c>
      <c r="J138" s="30" t="s">
        <v>71</v>
      </c>
      <c r="K138" s="58">
        <v>0</v>
      </c>
      <c r="L138" s="58">
        <v>9.8346748762436895E+18</v>
      </c>
    </row>
    <row r="139" spans="3:12">
      <c r="C139" s="29" t="b">
        <v>0</v>
      </c>
      <c r="D139" s="30" t="s">
        <v>142</v>
      </c>
      <c r="E139" s="137" t="s">
        <v>116</v>
      </c>
      <c r="F139" s="30" t="s">
        <v>68</v>
      </c>
      <c r="G139" s="30">
        <v>78</v>
      </c>
      <c r="H139" s="30">
        <v>228</v>
      </c>
      <c r="I139" s="30">
        <v>30.46</v>
      </c>
      <c r="J139" s="30" t="s">
        <v>71</v>
      </c>
      <c r="K139" s="58">
        <v>0</v>
      </c>
      <c r="L139" s="58">
        <v>1.41714320375155E+19</v>
      </c>
    </row>
    <row r="140" spans="3:12">
      <c r="C140" s="29" t="b">
        <v>0</v>
      </c>
      <c r="D140" s="30" t="s">
        <v>143</v>
      </c>
      <c r="E140" s="137" t="s">
        <v>116</v>
      </c>
      <c r="F140" s="30" t="s">
        <v>68</v>
      </c>
      <c r="G140" s="30">
        <v>75</v>
      </c>
      <c r="H140" s="30">
        <v>270</v>
      </c>
      <c r="I140" s="30">
        <v>25.96</v>
      </c>
      <c r="J140" s="30" t="s">
        <v>71</v>
      </c>
      <c r="K140" s="58">
        <v>0</v>
      </c>
      <c r="L140" s="58">
        <v>7.5317868317106196E+18</v>
      </c>
    </row>
    <row r="141" spans="3:12">
      <c r="C141" s="29" t="b">
        <v>0</v>
      </c>
      <c r="D141" s="30" t="s">
        <v>144</v>
      </c>
      <c r="E141" s="137" t="s">
        <v>116</v>
      </c>
      <c r="F141" s="30" t="s">
        <v>68</v>
      </c>
      <c r="G141" s="30">
        <v>77</v>
      </c>
      <c r="H141" s="30">
        <v>200</v>
      </c>
      <c r="I141" s="30">
        <v>22.55</v>
      </c>
      <c r="J141" s="30" t="s">
        <v>71</v>
      </c>
      <c r="K141" s="58">
        <v>0</v>
      </c>
      <c r="L141" s="58">
        <v>1.4490681816E+19</v>
      </c>
    </row>
    <row r="142" spans="3:12">
      <c r="C142" s="29" t="b">
        <v>0</v>
      </c>
      <c r="D142" s="30" t="s">
        <v>145</v>
      </c>
      <c r="E142" s="137" t="s">
        <v>116</v>
      </c>
      <c r="F142" s="30" t="s">
        <v>68</v>
      </c>
      <c r="G142" s="30">
        <v>75</v>
      </c>
      <c r="H142" s="30">
        <v>210</v>
      </c>
      <c r="I142" s="30">
        <v>26.29</v>
      </c>
      <c r="J142" s="30" t="s">
        <v>71</v>
      </c>
      <c r="K142" s="58">
        <v>0</v>
      </c>
      <c r="L142" s="58">
        <v>1.0669470741649101E+19</v>
      </c>
    </row>
    <row r="143" spans="3:12">
      <c r="C143" s="29" t="b">
        <v>0</v>
      </c>
      <c r="D143" s="30" t="s">
        <v>146</v>
      </c>
      <c r="E143" s="137" t="s">
        <v>116</v>
      </c>
      <c r="F143" s="30" t="s">
        <v>68</v>
      </c>
      <c r="G143" s="30">
        <v>76</v>
      </c>
      <c r="H143" s="30">
        <v>190</v>
      </c>
      <c r="I143" s="30">
        <v>24.79</v>
      </c>
      <c r="J143" s="30" t="s">
        <v>71</v>
      </c>
      <c r="K143" s="58">
        <v>0</v>
      </c>
      <c r="L143" s="58">
        <v>9.4444687340699791E+18</v>
      </c>
    </row>
    <row r="144" spans="3:12">
      <c r="C144" s="29" t="b">
        <v>0</v>
      </c>
      <c r="D144" s="30" t="s">
        <v>147</v>
      </c>
      <c r="E144" s="137" t="s">
        <v>148</v>
      </c>
      <c r="F144" s="30" t="s">
        <v>74</v>
      </c>
      <c r="G144" s="30">
        <v>74</v>
      </c>
      <c r="H144" s="30">
        <v>220</v>
      </c>
      <c r="I144" s="30">
        <v>31.74</v>
      </c>
      <c r="J144" s="30" t="s">
        <v>74</v>
      </c>
      <c r="K144" s="58">
        <v>0</v>
      </c>
      <c r="L144" s="58">
        <v>1.4631405423030399E+19</v>
      </c>
    </row>
    <row r="145" spans="3:12">
      <c r="C145" s="29" t="b">
        <v>0</v>
      </c>
      <c r="D145" s="30" t="s">
        <v>149</v>
      </c>
      <c r="E145" s="137" t="s">
        <v>148</v>
      </c>
      <c r="F145" s="30" t="s">
        <v>74</v>
      </c>
      <c r="G145" s="30">
        <v>72</v>
      </c>
      <c r="H145" s="30">
        <v>180</v>
      </c>
      <c r="I145" s="30">
        <v>23.92</v>
      </c>
      <c r="J145" s="30" t="s">
        <v>74</v>
      </c>
      <c r="K145" s="58">
        <v>0</v>
      </c>
      <c r="L145" s="58">
        <v>1.65240834569286E+19</v>
      </c>
    </row>
    <row r="146" spans="3:12">
      <c r="C146" s="29" t="b">
        <v>0</v>
      </c>
      <c r="D146" s="30" t="s">
        <v>150</v>
      </c>
      <c r="E146" s="137" t="s">
        <v>148</v>
      </c>
      <c r="F146" s="30" t="s">
        <v>74</v>
      </c>
      <c r="G146" s="30">
        <v>72</v>
      </c>
      <c r="H146" s="30">
        <v>205</v>
      </c>
      <c r="I146" s="30">
        <v>25.33</v>
      </c>
      <c r="J146" s="30" t="s">
        <v>74</v>
      </c>
      <c r="K146" s="58">
        <v>0</v>
      </c>
      <c r="L146" s="58">
        <v>3.4422065489215601E+18</v>
      </c>
    </row>
    <row r="147" spans="3:12">
      <c r="C147" s="29" t="b">
        <v>0</v>
      </c>
      <c r="D147" s="30" t="s">
        <v>151</v>
      </c>
      <c r="E147" s="137" t="s">
        <v>148</v>
      </c>
      <c r="F147" s="30" t="s">
        <v>78</v>
      </c>
      <c r="G147" s="30">
        <v>75</v>
      </c>
      <c r="H147" s="30">
        <v>210</v>
      </c>
      <c r="I147" s="30">
        <v>24.02</v>
      </c>
      <c r="J147" s="30" t="s">
        <v>79</v>
      </c>
      <c r="K147" s="58">
        <v>0</v>
      </c>
      <c r="L147" s="58">
        <v>1.76358140663884E+19</v>
      </c>
    </row>
    <row r="148" spans="3:12">
      <c r="C148" s="29" t="b">
        <v>0</v>
      </c>
      <c r="D148" s="30" t="s">
        <v>152</v>
      </c>
      <c r="E148" s="137" t="s">
        <v>148</v>
      </c>
      <c r="F148" s="30" t="s">
        <v>78</v>
      </c>
      <c r="G148" s="30">
        <v>73</v>
      </c>
      <c r="H148" s="30">
        <v>220</v>
      </c>
      <c r="I148" s="30">
        <v>23.7</v>
      </c>
      <c r="J148" s="30" t="s">
        <v>79</v>
      </c>
      <c r="K148" s="58">
        <v>0</v>
      </c>
      <c r="L148" s="58">
        <v>9.1761129201498604E+18</v>
      </c>
    </row>
    <row r="149" spans="3:12">
      <c r="C149" s="29" t="b">
        <v>0</v>
      </c>
      <c r="D149" s="30" t="s">
        <v>153</v>
      </c>
      <c r="E149" s="137" t="s">
        <v>148</v>
      </c>
      <c r="F149" s="30" t="s">
        <v>78</v>
      </c>
      <c r="G149" s="30">
        <v>73</v>
      </c>
      <c r="H149" s="30">
        <v>211</v>
      </c>
      <c r="I149" s="30">
        <v>31.59</v>
      </c>
      <c r="J149" s="30" t="s">
        <v>79</v>
      </c>
      <c r="K149" s="58">
        <v>0</v>
      </c>
      <c r="L149" s="58">
        <v>3.6710751323021901E+18</v>
      </c>
    </row>
    <row r="150" spans="3:12">
      <c r="C150" s="29" t="b">
        <v>0</v>
      </c>
      <c r="D150" s="30" t="s">
        <v>154</v>
      </c>
      <c r="E150" s="137" t="s">
        <v>148</v>
      </c>
      <c r="F150" s="30" t="s">
        <v>78</v>
      </c>
      <c r="G150" s="30">
        <v>73</v>
      </c>
      <c r="H150" s="30">
        <v>200</v>
      </c>
      <c r="I150" s="30">
        <v>29.95</v>
      </c>
      <c r="J150" s="30" t="s">
        <v>79</v>
      </c>
      <c r="K150" s="58">
        <v>0</v>
      </c>
      <c r="L150" s="58">
        <v>4.7965583793915802E+18</v>
      </c>
    </row>
    <row r="151" spans="3:12">
      <c r="C151" s="29" t="b">
        <v>0</v>
      </c>
      <c r="D151" s="30" t="s">
        <v>155</v>
      </c>
      <c r="E151" s="137" t="s">
        <v>148</v>
      </c>
      <c r="F151" s="30" t="s">
        <v>78</v>
      </c>
      <c r="G151" s="30">
        <v>70</v>
      </c>
      <c r="H151" s="30">
        <v>180</v>
      </c>
      <c r="I151" s="30">
        <v>23.64</v>
      </c>
      <c r="J151" s="30" t="s">
        <v>79</v>
      </c>
      <c r="K151" s="58">
        <v>0</v>
      </c>
      <c r="L151" s="58">
        <v>1.4098824687282201E+19</v>
      </c>
    </row>
    <row r="152" spans="3:12">
      <c r="C152" s="29" t="b">
        <v>0</v>
      </c>
      <c r="D152" s="30" t="s">
        <v>156</v>
      </c>
      <c r="E152" s="137" t="s">
        <v>148</v>
      </c>
      <c r="F152" s="30" t="s">
        <v>84</v>
      </c>
      <c r="G152" s="30">
        <v>70</v>
      </c>
      <c r="H152" s="30">
        <v>190</v>
      </c>
      <c r="I152" s="30">
        <v>32.33</v>
      </c>
      <c r="J152" s="30" t="s">
        <v>79</v>
      </c>
      <c r="K152" s="58">
        <v>0</v>
      </c>
      <c r="L152" s="58">
        <v>2.6023263205849001E+18</v>
      </c>
    </row>
    <row r="153" spans="3:12">
      <c r="C153" s="29" t="b">
        <v>0</v>
      </c>
      <c r="D153" s="30" t="s">
        <v>157</v>
      </c>
      <c r="E153" s="137" t="s">
        <v>148</v>
      </c>
      <c r="F153" s="30" t="s">
        <v>84</v>
      </c>
      <c r="G153" s="30">
        <v>70</v>
      </c>
      <c r="H153" s="30">
        <v>170</v>
      </c>
      <c r="I153" s="30">
        <v>23.13</v>
      </c>
      <c r="J153" s="30" t="s">
        <v>79</v>
      </c>
      <c r="K153" s="58">
        <v>0</v>
      </c>
      <c r="L153" s="58">
        <v>1.7531700331942601E+19</v>
      </c>
    </row>
    <row r="154" spans="3:12">
      <c r="C154" s="29" t="b">
        <v>0</v>
      </c>
      <c r="D154" s="30" t="s">
        <v>158</v>
      </c>
      <c r="E154" s="137" t="s">
        <v>148</v>
      </c>
      <c r="F154" s="30" t="s">
        <v>86</v>
      </c>
      <c r="G154" s="30">
        <v>76</v>
      </c>
      <c r="H154" s="30">
        <v>230</v>
      </c>
      <c r="I154" s="30">
        <v>26.6</v>
      </c>
      <c r="J154" s="30" t="s">
        <v>79</v>
      </c>
      <c r="K154" s="58">
        <v>0</v>
      </c>
      <c r="L154" s="58">
        <v>6.2574268264015401E+18</v>
      </c>
    </row>
    <row r="155" spans="3:12">
      <c r="C155" s="29" t="b">
        <v>0</v>
      </c>
      <c r="D155" s="30" t="s">
        <v>159</v>
      </c>
      <c r="E155" s="137" t="s">
        <v>148</v>
      </c>
      <c r="F155" s="30" t="s">
        <v>86</v>
      </c>
      <c r="G155" s="30">
        <v>68</v>
      </c>
      <c r="H155" s="30">
        <v>155</v>
      </c>
      <c r="I155" s="30">
        <v>26.46</v>
      </c>
      <c r="J155" s="30" t="s">
        <v>79</v>
      </c>
      <c r="K155" s="58">
        <v>0</v>
      </c>
      <c r="L155" s="58">
        <v>1.1506117223550099E+19</v>
      </c>
    </row>
    <row r="156" spans="3:12">
      <c r="C156" s="29" t="b">
        <v>0</v>
      </c>
      <c r="D156" s="30" t="s">
        <v>160</v>
      </c>
      <c r="E156" s="137" t="s">
        <v>148</v>
      </c>
      <c r="F156" s="30" t="s">
        <v>89</v>
      </c>
      <c r="G156" s="30">
        <v>71</v>
      </c>
      <c r="H156" s="30">
        <v>185</v>
      </c>
      <c r="I156" s="30">
        <v>25.75</v>
      </c>
      <c r="J156" s="30" t="s">
        <v>89</v>
      </c>
      <c r="K156" s="58">
        <v>0</v>
      </c>
      <c r="L156" s="58">
        <v>1.44288332094144E+19</v>
      </c>
    </row>
    <row r="157" spans="3:12">
      <c r="C157" s="29" t="b">
        <v>0</v>
      </c>
      <c r="D157" s="30" t="s">
        <v>161</v>
      </c>
      <c r="E157" s="137" t="s">
        <v>148</v>
      </c>
      <c r="F157" s="30" t="s">
        <v>89</v>
      </c>
      <c r="G157" s="30">
        <v>72</v>
      </c>
      <c r="H157" s="30">
        <v>185</v>
      </c>
      <c r="I157" s="30">
        <v>27.51</v>
      </c>
      <c r="J157" s="30" t="s">
        <v>89</v>
      </c>
      <c r="K157" s="58">
        <v>0</v>
      </c>
      <c r="L157" s="58">
        <v>1.66198294467026E+19</v>
      </c>
    </row>
    <row r="158" spans="3:12">
      <c r="C158" s="29" t="b">
        <v>0</v>
      </c>
      <c r="D158" s="30" t="s">
        <v>162</v>
      </c>
      <c r="E158" s="137" t="s">
        <v>148</v>
      </c>
      <c r="F158" s="30" t="s">
        <v>89</v>
      </c>
      <c r="G158" s="30">
        <v>75</v>
      </c>
      <c r="H158" s="30">
        <v>200</v>
      </c>
      <c r="I158" s="30">
        <v>25.11</v>
      </c>
      <c r="J158" s="30" t="s">
        <v>89</v>
      </c>
      <c r="K158" s="58">
        <v>0</v>
      </c>
      <c r="L158" s="58">
        <v>1.7550148571867501E+19</v>
      </c>
    </row>
    <row r="159" spans="3:12">
      <c r="C159" s="29" t="b">
        <v>0</v>
      </c>
      <c r="D159" s="30" t="s">
        <v>163</v>
      </c>
      <c r="E159" s="137" t="s">
        <v>148</v>
      </c>
      <c r="F159" s="30" t="s">
        <v>89</v>
      </c>
      <c r="G159" s="30">
        <v>75</v>
      </c>
      <c r="H159" s="30">
        <v>225</v>
      </c>
      <c r="I159" s="30">
        <v>32.51</v>
      </c>
      <c r="J159" s="30" t="s">
        <v>89</v>
      </c>
      <c r="K159" s="58">
        <v>0</v>
      </c>
      <c r="L159" s="58">
        <v>1.2920924599993E+19</v>
      </c>
    </row>
    <row r="160" spans="3:12">
      <c r="C160" s="29" t="b">
        <v>0</v>
      </c>
      <c r="D160" s="30" t="s">
        <v>164</v>
      </c>
      <c r="E160" s="137" t="s">
        <v>148</v>
      </c>
      <c r="F160" s="30" t="s">
        <v>89</v>
      </c>
      <c r="G160" s="30">
        <v>75</v>
      </c>
      <c r="H160" s="30">
        <v>225</v>
      </c>
      <c r="I160" s="30">
        <v>34.67</v>
      </c>
      <c r="J160" s="30" t="s">
        <v>89</v>
      </c>
      <c r="K160" s="58">
        <v>0</v>
      </c>
      <c r="L160" s="58">
        <v>8.4700903148742799E+18</v>
      </c>
    </row>
    <row r="161" spans="3:12">
      <c r="C161" s="29" t="b">
        <v>0</v>
      </c>
      <c r="D161" s="30" t="s">
        <v>165</v>
      </c>
      <c r="E161" s="137" t="s">
        <v>148</v>
      </c>
      <c r="F161" s="30" t="s">
        <v>89</v>
      </c>
      <c r="G161" s="30">
        <v>75</v>
      </c>
      <c r="H161" s="30">
        <v>220</v>
      </c>
      <c r="I161" s="30">
        <v>31.06</v>
      </c>
      <c r="J161" s="30" t="s">
        <v>89</v>
      </c>
      <c r="K161" s="58">
        <v>0</v>
      </c>
      <c r="L161" s="58">
        <v>1.5427627524113299E+19</v>
      </c>
    </row>
    <row r="162" spans="3:12">
      <c r="C162" s="29" t="b">
        <v>0</v>
      </c>
      <c r="D162" s="30" t="s">
        <v>166</v>
      </c>
      <c r="E162" s="137" t="s">
        <v>148</v>
      </c>
      <c r="F162" s="30" t="s">
        <v>89</v>
      </c>
      <c r="G162" s="30">
        <v>68</v>
      </c>
      <c r="H162" s="30">
        <v>160</v>
      </c>
      <c r="I162" s="30">
        <v>29.1</v>
      </c>
      <c r="J162" s="30" t="s">
        <v>89</v>
      </c>
      <c r="K162" s="58">
        <v>0</v>
      </c>
      <c r="L162" s="58">
        <v>1.4001857280674299E+18</v>
      </c>
    </row>
    <row r="163" spans="3:12">
      <c r="C163" s="29" t="b">
        <v>0</v>
      </c>
      <c r="D163" s="30" t="s">
        <v>167</v>
      </c>
      <c r="E163" s="137" t="s">
        <v>148</v>
      </c>
      <c r="F163" s="30" t="s">
        <v>89</v>
      </c>
      <c r="G163" s="30">
        <v>74</v>
      </c>
      <c r="H163" s="30">
        <v>205</v>
      </c>
      <c r="I163" s="30">
        <v>28.66</v>
      </c>
      <c r="J163" s="30" t="s">
        <v>89</v>
      </c>
      <c r="K163" s="58">
        <v>0</v>
      </c>
      <c r="L163" s="58">
        <v>1.3087976935711601E+19</v>
      </c>
    </row>
    <row r="164" spans="3:12">
      <c r="C164" s="29" t="b">
        <v>0</v>
      </c>
      <c r="D164" s="30" t="s">
        <v>168</v>
      </c>
      <c r="E164" s="137" t="s">
        <v>148</v>
      </c>
      <c r="F164" s="30" t="s">
        <v>97</v>
      </c>
      <c r="G164" s="30">
        <v>78</v>
      </c>
      <c r="H164" s="30">
        <v>235</v>
      </c>
      <c r="I164" s="30">
        <v>28.35</v>
      </c>
      <c r="J164" s="30" t="s">
        <v>71</v>
      </c>
      <c r="K164" s="58">
        <v>0</v>
      </c>
      <c r="L164" s="58">
        <v>3.7970819405016003E+18</v>
      </c>
    </row>
    <row r="165" spans="3:12">
      <c r="C165" s="29" t="b">
        <v>0</v>
      </c>
      <c r="D165" s="30" t="s">
        <v>169</v>
      </c>
      <c r="E165" s="137" t="s">
        <v>148</v>
      </c>
      <c r="F165" s="30" t="s">
        <v>97</v>
      </c>
      <c r="G165" s="30">
        <v>71</v>
      </c>
      <c r="H165" s="30">
        <v>250</v>
      </c>
      <c r="I165" s="30">
        <v>33.770000000000003</v>
      </c>
      <c r="J165" s="30" t="s">
        <v>71</v>
      </c>
      <c r="K165" s="58">
        <v>0</v>
      </c>
      <c r="L165" s="58">
        <v>1.83028932915982E+18</v>
      </c>
    </row>
    <row r="166" spans="3:12">
      <c r="C166" s="29" t="b">
        <v>0</v>
      </c>
      <c r="D166" s="30" t="s">
        <v>170</v>
      </c>
      <c r="E166" s="137" t="s">
        <v>148</v>
      </c>
      <c r="F166" s="30" t="s">
        <v>97</v>
      </c>
      <c r="G166" s="30">
        <v>73</v>
      </c>
      <c r="H166" s="30">
        <v>210</v>
      </c>
      <c r="I166" s="30">
        <v>30.89</v>
      </c>
      <c r="J166" s="30" t="s">
        <v>71</v>
      </c>
      <c r="K166" s="58">
        <v>0</v>
      </c>
      <c r="L166" s="58">
        <v>1.7079360877729901E+19</v>
      </c>
    </row>
    <row r="167" spans="3:12">
      <c r="C167" s="29" t="b">
        <v>0</v>
      </c>
      <c r="D167" s="30" t="s">
        <v>171</v>
      </c>
      <c r="E167" s="137" t="s">
        <v>148</v>
      </c>
      <c r="F167" s="30" t="s">
        <v>97</v>
      </c>
      <c r="G167" s="30">
        <v>76</v>
      </c>
      <c r="H167" s="30">
        <v>190</v>
      </c>
      <c r="I167" s="30">
        <v>37.74</v>
      </c>
      <c r="J167" s="30" t="s">
        <v>71</v>
      </c>
      <c r="K167" s="58">
        <v>0</v>
      </c>
      <c r="L167" s="58">
        <v>7.53651556975536E+17</v>
      </c>
    </row>
    <row r="168" spans="3:12">
      <c r="C168" s="29" t="b">
        <v>0</v>
      </c>
      <c r="D168" s="30" t="s">
        <v>172</v>
      </c>
      <c r="E168" s="137" t="s">
        <v>148</v>
      </c>
      <c r="F168" s="30" t="s">
        <v>97</v>
      </c>
      <c r="G168" s="30">
        <v>74</v>
      </c>
      <c r="H168" s="30">
        <v>160</v>
      </c>
      <c r="I168" s="30">
        <v>24.14</v>
      </c>
      <c r="J168" s="30" t="s">
        <v>71</v>
      </c>
      <c r="K168" s="58">
        <v>0</v>
      </c>
      <c r="L168" s="58">
        <v>1.16850319057088E+19</v>
      </c>
    </row>
    <row r="169" spans="3:12">
      <c r="C169" s="29" t="b">
        <v>0</v>
      </c>
      <c r="D169" s="30" t="s">
        <v>173</v>
      </c>
      <c r="E169" s="137" t="s">
        <v>148</v>
      </c>
      <c r="F169" s="30" t="s">
        <v>97</v>
      </c>
      <c r="G169" s="30">
        <v>74</v>
      </c>
      <c r="H169" s="30">
        <v>200</v>
      </c>
      <c r="I169" s="30">
        <v>25.71</v>
      </c>
      <c r="J169" s="30" t="s">
        <v>71</v>
      </c>
      <c r="K169" s="58">
        <v>0</v>
      </c>
      <c r="L169" s="58">
        <v>1.07936723352846E+18</v>
      </c>
    </row>
    <row r="170" spans="3:12">
      <c r="C170" s="29" t="b">
        <v>0</v>
      </c>
      <c r="D170" s="30" t="s">
        <v>174</v>
      </c>
      <c r="E170" s="137" t="s">
        <v>148</v>
      </c>
      <c r="F170" s="30" t="s">
        <v>97</v>
      </c>
      <c r="G170" s="30">
        <v>79</v>
      </c>
      <c r="H170" s="30">
        <v>205</v>
      </c>
      <c r="I170" s="30">
        <v>24.41</v>
      </c>
      <c r="J170" s="30" t="s">
        <v>71</v>
      </c>
      <c r="K170" s="58">
        <v>0</v>
      </c>
      <c r="L170" s="58">
        <v>1.3781158812174899E+19</v>
      </c>
    </row>
    <row r="171" spans="3:12">
      <c r="C171" s="29" t="b">
        <v>0</v>
      </c>
      <c r="D171" s="30" t="s">
        <v>175</v>
      </c>
      <c r="E171" s="137" t="s">
        <v>148</v>
      </c>
      <c r="F171" s="30" t="s">
        <v>68</v>
      </c>
      <c r="G171" s="30">
        <v>75</v>
      </c>
      <c r="H171" s="30">
        <v>222</v>
      </c>
      <c r="I171" s="30">
        <v>24.32</v>
      </c>
      <c r="J171" s="30" t="s">
        <v>71</v>
      </c>
      <c r="K171" s="58">
        <v>0</v>
      </c>
      <c r="L171" s="58">
        <v>1.8286738513347E+19</v>
      </c>
    </row>
    <row r="172" spans="3:12">
      <c r="C172" s="29" t="b">
        <v>0</v>
      </c>
      <c r="D172" s="30" t="s">
        <v>176</v>
      </c>
      <c r="E172" s="137" t="s">
        <v>148</v>
      </c>
      <c r="F172" s="30" t="s">
        <v>68</v>
      </c>
      <c r="G172" s="30">
        <v>73</v>
      </c>
      <c r="H172" s="30">
        <v>195</v>
      </c>
      <c r="I172" s="30">
        <v>28.09</v>
      </c>
      <c r="J172" s="30" t="s">
        <v>71</v>
      </c>
      <c r="K172" s="58">
        <v>0</v>
      </c>
      <c r="L172" s="58">
        <v>5.9797187171427802E+17</v>
      </c>
    </row>
    <row r="173" spans="3:12">
      <c r="C173" s="29" t="b">
        <v>0</v>
      </c>
      <c r="D173" s="30" t="s">
        <v>177</v>
      </c>
      <c r="E173" s="137" t="s">
        <v>148</v>
      </c>
      <c r="F173" s="30" t="s">
        <v>68</v>
      </c>
      <c r="G173" s="30">
        <v>76</v>
      </c>
      <c r="H173" s="30">
        <v>205</v>
      </c>
      <c r="I173" s="30">
        <v>33.31</v>
      </c>
      <c r="J173" s="30" t="s">
        <v>71</v>
      </c>
      <c r="K173" s="58">
        <v>0</v>
      </c>
      <c r="L173" s="58">
        <v>1.75598983668374E+19</v>
      </c>
    </row>
    <row r="174" spans="3:12">
      <c r="C174" s="29" t="b">
        <v>0</v>
      </c>
      <c r="D174" s="30" t="s">
        <v>178</v>
      </c>
      <c r="E174" s="137" t="s">
        <v>148</v>
      </c>
      <c r="F174" s="30" t="s">
        <v>68</v>
      </c>
      <c r="G174" s="30">
        <v>74</v>
      </c>
      <c r="H174" s="30">
        <v>220</v>
      </c>
      <c r="I174" s="30">
        <v>36.4</v>
      </c>
      <c r="J174" s="30" t="s">
        <v>71</v>
      </c>
      <c r="K174" s="58">
        <v>0</v>
      </c>
      <c r="L174" s="58">
        <v>1.43981792361124E+19</v>
      </c>
    </row>
    <row r="175" spans="3:12">
      <c r="C175" s="29" t="b">
        <v>0</v>
      </c>
      <c r="D175" s="30" t="s">
        <v>179</v>
      </c>
      <c r="E175" s="137" t="s">
        <v>148</v>
      </c>
      <c r="F175" s="30" t="s">
        <v>68</v>
      </c>
      <c r="G175" s="30">
        <v>74</v>
      </c>
      <c r="H175" s="30">
        <v>220</v>
      </c>
      <c r="I175" s="30">
        <v>37.36</v>
      </c>
      <c r="J175" s="30" t="s">
        <v>71</v>
      </c>
      <c r="K175" s="58">
        <v>0</v>
      </c>
      <c r="L175" s="58">
        <v>1.6427545346430099E+19</v>
      </c>
    </row>
    <row r="176" spans="3:12">
      <c r="C176" s="29" t="b">
        <v>0</v>
      </c>
      <c r="D176" s="30" t="s">
        <v>180</v>
      </c>
      <c r="E176" s="137" t="s">
        <v>148</v>
      </c>
      <c r="F176" s="30" t="s">
        <v>68</v>
      </c>
      <c r="G176" s="30">
        <v>73</v>
      </c>
      <c r="H176" s="30">
        <v>170</v>
      </c>
      <c r="I176" s="30">
        <v>31.61</v>
      </c>
      <c r="J176" s="30" t="s">
        <v>71</v>
      </c>
      <c r="K176" s="58">
        <v>0</v>
      </c>
      <c r="L176" s="58">
        <v>1.2734879075762301E+19</v>
      </c>
    </row>
    <row r="177" spans="3:12">
      <c r="C177" s="29" t="b">
        <v>0</v>
      </c>
      <c r="D177" s="30" t="s">
        <v>181</v>
      </c>
      <c r="E177" s="137" t="s">
        <v>148</v>
      </c>
      <c r="F177" s="30" t="s">
        <v>68</v>
      </c>
      <c r="G177" s="30">
        <v>72</v>
      </c>
      <c r="H177" s="30">
        <v>185</v>
      </c>
      <c r="I177" s="30">
        <v>25.14</v>
      </c>
      <c r="J177" s="30" t="s">
        <v>71</v>
      </c>
      <c r="K177" s="58">
        <v>0</v>
      </c>
      <c r="L177" s="58">
        <v>5.1583685158798203E+18</v>
      </c>
    </row>
    <row r="178" spans="3:12">
      <c r="C178" s="29" t="b">
        <v>0</v>
      </c>
      <c r="D178" s="30" t="s">
        <v>182</v>
      </c>
      <c r="E178" s="137" t="s">
        <v>148</v>
      </c>
      <c r="F178" s="30" t="s">
        <v>68</v>
      </c>
      <c r="G178" s="30">
        <v>74</v>
      </c>
      <c r="H178" s="30">
        <v>195</v>
      </c>
      <c r="I178" s="30">
        <v>30.29</v>
      </c>
      <c r="J178" s="30" t="s">
        <v>71</v>
      </c>
      <c r="K178" s="58">
        <v>0</v>
      </c>
      <c r="L178" s="58">
        <v>2.8004625916373402E+18</v>
      </c>
    </row>
    <row r="179" spans="3:12">
      <c r="C179" s="29" t="b">
        <v>0</v>
      </c>
      <c r="D179" s="30" t="s">
        <v>183</v>
      </c>
      <c r="E179" s="137" t="s">
        <v>184</v>
      </c>
      <c r="F179" s="30" t="s">
        <v>74</v>
      </c>
      <c r="G179" s="30">
        <v>73</v>
      </c>
      <c r="H179" s="30">
        <v>220</v>
      </c>
      <c r="I179" s="30">
        <v>36.369999999999997</v>
      </c>
      <c r="J179" s="30" t="s">
        <v>74</v>
      </c>
      <c r="K179" s="58">
        <v>0</v>
      </c>
      <c r="L179" s="58">
        <v>1.37370697197761E+19</v>
      </c>
    </row>
    <row r="180" spans="3:12">
      <c r="C180" s="29" t="b">
        <v>0</v>
      </c>
      <c r="D180" s="30" t="s">
        <v>185</v>
      </c>
      <c r="E180" s="137" t="s">
        <v>184</v>
      </c>
      <c r="F180" s="30" t="s">
        <v>74</v>
      </c>
      <c r="G180" s="30">
        <v>74</v>
      </c>
      <c r="H180" s="30">
        <v>230</v>
      </c>
      <c r="I180" s="30">
        <v>34.89</v>
      </c>
      <c r="J180" s="30" t="s">
        <v>74</v>
      </c>
      <c r="K180" s="58">
        <v>0</v>
      </c>
      <c r="L180" s="58">
        <v>1.18434198329297E+19</v>
      </c>
    </row>
    <row r="181" spans="3:12">
      <c r="C181" s="29" t="b">
        <v>0</v>
      </c>
      <c r="D181" s="30" t="s">
        <v>186</v>
      </c>
      <c r="E181" s="137" t="s">
        <v>184</v>
      </c>
      <c r="F181" s="30" t="s">
        <v>74</v>
      </c>
      <c r="G181" s="30">
        <v>72</v>
      </c>
      <c r="H181" s="30">
        <v>180</v>
      </c>
      <c r="I181" s="30">
        <v>23.79</v>
      </c>
      <c r="J181" s="30" t="s">
        <v>74</v>
      </c>
      <c r="K181" s="58">
        <v>0</v>
      </c>
      <c r="L181" s="58">
        <v>1.0920393448847999E+19</v>
      </c>
    </row>
    <row r="182" spans="3:12">
      <c r="C182" s="29" t="b">
        <v>0</v>
      </c>
      <c r="D182" s="30" t="s">
        <v>187</v>
      </c>
      <c r="E182" s="137" t="s">
        <v>184</v>
      </c>
      <c r="F182" s="30" t="s">
        <v>78</v>
      </c>
      <c r="G182" s="30">
        <v>73</v>
      </c>
      <c r="H182" s="30">
        <v>220</v>
      </c>
      <c r="I182" s="30">
        <v>27.96</v>
      </c>
      <c r="J182" s="30" t="s">
        <v>79</v>
      </c>
      <c r="K182" s="58">
        <v>0</v>
      </c>
      <c r="L182" s="58">
        <v>1.6070153770137201E+19</v>
      </c>
    </row>
    <row r="183" spans="3:12">
      <c r="C183" s="29" t="b">
        <v>0</v>
      </c>
      <c r="D183" s="30" t="s">
        <v>188</v>
      </c>
      <c r="E183" s="137" t="s">
        <v>184</v>
      </c>
      <c r="F183" s="30" t="s">
        <v>82</v>
      </c>
      <c r="G183" s="30">
        <v>69</v>
      </c>
      <c r="H183" s="30">
        <v>180</v>
      </c>
      <c r="I183" s="30">
        <v>23.54</v>
      </c>
      <c r="J183" s="30" t="s">
        <v>79</v>
      </c>
      <c r="K183" s="58">
        <v>0</v>
      </c>
      <c r="L183" s="58">
        <v>1.36638637319552E+19</v>
      </c>
    </row>
    <row r="184" spans="3:12">
      <c r="C184" s="29" t="b">
        <v>0</v>
      </c>
      <c r="D184" s="30" t="s">
        <v>189</v>
      </c>
      <c r="E184" s="137" t="s">
        <v>184</v>
      </c>
      <c r="F184" s="30" t="s">
        <v>84</v>
      </c>
      <c r="G184" s="30">
        <v>72</v>
      </c>
      <c r="H184" s="30">
        <v>180</v>
      </c>
      <c r="I184" s="30">
        <v>31.37</v>
      </c>
      <c r="J184" s="30" t="s">
        <v>79</v>
      </c>
      <c r="K184" s="58">
        <v>0</v>
      </c>
      <c r="L184" s="58">
        <v>7.5487555862169201E+18</v>
      </c>
    </row>
    <row r="185" spans="3:12">
      <c r="C185" s="29" t="b">
        <v>0</v>
      </c>
      <c r="D185" s="30" t="s">
        <v>190</v>
      </c>
      <c r="E185" s="137" t="s">
        <v>184</v>
      </c>
      <c r="F185" s="30" t="s">
        <v>84</v>
      </c>
      <c r="G185" s="30">
        <v>73</v>
      </c>
      <c r="H185" s="30">
        <v>170</v>
      </c>
      <c r="I185" s="30">
        <v>31.29</v>
      </c>
      <c r="J185" s="30" t="s">
        <v>79</v>
      </c>
      <c r="K185" s="58">
        <v>0</v>
      </c>
      <c r="L185" s="58">
        <v>2.6510408050912599E+18</v>
      </c>
    </row>
    <row r="186" spans="3:12">
      <c r="C186" s="29" t="b">
        <v>0</v>
      </c>
      <c r="D186" s="30" t="s">
        <v>191</v>
      </c>
      <c r="E186" s="137" t="s">
        <v>184</v>
      </c>
      <c r="F186" s="30" t="s">
        <v>86</v>
      </c>
      <c r="G186" s="30">
        <v>75</v>
      </c>
      <c r="H186" s="30">
        <v>210</v>
      </c>
      <c r="I186" s="30">
        <v>33.01</v>
      </c>
      <c r="J186" s="30" t="s">
        <v>79</v>
      </c>
      <c r="K186" s="58">
        <v>0</v>
      </c>
      <c r="L186" s="58">
        <v>1.14964870138367E+19</v>
      </c>
    </row>
    <row r="187" spans="3:12">
      <c r="C187" s="29" t="b">
        <v>0</v>
      </c>
      <c r="D187" s="30" t="s">
        <v>192</v>
      </c>
      <c r="E187" s="137" t="s">
        <v>184</v>
      </c>
      <c r="F187" s="30" t="s">
        <v>89</v>
      </c>
      <c r="G187" s="30">
        <v>75</v>
      </c>
      <c r="H187" s="30">
        <v>215</v>
      </c>
      <c r="I187" s="30">
        <v>25.1</v>
      </c>
      <c r="J187" s="30" t="s">
        <v>89</v>
      </c>
      <c r="K187" s="58">
        <v>0</v>
      </c>
      <c r="L187" s="58">
        <v>1.62172283722746E+19</v>
      </c>
    </row>
    <row r="188" spans="3:12">
      <c r="C188" s="29" t="b">
        <v>0</v>
      </c>
      <c r="D188" s="30" t="s">
        <v>193</v>
      </c>
      <c r="E188" s="137" t="s">
        <v>184</v>
      </c>
      <c r="F188" s="30" t="s">
        <v>89</v>
      </c>
      <c r="G188" s="30">
        <v>73</v>
      </c>
      <c r="H188" s="30">
        <v>200</v>
      </c>
      <c r="I188" s="30">
        <v>31.28</v>
      </c>
      <c r="J188" s="30" t="s">
        <v>89</v>
      </c>
      <c r="K188" s="58">
        <v>0</v>
      </c>
      <c r="L188" s="58">
        <v>5.2307326747249603E+18</v>
      </c>
    </row>
    <row r="189" spans="3:12">
      <c r="C189" s="29" t="b">
        <v>0</v>
      </c>
      <c r="D189" s="30" t="s">
        <v>194</v>
      </c>
      <c r="E189" s="137" t="s">
        <v>184</v>
      </c>
      <c r="F189" s="30" t="s">
        <v>89</v>
      </c>
      <c r="G189" s="30">
        <v>72</v>
      </c>
      <c r="H189" s="30">
        <v>213</v>
      </c>
      <c r="I189" s="30">
        <v>34.75</v>
      </c>
      <c r="J189" s="30" t="s">
        <v>89</v>
      </c>
      <c r="K189" s="58">
        <v>0</v>
      </c>
      <c r="L189" s="58">
        <v>8.2393847062087803E+18</v>
      </c>
    </row>
    <row r="190" spans="3:12">
      <c r="C190" s="29" t="b">
        <v>0</v>
      </c>
      <c r="D190" s="30" t="s">
        <v>195</v>
      </c>
      <c r="E190" s="137" t="s">
        <v>184</v>
      </c>
      <c r="F190" s="30" t="s">
        <v>89</v>
      </c>
      <c r="G190" s="30">
        <v>72</v>
      </c>
      <c r="H190" s="30">
        <v>180</v>
      </c>
      <c r="I190" s="30">
        <v>23.46</v>
      </c>
      <c r="J190" s="30" t="s">
        <v>89</v>
      </c>
      <c r="K190" s="58">
        <v>0</v>
      </c>
      <c r="L190" s="58">
        <v>3.92125884052322E+18</v>
      </c>
    </row>
    <row r="191" spans="3:12">
      <c r="C191" s="29" t="b">
        <v>0</v>
      </c>
      <c r="D191" s="30" t="s">
        <v>196</v>
      </c>
      <c r="E191" s="137" t="s">
        <v>184</v>
      </c>
      <c r="F191" s="30" t="s">
        <v>89</v>
      </c>
      <c r="G191" s="30">
        <v>76</v>
      </c>
      <c r="H191" s="30">
        <v>192</v>
      </c>
      <c r="I191" s="30">
        <v>25.37</v>
      </c>
      <c r="J191" s="30" t="s">
        <v>89</v>
      </c>
      <c r="K191" s="58">
        <v>0</v>
      </c>
      <c r="L191" s="58">
        <v>2.54072005848926E+18</v>
      </c>
    </row>
    <row r="192" spans="3:12">
      <c r="C192" s="29" t="b">
        <v>0</v>
      </c>
      <c r="D192" s="30" t="s">
        <v>197</v>
      </c>
      <c r="E192" s="137" t="s">
        <v>184</v>
      </c>
      <c r="F192" s="30" t="s">
        <v>89</v>
      </c>
      <c r="G192" s="30">
        <v>74</v>
      </c>
      <c r="H192" s="30">
        <v>235</v>
      </c>
      <c r="I192" s="30">
        <v>29.57</v>
      </c>
      <c r="J192" s="30" t="s">
        <v>89</v>
      </c>
      <c r="K192" s="58">
        <v>0</v>
      </c>
      <c r="L192" s="58">
        <v>2.32317465110946E+18</v>
      </c>
    </row>
    <row r="193" spans="3:12">
      <c r="C193" s="29" t="b">
        <v>0</v>
      </c>
      <c r="D193" s="30" t="s">
        <v>198</v>
      </c>
      <c r="E193" s="137" t="s">
        <v>184</v>
      </c>
      <c r="F193" s="30" t="s">
        <v>89</v>
      </c>
      <c r="G193" s="30">
        <v>72</v>
      </c>
      <c r="H193" s="30">
        <v>185</v>
      </c>
      <c r="I193" s="30">
        <v>27.33</v>
      </c>
      <c r="J193" s="30" t="s">
        <v>89</v>
      </c>
      <c r="K193" s="58">
        <v>0</v>
      </c>
      <c r="L193" s="58">
        <v>7.55252313376943E+18</v>
      </c>
    </row>
    <row r="194" spans="3:12">
      <c r="C194" s="29" t="b">
        <v>0</v>
      </c>
      <c r="D194" s="30" t="s">
        <v>199</v>
      </c>
      <c r="E194" s="137" t="s">
        <v>184</v>
      </c>
      <c r="F194" s="30" t="s">
        <v>97</v>
      </c>
      <c r="G194" s="30">
        <v>77</v>
      </c>
      <c r="H194" s="30">
        <v>235</v>
      </c>
      <c r="I194" s="30">
        <v>40.29</v>
      </c>
      <c r="J194" s="30" t="s">
        <v>71</v>
      </c>
      <c r="K194" s="58">
        <v>0</v>
      </c>
      <c r="L194" s="58">
        <v>1.6926857118123399E+19</v>
      </c>
    </row>
    <row r="195" spans="3:12">
      <c r="C195" s="29" t="b">
        <v>0</v>
      </c>
      <c r="D195" s="30" t="s">
        <v>200</v>
      </c>
      <c r="E195" s="137" t="s">
        <v>184</v>
      </c>
      <c r="F195" s="30" t="s">
        <v>97</v>
      </c>
      <c r="G195" s="30">
        <v>74</v>
      </c>
      <c r="H195" s="30">
        <v>210</v>
      </c>
      <c r="I195" s="30">
        <v>40.58</v>
      </c>
      <c r="J195" s="30" t="s">
        <v>71</v>
      </c>
      <c r="K195" s="58">
        <v>0</v>
      </c>
      <c r="L195" s="58">
        <v>8.4596624099736402E+18</v>
      </c>
    </row>
    <row r="196" spans="3:12">
      <c r="C196" s="29" t="b">
        <v>0</v>
      </c>
      <c r="D196" s="30" t="s">
        <v>201</v>
      </c>
      <c r="E196" s="137" t="s">
        <v>184</v>
      </c>
      <c r="F196" s="30" t="s">
        <v>97</v>
      </c>
      <c r="G196" s="30">
        <v>77</v>
      </c>
      <c r="H196" s="30">
        <v>222</v>
      </c>
      <c r="I196" s="30">
        <v>26.79</v>
      </c>
      <c r="J196" s="30" t="s">
        <v>71</v>
      </c>
      <c r="K196" s="58">
        <v>0</v>
      </c>
      <c r="L196" s="58">
        <v>1.07868130173604E+19</v>
      </c>
    </row>
    <row r="197" spans="3:12">
      <c r="C197" s="29" t="b">
        <v>0</v>
      </c>
      <c r="D197" s="30" t="s">
        <v>202</v>
      </c>
      <c r="E197" s="137" t="s">
        <v>184</v>
      </c>
      <c r="F197" s="30" t="s">
        <v>97</v>
      </c>
      <c r="G197" s="30">
        <v>75</v>
      </c>
      <c r="H197" s="30">
        <v>210</v>
      </c>
      <c r="I197" s="30">
        <v>32.549999999999997</v>
      </c>
      <c r="J197" s="30" t="s">
        <v>71</v>
      </c>
      <c r="K197" s="58">
        <v>0</v>
      </c>
      <c r="L197" s="58">
        <v>5.2103163373871903E+18</v>
      </c>
    </row>
    <row r="198" spans="3:12">
      <c r="C198" s="29" t="b">
        <v>0</v>
      </c>
      <c r="D198" s="30" t="s">
        <v>203</v>
      </c>
      <c r="E198" s="137" t="s">
        <v>184</v>
      </c>
      <c r="F198" s="30" t="s">
        <v>97</v>
      </c>
      <c r="G198" s="30">
        <v>76</v>
      </c>
      <c r="H198" s="30">
        <v>230</v>
      </c>
      <c r="I198" s="30">
        <v>26.27</v>
      </c>
      <c r="J198" s="30" t="s">
        <v>71</v>
      </c>
      <c r="K198" s="58">
        <v>0</v>
      </c>
      <c r="L198" s="58">
        <v>5.7260485087604101E+18</v>
      </c>
    </row>
    <row r="199" spans="3:12">
      <c r="C199" s="29" t="b">
        <v>0</v>
      </c>
      <c r="D199" s="30" t="s">
        <v>204</v>
      </c>
      <c r="E199" s="137" t="s">
        <v>184</v>
      </c>
      <c r="F199" s="30" t="s">
        <v>97</v>
      </c>
      <c r="G199" s="30">
        <v>80</v>
      </c>
      <c r="H199" s="30">
        <v>220</v>
      </c>
      <c r="I199" s="30">
        <v>29.47</v>
      </c>
      <c r="J199" s="30" t="s">
        <v>71</v>
      </c>
      <c r="K199" s="58">
        <v>0</v>
      </c>
      <c r="L199" s="58">
        <v>1.7597580216879E+19</v>
      </c>
    </row>
    <row r="200" spans="3:12">
      <c r="C200" s="29" t="b">
        <v>0</v>
      </c>
      <c r="D200" s="30" t="s">
        <v>205</v>
      </c>
      <c r="E200" s="137" t="s">
        <v>184</v>
      </c>
      <c r="F200" s="30" t="s">
        <v>97</v>
      </c>
      <c r="G200" s="30">
        <v>74</v>
      </c>
      <c r="H200" s="30">
        <v>180</v>
      </c>
      <c r="I200" s="30">
        <v>29.07</v>
      </c>
      <c r="J200" s="30" t="s">
        <v>71</v>
      </c>
      <c r="K200" s="58">
        <v>0</v>
      </c>
      <c r="L200" s="58">
        <v>8.9508738981474499E+18</v>
      </c>
    </row>
    <row r="201" spans="3:12">
      <c r="C201" s="29" t="b">
        <v>0</v>
      </c>
      <c r="D201" s="30" t="s">
        <v>206</v>
      </c>
      <c r="E201" s="137" t="s">
        <v>184</v>
      </c>
      <c r="F201" s="30" t="s">
        <v>97</v>
      </c>
      <c r="G201" s="30">
        <v>74</v>
      </c>
      <c r="H201" s="30">
        <v>190</v>
      </c>
      <c r="I201" s="30">
        <v>23.15</v>
      </c>
      <c r="J201" s="30" t="s">
        <v>71</v>
      </c>
      <c r="K201" s="58">
        <v>0</v>
      </c>
      <c r="L201" s="58">
        <v>1.64874419220852E+19</v>
      </c>
    </row>
    <row r="202" spans="3:12">
      <c r="C202" s="29" t="b">
        <v>0</v>
      </c>
      <c r="D202" s="30" t="s">
        <v>207</v>
      </c>
      <c r="E202" s="137" t="s">
        <v>184</v>
      </c>
      <c r="F202" s="30" t="s">
        <v>97</v>
      </c>
      <c r="G202" s="30">
        <v>75</v>
      </c>
      <c r="H202" s="30">
        <v>200</v>
      </c>
      <c r="I202" s="30">
        <v>24.9</v>
      </c>
      <c r="J202" s="30" t="s">
        <v>71</v>
      </c>
      <c r="K202" s="58">
        <v>0</v>
      </c>
      <c r="L202" s="58">
        <v>1.2252181344655901E+19</v>
      </c>
    </row>
    <row r="203" spans="3:12">
      <c r="C203" s="29" t="b">
        <v>0</v>
      </c>
      <c r="D203" s="30" t="s">
        <v>208</v>
      </c>
      <c r="E203" s="137" t="s">
        <v>184</v>
      </c>
      <c r="F203" s="30" t="s">
        <v>68</v>
      </c>
      <c r="G203" s="30">
        <v>78</v>
      </c>
      <c r="H203" s="30">
        <v>210</v>
      </c>
      <c r="I203" s="30">
        <v>23.29</v>
      </c>
      <c r="J203" s="30" t="s">
        <v>71</v>
      </c>
      <c r="K203" s="58">
        <v>0</v>
      </c>
      <c r="L203" s="58">
        <v>1.73575176770445E+19</v>
      </c>
    </row>
    <row r="204" spans="3:12">
      <c r="C204" s="29" t="b">
        <v>0</v>
      </c>
      <c r="D204" s="30" t="s">
        <v>209</v>
      </c>
      <c r="E204" s="137" t="s">
        <v>184</v>
      </c>
      <c r="F204" s="30" t="s">
        <v>68</v>
      </c>
      <c r="G204" s="30">
        <v>73</v>
      </c>
      <c r="H204" s="30">
        <v>194</v>
      </c>
      <c r="I204" s="30">
        <v>31.18</v>
      </c>
      <c r="J204" s="30" t="s">
        <v>71</v>
      </c>
      <c r="K204" s="58">
        <v>0</v>
      </c>
      <c r="L204" s="58">
        <v>4.0573838283773998E+18</v>
      </c>
    </row>
    <row r="205" spans="3:12">
      <c r="C205" s="29" t="b">
        <v>0</v>
      </c>
      <c r="D205" s="30" t="s">
        <v>210</v>
      </c>
      <c r="E205" s="137" t="s">
        <v>184</v>
      </c>
      <c r="F205" s="30" t="s">
        <v>68</v>
      </c>
      <c r="G205" s="30">
        <v>73</v>
      </c>
      <c r="H205" s="30">
        <v>180</v>
      </c>
      <c r="I205" s="30">
        <v>26.56</v>
      </c>
      <c r="J205" s="30" t="s">
        <v>71</v>
      </c>
      <c r="K205" s="58">
        <v>0</v>
      </c>
      <c r="L205" s="58">
        <v>3.6285963159068096E+16</v>
      </c>
    </row>
    <row r="206" spans="3:12">
      <c r="C206" s="29" t="b">
        <v>0</v>
      </c>
      <c r="D206" s="30" t="s">
        <v>211</v>
      </c>
      <c r="E206" s="137" t="s">
        <v>184</v>
      </c>
      <c r="F206" s="30" t="s">
        <v>68</v>
      </c>
      <c r="G206" s="30">
        <v>74</v>
      </c>
      <c r="H206" s="30">
        <v>190</v>
      </c>
      <c r="I206" s="30">
        <v>25.03</v>
      </c>
      <c r="J206" s="30" t="s">
        <v>71</v>
      </c>
      <c r="K206" s="58">
        <v>0</v>
      </c>
      <c r="L206" s="58">
        <v>6.35723821493197E+18</v>
      </c>
    </row>
    <row r="207" spans="3:12">
      <c r="C207" s="29" t="b">
        <v>0</v>
      </c>
      <c r="D207" s="30" t="s">
        <v>212</v>
      </c>
      <c r="E207" s="137" t="s">
        <v>184</v>
      </c>
      <c r="F207" s="30" t="s">
        <v>68</v>
      </c>
      <c r="G207" s="30">
        <v>75</v>
      </c>
      <c r="H207" s="30">
        <v>240</v>
      </c>
      <c r="I207" s="30">
        <v>35.659999999999997</v>
      </c>
      <c r="J207" s="30" t="s">
        <v>71</v>
      </c>
      <c r="K207" s="58">
        <v>0</v>
      </c>
      <c r="L207" s="58">
        <v>4.4283109957239598E+18</v>
      </c>
    </row>
    <row r="208" spans="3:12">
      <c r="C208" s="29" t="b">
        <v>0</v>
      </c>
      <c r="D208" s="30" t="s">
        <v>213</v>
      </c>
      <c r="E208" s="137" t="s">
        <v>184</v>
      </c>
      <c r="F208" s="30" t="s">
        <v>68</v>
      </c>
      <c r="G208" s="30">
        <v>76</v>
      </c>
      <c r="H208" s="30">
        <v>200</v>
      </c>
      <c r="I208" s="30">
        <v>29.64</v>
      </c>
      <c r="J208" s="30" t="s">
        <v>71</v>
      </c>
      <c r="K208" s="58">
        <v>0</v>
      </c>
      <c r="L208" s="58">
        <v>1.12687370418223E+19</v>
      </c>
    </row>
    <row r="209" spans="3:12">
      <c r="C209" s="29" t="b">
        <v>0</v>
      </c>
      <c r="D209" s="30" t="s">
        <v>214</v>
      </c>
      <c r="E209" s="137" t="s">
        <v>184</v>
      </c>
      <c r="F209" s="30" t="s">
        <v>68</v>
      </c>
      <c r="G209" s="30">
        <v>71</v>
      </c>
      <c r="H209" s="30">
        <v>198</v>
      </c>
      <c r="I209" s="30">
        <v>30.74</v>
      </c>
      <c r="J209" s="30" t="s">
        <v>71</v>
      </c>
      <c r="K209" s="58">
        <v>0</v>
      </c>
      <c r="L209" s="58">
        <v>7.4912359903119698E+18</v>
      </c>
    </row>
    <row r="210" spans="3:12">
      <c r="C210" s="29" t="b">
        <v>0</v>
      </c>
      <c r="D210" s="30" t="s">
        <v>215</v>
      </c>
      <c r="E210" s="137" t="s">
        <v>184</v>
      </c>
      <c r="F210" s="30" t="s">
        <v>68</v>
      </c>
      <c r="G210" s="30">
        <v>73</v>
      </c>
      <c r="H210" s="30">
        <v>200</v>
      </c>
      <c r="I210" s="30">
        <v>28.43</v>
      </c>
      <c r="J210" s="30" t="s">
        <v>71</v>
      </c>
      <c r="K210" s="58">
        <v>0</v>
      </c>
      <c r="L210" s="58">
        <v>1.34473026586293E+19</v>
      </c>
    </row>
    <row r="211" spans="3:12">
      <c r="C211" s="29" t="b">
        <v>0</v>
      </c>
      <c r="D211" s="30" t="s">
        <v>216</v>
      </c>
      <c r="E211" s="137" t="s">
        <v>184</v>
      </c>
      <c r="F211" s="30" t="s">
        <v>68</v>
      </c>
      <c r="G211" s="30">
        <v>74</v>
      </c>
      <c r="H211" s="30">
        <v>195</v>
      </c>
      <c r="I211" s="30">
        <v>33.770000000000003</v>
      </c>
      <c r="J211" s="30" t="s">
        <v>71</v>
      </c>
      <c r="K211" s="58">
        <v>0</v>
      </c>
      <c r="L211" s="58">
        <v>1.1150880518497599E+19</v>
      </c>
    </row>
    <row r="212" spans="3:12">
      <c r="C212" s="29" t="b">
        <v>0</v>
      </c>
      <c r="D212" s="30" t="s">
        <v>217</v>
      </c>
      <c r="E212" s="137" t="s">
        <v>184</v>
      </c>
      <c r="F212" s="30" t="s">
        <v>68</v>
      </c>
      <c r="G212" s="30">
        <v>76</v>
      </c>
      <c r="H212" s="30">
        <v>210</v>
      </c>
      <c r="I212" s="30">
        <v>40.97</v>
      </c>
      <c r="J212" s="30" t="s">
        <v>71</v>
      </c>
      <c r="K212" s="58">
        <v>0</v>
      </c>
      <c r="L212" s="58">
        <v>3.3742999557298698E+18</v>
      </c>
    </row>
    <row r="213" spans="3:12">
      <c r="C213" s="29" t="b">
        <v>0</v>
      </c>
      <c r="D213" s="30" t="s">
        <v>218</v>
      </c>
      <c r="E213" s="137" t="s">
        <v>184</v>
      </c>
      <c r="F213" s="30" t="s">
        <v>68</v>
      </c>
      <c r="G213" s="30">
        <v>76</v>
      </c>
      <c r="H213" s="30">
        <v>220</v>
      </c>
      <c r="I213" s="30">
        <v>23.52</v>
      </c>
      <c r="J213" s="30" t="s">
        <v>71</v>
      </c>
      <c r="K213" s="58">
        <v>0</v>
      </c>
      <c r="L213" s="58">
        <v>1.0536445301091E+19</v>
      </c>
    </row>
    <row r="214" spans="3:12">
      <c r="C214" s="29" t="b">
        <v>0</v>
      </c>
      <c r="D214" s="30" t="s">
        <v>219</v>
      </c>
      <c r="E214" s="137" t="s">
        <v>220</v>
      </c>
      <c r="F214" s="30" t="s">
        <v>74</v>
      </c>
      <c r="G214" s="30">
        <v>74</v>
      </c>
      <c r="H214" s="30">
        <v>190</v>
      </c>
      <c r="I214" s="30">
        <v>28.19</v>
      </c>
      <c r="J214" s="30" t="s">
        <v>74</v>
      </c>
      <c r="K214" s="58">
        <v>0</v>
      </c>
      <c r="L214" s="58">
        <v>5.3153758349439099E+18</v>
      </c>
    </row>
    <row r="215" spans="3:12">
      <c r="C215" s="29" t="b">
        <v>0</v>
      </c>
      <c r="D215" s="30" t="s">
        <v>221</v>
      </c>
      <c r="E215" s="137" t="s">
        <v>220</v>
      </c>
      <c r="F215" s="30" t="s">
        <v>74</v>
      </c>
      <c r="G215" s="30">
        <v>73</v>
      </c>
      <c r="H215" s="30">
        <v>210</v>
      </c>
      <c r="I215" s="30">
        <v>26.84</v>
      </c>
      <c r="J215" s="30" t="s">
        <v>74</v>
      </c>
      <c r="K215" s="58">
        <v>0</v>
      </c>
      <c r="L215" s="58">
        <v>8.7237450823088701E+18</v>
      </c>
    </row>
    <row r="216" spans="3:12">
      <c r="C216" s="29" t="b">
        <v>0</v>
      </c>
      <c r="D216" s="30" t="s">
        <v>222</v>
      </c>
      <c r="E216" s="137" t="s">
        <v>220</v>
      </c>
      <c r="F216" s="30" t="s">
        <v>78</v>
      </c>
      <c r="G216" s="30">
        <v>74</v>
      </c>
      <c r="H216" s="30">
        <v>225</v>
      </c>
      <c r="I216" s="30">
        <v>26.16</v>
      </c>
      <c r="J216" s="30" t="s">
        <v>79</v>
      </c>
      <c r="K216" s="58">
        <v>0</v>
      </c>
      <c r="L216" s="58">
        <v>5.3331708703600599E+18</v>
      </c>
    </row>
    <row r="217" spans="3:12">
      <c r="C217" s="29" t="b">
        <v>0</v>
      </c>
      <c r="D217" s="30" t="s">
        <v>223</v>
      </c>
      <c r="E217" s="137" t="s">
        <v>220</v>
      </c>
      <c r="F217" s="30" t="s">
        <v>82</v>
      </c>
      <c r="G217" s="30">
        <v>70</v>
      </c>
      <c r="H217" s="30">
        <v>180</v>
      </c>
      <c r="I217" s="30">
        <v>28.67</v>
      </c>
      <c r="J217" s="30" t="s">
        <v>79</v>
      </c>
      <c r="K217" s="58">
        <v>0</v>
      </c>
      <c r="L217" s="58">
        <v>1.4720489321913E+19</v>
      </c>
    </row>
    <row r="218" spans="3:12">
      <c r="C218" s="29" t="b">
        <v>0</v>
      </c>
      <c r="D218" s="30" t="s">
        <v>224</v>
      </c>
      <c r="E218" s="137" t="s">
        <v>220</v>
      </c>
      <c r="F218" s="30" t="s">
        <v>82</v>
      </c>
      <c r="G218" s="30">
        <v>72</v>
      </c>
      <c r="H218" s="30">
        <v>185</v>
      </c>
      <c r="I218" s="30">
        <v>24.2</v>
      </c>
      <c r="J218" s="30" t="s">
        <v>79</v>
      </c>
      <c r="K218" s="58">
        <v>0</v>
      </c>
      <c r="L218" s="58">
        <v>1.1023725647262599E+19</v>
      </c>
    </row>
    <row r="219" spans="3:12">
      <c r="C219" s="29" t="b">
        <v>0</v>
      </c>
      <c r="D219" s="30" t="s">
        <v>225</v>
      </c>
      <c r="E219" s="137" t="s">
        <v>220</v>
      </c>
      <c r="F219" s="30" t="s">
        <v>82</v>
      </c>
      <c r="G219" s="30">
        <v>73</v>
      </c>
      <c r="H219" s="30">
        <v>170</v>
      </c>
      <c r="I219" s="30">
        <v>27.08</v>
      </c>
      <c r="J219" s="30" t="s">
        <v>79</v>
      </c>
      <c r="K219" s="58">
        <v>0</v>
      </c>
      <c r="L219" s="58">
        <v>1.06591318244894E+17</v>
      </c>
    </row>
    <row r="220" spans="3:12">
      <c r="C220" s="29" t="b">
        <v>0</v>
      </c>
      <c r="D220" s="30" t="s">
        <v>226</v>
      </c>
      <c r="E220" s="137" t="s">
        <v>220</v>
      </c>
      <c r="F220" s="30" t="s">
        <v>84</v>
      </c>
      <c r="G220" s="30">
        <v>73</v>
      </c>
      <c r="H220" s="30">
        <v>185</v>
      </c>
      <c r="I220" s="30">
        <v>24.76</v>
      </c>
      <c r="J220" s="30" t="s">
        <v>79</v>
      </c>
      <c r="K220" s="58">
        <v>0</v>
      </c>
      <c r="L220" s="58">
        <v>4.7363801288852398E+18</v>
      </c>
    </row>
    <row r="221" spans="3:12">
      <c r="C221" s="29" t="b">
        <v>0</v>
      </c>
      <c r="D221" s="30" t="s">
        <v>227</v>
      </c>
      <c r="E221" s="137" t="s">
        <v>220</v>
      </c>
      <c r="F221" s="30" t="s">
        <v>86</v>
      </c>
      <c r="G221" s="30">
        <v>73</v>
      </c>
      <c r="H221" s="30">
        <v>185</v>
      </c>
      <c r="I221" s="30">
        <v>23.36</v>
      </c>
      <c r="J221" s="30" t="s">
        <v>79</v>
      </c>
      <c r="K221" s="58">
        <v>0</v>
      </c>
      <c r="L221" s="58">
        <v>1.58172493607104E+19</v>
      </c>
    </row>
    <row r="222" spans="3:12">
      <c r="C222" s="29" t="b">
        <v>0</v>
      </c>
      <c r="D222" s="30" t="s">
        <v>228</v>
      </c>
      <c r="E222" s="137" t="s">
        <v>220</v>
      </c>
      <c r="F222" s="30" t="s">
        <v>89</v>
      </c>
      <c r="G222" s="30">
        <v>73</v>
      </c>
      <c r="H222" s="30">
        <v>180</v>
      </c>
      <c r="I222" s="30">
        <v>25.35</v>
      </c>
      <c r="J222" s="30" t="s">
        <v>89</v>
      </c>
      <c r="K222" s="58">
        <v>0</v>
      </c>
      <c r="L222" s="58">
        <v>7.78817852785937E+18</v>
      </c>
    </row>
    <row r="223" spans="3:12">
      <c r="C223" s="29" t="b">
        <v>0</v>
      </c>
      <c r="D223" s="30" t="s">
        <v>229</v>
      </c>
      <c r="E223" s="137" t="s">
        <v>220</v>
      </c>
      <c r="F223" s="30" t="s">
        <v>89</v>
      </c>
      <c r="G223" s="30">
        <v>71</v>
      </c>
      <c r="H223" s="30">
        <v>178</v>
      </c>
      <c r="I223" s="30">
        <v>24.63</v>
      </c>
      <c r="J223" s="30" t="s">
        <v>89</v>
      </c>
      <c r="K223" s="58">
        <v>0</v>
      </c>
      <c r="L223" s="58">
        <v>1.6564557964985301E+19</v>
      </c>
    </row>
    <row r="224" spans="3:12">
      <c r="C224" s="29" t="b">
        <v>0</v>
      </c>
      <c r="D224" s="30" t="s">
        <v>230</v>
      </c>
      <c r="E224" s="137" t="s">
        <v>220</v>
      </c>
      <c r="F224" s="30" t="s">
        <v>89</v>
      </c>
      <c r="G224" s="30">
        <v>74</v>
      </c>
      <c r="H224" s="30">
        <v>175</v>
      </c>
      <c r="I224" s="30">
        <v>24.02</v>
      </c>
      <c r="J224" s="30" t="s">
        <v>89</v>
      </c>
      <c r="K224" s="58">
        <v>0</v>
      </c>
      <c r="L224" s="58">
        <v>5.2145945723718195E+18</v>
      </c>
    </row>
    <row r="225" spans="3:12">
      <c r="C225" s="29" t="b">
        <v>0</v>
      </c>
      <c r="D225" s="30" t="s">
        <v>231</v>
      </c>
      <c r="E225" s="137" t="s">
        <v>220</v>
      </c>
      <c r="F225" s="30" t="s">
        <v>89</v>
      </c>
      <c r="G225" s="30">
        <v>74</v>
      </c>
      <c r="H225" s="30">
        <v>200</v>
      </c>
      <c r="I225" s="30">
        <v>24.58</v>
      </c>
      <c r="J225" s="30" t="s">
        <v>89</v>
      </c>
      <c r="K225" s="58">
        <v>0</v>
      </c>
      <c r="L225" s="58">
        <v>1.39529705488849E+19</v>
      </c>
    </row>
    <row r="226" spans="3:12">
      <c r="C226" s="29" t="b">
        <v>0</v>
      </c>
      <c r="D226" s="30" t="s">
        <v>232</v>
      </c>
      <c r="E226" s="137" t="s">
        <v>220</v>
      </c>
      <c r="F226" s="30" t="s">
        <v>89</v>
      </c>
      <c r="G226" s="30">
        <v>72</v>
      </c>
      <c r="H226" s="30">
        <v>204</v>
      </c>
      <c r="I226" s="30">
        <v>30.82</v>
      </c>
      <c r="J226" s="30" t="s">
        <v>89</v>
      </c>
      <c r="K226" s="58">
        <v>0</v>
      </c>
      <c r="L226" s="58">
        <v>1.13239113370723E+19</v>
      </c>
    </row>
    <row r="227" spans="3:12">
      <c r="C227" s="29" t="b">
        <v>0</v>
      </c>
      <c r="D227" s="30" t="s">
        <v>233</v>
      </c>
      <c r="E227" s="137" t="s">
        <v>220</v>
      </c>
      <c r="F227" s="30" t="s">
        <v>89</v>
      </c>
      <c r="G227" s="30">
        <v>74</v>
      </c>
      <c r="H227" s="30">
        <v>211</v>
      </c>
      <c r="I227" s="30">
        <v>32.89</v>
      </c>
      <c r="J227" s="30" t="s">
        <v>89</v>
      </c>
      <c r="K227" s="58">
        <v>0</v>
      </c>
      <c r="L227" s="58">
        <v>1.3952987848509301E+19</v>
      </c>
    </row>
    <row r="228" spans="3:12">
      <c r="C228" s="29" t="b">
        <v>0</v>
      </c>
      <c r="D228" s="30" t="s">
        <v>234</v>
      </c>
      <c r="E228" s="137" t="s">
        <v>220</v>
      </c>
      <c r="F228" s="30" t="s">
        <v>89</v>
      </c>
      <c r="G228" s="30">
        <v>71</v>
      </c>
      <c r="H228" s="30">
        <v>190</v>
      </c>
      <c r="I228" s="30">
        <v>33.33</v>
      </c>
      <c r="J228" s="30" t="s">
        <v>89</v>
      </c>
      <c r="K228" s="58">
        <v>0</v>
      </c>
      <c r="L228" s="58">
        <v>1.03782959395793E+19</v>
      </c>
    </row>
    <row r="229" spans="3:12">
      <c r="C229" s="29" t="b">
        <v>0</v>
      </c>
      <c r="D229" s="30" t="s">
        <v>235</v>
      </c>
      <c r="E229" s="137" t="s">
        <v>220</v>
      </c>
      <c r="F229" s="30" t="s">
        <v>89</v>
      </c>
      <c r="G229" s="30">
        <v>74</v>
      </c>
      <c r="H229" s="30">
        <v>210</v>
      </c>
      <c r="I229" s="30">
        <v>33.520000000000003</v>
      </c>
      <c r="J229" s="30" t="s">
        <v>89</v>
      </c>
      <c r="K229" s="58">
        <v>0</v>
      </c>
      <c r="L229" s="58">
        <v>1.2268774433688601E+19</v>
      </c>
    </row>
    <row r="230" spans="3:12">
      <c r="C230" s="29" t="b">
        <v>0</v>
      </c>
      <c r="D230" s="30" t="s">
        <v>236</v>
      </c>
      <c r="E230" s="137" t="s">
        <v>220</v>
      </c>
      <c r="F230" s="30" t="s">
        <v>97</v>
      </c>
      <c r="G230" s="30">
        <v>73</v>
      </c>
      <c r="H230" s="30">
        <v>190</v>
      </c>
      <c r="I230" s="30">
        <v>36.24</v>
      </c>
      <c r="J230" s="30" t="s">
        <v>71</v>
      </c>
      <c r="K230" s="58">
        <v>0</v>
      </c>
      <c r="L230" s="58">
        <v>4.4539851632796401E+18</v>
      </c>
    </row>
    <row r="231" spans="3:12">
      <c r="C231" s="29" t="b">
        <v>0</v>
      </c>
      <c r="D231" s="30" t="s">
        <v>237</v>
      </c>
      <c r="E231" s="137" t="s">
        <v>220</v>
      </c>
      <c r="F231" s="30" t="s">
        <v>97</v>
      </c>
      <c r="G231" s="30">
        <v>75</v>
      </c>
      <c r="H231" s="30">
        <v>190</v>
      </c>
      <c r="I231" s="30">
        <v>28.5</v>
      </c>
      <c r="J231" s="30" t="s">
        <v>71</v>
      </c>
      <c r="K231" s="58">
        <v>0</v>
      </c>
      <c r="L231" s="58">
        <v>2.07245180810461E+18</v>
      </c>
    </row>
    <row r="232" spans="3:12">
      <c r="C232" s="29" t="b">
        <v>0</v>
      </c>
      <c r="D232" s="30" t="s">
        <v>238</v>
      </c>
      <c r="E232" s="137" t="s">
        <v>220</v>
      </c>
      <c r="F232" s="30" t="s">
        <v>97</v>
      </c>
      <c r="G232" s="30">
        <v>75</v>
      </c>
      <c r="H232" s="30">
        <v>185</v>
      </c>
      <c r="I232" s="30">
        <v>29.42</v>
      </c>
      <c r="J232" s="30" t="s">
        <v>71</v>
      </c>
      <c r="K232" s="58">
        <v>0</v>
      </c>
      <c r="L232" s="58">
        <v>5.5810439565203702E+18</v>
      </c>
    </row>
    <row r="233" spans="3:12">
      <c r="C233" s="29" t="b">
        <v>0</v>
      </c>
      <c r="D233" s="30" t="s">
        <v>239</v>
      </c>
      <c r="E233" s="137" t="s">
        <v>220</v>
      </c>
      <c r="F233" s="30" t="s">
        <v>97</v>
      </c>
      <c r="G233" s="30">
        <v>79</v>
      </c>
      <c r="H233" s="30">
        <v>290</v>
      </c>
      <c r="I233" s="30">
        <v>26.61</v>
      </c>
      <c r="J233" s="30" t="s">
        <v>71</v>
      </c>
      <c r="K233" s="58">
        <v>0</v>
      </c>
      <c r="L233" s="58">
        <v>4.99904209803153E+18</v>
      </c>
    </row>
    <row r="234" spans="3:12">
      <c r="C234" s="29" t="b">
        <v>0</v>
      </c>
      <c r="D234" s="30" t="s">
        <v>240</v>
      </c>
      <c r="E234" s="137" t="s">
        <v>220</v>
      </c>
      <c r="F234" s="30" t="s">
        <v>97</v>
      </c>
      <c r="G234" s="30">
        <v>73</v>
      </c>
      <c r="H234" s="30">
        <v>175</v>
      </c>
      <c r="I234" s="30">
        <v>23.79</v>
      </c>
      <c r="J234" s="30" t="s">
        <v>71</v>
      </c>
      <c r="K234" s="58">
        <v>0</v>
      </c>
      <c r="L234" s="58">
        <v>6.3431233010733896E+18</v>
      </c>
    </row>
    <row r="235" spans="3:12">
      <c r="C235" s="29" t="b">
        <v>0</v>
      </c>
      <c r="D235" s="30" t="s">
        <v>241</v>
      </c>
      <c r="E235" s="137" t="s">
        <v>220</v>
      </c>
      <c r="F235" s="30" t="s">
        <v>68</v>
      </c>
      <c r="G235" s="30">
        <v>75</v>
      </c>
      <c r="H235" s="30">
        <v>185</v>
      </c>
      <c r="I235" s="30">
        <v>24.96</v>
      </c>
      <c r="J235" s="30" t="s">
        <v>71</v>
      </c>
      <c r="K235" s="58">
        <v>0</v>
      </c>
      <c r="L235" s="58">
        <v>7.4271238085420104E+18</v>
      </c>
    </row>
    <row r="236" spans="3:12">
      <c r="C236" s="29" t="b">
        <v>0</v>
      </c>
      <c r="D236" s="30" t="s">
        <v>242</v>
      </c>
      <c r="E236" s="137" t="s">
        <v>220</v>
      </c>
      <c r="F236" s="30" t="s">
        <v>68</v>
      </c>
      <c r="G236" s="30">
        <v>76</v>
      </c>
      <c r="H236" s="30">
        <v>200</v>
      </c>
      <c r="I236" s="30">
        <v>25.93</v>
      </c>
      <c r="J236" s="30" t="s">
        <v>71</v>
      </c>
      <c r="K236" s="58">
        <v>0</v>
      </c>
      <c r="L236" s="58">
        <v>1.43848840792757E+19</v>
      </c>
    </row>
    <row r="237" spans="3:12">
      <c r="C237" s="29" t="b">
        <v>0</v>
      </c>
      <c r="D237" s="30" t="s">
        <v>243</v>
      </c>
      <c r="E237" s="137" t="s">
        <v>220</v>
      </c>
      <c r="F237" s="30" t="s">
        <v>68</v>
      </c>
      <c r="G237" s="30">
        <v>74</v>
      </c>
      <c r="H237" s="30">
        <v>220</v>
      </c>
      <c r="I237" s="30">
        <v>22.81</v>
      </c>
      <c r="J237" s="30" t="s">
        <v>71</v>
      </c>
      <c r="K237" s="58">
        <v>0</v>
      </c>
      <c r="L237" s="58">
        <v>1.6291479659022701E+19</v>
      </c>
    </row>
    <row r="238" spans="3:12">
      <c r="C238" s="29" t="b">
        <v>0</v>
      </c>
      <c r="D238" s="30" t="s">
        <v>244</v>
      </c>
      <c r="E238" s="137" t="s">
        <v>220</v>
      </c>
      <c r="F238" s="30" t="s">
        <v>68</v>
      </c>
      <c r="G238" s="30">
        <v>76</v>
      </c>
      <c r="H238" s="30">
        <v>170</v>
      </c>
      <c r="I238" s="30">
        <v>25.29</v>
      </c>
      <c r="J238" s="30" t="s">
        <v>71</v>
      </c>
      <c r="K238" s="58">
        <v>0</v>
      </c>
      <c r="L238" s="58">
        <v>1.5358817179687899E+19</v>
      </c>
    </row>
    <row r="239" spans="3:12">
      <c r="C239" s="29" t="b">
        <v>0</v>
      </c>
      <c r="D239" s="30" t="s">
        <v>245</v>
      </c>
      <c r="E239" s="137" t="s">
        <v>220</v>
      </c>
      <c r="F239" s="30" t="s">
        <v>68</v>
      </c>
      <c r="G239" s="30">
        <v>78</v>
      </c>
      <c r="H239" s="30">
        <v>220</v>
      </c>
      <c r="I239" s="30">
        <v>26.07</v>
      </c>
      <c r="J239" s="30" t="s">
        <v>71</v>
      </c>
      <c r="K239" s="58">
        <v>0</v>
      </c>
      <c r="L239" s="58">
        <v>5.6339594412360499E+18</v>
      </c>
    </row>
    <row r="240" spans="3:12">
      <c r="C240" s="29" t="b">
        <v>0</v>
      </c>
      <c r="D240" s="30" t="s">
        <v>246</v>
      </c>
      <c r="E240" s="137" t="s">
        <v>220</v>
      </c>
      <c r="F240" s="30" t="s">
        <v>68</v>
      </c>
      <c r="G240" s="30">
        <v>74</v>
      </c>
      <c r="H240" s="30">
        <v>190</v>
      </c>
      <c r="I240" s="30">
        <v>26.09</v>
      </c>
      <c r="J240" s="30" t="s">
        <v>71</v>
      </c>
      <c r="K240" s="58">
        <v>0</v>
      </c>
      <c r="L240" s="58">
        <v>5.0863784789954099E+18</v>
      </c>
    </row>
    <row r="241" spans="3:12">
      <c r="C241" s="29" t="b">
        <v>0</v>
      </c>
      <c r="D241" s="30" t="s">
        <v>247</v>
      </c>
      <c r="E241" s="137" t="s">
        <v>220</v>
      </c>
      <c r="F241" s="30" t="s">
        <v>68</v>
      </c>
      <c r="G241" s="30">
        <v>76</v>
      </c>
      <c r="H241" s="30">
        <v>220</v>
      </c>
      <c r="I241" s="30">
        <v>23.23</v>
      </c>
      <c r="J241" s="30" t="s">
        <v>71</v>
      </c>
      <c r="K241" s="58">
        <v>0</v>
      </c>
      <c r="L241" s="58">
        <v>5.4495812091974605E+18</v>
      </c>
    </row>
    <row r="242" spans="3:12">
      <c r="C242" s="29" t="b">
        <v>0</v>
      </c>
      <c r="D242" s="30" t="s">
        <v>248</v>
      </c>
      <c r="E242" s="137" t="s">
        <v>220</v>
      </c>
      <c r="F242" s="30" t="s">
        <v>68</v>
      </c>
      <c r="G242" s="30">
        <v>72</v>
      </c>
      <c r="H242" s="30">
        <v>205</v>
      </c>
      <c r="I242" s="30">
        <v>33.49</v>
      </c>
      <c r="J242" s="30" t="s">
        <v>71</v>
      </c>
      <c r="K242" s="58">
        <v>0</v>
      </c>
      <c r="L242" s="58">
        <v>1.33850562698181E+19</v>
      </c>
    </row>
    <row r="243" spans="3:12">
      <c r="C243" s="29" t="b">
        <v>0</v>
      </c>
      <c r="D243" s="30" t="s">
        <v>249</v>
      </c>
      <c r="E243" s="137" t="s">
        <v>220</v>
      </c>
      <c r="F243" s="30" t="s">
        <v>68</v>
      </c>
      <c r="G243" s="30">
        <v>74</v>
      </c>
      <c r="H243" s="30">
        <v>200</v>
      </c>
      <c r="I243" s="30">
        <v>31.84</v>
      </c>
      <c r="J243" s="30" t="s">
        <v>71</v>
      </c>
      <c r="K243" s="58">
        <v>0</v>
      </c>
      <c r="L243" s="58">
        <v>1.5149891484502999E+19</v>
      </c>
    </row>
    <row r="244" spans="3:12">
      <c r="C244" s="29" t="b">
        <v>0</v>
      </c>
      <c r="D244" s="30" t="s">
        <v>250</v>
      </c>
      <c r="E244" s="137" t="s">
        <v>220</v>
      </c>
      <c r="F244" s="30" t="s">
        <v>68</v>
      </c>
      <c r="G244" s="30">
        <v>76</v>
      </c>
      <c r="H244" s="30">
        <v>250</v>
      </c>
      <c r="I244" s="30">
        <v>42.3</v>
      </c>
      <c r="J244" s="30" t="s">
        <v>71</v>
      </c>
      <c r="K244" s="58">
        <v>0</v>
      </c>
      <c r="L244" s="58">
        <v>1.41674174236254E+19</v>
      </c>
    </row>
    <row r="245" spans="3:12">
      <c r="C245" s="29" t="b">
        <v>0</v>
      </c>
      <c r="D245" s="30" t="s">
        <v>251</v>
      </c>
      <c r="E245" s="137" t="s">
        <v>220</v>
      </c>
      <c r="F245" s="30" t="s">
        <v>68</v>
      </c>
      <c r="G245" s="30">
        <v>74</v>
      </c>
      <c r="H245" s="30">
        <v>225</v>
      </c>
      <c r="I245" s="30">
        <v>35.82</v>
      </c>
      <c r="J245" s="30" t="s">
        <v>71</v>
      </c>
      <c r="K245" s="58">
        <v>0</v>
      </c>
      <c r="L245" s="58">
        <v>9.8155776567571907E+18</v>
      </c>
    </row>
    <row r="246" spans="3:12">
      <c r="C246" s="29" t="b">
        <v>0</v>
      </c>
      <c r="D246" s="30" t="s">
        <v>252</v>
      </c>
      <c r="E246" s="137" t="s">
        <v>220</v>
      </c>
      <c r="F246" s="30" t="s">
        <v>68</v>
      </c>
      <c r="G246" s="30">
        <v>75</v>
      </c>
      <c r="H246" s="30">
        <v>215</v>
      </c>
      <c r="I246" s="30">
        <v>35.270000000000003</v>
      </c>
      <c r="J246" s="30" t="s">
        <v>71</v>
      </c>
      <c r="K246" s="58">
        <v>0</v>
      </c>
      <c r="L246" s="58">
        <v>1.1535399564029999E+19</v>
      </c>
    </row>
    <row r="247" spans="3:12">
      <c r="C247" s="29" t="b">
        <v>0</v>
      </c>
      <c r="D247" s="30" t="s">
        <v>253</v>
      </c>
      <c r="E247" s="137" t="s">
        <v>220</v>
      </c>
      <c r="F247" s="30" t="s">
        <v>68</v>
      </c>
      <c r="G247" s="30">
        <v>78</v>
      </c>
      <c r="H247" s="30">
        <v>210</v>
      </c>
      <c r="I247" s="30">
        <v>26.81</v>
      </c>
      <c r="J247" s="30" t="s">
        <v>71</v>
      </c>
      <c r="K247" s="58">
        <v>0</v>
      </c>
      <c r="L247" s="58">
        <v>1.2684037780943999E+19</v>
      </c>
    </row>
    <row r="248" spans="3:12">
      <c r="C248" s="29" t="b">
        <v>0</v>
      </c>
      <c r="D248" s="30" t="s">
        <v>254</v>
      </c>
      <c r="E248" s="137" t="s">
        <v>255</v>
      </c>
      <c r="F248" s="30" t="s">
        <v>74</v>
      </c>
      <c r="G248" s="30">
        <v>75</v>
      </c>
      <c r="H248" s="30">
        <v>215</v>
      </c>
      <c r="I248" s="30">
        <v>38.49</v>
      </c>
      <c r="J248" s="30" t="s">
        <v>74</v>
      </c>
      <c r="K248" s="58">
        <v>0</v>
      </c>
      <c r="L248" s="58">
        <v>3.5917083780656901E+18</v>
      </c>
    </row>
    <row r="249" spans="3:12">
      <c r="C249" s="29" t="b">
        <v>0</v>
      </c>
      <c r="D249" s="30" t="s">
        <v>256</v>
      </c>
      <c r="E249" s="137" t="s">
        <v>255</v>
      </c>
      <c r="F249" s="30" t="s">
        <v>74</v>
      </c>
      <c r="G249" s="30">
        <v>72</v>
      </c>
      <c r="H249" s="30">
        <v>195</v>
      </c>
      <c r="I249" s="30">
        <v>32.68</v>
      </c>
      <c r="J249" s="30" t="s">
        <v>74</v>
      </c>
      <c r="K249" s="58">
        <v>0</v>
      </c>
      <c r="L249" s="58">
        <v>1.7852031538980399E+19</v>
      </c>
    </row>
    <row r="250" spans="3:12">
      <c r="C250" s="29" t="b">
        <v>0</v>
      </c>
      <c r="D250" s="30" t="s">
        <v>257</v>
      </c>
      <c r="E250" s="137" t="s">
        <v>255</v>
      </c>
      <c r="F250" s="30" t="s">
        <v>74</v>
      </c>
      <c r="G250" s="30">
        <v>74</v>
      </c>
      <c r="H250" s="30">
        <v>200</v>
      </c>
      <c r="I250" s="30">
        <v>34.93</v>
      </c>
      <c r="J250" s="30" t="s">
        <v>74</v>
      </c>
      <c r="K250" s="58">
        <v>0</v>
      </c>
      <c r="L250" s="58">
        <v>1.25200215939634E+18</v>
      </c>
    </row>
    <row r="251" spans="3:12">
      <c r="C251" s="29" t="b">
        <v>0</v>
      </c>
      <c r="D251" s="30" t="s">
        <v>258</v>
      </c>
      <c r="E251" s="137" t="s">
        <v>255</v>
      </c>
      <c r="F251" s="30" t="s">
        <v>78</v>
      </c>
      <c r="G251" s="30">
        <v>72</v>
      </c>
      <c r="H251" s="30">
        <v>194</v>
      </c>
      <c r="I251" s="30">
        <v>26.26</v>
      </c>
      <c r="J251" s="30" t="s">
        <v>79</v>
      </c>
      <c r="K251" s="58">
        <v>0</v>
      </c>
      <c r="L251" s="58">
        <v>1.1798660524106E+19</v>
      </c>
    </row>
    <row r="252" spans="3:12">
      <c r="C252" s="29" t="b">
        <v>0</v>
      </c>
      <c r="D252" s="30" t="s">
        <v>259</v>
      </c>
      <c r="E252" s="137" t="s">
        <v>255</v>
      </c>
      <c r="F252" s="30" t="s">
        <v>78</v>
      </c>
      <c r="G252" s="30">
        <v>74</v>
      </c>
      <c r="H252" s="30">
        <v>220</v>
      </c>
      <c r="I252" s="30">
        <v>27.56</v>
      </c>
      <c r="J252" s="30" t="s">
        <v>79</v>
      </c>
      <c r="K252" s="58">
        <v>0</v>
      </c>
      <c r="L252" s="58">
        <v>3.3298132133026601E+18</v>
      </c>
    </row>
    <row r="253" spans="3:12">
      <c r="C253" s="29" t="b">
        <v>0</v>
      </c>
      <c r="D253" s="30" t="s">
        <v>260</v>
      </c>
      <c r="E253" s="137" t="s">
        <v>255</v>
      </c>
      <c r="F253" s="30" t="s">
        <v>82</v>
      </c>
      <c r="G253" s="30">
        <v>70</v>
      </c>
      <c r="H253" s="30">
        <v>180</v>
      </c>
      <c r="I253" s="30">
        <v>23.98</v>
      </c>
      <c r="J253" s="30" t="s">
        <v>79</v>
      </c>
      <c r="K253" s="58">
        <v>0</v>
      </c>
      <c r="L253" s="58">
        <v>1.0551307742112999E+19</v>
      </c>
    </row>
    <row r="254" spans="3:12">
      <c r="C254" s="29" t="b">
        <v>0</v>
      </c>
      <c r="D254" s="30" t="s">
        <v>261</v>
      </c>
      <c r="E254" s="137" t="s">
        <v>255</v>
      </c>
      <c r="F254" s="30" t="s">
        <v>82</v>
      </c>
      <c r="G254" s="30">
        <v>71</v>
      </c>
      <c r="H254" s="30">
        <v>180</v>
      </c>
      <c r="I254" s="30">
        <v>29.73</v>
      </c>
      <c r="J254" s="30" t="s">
        <v>79</v>
      </c>
      <c r="K254" s="58">
        <v>0</v>
      </c>
      <c r="L254" s="58">
        <v>1.0440312762136701E+19</v>
      </c>
    </row>
    <row r="255" spans="3:12">
      <c r="C255" s="29" t="b">
        <v>0</v>
      </c>
      <c r="D255" s="30" t="s">
        <v>262</v>
      </c>
      <c r="E255" s="137" t="s">
        <v>255</v>
      </c>
      <c r="F255" s="30" t="s">
        <v>84</v>
      </c>
      <c r="G255" s="30">
        <v>70</v>
      </c>
      <c r="H255" s="30">
        <v>170</v>
      </c>
      <c r="I255" s="30">
        <v>31.33</v>
      </c>
      <c r="J255" s="30" t="s">
        <v>79</v>
      </c>
      <c r="K255" s="58">
        <v>0</v>
      </c>
      <c r="L255" s="58">
        <v>9.8451411381303194E+18</v>
      </c>
    </row>
    <row r="256" spans="3:12">
      <c r="C256" s="29" t="b">
        <v>0</v>
      </c>
      <c r="D256" s="30" t="s">
        <v>263</v>
      </c>
      <c r="E256" s="137" t="s">
        <v>255</v>
      </c>
      <c r="F256" s="30" t="s">
        <v>84</v>
      </c>
      <c r="G256" s="30">
        <v>75</v>
      </c>
      <c r="H256" s="30">
        <v>195</v>
      </c>
      <c r="I256" s="30">
        <v>27.13</v>
      </c>
      <c r="J256" s="30" t="s">
        <v>79</v>
      </c>
      <c r="K256" s="58">
        <v>0</v>
      </c>
      <c r="L256" s="58">
        <v>1.06627125817587E+19</v>
      </c>
    </row>
    <row r="257" spans="3:12">
      <c r="C257" s="29" t="b">
        <v>0</v>
      </c>
      <c r="D257" s="30" t="s">
        <v>264</v>
      </c>
      <c r="E257" s="137" t="s">
        <v>255</v>
      </c>
      <c r="F257" s="30" t="s">
        <v>84</v>
      </c>
      <c r="G257" s="30">
        <v>71</v>
      </c>
      <c r="H257" s="30">
        <v>180</v>
      </c>
      <c r="I257" s="30">
        <v>26.75</v>
      </c>
      <c r="J257" s="30" t="s">
        <v>79</v>
      </c>
      <c r="K257" s="58">
        <v>0</v>
      </c>
      <c r="L257" s="58">
        <v>7.7831760453962803E+18</v>
      </c>
    </row>
    <row r="258" spans="3:12">
      <c r="C258" s="29" t="b">
        <v>0</v>
      </c>
      <c r="D258" s="30" t="s">
        <v>265</v>
      </c>
      <c r="E258" s="137" t="s">
        <v>255</v>
      </c>
      <c r="F258" s="30" t="s">
        <v>86</v>
      </c>
      <c r="G258" s="30">
        <v>71</v>
      </c>
      <c r="H258" s="30">
        <v>170</v>
      </c>
      <c r="I258" s="30">
        <v>27.09</v>
      </c>
      <c r="J258" s="30" t="s">
        <v>79</v>
      </c>
      <c r="K258" s="58">
        <v>0</v>
      </c>
      <c r="L258" s="58">
        <v>8.2161184696104602E+18</v>
      </c>
    </row>
    <row r="259" spans="3:12">
      <c r="C259" s="29" t="b">
        <v>0</v>
      </c>
      <c r="D259" s="30" t="s">
        <v>266</v>
      </c>
      <c r="E259" s="137" t="s">
        <v>255</v>
      </c>
      <c r="F259" s="30" t="s">
        <v>86</v>
      </c>
      <c r="G259" s="30">
        <v>73</v>
      </c>
      <c r="H259" s="30">
        <v>206</v>
      </c>
      <c r="I259" s="30">
        <v>29.23</v>
      </c>
      <c r="J259" s="30" t="s">
        <v>79</v>
      </c>
      <c r="K259" s="58">
        <v>0</v>
      </c>
      <c r="L259" s="58">
        <v>2.6388704237773699E+17</v>
      </c>
    </row>
    <row r="260" spans="3:12">
      <c r="C260" s="29" t="b">
        <v>0</v>
      </c>
      <c r="D260" s="30" t="s">
        <v>267</v>
      </c>
      <c r="E260" s="137" t="s">
        <v>255</v>
      </c>
      <c r="F260" s="30" t="s">
        <v>89</v>
      </c>
      <c r="G260" s="30">
        <v>72</v>
      </c>
      <c r="H260" s="30">
        <v>205</v>
      </c>
      <c r="I260" s="30">
        <v>28.88</v>
      </c>
      <c r="J260" s="30" t="s">
        <v>89</v>
      </c>
      <c r="K260" s="58">
        <v>0</v>
      </c>
      <c r="L260" s="58">
        <v>1.1939098827777599E+19</v>
      </c>
    </row>
    <row r="261" spans="3:12">
      <c r="C261" s="29" t="b">
        <v>0</v>
      </c>
      <c r="D261" s="30" t="s">
        <v>268</v>
      </c>
      <c r="E261" s="137" t="s">
        <v>255</v>
      </c>
      <c r="F261" s="30" t="s">
        <v>89</v>
      </c>
      <c r="G261" s="30">
        <v>71</v>
      </c>
      <c r="H261" s="30">
        <v>200</v>
      </c>
      <c r="I261" s="30">
        <v>33.01</v>
      </c>
      <c r="J261" s="30" t="s">
        <v>89</v>
      </c>
      <c r="K261" s="58">
        <v>0</v>
      </c>
      <c r="L261" s="58">
        <v>1.38722866213674E+19</v>
      </c>
    </row>
    <row r="262" spans="3:12">
      <c r="C262" s="29" t="b">
        <v>0</v>
      </c>
      <c r="D262" s="30" t="s">
        <v>269</v>
      </c>
      <c r="E262" s="137" t="s">
        <v>255</v>
      </c>
      <c r="F262" s="30" t="s">
        <v>89</v>
      </c>
      <c r="G262" s="30">
        <v>73</v>
      </c>
      <c r="H262" s="30">
        <v>225</v>
      </c>
      <c r="I262" s="30">
        <v>30.57</v>
      </c>
      <c r="J262" s="30" t="s">
        <v>89</v>
      </c>
      <c r="K262" s="58">
        <v>0</v>
      </c>
      <c r="L262" s="58">
        <v>1.38984221995548E+19</v>
      </c>
    </row>
    <row r="263" spans="3:12">
      <c r="C263" s="29" t="b">
        <v>0</v>
      </c>
      <c r="D263" s="30" t="s">
        <v>270</v>
      </c>
      <c r="E263" s="137" t="s">
        <v>255</v>
      </c>
      <c r="F263" s="30" t="s">
        <v>89</v>
      </c>
      <c r="G263" s="30">
        <v>72</v>
      </c>
      <c r="H263" s="30">
        <v>201</v>
      </c>
      <c r="I263" s="30">
        <v>31.24</v>
      </c>
      <c r="J263" s="30" t="s">
        <v>89</v>
      </c>
      <c r="K263" s="58">
        <v>0</v>
      </c>
      <c r="L263" s="58">
        <v>5.3848819389418404E+18</v>
      </c>
    </row>
    <row r="264" spans="3:12">
      <c r="C264" s="29" t="b">
        <v>0</v>
      </c>
      <c r="D264" s="30" t="s">
        <v>271</v>
      </c>
      <c r="E264" s="137" t="s">
        <v>255</v>
      </c>
      <c r="F264" s="30" t="s">
        <v>89</v>
      </c>
      <c r="G264" s="30">
        <v>75</v>
      </c>
      <c r="H264" s="30">
        <v>225</v>
      </c>
      <c r="I264" s="30">
        <v>24.95</v>
      </c>
      <c r="J264" s="30" t="s">
        <v>89</v>
      </c>
      <c r="K264" s="58">
        <v>0</v>
      </c>
      <c r="L264" s="58">
        <v>1.3608816709995801E+19</v>
      </c>
    </row>
    <row r="265" spans="3:12">
      <c r="C265" s="29" t="b">
        <v>0</v>
      </c>
      <c r="D265" s="30" t="s">
        <v>272</v>
      </c>
      <c r="E265" s="137" t="s">
        <v>255</v>
      </c>
      <c r="F265" s="30" t="s">
        <v>97</v>
      </c>
      <c r="G265" s="30">
        <v>74</v>
      </c>
      <c r="H265" s="30">
        <v>233</v>
      </c>
      <c r="I265" s="30">
        <v>24.62</v>
      </c>
      <c r="J265" s="30" t="s">
        <v>71</v>
      </c>
      <c r="K265" s="58">
        <v>0</v>
      </c>
      <c r="L265" s="58">
        <v>4.4075034074181299E+18</v>
      </c>
    </row>
    <row r="266" spans="3:12">
      <c r="C266" s="29" t="b">
        <v>0</v>
      </c>
      <c r="D266" s="30" t="s">
        <v>273</v>
      </c>
      <c r="E266" s="137" t="s">
        <v>255</v>
      </c>
      <c r="F266" s="30" t="s">
        <v>97</v>
      </c>
      <c r="G266" s="30">
        <v>74</v>
      </c>
      <c r="H266" s="30">
        <v>180</v>
      </c>
      <c r="I266" s="30">
        <v>24.98</v>
      </c>
      <c r="J266" s="30" t="s">
        <v>71</v>
      </c>
      <c r="K266" s="58">
        <v>0</v>
      </c>
      <c r="L266" s="58">
        <v>7.9915953841903206E+17</v>
      </c>
    </row>
    <row r="267" spans="3:12">
      <c r="C267" s="29" t="b">
        <v>0</v>
      </c>
      <c r="D267" s="30" t="s">
        <v>274</v>
      </c>
      <c r="E267" s="137" t="s">
        <v>255</v>
      </c>
      <c r="F267" s="30" t="s">
        <v>97</v>
      </c>
      <c r="G267" s="30">
        <v>75</v>
      </c>
      <c r="H267" s="30">
        <v>225</v>
      </c>
      <c r="I267" s="30">
        <v>26.22</v>
      </c>
      <c r="J267" s="30" t="s">
        <v>71</v>
      </c>
      <c r="K267" s="58">
        <v>0</v>
      </c>
      <c r="L267" s="58">
        <v>1.5610834822717901E+19</v>
      </c>
    </row>
    <row r="268" spans="3:12">
      <c r="C268" s="29" t="b">
        <v>0</v>
      </c>
      <c r="D268" s="30" t="s">
        <v>275</v>
      </c>
      <c r="E268" s="137" t="s">
        <v>255</v>
      </c>
      <c r="F268" s="30" t="s">
        <v>97</v>
      </c>
      <c r="G268" s="30">
        <v>73</v>
      </c>
      <c r="H268" s="30">
        <v>180</v>
      </c>
      <c r="I268" s="30">
        <v>26.04</v>
      </c>
      <c r="J268" s="30" t="s">
        <v>71</v>
      </c>
      <c r="K268" s="58">
        <v>0</v>
      </c>
      <c r="L268" s="58">
        <v>9.9949741695292396E+18</v>
      </c>
    </row>
    <row r="269" spans="3:12">
      <c r="C269" s="29" t="b">
        <v>0</v>
      </c>
      <c r="D269" s="30" t="s">
        <v>276</v>
      </c>
      <c r="E269" s="137" t="s">
        <v>255</v>
      </c>
      <c r="F269" s="30" t="s">
        <v>97</v>
      </c>
      <c r="G269" s="30">
        <v>77</v>
      </c>
      <c r="H269" s="30">
        <v>220</v>
      </c>
      <c r="I269" s="30">
        <v>26.45</v>
      </c>
      <c r="J269" s="30" t="s">
        <v>71</v>
      </c>
      <c r="K269" s="58">
        <v>0</v>
      </c>
      <c r="L269" s="58">
        <v>9.9750771609431398E+17</v>
      </c>
    </row>
    <row r="270" spans="3:12">
      <c r="C270" s="29" t="b">
        <v>0</v>
      </c>
      <c r="D270" s="30" t="s">
        <v>277</v>
      </c>
      <c r="E270" s="137" t="s">
        <v>255</v>
      </c>
      <c r="F270" s="30" t="s">
        <v>97</v>
      </c>
      <c r="G270" s="30">
        <v>73</v>
      </c>
      <c r="H270" s="30">
        <v>180</v>
      </c>
      <c r="I270" s="30">
        <v>25.25</v>
      </c>
      <c r="J270" s="30" t="s">
        <v>71</v>
      </c>
      <c r="K270" s="58">
        <v>0</v>
      </c>
      <c r="L270" s="58">
        <v>3.2249906689829601E+18</v>
      </c>
    </row>
    <row r="271" spans="3:12">
      <c r="C271" s="29" t="b">
        <v>0</v>
      </c>
      <c r="D271" s="30" t="s">
        <v>278</v>
      </c>
      <c r="E271" s="137" t="s">
        <v>255</v>
      </c>
      <c r="F271" s="30" t="s">
        <v>97</v>
      </c>
      <c r="G271" s="30">
        <v>76</v>
      </c>
      <c r="H271" s="30">
        <v>237</v>
      </c>
      <c r="I271" s="30">
        <v>27.77</v>
      </c>
      <c r="J271" s="30" t="s">
        <v>71</v>
      </c>
      <c r="K271" s="58">
        <v>0</v>
      </c>
      <c r="L271" s="58">
        <v>1.21263119524351E+19</v>
      </c>
    </row>
    <row r="272" spans="3:12">
      <c r="C272" s="29" t="b">
        <v>0</v>
      </c>
      <c r="D272" s="30" t="s">
        <v>279</v>
      </c>
      <c r="E272" s="137" t="s">
        <v>255</v>
      </c>
      <c r="F272" s="30" t="s">
        <v>97</v>
      </c>
      <c r="G272" s="30">
        <v>75</v>
      </c>
      <c r="H272" s="30">
        <v>215</v>
      </c>
      <c r="I272" s="30">
        <v>35.159999999999997</v>
      </c>
      <c r="J272" s="30" t="s">
        <v>71</v>
      </c>
      <c r="K272" s="58">
        <v>0</v>
      </c>
      <c r="L272" s="58">
        <v>1.02895607839336E+19</v>
      </c>
    </row>
    <row r="273" spans="3:12">
      <c r="C273" s="29" t="b">
        <v>0</v>
      </c>
      <c r="D273" s="30" t="s">
        <v>280</v>
      </c>
      <c r="E273" s="137" t="s">
        <v>255</v>
      </c>
      <c r="F273" s="30" t="s">
        <v>68</v>
      </c>
      <c r="G273" s="30">
        <v>74</v>
      </c>
      <c r="H273" s="30">
        <v>190</v>
      </c>
      <c r="I273" s="30">
        <v>37.1</v>
      </c>
      <c r="J273" s="30" t="s">
        <v>71</v>
      </c>
      <c r="K273" s="58">
        <v>0</v>
      </c>
      <c r="L273" s="58">
        <v>1.6199266816253901E+19</v>
      </c>
    </row>
    <row r="274" spans="3:12">
      <c r="C274" s="29" t="b">
        <v>0</v>
      </c>
      <c r="D274" s="30" t="s">
        <v>281</v>
      </c>
      <c r="E274" s="137" t="s">
        <v>255</v>
      </c>
      <c r="F274" s="30" t="s">
        <v>68</v>
      </c>
      <c r="G274" s="30">
        <v>76</v>
      </c>
      <c r="H274" s="30">
        <v>235</v>
      </c>
      <c r="I274" s="30">
        <v>34.51</v>
      </c>
      <c r="J274" s="30" t="s">
        <v>71</v>
      </c>
      <c r="K274" s="58">
        <v>0</v>
      </c>
      <c r="L274" s="58">
        <v>4.7599916968063396E+18</v>
      </c>
    </row>
    <row r="275" spans="3:12">
      <c r="C275" s="29" t="b">
        <v>0</v>
      </c>
      <c r="D275" s="30" t="s">
        <v>282</v>
      </c>
      <c r="E275" s="137" t="s">
        <v>255</v>
      </c>
      <c r="F275" s="30" t="s">
        <v>68</v>
      </c>
      <c r="G275" s="30">
        <v>75</v>
      </c>
      <c r="H275" s="30">
        <v>190</v>
      </c>
      <c r="I275" s="30">
        <v>29.28</v>
      </c>
      <c r="J275" s="30" t="s">
        <v>71</v>
      </c>
      <c r="K275" s="58">
        <v>0</v>
      </c>
      <c r="L275" s="58">
        <v>3.19660777585216E+18</v>
      </c>
    </row>
    <row r="276" spans="3:12">
      <c r="C276" s="29" t="b">
        <v>0</v>
      </c>
      <c r="D276" s="30" t="s">
        <v>283</v>
      </c>
      <c r="E276" s="137" t="s">
        <v>255</v>
      </c>
      <c r="F276" s="30" t="s">
        <v>68</v>
      </c>
      <c r="G276" s="30">
        <v>73</v>
      </c>
      <c r="H276" s="30">
        <v>180</v>
      </c>
      <c r="I276" s="30">
        <v>32.14</v>
      </c>
      <c r="J276" s="30" t="s">
        <v>71</v>
      </c>
      <c r="K276" s="58">
        <v>0</v>
      </c>
      <c r="L276" s="58">
        <v>2.0084457427696499E+18</v>
      </c>
    </row>
    <row r="277" spans="3:12">
      <c r="C277" s="29" t="b">
        <v>0</v>
      </c>
      <c r="D277" s="30" t="s">
        <v>284</v>
      </c>
      <c r="E277" s="137" t="s">
        <v>255</v>
      </c>
      <c r="F277" s="30" t="s">
        <v>68</v>
      </c>
      <c r="G277" s="30">
        <v>71</v>
      </c>
      <c r="H277" s="30">
        <v>165</v>
      </c>
      <c r="I277" s="30">
        <v>23.94</v>
      </c>
      <c r="J277" s="30" t="s">
        <v>71</v>
      </c>
      <c r="K277" s="58">
        <v>0</v>
      </c>
      <c r="L277" s="58">
        <v>1.4315280072105099E+19</v>
      </c>
    </row>
    <row r="278" spans="3:12">
      <c r="C278" s="29" t="b">
        <v>0</v>
      </c>
      <c r="D278" s="30" t="s">
        <v>285</v>
      </c>
      <c r="E278" s="137" t="s">
        <v>255</v>
      </c>
      <c r="F278" s="30" t="s">
        <v>68</v>
      </c>
      <c r="G278" s="30">
        <v>76</v>
      </c>
      <c r="H278" s="30">
        <v>195</v>
      </c>
      <c r="I278" s="30">
        <v>27.45</v>
      </c>
      <c r="J278" s="30" t="s">
        <v>71</v>
      </c>
      <c r="K278" s="58">
        <v>0</v>
      </c>
      <c r="L278" s="58">
        <v>6.7162288095771003E+18</v>
      </c>
    </row>
    <row r="279" spans="3:12">
      <c r="C279" s="29" t="b">
        <v>0</v>
      </c>
      <c r="D279" s="30" t="s">
        <v>286</v>
      </c>
      <c r="E279" s="137" t="s">
        <v>255</v>
      </c>
      <c r="F279" s="30" t="s">
        <v>68</v>
      </c>
      <c r="G279" s="30">
        <v>75</v>
      </c>
      <c r="H279" s="30">
        <v>200</v>
      </c>
      <c r="I279" s="30">
        <v>28.77</v>
      </c>
      <c r="J279" s="30" t="s">
        <v>71</v>
      </c>
      <c r="K279" s="58">
        <v>0</v>
      </c>
      <c r="L279" s="58">
        <v>1.7055644162232799E+19</v>
      </c>
    </row>
    <row r="280" spans="3:12">
      <c r="C280" s="29" t="b">
        <v>0</v>
      </c>
      <c r="D280" s="30" t="s">
        <v>287</v>
      </c>
      <c r="E280" s="137" t="s">
        <v>255</v>
      </c>
      <c r="F280" s="30" t="s">
        <v>68</v>
      </c>
      <c r="G280" s="30">
        <v>72</v>
      </c>
      <c r="H280" s="30">
        <v>190</v>
      </c>
      <c r="I280" s="30">
        <v>23.58</v>
      </c>
      <c r="J280" s="30" t="s">
        <v>71</v>
      </c>
      <c r="K280" s="58">
        <v>0</v>
      </c>
      <c r="L280" s="58">
        <v>6.8001212924467702E+18</v>
      </c>
    </row>
    <row r="281" spans="3:12">
      <c r="C281" s="29" t="b">
        <v>0</v>
      </c>
      <c r="D281" s="30" t="s">
        <v>288</v>
      </c>
      <c r="E281" s="137" t="s">
        <v>255</v>
      </c>
      <c r="F281" s="30" t="s">
        <v>68</v>
      </c>
      <c r="G281" s="30">
        <v>71</v>
      </c>
      <c r="H281" s="30">
        <v>190</v>
      </c>
      <c r="I281" s="30">
        <v>27.56</v>
      </c>
      <c r="J281" s="30" t="s">
        <v>71</v>
      </c>
      <c r="K281" s="58">
        <v>0</v>
      </c>
      <c r="L281" s="58">
        <v>1.3434505190000501E+19</v>
      </c>
    </row>
    <row r="282" spans="3:12">
      <c r="C282" s="29" t="b">
        <v>0</v>
      </c>
      <c r="D282" s="30" t="s">
        <v>289</v>
      </c>
      <c r="E282" s="137" t="s">
        <v>255</v>
      </c>
      <c r="F282" s="30" t="s">
        <v>68</v>
      </c>
      <c r="G282" s="30">
        <v>77</v>
      </c>
      <c r="H282" s="30">
        <v>185</v>
      </c>
      <c r="I282" s="30">
        <v>24.01</v>
      </c>
      <c r="J282" s="30" t="s">
        <v>71</v>
      </c>
      <c r="K282" s="58">
        <v>0</v>
      </c>
      <c r="L282" s="58">
        <v>1.2829768257962799E+19</v>
      </c>
    </row>
    <row r="283" spans="3:12">
      <c r="C283" s="29" t="b">
        <v>0</v>
      </c>
      <c r="D283" s="30" t="s">
        <v>290</v>
      </c>
      <c r="E283" s="137" t="s">
        <v>255</v>
      </c>
      <c r="F283" s="30" t="s">
        <v>68</v>
      </c>
      <c r="G283" s="30">
        <v>73</v>
      </c>
      <c r="H283" s="30">
        <v>185</v>
      </c>
      <c r="I283" s="30">
        <v>26.52</v>
      </c>
      <c r="J283" s="30" t="s">
        <v>71</v>
      </c>
      <c r="K283" s="58">
        <v>0</v>
      </c>
      <c r="L283" s="58">
        <v>1.0216122749093599E+19</v>
      </c>
    </row>
    <row r="284" spans="3:12">
      <c r="C284" s="29" t="b">
        <v>0</v>
      </c>
      <c r="D284" s="30" t="s">
        <v>291</v>
      </c>
      <c r="E284" s="137" t="s">
        <v>292</v>
      </c>
      <c r="F284" s="30" t="s">
        <v>74</v>
      </c>
      <c r="G284" s="30">
        <v>74</v>
      </c>
      <c r="H284" s="30">
        <v>205</v>
      </c>
      <c r="I284" s="30">
        <v>35.54</v>
      </c>
      <c r="J284" s="30" t="s">
        <v>74</v>
      </c>
      <c r="K284" s="58">
        <v>0</v>
      </c>
      <c r="L284" s="58">
        <v>1.1250289342848201E+19</v>
      </c>
    </row>
    <row r="285" spans="3:12">
      <c r="C285" s="29" t="b">
        <v>0</v>
      </c>
      <c r="D285" s="30" t="s">
        <v>293</v>
      </c>
      <c r="E285" s="137" t="s">
        <v>292</v>
      </c>
      <c r="F285" s="30" t="s">
        <v>74</v>
      </c>
      <c r="G285" s="30">
        <v>71</v>
      </c>
      <c r="H285" s="30">
        <v>190</v>
      </c>
      <c r="I285" s="30">
        <v>29.43</v>
      </c>
      <c r="J285" s="30" t="s">
        <v>74</v>
      </c>
      <c r="K285" s="58">
        <v>0</v>
      </c>
      <c r="L285" s="58">
        <v>1.37899503935487E+19</v>
      </c>
    </row>
    <row r="286" spans="3:12">
      <c r="C286" s="29" t="b">
        <v>0</v>
      </c>
      <c r="D286" s="30" t="s">
        <v>294</v>
      </c>
      <c r="E286" s="137" t="s">
        <v>292</v>
      </c>
      <c r="F286" s="30" t="s">
        <v>78</v>
      </c>
      <c r="G286" s="30">
        <v>72</v>
      </c>
      <c r="H286" s="30">
        <v>205</v>
      </c>
      <c r="I286" s="30">
        <v>29.9</v>
      </c>
      <c r="J286" s="30" t="s">
        <v>79</v>
      </c>
      <c r="K286" s="58">
        <v>0</v>
      </c>
      <c r="L286" s="58">
        <v>1.6704248932423E+19</v>
      </c>
    </row>
    <row r="287" spans="3:12">
      <c r="C287" s="29" t="b">
        <v>0</v>
      </c>
      <c r="D287" s="30" t="s">
        <v>295</v>
      </c>
      <c r="E287" s="137" t="s">
        <v>292</v>
      </c>
      <c r="F287" s="30" t="s">
        <v>78</v>
      </c>
      <c r="G287" s="30">
        <v>74</v>
      </c>
      <c r="H287" s="30">
        <v>206</v>
      </c>
      <c r="I287" s="30">
        <v>32.700000000000003</v>
      </c>
      <c r="J287" s="30" t="s">
        <v>79</v>
      </c>
      <c r="K287" s="58">
        <v>0</v>
      </c>
      <c r="L287" s="58">
        <v>4.7488811371161201E+18</v>
      </c>
    </row>
    <row r="288" spans="3:12">
      <c r="C288" s="29" t="b">
        <v>0</v>
      </c>
      <c r="D288" s="30" t="s">
        <v>296</v>
      </c>
      <c r="E288" s="137" t="s">
        <v>292</v>
      </c>
      <c r="F288" s="30" t="s">
        <v>78</v>
      </c>
      <c r="G288" s="30">
        <v>75</v>
      </c>
      <c r="H288" s="30">
        <v>220</v>
      </c>
      <c r="I288" s="30">
        <v>28.8</v>
      </c>
      <c r="J288" s="30" t="s">
        <v>79</v>
      </c>
      <c r="K288" s="58">
        <v>0</v>
      </c>
      <c r="L288" s="58">
        <v>4.11243062312879E+18</v>
      </c>
    </row>
    <row r="289" spans="3:12">
      <c r="C289" s="29" t="b">
        <v>0</v>
      </c>
      <c r="D289" s="30" t="s">
        <v>297</v>
      </c>
      <c r="E289" s="137" t="s">
        <v>292</v>
      </c>
      <c r="F289" s="30" t="s">
        <v>82</v>
      </c>
      <c r="G289" s="30">
        <v>73</v>
      </c>
      <c r="H289" s="30">
        <v>208</v>
      </c>
      <c r="I289" s="30">
        <v>32.82</v>
      </c>
      <c r="J289" s="30" t="s">
        <v>79</v>
      </c>
      <c r="K289" s="58">
        <v>0</v>
      </c>
      <c r="L289" s="58">
        <v>3.2123610861631099E+18</v>
      </c>
    </row>
    <row r="290" spans="3:12">
      <c r="C290" s="29" t="b">
        <v>0</v>
      </c>
      <c r="D290" s="30" t="s">
        <v>298</v>
      </c>
      <c r="E290" s="137" t="s">
        <v>292</v>
      </c>
      <c r="F290" s="30" t="s">
        <v>82</v>
      </c>
      <c r="G290" s="30">
        <v>72</v>
      </c>
      <c r="H290" s="30">
        <v>170</v>
      </c>
      <c r="I290" s="30">
        <v>24.36</v>
      </c>
      <c r="J290" s="30" t="s">
        <v>79</v>
      </c>
      <c r="K290" s="58">
        <v>0</v>
      </c>
      <c r="L290" s="58">
        <v>1.0571979357843599E+19</v>
      </c>
    </row>
    <row r="291" spans="3:12">
      <c r="C291" s="29" t="b">
        <v>0</v>
      </c>
      <c r="D291" s="30" t="s">
        <v>299</v>
      </c>
      <c r="E291" s="137" t="s">
        <v>292</v>
      </c>
      <c r="F291" s="30" t="s">
        <v>84</v>
      </c>
      <c r="G291" s="30">
        <v>75</v>
      </c>
      <c r="H291" s="30">
        <v>195</v>
      </c>
      <c r="I291" s="30">
        <v>32.68</v>
      </c>
      <c r="J291" s="30" t="s">
        <v>79</v>
      </c>
      <c r="K291" s="58">
        <v>0</v>
      </c>
      <c r="L291" s="58">
        <v>5.4541791978706504E+18</v>
      </c>
    </row>
    <row r="292" spans="3:12">
      <c r="C292" s="29" t="b">
        <v>0</v>
      </c>
      <c r="D292" s="30" t="s">
        <v>300</v>
      </c>
      <c r="E292" s="137" t="s">
        <v>292</v>
      </c>
      <c r="F292" s="30" t="s">
        <v>86</v>
      </c>
      <c r="G292" s="30">
        <v>75</v>
      </c>
      <c r="H292" s="30">
        <v>210</v>
      </c>
      <c r="I292" s="30">
        <v>31.59</v>
      </c>
      <c r="J292" s="30" t="s">
        <v>79</v>
      </c>
      <c r="K292" s="58">
        <v>0</v>
      </c>
      <c r="L292" s="58">
        <v>1.26932620105729E+19</v>
      </c>
    </row>
    <row r="293" spans="3:12">
      <c r="C293" s="29" t="b">
        <v>0</v>
      </c>
      <c r="D293" s="30" t="s">
        <v>301</v>
      </c>
      <c r="E293" s="137" t="s">
        <v>292</v>
      </c>
      <c r="F293" s="30" t="s">
        <v>89</v>
      </c>
      <c r="G293" s="30">
        <v>74</v>
      </c>
      <c r="H293" s="30">
        <v>190</v>
      </c>
      <c r="I293" s="30">
        <v>33.32</v>
      </c>
      <c r="J293" s="30" t="s">
        <v>89</v>
      </c>
      <c r="K293" s="58">
        <v>0</v>
      </c>
      <c r="L293" s="58">
        <v>1.81752250075864E+19</v>
      </c>
    </row>
    <row r="294" spans="3:12">
      <c r="C294" s="29" t="b">
        <v>0</v>
      </c>
      <c r="D294" s="30" t="s">
        <v>302</v>
      </c>
      <c r="E294" s="137" t="s">
        <v>292</v>
      </c>
      <c r="F294" s="30" t="s">
        <v>89</v>
      </c>
      <c r="G294" s="30">
        <v>72</v>
      </c>
      <c r="H294" s="30">
        <v>211</v>
      </c>
      <c r="I294" s="30">
        <v>32.97</v>
      </c>
      <c r="J294" s="30" t="s">
        <v>89</v>
      </c>
      <c r="K294" s="58">
        <v>0</v>
      </c>
      <c r="L294" s="58">
        <v>7.8418565328475996E+18</v>
      </c>
    </row>
    <row r="295" spans="3:12">
      <c r="C295" s="29" t="b">
        <v>0</v>
      </c>
      <c r="D295" s="30" t="s">
        <v>303</v>
      </c>
      <c r="E295" s="137" t="s">
        <v>292</v>
      </c>
      <c r="F295" s="30" t="s">
        <v>89</v>
      </c>
      <c r="G295" s="30">
        <v>74</v>
      </c>
      <c r="H295" s="30">
        <v>230</v>
      </c>
      <c r="I295" s="30">
        <v>32.72</v>
      </c>
      <c r="J295" s="30" t="s">
        <v>89</v>
      </c>
      <c r="K295" s="58">
        <v>0</v>
      </c>
      <c r="L295" s="58">
        <v>7.7188855632180797E+18</v>
      </c>
    </row>
    <row r="296" spans="3:12">
      <c r="C296" s="29" t="b">
        <v>0</v>
      </c>
      <c r="D296" s="30" t="s">
        <v>304</v>
      </c>
      <c r="E296" s="137" t="s">
        <v>292</v>
      </c>
      <c r="F296" s="30" t="s">
        <v>89</v>
      </c>
      <c r="G296" s="30">
        <v>71</v>
      </c>
      <c r="H296" s="30">
        <v>170</v>
      </c>
      <c r="I296" s="30">
        <v>22.55</v>
      </c>
      <c r="J296" s="30" t="s">
        <v>89</v>
      </c>
      <c r="K296" s="58">
        <v>0</v>
      </c>
      <c r="L296" s="58">
        <v>5.6530642305181501E+18</v>
      </c>
    </row>
    <row r="297" spans="3:12">
      <c r="C297" s="29" t="b">
        <v>0</v>
      </c>
      <c r="D297" s="30" t="s">
        <v>305</v>
      </c>
      <c r="E297" s="137" t="s">
        <v>292</v>
      </c>
      <c r="F297" s="30" t="s">
        <v>89</v>
      </c>
      <c r="G297" s="30">
        <v>70</v>
      </c>
      <c r="H297" s="30">
        <v>185</v>
      </c>
      <c r="I297" s="30">
        <v>27.45</v>
      </c>
      <c r="J297" s="30" t="s">
        <v>89</v>
      </c>
      <c r="K297" s="58">
        <v>0</v>
      </c>
      <c r="L297" s="58">
        <v>1.2807236905339899E+18</v>
      </c>
    </row>
    <row r="298" spans="3:12">
      <c r="C298" s="29" t="b">
        <v>0</v>
      </c>
      <c r="D298" s="30" t="s">
        <v>306</v>
      </c>
      <c r="E298" s="137" t="s">
        <v>292</v>
      </c>
      <c r="F298" s="30" t="s">
        <v>97</v>
      </c>
      <c r="G298" s="30">
        <v>74</v>
      </c>
      <c r="H298" s="30">
        <v>185</v>
      </c>
      <c r="I298" s="30">
        <v>38.229999999999997</v>
      </c>
      <c r="J298" s="30" t="s">
        <v>71</v>
      </c>
      <c r="K298" s="58">
        <v>0</v>
      </c>
      <c r="L298" s="58">
        <v>1.38169558949678E+19</v>
      </c>
    </row>
    <row r="299" spans="3:12">
      <c r="C299" s="29" t="b">
        <v>0</v>
      </c>
      <c r="D299" s="30" t="s">
        <v>307</v>
      </c>
      <c r="E299" s="137" t="s">
        <v>292</v>
      </c>
      <c r="F299" s="30" t="s">
        <v>97</v>
      </c>
      <c r="G299" s="30">
        <v>77</v>
      </c>
      <c r="H299" s="30">
        <v>241</v>
      </c>
      <c r="I299" s="30">
        <v>31.14</v>
      </c>
      <c r="J299" s="30" t="s">
        <v>71</v>
      </c>
      <c r="K299" s="58">
        <v>0</v>
      </c>
      <c r="L299" s="58">
        <v>1.10970400930974E+19</v>
      </c>
    </row>
    <row r="300" spans="3:12">
      <c r="C300" s="29" t="b">
        <v>0</v>
      </c>
      <c r="D300" s="30" t="s">
        <v>308</v>
      </c>
      <c r="E300" s="137" t="s">
        <v>292</v>
      </c>
      <c r="F300" s="30" t="s">
        <v>97</v>
      </c>
      <c r="G300" s="30">
        <v>77</v>
      </c>
      <c r="H300" s="30">
        <v>225</v>
      </c>
      <c r="I300" s="30">
        <v>34.71</v>
      </c>
      <c r="J300" s="30" t="s">
        <v>71</v>
      </c>
      <c r="K300" s="58">
        <v>0</v>
      </c>
      <c r="L300" s="58">
        <v>2.51054698509809E+18</v>
      </c>
    </row>
    <row r="301" spans="3:12">
      <c r="C301" s="29" t="b">
        <v>0</v>
      </c>
      <c r="D301" s="30" t="s">
        <v>309</v>
      </c>
      <c r="E301" s="137" t="s">
        <v>292</v>
      </c>
      <c r="F301" s="30" t="s">
        <v>97</v>
      </c>
      <c r="G301" s="30">
        <v>75</v>
      </c>
      <c r="H301" s="30">
        <v>210</v>
      </c>
      <c r="I301" s="30">
        <v>26.13</v>
      </c>
      <c r="J301" s="30" t="s">
        <v>71</v>
      </c>
      <c r="K301" s="58">
        <v>0</v>
      </c>
      <c r="L301" s="58">
        <v>1.3243469423098801E+18</v>
      </c>
    </row>
    <row r="302" spans="3:12">
      <c r="C302" s="29" t="b">
        <v>0</v>
      </c>
      <c r="D302" s="30" t="s">
        <v>310</v>
      </c>
      <c r="E302" s="137" t="s">
        <v>292</v>
      </c>
      <c r="F302" s="30" t="s">
        <v>97</v>
      </c>
      <c r="G302" s="30">
        <v>75</v>
      </c>
      <c r="H302" s="30">
        <v>175</v>
      </c>
      <c r="I302" s="30">
        <v>24.43</v>
      </c>
      <c r="J302" s="30" t="s">
        <v>71</v>
      </c>
      <c r="K302" s="58">
        <v>0</v>
      </c>
      <c r="L302" s="58">
        <v>1.44863287186745E+19</v>
      </c>
    </row>
    <row r="303" spans="3:12">
      <c r="C303" s="29" t="b">
        <v>0</v>
      </c>
      <c r="D303" s="30" t="s">
        <v>311</v>
      </c>
      <c r="E303" s="137" t="s">
        <v>292</v>
      </c>
      <c r="F303" s="30" t="s">
        <v>97</v>
      </c>
      <c r="G303" s="30">
        <v>78</v>
      </c>
      <c r="H303" s="30">
        <v>230</v>
      </c>
      <c r="I303" s="30">
        <v>23.76</v>
      </c>
      <c r="J303" s="30" t="s">
        <v>71</v>
      </c>
      <c r="K303" s="58">
        <v>0</v>
      </c>
      <c r="L303" s="58">
        <v>6.2139112828257905E+18</v>
      </c>
    </row>
    <row r="304" spans="3:12">
      <c r="C304" s="29" t="b">
        <v>0</v>
      </c>
      <c r="D304" s="30" t="s">
        <v>312</v>
      </c>
      <c r="E304" s="137" t="s">
        <v>292</v>
      </c>
      <c r="F304" s="30" t="s">
        <v>97</v>
      </c>
      <c r="G304" s="30">
        <v>75</v>
      </c>
      <c r="H304" s="30">
        <v>200</v>
      </c>
      <c r="I304" s="30">
        <v>26.92</v>
      </c>
      <c r="J304" s="30" t="s">
        <v>71</v>
      </c>
      <c r="K304" s="58">
        <v>0</v>
      </c>
      <c r="L304" s="58">
        <v>1.30356314750016E+19</v>
      </c>
    </row>
    <row r="305" spans="3:12">
      <c r="C305" s="29" t="b">
        <v>0</v>
      </c>
      <c r="D305" s="30" t="s">
        <v>313</v>
      </c>
      <c r="E305" s="137" t="s">
        <v>292</v>
      </c>
      <c r="F305" s="30" t="s">
        <v>68</v>
      </c>
      <c r="G305" s="30">
        <v>76</v>
      </c>
      <c r="H305" s="30">
        <v>215</v>
      </c>
      <c r="I305" s="30">
        <v>25.85</v>
      </c>
      <c r="J305" s="30" t="s">
        <v>71</v>
      </c>
      <c r="K305" s="58">
        <v>0</v>
      </c>
      <c r="L305" s="58">
        <v>7.0401610468874598E+18</v>
      </c>
    </row>
    <row r="306" spans="3:12">
      <c r="C306" s="29" t="b">
        <v>0</v>
      </c>
      <c r="D306" s="30" t="s">
        <v>314</v>
      </c>
      <c r="E306" s="137" t="s">
        <v>292</v>
      </c>
      <c r="F306" s="30" t="s">
        <v>68</v>
      </c>
      <c r="G306" s="30">
        <v>73</v>
      </c>
      <c r="H306" s="30">
        <v>198</v>
      </c>
      <c r="I306" s="30">
        <v>30.16</v>
      </c>
      <c r="J306" s="30" t="s">
        <v>71</v>
      </c>
      <c r="K306" s="58">
        <v>0</v>
      </c>
      <c r="L306" s="58">
        <v>7.0615067409254799E+18</v>
      </c>
    </row>
    <row r="307" spans="3:12">
      <c r="C307" s="29" t="b">
        <v>0</v>
      </c>
      <c r="D307" s="30" t="s">
        <v>315</v>
      </c>
      <c r="E307" s="137" t="s">
        <v>292</v>
      </c>
      <c r="F307" s="30" t="s">
        <v>68</v>
      </c>
      <c r="G307" s="30">
        <v>75</v>
      </c>
      <c r="H307" s="30">
        <v>226</v>
      </c>
      <c r="I307" s="30">
        <v>25.03</v>
      </c>
      <c r="J307" s="30" t="s">
        <v>71</v>
      </c>
      <c r="K307" s="58">
        <v>0</v>
      </c>
      <c r="L307" s="58">
        <v>1.44298389872833E+19</v>
      </c>
    </row>
    <row r="308" spans="3:12">
      <c r="C308" s="29" t="b">
        <v>0</v>
      </c>
      <c r="D308" s="30" t="s">
        <v>316</v>
      </c>
      <c r="E308" s="137" t="s">
        <v>292</v>
      </c>
      <c r="F308" s="30" t="s">
        <v>68</v>
      </c>
      <c r="G308" s="30">
        <v>75</v>
      </c>
      <c r="H308" s="30">
        <v>278</v>
      </c>
      <c r="I308" s="30">
        <v>24.21</v>
      </c>
      <c r="J308" s="30" t="s">
        <v>71</v>
      </c>
      <c r="K308" s="58">
        <v>0</v>
      </c>
      <c r="L308" s="58">
        <v>9.5805410214288404E+18</v>
      </c>
    </row>
    <row r="309" spans="3:12">
      <c r="C309" s="29" t="b">
        <v>0</v>
      </c>
      <c r="D309" s="30" t="s">
        <v>317</v>
      </c>
      <c r="E309" s="137" t="s">
        <v>292</v>
      </c>
      <c r="F309" s="30" t="s">
        <v>68</v>
      </c>
      <c r="G309" s="30">
        <v>79</v>
      </c>
      <c r="H309" s="30">
        <v>215</v>
      </c>
      <c r="I309" s="30">
        <v>26.51</v>
      </c>
      <c r="J309" s="30" t="s">
        <v>71</v>
      </c>
      <c r="K309" s="58">
        <v>0</v>
      </c>
      <c r="L309" s="58">
        <v>1.3827977851907799E+18</v>
      </c>
    </row>
    <row r="310" spans="3:12">
      <c r="C310" s="29" t="b">
        <v>0</v>
      </c>
      <c r="D310" s="30" t="s">
        <v>318</v>
      </c>
      <c r="E310" s="137" t="s">
        <v>292</v>
      </c>
      <c r="F310" s="30" t="s">
        <v>68</v>
      </c>
      <c r="G310" s="30">
        <v>77</v>
      </c>
      <c r="H310" s="30">
        <v>230</v>
      </c>
      <c r="I310" s="30">
        <v>26.36</v>
      </c>
      <c r="J310" s="30" t="s">
        <v>71</v>
      </c>
      <c r="K310" s="58">
        <v>0</v>
      </c>
      <c r="L310" s="58">
        <v>6.0976137478107597E+18</v>
      </c>
    </row>
    <row r="311" spans="3:12">
      <c r="C311" s="29" t="b">
        <v>0</v>
      </c>
      <c r="D311" s="30" t="s">
        <v>319</v>
      </c>
      <c r="E311" s="137" t="s">
        <v>292</v>
      </c>
      <c r="F311" s="30" t="s">
        <v>68</v>
      </c>
      <c r="G311" s="30">
        <v>76</v>
      </c>
      <c r="H311" s="30">
        <v>240</v>
      </c>
      <c r="I311" s="30">
        <v>30.88</v>
      </c>
      <c r="J311" s="30" t="s">
        <v>71</v>
      </c>
      <c r="K311" s="58">
        <v>0</v>
      </c>
      <c r="L311" s="58">
        <v>1.84353968837819E+19</v>
      </c>
    </row>
    <row r="312" spans="3:12">
      <c r="C312" s="29" t="b">
        <v>0</v>
      </c>
      <c r="D312" s="30" t="s">
        <v>320</v>
      </c>
      <c r="E312" s="137" t="s">
        <v>292</v>
      </c>
      <c r="F312" s="30" t="s">
        <v>68</v>
      </c>
      <c r="G312" s="30">
        <v>71</v>
      </c>
      <c r="H312" s="30">
        <v>184</v>
      </c>
      <c r="I312" s="30">
        <v>32.57</v>
      </c>
      <c r="J312" s="30" t="s">
        <v>71</v>
      </c>
      <c r="K312" s="58">
        <v>0</v>
      </c>
      <c r="L312" s="58">
        <v>1.30334926037742E+19</v>
      </c>
    </row>
    <row r="313" spans="3:12">
      <c r="C313" s="29" t="b">
        <v>0</v>
      </c>
      <c r="D313" s="30" t="s">
        <v>321</v>
      </c>
      <c r="E313" s="137" t="s">
        <v>292</v>
      </c>
      <c r="F313" s="30" t="s">
        <v>68</v>
      </c>
      <c r="G313" s="30">
        <v>75</v>
      </c>
      <c r="H313" s="30">
        <v>219</v>
      </c>
      <c r="I313" s="30">
        <v>37.68</v>
      </c>
      <c r="J313" s="30" t="s">
        <v>71</v>
      </c>
      <c r="K313" s="58">
        <v>0</v>
      </c>
      <c r="L313" s="58">
        <v>1.2391761188927199E+19</v>
      </c>
    </row>
    <row r="314" spans="3:12">
      <c r="C314" s="29" t="b">
        <v>0</v>
      </c>
      <c r="D314" s="30" t="s">
        <v>322</v>
      </c>
      <c r="E314" s="137" t="s">
        <v>292</v>
      </c>
      <c r="F314" s="30" t="s">
        <v>68</v>
      </c>
      <c r="G314" s="30">
        <v>74</v>
      </c>
      <c r="H314" s="30">
        <v>170</v>
      </c>
      <c r="I314" s="30">
        <v>37.25</v>
      </c>
      <c r="J314" s="30" t="s">
        <v>71</v>
      </c>
      <c r="K314" s="58">
        <v>0</v>
      </c>
      <c r="L314" s="58">
        <v>1.35943457099025E+19</v>
      </c>
    </row>
    <row r="315" spans="3:12">
      <c r="C315" s="29" t="b">
        <v>0</v>
      </c>
      <c r="D315" s="30" t="s">
        <v>323</v>
      </c>
      <c r="E315" s="137" t="s">
        <v>324</v>
      </c>
      <c r="F315" s="30" t="s">
        <v>74</v>
      </c>
      <c r="G315" s="30">
        <v>69</v>
      </c>
      <c r="H315" s="30">
        <v>218</v>
      </c>
      <c r="I315" s="30">
        <v>35.25</v>
      </c>
      <c r="J315" s="30" t="s">
        <v>74</v>
      </c>
      <c r="K315" s="58">
        <v>0</v>
      </c>
      <c r="L315" s="58">
        <v>5.7271875424801905E+18</v>
      </c>
    </row>
    <row r="316" spans="3:12">
      <c r="C316" s="29" t="b">
        <v>0</v>
      </c>
      <c r="D316" s="30" t="s">
        <v>325</v>
      </c>
      <c r="E316" s="137" t="s">
        <v>324</v>
      </c>
      <c r="F316" s="30" t="s">
        <v>74</v>
      </c>
      <c r="G316" s="30">
        <v>71</v>
      </c>
      <c r="H316" s="30">
        <v>190</v>
      </c>
      <c r="I316" s="30">
        <v>33.950000000000003</v>
      </c>
      <c r="J316" s="30" t="s">
        <v>74</v>
      </c>
      <c r="K316" s="58">
        <v>0</v>
      </c>
      <c r="L316" s="58">
        <v>1.3833110838526501E+19</v>
      </c>
    </row>
    <row r="317" spans="3:12">
      <c r="C317" s="29" t="b">
        <v>0</v>
      </c>
      <c r="D317" s="30" t="s">
        <v>326</v>
      </c>
      <c r="E317" s="137" t="s">
        <v>324</v>
      </c>
      <c r="F317" s="30" t="s">
        <v>78</v>
      </c>
      <c r="G317" s="30">
        <v>76</v>
      </c>
      <c r="H317" s="30">
        <v>225</v>
      </c>
      <c r="I317" s="30">
        <v>32.659999999999997</v>
      </c>
      <c r="J317" s="30" t="s">
        <v>79</v>
      </c>
      <c r="K317" s="58">
        <v>0</v>
      </c>
      <c r="L317" s="58">
        <v>8.07289558286814E+18</v>
      </c>
    </row>
    <row r="318" spans="3:12">
      <c r="C318" s="29" t="b">
        <v>0</v>
      </c>
      <c r="D318" s="30" t="s">
        <v>327</v>
      </c>
      <c r="E318" s="137" t="s">
        <v>324</v>
      </c>
      <c r="F318" s="30" t="s">
        <v>78</v>
      </c>
      <c r="G318" s="30">
        <v>72</v>
      </c>
      <c r="H318" s="30">
        <v>220</v>
      </c>
      <c r="I318" s="30">
        <v>26.68</v>
      </c>
      <c r="J318" s="30" t="s">
        <v>79</v>
      </c>
      <c r="K318" s="58">
        <v>0</v>
      </c>
      <c r="L318" s="58">
        <v>1.5646979080210801E+18</v>
      </c>
    </row>
    <row r="319" spans="3:12">
      <c r="C319" s="29" t="b">
        <v>0</v>
      </c>
      <c r="D319" s="30" t="s">
        <v>328</v>
      </c>
      <c r="E319" s="137" t="s">
        <v>324</v>
      </c>
      <c r="F319" s="30" t="s">
        <v>82</v>
      </c>
      <c r="G319" s="30">
        <v>72</v>
      </c>
      <c r="H319" s="30">
        <v>176</v>
      </c>
      <c r="I319" s="30">
        <v>25.18</v>
      </c>
      <c r="J319" s="30" t="s">
        <v>79</v>
      </c>
      <c r="K319" s="58">
        <v>0</v>
      </c>
      <c r="L319" s="58">
        <v>2.4763806807815997E+18</v>
      </c>
    </row>
    <row r="320" spans="3:12">
      <c r="C320" s="29" t="b">
        <v>0</v>
      </c>
      <c r="D320" s="30" t="s">
        <v>329</v>
      </c>
      <c r="E320" s="137" t="s">
        <v>324</v>
      </c>
      <c r="F320" s="30" t="s">
        <v>82</v>
      </c>
      <c r="G320" s="30">
        <v>70</v>
      </c>
      <c r="H320" s="30">
        <v>190</v>
      </c>
      <c r="I320" s="30">
        <v>31.39</v>
      </c>
      <c r="J320" s="30" t="s">
        <v>79</v>
      </c>
      <c r="K320" s="58">
        <v>0</v>
      </c>
      <c r="L320" s="58">
        <v>1.81737241074093E+18</v>
      </c>
    </row>
    <row r="321" spans="3:12">
      <c r="C321" s="29" t="b">
        <v>0</v>
      </c>
      <c r="D321" s="30" t="s">
        <v>330</v>
      </c>
      <c r="E321" s="137" t="s">
        <v>324</v>
      </c>
      <c r="F321" s="30" t="s">
        <v>82</v>
      </c>
      <c r="G321" s="30">
        <v>72</v>
      </c>
      <c r="H321" s="30">
        <v>197</v>
      </c>
      <c r="I321" s="30">
        <v>33.74</v>
      </c>
      <c r="J321" s="30" t="s">
        <v>79</v>
      </c>
      <c r="K321" s="58">
        <v>0</v>
      </c>
      <c r="L321" s="58">
        <v>6.6915467424070502E+18</v>
      </c>
    </row>
    <row r="322" spans="3:12">
      <c r="C322" s="29" t="b">
        <v>0</v>
      </c>
      <c r="D322" s="30" t="s">
        <v>331</v>
      </c>
      <c r="E322" s="137" t="s">
        <v>324</v>
      </c>
      <c r="F322" s="30" t="s">
        <v>84</v>
      </c>
      <c r="G322" s="30">
        <v>73</v>
      </c>
      <c r="H322" s="30">
        <v>204</v>
      </c>
      <c r="I322" s="30">
        <v>31.42</v>
      </c>
      <c r="J322" s="30" t="s">
        <v>79</v>
      </c>
      <c r="K322" s="58">
        <v>0</v>
      </c>
      <c r="L322" s="58">
        <v>9.2339699628670607E+18</v>
      </c>
    </row>
    <row r="323" spans="3:12">
      <c r="C323" s="29" t="b">
        <v>0</v>
      </c>
      <c r="D323" s="30" t="s">
        <v>332</v>
      </c>
      <c r="E323" s="137" t="s">
        <v>324</v>
      </c>
      <c r="F323" s="30" t="s">
        <v>84</v>
      </c>
      <c r="G323" s="30">
        <v>71</v>
      </c>
      <c r="H323" s="30">
        <v>167</v>
      </c>
      <c r="I323" s="30">
        <v>27.5</v>
      </c>
      <c r="J323" s="30" t="s">
        <v>79</v>
      </c>
      <c r="K323" s="58">
        <v>0</v>
      </c>
      <c r="L323" s="58">
        <v>1.77278435332946E+18</v>
      </c>
    </row>
    <row r="324" spans="3:12">
      <c r="C324" s="29" t="b">
        <v>0</v>
      </c>
      <c r="D324" s="30" t="s">
        <v>333</v>
      </c>
      <c r="E324" s="137" t="s">
        <v>324</v>
      </c>
      <c r="F324" s="30" t="s">
        <v>84</v>
      </c>
      <c r="G324" s="30">
        <v>72</v>
      </c>
      <c r="H324" s="30">
        <v>180</v>
      </c>
      <c r="I324" s="30">
        <v>24.25</v>
      </c>
      <c r="J324" s="30" t="s">
        <v>79</v>
      </c>
      <c r="K324" s="58">
        <v>0</v>
      </c>
      <c r="L324" s="58">
        <v>1.7140230214922199E+19</v>
      </c>
    </row>
    <row r="325" spans="3:12">
      <c r="C325" s="29" t="b">
        <v>0</v>
      </c>
      <c r="D325" s="30" t="s">
        <v>334</v>
      </c>
      <c r="E325" s="137" t="s">
        <v>324</v>
      </c>
      <c r="F325" s="30" t="s">
        <v>86</v>
      </c>
      <c r="G325" s="30">
        <v>71</v>
      </c>
      <c r="H325" s="30">
        <v>195</v>
      </c>
      <c r="I325" s="30">
        <v>29.78</v>
      </c>
      <c r="J325" s="30" t="s">
        <v>79</v>
      </c>
      <c r="K325" s="58">
        <v>0</v>
      </c>
      <c r="L325" s="58">
        <v>9.3405075258583798E+18</v>
      </c>
    </row>
    <row r="326" spans="3:12">
      <c r="C326" s="29" t="b">
        <v>0</v>
      </c>
      <c r="D326" s="30" t="s">
        <v>335</v>
      </c>
      <c r="E326" s="137" t="s">
        <v>324</v>
      </c>
      <c r="F326" s="30" t="s">
        <v>89</v>
      </c>
      <c r="G326" s="30">
        <v>73</v>
      </c>
      <c r="H326" s="30">
        <v>220</v>
      </c>
      <c r="I326" s="30">
        <v>30</v>
      </c>
      <c r="J326" s="30" t="s">
        <v>89</v>
      </c>
      <c r="K326" s="58">
        <v>0</v>
      </c>
      <c r="L326" s="58">
        <v>4.5278445534273398E+18</v>
      </c>
    </row>
    <row r="327" spans="3:12">
      <c r="C327" s="29" t="b">
        <v>0</v>
      </c>
      <c r="D327" s="30" t="s">
        <v>336</v>
      </c>
      <c r="E327" s="137" t="s">
        <v>324</v>
      </c>
      <c r="F327" s="30" t="s">
        <v>89</v>
      </c>
      <c r="G327" s="30">
        <v>72</v>
      </c>
      <c r="H327" s="30">
        <v>215</v>
      </c>
      <c r="I327" s="30">
        <v>33.090000000000003</v>
      </c>
      <c r="J327" s="30" t="s">
        <v>89</v>
      </c>
      <c r="K327" s="58">
        <v>0</v>
      </c>
      <c r="L327" s="58">
        <v>1.1041616026134301E+19</v>
      </c>
    </row>
    <row r="328" spans="3:12">
      <c r="C328" s="29" t="b">
        <v>0</v>
      </c>
      <c r="D328" s="30" t="s">
        <v>337</v>
      </c>
      <c r="E328" s="137" t="s">
        <v>324</v>
      </c>
      <c r="F328" s="30" t="s">
        <v>89</v>
      </c>
      <c r="G328" s="30">
        <v>73</v>
      </c>
      <c r="H328" s="30">
        <v>185</v>
      </c>
      <c r="I328" s="30">
        <v>25.96</v>
      </c>
      <c r="J328" s="30" t="s">
        <v>89</v>
      </c>
      <c r="K328" s="58">
        <v>0</v>
      </c>
      <c r="L328" s="58">
        <v>1.63212718473077E+19</v>
      </c>
    </row>
    <row r="329" spans="3:12">
      <c r="C329" s="29" t="b">
        <v>0</v>
      </c>
      <c r="D329" s="30" t="s">
        <v>338</v>
      </c>
      <c r="E329" s="137" t="s">
        <v>324</v>
      </c>
      <c r="F329" s="30" t="s">
        <v>89</v>
      </c>
      <c r="G329" s="30">
        <v>74</v>
      </c>
      <c r="H329" s="30">
        <v>190</v>
      </c>
      <c r="I329" s="30">
        <v>23.34</v>
      </c>
      <c r="J329" s="30" t="s">
        <v>89</v>
      </c>
      <c r="K329" s="58">
        <v>0</v>
      </c>
      <c r="L329" s="58">
        <v>1.65447324742924E+19</v>
      </c>
    </row>
    <row r="330" spans="3:12">
      <c r="C330" s="29" t="b">
        <v>0</v>
      </c>
      <c r="D330" s="30" t="s">
        <v>339</v>
      </c>
      <c r="E330" s="137" t="s">
        <v>324</v>
      </c>
      <c r="F330" s="30" t="s">
        <v>89</v>
      </c>
      <c r="G330" s="30">
        <v>74</v>
      </c>
      <c r="H330" s="30">
        <v>205</v>
      </c>
      <c r="I330" s="30">
        <v>29.98</v>
      </c>
      <c r="J330" s="30" t="s">
        <v>89</v>
      </c>
      <c r="K330" s="58">
        <v>0</v>
      </c>
      <c r="L330" s="58">
        <v>1.33585804063313E+19</v>
      </c>
    </row>
    <row r="331" spans="3:12">
      <c r="C331" s="29" t="b">
        <v>0</v>
      </c>
      <c r="D331" s="30" t="s">
        <v>340</v>
      </c>
      <c r="E331" s="137" t="s">
        <v>324</v>
      </c>
      <c r="F331" s="30" t="s">
        <v>89</v>
      </c>
      <c r="G331" s="30">
        <v>72</v>
      </c>
      <c r="H331" s="30">
        <v>205</v>
      </c>
      <c r="I331" s="30">
        <v>38.28</v>
      </c>
      <c r="J331" s="30" t="s">
        <v>89</v>
      </c>
      <c r="K331" s="58">
        <v>0</v>
      </c>
      <c r="L331" s="58">
        <v>6.4924379038578401E+18</v>
      </c>
    </row>
    <row r="332" spans="3:12">
      <c r="C332" s="29" t="b">
        <v>0</v>
      </c>
      <c r="D332" s="30" t="s">
        <v>341</v>
      </c>
      <c r="E332" s="137" t="s">
        <v>324</v>
      </c>
      <c r="F332" s="30" t="s">
        <v>97</v>
      </c>
      <c r="G332" s="30">
        <v>75</v>
      </c>
      <c r="H332" s="30">
        <v>200</v>
      </c>
      <c r="I332" s="30">
        <v>24.97</v>
      </c>
      <c r="J332" s="30" t="s">
        <v>71</v>
      </c>
      <c r="K332" s="58">
        <v>0</v>
      </c>
      <c r="L332" s="58">
        <v>1.12531370413334E+18</v>
      </c>
    </row>
    <row r="333" spans="3:12">
      <c r="C333" s="29" t="b">
        <v>0</v>
      </c>
      <c r="D333" s="30" t="s">
        <v>342</v>
      </c>
      <c r="E333" s="137" t="s">
        <v>324</v>
      </c>
      <c r="F333" s="30" t="s">
        <v>97</v>
      </c>
      <c r="G333" s="30">
        <v>74</v>
      </c>
      <c r="H333" s="30">
        <v>210</v>
      </c>
      <c r="I333" s="30">
        <v>24.34</v>
      </c>
      <c r="J333" s="30" t="s">
        <v>71</v>
      </c>
      <c r="K333" s="58">
        <v>0</v>
      </c>
      <c r="L333" s="58">
        <v>5.0163333407723602E+18</v>
      </c>
    </row>
    <row r="334" spans="3:12">
      <c r="C334" s="29" t="b">
        <v>0</v>
      </c>
      <c r="D334" s="30" t="s">
        <v>343</v>
      </c>
      <c r="E334" s="137" t="s">
        <v>324</v>
      </c>
      <c r="F334" s="30" t="s">
        <v>97</v>
      </c>
      <c r="G334" s="30">
        <v>74</v>
      </c>
      <c r="H334" s="30">
        <v>215</v>
      </c>
      <c r="I334" s="30">
        <v>29.49</v>
      </c>
      <c r="J334" s="30" t="s">
        <v>71</v>
      </c>
      <c r="K334" s="58">
        <v>0</v>
      </c>
      <c r="L334" s="58">
        <v>1.7608141526887E+19</v>
      </c>
    </row>
    <row r="335" spans="3:12">
      <c r="C335" s="29" t="b">
        <v>0</v>
      </c>
      <c r="D335" s="30" t="s">
        <v>344</v>
      </c>
      <c r="E335" s="137" t="s">
        <v>324</v>
      </c>
      <c r="F335" s="30" t="s">
        <v>97</v>
      </c>
      <c r="G335" s="30">
        <v>77</v>
      </c>
      <c r="H335" s="30">
        <v>200</v>
      </c>
      <c r="I335" s="30">
        <v>24.02</v>
      </c>
      <c r="J335" s="30" t="s">
        <v>71</v>
      </c>
      <c r="K335" s="58">
        <v>0</v>
      </c>
      <c r="L335" s="58">
        <v>8.1386880619060204E+18</v>
      </c>
    </row>
    <row r="336" spans="3:12">
      <c r="C336" s="29" t="b">
        <v>0</v>
      </c>
      <c r="D336" s="30" t="s">
        <v>345</v>
      </c>
      <c r="E336" s="137" t="s">
        <v>324</v>
      </c>
      <c r="F336" s="30" t="s">
        <v>97</v>
      </c>
      <c r="G336" s="30">
        <v>75</v>
      </c>
      <c r="H336" s="30">
        <v>205</v>
      </c>
      <c r="I336" s="30">
        <v>24.73</v>
      </c>
      <c r="J336" s="30" t="s">
        <v>71</v>
      </c>
      <c r="K336" s="58">
        <v>0</v>
      </c>
      <c r="L336" s="58">
        <v>1.37005689877965E+19</v>
      </c>
    </row>
    <row r="337" spans="3:12">
      <c r="C337" s="29" t="b">
        <v>0</v>
      </c>
      <c r="D337" s="30" t="s">
        <v>346</v>
      </c>
      <c r="E337" s="137" t="s">
        <v>324</v>
      </c>
      <c r="F337" s="30" t="s">
        <v>97</v>
      </c>
      <c r="G337" s="30">
        <v>73</v>
      </c>
      <c r="H337" s="30">
        <v>211</v>
      </c>
      <c r="I337" s="30">
        <v>42.3</v>
      </c>
      <c r="J337" s="30" t="s">
        <v>71</v>
      </c>
      <c r="K337" s="58">
        <v>0</v>
      </c>
      <c r="L337" s="58">
        <v>1.3972681492468699E+19</v>
      </c>
    </row>
    <row r="338" spans="3:12">
      <c r="C338" s="29" t="b">
        <v>0</v>
      </c>
      <c r="D338" s="30" t="s">
        <v>347</v>
      </c>
      <c r="E338" s="137" t="s">
        <v>324</v>
      </c>
      <c r="F338" s="30" t="s">
        <v>97</v>
      </c>
      <c r="G338" s="30">
        <v>72</v>
      </c>
      <c r="H338" s="30">
        <v>190</v>
      </c>
      <c r="I338" s="30">
        <v>29.54</v>
      </c>
      <c r="J338" s="30" t="s">
        <v>71</v>
      </c>
      <c r="K338" s="58">
        <v>0</v>
      </c>
      <c r="L338" s="58">
        <v>1.00424937662603E+19</v>
      </c>
    </row>
    <row r="339" spans="3:12">
      <c r="C339" s="29" t="b">
        <v>0</v>
      </c>
      <c r="D339" s="30" t="s">
        <v>348</v>
      </c>
      <c r="E339" s="137" t="s">
        <v>324</v>
      </c>
      <c r="F339" s="30" t="s">
        <v>68</v>
      </c>
      <c r="G339" s="30">
        <v>71</v>
      </c>
      <c r="H339" s="30">
        <v>208</v>
      </c>
      <c r="I339" s="30">
        <v>29.95</v>
      </c>
      <c r="J339" s="30" t="s">
        <v>71</v>
      </c>
      <c r="K339" s="58">
        <v>0</v>
      </c>
      <c r="L339" s="58">
        <v>7.7406790492807002E+17</v>
      </c>
    </row>
    <row r="340" spans="3:12">
      <c r="C340" s="29" t="b">
        <v>0</v>
      </c>
      <c r="D340" s="30" t="s">
        <v>349</v>
      </c>
      <c r="E340" s="137" t="s">
        <v>324</v>
      </c>
      <c r="F340" s="30" t="s">
        <v>68</v>
      </c>
      <c r="G340" s="30">
        <v>74</v>
      </c>
      <c r="H340" s="30">
        <v>200</v>
      </c>
      <c r="I340" s="30">
        <v>29.24</v>
      </c>
      <c r="J340" s="30" t="s">
        <v>71</v>
      </c>
      <c r="K340" s="58">
        <v>0</v>
      </c>
      <c r="L340" s="58">
        <v>6.1139271969099796E+18</v>
      </c>
    </row>
    <row r="341" spans="3:12">
      <c r="C341" s="29" t="b">
        <v>0</v>
      </c>
      <c r="D341" s="30" t="s">
        <v>350</v>
      </c>
      <c r="E341" s="137" t="s">
        <v>324</v>
      </c>
      <c r="F341" s="30" t="s">
        <v>68</v>
      </c>
      <c r="G341" s="30">
        <v>77</v>
      </c>
      <c r="H341" s="30">
        <v>210</v>
      </c>
      <c r="I341" s="30">
        <v>30.3</v>
      </c>
      <c r="J341" s="30" t="s">
        <v>71</v>
      </c>
      <c r="K341" s="58">
        <v>0</v>
      </c>
      <c r="L341" s="58">
        <v>8.1848429957562204E+18</v>
      </c>
    </row>
    <row r="342" spans="3:12">
      <c r="C342" s="29" t="b">
        <v>0</v>
      </c>
      <c r="D342" s="30" t="s">
        <v>351</v>
      </c>
      <c r="E342" s="137" t="s">
        <v>324</v>
      </c>
      <c r="F342" s="30" t="s">
        <v>68</v>
      </c>
      <c r="G342" s="30">
        <v>75</v>
      </c>
      <c r="H342" s="30">
        <v>232</v>
      </c>
      <c r="I342" s="30">
        <v>40.770000000000003</v>
      </c>
      <c r="J342" s="30" t="s">
        <v>71</v>
      </c>
      <c r="K342" s="58">
        <v>0</v>
      </c>
      <c r="L342" s="58">
        <v>1.24726612145932E+19</v>
      </c>
    </row>
    <row r="343" spans="3:12">
      <c r="C343" s="29" t="b">
        <v>0</v>
      </c>
      <c r="D343" s="30" t="s">
        <v>352</v>
      </c>
      <c r="E343" s="137" t="s">
        <v>324</v>
      </c>
      <c r="F343" s="30" t="s">
        <v>68</v>
      </c>
      <c r="G343" s="30">
        <v>75</v>
      </c>
      <c r="H343" s="30">
        <v>230</v>
      </c>
      <c r="I343" s="30">
        <v>38.85</v>
      </c>
      <c r="J343" s="30" t="s">
        <v>71</v>
      </c>
      <c r="K343" s="58">
        <v>0</v>
      </c>
      <c r="L343" s="58">
        <v>8.3776267125486797E+18</v>
      </c>
    </row>
    <row r="344" spans="3:12">
      <c r="C344" s="29" t="b">
        <v>0</v>
      </c>
      <c r="D344" s="30" t="s">
        <v>353</v>
      </c>
      <c r="E344" s="137" t="s">
        <v>324</v>
      </c>
      <c r="F344" s="30" t="s">
        <v>68</v>
      </c>
      <c r="G344" s="30">
        <v>75</v>
      </c>
      <c r="H344" s="30">
        <v>210</v>
      </c>
      <c r="I344" s="30">
        <v>22.31</v>
      </c>
      <c r="J344" s="30" t="s">
        <v>71</v>
      </c>
      <c r="K344" s="58">
        <v>0</v>
      </c>
      <c r="L344" s="58">
        <v>3.2567842667163899E+18</v>
      </c>
    </row>
    <row r="345" spans="3:12">
      <c r="C345" s="29" t="b">
        <v>0</v>
      </c>
      <c r="D345" s="30" t="s">
        <v>354</v>
      </c>
      <c r="E345" s="137" t="s">
        <v>324</v>
      </c>
      <c r="F345" s="30" t="s">
        <v>68</v>
      </c>
      <c r="G345" s="30">
        <v>78</v>
      </c>
      <c r="H345" s="30">
        <v>220</v>
      </c>
      <c r="I345" s="30">
        <v>25.44</v>
      </c>
      <c r="J345" s="30" t="s">
        <v>71</v>
      </c>
      <c r="K345" s="58">
        <v>0</v>
      </c>
      <c r="L345" s="58">
        <v>1.00238925114716E+19</v>
      </c>
    </row>
    <row r="346" spans="3:12">
      <c r="C346" s="29" t="b">
        <v>0</v>
      </c>
      <c r="D346" s="30" t="s">
        <v>355</v>
      </c>
      <c r="E346" s="137" t="s">
        <v>324</v>
      </c>
      <c r="F346" s="30" t="s">
        <v>68</v>
      </c>
      <c r="G346" s="30">
        <v>78</v>
      </c>
      <c r="H346" s="30">
        <v>210</v>
      </c>
      <c r="I346" s="30">
        <v>21.78</v>
      </c>
      <c r="J346" s="30" t="s">
        <v>71</v>
      </c>
      <c r="K346" s="58">
        <v>0</v>
      </c>
      <c r="L346" s="58">
        <v>9.7062908587513999E+18</v>
      </c>
    </row>
    <row r="347" spans="3:12">
      <c r="C347" s="29" t="b">
        <v>0</v>
      </c>
      <c r="D347" s="30" t="s">
        <v>356</v>
      </c>
      <c r="E347" s="137" t="s">
        <v>324</v>
      </c>
      <c r="F347" s="30" t="s">
        <v>68</v>
      </c>
      <c r="G347" s="30">
        <v>74</v>
      </c>
      <c r="H347" s="30">
        <v>202</v>
      </c>
      <c r="I347" s="30">
        <v>22.64</v>
      </c>
      <c r="J347" s="30" t="s">
        <v>71</v>
      </c>
      <c r="K347" s="58">
        <v>0</v>
      </c>
      <c r="L347" s="58">
        <v>7.2589360783317197E+17</v>
      </c>
    </row>
    <row r="348" spans="3:12">
      <c r="C348" s="29" t="b">
        <v>0</v>
      </c>
      <c r="D348" s="30" t="s">
        <v>357</v>
      </c>
      <c r="E348" s="137" t="s">
        <v>324</v>
      </c>
      <c r="F348" s="30" t="s">
        <v>68</v>
      </c>
      <c r="G348" s="30">
        <v>76</v>
      </c>
      <c r="H348" s="30">
        <v>212</v>
      </c>
      <c r="I348" s="30">
        <v>26.11</v>
      </c>
      <c r="J348" s="30" t="s">
        <v>71</v>
      </c>
      <c r="K348" s="58">
        <v>0</v>
      </c>
      <c r="L348" s="58">
        <v>7.7462043116923996E+18</v>
      </c>
    </row>
    <row r="349" spans="3:12">
      <c r="C349" s="29" t="b">
        <v>0</v>
      </c>
      <c r="D349" s="30" t="s">
        <v>358</v>
      </c>
      <c r="E349" s="137" t="s">
        <v>324</v>
      </c>
      <c r="F349" s="30" t="s">
        <v>68</v>
      </c>
      <c r="G349" s="30">
        <v>78</v>
      </c>
      <c r="H349" s="30">
        <v>225</v>
      </c>
      <c r="I349" s="30">
        <v>27.55</v>
      </c>
      <c r="J349" s="30" t="s">
        <v>71</v>
      </c>
      <c r="K349" s="58">
        <v>0</v>
      </c>
      <c r="L349" s="58">
        <v>1.0721254003513301E+19</v>
      </c>
    </row>
    <row r="350" spans="3:12">
      <c r="C350" s="29" t="b">
        <v>0</v>
      </c>
      <c r="D350" s="30" t="s">
        <v>359</v>
      </c>
      <c r="E350" s="137" t="s">
        <v>324</v>
      </c>
      <c r="F350" s="30" t="s">
        <v>68</v>
      </c>
      <c r="G350" s="30">
        <v>76</v>
      </c>
      <c r="H350" s="30">
        <v>170</v>
      </c>
      <c r="I350" s="30">
        <v>24.63</v>
      </c>
      <c r="J350" s="30" t="s">
        <v>71</v>
      </c>
      <c r="K350" s="58">
        <v>0</v>
      </c>
      <c r="L350" s="58">
        <v>1.64707590458147E+18</v>
      </c>
    </row>
    <row r="351" spans="3:12">
      <c r="C351" s="29" t="b">
        <v>0</v>
      </c>
      <c r="D351" s="30" t="s">
        <v>360</v>
      </c>
      <c r="E351" s="137" t="s">
        <v>361</v>
      </c>
      <c r="F351" s="30" t="s">
        <v>74</v>
      </c>
      <c r="G351" s="30">
        <v>70</v>
      </c>
      <c r="H351" s="30">
        <v>190</v>
      </c>
      <c r="I351" s="30">
        <v>23.58</v>
      </c>
      <c r="J351" s="30" t="s">
        <v>74</v>
      </c>
      <c r="K351" s="58">
        <v>0</v>
      </c>
      <c r="L351" s="58">
        <v>5.32768891818398E+18</v>
      </c>
    </row>
    <row r="352" spans="3:12">
      <c r="C352" s="29" t="b">
        <v>0</v>
      </c>
      <c r="D352" s="30" t="s">
        <v>362</v>
      </c>
      <c r="E352" s="137" t="s">
        <v>361</v>
      </c>
      <c r="F352" s="30" t="s">
        <v>74</v>
      </c>
      <c r="G352" s="30">
        <v>72</v>
      </c>
      <c r="H352" s="30">
        <v>200</v>
      </c>
      <c r="I352" s="30">
        <v>30.73</v>
      </c>
      <c r="J352" s="30" t="s">
        <v>74</v>
      </c>
      <c r="K352" s="58">
        <v>0</v>
      </c>
      <c r="L352" s="58">
        <v>9.0408973168139796E+18</v>
      </c>
    </row>
    <row r="353" spans="3:12">
      <c r="C353" s="29" t="b">
        <v>0</v>
      </c>
      <c r="D353" s="30" t="s">
        <v>363</v>
      </c>
      <c r="E353" s="137" t="s">
        <v>361</v>
      </c>
      <c r="F353" s="30" t="s">
        <v>78</v>
      </c>
      <c r="G353" s="30">
        <v>80</v>
      </c>
      <c r="H353" s="30">
        <v>237</v>
      </c>
      <c r="I353" s="30">
        <v>32.17</v>
      </c>
      <c r="J353" s="30" t="s">
        <v>79</v>
      </c>
      <c r="K353" s="58">
        <v>0</v>
      </c>
      <c r="L353" s="58">
        <v>5.53756045969374E+18</v>
      </c>
    </row>
    <row r="354" spans="3:12">
      <c r="C354" s="29" t="b">
        <v>0</v>
      </c>
      <c r="D354" s="30" t="s">
        <v>364</v>
      </c>
      <c r="E354" s="137" t="s">
        <v>361</v>
      </c>
      <c r="F354" s="30" t="s">
        <v>78</v>
      </c>
      <c r="G354" s="30">
        <v>74</v>
      </c>
      <c r="H354" s="30">
        <v>220</v>
      </c>
      <c r="I354" s="30">
        <v>30.43</v>
      </c>
      <c r="J354" s="30" t="s">
        <v>79</v>
      </c>
      <c r="K354" s="58">
        <v>0</v>
      </c>
      <c r="L354" s="58">
        <v>1.8118992234209999E+18</v>
      </c>
    </row>
    <row r="355" spans="3:12">
      <c r="C355" s="29" t="b">
        <v>0</v>
      </c>
      <c r="D355" s="30" t="s">
        <v>365</v>
      </c>
      <c r="E355" s="137" t="s">
        <v>361</v>
      </c>
      <c r="F355" s="30" t="s">
        <v>82</v>
      </c>
      <c r="G355" s="30">
        <v>74</v>
      </c>
      <c r="H355" s="30">
        <v>170</v>
      </c>
      <c r="I355" s="30">
        <v>23.27</v>
      </c>
      <c r="J355" s="30" t="s">
        <v>79</v>
      </c>
      <c r="K355" s="58">
        <v>0</v>
      </c>
      <c r="L355" s="58">
        <v>1.16616363828655E+18</v>
      </c>
    </row>
    <row r="356" spans="3:12">
      <c r="C356" s="29" t="b">
        <v>0</v>
      </c>
      <c r="D356" s="30" t="s">
        <v>366</v>
      </c>
      <c r="E356" s="137" t="s">
        <v>361</v>
      </c>
      <c r="F356" s="30" t="s">
        <v>82</v>
      </c>
      <c r="G356" s="30">
        <v>71</v>
      </c>
      <c r="H356" s="30">
        <v>193</v>
      </c>
      <c r="I356" s="30">
        <v>32.51</v>
      </c>
      <c r="J356" s="30" t="s">
        <v>79</v>
      </c>
      <c r="K356" s="58">
        <v>0</v>
      </c>
      <c r="L356" s="58">
        <v>1.31072423966579E+19</v>
      </c>
    </row>
    <row r="357" spans="3:12">
      <c r="C357" s="29" t="b">
        <v>0</v>
      </c>
      <c r="D357" s="30" t="s">
        <v>367</v>
      </c>
      <c r="E357" s="137" t="s">
        <v>361</v>
      </c>
      <c r="F357" s="30" t="s">
        <v>84</v>
      </c>
      <c r="G357" s="30">
        <v>70</v>
      </c>
      <c r="H357" s="30">
        <v>190</v>
      </c>
      <c r="I357" s="30">
        <v>25.08</v>
      </c>
      <c r="J357" s="30" t="s">
        <v>79</v>
      </c>
      <c r="K357" s="58">
        <v>0</v>
      </c>
      <c r="L357" s="58">
        <v>6.2664000887916298E+18</v>
      </c>
    </row>
    <row r="358" spans="3:12">
      <c r="C358" s="29" t="b">
        <v>0</v>
      </c>
      <c r="D358" s="30" t="s">
        <v>368</v>
      </c>
      <c r="E358" s="137" t="s">
        <v>361</v>
      </c>
      <c r="F358" s="30" t="s">
        <v>84</v>
      </c>
      <c r="G358" s="30">
        <v>72</v>
      </c>
      <c r="H358" s="30">
        <v>150</v>
      </c>
      <c r="I358" s="30">
        <v>22.41</v>
      </c>
      <c r="J358" s="30" t="s">
        <v>79</v>
      </c>
      <c r="K358" s="58">
        <v>0</v>
      </c>
      <c r="L358" s="58">
        <v>5.3143182868399002E+18</v>
      </c>
    </row>
    <row r="359" spans="3:12">
      <c r="C359" s="29" t="b">
        <v>0</v>
      </c>
      <c r="D359" s="30" t="s">
        <v>369</v>
      </c>
      <c r="E359" s="137" t="s">
        <v>361</v>
      </c>
      <c r="F359" s="30" t="s">
        <v>86</v>
      </c>
      <c r="G359" s="30">
        <v>71</v>
      </c>
      <c r="H359" s="30">
        <v>220</v>
      </c>
      <c r="I359" s="30">
        <v>27.9</v>
      </c>
      <c r="J359" s="30" t="s">
        <v>79</v>
      </c>
      <c r="K359" s="58">
        <v>0</v>
      </c>
      <c r="L359" s="58">
        <v>1.4136775701033501E+19</v>
      </c>
    </row>
    <row r="360" spans="3:12">
      <c r="C360" s="29" t="b">
        <v>0</v>
      </c>
      <c r="D360" s="30" t="s">
        <v>370</v>
      </c>
      <c r="E360" s="137" t="s">
        <v>361</v>
      </c>
      <c r="F360" s="30" t="s">
        <v>89</v>
      </c>
      <c r="G360" s="30">
        <v>74</v>
      </c>
      <c r="H360" s="30">
        <v>200</v>
      </c>
      <c r="I360" s="30">
        <v>34.74</v>
      </c>
      <c r="J360" s="30" t="s">
        <v>89</v>
      </c>
      <c r="K360" s="58">
        <v>0</v>
      </c>
      <c r="L360" s="58">
        <v>1.5527201840274901E+19</v>
      </c>
    </row>
    <row r="361" spans="3:12">
      <c r="C361" s="29" t="b">
        <v>0</v>
      </c>
      <c r="D361" s="30" t="s">
        <v>371</v>
      </c>
      <c r="E361" s="137" t="s">
        <v>361</v>
      </c>
      <c r="F361" s="30" t="s">
        <v>89</v>
      </c>
      <c r="G361" s="30">
        <v>71</v>
      </c>
      <c r="H361" s="30">
        <v>190</v>
      </c>
      <c r="I361" s="30">
        <v>30.79</v>
      </c>
      <c r="J361" s="30" t="s">
        <v>89</v>
      </c>
      <c r="K361" s="58">
        <v>0</v>
      </c>
      <c r="L361" s="58">
        <v>1.56816939626368E+19</v>
      </c>
    </row>
    <row r="362" spans="3:12">
      <c r="C362" s="29" t="b">
        <v>0</v>
      </c>
      <c r="D362" s="30" t="s">
        <v>372</v>
      </c>
      <c r="E362" s="137" t="s">
        <v>361</v>
      </c>
      <c r="F362" s="30" t="s">
        <v>89</v>
      </c>
      <c r="G362" s="30">
        <v>72</v>
      </c>
      <c r="H362" s="30">
        <v>185</v>
      </c>
      <c r="I362" s="30">
        <v>25.71</v>
      </c>
      <c r="J362" s="30" t="s">
        <v>89</v>
      </c>
      <c r="K362" s="58">
        <v>0</v>
      </c>
      <c r="L362" s="58">
        <v>4.9862041895334195E+18</v>
      </c>
    </row>
    <row r="363" spans="3:12">
      <c r="C363" s="29" t="b">
        <v>0</v>
      </c>
      <c r="D363" s="30" t="s">
        <v>373</v>
      </c>
      <c r="E363" s="137" t="s">
        <v>361</v>
      </c>
      <c r="F363" s="30" t="s">
        <v>89</v>
      </c>
      <c r="G363" s="30">
        <v>71</v>
      </c>
      <c r="H363" s="30">
        <v>185</v>
      </c>
      <c r="I363" s="30">
        <v>29.26</v>
      </c>
      <c r="J363" s="30" t="s">
        <v>89</v>
      </c>
      <c r="K363" s="58">
        <v>0</v>
      </c>
      <c r="L363" s="58">
        <v>4.84421466688418E+18</v>
      </c>
    </row>
    <row r="364" spans="3:12">
      <c r="C364" s="29" t="b">
        <v>0</v>
      </c>
      <c r="D364" s="30" t="s">
        <v>374</v>
      </c>
      <c r="E364" s="137" t="s">
        <v>361</v>
      </c>
      <c r="F364" s="30" t="s">
        <v>89</v>
      </c>
      <c r="G364" s="30">
        <v>74</v>
      </c>
      <c r="H364" s="30">
        <v>200</v>
      </c>
      <c r="I364" s="30">
        <v>21.58</v>
      </c>
      <c r="J364" s="30" t="s">
        <v>89</v>
      </c>
      <c r="K364" s="58">
        <v>0</v>
      </c>
      <c r="L364" s="58">
        <v>7.5040459626213601E+18</v>
      </c>
    </row>
    <row r="365" spans="3:12">
      <c r="C365" s="29" t="b">
        <v>0</v>
      </c>
      <c r="D365" s="30" t="s">
        <v>375</v>
      </c>
      <c r="E365" s="137" t="s">
        <v>361</v>
      </c>
      <c r="F365" s="30" t="s">
        <v>89</v>
      </c>
      <c r="G365" s="30">
        <v>69</v>
      </c>
      <c r="H365" s="30">
        <v>172</v>
      </c>
      <c r="I365" s="30">
        <v>33.36</v>
      </c>
      <c r="J365" s="30" t="s">
        <v>89</v>
      </c>
      <c r="K365" s="58">
        <v>0</v>
      </c>
      <c r="L365" s="58">
        <v>1.04629907619095E+19</v>
      </c>
    </row>
    <row r="366" spans="3:12">
      <c r="C366" s="29" t="b">
        <v>0</v>
      </c>
      <c r="D366" s="30" t="s">
        <v>376</v>
      </c>
      <c r="E366" s="137" t="s">
        <v>361</v>
      </c>
      <c r="F366" s="30" t="s">
        <v>89</v>
      </c>
      <c r="G366" s="30">
        <v>76</v>
      </c>
      <c r="H366" s="30">
        <v>220</v>
      </c>
      <c r="I366" s="30">
        <v>24.94</v>
      </c>
      <c r="J366" s="30" t="s">
        <v>89</v>
      </c>
      <c r="K366" s="58">
        <v>0</v>
      </c>
      <c r="L366" s="58">
        <v>4.34730453904979E+18</v>
      </c>
    </row>
    <row r="367" spans="3:12">
      <c r="C367" s="29" t="b">
        <v>0</v>
      </c>
      <c r="D367" s="30" t="s">
        <v>377</v>
      </c>
      <c r="E367" s="137" t="s">
        <v>361</v>
      </c>
      <c r="F367" s="30" t="s">
        <v>97</v>
      </c>
      <c r="G367" s="30">
        <v>75</v>
      </c>
      <c r="H367" s="30">
        <v>225</v>
      </c>
      <c r="I367" s="30">
        <v>20.9</v>
      </c>
      <c r="J367" s="30" t="s">
        <v>71</v>
      </c>
      <c r="K367" s="58">
        <v>0</v>
      </c>
      <c r="L367" s="58">
        <v>6.3475194337501798E+18</v>
      </c>
    </row>
    <row r="368" spans="3:12">
      <c r="C368" s="29" t="b">
        <v>0</v>
      </c>
      <c r="D368" s="30" t="s">
        <v>378</v>
      </c>
      <c r="E368" s="137" t="s">
        <v>361</v>
      </c>
      <c r="F368" s="30" t="s">
        <v>97</v>
      </c>
      <c r="G368" s="30">
        <v>75</v>
      </c>
      <c r="H368" s="30">
        <v>190</v>
      </c>
      <c r="I368" s="30">
        <v>21.52</v>
      </c>
      <c r="J368" s="30" t="s">
        <v>71</v>
      </c>
      <c r="K368" s="58">
        <v>0</v>
      </c>
      <c r="L368" s="58">
        <v>8.1443725927374605E+17</v>
      </c>
    </row>
    <row r="369" spans="3:12">
      <c r="C369" s="29" t="b">
        <v>0</v>
      </c>
      <c r="D369" s="30" t="s">
        <v>379</v>
      </c>
      <c r="E369" s="137" t="s">
        <v>361</v>
      </c>
      <c r="F369" s="30" t="s">
        <v>97</v>
      </c>
      <c r="G369" s="30">
        <v>76</v>
      </c>
      <c r="H369" s="30">
        <v>195</v>
      </c>
      <c r="I369" s="30">
        <v>25.85</v>
      </c>
      <c r="J369" s="30" t="s">
        <v>71</v>
      </c>
      <c r="K369" s="58">
        <v>0</v>
      </c>
      <c r="L369" s="58">
        <v>1.64360034272734E+19</v>
      </c>
    </row>
    <row r="370" spans="3:12">
      <c r="C370" s="29" t="b">
        <v>0</v>
      </c>
      <c r="D370" s="30" t="s">
        <v>380</v>
      </c>
      <c r="E370" s="137" t="s">
        <v>361</v>
      </c>
      <c r="F370" s="30" t="s">
        <v>97</v>
      </c>
      <c r="G370" s="30">
        <v>73</v>
      </c>
      <c r="H370" s="30">
        <v>219</v>
      </c>
      <c r="I370" s="30">
        <v>27.27</v>
      </c>
      <c r="J370" s="30" t="s">
        <v>71</v>
      </c>
      <c r="K370" s="58">
        <v>0</v>
      </c>
      <c r="L370" s="58">
        <v>7.3497598883797299E+18</v>
      </c>
    </row>
    <row r="371" spans="3:12">
      <c r="C371" s="29" t="b">
        <v>0</v>
      </c>
      <c r="D371" s="30" t="s">
        <v>381</v>
      </c>
      <c r="E371" s="137" t="s">
        <v>361</v>
      </c>
      <c r="F371" s="30" t="s">
        <v>97</v>
      </c>
      <c r="G371" s="30">
        <v>76</v>
      </c>
      <c r="H371" s="30">
        <v>190</v>
      </c>
      <c r="I371" s="30">
        <v>26.75</v>
      </c>
      <c r="J371" s="30" t="s">
        <v>71</v>
      </c>
      <c r="K371" s="58">
        <v>0</v>
      </c>
      <c r="L371" s="58">
        <v>7.6774775333047296E+18</v>
      </c>
    </row>
    <row r="372" spans="3:12">
      <c r="C372" s="29" t="b">
        <v>0</v>
      </c>
      <c r="D372" s="30" t="s">
        <v>382</v>
      </c>
      <c r="E372" s="137" t="s">
        <v>361</v>
      </c>
      <c r="F372" s="30" t="s">
        <v>97</v>
      </c>
      <c r="G372" s="30">
        <v>73</v>
      </c>
      <c r="H372" s="30">
        <v>197</v>
      </c>
      <c r="I372" s="30">
        <v>36.03</v>
      </c>
      <c r="J372" s="30" t="s">
        <v>71</v>
      </c>
      <c r="K372" s="58">
        <v>0</v>
      </c>
      <c r="L372" s="58">
        <v>2.1678283689360901E+18</v>
      </c>
    </row>
    <row r="373" spans="3:12">
      <c r="C373" s="29" t="b">
        <v>0</v>
      </c>
      <c r="D373" s="30" t="s">
        <v>383</v>
      </c>
      <c r="E373" s="137" t="s">
        <v>361</v>
      </c>
      <c r="F373" s="30" t="s">
        <v>97</v>
      </c>
      <c r="G373" s="30">
        <v>77</v>
      </c>
      <c r="H373" s="30">
        <v>200</v>
      </c>
      <c r="I373" s="30">
        <v>30.52</v>
      </c>
      <c r="J373" s="30" t="s">
        <v>71</v>
      </c>
      <c r="K373" s="58">
        <v>0</v>
      </c>
      <c r="L373" s="58">
        <v>1.3735739517886501E+19</v>
      </c>
    </row>
    <row r="374" spans="3:12">
      <c r="C374" s="29" t="b">
        <v>0</v>
      </c>
      <c r="D374" s="30" t="s">
        <v>384</v>
      </c>
      <c r="E374" s="137" t="s">
        <v>361</v>
      </c>
      <c r="F374" s="30" t="s">
        <v>97</v>
      </c>
      <c r="G374" s="30">
        <v>73</v>
      </c>
      <c r="H374" s="30">
        <v>195</v>
      </c>
      <c r="I374" s="30">
        <v>32.549999999999997</v>
      </c>
      <c r="J374" s="30" t="s">
        <v>71</v>
      </c>
      <c r="K374" s="58">
        <v>0</v>
      </c>
      <c r="L374" s="58">
        <v>3.8491838154971899E+18</v>
      </c>
    </row>
    <row r="375" spans="3:12">
      <c r="C375" s="29" t="b">
        <v>0</v>
      </c>
      <c r="D375" s="30" t="s">
        <v>385</v>
      </c>
      <c r="E375" s="137" t="s">
        <v>361</v>
      </c>
      <c r="F375" s="30" t="s">
        <v>68</v>
      </c>
      <c r="G375" s="30">
        <v>72</v>
      </c>
      <c r="H375" s="30">
        <v>210</v>
      </c>
      <c r="I375" s="30">
        <v>29.86</v>
      </c>
      <c r="J375" s="30" t="s">
        <v>71</v>
      </c>
      <c r="K375" s="58">
        <v>0</v>
      </c>
      <c r="L375" s="58">
        <v>1.0619761420361099E+19</v>
      </c>
    </row>
    <row r="376" spans="3:12">
      <c r="C376" s="29" t="b">
        <v>0</v>
      </c>
      <c r="D376" s="30" t="s">
        <v>386</v>
      </c>
      <c r="E376" s="137" t="s">
        <v>361</v>
      </c>
      <c r="F376" s="30" t="s">
        <v>68</v>
      </c>
      <c r="G376" s="30">
        <v>72</v>
      </c>
      <c r="H376" s="30">
        <v>177</v>
      </c>
      <c r="I376" s="30">
        <v>29.58</v>
      </c>
      <c r="J376" s="30" t="s">
        <v>71</v>
      </c>
      <c r="K376" s="58">
        <v>0</v>
      </c>
      <c r="L376" s="58">
        <v>7.0273932455264399E+18</v>
      </c>
    </row>
    <row r="377" spans="3:12">
      <c r="C377" s="29" t="b">
        <v>0</v>
      </c>
      <c r="D377" s="30" t="s">
        <v>387</v>
      </c>
      <c r="E377" s="137" t="s">
        <v>361</v>
      </c>
      <c r="F377" s="30" t="s">
        <v>68</v>
      </c>
      <c r="G377" s="30">
        <v>77</v>
      </c>
      <c r="H377" s="30">
        <v>220</v>
      </c>
      <c r="I377" s="30">
        <v>30.02</v>
      </c>
      <c r="J377" s="30" t="s">
        <v>71</v>
      </c>
      <c r="K377" s="58">
        <v>0</v>
      </c>
      <c r="L377" s="58">
        <v>2.22562794360577E+18</v>
      </c>
    </row>
    <row r="378" spans="3:12">
      <c r="C378" s="29" t="b">
        <v>0</v>
      </c>
      <c r="D378" s="30" t="s">
        <v>388</v>
      </c>
      <c r="E378" s="137" t="s">
        <v>361</v>
      </c>
      <c r="F378" s="30" t="s">
        <v>68</v>
      </c>
      <c r="G378" s="30">
        <v>77</v>
      </c>
      <c r="H378" s="30">
        <v>235</v>
      </c>
      <c r="I378" s="30">
        <v>29.16</v>
      </c>
      <c r="J378" s="30" t="s">
        <v>71</v>
      </c>
      <c r="K378" s="58">
        <v>0</v>
      </c>
      <c r="L378" s="58">
        <v>1.6706503009865999E+18</v>
      </c>
    </row>
    <row r="379" spans="3:12">
      <c r="C379" s="29" t="b">
        <v>0</v>
      </c>
      <c r="D379" s="30" t="s">
        <v>389</v>
      </c>
      <c r="E379" s="137" t="s">
        <v>361</v>
      </c>
      <c r="F379" s="30" t="s">
        <v>68</v>
      </c>
      <c r="G379" s="30">
        <v>71</v>
      </c>
      <c r="H379" s="30">
        <v>180</v>
      </c>
      <c r="I379" s="30">
        <v>22.3</v>
      </c>
      <c r="J379" s="30" t="s">
        <v>71</v>
      </c>
      <c r="K379" s="58">
        <v>0</v>
      </c>
      <c r="L379" s="58">
        <v>9.5576813494837391E+18</v>
      </c>
    </row>
    <row r="380" spans="3:12">
      <c r="C380" s="29" t="b">
        <v>0</v>
      </c>
      <c r="D380" s="30" t="s">
        <v>390</v>
      </c>
      <c r="E380" s="137" t="s">
        <v>361</v>
      </c>
      <c r="F380" s="30" t="s">
        <v>68</v>
      </c>
      <c r="G380" s="30">
        <v>74</v>
      </c>
      <c r="H380" s="30">
        <v>195</v>
      </c>
      <c r="I380" s="30">
        <v>22.06</v>
      </c>
      <c r="J380" s="30" t="s">
        <v>71</v>
      </c>
      <c r="K380" s="58">
        <v>0</v>
      </c>
      <c r="L380" s="58">
        <v>6.7558433878541804E+18</v>
      </c>
    </row>
    <row r="381" spans="3:12">
      <c r="C381" s="29" t="b">
        <v>0</v>
      </c>
      <c r="D381" s="30" t="s">
        <v>391</v>
      </c>
      <c r="E381" s="137" t="s">
        <v>361</v>
      </c>
      <c r="F381" s="30" t="s">
        <v>68</v>
      </c>
      <c r="G381" s="30">
        <v>74</v>
      </c>
      <c r="H381" s="30">
        <v>195</v>
      </c>
      <c r="I381" s="30">
        <v>25.65</v>
      </c>
      <c r="J381" s="30" t="s">
        <v>71</v>
      </c>
      <c r="K381" s="58">
        <v>0</v>
      </c>
      <c r="L381" s="58">
        <v>1.55297350395252E+19</v>
      </c>
    </row>
    <row r="382" spans="3:12">
      <c r="C382" s="29" t="b">
        <v>0</v>
      </c>
      <c r="D382" s="30" t="s">
        <v>392</v>
      </c>
      <c r="E382" s="137" t="s">
        <v>361</v>
      </c>
      <c r="F382" s="30" t="s">
        <v>68</v>
      </c>
      <c r="G382" s="30">
        <v>73</v>
      </c>
      <c r="H382" s="30">
        <v>190</v>
      </c>
      <c r="I382" s="30">
        <v>25.49</v>
      </c>
      <c r="J382" s="30" t="s">
        <v>71</v>
      </c>
      <c r="K382" s="58">
        <v>0</v>
      </c>
      <c r="L382" s="58">
        <v>1.7692132906471E+19</v>
      </c>
    </row>
    <row r="383" spans="3:12">
      <c r="C383" s="29" t="b">
        <v>0</v>
      </c>
      <c r="D383" s="30" t="s">
        <v>393</v>
      </c>
      <c r="E383" s="137" t="s">
        <v>361</v>
      </c>
      <c r="F383" s="30" t="s">
        <v>68</v>
      </c>
      <c r="G383" s="30">
        <v>78</v>
      </c>
      <c r="H383" s="30">
        <v>230</v>
      </c>
      <c r="I383" s="30">
        <v>27.86</v>
      </c>
      <c r="J383" s="30" t="s">
        <v>71</v>
      </c>
      <c r="K383" s="58">
        <v>0</v>
      </c>
      <c r="L383" s="58">
        <v>9.6758903101070705E+18</v>
      </c>
    </row>
    <row r="384" spans="3:12">
      <c r="C384" s="29" t="b">
        <v>0</v>
      </c>
      <c r="D384" s="30" t="s">
        <v>394</v>
      </c>
      <c r="E384" s="137" t="s">
        <v>361</v>
      </c>
      <c r="F384" s="30" t="s">
        <v>68</v>
      </c>
      <c r="G384" s="30">
        <v>75</v>
      </c>
      <c r="H384" s="30">
        <v>190</v>
      </c>
      <c r="I384" s="30">
        <v>23.73</v>
      </c>
      <c r="J384" s="30" t="s">
        <v>71</v>
      </c>
      <c r="K384" s="58">
        <v>0</v>
      </c>
      <c r="L384" s="58">
        <v>8.7607731779512699E+18</v>
      </c>
    </row>
    <row r="385" spans="3:12">
      <c r="C385" s="29" t="b">
        <v>0</v>
      </c>
      <c r="D385" s="30" t="s">
        <v>395</v>
      </c>
      <c r="E385" s="137" t="s">
        <v>396</v>
      </c>
      <c r="F385" s="30" t="s">
        <v>74</v>
      </c>
      <c r="G385" s="30">
        <v>73</v>
      </c>
      <c r="H385" s="30">
        <v>200</v>
      </c>
      <c r="I385" s="30">
        <v>31.78</v>
      </c>
      <c r="J385" s="30" t="s">
        <v>74</v>
      </c>
      <c r="K385" s="58">
        <v>0</v>
      </c>
      <c r="L385" s="58">
        <v>3.7931204960266798E+18</v>
      </c>
    </row>
    <row r="386" spans="3:12">
      <c r="C386" s="29" t="b">
        <v>0</v>
      </c>
      <c r="D386" s="30" t="s">
        <v>397</v>
      </c>
      <c r="E386" s="137" t="s">
        <v>396</v>
      </c>
      <c r="F386" s="30" t="s">
        <v>74</v>
      </c>
      <c r="G386" s="30">
        <v>70</v>
      </c>
      <c r="H386" s="30">
        <v>190</v>
      </c>
      <c r="I386" s="30">
        <v>23.06</v>
      </c>
      <c r="J386" s="30" t="s">
        <v>74</v>
      </c>
      <c r="K386" s="58">
        <v>0</v>
      </c>
      <c r="L386" s="58">
        <v>1.7394186718993799E+19</v>
      </c>
    </row>
    <row r="387" spans="3:12">
      <c r="C387" s="29" t="b">
        <v>0</v>
      </c>
      <c r="D387" s="30" t="s">
        <v>398</v>
      </c>
      <c r="E387" s="137" t="s">
        <v>396</v>
      </c>
      <c r="F387" s="30" t="s">
        <v>74</v>
      </c>
      <c r="G387" s="30">
        <v>74</v>
      </c>
      <c r="H387" s="30">
        <v>190</v>
      </c>
      <c r="I387" s="30">
        <v>26.6</v>
      </c>
      <c r="J387" s="30" t="s">
        <v>74</v>
      </c>
      <c r="K387" s="58">
        <v>0</v>
      </c>
      <c r="L387" s="58">
        <v>3.6037258757125601E+18</v>
      </c>
    </row>
    <row r="388" spans="3:12">
      <c r="C388" s="29" t="b">
        <v>0</v>
      </c>
      <c r="D388" s="30" t="s">
        <v>399</v>
      </c>
      <c r="E388" s="137" t="s">
        <v>396</v>
      </c>
      <c r="F388" s="30" t="s">
        <v>78</v>
      </c>
      <c r="G388" s="30">
        <v>72</v>
      </c>
      <c r="H388" s="30">
        <v>200</v>
      </c>
      <c r="I388" s="30">
        <v>29.39</v>
      </c>
      <c r="J388" s="30" t="s">
        <v>79</v>
      </c>
      <c r="K388" s="58">
        <v>0</v>
      </c>
      <c r="L388" s="58">
        <v>7.4489133530275297E+18</v>
      </c>
    </row>
    <row r="389" spans="3:12">
      <c r="C389" s="29" t="b">
        <v>0</v>
      </c>
      <c r="D389" s="30" t="s">
        <v>400</v>
      </c>
      <c r="E389" s="137" t="s">
        <v>396</v>
      </c>
      <c r="F389" s="30" t="s">
        <v>82</v>
      </c>
      <c r="G389" s="30">
        <v>73</v>
      </c>
      <c r="H389" s="30">
        <v>200</v>
      </c>
      <c r="I389" s="30">
        <v>26.51</v>
      </c>
      <c r="J389" s="30" t="s">
        <v>79</v>
      </c>
      <c r="K389" s="58">
        <v>0</v>
      </c>
      <c r="L389" s="58">
        <v>2.9832816451258399E+18</v>
      </c>
    </row>
    <row r="390" spans="3:12">
      <c r="C390" s="29" t="b">
        <v>0</v>
      </c>
      <c r="D390" s="30" t="s">
        <v>401</v>
      </c>
      <c r="E390" s="137" t="s">
        <v>396</v>
      </c>
      <c r="F390" s="30" t="s">
        <v>82</v>
      </c>
      <c r="G390" s="30">
        <v>73</v>
      </c>
      <c r="H390" s="30">
        <v>184</v>
      </c>
      <c r="I390" s="30">
        <v>25.08</v>
      </c>
      <c r="J390" s="30" t="s">
        <v>79</v>
      </c>
      <c r="K390" s="58">
        <v>0</v>
      </c>
      <c r="L390" s="58">
        <v>6.0677278021978604E+18</v>
      </c>
    </row>
    <row r="391" spans="3:12">
      <c r="C391" s="29" t="b">
        <v>0</v>
      </c>
      <c r="D391" s="30" t="s">
        <v>402</v>
      </c>
      <c r="E391" s="137" t="s">
        <v>396</v>
      </c>
      <c r="F391" s="30" t="s">
        <v>84</v>
      </c>
      <c r="G391" s="30">
        <v>75</v>
      </c>
      <c r="H391" s="30">
        <v>200</v>
      </c>
      <c r="I391" s="30">
        <v>25.76</v>
      </c>
      <c r="J391" s="30" t="s">
        <v>79</v>
      </c>
      <c r="K391" s="58">
        <v>0</v>
      </c>
      <c r="L391" s="58">
        <v>1.49234356408478E+19</v>
      </c>
    </row>
    <row r="392" spans="3:12">
      <c r="C392" s="29" t="b">
        <v>0</v>
      </c>
      <c r="D392" s="30" t="s">
        <v>403</v>
      </c>
      <c r="E392" s="137" t="s">
        <v>396</v>
      </c>
      <c r="F392" s="30" t="s">
        <v>86</v>
      </c>
      <c r="G392" s="30">
        <v>75</v>
      </c>
      <c r="H392" s="30">
        <v>180</v>
      </c>
      <c r="I392" s="30">
        <v>22.52</v>
      </c>
      <c r="J392" s="30" t="s">
        <v>79</v>
      </c>
      <c r="K392" s="58">
        <v>0</v>
      </c>
      <c r="L392" s="58">
        <v>1.3463518967391601E+19</v>
      </c>
    </row>
    <row r="393" spans="3:12">
      <c r="C393" s="29" t="b">
        <v>0</v>
      </c>
      <c r="D393" s="30" t="s">
        <v>404</v>
      </c>
      <c r="E393" s="137" t="s">
        <v>396</v>
      </c>
      <c r="F393" s="30" t="s">
        <v>89</v>
      </c>
      <c r="G393" s="30">
        <v>74</v>
      </c>
      <c r="H393" s="30">
        <v>219</v>
      </c>
      <c r="I393" s="30">
        <v>25.57</v>
      </c>
      <c r="J393" s="30" t="s">
        <v>89</v>
      </c>
      <c r="K393" s="58">
        <v>0</v>
      </c>
      <c r="L393" s="58">
        <v>4.0592403230532101E+18</v>
      </c>
    </row>
    <row r="394" spans="3:12">
      <c r="C394" s="29" t="b">
        <v>0</v>
      </c>
      <c r="D394" s="30" t="s">
        <v>405</v>
      </c>
      <c r="E394" s="137" t="s">
        <v>396</v>
      </c>
      <c r="F394" s="30" t="s">
        <v>89</v>
      </c>
      <c r="G394" s="30">
        <v>76</v>
      </c>
      <c r="H394" s="30">
        <v>187</v>
      </c>
      <c r="I394" s="30">
        <v>25.43</v>
      </c>
      <c r="J394" s="30" t="s">
        <v>89</v>
      </c>
      <c r="K394" s="58">
        <v>0</v>
      </c>
      <c r="L394" s="58">
        <v>1.7555453425177399E+19</v>
      </c>
    </row>
    <row r="395" spans="3:12">
      <c r="C395" s="29" t="b">
        <v>0</v>
      </c>
      <c r="D395" s="30" t="s">
        <v>406</v>
      </c>
      <c r="E395" s="137" t="s">
        <v>396</v>
      </c>
      <c r="F395" s="30" t="s">
        <v>89</v>
      </c>
      <c r="G395" s="30">
        <v>73</v>
      </c>
      <c r="H395" s="30">
        <v>200</v>
      </c>
      <c r="I395" s="30">
        <v>34.65</v>
      </c>
      <c r="J395" s="30" t="s">
        <v>89</v>
      </c>
      <c r="K395" s="58">
        <v>0</v>
      </c>
      <c r="L395" s="58">
        <v>1.1543445382034301E+19</v>
      </c>
    </row>
    <row r="396" spans="3:12">
      <c r="C396" s="29" t="b">
        <v>0</v>
      </c>
      <c r="D396" s="30" t="s">
        <v>407</v>
      </c>
      <c r="E396" s="137" t="s">
        <v>396</v>
      </c>
      <c r="F396" s="30" t="s">
        <v>89</v>
      </c>
      <c r="G396" s="30">
        <v>74</v>
      </c>
      <c r="H396" s="30">
        <v>220</v>
      </c>
      <c r="I396" s="30">
        <v>22.68</v>
      </c>
      <c r="J396" s="30" t="s">
        <v>89</v>
      </c>
      <c r="K396" s="58">
        <v>0</v>
      </c>
      <c r="L396" s="58">
        <v>9.4124214864292004E+18</v>
      </c>
    </row>
    <row r="397" spans="3:12">
      <c r="C397" s="29" t="b">
        <v>0</v>
      </c>
      <c r="D397" s="30" t="s">
        <v>408</v>
      </c>
      <c r="E397" s="137" t="s">
        <v>396</v>
      </c>
      <c r="F397" s="30" t="s">
        <v>89</v>
      </c>
      <c r="G397" s="30">
        <v>75</v>
      </c>
      <c r="H397" s="30">
        <v>205</v>
      </c>
      <c r="I397" s="30">
        <v>21.46</v>
      </c>
      <c r="J397" s="30" t="s">
        <v>89</v>
      </c>
      <c r="K397" s="58">
        <v>0</v>
      </c>
      <c r="L397" s="58">
        <v>1.6483932836817E+19</v>
      </c>
    </row>
    <row r="398" spans="3:12">
      <c r="C398" s="29" t="b">
        <v>0</v>
      </c>
      <c r="D398" s="30" t="s">
        <v>409</v>
      </c>
      <c r="E398" s="137" t="s">
        <v>396</v>
      </c>
      <c r="F398" s="30" t="s">
        <v>97</v>
      </c>
      <c r="G398" s="30">
        <v>75</v>
      </c>
      <c r="H398" s="30">
        <v>190</v>
      </c>
      <c r="I398" s="30">
        <v>23.47</v>
      </c>
      <c r="J398" s="30" t="s">
        <v>71</v>
      </c>
      <c r="K398" s="58">
        <v>0</v>
      </c>
      <c r="L398" s="58">
        <v>1.3337036252554101E+19</v>
      </c>
    </row>
    <row r="399" spans="3:12">
      <c r="C399" s="29" t="b">
        <v>0</v>
      </c>
      <c r="D399" s="30" t="s">
        <v>410</v>
      </c>
      <c r="E399" s="137" t="s">
        <v>396</v>
      </c>
      <c r="F399" s="30" t="s">
        <v>97</v>
      </c>
      <c r="G399" s="30">
        <v>72</v>
      </c>
      <c r="H399" s="30">
        <v>170</v>
      </c>
      <c r="I399" s="30">
        <v>23.1</v>
      </c>
      <c r="J399" s="30" t="s">
        <v>71</v>
      </c>
      <c r="K399" s="58">
        <v>0</v>
      </c>
      <c r="L399" s="58">
        <v>2.8039207972792699E+18</v>
      </c>
    </row>
    <row r="400" spans="3:12">
      <c r="C400" s="29" t="b">
        <v>0</v>
      </c>
      <c r="D400" s="30" t="s">
        <v>411</v>
      </c>
      <c r="E400" s="137" t="s">
        <v>396</v>
      </c>
      <c r="F400" s="30" t="s">
        <v>97</v>
      </c>
      <c r="G400" s="30">
        <v>73</v>
      </c>
      <c r="H400" s="30">
        <v>160</v>
      </c>
      <c r="I400" s="30">
        <v>29.14</v>
      </c>
      <c r="J400" s="30" t="s">
        <v>71</v>
      </c>
      <c r="K400" s="58">
        <v>0</v>
      </c>
      <c r="L400" s="58">
        <v>7.5065611346880102E+18</v>
      </c>
    </row>
    <row r="401" spans="3:12">
      <c r="C401" s="29" t="b">
        <v>0</v>
      </c>
      <c r="D401" s="30" t="s">
        <v>412</v>
      </c>
      <c r="E401" s="137" t="s">
        <v>396</v>
      </c>
      <c r="F401" s="30" t="s">
        <v>97</v>
      </c>
      <c r="G401" s="30">
        <v>73</v>
      </c>
      <c r="H401" s="30">
        <v>215</v>
      </c>
      <c r="I401" s="30">
        <v>29.77</v>
      </c>
      <c r="J401" s="30" t="s">
        <v>71</v>
      </c>
      <c r="K401" s="58">
        <v>0</v>
      </c>
      <c r="L401" s="58">
        <v>8.1986939522687703E+18</v>
      </c>
    </row>
    <row r="402" spans="3:12">
      <c r="C402" s="29" t="b">
        <v>0</v>
      </c>
      <c r="D402" s="30" t="s">
        <v>413</v>
      </c>
      <c r="E402" s="137" t="s">
        <v>396</v>
      </c>
      <c r="F402" s="30" t="s">
        <v>97</v>
      </c>
      <c r="G402" s="30">
        <v>72</v>
      </c>
      <c r="H402" s="30">
        <v>175</v>
      </c>
      <c r="I402" s="30">
        <v>23.85</v>
      </c>
      <c r="J402" s="30" t="s">
        <v>71</v>
      </c>
      <c r="K402" s="58">
        <v>0</v>
      </c>
      <c r="L402" s="58">
        <v>9.1079408779615898E+17</v>
      </c>
    </row>
    <row r="403" spans="3:12">
      <c r="C403" s="29" t="b">
        <v>0</v>
      </c>
      <c r="D403" s="30" t="s">
        <v>414</v>
      </c>
      <c r="E403" s="137" t="s">
        <v>396</v>
      </c>
      <c r="F403" s="30" t="s">
        <v>97</v>
      </c>
      <c r="G403" s="30">
        <v>74</v>
      </c>
      <c r="H403" s="30">
        <v>205</v>
      </c>
      <c r="I403" s="30">
        <v>28.88</v>
      </c>
      <c r="J403" s="30" t="s">
        <v>71</v>
      </c>
      <c r="K403" s="58">
        <v>0</v>
      </c>
      <c r="L403" s="58">
        <v>4.1692989745617802E+18</v>
      </c>
    </row>
    <row r="404" spans="3:12">
      <c r="C404" s="29" t="b">
        <v>0</v>
      </c>
      <c r="D404" s="30" t="s">
        <v>415</v>
      </c>
      <c r="E404" s="137" t="s">
        <v>396</v>
      </c>
      <c r="F404" s="30" t="s">
        <v>97</v>
      </c>
      <c r="G404" s="30">
        <v>78</v>
      </c>
      <c r="H404" s="30">
        <v>200</v>
      </c>
      <c r="I404" s="30">
        <v>24.49</v>
      </c>
      <c r="J404" s="30" t="s">
        <v>71</v>
      </c>
      <c r="K404" s="58">
        <v>0</v>
      </c>
      <c r="L404" s="58">
        <v>1.6902813889503701E+19</v>
      </c>
    </row>
    <row r="405" spans="3:12">
      <c r="C405" s="29" t="b">
        <v>0</v>
      </c>
      <c r="D405" s="30" t="s">
        <v>416</v>
      </c>
      <c r="E405" s="137" t="s">
        <v>396</v>
      </c>
      <c r="F405" s="30" t="s">
        <v>97</v>
      </c>
      <c r="G405" s="30">
        <v>76</v>
      </c>
      <c r="H405" s="30">
        <v>214</v>
      </c>
      <c r="I405" s="30">
        <v>25.19</v>
      </c>
      <c r="J405" s="30" t="s">
        <v>71</v>
      </c>
      <c r="K405" s="58">
        <v>0</v>
      </c>
      <c r="L405" s="58">
        <v>1.7167725848754801E+19</v>
      </c>
    </row>
    <row r="406" spans="3:12">
      <c r="C406" s="29" t="b">
        <v>0</v>
      </c>
      <c r="D406" s="30" t="s">
        <v>417</v>
      </c>
      <c r="E406" s="137" t="s">
        <v>396</v>
      </c>
      <c r="F406" s="30" t="s">
        <v>97</v>
      </c>
      <c r="G406" s="30">
        <v>73</v>
      </c>
      <c r="H406" s="30">
        <v>200</v>
      </c>
      <c r="I406" s="30">
        <v>27.48</v>
      </c>
      <c r="J406" s="30" t="s">
        <v>71</v>
      </c>
      <c r="K406" s="58">
        <v>0</v>
      </c>
      <c r="L406" s="58">
        <v>1.4984356635586601E+19</v>
      </c>
    </row>
    <row r="407" spans="3:12">
      <c r="C407" s="29" t="b">
        <v>0</v>
      </c>
      <c r="D407" s="30" t="s">
        <v>418</v>
      </c>
      <c r="E407" s="137" t="s">
        <v>396</v>
      </c>
      <c r="F407" s="30" t="s">
        <v>68</v>
      </c>
      <c r="G407" s="30">
        <v>74</v>
      </c>
      <c r="H407" s="30">
        <v>190</v>
      </c>
      <c r="I407" s="30">
        <v>28.31</v>
      </c>
      <c r="J407" s="30" t="s">
        <v>71</v>
      </c>
      <c r="K407" s="58">
        <v>0</v>
      </c>
      <c r="L407" s="58">
        <v>1.12355528016752E+18</v>
      </c>
    </row>
    <row r="408" spans="3:12">
      <c r="C408" s="29" t="b">
        <v>0</v>
      </c>
      <c r="D408" s="30" t="s">
        <v>419</v>
      </c>
      <c r="E408" s="137" t="s">
        <v>396</v>
      </c>
      <c r="F408" s="30" t="s">
        <v>68</v>
      </c>
      <c r="G408" s="30">
        <v>75</v>
      </c>
      <c r="H408" s="30">
        <v>180</v>
      </c>
      <c r="I408" s="30">
        <v>26.54</v>
      </c>
      <c r="J408" s="30" t="s">
        <v>71</v>
      </c>
      <c r="K408" s="58">
        <v>0</v>
      </c>
      <c r="L408" s="58">
        <v>1.7757720055792099E+19</v>
      </c>
    </row>
    <row r="409" spans="3:12">
      <c r="C409" s="29" t="b">
        <v>0</v>
      </c>
      <c r="D409" s="30" t="s">
        <v>420</v>
      </c>
      <c r="E409" s="137" t="s">
        <v>396</v>
      </c>
      <c r="F409" s="30" t="s">
        <v>68</v>
      </c>
      <c r="G409" s="30">
        <v>70</v>
      </c>
      <c r="H409" s="30">
        <v>205</v>
      </c>
      <c r="I409" s="30">
        <v>26.77</v>
      </c>
      <c r="J409" s="30" t="s">
        <v>71</v>
      </c>
      <c r="K409" s="58">
        <v>0</v>
      </c>
      <c r="L409" s="58">
        <v>1.2744861083279999E+19</v>
      </c>
    </row>
    <row r="410" spans="3:12">
      <c r="C410" s="29" t="b">
        <v>0</v>
      </c>
      <c r="D410" s="30" t="s">
        <v>421</v>
      </c>
      <c r="E410" s="137" t="s">
        <v>396</v>
      </c>
      <c r="F410" s="30" t="s">
        <v>68</v>
      </c>
      <c r="G410" s="30">
        <v>75</v>
      </c>
      <c r="H410" s="30">
        <v>220</v>
      </c>
      <c r="I410" s="30">
        <v>23.75</v>
      </c>
      <c r="J410" s="30" t="s">
        <v>71</v>
      </c>
      <c r="K410" s="58">
        <v>0</v>
      </c>
      <c r="L410" s="58">
        <v>3.6928412875157601E+18</v>
      </c>
    </row>
    <row r="411" spans="3:12">
      <c r="C411" s="29" t="b">
        <v>0</v>
      </c>
      <c r="D411" s="30" t="s">
        <v>422</v>
      </c>
      <c r="E411" s="137" t="s">
        <v>396</v>
      </c>
      <c r="F411" s="30" t="s">
        <v>68</v>
      </c>
      <c r="G411" s="30">
        <v>71</v>
      </c>
      <c r="H411" s="30">
        <v>190</v>
      </c>
      <c r="I411" s="30">
        <v>26.41</v>
      </c>
      <c r="J411" s="30" t="s">
        <v>71</v>
      </c>
      <c r="K411" s="58">
        <v>0</v>
      </c>
      <c r="L411" s="58">
        <v>1.3655686822513101E+19</v>
      </c>
    </row>
    <row r="412" spans="3:12">
      <c r="C412" s="29" t="b">
        <v>0</v>
      </c>
      <c r="D412" s="30" t="s">
        <v>423</v>
      </c>
      <c r="E412" s="137" t="s">
        <v>396</v>
      </c>
      <c r="F412" s="30" t="s">
        <v>68</v>
      </c>
      <c r="G412" s="30">
        <v>72</v>
      </c>
      <c r="H412" s="30">
        <v>215</v>
      </c>
      <c r="I412" s="30">
        <v>36.47</v>
      </c>
      <c r="J412" s="30" t="s">
        <v>71</v>
      </c>
      <c r="K412" s="58">
        <v>0</v>
      </c>
      <c r="L412" s="58">
        <v>2.71829309688915E+18</v>
      </c>
    </row>
    <row r="413" spans="3:12">
      <c r="C413" s="29" t="b">
        <v>0</v>
      </c>
      <c r="D413" s="30" t="s">
        <v>424</v>
      </c>
      <c r="E413" s="137" t="s">
        <v>396</v>
      </c>
      <c r="F413" s="30" t="s">
        <v>68</v>
      </c>
      <c r="G413" s="30">
        <v>78</v>
      </c>
      <c r="H413" s="30">
        <v>235</v>
      </c>
      <c r="I413" s="30">
        <v>26.06</v>
      </c>
      <c r="J413" s="30" t="s">
        <v>71</v>
      </c>
      <c r="K413" s="58">
        <v>0</v>
      </c>
      <c r="L413" s="58">
        <v>4.52307583756685E+18</v>
      </c>
    </row>
    <row r="414" spans="3:12">
      <c r="C414" s="29" t="b">
        <v>0</v>
      </c>
      <c r="D414" s="30" t="s">
        <v>425</v>
      </c>
      <c r="E414" s="137" t="s">
        <v>396</v>
      </c>
      <c r="F414" s="30" t="s">
        <v>68</v>
      </c>
      <c r="G414" s="30">
        <v>75</v>
      </c>
      <c r="H414" s="30">
        <v>191</v>
      </c>
      <c r="I414" s="30">
        <v>27.55</v>
      </c>
      <c r="J414" s="30" t="s">
        <v>71</v>
      </c>
      <c r="K414" s="58">
        <v>0</v>
      </c>
      <c r="L414" s="58">
        <v>8.7721097938263695E+18</v>
      </c>
    </row>
    <row r="415" spans="3:12">
      <c r="C415" s="29" t="b">
        <v>0</v>
      </c>
      <c r="D415" s="30" t="s">
        <v>426</v>
      </c>
      <c r="E415" s="137" t="s">
        <v>396</v>
      </c>
      <c r="F415" s="30" t="s">
        <v>68</v>
      </c>
      <c r="G415" s="30">
        <v>73</v>
      </c>
      <c r="H415" s="30">
        <v>200</v>
      </c>
      <c r="I415" s="30">
        <v>31.28</v>
      </c>
      <c r="J415" s="30" t="s">
        <v>71</v>
      </c>
      <c r="K415" s="58">
        <v>0</v>
      </c>
      <c r="L415" s="58">
        <v>9.5744757886668493E+18</v>
      </c>
    </row>
    <row r="416" spans="3:12">
      <c r="C416" s="29" t="b">
        <v>0</v>
      </c>
      <c r="D416" s="30" t="s">
        <v>427</v>
      </c>
      <c r="E416" s="137" t="s">
        <v>396</v>
      </c>
      <c r="F416" s="30" t="s">
        <v>68</v>
      </c>
      <c r="G416" s="30">
        <v>73</v>
      </c>
      <c r="H416" s="30">
        <v>181</v>
      </c>
      <c r="I416" s="30">
        <v>29.04</v>
      </c>
      <c r="J416" s="30" t="s">
        <v>71</v>
      </c>
      <c r="K416" s="58">
        <v>0</v>
      </c>
      <c r="L416" s="58">
        <v>1.8160437001812099E+19</v>
      </c>
    </row>
    <row r="417" spans="3:12">
      <c r="C417" s="29" t="b">
        <v>0</v>
      </c>
      <c r="D417" s="30" t="s">
        <v>428</v>
      </c>
      <c r="E417" s="137" t="s">
        <v>429</v>
      </c>
      <c r="F417" s="30" t="s">
        <v>74</v>
      </c>
      <c r="G417" s="30">
        <v>71</v>
      </c>
      <c r="H417" s="30">
        <v>200</v>
      </c>
      <c r="I417" s="30">
        <v>32.950000000000003</v>
      </c>
      <c r="J417" s="30" t="s">
        <v>74</v>
      </c>
      <c r="K417" s="58">
        <v>0</v>
      </c>
      <c r="L417" s="58">
        <v>1.35600299701038E+19</v>
      </c>
    </row>
    <row r="418" spans="3:12">
      <c r="C418" s="29" t="b">
        <v>0</v>
      </c>
      <c r="D418" s="30" t="s">
        <v>430</v>
      </c>
      <c r="E418" s="137" t="s">
        <v>429</v>
      </c>
      <c r="F418" s="30" t="s">
        <v>74</v>
      </c>
      <c r="G418" s="30">
        <v>75</v>
      </c>
      <c r="H418" s="30">
        <v>210</v>
      </c>
      <c r="I418" s="30">
        <v>26.65</v>
      </c>
      <c r="J418" s="30" t="s">
        <v>74</v>
      </c>
      <c r="K418" s="58">
        <v>0</v>
      </c>
      <c r="L418" s="58">
        <v>1.6953064337795101E+19</v>
      </c>
    </row>
    <row r="419" spans="3:12">
      <c r="C419" s="29" t="b">
        <v>0</v>
      </c>
      <c r="D419" s="30" t="s">
        <v>431</v>
      </c>
      <c r="E419" s="137" t="s">
        <v>429</v>
      </c>
      <c r="F419" s="30" t="s">
        <v>78</v>
      </c>
      <c r="G419" s="30">
        <v>77</v>
      </c>
      <c r="H419" s="30">
        <v>240</v>
      </c>
      <c r="I419" s="30">
        <v>27.5</v>
      </c>
      <c r="J419" s="30" t="s">
        <v>79</v>
      </c>
      <c r="K419" s="58">
        <v>0</v>
      </c>
      <c r="L419" s="58">
        <v>7.1697824697549804E+18</v>
      </c>
    </row>
    <row r="420" spans="3:12">
      <c r="C420" s="29" t="b">
        <v>0</v>
      </c>
      <c r="D420" s="30" t="s">
        <v>432</v>
      </c>
      <c r="E420" s="137" t="s">
        <v>429</v>
      </c>
      <c r="F420" s="30" t="s">
        <v>78</v>
      </c>
      <c r="G420" s="30">
        <v>72</v>
      </c>
      <c r="H420" s="30">
        <v>185</v>
      </c>
      <c r="I420" s="30">
        <v>30.9</v>
      </c>
      <c r="J420" s="30" t="s">
        <v>79</v>
      </c>
      <c r="K420" s="58">
        <v>0</v>
      </c>
      <c r="L420" s="58">
        <v>1.77235604899712E+19</v>
      </c>
    </row>
    <row r="421" spans="3:12">
      <c r="C421" s="29" t="b">
        <v>0</v>
      </c>
      <c r="D421" s="30" t="s">
        <v>433</v>
      </c>
      <c r="E421" s="137" t="s">
        <v>429</v>
      </c>
      <c r="F421" s="30" t="s">
        <v>82</v>
      </c>
      <c r="G421" s="30">
        <v>69</v>
      </c>
      <c r="H421" s="30">
        <v>165</v>
      </c>
      <c r="I421" s="30">
        <v>29.09</v>
      </c>
      <c r="J421" s="30" t="s">
        <v>79</v>
      </c>
      <c r="K421" s="58">
        <v>0</v>
      </c>
      <c r="L421" s="58">
        <v>7.9386674628416399E+18</v>
      </c>
    </row>
    <row r="422" spans="3:12">
      <c r="C422" s="29" t="b">
        <v>0</v>
      </c>
      <c r="D422" s="30" t="s">
        <v>434</v>
      </c>
      <c r="E422" s="137" t="s">
        <v>429</v>
      </c>
      <c r="F422" s="30" t="s">
        <v>82</v>
      </c>
      <c r="G422" s="30">
        <v>73</v>
      </c>
      <c r="H422" s="30">
        <v>190</v>
      </c>
      <c r="I422" s="30">
        <v>36.67</v>
      </c>
      <c r="J422" s="30" t="s">
        <v>79</v>
      </c>
      <c r="K422" s="58">
        <v>0</v>
      </c>
      <c r="L422" s="58">
        <v>1.60984538645626E+19</v>
      </c>
    </row>
    <row r="423" spans="3:12">
      <c r="C423" s="29" t="b">
        <v>0</v>
      </c>
      <c r="D423" s="30" t="s">
        <v>435</v>
      </c>
      <c r="E423" s="137" t="s">
        <v>429</v>
      </c>
      <c r="F423" s="30" t="s">
        <v>82</v>
      </c>
      <c r="G423" s="30">
        <v>74</v>
      </c>
      <c r="H423" s="30">
        <v>185</v>
      </c>
      <c r="I423" s="30">
        <v>23.44</v>
      </c>
      <c r="J423" s="30" t="s">
        <v>79</v>
      </c>
      <c r="K423" s="58">
        <v>0</v>
      </c>
      <c r="L423" s="58">
        <v>9.5562008756939305E+18</v>
      </c>
    </row>
    <row r="424" spans="3:12">
      <c r="C424" s="29" t="b">
        <v>0</v>
      </c>
      <c r="D424" s="30" t="s">
        <v>436</v>
      </c>
      <c r="E424" s="137" t="s">
        <v>429</v>
      </c>
      <c r="F424" s="30" t="s">
        <v>84</v>
      </c>
      <c r="G424" s="30">
        <v>72</v>
      </c>
      <c r="H424" s="30">
        <v>175</v>
      </c>
      <c r="I424" s="30">
        <v>29.09</v>
      </c>
      <c r="J424" s="30" t="s">
        <v>79</v>
      </c>
      <c r="K424" s="58">
        <v>0</v>
      </c>
      <c r="L424" s="58">
        <v>1.8333823950996601E+19</v>
      </c>
    </row>
    <row r="425" spans="3:12">
      <c r="C425" s="29" t="b">
        <v>0</v>
      </c>
      <c r="D425" s="30" t="s">
        <v>437</v>
      </c>
      <c r="E425" s="137" t="s">
        <v>429</v>
      </c>
      <c r="F425" s="30" t="s">
        <v>84</v>
      </c>
      <c r="G425" s="30">
        <v>70</v>
      </c>
      <c r="H425" s="30">
        <v>155</v>
      </c>
      <c r="I425" s="30">
        <v>22.89</v>
      </c>
      <c r="J425" s="30" t="s">
        <v>79</v>
      </c>
      <c r="K425" s="58">
        <v>0</v>
      </c>
      <c r="L425" s="58">
        <v>7.1756900482412698E+18</v>
      </c>
    </row>
    <row r="426" spans="3:12">
      <c r="C426" s="29" t="b">
        <v>0</v>
      </c>
      <c r="D426" s="30" t="s">
        <v>438</v>
      </c>
      <c r="E426" s="137" t="s">
        <v>429</v>
      </c>
      <c r="F426" s="30" t="s">
        <v>86</v>
      </c>
      <c r="G426" s="30">
        <v>75</v>
      </c>
      <c r="H426" s="30">
        <v>210</v>
      </c>
      <c r="I426" s="30">
        <v>25.48</v>
      </c>
      <c r="J426" s="30" t="s">
        <v>79</v>
      </c>
      <c r="K426" s="58">
        <v>0</v>
      </c>
      <c r="L426" s="58">
        <v>8.4194560961040497E+18</v>
      </c>
    </row>
    <row r="427" spans="3:12">
      <c r="C427" s="29" t="b">
        <v>0</v>
      </c>
      <c r="D427" s="30" t="s">
        <v>439</v>
      </c>
      <c r="E427" s="137" t="s">
        <v>429</v>
      </c>
      <c r="F427" s="30" t="s">
        <v>89</v>
      </c>
      <c r="G427" s="30">
        <v>70</v>
      </c>
      <c r="H427" s="30">
        <v>170</v>
      </c>
      <c r="I427" s="30">
        <v>25.84</v>
      </c>
      <c r="J427" s="30" t="s">
        <v>89</v>
      </c>
      <c r="K427" s="58">
        <v>0</v>
      </c>
      <c r="L427" s="58">
        <v>1.2002790034292799E+19</v>
      </c>
    </row>
    <row r="428" spans="3:12">
      <c r="C428" s="29" t="b">
        <v>0</v>
      </c>
      <c r="D428" s="30" t="s">
        <v>440</v>
      </c>
      <c r="E428" s="137" t="s">
        <v>429</v>
      </c>
      <c r="F428" s="30" t="s">
        <v>89</v>
      </c>
      <c r="G428" s="30">
        <v>72</v>
      </c>
      <c r="H428" s="30">
        <v>175</v>
      </c>
      <c r="I428" s="30">
        <v>27.2</v>
      </c>
      <c r="J428" s="30" t="s">
        <v>89</v>
      </c>
      <c r="K428" s="58">
        <v>0</v>
      </c>
      <c r="L428" s="58">
        <v>9.8592054738159206E+18</v>
      </c>
    </row>
    <row r="429" spans="3:12">
      <c r="C429" s="29" t="b">
        <v>0</v>
      </c>
      <c r="D429" s="30" t="s">
        <v>441</v>
      </c>
      <c r="E429" s="137" t="s">
        <v>429</v>
      </c>
      <c r="F429" s="30" t="s">
        <v>89</v>
      </c>
      <c r="G429" s="30">
        <v>72</v>
      </c>
      <c r="H429" s="30">
        <v>220</v>
      </c>
      <c r="I429" s="30">
        <v>25.22</v>
      </c>
      <c r="J429" s="30" t="s">
        <v>89</v>
      </c>
      <c r="K429" s="58">
        <v>0</v>
      </c>
      <c r="L429" s="58">
        <v>1.12668097209252E+19</v>
      </c>
    </row>
    <row r="430" spans="3:12">
      <c r="C430" s="29" t="b">
        <v>0</v>
      </c>
      <c r="D430" s="30" t="s">
        <v>442</v>
      </c>
      <c r="E430" s="137" t="s">
        <v>429</v>
      </c>
      <c r="F430" s="30" t="s">
        <v>89</v>
      </c>
      <c r="G430" s="30">
        <v>74</v>
      </c>
      <c r="H430" s="30">
        <v>210</v>
      </c>
      <c r="I430" s="30">
        <v>24.67</v>
      </c>
      <c r="J430" s="30" t="s">
        <v>89</v>
      </c>
      <c r="K430" s="58">
        <v>0</v>
      </c>
      <c r="L430" s="58">
        <v>8.6518717797216297E+18</v>
      </c>
    </row>
    <row r="431" spans="3:12">
      <c r="C431" s="29" t="b">
        <v>0</v>
      </c>
      <c r="D431" s="30" t="s">
        <v>443</v>
      </c>
      <c r="E431" s="137" t="s">
        <v>429</v>
      </c>
      <c r="F431" s="30" t="s">
        <v>89</v>
      </c>
      <c r="G431" s="30">
        <v>73</v>
      </c>
      <c r="H431" s="30">
        <v>205</v>
      </c>
      <c r="I431" s="30">
        <v>39.25</v>
      </c>
      <c r="J431" s="30" t="s">
        <v>89</v>
      </c>
      <c r="K431" s="58">
        <v>0</v>
      </c>
      <c r="L431" s="58">
        <v>1.3969143467148501E+19</v>
      </c>
    </row>
    <row r="432" spans="3:12">
      <c r="C432" s="29" t="b">
        <v>0</v>
      </c>
      <c r="D432" s="30" t="s">
        <v>444</v>
      </c>
      <c r="E432" s="137" t="s">
        <v>429</v>
      </c>
      <c r="F432" s="30" t="s">
        <v>89</v>
      </c>
      <c r="G432" s="30">
        <v>74</v>
      </c>
      <c r="H432" s="30">
        <v>200</v>
      </c>
      <c r="I432" s="30">
        <v>32.17</v>
      </c>
      <c r="J432" s="30" t="s">
        <v>89</v>
      </c>
      <c r="K432" s="58">
        <v>0</v>
      </c>
      <c r="L432" s="58">
        <v>1.43572994165603E+19</v>
      </c>
    </row>
    <row r="433" spans="3:12">
      <c r="C433" s="29" t="b">
        <v>0</v>
      </c>
      <c r="D433" s="30" t="s">
        <v>445</v>
      </c>
      <c r="E433" s="137" t="s">
        <v>429</v>
      </c>
      <c r="F433" s="30" t="s">
        <v>97</v>
      </c>
      <c r="G433" s="30">
        <v>76</v>
      </c>
      <c r="H433" s="30">
        <v>205</v>
      </c>
      <c r="I433" s="30">
        <v>32.770000000000003</v>
      </c>
      <c r="J433" s="30" t="s">
        <v>71</v>
      </c>
      <c r="K433" s="58">
        <v>0</v>
      </c>
      <c r="L433" s="58">
        <v>1.0301029408818399E+19</v>
      </c>
    </row>
    <row r="434" spans="3:12">
      <c r="C434" s="29" t="b">
        <v>0</v>
      </c>
      <c r="D434" s="30" t="s">
        <v>446</v>
      </c>
      <c r="E434" s="137" t="s">
        <v>429</v>
      </c>
      <c r="F434" s="30" t="s">
        <v>97</v>
      </c>
      <c r="G434" s="30">
        <v>75</v>
      </c>
      <c r="H434" s="30">
        <v>195</v>
      </c>
      <c r="I434" s="30">
        <v>29.83</v>
      </c>
      <c r="J434" s="30" t="s">
        <v>71</v>
      </c>
      <c r="K434" s="58">
        <v>0</v>
      </c>
      <c r="L434" s="58">
        <v>8.14763513235678E+18</v>
      </c>
    </row>
    <row r="435" spans="3:12">
      <c r="C435" s="29" t="b">
        <v>0</v>
      </c>
      <c r="D435" s="30" t="s">
        <v>447</v>
      </c>
      <c r="E435" s="137" t="s">
        <v>429</v>
      </c>
      <c r="F435" s="30" t="s">
        <v>97</v>
      </c>
      <c r="G435" s="30">
        <v>80</v>
      </c>
      <c r="H435" s="30">
        <v>240</v>
      </c>
      <c r="I435" s="30">
        <v>31.02</v>
      </c>
      <c r="J435" s="30" t="s">
        <v>71</v>
      </c>
      <c r="K435" s="58">
        <v>0</v>
      </c>
      <c r="L435" s="58">
        <v>1.73070973950155E+19</v>
      </c>
    </row>
    <row r="436" spans="3:12">
      <c r="C436" s="29" t="b">
        <v>0</v>
      </c>
      <c r="D436" s="30" t="s">
        <v>448</v>
      </c>
      <c r="E436" s="137" t="s">
        <v>429</v>
      </c>
      <c r="F436" s="30" t="s">
        <v>97</v>
      </c>
      <c r="G436" s="30">
        <v>72</v>
      </c>
      <c r="H436" s="30">
        <v>150</v>
      </c>
      <c r="I436" s="30">
        <v>29.73</v>
      </c>
      <c r="J436" s="30" t="s">
        <v>71</v>
      </c>
      <c r="K436" s="58">
        <v>0</v>
      </c>
      <c r="L436" s="58">
        <v>1.2132432859020201E+18</v>
      </c>
    </row>
    <row r="437" spans="3:12">
      <c r="C437" s="29" t="b">
        <v>0</v>
      </c>
      <c r="D437" s="30" t="s">
        <v>449</v>
      </c>
      <c r="E437" s="137" t="s">
        <v>429</v>
      </c>
      <c r="F437" s="30" t="s">
        <v>97</v>
      </c>
      <c r="G437" s="30">
        <v>75</v>
      </c>
      <c r="H437" s="30">
        <v>200</v>
      </c>
      <c r="I437" s="30">
        <v>28.48</v>
      </c>
      <c r="J437" s="30" t="s">
        <v>71</v>
      </c>
      <c r="K437" s="58">
        <v>0</v>
      </c>
      <c r="L437" s="58">
        <v>3.88503770680392E+17</v>
      </c>
    </row>
    <row r="438" spans="3:12">
      <c r="C438" s="29" t="b">
        <v>0</v>
      </c>
      <c r="D438" s="30" t="s">
        <v>450</v>
      </c>
      <c r="E438" s="137" t="s">
        <v>429</v>
      </c>
      <c r="F438" s="30" t="s">
        <v>97</v>
      </c>
      <c r="G438" s="30">
        <v>73</v>
      </c>
      <c r="H438" s="30">
        <v>215</v>
      </c>
      <c r="I438" s="30">
        <v>26.51</v>
      </c>
      <c r="J438" s="30" t="s">
        <v>71</v>
      </c>
      <c r="K438" s="58">
        <v>0</v>
      </c>
      <c r="L438" s="58">
        <v>1.55237487224221E+19</v>
      </c>
    </row>
    <row r="439" spans="3:12">
      <c r="C439" s="29" t="b">
        <v>0</v>
      </c>
      <c r="D439" s="30" t="s">
        <v>451</v>
      </c>
      <c r="E439" s="137" t="s">
        <v>429</v>
      </c>
      <c r="F439" s="30" t="s">
        <v>97</v>
      </c>
      <c r="G439" s="30">
        <v>74</v>
      </c>
      <c r="H439" s="30">
        <v>202</v>
      </c>
      <c r="I439" s="30">
        <v>26</v>
      </c>
      <c r="J439" s="30" t="s">
        <v>71</v>
      </c>
      <c r="K439" s="58">
        <v>0</v>
      </c>
      <c r="L439" s="58">
        <v>3.51927552858287E+18</v>
      </c>
    </row>
    <row r="440" spans="3:12">
      <c r="C440" s="29" t="b">
        <v>0</v>
      </c>
      <c r="D440" s="30" t="s">
        <v>452</v>
      </c>
      <c r="E440" s="137" t="s">
        <v>429</v>
      </c>
      <c r="F440" s="30" t="s">
        <v>97</v>
      </c>
      <c r="G440" s="30">
        <v>74</v>
      </c>
      <c r="H440" s="30">
        <v>200</v>
      </c>
      <c r="I440" s="30">
        <v>23.36</v>
      </c>
      <c r="J440" s="30" t="s">
        <v>71</v>
      </c>
      <c r="K440" s="58">
        <v>0</v>
      </c>
      <c r="L440" s="58">
        <v>5.5708729092624302E+18</v>
      </c>
    </row>
    <row r="441" spans="3:12">
      <c r="C441" s="29" t="b">
        <v>0</v>
      </c>
      <c r="D441" s="30" t="s">
        <v>453</v>
      </c>
      <c r="E441" s="137" t="s">
        <v>429</v>
      </c>
      <c r="F441" s="30" t="s">
        <v>97</v>
      </c>
      <c r="G441" s="30">
        <v>73</v>
      </c>
      <c r="H441" s="30">
        <v>190</v>
      </c>
      <c r="I441" s="30">
        <v>25.9</v>
      </c>
      <c r="J441" s="30" t="s">
        <v>71</v>
      </c>
      <c r="K441" s="58">
        <v>0</v>
      </c>
      <c r="L441" s="58">
        <v>1.6951060474516001E+19</v>
      </c>
    </row>
    <row r="442" spans="3:12">
      <c r="C442" s="29" t="b">
        <v>0</v>
      </c>
      <c r="D442" s="30" t="s">
        <v>454</v>
      </c>
      <c r="E442" s="137" t="s">
        <v>429</v>
      </c>
      <c r="F442" s="30" t="s">
        <v>68</v>
      </c>
      <c r="G442" s="30">
        <v>75</v>
      </c>
      <c r="H442" s="30">
        <v>205</v>
      </c>
      <c r="I442" s="30">
        <v>28.5</v>
      </c>
      <c r="J442" s="30" t="s">
        <v>71</v>
      </c>
      <c r="K442" s="58">
        <v>0</v>
      </c>
      <c r="L442" s="58">
        <v>1.44238524645813E+19</v>
      </c>
    </row>
    <row r="443" spans="3:12">
      <c r="C443" s="29" t="b">
        <v>0</v>
      </c>
      <c r="D443" s="30" t="s">
        <v>455</v>
      </c>
      <c r="E443" s="137" t="s">
        <v>429</v>
      </c>
      <c r="F443" s="30" t="s">
        <v>68</v>
      </c>
      <c r="G443" s="30">
        <v>75</v>
      </c>
      <c r="H443" s="30">
        <v>190</v>
      </c>
      <c r="I443" s="30">
        <v>25.62</v>
      </c>
      <c r="J443" s="30" t="s">
        <v>71</v>
      </c>
      <c r="K443" s="58">
        <v>0</v>
      </c>
      <c r="L443" s="58">
        <v>1.5571482636360901E+19</v>
      </c>
    </row>
    <row r="444" spans="3:12">
      <c r="C444" s="29" t="b">
        <v>0</v>
      </c>
      <c r="D444" s="30" t="s">
        <v>456</v>
      </c>
      <c r="E444" s="137" t="s">
        <v>429</v>
      </c>
      <c r="F444" s="30" t="s">
        <v>68</v>
      </c>
      <c r="G444" s="30">
        <v>71</v>
      </c>
      <c r="H444" s="30">
        <v>160</v>
      </c>
      <c r="I444" s="30">
        <v>30.94</v>
      </c>
      <c r="J444" s="30" t="s">
        <v>71</v>
      </c>
      <c r="K444" s="58">
        <v>0</v>
      </c>
      <c r="L444" s="58">
        <v>1.5124481881320901E+19</v>
      </c>
    </row>
    <row r="445" spans="3:12">
      <c r="C445" s="29" t="b">
        <v>0</v>
      </c>
      <c r="D445" s="30" t="s">
        <v>457</v>
      </c>
      <c r="E445" s="137" t="s">
        <v>429</v>
      </c>
      <c r="F445" s="30" t="s">
        <v>68</v>
      </c>
      <c r="G445" s="30">
        <v>73</v>
      </c>
      <c r="H445" s="30">
        <v>215</v>
      </c>
      <c r="I445" s="30">
        <v>26.59</v>
      </c>
      <c r="J445" s="30" t="s">
        <v>71</v>
      </c>
      <c r="K445" s="58">
        <v>0</v>
      </c>
      <c r="L445" s="58">
        <v>1.58851244672325E+19</v>
      </c>
    </row>
    <row r="446" spans="3:12">
      <c r="C446" s="29" t="b">
        <v>0</v>
      </c>
      <c r="D446" s="30" t="s">
        <v>458</v>
      </c>
      <c r="E446" s="137" t="s">
        <v>429</v>
      </c>
      <c r="F446" s="30" t="s">
        <v>68</v>
      </c>
      <c r="G446" s="30">
        <v>75</v>
      </c>
      <c r="H446" s="30">
        <v>185</v>
      </c>
      <c r="I446" s="30">
        <v>22.78</v>
      </c>
      <c r="J446" s="30" t="s">
        <v>71</v>
      </c>
      <c r="K446" s="58">
        <v>0</v>
      </c>
      <c r="L446" s="58">
        <v>9.6206911966988595E+18</v>
      </c>
    </row>
    <row r="447" spans="3:12">
      <c r="C447" s="29" t="b">
        <v>0</v>
      </c>
      <c r="D447" s="30" t="s">
        <v>459</v>
      </c>
      <c r="E447" s="137" t="s">
        <v>429</v>
      </c>
      <c r="F447" s="30" t="s">
        <v>68</v>
      </c>
      <c r="G447" s="30">
        <v>74</v>
      </c>
      <c r="H447" s="30">
        <v>200</v>
      </c>
      <c r="I447" s="30">
        <v>32.26</v>
      </c>
      <c r="J447" s="30" t="s">
        <v>71</v>
      </c>
      <c r="K447" s="58">
        <v>0</v>
      </c>
      <c r="L447" s="58">
        <v>2.2648519692576E+18</v>
      </c>
    </row>
    <row r="448" spans="3:12">
      <c r="C448" s="29" t="b">
        <v>0</v>
      </c>
      <c r="D448" s="30" t="s">
        <v>460</v>
      </c>
      <c r="E448" s="137" t="s">
        <v>429</v>
      </c>
      <c r="F448" s="30" t="s">
        <v>68</v>
      </c>
      <c r="G448" s="30">
        <v>74</v>
      </c>
      <c r="H448" s="30">
        <v>190</v>
      </c>
      <c r="I448" s="30">
        <v>30.35</v>
      </c>
      <c r="J448" s="30" t="s">
        <v>71</v>
      </c>
      <c r="K448" s="58">
        <v>0</v>
      </c>
      <c r="L448" s="58">
        <v>7.6330404897651405E+17</v>
      </c>
    </row>
    <row r="449" spans="3:12">
      <c r="C449" s="29" t="b">
        <v>0</v>
      </c>
      <c r="D449" s="30" t="s">
        <v>461</v>
      </c>
      <c r="E449" s="137" t="s">
        <v>429</v>
      </c>
      <c r="F449" s="30" t="s">
        <v>68</v>
      </c>
      <c r="G449" s="30">
        <v>72</v>
      </c>
      <c r="H449" s="30">
        <v>210</v>
      </c>
      <c r="I449" s="30">
        <v>33.26</v>
      </c>
      <c r="J449" s="30" t="s">
        <v>71</v>
      </c>
      <c r="K449" s="58">
        <v>0</v>
      </c>
      <c r="L449" s="58">
        <v>7.8636924438875505E+18</v>
      </c>
    </row>
    <row r="450" spans="3:12">
      <c r="C450" s="29" t="b">
        <v>0</v>
      </c>
      <c r="D450" s="30" t="s">
        <v>462</v>
      </c>
      <c r="E450" s="137" t="s">
        <v>429</v>
      </c>
      <c r="F450" s="30" t="s">
        <v>68</v>
      </c>
      <c r="G450" s="30">
        <v>74</v>
      </c>
      <c r="H450" s="30">
        <v>185</v>
      </c>
      <c r="I450" s="30">
        <v>32.35</v>
      </c>
      <c r="J450" s="30" t="s">
        <v>71</v>
      </c>
      <c r="K450" s="58">
        <v>0</v>
      </c>
      <c r="L450" s="58">
        <v>4.8406900581483796E+18</v>
      </c>
    </row>
    <row r="451" spans="3:12">
      <c r="C451" s="29" t="b">
        <v>0</v>
      </c>
      <c r="D451" s="30" t="s">
        <v>463</v>
      </c>
      <c r="E451" s="137" t="s">
        <v>464</v>
      </c>
      <c r="F451" s="30" t="s">
        <v>74</v>
      </c>
      <c r="G451" s="30">
        <v>74</v>
      </c>
      <c r="H451" s="30">
        <v>220</v>
      </c>
      <c r="I451" s="30">
        <v>27.3</v>
      </c>
      <c r="J451" s="30" t="s">
        <v>74</v>
      </c>
      <c r="K451" s="58">
        <v>0</v>
      </c>
      <c r="L451" s="58">
        <v>4.7950209467101204E+18</v>
      </c>
    </row>
    <row r="452" spans="3:12">
      <c r="C452" s="29" t="b">
        <v>0</v>
      </c>
      <c r="D452" s="30" t="s">
        <v>465</v>
      </c>
      <c r="E452" s="137" t="s">
        <v>464</v>
      </c>
      <c r="F452" s="30" t="s">
        <v>74</v>
      </c>
      <c r="G452" s="30">
        <v>74</v>
      </c>
      <c r="H452" s="30">
        <v>190</v>
      </c>
      <c r="I452" s="30">
        <v>32.08</v>
      </c>
      <c r="J452" s="30" t="s">
        <v>74</v>
      </c>
      <c r="K452" s="58">
        <v>0</v>
      </c>
      <c r="L452" s="58">
        <v>1.2939470224007899E+19</v>
      </c>
    </row>
    <row r="453" spans="3:12">
      <c r="C453" s="29" t="b">
        <v>0</v>
      </c>
      <c r="D453" s="30" t="s">
        <v>466</v>
      </c>
      <c r="E453" s="137" t="s">
        <v>464</v>
      </c>
      <c r="F453" s="30" t="s">
        <v>74</v>
      </c>
      <c r="G453" s="30">
        <v>73</v>
      </c>
      <c r="H453" s="30">
        <v>202</v>
      </c>
      <c r="I453" s="30">
        <v>25.25</v>
      </c>
      <c r="J453" s="30" t="s">
        <v>74</v>
      </c>
      <c r="K453" s="58">
        <v>0</v>
      </c>
      <c r="L453" s="58">
        <v>1.7994900890724301E+19</v>
      </c>
    </row>
    <row r="454" spans="3:12">
      <c r="C454" s="29" t="b">
        <v>0</v>
      </c>
      <c r="D454" s="30" t="s">
        <v>467</v>
      </c>
      <c r="E454" s="137" t="s">
        <v>464</v>
      </c>
      <c r="F454" s="30" t="s">
        <v>74</v>
      </c>
      <c r="G454" s="30">
        <v>76</v>
      </c>
      <c r="H454" s="30">
        <v>205</v>
      </c>
      <c r="I454" s="30">
        <v>25.03</v>
      </c>
      <c r="J454" s="30" t="s">
        <v>74</v>
      </c>
      <c r="K454" s="58">
        <v>0</v>
      </c>
      <c r="L454" s="58">
        <v>8.80169326657728E+17</v>
      </c>
    </row>
    <row r="455" spans="3:12">
      <c r="C455" s="29" t="b">
        <v>0</v>
      </c>
      <c r="D455" s="30" t="s">
        <v>468</v>
      </c>
      <c r="E455" s="137" t="s">
        <v>464</v>
      </c>
      <c r="F455" s="30" t="s">
        <v>78</v>
      </c>
      <c r="G455" s="30">
        <v>75</v>
      </c>
      <c r="H455" s="30">
        <v>220</v>
      </c>
      <c r="I455" s="30">
        <v>26.89</v>
      </c>
      <c r="J455" s="30" t="s">
        <v>79</v>
      </c>
      <c r="K455" s="58">
        <v>0</v>
      </c>
      <c r="L455" s="58">
        <v>1.5319090529336601E+19</v>
      </c>
    </row>
    <row r="456" spans="3:12">
      <c r="C456" s="29" t="b">
        <v>0</v>
      </c>
      <c r="D456" s="30" t="s">
        <v>469</v>
      </c>
      <c r="E456" s="137" t="s">
        <v>464</v>
      </c>
      <c r="F456" s="30" t="s">
        <v>82</v>
      </c>
      <c r="G456" s="30">
        <v>72</v>
      </c>
      <c r="H456" s="30">
        <v>175</v>
      </c>
      <c r="I456" s="30">
        <v>24.69</v>
      </c>
      <c r="J456" s="30" t="s">
        <v>79</v>
      </c>
      <c r="K456" s="58">
        <v>0</v>
      </c>
      <c r="L456" s="58">
        <v>1.55380069717713E+19</v>
      </c>
    </row>
    <row r="457" spans="3:12">
      <c r="C457" s="29" t="b">
        <v>0</v>
      </c>
      <c r="D457" s="30" t="s">
        <v>470</v>
      </c>
      <c r="E457" s="137" t="s">
        <v>464</v>
      </c>
      <c r="F457" s="30" t="s">
        <v>84</v>
      </c>
      <c r="G457" s="30">
        <v>73</v>
      </c>
      <c r="H457" s="30">
        <v>160</v>
      </c>
      <c r="I457" s="30">
        <v>22.44</v>
      </c>
      <c r="J457" s="30" t="s">
        <v>79</v>
      </c>
      <c r="K457" s="58">
        <v>0</v>
      </c>
      <c r="L457" s="58">
        <v>1.64688627600401E+19</v>
      </c>
    </row>
    <row r="458" spans="3:12">
      <c r="C458" s="29" t="b">
        <v>0</v>
      </c>
      <c r="D458" s="30" t="s">
        <v>471</v>
      </c>
      <c r="E458" s="137" t="s">
        <v>464</v>
      </c>
      <c r="F458" s="30" t="s">
        <v>84</v>
      </c>
      <c r="G458" s="30">
        <v>73</v>
      </c>
      <c r="H458" s="30">
        <v>190</v>
      </c>
      <c r="I458" s="30">
        <v>30.36</v>
      </c>
      <c r="J458" s="30" t="s">
        <v>79</v>
      </c>
      <c r="K458" s="58">
        <v>0</v>
      </c>
      <c r="L458" s="58">
        <v>1.12341310724694E+19</v>
      </c>
    </row>
    <row r="459" spans="3:12">
      <c r="C459" s="29" t="b">
        <v>0</v>
      </c>
      <c r="D459" s="30" t="s">
        <v>472</v>
      </c>
      <c r="E459" s="137" t="s">
        <v>464</v>
      </c>
      <c r="F459" s="30" t="s">
        <v>86</v>
      </c>
      <c r="G459" s="30">
        <v>73</v>
      </c>
      <c r="H459" s="30">
        <v>200</v>
      </c>
      <c r="I459" s="30">
        <v>26.27</v>
      </c>
      <c r="J459" s="30" t="s">
        <v>79</v>
      </c>
      <c r="K459" s="58">
        <v>0</v>
      </c>
      <c r="L459" s="58">
        <v>7.4438521771717202E+18</v>
      </c>
    </row>
    <row r="460" spans="3:12">
      <c r="C460" s="29" t="b">
        <v>0</v>
      </c>
      <c r="D460" s="30" t="s">
        <v>473</v>
      </c>
      <c r="E460" s="137" t="s">
        <v>464</v>
      </c>
      <c r="F460" s="30" t="s">
        <v>89</v>
      </c>
      <c r="G460" s="30">
        <v>72</v>
      </c>
      <c r="H460" s="30">
        <v>229</v>
      </c>
      <c r="I460" s="30">
        <v>29.5</v>
      </c>
      <c r="J460" s="30" t="s">
        <v>89</v>
      </c>
      <c r="K460" s="58">
        <v>0</v>
      </c>
      <c r="L460" s="58">
        <v>7.2147474537859604E+18</v>
      </c>
    </row>
    <row r="461" spans="3:12">
      <c r="C461" s="29" t="b">
        <v>0</v>
      </c>
      <c r="D461" s="30" t="s">
        <v>474</v>
      </c>
      <c r="E461" s="137" t="s">
        <v>464</v>
      </c>
      <c r="F461" s="30" t="s">
        <v>89</v>
      </c>
      <c r="G461" s="30">
        <v>72</v>
      </c>
      <c r="H461" s="30">
        <v>206</v>
      </c>
      <c r="I461" s="30">
        <v>29.75</v>
      </c>
      <c r="J461" s="30" t="s">
        <v>89</v>
      </c>
      <c r="K461" s="58">
        <v>0</v>
      </c>
      <c r="L461" s="58">
        <v>1.46256146615088E+18</v>
      </c>
    </row>
    <row r="462" spans="3:12">
      <c r="C462" s="29" t="b">
        <v>0</v>
      </c>
      <c r="D462" s="30" t="s">
        <v>475</v>
      </c>
      <c r="E462" s="137" t="s">
        <v>464</v>
      </c>
      <c r="F462" s="30" t="s">
        <v>89</v>
      </c>
      <c r="G462" s="30">
        <v>72</v>
      </c>
      <c r="H462" s="30">
        <v>220</v>
      </c>
      <c r="I462" s="30">
        <v>38.299999999999997</v>
      </c>
      <c r="J462" s="30" t="s">
        <v>89</v>
      </c>
      <c r="K462" s="58">
        <v>0</v>
      </c>
      <c r="L462" s="58">
        <v>8.6203503779496704E+17</v>
      </c>
    </row>
    <row r="463" spans="3:12">
      <c r="C463" s="29" t="b">
        <v>0</v>
      </c>
      <c r="D463" s="30" t="s">
        <v>476</v>
      </c>
      <c r="E463" s="137" t="s">
        <v>464</v>
      </c>
      <c r="F463" s="30" t="s">
        <v>89</v>
      </c>
      <c r="G463" s="30">
        <v>72</v>
      </c>
      <c r="H463" s="30">
        <v>180</v>
      </c>
      <c r="I463" s="30">
        <v>39.75</v>
      </c>
      <c r="J463" s="30" t="s">
        <v>89</v>
      </c>
      <c r="K463" s="58">
        <v>0</v>
      </c>
      <c r="L463" s="58">
        <v>6.8131327061537997E+18</v>
      </c>
    </row>
    <row r="464" spans="3:12">
      <c r="C464" s="29" t="b">
        <v>0</v>
      </c>
      <c r="D464" s="30" t="s">
        <v>477</v>
      </c>
      <c r="E464" s="137" t="s">
        <v>464</v>
      </c>
      <c r="F464" s="30" t="s">
        <v>89</v>
      </c>
      <c r="G464" s="30">
        <v>71</v>
      </c>
      <c r="H464" s="30">
        <v>195</v>
      </c>
      <c r="I464" s="30">
        <v>32.840000000000003</v>
      </c>
      <c r="J464" s="30" t="s">
        <v>89</v>
      </c>
      <c r="K464" s="58">
        <v>0</v>
      </c>
      <c r="L464" s="58">
        <v>1.1092397164643101E+19</v>
      </c>
    </row>
    <row r="465" spans="3:12">
      <c r="C465" s="29" t="b">
        <v>0</v>
      </c>
      <c r="D465" s="30" t="s">
        <v>478</v>
      </c>
      <c r="E465" s="137" t="s">
        <v>464</v>
      </c>
      <c r="F465" s="30" t="s">
        <v>89</v>
      </c>
      <c r="G465" s="30">
        <v>75</v>
      </c>
      <c r="H465" s="30">
        <v>175</v>
      </c>
      <c r="I465" s="30">
        <v>26.66</v>
      </c>
      <c r="J465" s="30" t="s">
        <v>89</v>
      </c>
      <c r="K465" s="58">
        <v>0</v>
      </c>
      <c r="L465" s="58">
        <v>1.23556364094116E+19</v>
      </c>
    </row>
    <row r="466" spans="3:12">
      <c r="C466" s="29" t="b">
        <v>0</v>
      </c>
      <c r="D466" s="30" t="s">
        <v>479</v>
      </c>
      <c r="E466" s="137" t="s">
        <v>464</v>
      </c>
      <c r="F466" s="30" t="s">
        <v>97</v>
      </c>
      <c r="G466" s="30">
        <v>75</v>
      </c>
      <c r="H466" s="30">
        <v>188</v>
      </c>
      <c r="I466" s="30">
        <v>24.94</v>
      </c>
      <c r="J466" s="30" t="s">
        <v>71</v>
      </c>
      <c r="K466" s="58">
        <v>0</v>
      </c>
      <c r="L466" s="58">
        <v>1.48314121337135E+19</v>
      </c>
    </row>
    <row r="467" spans="3:12">
      <c r="C467" s="29" t="b">
        <v>0</v>
      </c>
      <c r="D467" s="30" t="s">
        <v>480</v>
      </c>
      <c r="E467" s="137" t="s">
        <v>464</v>
      </c>
      <c r="F467" s="30" t="s">
        <v>97</v>
      </c>
      <c r="G467" s="30">
        <v>74</v>
      </c>
      <c r="H467" s="30">
        <v>230</v>
      </c>
      <c r="I467" s="30">
        <v>27.76</v>
      </c>
      <c r="J467" s="30" t="s">
        <v>71</v>
      </c>
      <c r="K467" s="58">
        <v>0</v>
      </c>
      <c r="L467" s="58">
        <v>1.3194178742201201E+19</v>
      </c>
    </row>
    <row r="468" spans="3:12">
      <c r="C468" s="29" t="b">
        <v>0</v>
      </c>
      <c r="D468" s="30" t="s">
        <v>481</v>
      </c>
      <c r="E468" s="137" t="s">
        <v>464</v>
      </c>
      <c r="F468" s="30" t="s">
        <v>97</v>
      </c>
      <c r="G468" s="30">
        <v>73</v>
      </c>
      <c r="H468" s="30">
        <v>190</v>
      </c>
      <c r="I468" s="30">
        <v>23.66</v>
      </c>
      <c r="J468" s="30" t="s">
        <v>71</v>
      </c>
      <c r="K468" s="58">
        <v>0</v>
      </c>
      <c r="L468" s="58">
        <v>7.8708453955730104E+18</v>
      </c>
    </row>
    <row r="469" spans="3:12">
      <c r="C469" s="29" t="b">
        <v>0</v>
      </c>
      <c r="D469" s="30" t="s">
        <v>482</v>
      </c>
      <c r="E469" s="137" t="s">
        <v>464</v>
      </c>
      <c r="F469" s="30" t="s">
        <v>97</v>
      </c>
      <c r="G469" s="30">
        <v>75</v>
      </c>
      <c r="H469" s="30">
        <v>200</v>
      </c>
      <c r="I469" s="30">
        <v>24.96</v>
      </c>
      <c r="J469" s="30" t="s">
        <v>71</v>
      </c>
      <c r="K469" s="58">
        <v>0</v>
      </c>
      <c r="L469" s="58">
        <v>4.3946456747452902E+18</v>
      </c>
    </row>
    <row r="470" spans="3:12">
      <c r="C470" s="29" t="b">
        <v>0</v>
      </c>
      <c r="D470" s="30" t="s">
        <v>483</v>
      </c>
      <c r="E470" s="137" t="s">
        <v>464</v>
      </c>
      <c r="F470" s="30" t="s">
        <v>97</v>
      </c>
      <c r="G470" s="30">
        <v>79</v>
      </c>
      <c r="H470" s="30">
        <v>190</v>
      </c>
      <c r="I470" s="30">
        <v>23.65</v>
      </c>
      <c r="J470" s="30" t="s">
        <v>71</v>
      </c>
      <c r="K470" s="58">
        <v>0</v>
      </c>
      <c r="L470" s="58">
        <v>1.30575412313867E+19</v>
      </c>
    </row>
    <row r="471" spans="3:12">
      <c r="C471" s="29" t="b">
        <v>0</v>
      </c>
      <c r="D471" s="30" t="s">
        <v>484</v>
      </c>
      <c r="E471" s="137" t="s">
        <v>464</v>
      </c>
      <c r="F471" s="30" t="s">
        <v>97</v>
      </c>
      <c r="G471" s="30">
        <v>74</v>
      </c>
      <c r="H471" s="30">
        <v>219</v>
      </c>
      <c r="I471" s="30">
        <v>29.42</v>
      </c>
      <c r="J471" s="30" t="s">
        <v>71</v>
      </c>
      <c r="K471" s="58">
        <v>0</v>
      </c>
      <c r="L471" s="58">
        <v>9.1384330620272097E+18</v>
      </c>
    </row>
    <row r="472" spans="3:12">
      <c r="C472" s="29" t="b">
        <v>0</v>
      </c>
      <c r="D472" s="30" t="s">
        <v>485</v>
      </c>
      <c r="E472" s="137" t="s">
        <v>464</v>
      </c>
      <c r="F472" s="30" t="s">
        <v>97</v>
      </c>
      <c r="G472" s="30">
        <v>76</v>
      </c>
      <c r="H472" s="30">
        <v>235</v>
      </c>
      <c r="I472" s="30">
        <v>32.18</v>
      </c>
      <c r="J472" s="30" t="s">
        <v>71</v>
      </c>
      <c r="K472" s="58">
        <v>0</v>
      </c>
      <c r="L472" s="58">
        <v>2.53717564797299E+18</v>
      </c>
    </row>
    <row r="473" spans="3:12">
      <c r="C473" s="29" t="b">
        <v>0</v>
      </c>
      <c r="D473" s="30" t="s">
        <v>486</v>
      </c>
      <c r="E473" s="137" t="s">
        <v>464</v>
      </c>
      <c r="F473" s="30" t="s">
        <v>97</v>
      </c>
      <c r="G473" s="30">
        <v>73</v>
      </c>
      <c r="H473" s="30">
        <v>180</v>
      </c>
      <c r="I473" s="30">
        <v>26.66</v>
      </c>
      <c r="J473" s="30" t="s">
        <v>71</v>
      </c>
      <c r="K473" s="58">
        <v>0</v>
      </c>
      <c r="L473" s="58">
        <v>6.0911303956047196E+18</v>
      </c>
    </row>
    <row r="474" spans="3:12">
      <c r="C474" s="29" t="b">
        <v>0</v>
      </c>
      <c r="D474" s="30" t="s">
        <v>487</v>
      </c>
      <c r="E474" s="137" t="s">
        <v>464</v>
      </c>
      <c r="F474" s="30" t="s">
        <v>68</v>
      </c>
      <c r="G474" s="30">
        <v>74</v>
      </c>
      <c r="H474" s="30">
        <v>180</v>
      </c>
      <c r="I474" s="30">
        <v>27.47</v>
      </c>
      <c r="J474" s="30" t="s">
        <v>71</v>
      </c>
      <c r="K474" s="58">
        <v>0</v>
      </c>
      <c r="L474" s="58">
        <v>1.5258069302674801E+19</v>
      </c>
    </row>
    <row r="475" spans="3:12">
      <c r="C475" s="29" t="b">
        <v>0</v>
      </c>
      <c r="D475" s="30" t="s">
        <v>488</v>
      </c>
      <c r="E475" s="137" t="s">
        <v>464</v>
      </c>
      <c r="F475" s="30" t="s">
        <v>68</v>
      </c>
      <c r="G475" s="30">
        <v>74</v>
      </c>
      <c r="H475" s="30">
        <v>180</v>
      </c>
      <c r="I475" s="30">
        <v>25.66</v>
      </c>
      <c r="J475" s="30" t="s">
        <v>71</v>
      </c>
      <c r="K475" s="58">
        <v>0</v>
      </c>
      <c r="L475" s="58">
        <v>1.7193996597518399E+19</v>
      </c>
    </row>
    <row r="476" spans="3:12">
      <c r="C476" s="29" t="b">
        <v>0</v>
      </c>
      <c r="D476" s="30" t="s">
        <v>489</v>
      </c>
      <c r="E476" s="137" t="s">
        <v>464</v>
      </c>
      <c r="F476" s="30" t="s">
        <v>68</v>
      </c>
      <c r="G476" s="30">
        <v>72</v>
      </c>
      <c r="H476" s="30">
        <v>200</v>
      </c>
      <c r="I476" s="30">
        <v>35.130000000000003</v>
      </c>
      <c r="J476" s="30" t="s">
        <v>71</v>
      </c>
      <c r="K476" s="58">
        <v>0</v>
      </c>
      <c r="L476" s="58">
        <v>9.0444820535285996E+18</v>
      </c>
    </row>
    <row r="477" spans="3:12">
      <c r="C477" s="29" t="b">
        <v>0</v>
      </c>
      <c r="D477" s="30" t="s">
        <v>490</v>
      </c>
      <c r="E477" s="137" t="s">
        <v>464</v>
      </c>
      <c r="F477" s="30" t="s">
        <v>68</v>
      </c>
      <c r="G477" s="30">
        <v>74</v>
      </c>
      <c r="H477" s="30">
        <v>234</v>
      </c>
      <c r="I477" s="30">
        <v>31.15</v>
      </c>
      <c r="J477" s="30" t="s">
        <v>71</v>
      </c>
      <c r="K477" s="58">
        <v>0</v>
      </c>
      <c r="L477" s="58">
        <v>5.8909314989669601E+18</v>
      </c>
    </row>
    <row r="478" spans="3:12">
      <c r="C478" s="29" t="b">
        <v>0</v>
      </c>
      <c r="D478" s="30" t="s">
        <v>491</v>
      </c>
      <c r="E478" s="137" t="s">
        <v>464</v>
      </c>
      <c r="F478" s="30" t="s">
        <v>68</v>
      </c>
      <c r="G478" s="30">
        <v>74</v>
      </c>
      <c r="H478" s="30">
        <v>185</v>
      </c>
      <c r="I478" s="30">
        <v>35.67</v>
      </c>
      <c r="J478" s="30" t="s">
        <v>71</v>
      </c>
      <c r="K478" s="58">
        <v>0</v>
      </c>
      <c r="L478" s="58">
        <v>7.4830140789638195E+18</v>
      </c>
    </row>
    <row r="479" spans="3:12">
      <c r="C479" s="29" t="b">
        <v>0</v>
      </c>
      <c r="D479" s="30" t="s">
        <v>492</v>
      </c>
      <c r="E479" s="137" t="s">
        <v>464</v>
      </c>
      <c r="F479" s="30" t="s">
        <v>68</v>
      </c>
      <c r="G479" s="30">
        <v>75</v>
      </c>
      <c r="H479" s="30">
        <v>220</v>
      </c>
      <c r="I479" s="30">
        <v>29.6</v>
      </c>
      <c r="J479" s="30" t="s">
        <v>71</v>
      </c>
      <c r="K479" s="58">
        <v>0</v>
      </c>
      <c r="L479" s="58">
        <v>1.2980625925558901E+19</v>
      </c>
    </row>
    <row r="480" spans="3:12">
      <c r="C480" s="29" t="b">
        <v>0</v>
      </c>
      <c r="D480" s="30" t="s">
        <v>493</v>
      </c>
      <c r="E480" s="137" t="s">
        <v>464</v>
      </c>
      <c r="F480" s="30" t="s">
        <v>68</v>
      </c>
      <c r="G480" s="30">
        <v>78</v>
      </c>
      <c r="H480" s="30">
        <v>223</v>
      </c>
      <c r="I480" s="30">
        <v>30.14</v>
      </c>
      <c r="J480" s="30" t="s">
        <v>71</v>
      </c>
      <c r="K480" s="58">
        <v>0</v>
      </c>
      <c r="L480" s="58">
        <v>1.3803073273802E+19</v>
      </c>
    </row>
    <row r="481" spans="3:12">
      <c r="C481" s="29" t="b">
        <v>0</v>
      </c>
      <c r="D481" s="30" t="s">
        <v>494</v>
      </c>
      <c r="E481" s="137" t="s">
        <v>464</v>
      </c>
      <c r="F481" s="30" t="s">
        <v>68</v>
      </c>
      <c r="G481" s="30">
        <v>74</v>
      </c>
      <c r="H481" s="30">
        <v>200</v>
      </c>
      <c r="I481" s="30">
        <v>24.53</v>
      </c>
      <c r="J481" s="30" t="s">
        <v>71</v>
      </c>
      <c r="K481" s="58">
        <v>0</v>
      </c>
      <c r="L481" s="58">
        <v>1.82978481323595E+19</v>
      </c>
    </row>
    <row r="482" spans="3:12">
      <c r="C482" s="29" t="b">
        <v>0</v>
      </c>
      <c r="D482" s="30" t="s">
        <v>495</v>
      </c>
      <c r="E482" s="137" t="s">
        <v>464</v>
      </c>
      <c r="F482" s="30" t="s">
        <v>68</v>
      </c>
      <c r="G482" s="30">
        <v>74</v>
      </c>
      <c r="H482" s="30">
        <v>210</v>
      </c>
      <c r="I482" s="30">
        <v>24.49</v>
      </c>
      <c r="J482" s="30" t="s">
        <v>71</v>
      </c>
      <c r="K482" s="58">
        <v>0</v>
      </c>
      <c r="L482" s="58">
        <v>1.3871005947976401E+19</v>
      </c>
    </row>
    <row r="483" spans="3:12">
      <c r="C483" s="29" t="b">
        <v>0</v>
      </c>
      <c r="D483" s="30" t="s">
        <v>496</v>
      </c>
      <c r="E483" s="137" t="s">
        <v>464</v>
      </c>
      <c r="F483" s="30" t="s">
        <v>68</v>
      </c>
      <c r="G483" s="30">
        <v>74</v>
      </c>
      <c r="H483" s="30">
        <v>200</v>
      </c>
      <c r="I483" s="30">
        <v>26.28</v>
      </c>
      <c r="J483" s="30" t="s">
        <v>71</v>
      </c>
      <c r="K483" s="58">
        <v>0</v>
      </c>
      <c r="L483" s="58">
        <v>9.8801143313464709E+18</v>
      </c>
    </row>
    <row r="484" spans="3:12">
      <c r="C484" s="29" t="b">
        <v>0</v>
      </c>
      <c r="D484" s="30" t="s">
        <v>497</v>
      </c>
      <c r="E484" s="137" t="s">
        <v>464</v>
      </c>
      <c r="F484" s="30" t="s">
        <v>68</v>
      </c>
      <c r="G484" s="30">
        <v>77</v>
      </c>
      <c r="H484" s="30">
        <v>210</v>
      </c>
      <c r="I484" s="30">
        <v>24.06</v>
      </c>
      <c r="J484" s="30" t="s">
        <v>71</v>
      </c>
      <c r="K484" s="58">
        <v>0</v>
      </c>
      <c r="L484" s="58">
        <v>5.2990815389085102E+18</v>
      </c>
    </row>
    <row r="485" spans="3:12">
      <c r="C485" s="29" t="b">
        <v>0</v>
      </c>
      <c r="D485" s="30" t="s">
        <v>498</v>
      </c>
      <c r="E485" s="137" t="s">
        <v>499</v>
      </c>
      <c r="F485" s="30" t="s">
        <v>74</v>
      </c>
      <c r="G485" s="30">
        <v>70</v>
      </c>
      <c r="H485" s="30">
        <v>190</v>
      </c>
      <c r="I485" s="30">
        <v>35.880000000000003</v>
      </c>
      <c r="J485" s="30" t="s">
        <v>74</v>
      </c>
      <c r="K485" s="58">
        <v>0</v>
      </c>
      <c r="L485" s="58">
        <v>3.3637308428343199E+18</v>
      </c>
    </row>
    <row r="486" spans="3:12">
      <c r="C486" s="29" t="b">
        <v>0</v>
      </c>
      <c r="D486" s="30" t="s">
        <v>500</v>
      </c>
      <c r="E486" s="137" t="s">
        <v>499</v>
      </c>
      <c r="F486" s="30" t="s">
        <v>74</v>
      </c>
      <c r="G486" s="30">
        <v>73</v>
      </c>
      <c r="H486" s="30">
        <v>177</v>
      </c>
      <c r="I486" s="30">
        <v>30.42</v>
      </c>
      <c r="J486" s="30" t="s">
        <v>74</v>
      </c>
      <c r="K486" s="58">
        <v>0</v>
      </c>
      <c r="L486" s="58">
        <v>1.4872535063477101E+19</v>
      </c>
    </row>
    <row r="487" spans="3:12">
      <c r="C487" s="29" t="b">
        <v>0</v>
      </c>
      <c r="D487" s="30" t="s">
        <v>501</v>
      </c>
      <c r="E487" s="137" t="s">
        <v>499</v>
      </c>
      <c r="F487" s="30" t="s">
        <v>78</v>
      </c>
      <c r="G487" s="30">
        <v>74</v>
      </c>
      <c r="H487" s="30">
        <v>227</v>
      </c>
      <c r="I487" s="30">
        <v>30.09</v>
      </c>
      <c r="J487" s="30" t="s">
        <v>79</v>
      </c>
      <c r="K487" s="58">
        <v>0</v>
      </c>
      <c r="L487" s="58">
        <v>1.7905323338107699E+19</v>
      </c>
    </row>
    <row r="488" spans="3:12">
      <c r="C488" s="29" t="b">
        <v>0</v>
      </c>
      <c r="D488" s="30" t="s">
        <v>502</v>
      </c>
      <c r="E488" s="137" t="s">
        <v>499</v>
      </c>
      <c r="F488" s="30" t="s">
        <v>82</v>
      </c>
      <c r="G488" s="30">
        <v>73</v>
      </c>
      <c r="H488" s="30">
        <v>180</v>
      </c>
      <c r="I488" s="30">
        <v>26.5</v>
      </c>
      <c r="J488" s="30" t="s">
        <v>79</v>
      </c>
      <c r="K488" s="58">
        <v>0</v>
      </c>
      <c r="L488" s="58">
        <v>1.1098812517935499E+19</v>
      </c>
    </row>
    <row r="489" spans="3:12">
      <c r="C489" s="29" t="b">
        <v>0</v>
      </c>
      <c r="D489" s="30" t="s">
        <v>503</v>
      </c>
      <c r="E489" s="137" t="s">
        <v>499</v>
      </c>
      <c r="F489" s="30" t="s">
        <v>82</v>
      </c>
      <c r="G489" s="30">
        <v>71</v>
      </c>
      <c r="H489" s="30">
        <v>195</v>
      </c>
      <c r="I489" s="30">
        <v>24.94</v>
      </c>
      <c r="J489" s="30" t="s">
        <v>79</v>
      </c>
      <c r="K489" s="58">
        <v>0</v>
      </c>
      <c r="L489" s="58">
        <v>6.9190766253305395E+18</v>
      </c>
    </row>
    <row r="490" spans="3:12">
      <c r="C490" s="29" t="b">
        <v>0</v>
      </c>
      <c r="D490" s="30" t="s">
        <v>504</v>
      </c>
      <c r="E490" s="137" t="s">
        <v>499</v>
      </c>
      <c r="F490" s="30" t="s">
        <v>82</v>
      </c>
      <c r="G490" s="30">
        <v>75</v>
      </c>
      <c r="H490" s="30">
        <v>199</v>
      </c>
      <c r="I490" s="30">
        <v>29.6</v>
      </c>
      <c r="J490" s="30" t="s">
        <v>79</v>
      </c>
      <c r="K490" s="58">
        <v>0</v>
      </c>
      <c r="L490" s="58">
        <v>3.3669170028651699E+18</v>
      </c>
    </row>
    <row r="491" spans="3:12">
      <c r="C491" s="29" t="b">
        <v>0</v>
      </c>
      <c r="D491" s="30" t="s">
        <v>505</v>
      </c>
      <c r="E491" s="137" t="s">
        <v>499</v>
      </c>
      <c r="F491" s="30" t="s">
        <v>84</v>
      </c>
      <c r="G491" s="30">
        <v>71</v>
      </c>
      <c r="H491" s="30">
        <v>175</v>
      </c>
      <c r="I491" s="30">
        <v>32.43</v>
      </c>
      <c r="J491" s="30" t="s">
        <v>79</v>
      </c>
      <c r="K491" s="58">
        <v>0</v>
      </c>
      <c r="L491" s="58">
        <v>1.52467168934778E+19</v>
      </c>
    </row>
    <row r="492" spans="3:12">
      <c r="C492" s="29" t="b">
        <v>0</v>
      </c>
      <c r="D492" s="30" t="s">
        <v>506</v>
      </c>
      <c r="E492" s="137" t="s">
        <v>499</v>
      </c>
      <c r="F492" s="30" t="s">
        <v>84</v>
      </c>
      <c r="G492" s="30">
        <v>72</v>
      </c>
      <c r="H492" s="30">
        <v>185</v>
      </c>
      <c r="I492" s="30">
        <v>37.159999999999997</v>
      </c>
      <c r="J492" s="30" t="s">
        <v>79</v>
      </c>
      <c r="K492" s="58">
        <v>0</v>
      </c>
      <c r="L492" s="58">
        <v>6.48332130498705E+18</v>
      </c>
    </row>
    <row r="493" spans="3:12">
      <c r="C493" s="29" t="b">
        <v>0</v>
      </c>
      <c r="D493" s="30" t="s">
        <v>507</v>
      </c>
      <c r="E493" s="137" t="s">
        <v>499</v>
      </c>
      <c r="F493" s="30" t="s">
        <v>86</v>
      </c>
      <c r="G493" s="30">
        <v>77</v>
      </c>
      <c r="H493" s="30">
        <v>240</v>
      </c>
      <c r="I493" s="30">
        <v>30.57</v>
      </c>
      <c r="J493" s="30" t="s">
        <v>79</v>
      </c>
      <c r="K493" s="58">
        <v>0</v>
      </c>
      <c r="L493" s="58">
        <v>9.1466870943159501E+17</v>
      </c>
    </row>
    <row r="494" spans="3:12">
      <c r="C494" s="29" t="b">
        <v>0</v>
      </c>
      <c r="D494" s="30" t="s">
        <v>508</v>
      </c>
      <c r="E494" s="137" t="s">
        <v>499</v>
      </c>
      <c r="F494" s="30" t="s">
        <v>86</v>
      </c>
      <c r="G494" s="30">
        <v>74</v>
      </c>
      <c r="H494" s="30">
        <v>210</v>
      </c>
      <c r="I494" s="30">
        <v>27.01</v>
      </c>
      <c r="J494" s="30" t="s">
        <v>79</v>
      </c>
      <c r="K494" s="58">
        <v>0</v>
      </c>
      <c r="L494" s="58">
        <v>3.94418042144657E+18</v>
      </c>
    </row>
    <row r="495" spans="3:12">
      <c r="C495" s="29" t="b">
        <v>0</v>
      </c>
      <c r="D495" s="30" t="s">
        <v>509</v>
      </c>
      <c r="E495" s="137" t="s">
        <v>499</v>
      </c>
      <c r="F495" s="30" t="s">
        <v>89</v>
      </c>
      <c r="G495" s="30">
        <v>70</v>
      </c>
      <c r="H495" s="30">
        <v>180</v>
      </c>
      <c r="I495" s="30">
        <v>30.23</v>
      </c>
      <c r="J495" s="30" t="s">
        <v>89</v>
      </c>
      <c r="K495" s="58">
        <v>0</v>
      </c>
      <c r="L495" s="58">
        <v>6.6790922222978099E+18</v>
      </c>
    </row>
    <row r="496" spans="3:12">
      <c r="C496" s="29" t="b">
        <v>0</v>
      </c>
      <c r="D496" s="30" t="s">
        <v>510</v>
      </c>
      <c r="E496" s="137" t="s">
        <v>499</v>
      </c>
      <c r="F496" s="30" t="s">
        <v>89</v>
      </c>
      <c r="G496" s="30">
        <v>77</v>
      </c>
      <c r="H496" s="30">
        <v>194</v>
      </c>
      <c r="I496" s="30">
        <v>26.03</v>
      </c>
      <c r="J496" s="30" t="s">
        <v>89</v>
      </c>
      <c r="K496" s="58">
        <v>0</v>
      </c>
      <c r="L496" s="58">
        <v>1.60709798720897E+19</v>
      </c>
    </row>
    <row r="497" spans="3:12">
      <c r="C497" s="29" t="b">
        <v>0</v>
      </c>
      <c r="D497" s="30" t="s">
        <v>511</v>
      </c>
      <c r="E497" s="137" t="s">
        <v>499</v>
      </c>
      <c r="F497" s="30" t="s">
        <v>89</v>
      </c>
      <c r="G497" s="30">
        <v>73</v>
      </c>
      <c r="H497" s="30">
        <v>225</v>
      </c>
      <c r="I497" s="30">
        <v>28.23</v>
      </c>
      <c r="J497" s="30" t="s">
        <v>89</v>
      </c>
      <c r="K497" s="58">
        <v>0</v>
      </c>
      <c r="L497" s="58">
        <v>1.51934486039825E+19</v>
      </c>
    </row>
    <row r="498" spans="3:12">
      <c r="C498" s="29" t="b">
        <v>0</v>
      </c>
      <c r="D498" s="30" t="s">
        <v>512</v>
      </c>
      <c r="E498" s="137" t="s">
        <v>499</v>
      </c>
      <c r="F498" s="30" t="s">
        <v>97</v>
      </c>
      <c r="G498" s="30">
        <v>72</v>
      </c>
      <c r="H498" s="30">
        <v>180</v>
      </c>
      <c r="I498" s="30">
        <v>25.21</v>
      </c>
      <c r="J498" s="30" t="s">
        <v>71</v>
      </c>
      <c r="K498" s="58">
        <v>0</v>
      </c>
      <c r="L498" s="58">
        <v>3.3258120596028602E+17</v>
      </c>
    </row>
    <row r="499" spans="3:12">
      <c r="C499" s="29" t="b">
        <v>0</v>
      </c>
      <c r="D499" s="30" t="s">
        <v>513</v>
      </c>
      <c r="E499" s="137" t="s">
        <v>499</v>
      </c>
      <c r="F499" s="30" t="s">
        <v>97</v>
      </c>
      <c r="G499" s="30">
        <v>76</v>
      </c>
      <c r="H499" s="30">
        <v>205</v>
      </c>
      <c r="I499" s="30">
        <v>25.45</v>
      </c>
      <c r="J499" s="30" t="s">
        <v>71</v>
      </c>
      <c r="K499" s="58">
        <v>0</v>
      </c>
      <c r="L499" s="58">
        <v>4.4620386796669901E+18</v>
      </c>
    </row>
    <row r="500" spans="3:12">
      <c r="C500" s="29" t="b">
        <v>0</v>
      </c>
      <c r="D500" s="30" t="s">
        <v>514</v>
      </c>
      <c r="E500" s="137" t="s">
        <v>499</v>
      </c>
      <c r="F500" s="30" t="s">
        <v>97</v>
      </c>
      <c r="G500" s="30">
        <v>71</v>
      </c>
      <c r="H500" s="30">
        <v>193</v>
      </c>
      <c r="I500" s="30">
        <v>26.24</v>
      </c>
      <c r="J500" s="30" t="s">
        <v>71</v>
      </c>
      <c r="K500" s="58">
        <v>0</v>
      </c>
      <c r="L500" s="58">
        <v>9.0876241174602404E+18</v>
      </c>
    </row>
    <row r="501" spans="3:12">
      <c r="C501" s="29" t="b">
        <v>0</v>
      </c>
      <c r="D501" s="30" t="s">
        <v>515</v>
      </c>
      <c r="E501" s="137" t="s">
        <v>499</v>
      </c>
      <c r="F501" s="30" t="s">
        <v>97</v>
      </c>
      <c r="G501" s="30">
        <v>76</v>
      </c>
      <c r="H501" s="30">
        <v>230</v>
      </c>
      <c r="I501" s="30">
        <v>30.15</v>
      </c>
      <c r="J501" s="30" t="s">
        <v>71</v>
      </c>
      <c r="K501" s="58">
        <v>0</v>
      </c>
      <c r="L501" s="58">
        <v>6.3801878767632701E+18</v>
      </c>
    </row>
    <row r="502" spans="3:12">
      <c r="C502" s="29" t="b">
        <v>0</v>
      </c>
      <c r="D502" s="30" t="s">
        <v>516</v>
      </c>
      <c r="E502" s="137" t="s">
        <v>499</v>
      </c>
      <c r="F502" s="30" t="s">
        <v>97</v>
      </c>
      <c r="G502" s="30">
        <v>78</v>
      </c>
      <c r="H502" s="30">
        <v>230</v>
      </c>
      <c r="I502" s="30">
        <v>29.8</v>
      </c>
      <c r="J502" s="30" t="s">
        <v>71</v>
      </c>
      <c r="K502" s="58">
        <v>0</v>
      </c>
      <c r="L502" s="58">
        <v>1.78694701751401E+19</v>
      </c>
    </row>
    <row r="503" spans="3:12">
      <c r="C503" s="29" t="b">
        <v>0</v>
      </c>
      <c r="D503" s="30" t="s">
        <v>517</v>
      </c>
      <c r="E503" s="137" t="s">
        <v>499</v>
      </c>
      <c r="F503" s="30" t="s">
        <v>97</v>
      </c>
      <c r="G503" s="30">
        <v>75</v>
      </c>
      <c r="H503" s="30">
        <v>220</v>
      </c>
      <c r="I503" s="30">
        <v>33.409999999999997</v>
      </c>
      <c r="J503" s="30" t="s">
        <v>71</v>
      </c>
      <c r="K503" s="58">
        <v>0</v>
      </c>
      <c r="L503" s="58">
        <v>1.22675612998267E+19</v>
      </c>
    </row>
    <row r="504" spans="3:12">
      <c r="C504" s="29" t="b">
        <v>0</v>
      </c>
      <c r="D504" s="30" t="s">
        <v>518</v>
      </c>
      <c r="E504" s="137" t="s">
        <v>499</v>
      </c>
      <c r="F504" s="30" t="s">
        <v>97</v>
      </c>
      <c r="G504" s="30">
        <v>73</v>
      </c>
      <c r="H504" s="30">
        <v>200</v>
      </c>
      <c r="I504" s="30">
        <v>30.95</v>
      </c>
      <c r="J504" s="30" t="s">
        <v>71</v>
      </c>
      <c r="K504" s="58">
        <v>0</v>
      </c>
      <c r="L504" s="58">
        <v>1.02125100729628E+19</v>
      </c>
    </row>
    <row r="505" spans="3:12">
      <c r="C505" s="29" t="b">
        <v>0</v>
      </c>
      <c r="D505" s="30" t="s">
        <v>519</v>
      </c>
      <c r="E505" s="137" t="s">
        <v>499</v>
      </c>
      <c r="F505" s="30" t="s">
        <v>68</v>
      </c>
      <c r="G505" s="30">
        <v>78</v>
      </c>
      <c r="H505" s="30">
        <v>249</v>
      </c>
      <c r="I505" s="30">
        <v>31.17</v>
      </c>
      <c r="J505" s="30" t="s">
        <v>71</v>
      </c>
      <c r="K505" s="58">
        <v>0</v>
      </c>
      <c r="L505" s="58">
        <v>1.14960071467253E+19</v>
      </c>
    </row>
    <row r="506" spans="3:12">
      <c r="C506" s="29" t="b">
        <v>0</v>
      </c>
      <c r="D506" s="30" t="s">
        <v>520</v>
      </c>
      <c r="E506" s="137" t="s">
        <v>499</v>
      </c>
      <c r="F506" s="30" t="s">
        <v>68</v>
      </c>
      <c r="G506" s="30">
        <v>74</v>
      </c>
      <c r="H506" s="30">
        <v>190</v>
      </c>
      <c r="I506" s="30">
        <v>30.95</v>
      </c>
      <c r="J506" s="30" t="s">
        <v>71</v>
      </c>
      <c r="K506" s="58">
        <v>0</v>
      </c>
      <c r="L506" s="58">
        <v>1.0858366040155699E+19</v>
      </c>
    </row>
    <row r="507" spans="3:12">
      <c r="C507" s="29" t="b">
        <v>0</v>
      </c>
      <c r="D507" s="30" t="s">
        <v>521</v>
      </c>
      <c r="E507" s="137" t="s">
        <v>499</v>
      </c>
      <c r="F507" s="30" t="s">
        <v>68</v>
      </c>
      <c r="G507" s="30">
        <v>79</v>
      </c>
      <c r="H507" s="30">
        <v>208</v>
      </c>
      <c r="I507" s="30">
        <v>29.44</v>
      </c>
      <c r="J507" s="30" t="s">
        <v>71</v>
      </c>
      <c r="K507" s="58">
        <v>0</v>
      </c>
      <c r="L507" s="58">
        <v>9.0518124227354501E+18</v>
      </c>
    </row>
    <row r="508" spans="3:12">
      <c r="C508" s="29" t="b">
        <v>0</v>
      </c>
      <c r="D508" s="30" t="s">
        <v>522</v>
      </c>
      <c r="E508" s="137" t="s">
        <v>499</v>
      </c>
      <c r="F508" s="30" t="s">
        <v>68</v>
      </c>
      <c r="G508" s="30">
        <v>75</v>
      </c>
      <c r="H508" s="30">
        <v>245</v>
      </c>
      <c r="I508" s="30">
        <v>27.14</v>
      </c>
      <c r="J508" s="30" t="s">
        <v>71</v>
      </c>
      <c r="K508" s="58">
        <v>0</v>
      </c>
      <c r="L508" s="58">
        <v>5.3364611579367997E+18</v>
      </c>
    </row>
    <row r="509" spans="3:12">
      <c r="C509" s="29" t="b">
        <v>0</v>
      </c>
      <c r="D509" s="30" t="s">
        <v>523</v>
      </c>
      <c r="E509" s="137" t="s">
        <v>499</v>
      </c>
      <c r="F509" s="30" t="s">
        <v>68</v>
      </c>
      <c r="G509" s="30">
        <v>76</v>
      </c>
      <c r="H509" s="30">
        <v>250</v>
      </c>
      <c r="I509" s="30">
        <v>26.21</v>
      </c>
      <c r="J509" s="30" t="s">
        <v>71</v>
      </c>
      <c r="K509" s="58">
        <v>0</v>
      </c>
      <c r="L509" s="58">
        <v>6.1306967945226803E+18</v>
      </c>
    </row>
    <row r="510" spans="3:12">
      <c r="C510" s="29" t="b">
        <v>0</v>
      </c>
      <c r="D510" s="30" t="s">
        <v>524</v>
      </c>
      <c r="E510" s="137" t="s">
        <v>499</v>
      </c>
      <c r="F510" s="30" t="s">
        <v>68</v>
      </c>
      <c r="G510" s="30">
        <v>72</v>
      </c>
      <c r="H510" s="30">
        <v>160</v>
      </c>
      <c r="I510" s="30">
        <v>24.08</v>
      </c>
      <c r="J510" s="30" t="s">
        <v>71</v>
      </c>
      <c r="K510" s="58">
        <v>0</v>
      </c>
      <c r="L510" s="58">
        <v>1.6212791532389599E+19</v>
      </c>
    </row>
    <row r="511" spans="3:12">
      <c r="C511" s="29" t="b">
        <v>0</v>
      </c>
      <c r="D511" s="30" t="s">
        <v>525</v>
      </c>
      <c r="E511" s="137" t="s">
        <v>499</v>
      </c>
      <c r="F511" s="30" t="s">
        <v>68</v>
      </c>
      <c r="G511" s="30">
        <v>75</v>
      </c>
      <c r="H511" s="30">
        <v>192</v>
      </c>
      <c r="I511" s="30">
        <v>23.96</v>
      </c>
      <c r="J511" s="30" t="s">
        <v>71</v>
      </c>
      <c r="K511" s="58">
        <v>0</v>
      </c>
      <c r="L511" s="58">
        <v>1.7037115120455899E+19</v>
      </c>
    </row>
    <row r="512" spans="3:12">
      <c r="C512" s="29" t="b">
        <v>0</v>
      </c>
      <c r="D512" s="30" t="s">
        <v>526</v>
      </c>
      <c r="E512" s="137" t="s">
        <v>499</v>
      </c>
      <c r="F512" s="30" t="s">
        <v>68</v>
      </c>
      <c r="G512" s="30">
        <v>75</v>
      </c>
      <c r="H512" s="30">
        <v>220</v>
      </c>
      <c r="I512" s="30">
        <v>24.94</v>
      </c>
      <c r="J512" s="30" t="s">
        <v>71</v>
      </c>
      <c r="K512" s="58">
        <v>0</v>
      </c>
      <c r="L512" s="58">
        <v>1.86432269262335E+18</v>
      </c>
    </row>
    <row r="513" spans="3:12">
      <c r="C513" s="29" t="b">
        <v>0</v>
      </c>
      <c r="D513" s="30" t="s">
        <v>527</v>
      </c>
      <c r="E513" s="137" t="s">
        <v>499</v>
      </c>
      <c r="F513" s="30" t="s">
        <v>68</v>
      </c>
      <c r="G513" s="30">
        <v>70</v>
      </c>
      <c r="H513" s="30">
        <v>170</v>
      </c>
      <c r="I513" s="30">
        <v>29.56</v>
      </c>
      <c r="J513" s="30" t="s">
        <v>71</v>
      </c>
      <c r="K513" s="58">
        <v>0</v>
      </c>
      <c r="L513" s="58">
        <v>6.6471819042778501E+18</v>
      </c>
    </row>
    <row r="514" spans="3:12">
      <c r="C514" s="29" t="b">
        <v>0</v>
      </c>
      <c r="D514" s="30" t="s">
        <v>528</v>
      </c>
      <c r="E514" s="137" t="s">
        <v>499</v>
      </c>
      <c r="F514" s="30" t="s">
        <v>68</v>
      </c>
      <c r="G514" s="30">
        <v>72</v>
      </c>
      <c r="H514" s="30">
        <v>197</v>
      </c>
      <c r="I514" s="30">
        <v>26.42</v>
      </c>
      <c r="J514" s="30" t="s">
        <v>71</v>
      </c>
      <c r="K514" s="58">
        <v>0</v>
      </c>
      <c r="L514" s="58">
        <v>6.8020548347479898E+17</v>
      </c>
    </row>
    <row r="515" spans="3:12">
      <c r="C515" s="29" t="b">
        <v>0</v>
      </c>
      <c r="D515" s="30" t="s">
        <v>529</v>
      </c>
      <c r="E515" s="137" t="s">
        <v>499</v>
      </c>
      <c r="F515" s="30" t="s">
        <v>68</v>
      </c>
      <c r="G515" s="30">
        <v>70</v>
      </c>
      <c r="H515" s="30">
        <v>155</v>
      </c>
      <c r="I515" s="30">
        <v>23.92</v>
      </c>
      <c r="J515" s="30" t="s">
        <v>71</v>
      </c>
      <c r="K515" s="58">
        <v>0</v>
      </c>
      <c r="L515" s="58">
        <v>6.8778648314667602E+18</v>
      </c>
    </row>
    <row r="516" spans="3:12">
      <c r="C516" s="29" t="b">
        <v>0</v>
      </c>
      <c r="D516" s="30" t="s">
        <v>530</v>
      </c>
      <c r="E516" s="137" t="s">
        <v>499</v>
      </c>
      <c r="F516" s="30" t="s">
        <v>68</v>
      </c>
      <c r="G516" s="30">
        <v>74</v>
      </c>
      <c r="H516" s="30">
        <v>190</v>
      </c>
      <c r="I516" s="30">
        <v>25.23</v>
      </c>
      <c r="J516" s="30" t="s">
        <v>71</v>
      </c>
      <c r="K516" s="58">
        <v>0</v>
      </c>
      <c r="L516" s="58">
        <v>6.1891037172522404E+18</v>
      </c>
    </row>
    <row r="517" spans="3:12">
      <c r="C517" s="29" t="b">
        <v>0</v>
      </c>
      <c r="D517" s="30" t="s">
        <v>531</v>
      </c>
      <c r="E517" s="137" t="s">
        <v>532</v>
      </c>
      <c r="F517" s="30" t="s">
        <v>74</v>
      </c>
      <c r="G517" s="30">
        <v>71</v>
      </c>
      <c r="H517" s="30">
        <v>200</v>
      </c>
      <c r="I517" s="30">
        <v>35.82</v>
      </c>
      <c r="J517" s="30" t="s">
        <v>74</v>
      </c>
      <c r="K517" s="58">
        <v>0</v>
      </c>
      <c r="L517" s="58">
        <v>1.5076553733640401E+19</v>
      </c>
    </row>
    <row r="518" spans="3:12">
      <c r="C518" s="29" t="b">
        <v>0</v>
      </c>
      <c r="D518" s="30" t="s">
        <v>533</v>
      </c>
      <c r="E518" s="137" t="s">
        <v>532</v>
      </c>
      <c r="F518" s="30" t="s">
        <v>74</v>
      </c>
      <c r="G518" s="30">
        <v>76</v>
      </c>
      <c r="H518" s="30">
        <v>220</v>
      </c>
      <c r="I518" s="30">
        <v>23.87</v>
      </c>
      <c r="J518" s="30" t="s">
        <v>74</v>
      </c>
      <c r="K518" s="58">
        <v>0</v>
      </c>
      <c r="L518" s="58">
        <v>3.3658120478754698E+18</v>
      </c>
    </row>
    <row r="519" spans="3:12">
      <c r="C519" s="29" t="b">
        <v>0</v>
      </c>
      <c r="D519" s="30" t="s">
        <v>534</v>
      </c>
      <c r="E519" s="137" t="s">
        <v>532</v>
      </c>
      <c r="F519" s="30" t="s">
        <v>74</v>
      </c>
      <c r="G519" s="30">
        <v>73</v>
      </c>
      <c r="H519" s="30">
        <v>210</v>
      </c>
      <c r="I519" s="30">
        <v>32.57</v>
      </c>
      <c r="J519" s="30" t="s">
        <v>74</v>
      </c>
      <c r="K519" s="58">
        <v>0</v>
      </c>
      <c r="L519" s="58">
        <v>5.3504819214368901E+18</v>
      </c>
    </row>
    <row r="520" spans="3:12">
      <c r="C520" s="29" t="b">
        <v>0</v>
      </c>
      <c r="D520" s="30" t="s">
        <v>535</v>
      </c>
      <c r="E520" s="137" t="s">
        <v>532</v>
      </c>
      <c r="F520" s="30" t="s">
        <v>78</v>
      </c>
      <c r="G520" s="30">
        <v>76</v>
      </c>
      <c r="H520" s="30">
        <v>228</v>
      </c>
      <c r="I520" s="30">
        <v>25.79</v>
      </c>
      <c r="J520" s="30" t="s">
        <v>79</v>
      </c>
      <c r="K520" s="58">
        <v>0</v>
      </c>
      <c r="L520" s="58">
        <v>1.36845647903761E+19</v>
      </c>
    </row>
    <row r="521" spans="3:12">
      <c r="C521" s="29" t="b">
        <v>0</v>
      </c>
      <c r="D521" s="30" t="s">
        <v>536</v>
      </c>
      <c r="E521" s="137" t="s">
        <v>532</v>
      </c>
      <c r="F521" s="30" t="s">
        <v>82</v>
      </c>
      <c r="G521" s="30">
        <v>71</v>
      </c>
      <c r="H521" s="30">
        <v>190</v>
      </c>
      <c r="I521" s="30">
        <v>31.47</v>
      </c>
      <c r="J521" s="30" t="s">
        <v>79</v>
      </c>
      <c r="K521" s="58">
        <v>0</v>
      </c>
      <c r="L521" s="58">
        <v>4.5824921248644101E+18</v>
      </c>
    </row>
    <row r="522" spans="3:12">
      <c r="C522" s="29" t="b">
        <v>0</v>
      </c>
      <c r="D522" s="30" t="s">
        <v>537</v>
      </c>
      <c r="E522" s="137" t="s">
        <v>532</v>
      </c>
      <c r="F522" s="30" t="s">
        <v>82</v>
      </c>
      <c r="G522" s="30">
        <v>69</v>
      </c>
      <c r="H522" s="30">
        <v>160</v>
      </c>
      <c r="I522" s="30">
        <v>22.61</v>
      </c>
      <c r="J522" s="30" t="s">
        <v>79</v>
      </c>
      <c r="K522" s="58">
        <v>0</v>
      </c>
      <c r="L522" s="58">
        <v>1.31010215794363E+19</v>
      </c>
    </row>
    <row r="523" spans="3:12">
      <c r="C523" s="29" t="b">
        <v>0</v>
      </c>
      <c r="D523" s="30" t="s">
        <v>538</v>
      </c>
      <c r="E523" s="137" t="s">
        <v>532</v>
      </c>
      <c r="F523" s="30" t="s">
        <v>82</v>
      </c>
      <c r="G523" s="30">
        <v>72</v>
      </c>
      <c r="H523" s="30">
        <v>184</v>
      </c>
      <c r="I523" s="30">
        <v>24.85</v>
      </c>
      <c r="J523" s="30" t="s">
        <v>79</v>
      </c>
      <c r="K523" s="58">
        <v>0</v>
      </c>
      <c r="L523" s="58">
        <v>4.12725709468992E+18</v>
      </c>
    </row>
    <row r="524" spans="3:12">
      <c r="C524" s="29" t="b">
        <v>0</v>
      </c>
      <c r="D524" s="30" t="s">
        <v>539</v>
      </c>
      <c r="E524" s="137" t="s">
        <v>532</v>
      </c>
      <c r="F524" s="30" t="s">
        <v>84</v>
      </c>
      <c r="G524" s="30">
        <v>72</v>
      </c>
      <c r="H524" s="30">
        <v>180</v>
      </c>
      <c r="I524" s="30">
        <v>27.33</v>
      </c>
      <c r="J524" s="30" t="s">
        <v>79</v>
      </c>
      <c r="K524" s="58">
        <v>0</v>
      </c>
      <c r="L524" s="58">
        <v>1.3529380092737901E+19</v>
      </c>
    </row>
    <row r="525" spans="3:12">
      <c r="C525" s="29" t="b">
        <v>0</v>
      </c>
      <c r="D525" s="30" t="s">
        <v>540</v>
      </c>
      <c r="E525" s="137" t="s">
        <v>532</v>
      </c>
      <c r="F525" s="30" t="s">
        <v>86</v>
      </c>
      <c r="G525" s="30">
        <v>69</v>
      </c>
      <c r="H525" s="30">
        <v>180</v>
      </c>
      <c r="I525" s="30">
        <v>26.67</v>
      </c>
      <c r="J525" s="30" t="s">
        <v>79</v>
      </c>
      <c r="K525" s="58">
        <v>0</v>
      </c>
      <c r="L525" s="58">
        <v>7.3815350565249495E+18</v>
      </c>
    </row>
    <row r="526" spans="3:12">
      <c r="C526" s="29" t="b">
        <v>0</v>
      </c>
      <c r="D526" s="30" t="s">
        <v>541</v>
      </c>
      <c r="E526" s="137" t="s">
        <v>532</v>
      </c>
      <c r="F526" s="30" t="s">
        <v>86</v>
      </c>
      <c r="G526" s="30">
        <v>73</v>
      </c>
      <c r="H526" s="30">
        <v>200</v>
      </c>
      <c r="I526" s="30">
        <v>37.43</v>
      </c>
      <c r="J526" s="30" t="s">
        <v>79</v>
      </c>
      <c r="K526" s="58">
        <v>0</v>
      </c>
      <c r="L526" s="58">
        <v>1.83310162506262E+19</v>
      </c>
    </row>
    <row r="527" spans="3:12">
      <c r="C527" s="29" t="b">
        <v>0</v>
      </c>
      <c r="D527" s="30" t="s">
        <v>542</v>
      </c>
      <c r="E527" s="137" t="s">
        <v>532</v>
      </c>
      <c r="F527" s="30" t="s">
        <v>86</v>
      </c>
      <c r="G527" s="30">
        <v>69</v>
      </c>
      <c r="H527" s="30">
        <v>176</v>
      </c>
      <c r="I527" s="30">
        <v>29.31</v>
      </c>
      <c r="J527" s="30" t="s">
        <v>79</v>
      </c>
      <c r="K527" s="58">
        <v>0</v>
      </c>
      <c r="L527" s="58">
        <v>1.47185315993076E+19</v>
      </c>
    </row>
    <row r="528" spans="3:12">
      <c r="C528" s="29" t="b">
        <v>0</v>
      </c>
      <c r="D528" s="30" t="s">
        <v>543</v>
      </c>
      <c r="E528" s="137" t="s">
        <v>532</v>
      </c>
      <c r="F528" s="30" t="s">
        <v>89</v>
      </c>
      <c r="G528" s="30">
        <v>73</v>
      </c>
      <c r="H528" s="30">
        <v>160</v>
      </c>
      <c r="I528" s="30">
        <v>29.85</v>
      </c>
      <c r="J528" s="30" t="s">
        <v>89</v>
      </c>
      <c r="K528" s="58">
        <v>0</v>
      </c>
      <c r="L528" s="58">
        <v>7.6439784994895196E+18</v>
      </c>
    </row>
    <row r="529" spans="3:12">
      <c r="C529" s="29" t="b">
        <v>0</v>
      </c>
      <c r="D529" s="30" t="s">
        <v>544</v>
      </c>
      <c r="E529" s="137" t="s">
        <v>532</v>
      </c>
      <c r="F529" s="30" t="s">
        <v>89</v>
      </c>
      <c r="G529" s="30">
        <v>74</v>
      </c>
      <c r="H529" s="30">
        <v>222</v>
      </c>
      <c r="I529" s="30">
        <v>27.93</v>
      </c>
      <c r="J529" s="30" t="s">
        <v>89</v>
      </c>
      <c r="K529" s="58">
        <v>0</v>
      </c>
      <c r="L529" s="58">
        <v>1.43850985500237E+19</v>
      </c>
    </row>
    <row r="530" spans="3:12">
      <c r="C530" s="29" t="b">
        <v>0</v>
      </c>
      <c r="D530" s="30" t="s">
        <v>545</v>
      </c>
      <c r="E530" s="137" t="s">
        <v>532</v>
      </c>
      <c r="F530" s="30" t="s">
        <v>89</v>
      </c>
      <c r="G530" s="30">
        <v>74</v>
      </c>
      <c r="H530" s="30">
        <v>211</v>
      </c>
      <c r="I530" s="30">
        <v>31.62</v>
      </c>
      <c r="J530" s="30" t="s">
        <v>89</v>
      </c>
      <c r="K530" s="58">
        <v>0</v>
      </c>
      <c r="L530" s="58">
        <v>1.5959695994821801E+18</v>
      </c>
    </row>
    <row r="531" spans="3:12">
      <c r="C531" s="29" t="b">
        <v>0</v>
      </c>
      <c r="D531" s="30" t="s">
        <v>546</v>
      </c>
      <c r="E531" s="137" t="s">
        <v>532</v>
      </c>
      <c r="F531" s="30" t="s">
        <v>89</v>
      </c>
      <c r="G531" s="30">
        <v>72</v>
      </c>
      <c r="H531" s="30">
        <v>195</v>
      </c>
      <c r="I531" s="30">
        <v>30.55</v>
      </c>
      <c r="J531" s="30" t="s">
        <v>89</v>
      </c>
      <c r="K531" s="58">
        <v>0</v>
      </c>
      <c r="L531" s="58">
        <v>1.0663084988236401E+19</v>
      </c>
    </row>
    <row r="532" spans="3:12">
      <c r="C532" s="29" t="b">
        <v>0</v>
      </c>
      <c r="D532" s="30" t="s">
        <v>547</v>
      </c>
      <c r="E532" s="137" t="s">
        <v>532</v>
      </c>
      <c r="F532" s="30" t="s">
        <v>89</v>
      </c>
      <c r="G532" s="30">
        <v>71</v>
      </c>
      <c r="H532" s="30">
        <v>200</v>
      </c>
      <c r="I532" s="30">
        <v>24.77</v>
      </c>
      <c r="J532" s="30" t="s">
        <v>89</v>
      </c>
      <c r="K532" s="58">
        <v>0</v>
      </c>
      <c r="L532" s="58">
        <v>9.9434283562832794E+18</v>
      </c>
    </row>
    <row r="533" spans="3:12">
      <c r="C533" s="29" t="b">
        <v>0</v>
      </c>
      <c r="D533" s="30" t="s">
        <v>548</v>
      </c>
      <c r="E533" s="137" t="s">
        <v>532</v>
      </c>
      <c r="F533" s="30" t="s">
        <v>97</v>
      </c>
      <c r="G533" s="30">
        <v>72</v>
      </c>
      <c r="H533" s="30">
        <v>175</v>
      </c>
      <c r="I533" s="30">
        <v>33.770000000000003</v>
      </c>
      <c r="J533" s="30" t="s">
        <v>71</v>
      </c>
      <c r="K533" s="58">
        <v>0</v>
      </c>
      <c r="L533" s="58">
        <v>8.9438016133399296E+16</v>
      </c>
    </row>
    <row r="534" spans="3:12">
      <c r="C534" s="29" t="b">
        <v>0</v>
      </c>
      <c r="D534" s="30" t="s">
        <v>549</v>
      </c>
      <c r="E534" s="137" t="s">
        <v>532</v>
      </c>
      <c r="F534" s="30" t="s">
        <v>97</v>
      </c>
      <c r="G534" s="30">
        <v>72</v>
      </c>
      <c r="H534" s="30">
        <v>206</v>
      </c>
      <c r="I534" s="30">
        <v>27.97</v>
      </c>
      <c r="J534" s="30" t="s">
        <v>71</v>
      </c>
      <c r="K534" s="58">
        <v>0</v>
      </c>
      <c r="L534" s="58">
        <v>6.9322133191302605E+18</v>
      </c>
    </row>
    <row r="535" spans="3:12">
      <c r="C535" s="29" t="b">
        <v>0</v>
      </c>
      <c r="D535" s="30" t="s">
        <v>550</v>
      </c>
      <c r="E535" s="137" t="s">
        <v>532</v>
      </c>
      <c r="F535" s="30" t="s">
        <v>97</v>
      </c>
      <c r="G535" s="30">
        <v>76</v>
      </c>
      <c r="H535" s="30">
        <v>240</v>
      </c>
      <c r="I535" s="30">
        <v>27.85</v>
      </c>
      <c r="J535" s="30" t="s">
        <v>71</v>
      </c>
      <c r="K535" s="58">
        <v>0</v>
      </c>
      <c r="L535" s="58">
        <v>1.7265547108841699E+19</v>
      </c>
    </row>
    <row r="536" spans="3:12">
      <c r="C536" s="29" t="b">
        <v>0</v>
      </c>
      <c r="D536" s="30" t="s">
        <v>551</v>
      </c>
      <c r="E536" s="137" t="s">
        <v>532</v>
      </c>
      <c r="F536" s="30" t="s">
        <v>97</v>
      </c>
      <c r="G536" s="30">
        <v>76</v>
      </c>
      <c r="H536" s="30">
        <v>185</v>
      </c>
      <c r="I536" s="30">
        <v>23.26</v>
      </c>
      <c r="J536" s="30" t="s">
        <v>71</v>
      </c>
      <c r="K536" s="58">
        <v>0</v>
      </c>
      <c r="L536" s="58">
        <v>8.1518112145144596E+18</v>
      </c>
    </row>
    <row r="537" spans="3:12">
      <c r="C537" s="29" t="b">
        <v>0</v>
      </c>
      <c r="D537" s="30" t="s">
        <v>552</v>
      </c>
      <c r="E537" s="137" t="s">
        <v>532</v>
      </c>
      <c r="F537" s="30" t="s">
        <v>97</v>
      </c>
      <c r="G537" s="30">
        <v>76</v>
      </c>
      <c r="H537" s="30">
        <v>260</v>
      </c>
      <c r="I537" s="30">
        <v>25.38</v>
      </c>
      <c r="J537" s="30" t="s">
        <v>71</v>
      </c>
      <c r="K537" s="58">
        <v>0</v>
      </c>
      <c r="L537" s="58">
        <v>1.2880130351702301E+19</v>
      </c>
    </row>
    <row r="538" spans="3:12">
      <c r="C538" s="29" t="b">
        <v>0</v>
      </c>
      <c r="D538" s="30" t="s">
        <v>553</v>
      </c>
      <c r="E538" s="137" t="s">
        <v>532</v>
      </c>
      <c r="F538" s="30" t="s">
        <v>97</v>
      </c>
      <c r="G538" s="30">
        <v>74</v>
      </c>
      <c r="H538" s="30">
        <v>185</v>
      </c>
      <c r="I538" s="30">
        <v>23.35</v>
      </c>
      <c r="J538" s="30" t="s">
        <v>71</v>
      </c>
      <c r="K538" s="58">
        <v>0</v>
      </c>
      <c r="L538" s="58">
        <v>2.45065441269747E+18</v>
      </c>
    </row>
    <row r="539" spans="3:12">
      <c r="C539" s="29" t="b">
        <v>0</v>
      </c>
      <c r="D539" s="30" t="s">
        <v>554</v>
      </c>
      <c r="E539" s="137" t="s">
        <v>532</v>
      </c>
      <c r="F539" s="30" t="s">
        <v>97</v>
      </c>
      <c r="G539" s="30">
        <v>76</v>
      </c>
      <c r="H539" s="30">
        <v>221</v>
      </c>
      <c r="I539" s="30">
        <v>25.45</v>
      </c>
      <c r="J539" s="30" t="s">
        <v>71</v>
      </c>
      <c r="K539" s="58">
        <v>0</v>
      </c>
      <c r="L539" s="58">
        <v>1.7306061300567099E+19</v>
      </c>
    </row>
    <row r="540" spans="3:12">
      <c r="C540" s="29" t="b">
        <v>0</v>
      </c>
      <c r="D540" s="30" t="s">
        <v>555</v>
      </c>
      <c r="E540" s="137" t="s">
        <v>532</v>
      </c>
      <c r="F540" s="30" t="s">
        <v>68</v>
      </c>
      <c r="G540" s="30">
        <v>75</v>
      </c>
      <c r="H540" s="30">
        <v>205</v>
      </c>
      <c r="I540" s="30">
        <v>26.49</v>
      </c>
      <c r="J540" s="30" t="s">
        <v>71</v>
      </c>
      <c r="K540" s="58">
        <v>0</v>
      </c>
      <c r="L540" s="58">
        <v>4.7126304643429202E+18</v>
      </c>
    </row>
    <row r="541" spans="3:12">
      <c r="C541" s="29" t="b">
        <v>0</v>
      </c>
      <c r="D541" s="30" t="s">
        <v>556</v>
      </c>
      <c r="E541" s="137" t="s">
        <v>532</v>
      </c>
      <c r="F541" s="30" t="s">
        <v>68</v>
      </c>
      <c r="G541" s="30">
        <v>71</v>
      </c>
      <c r="H541" s="30">
        <v>200</v>
      </c>
      <c r="I541" s="30">
        <v>24</v>
      </c>
      <c r="J541" s="30" t="s">
        <v>71</v>
      </c>
      <c r="K541" s="58">
        <v>0</v>
      </c>
      <c r="L541" s="58">
        <v>1.2858733218843099E+19</v>
      </c>
    </row>
    <row r="542" spans="3:12">
      <c r="C542" s="29" t="b">
        <v>0</v>
      </c>
      <c r="D542" s="30" t="s">
        <v>557</v>
      </c>
      <c r="E542" s="137" t="s">
        <v>532</v>
      </c>
      <c r="F542" s="30" t="s">
        <v>68</v>
      </c>
      <c r="G542" s="30">
        <v>72</v>
      </c>
      <c r="H542" s="30">
        <v>170</v>
      </c>
      <c r="I542" s="30">
        <v>24.16</v>
      </c>
      <c r="J542" s="30" t="s">
        <v>71</v>
      </c>
      <c r="K542" s="58">
        <v>0</v>
      </c>
      <c r="L542" s="58">
        <v>1.2381072375416001E+19</v>
      </c>
    </row>
    <row r="543" spans="3:12">
      <c r="C543" s="29" t="b">
        <v>0</v>
      </c>
      <c r="D543" s="30" t="s">
        <v>558</v>
      </c>
      <c r="E543" s="137" t="s">
        <v>532</v>
      </c>
      <c r="F543" s="30" t="s">
        <v>68</v>
      </c>
      <c r="G543" s="30">
        <v>71</v>
      </c>
      <c r="H543" s="30">
        <v>201</v>
      </c>
      <c r="I543" s="30">
        <v>28.1</v>
      </c>
      <c r="J543" s="30" t="s">
        <v>71</v>
      </c>
      <c r="K543" s="58">
        <v>0</v>
      </c>
      <c r="L543" s="58">
        <v>6.4069757443638395E+18</v>
      </c>
    </row>
    <row r="544" spans="3:12">
      <c r="C544" s="29" t="b">
        <v>0</v>
      </c>
      <c r="D544" s="30" t="s">
        <v>559</v>
      </c>
      <c r="E544" s="137" t="s">
        <v>532</v>
      </c>
      <c r="F544" s="30" t="s">
        <v>68</v>
      </c>
      <c r="G544" s="30">
        <v>73</v>
      </c>
      <c r="H544" s="30">
        <v>205</v>
      </c>
      <c r="I544" s="30">
        <v>25.65</v>
      </c>
      <c r="J544" s="30" t="s">
        <v>71</v>
      </c>
      <c r="K544" s="58">
        <v>0</v>
      </c>
      <c r="L544" s="58">
        <v>1.83320386590801E+19</v>
      </c>
    </row>
    <row r="545" spans="3:12">
      <c r="C545" s="29" t="b">
        <v>0</v>
      </c>
      <c r="D545" s="30" t="s">
        <v>560</v>
      </c>
      <c r="E545" s="137" t="s">
        <v>532</v>
      </c>
      <c r="F545" s="30" t="s">
        <v>68</v>
      </c>
      <c r="G545" s="30">
        <v>75</v>
      </c>
      <c r="H545" s="30">
        <v>185</v>
      </c>
      <c r="I545" s="30">
        <v>28.58</v>
      </c>
      <c r="J545" s="30" t="s">
        <v>71</v>
      </c>
      <c r="K545" s="58">
        <v>0</v>
      </c>
      <c r="L545" s="58">
        <v>1.80572481756288E+19</v>
      </c>
    </row>
    <row r="546" spans="3:12">
      <c r="C546" s="29" t="b">
        <v>0</v>
      </c>
      <c r="D546" s="30" t="s">
        <v>561</v>
      </c>
      <c r="E546" s="137" t="s">
        <v>532</v>
      </c>
      <c r="F546" s="30" t="s">
        <v>68</v>
      </c>
      <c r="G546" s="30">
        <v>76</v>
      </c>
      <c r="H546" s="30">
        <v>205</v>
      </c>
      <c r="I546" s="30">
        <v>32.270000000000003</v>
      </c>
      <c r="J546" s="30" t="s">
        <v>71</v>
      </c>
      <c r="K546" s="58">
        <v>0</v>
      </c>
      <c r="L546" s="58">
        <v>6.9392922465461996E+18</v>
      </c>
    </row>
    <row r="547" spans="3:12">
      <c r="C547" s="29" t="b">
        <v>0</v>
      </c>
      <c r="D547" s="30" t="s">
        <v>562</v>
      </c>
      <c r="E547" s="137" t="s">
        <v>532</v>
      </c>
      <c r="F547" s="30" t="s">
        <v>68</v>
      </c>
      <c r="G547" s="30">
        <v>75</v>
      </c>
      <c r="H547" s="30">
        <v>245</v>
      </c>
      <c r="I547" s="30">
        <v>29.86</v>
      </c>
      <c r="J547" s="30" t="s">
        <v>71</v>
      </c>
      <c r="K547" s="58">
        <v>0</v>
      </c>
      <c r="L547" s="58">
        <v>8.7461694162911898E+18</v>
      </c>
    </row>
    <row r="548" spans="3:12">
      <c r="C548" s="29" t="b">
        <v>0</v>
      </c>
      <c r="D548" s="30" t="s">
        <v>563</v>
      </c>
      <c r="E548" s="137" t="s">
        <v>564</v>
      </c>
      <c r="F548" s="30" t="s">
        <v>74</v>
      </c>
      <c r="G548" s="30">
        <v>71</v>
      </c>
      <c r="H548" s="30">
        <v>220</v>
      </c>
      <c r="I548" s="30">
        <v>25.14</v>
      </c>
      <c r="J548" s="30" t="s">
        <v>74</v>
      </c>
      <c r="K548" s="58">
        <v>0</v>
      </c>
      <c r="L548" s="58">
        <v>1.0896311732632799E+19</v>
      </c>
    </row>
    <row r="549" spans="3:12">
      <c r="C549" s="29" t="b">
        <v>0</v>
      </c>
      <c r="D549" s="30" t="s">
        <v>565</v>
      </c>
      <c r="E549" s="137" t="s">
        <v>564</v>
      </c>
      <c r="F549" s="30" t="s">
        <v>74</v>
      </c>
      <c r="G549" s="30">
        <v>75</v>
      </c>
      <c r="H549" s="30">
        <v>210</v>
      </c>
      <c r="I549" s="30">
        <v>23.03</v>
      </c>
      <c r="J549" s="30" t="s">
        <v>74</v>
      </c>
      <c r="K549" s="58">
        <v>0</v>
      </c>
      <c r="L549" s="58">
        <v>1.2821529906671401E+19</v>
      </c>
    </row>
    <row r="550" spans="3:12">
      <c r="C550" s="29" t="b">
        <v>0</v>
      </c>
      <c r="D550" s="30" t="s">
        <v>566</v>
      </c>
      <c r="E550" s="137" t="s">
        <v>564</v>
      </c>
      <c r="F550" s="30" t="s">
        <v>78</v>
      </c>
      <c r="G550" s="30">
        <v>74</v>
      </c>
      <c r="H550" s="30">
        <v>220</v>
      </c>
      <c r="I550" s="30">
        <v>30.25</v>
      </c>
      <c r="J550" s="30" t="s">
        <v>79</v>
      </c>
      <c r="K550" s="58">
        <v>0</v>
      </c>
      <c r="L550" s="58">
        <v>8.4404535593605005E+17</v>
      </c>
    </row>
    <row r="551" spans="3:12">
      <c r="C551" s="29" t="b">
        <v>0</v>
      </c>
      <c r="D551" s="30" t="s">
        <v>567</v>
      </c>
      <c r="E551" s="137" t="s">
        <v>564</v>
      </c>
      <c r="F551" s="30" t="s">
        <v>82</v>
      </c>
      <c r="G551" s="30">
        <v>72</v>
      </c>
      <c r="H551" s="30">
        <v>185</v>
      </c>
      <c r="I551" s="30">
        <v>30.67</v>
      </c>
      <c r="J551" s="30" t="s">
        <v>79</v>
      </c>
      <c r="K551" s="58">
        <v>0</v>
      </c>
      <c r="L551" s="58">
        <v>8.0912170442238802E+18</v>
      </c>
    </row>
    <row r="552" spans="3:12">
      <c r="C552" s="29" t="b">
        <v>0</v>
      </c>
      <c r="D552" s="30" t="s">
        <v>568</v>
      </c>
      <c r="E552" s="137" t="s">
        <v>564</v>
      </c>
      <c r="F552" s="30" t="s">
        <v>82</v>
      </c>
      <c r="G552" s="30">
        <v>73</v>
      </c>
      <c r="H552" s="30">
        <v>175</v>
      </c>
      <c r="I552" s="30">
        <v>27.73</v>
      </c>
      <c r="J552" s="30" t="s">
        <v>79</v>
      </c>
      <c r="K552" s="58">
        <v>0</v>
      </c>
      <c r="L552" s="58">
        <v>1.5736055524118E+19</v>
      </c>
    </row>
    <row r="553" spans="3:12">
      <c r="C553" s="29" t="b">
        <v>0</v>
      </c>
      <c r="D553" s="30" t="s">
        <v>569</v>
      </c>
      <c r="E553" s="137" t="s">
        <v>564</v>
      </c>
      <c r="F553" s="30" t="s">
        <v>82</v>
      </c>
      <c r="G553" s="30">
        <v>73</v>
      </c>
      <c r="H553" s="30">
        <v>170</v>
      </c>
      <c r="I553" s="30">
        <v>23.34</v>
      </c>
      <c r="J553" s="30" t="s">
        <v>79</v>
      </c>
      <c r="K553" s="58">
        <v>0</v>
      </c>
      <c r="L553" s="58">
        <v>1.2785742755526199E+19</v>
      </c>
    </row>
    <row r="554" spans="3:12">
      <c r="C554" s="29" t="b">
        <v>0</v>
      </c>
      <c r="D554" s="30" t="s">
        <v>570</v>
      </c>
      <c r="E554" s="137" t="s">
        <v>564</v>
      </c>
      <c r="F554" s="30" t="s">
        <v>84</v>
      </c>
      <c r="G554" s="30">
        <v>73</v>
      </c>
      <c r="H554" s="30">
        <v>180</v>
      </c>
      <c r="I554" s="30">
        <v>25.94</v>
      </c>
      <c r="J554" s="30" t="s">
        <v>79</v>
      </c>
      <c r="K554" s="58">
        <v>0</v>
      </c>
      <c r="L554" s="58">
        <v>1.11851589017036E+19</v>
      </c>
    </row>
    <row r="555" spans="3:12">
      <c r="C555" s="29" t="b">
        <v>0</v>
      </c>
      <c r="D555" s="30" t="s">
        <v>571</v>
      </c>
      <c r="E555" s="137" t="s">
        <v>564</v>
      </c>
      <c r="F555" s="30" t="s">
        <v>84</v>
      </c>
      <c r="G555" s="30">
        <v>73</v>
      </c>
      <c r="H555" s="30">
        <v>200</v>
      </c>
      <c r="I555" s="30">
        <v>31.56</v>
      </c>
      <c r="J555" s="30" t="s">
        <v>79</v>
      </c>
      <c r="K555" s="58">
        <v>0</v>
      </c>
      <c r="L555" s="58">
        <v>1.67091618711354E+19</v>
      </c>
    </row>
    <row r="556" spans="3:12">
      <c r="C556" s="29" t="b">
        <v>0</v>
      </c>
      <c r="D556" s="30" t="s">
        <v>572</v>
      </c>
      <c r="E556" s="137" t="s">
        <v>564</v>
      </c>
      <c r="F556" s="30" t="s">
        <v>86</v>
      </c>
      <c r="G556" s="30">
        <v>76</v>
      </c>
      <c r="H556" s="30">
        <v>210</v>
      </c>
      <c r="I556" s="30">
        <v>34.85</v>
      </c>
      <c r="J556" s="30" t="s">
        <v>79</v>
      </c>
      <c r="K556" s="58">
        <v>0</v>
      </c>
      <c r="L556" s="58">
        <v>1.4728094753088201E+19</v>
      </c>
    </row>
    <row r="557" spans="3:12">
      <c r="C557" s="29" t="b">
        <v>0</v>
      </c>
      <c r="D557" s="30" t="s">
        <v>573</v>
      </c>
      <c r="E557" s="137" t="s">
        <v>564</v>
      </c>
      <c r="F557" s="30" t="s">
        <v>86</v>
      </c>
      <c r="G557" s="30">
        <v>72</v>
      </c>
      <c r="H557" s="30">
        <v>175</v>
      </c>
      <c r="I557" s="30">
        <v>23.98</v>
      </c>
      <c r="J557" s="30" t="s">
        <v>79</v>
      </c>
      <c r="K557" s="58">
        <v>0</v>
      </c>
      <c r="L557" s="58">
        <v>3.17946743700064E+18</v>
      </c>
    </row>
    <row r="558" spans="3:12">
      <c r="C558" s="29" t="b">
        <v>0</v>
      </c>
      <c r="D558" s="30" t="s">
        <v>574</v>
      </c>
      <c r="E558" s="137" t="s">
        <v>564</v>
      </c>
      <c r="F558" s="30" t="s">
        <v>89</v>
      </c>
      <c r="G558" s="30">
        <v>76</v>
      </c>
      <c r="H558" s="30">
        <v>220</v>
      </c>
      <c r="I558" s="30">
        <v>23.14</v>
      </c>
      <c r="J558" s="30" t="s">
        <v>89</v>
      </c>
      <c r="K558" s="58">
        <v>0</v>
      </c>
      <c r="L558" s="58">
        <v>1.36926707578419E+19</v>
      </c>
    </row>
    <row r="559" spans="3:12">
      <c r="C559" s="29" t="b">
        <v>0</v>
      </c>
      <c r="D559" s="30" t="s">
        <v>575</v>
      </c>
      <c r="E559" s="137" t="s">
        <v>564</v>
      </c>
      <c r="F559" s="30" t="s">
        <v>89</v>
      </c>
      <c r="G559" s="30">
        <v>73</v>
      </c>
      <c r="H559" s="30">
        <v>206</v>
      </c>
      <c r="I559" s="30">
        <v>28.99</v>
      </c>
      <c r="J559" s="30" t="s">
        <v>89</v>
      </c>
      <c r="K559" s="58">
        <v>0</v>
      </c>
      <c r="L559" s="58">
        <v>1.38276204195513E+19</v>
      </c>
    </row>
    <row r="560" spans="3:12">
      <c r="C560" s="29" t="b">
        <v>0</v>
      </c>
      <c r="D560" s="30" t="s">
        <v>576</v>
      </c>
      <c r="E560" s="137" t="s">
        <v>564</v>
      </c>
      <c r="F560" s="30" t="s">
        <v>89</v>
      </c>
      <c r="G560" s="30">
        <v>73</v>
      </c>
      <c r="H560" s="30">
        <v>180</v>
      </c>
      <c r="I560" s="30">
        <v>25.02</v>
      </c>
      <c r="J560" s="30" t="s">
        <v>89</v>
      </c>
      <c r="K560" s="58">
        <v>0</v>
      </c>
      <c r="L560" s="58">
        <v>1.56745772743167E+19</v>
      </c>
    </row>
    <row r="561" spans="3:12">
      <c r="C561" s="29" t="b">
        <v>0</v>
      </c>
      <c r="D561" s="30" t="s">
        <v>577</v>
      </c>
      <c r="E561" s="137" t="s">
        <v>564</v>
      </c>
      <c r="F561" s="30" t="s">
        <v>89</v>
      </c>
      <c r="G561" s="30">
        <v>73</v>
      </c>
      <c r="H561" s="30">
        <v>210</v>
      </c>
      <c r="I561" s="30">
        <v>29.85</v>
      </c>
      <c r="J561" s="30" t="s">
        <v>89</v>
      </c>
      <c r="K561" s="58">
        <v>0</v>
      </c>
      <c r="L561" s="58">
        <v>1.3818591272931201E+19</v>
      </c>
    </row>
    <row r="562" spans="3:12">
      <c r="C562" s="29" t="b">
        <v>0</v>
      </c>
      <c r="D562" s="30" t="s">
        <v>578</v>
      </c>
      <c r="E562" s="137" t="s">
        <v>564</v>
      </c>
      <c r="F562" s="30" t="s">
        <v>89</v>
      </c>
      <c r="G562" s="30">
        <v>75</v>
      </c>
      <c r="H562" s="30">
        <v>195</v>
      </c>
      <c r="I562" s="30">
        <v>27.03</v>
      </c>
      <c r="J562" s="30" t="s">
        <v>89</v>
      </c>
      <c r="K562" s="58">
        <v>0</v>
      </c>
      <c r="L562" s="58">
        <v>1.1564531704135899E+19</v>
      </c>
    </row>
    <row r="563" spans="3:12">
      <c r="C563" s="29" t="b">
        <v>0</v>
      </c>
      <c r="D563" s="30" t="s">
        <v>579</v>
      </c>
      <c r="E563" s="137" t="s">
        <v>564</v>
      </c>
      <c r="F563" s="30" t="s">
        <v>89</v>
      </c>
      <c r="G563" s="30">
        <v>75</v>
      </c>
      <c r="H563" s="30">
        <v>200</v>
      </c>
      <c r="I563" s="30">
        <v>25.15</v>
      </c>
      <c r="J563" s="30" t="s">
        <v>89</v>
      </c>
      <c r="K563" s="58">
        <v>0</v>
      </c>
      <c r="L563" s="58">
        <v>1.3325724974043099E+19</v>
      </c>
    </row>
    <row r="564" spans="3:12">
      <c r="C564" s="29" t="b">
        <v>0</v>
      </c>
      <c r="D564" s="30" t="s">
        <v>580</v>
      </c>
      <c r="E564" s="137" t="s">
        <v>564</v>
      </c>
      <c r="F564" s="30" t="s">
        <v>89</v>
      </c>
      <c r="G564" s="30">
        <v>77</v>
      </c>
      <c r="H564" s="30">
        <v>200</v>
      </c>
      <c r="I564" s="30">
        <v>27.12</v>
      </c>
      <c r="J564" s="30" t="s">
        <v>89</v>
      </c>
      <c r="K564" s="58">
        <v>0</v>
      </c>
      <c r="L564" s="58">
        <v>1.8152297727888099E+19</v>
      </c>
    </row>
    <row r="565" spans="3:12">
      <c r="C565" s="29" t="b">
        <v>0</v>
      </c>
      <c r="D565" s="30" t="s">
        <v>581</v>
      </c>
      <c r="E565" s="137" t="s">
        <v>564</v>
      </c>
      <c r="F565" s="30" t="s">
        <v>97</v>
      </c>
      <c r="G565" s="30">
        <v>73</v>
      </c>
      <c r="H565" s="30">
        <v>164</v>
      </c>
      <c r="I565" s="30">
        <v>31.63</v>
      </c>
      <c r="J565" s="30" t="s">
        <v>71</v>
      </c>
      <c r="K565" s="58">
        <v>0</v>
      </c>
      <c r="L565" s="58">
        <v>8.1064263439186504E+18</v>
      </c>
    </row>
    <row r="566" spans="3:12">
      <c r="C566" s="29" t="b">
        <v>0</v>
      </c>
      <c r="D566" s="30" t="s">
        <v>582</v>
      </c>
      <c r="E566" s="137" t="s">
        <v>564</v>
      </c>
      <c r="F566" s="30" t="s">
        <v>97</v>
      </c>
      <c r="G566" s="30">
        <v>72</v>
      </c>
      <c r="H566" s="30">
        <v>180</v>
      </c>
      <c r="I566" s="30">
        <v>32.619999999999997</v>
      </c>
      <c r="J566" s="30" t="s">
        <v>71</v>
      </c>
      <c r="K566" s="58">
        <v>0</v>
      </c>
      <c r="L566" s="58">
        <v>1.0926096321975099E+19</v>
      </c>
    </row>
    <row r="567" spans="3:12">
      <c r="C567" s="29" t="b">
        <v>0</v>
      </c>
      <c r="D567" s="30" t="s">
        <v>583</v>
      </c>
      <c r="E567" s="137" t="s">
        <v>564</v>
      </c>
      <c r="F567" s="30" t="s">
        <v>97</v>
      </c>
      <c r="G567" s="30">
        <v>75</v>
      </c>
      <c r="H567" s="30">
        <v>220</v>
      </c>
      <c r="I567" s="30">
        <v>39.79</v>
      </c>
      <c r="J567" s="30" t="s">
        <v>71</v>
      </c>
      <c r="K567" s="58">
        <v>0</v>
      </c>
      <c r="L567" s="58">
        <v>1.82375478982109E+19</v>
      </c>
    </row>
    <row r="568" spans="3:12">
      <c r="C568" s="29" t="b">
        <v>0</v>
      </c>
      <c r="D568" s="30" t="s">
        <v>584</v>
      </c>
      <c r="E568" s="137" t="s">
        <v>564</v>
      </c>
      <c r="F568" s="30" t="s">
        <v>97</v>
      </c>
      <c r="G568" s="30">
        <v>70</v>
      </c>
      <c r="H568" s="30">
        <v>195</v>
      </c>
      <c r="I568" s="30">
        <v>34.47</v>
      </c>
      <c r="J568" s="30" t="s">
        <v>71</v>
      </c>
      <c r="K568" s="58">
        <v>0</v>
      </c>
      <c r="L568" s="58">
        <v>8.3852782840324905E+18</v>
      </c>
    </row>
    <row r="569" spans="3:12">
      <c r="C569" s="29" t="b">
        <v>0</v>
      </c>
      <c r="D569" s="30" t="s">
        <v>585</v>
      </c>
      <c r="E569" s="137" t="s">
        <v>564</v>
      </c>
      <c r="F569" s="30" t="s">
        <v>97</v>
      </c>
      <c r="G569" s="30">
        <v>74</v>
      </c>
      <c r="H569" s="30">
        <v>205</v>
      </c>
      <c r="I569" s="30">
        <v>23.47</v>
      </c>
      <c r="J569" s="30" t="s">
        <v>71</v>
      </c>
      <c r="K569" s="58">
        <v>0</v>
      </c>
      <c r="L569" s="58">
        <v>1.7149708208778299E+19</v>
      </c>
    </row>
    <row r="570" spans="3:12">
      <c r="C570" s="29" t="b">
        <v>0</v>
      </c>
      <c r="D570" s="30" t="s">
        <v>586</v>
      </c>
      <c r="E570" s="137" t="s">
        <v>564</v>
      </c>
      <c r="F570" s="30" t="s">
        <v>97</v>
      </c>
      <c r="G570" s="30">
        <v>72</v>
      </c>
      <c r="H570" s="30">
        <v>170</v>
      </c>
      <c r="I570" s="30">
        <v>25.31</v>
      </c>
      <c r="J570" s="30" t="s">
        <v>71</v>
      </c>
      <c r="K570" s="58">
        <v>0</v>
      </c>
      <c r="L570" s="58">
        <v>8.7668175737550899E+18</v>
      </c>
    </row>
    <row r="571" spans="3:12">
      <c r="C571" s="29" t="b">
        <v>0</v>
      </c>
      <c r="D571" s="30" t="s">
        <v>587</v>
      </c>
      <c r="E571" s="137" t="s">
        <v>564</v>
      </c>
      <c r="F571" s="30" t="s">
        <v>68</v>
      </c>
      <c r="G571" s="30">
        <v>80</v>
      </c>
      <c r="H571" s="30">
        <v>240</v>
      </c>
      <c r="I571" s="30">
        <v>27.1</v>
      </c>
      <c r="J571" s="30" t="s">
        <v>71</v>
      </c>
      <c r="K571" s="58">
        <v>0</v>
      </c>
      <c r="L571" s="58">
        <v>5.7701730922016901E+18</v>
      </c>
    </row>
    <row r="572" spans="3:12">
      <c r="C572" s="29" t="b">
        <v>0</v>
      </c>
      <c r="D572" s="30" t="s">
        <v>588</v>
      </c>
      <c r="E572" s="137" t="s">
        <v>564</v>
      </c>
      <c r="F572" s="30" t="s">
        <v>68</v>
      </c>
      <c r="G572" s="30">
        <v>71</v>
      </c>
      <c r="H572" s="30">
        <v>210</v>
      </c>
      <c r="I572" s="30">
        <v>24.35</v>
      </c>
      <c r="J572" s="30" t="s">
        <v>71</v>
      </c>
      <c r="K572" s="58">
        <v>0</v>
      </c>
      <c r="L572" s="58">
        <v>2.20013698876722E+18</v>
      </c>
    </row>
    <row r="573" spans="3:12">
      <c r="C573" s="29" t="b">
        <v>0</v>
      </c>
      <c r="D573" s="30" t="s">
        <v>589</v>
      </c>
      <c r="E573" s="137" t="s">
        <v>564</v>
      </c>
      <c r="F573" s="30" t="s">
        <v>68</v>
      </c>
      <c r="G573" s="30">
        <v>71</v>
      </c>
      <c r="H573" s="30">
        <v>195</v>
      </c>
      <c r="I573" s="30">
        <v>23.45</v>
      </c>
      <c r="J573" s="30" t="s">
        <v>71</v>
      </c>
      <c r="K573" s="58">
        <v>0</v>
      </c>
      <c r="L573" s="58">
        <v>1.0373103749549601E+19</v>
      </c>
    </row>
    <row r="574" spans="3:12">
      <c r="C574" s="29" t="b">
        <v>0</v>
      </c>
      <c r="D574" s="30" t="s">
        <v>590</v>
      </c>
      <c r="E574" s="137" t="s">
        <v>564</v>
      </c>
      <c r="F574" s="30" t="s">
        <v>68</v>
      </c>
      <c r="G574" s="30">
        <v>74</v>
      </c>
      <c r="H574" s="30">
        <v>200</v>
      </c>
      <c r="I574" s="30">
        <v>28.24</v>
      </c>
      <c r="J574" s="30" t="s">
        <v>71</v>
      </c>
      <c r="K574" s="58">
        <v>0</v>
      </c>
      <c r="L574" s="58">
        <v>3.8625341282817101E+18</v>
      </c>
    </row>
    <row r="575" spans="3:12">
      <c r="C575" s="29" t="b">
        <v>0</v>
      </c>
      <c r="D575" s="30" t="s">
        <v>591</v>
      </c>
      <c r="E575" s="137" t="s">
        <v>564</v>
      </c>
      <c r="F575" s="30" t="s">
        <v>68</v>
      </c>
      <c r="G575" s="30">
        <v>74</v>
      </c>
      <c r="H575" s="30">
        <v>205</v>
      </c>
      <c r="I575" s="30">
        <v>28.77</v>
      </c>
      <c r="J575" s="30" t="s">
        <v>71</v>
      </c>
      <c r="K575" s="58">
        <v>0</v>
      </c>
      <c r="L575" s="58">
        <v>8.9036936215555103E+18</v>
      </c>
    </row>
    <row r="576" spans="3:12">
      <c r="C576" s="29" t="b">
        <v>0</v>
      </c>
      <c r="D576" s="30" t="s">
        <v>592</v>
      </c>
      <c r="E576" s="137" t="s">
        <v>564</v>
      </c>
      <c r="F576" s="30" t="s">
        <v>68</v>
      </c>
      <c r="G576" s="30">
        <v>73</v>
      </c>
      <c r="H576" s="30">
        <v>192</v>
      </c>
      <c r="I576" s="30">
        <v>26.53</v>
      </c>
      <c r="J576" s="30" t="s">
        <v>71</v>
      </c>
      <c r="K576" s="58">
        <v>0</v>
      </c>
      <c r="L576" s="58">
        <v>9.1878226198256896E+18</v>
      </c>
    </row>
    <row r="577" spans="3:12">
      <c r="C577" s="29" t="b">
        <v>0</v>
      </c>
      <c r="D577" s="30" t="s">
        <v>593</v>
      </c>
      <c r="E577" s="137" t="s">
        <v>564</v>
      </c>
      <c r="F577" s="30" t="s">
        <v>68</v>
      </c>
      <c r="G577" s="30">
        <v>75</v>
      </c>
      <c r="H577" s="30">
        <v>190</v>
      </c>
      <c r="I577" s="30">
        <v>25.64</v>
      </c>
      <c r="J577" s="30" t="s">
        <v>71</v>
      </c>
      <c r="K577" s="58">
        <v>0</v>
      </c>
      <c r="L577" s="58">
        <v>1.52237336643566E+19</v>
      </c>
    </row>
    <row r="578" spans="3:12">
      <c r="C578" s="29" t="b">
        <v>0</v>
      </c>
      <c r="D578" s="30" t="s">
        <v>594</v>
      </c>
      <c r="E578" s="137" t="s">
        <v>564</v>
      </c>
      <c r="F578" s="30" t="s">
        <v>68</v>
      </c>
      <c r="G578" s="30">
        <v>76</v>
      </c>
      <c r="H578" s="30">
        <v>170</v>
      </c>
      <c r="I578" s="30">
        <v>25.83</v>
      </c>
      <c r="J578" s="30" t="s">
        <v>71</v>
      </c>
      <c r="K578" s="58">
        <v>0</v>
      </c>
      <c r="L578" s="58">
        <v>1.8134789465925501E+19</v>
      </c>
    </row>
    <row r="579" spans="3:12">
      <c r="C579" s="29" t="b">
        <v>0</v>
      </c>
      <c r="D579" s="30" t="s">
        <v>595</v>
      </c>
      <c r="E579" s="137" t="s">
        <v>564</v>
      </c>
      <c r="F579" s="30" t="s">
        <v>68</v>
      </c>
      <c r="G579" s="30">
        <v>73</v>
      </c>
      <c r="H579" s="30">
        <v>240</v>
      </c>
      <c r="I579" s="30">
        <v>38.06</v>
      </c>
      <c r="J579" s="30" t="s">
        <v>71</v>
      </c>
      <c r="K579" s="58">
        <v>0</v>
      </c>
      <c r="L579" s="58">
        <v>1.6647126556319101E+19</v>
      </c>
    </row>
    <row r="580" spans="3:12">
      <c r="C580" s="29" t="b">
        <v>0</v>
      </c>
      <c r="D580" s="30" t="s">
        <v>596</v>
      </c>
      <c r="E580" s="137" t="s">
        <v>564</v>
      </c>
      <c r="F580" s="30" t="s">
        <v>68</v>
      </c>
      <c r="G580" s="30">
        <v>77</v>
      </c>
      <c r="H580" s="30">
        <v>200</v>
      </c>
      <c r="I580" s="30">
        <v>36.380000000000003</v>
      </c>
      <c r="J580" s="30" t="s">
        <v>71</v>
      </c>
      <c r="K580" s="58">
        <v>0</v>
      </c>
      <c r="L580" s="58">
        <v>7.2859114938494095E+18</v>
      </c>
    </row>
    <row r="581" spans="3:12">
      <c r="C581" s="29" t="b">
        <v>0</v>
      </c>
      <c r="D581" s="30" t="s">
        <v>597</v>
      </c>
      <c r="E581" s="137" t="s">
        <v>564</v>
      </c>
      <c r="F581" s="30" t="s">
        <v>68</v>
      </c>
      <c r="G581" s="30">
        <v>72</v>
      </c>
      <c r="H581" s="30">
        <v>205</v>
      </c>
      <c r="I581" s="30">
        <v>25.27</v>
      </c>
      <c r="J581" s="30" t="s">
        <v>71</v>
      </c>
      <c r="K581" s="58">
        <v>0</v>
      </c>
      <c r="L581" s="58">
        <v>1.60528557956085E+19</v>
      </c>
    </row>
    <row r="582" spans="3:12">
      <c r="C582" s="29" t="b">
        <v>0</v>
      </c>
      <c r="D582" s="30" t="s">
        <v>598</v>
      </c>
      <c r="E582" s="137" t="s">
        <v>564</v>
      </c>
      <c r="F582" s="30" t="s">
        <v>68</v>
      </c>
      <c r="G582" s="30">
        <v>73</v>
      </c>
      <c r="H582" s="30">
        <v>175</v>
      </c>
      <c r="I582" s="30">
        <v>27.2</v>
      </c>
      <c r="J582" s="30" t="s">
        <v>71</v>
      </c>
      <c r="K582" s="58">
        <v>0</v>
      </c>
      <c r="L582" s="58">
        <v>1.7785369015399201E+19</v>
      </c>
    </row>
    <row r="583" spans="3:12">
      <c r="C583" s="29" t="b">
        <v>0</v>
      </c>
      <c r="D583" s="30" t="s">
        <v>599</v>
      </c>
      <c r="E583" s="137" t="s">
        <v>564</v>
      </c>
      <c r="F583" s="30" t="s">
        <v>68</v>
      </c>
      <c r="G583" s="30">
        <v>77</v>
      </c>
      <c r="H583" s="30">
        <v>250</v>
      </c>
      <c r="I583" s="30">
        <v>31.59</v>
      </c>
      <c r="J583" s="30" t="s">
        <v>71</v>
      </c>
      <c r="K583" s="58">
        <v>0</v>
      </c>
      <c r="L583" s="58">
        <v>2.80967624222338E+18</v>
      </c>
    </row>
    <row r="584" spans="3:12">
      <c r="C584" s="29" t="b">
        <v>0</v>
      </c>
      <c r="D584" s="30" t="s">
        <v>600</v>
      </c>
      <c r="E584" s="137" t="s">
        <v>564</v>
      </c>
      <c r="F584" s="30" t="s">
        <v>68</v>
      </c>
      <c r="G584" s="30">
        <v>76</v>
      </c>
      <c r="H584" s="30">
        <v>220</v>
      </c>
      <c r="I584" s="30">
        <v>29.56</v>
      </c>
      <c r="J584" s="30" t="s">
        <v>71</v>
      </c>
      <c r="K584" s="58">
        <v>0</v>
      </c>
      <c r="L584" s="58">
        <v>5.8562943581089997E+18</v>
      </c>
    </row>
    <row r="585" spans="3:12">
      <c r="C585" s="29" t="b">
        <v>0</v>
      </c>
      <c r="D585" s="30" t="s">
        <v>601</v>
      </c>
      <c r="E585" s="137" t="s">
        <v>602</v>
      </c>
      <c r="F585" s="30" t="s">
        <v>74</v>
      </c>
      <c r="G585" s="30">
        <v>71</v>
      </c>
      <c r="H585" s="30">
        <v>224</v>
      </c>
      <c r="I585" s="30">
        <v>35.5</v>
      </c>
      <c r="J585" s="30" t="s">
        <v>74</v>
      </c>
      <c r="K585" s="58">
        <v>0</v>
      </c>
      <c r="L585" s="58">
        <v>2.3466846089988803E+18</v>
      </c>
    </row>
    <row r="586" spans="3:12">
      <c r="C586" s="29" t="b">
        <v>0</v>
      </c>
      <c r="D586" s="30" t="s">
        <v>603</v>
      </c>
      <c r="E586" s="137" t="s">
        <v>602</v>
      </c>
      <c r="F586" s="30" t="s">
        <v>74</v>
      </c>
      <c r="G586" s="30">
        <v>75</v>
      </c>
      <c r="H586" s="30">
        <v>210</v>
      </c>
      <c r="I586" s="30">
        <v>30.35</v>
      </c>
      <c r="J586" s="30" t="s">
        <v>74</v>
      </c>
      <c r="K586" s="58">
        <v>0</v>
      </c>
      <c r="L586" s="58">
        <v>1.1172475566546301E+19</v>
      </c>
    </row>
    <row r="587" spans="3:12">
      <c r="C587" s="29" t="b">
        <v>0</v>
      </c>
      <c r="D587" s="30" t="s">
        <v>604</v>
      </c>
      <c r="E587" s="137" t="s">
        <v>602</v>
      </c>
      <c r="F587" s="30" t="s">
        <v>74</v>
      </c>
      <c r="G587" s="30">
        <v>73</v>
      </c>
      <c r="H587" s="30">
        <v>195</v>
      </c>
      <c r="I587" s="30">
        <v>24.11</v>
      </c>
      <c r="J587" s="30" t="s">
        <v>74</v>
      </c>
      <c r="K587" s="58">
        <v>0</v>
      </c>
      <c r="L587" s="58">
        <v>3.6779658150037402E+18</v>
      </c>
    </row>
    <row r="588" spans="3:12">
      <c r="C588" s="29" t="b">
        <v>0</v>
      </c>
      <c r="D588" s="30" t="s">
        <v>605</v>
      </c>
      <c r="E588" s="137" t="s">
        <v>602</v>
      </c>
      <c r="F588" s="30" t="s">
        <v>78</v>
      </c>
      <c r="G588" s="30">
        <v>74</v>
      </c>
      <c r="H588" s="30">
        <v>180</v>
      </c>
      <c r="I588" s="30">
        <v>23.29</v>
      </c>
      <c r="J588" s="30" t="s">
        <v>79</v>
      </c>
      <c r="K588" s="58">
        <v>0</v>
      </c>
      <c r="L588" s="58">
        <v>1.48316814367518E+19</v>
      </c>
    </row>
    <row r="589" spans="3:12">
      <c r="C589" s="29" t="b">
        <v>0</v>
      </c>
      <c r="D589" s="30" t="s">
        <v>606</v>
      </c>
      <c r="E589" s="137" t="s">
        <v>602</v>
      </c>
      <c r="F589" s="30" t="s">
        <v>78</v>
      </c>
      <c r="G589" s="30">
        <v>77</v>
      </c>
      <c r="H589" s="30">
        <v>245</v>
      </c>
      <c r="I589" s="30">
        <v>31.48</v>
      </c>
      <c r="J589" s="30" t="s">
        <v>79</v>
      </c>
      <c r="K589" s="58">
        <v>0</v>
      </c>
      <c r="L589" s="58">
        <v>1.04920350297965E+18</v>
      </c>
    </row>
    <row r="590" spans="3:12">
      <c r="C590" s="29" t="b">
        <v>0</v>
      </c>
      <c r="D590" s="30" t="s">
        <v>607</v>
      </c>
      <c r="E590" s="137" t="s">
        <v>602</v>
      </c>
      <c r="F590" s="30" t="s">
        <v>82</v>
      </c>
      <c r="G590" s="30">
        <v>71</v>
      </c>
      <c r="H590" s="30">
        <v>175</v>
      </c>
      <c r="I590" s="30">
        <v>27.23</v>
      </c>
      <c r="J590" s="30" t="s">
        <v>79</v>
      </c>
      <c r="K590" s="58">
        <v>0</v>
      </c>
      <c r="L590" s="58">
        <v>4.6595187478129705E+18</v>
      </c>
    </row>
    <row r="591" spans="3:12">
      <c r="C591" s="29" t="b">
        <v>0</v>
      </c>
      <c r="D591" s="30" t="s">
        <v>608</v>
      </c>
      <c r="E591" s="137" t="s">
        <v>602</v>
      </c>
      <c r="F591" s="30" t="s">
        <v>84</v>
      </c>
      <c r="G591" s="30">
        <v>72</v>
      </c>
      <c r="H591" s="30">
        <v>180</v>
      </c>
      <c r="I591" s="30">
        <v>24.07</v>
      </c>
      <c r="J591" s="30" t="s">
        <v>79</v>
      </c>
      <c r="K591" s="58">
        <v>0</v>
      </c>
      <c r="L591" s="58">
        <v>8.6709309321252997E+18</v>
      </c>
    </row>
    <row r="592" spans="3:12">
      <c r="C592" s="29" t="b">
        <v>0</v>
      </c>
      <c r="D592" s="30" t="s">
        <v>609</v>
      </c>
      <c r="E592" s="137" t="s">
        <v>602</v>
      </c>
      <c r="F592" s="30" t="s">
        <v>86</v>
      </c>
      <c r="G592" s="30">
        <v>73</v>
      </c>
      <c r="H592" s="30">
        <v>215</v>
      </c>
      <c r="I592" s="30">
        <v>28.68</v>
      </c>
      <c r="J592" s="30" t="s">
        <v>79</v>
      </c>
      <c r="K592" s="58">
        <v>0</v>
      </c>
      <c r="L592" s="58">
        <v>1.46650842835625E+19</v>
      </c>
    </row>
    <row r="593" spans="3:12">
      <c r="C593" s="29" t="b">
        <v>0</v>
      </c>
      <c r="D593" s="30" t="s">
        <v>610</v>
      </c>
      <c r="E593" s="137" t="s">
        <v>602</v>
      </c>
      <c r="F593" s="30" t="s">
        <v>86</v>
      </c>
      <c r="G593" s="30">
        <v>69</v>
      </c>
      <c r="H593" s="30">
        <v>175</v>
      </c>
      <c r="I593" s="30">
        <v>27.05</v>
      </c>
      <c r="J593" s="30" t="s">
        <v>79</v>
      </c>
      <c r="K593" s="58">
        <v>0</v>
      </c>
      <c r="L593" s="58">
        <v>1.6081680167290499E+19</v>
      </c>
    </row>
    <row r="594" spans="3:12">
      <c r="C594" s="29" t="b">
        <v>0</v>
      </c>
      <c r="D594" s="30" t="s">
        <v>611</v>
      </c>
      <c r="E594" s="137" t="s">
        <v>602</v>
      </c>
      <c r="F594" s="30" t="s">
        <v>89</v>
      </c>
      <c r="G594" s="30">
        <v>73</v>
      </c>
      <c r="H594" s="30">
        <v>180</v>
      </c>
      <c r="I594" s="30">
        <v>31.15</v>
      </c>
      <c r="J594" s="30" t="s">
        <v>89</v>
      </c>
      <c r="K594" s="58">
        <v>0</v>
      </c>
      <c r="L594" s="58">
        <v>1.4236246210452799E+19</v>
      </c>
    </row>
    <row r="595" spans="3:12">
      <c r="C595" s="29" t="b">
        <v>0</v>
      </c>
      <c r="D595" s="30" t="s">
        <v>612</v>
      </c>
      <c r="E595" s="137" t="s">
        <v>602</v>
      </c>
      <c r="F595" s="30" t="s">
        <v>89</v>
      </c>
      <c r="G595" s="30">
        <v>70</v>
      </c>
      <c r="H595" s="30">
        <v>195</v>
      </c>
      <c r="I595" s="30">
        <v>31.85</v>
      </c>
      <c r="J595" s="30" t="s">
        <v>89</v>
      </c>
      <c r="K595" s="58">
        <v>0</v>
      </c>
      <c r="L595" s="58">
        <v>1.5418981531884401E+19</v>
      </c>
    </row>
    <row r="596" spans="3:12">
      <c r="C596" s="29" t="b">
        <v>0</v>
      </c>
      <c r="D596" s="30" t="s">
        <v>613</v>
      </c>
      <c r="E596" s="137" t="s">
        <v>602</v>
      </c>
      <c r="F596" s="30" t="s">
        <v>89</v>
      </c>
      <c r="G596" s="30">
        <v>74</v>
      </c>
      <c r="H596" s="30">
        <v>230</v>
      </c>
      <c r="I596" s="30">
        <v>31.68</v>
      </c>
      <c r="J596" s="30" t="s">
        <v>89</v>
      </c>
      <c r="K596" s="58">
        <v>0</v>
      </c>
      <c r="L596" s="58">
        <v>1.4135182011248699E+19</v>
      </c>
    </row>
    <row r="597" spans="3:12">
      <c r="C597" s="29" t="b">
        <v>0</v>
      </c>
      <c r="D597" s="30" t="s">
        <v>614</v>
      </c>
      <c r="E597" s="137" t="s">
        <v>602</v>
      </c>
      <c r="F597" s="30" t="s">
        <v>89</v>
      </c>
      <c r="G597" s="30">
        <v>76</v>
      </c>
      <c r="H597" s="30">
        <v>230</v>
      </c>
      <c r="I597" s="30">
        <v>34.229999999999997</v>
      </c>
      <c r="J597" s="30" t="s">
        <v>89</v>
      </c>
      <c r="K597" s="58">
        <v>0</v>
      </c>
      <c r="L597" s="58">
        <v>4.7429465321035203E+18</v>
      </c>
    </row>
    <row r="598" spans="3:12">
      <c r="C598" s="29" t="b">
        <v>0</v>
      </c>
      <c r="D598" s="30" t="s">
        <v>615</v>
      </c>
      <c r="E598" s="137" t="s">
        <v>602</v>
      </c>
      <c r="F598" s="30" t="s">
        <v>89</v>
      </c>
      <c r="G598" s="30">
        <v>73</v>
      </c>
      <c r="H598" s="30">
        <v>205</v>
      </c>
      <c r="I598" s="30">
        <v>32.01</v>
      </c>
      <c r="J598" s="30" t="s">
        <v>89</v>
      </c>
      <c r="K598" s="58">
        <v>0</v>
      </c>
      <c r="L598" s="58">
        <v>2.1819415623488599E+18</v>
      </c>
    </row>
    <row r="599" spans="3:12">
      <c r="C599" s="29" t="b">
        <v>0</v>
      </c>
      <c r="D599" s="30" t="s">
        <v>616</v>
      </c>
      <c r="E599" s="137" t="s">
        <v>602</v>
      </c>
      <c r="F599" s="30" t="s">
        <v>89</v>
      </c>
      <c r="G599" s="30">
        <v>73</v>
      </c>
      <c r="H599" s="30">
        <v>215</v>
      </c>
      <c r="I599" s="30">
        <v>25.41</v>
      </c>
      <c r="J599" s="30" t="s">
        <v>89</v>
      </c>
      <c r="K599" s="58">
        <v>0</v>
      </c>
      <c r="L599" s="58">
        <v>6.9828632818337495E+18</v>
      </c>
    </row>
    <row r="600" spans="3:12">
      <c r="C600" s="29" t="b">
        <v>0</v>
      </c>
      <c r="D600" s="30" t="s">
        <v>617</v>
      </c>
      <c r="E600" s="137" t="s">
        <v>602</v>
      </c>
      <c r="F600" s="30" t="s">
        <v>89</v>
      </c>
      <c r="G600" s="30">
        <v>75</v>
      </c>
      <c r="H600" s="30">
        <v>195</v>
      </c>
      <c r="I600" s="30">
        <v>24.73</v>
      </c>
      <c r="J600" s="30" t="s">
        <v>89</v>
      </c>
      <c r="K600" s="58">
        <v>0</v>
      </c>
      <c r="L600" s="58">
        <v>6.49698512058927E+18</v>
      </c>
    </row>
    <row r="601" spans="3:12">
      <c r="C601" s="29" t="b">
        <v>0</v>
      </c>
      <c r="D601" s="30" t="s">
        <v>618</v>
      </c>
      <c r="E601" s="137" t="s">
        <v>602</v>
      </c>
      <c r="F601" s="30" t="s">
        <v>89</v>
      </c>
      <c r="G601" s="30">
        <v>73</v>
      </c>
      <c r="H601" s="30">
        <v>180</v>
      </c>
      <c r="I601" s="30">
        <v>25.66</v>
      </c>
      <c r="J601" s="30" t="s">
        <v>89</v>
      </c>
      <c r="K601" s="58">
        <v>0</v>
      </c>
      <c r="L601" s="58">
        <v>1.3635333185938301E+19</v>
      </c>
    </row>
    <row r="602" spans="3:12">
      <c r="C602" s="29" t="b">
        <v>0</v>
      </c>
      <c r="D602" s="30" t="s">
        <v>619</v>
      </c>
      <c r="E602" s="137" t="s">
        <v>602</v>
      </c>
      <c r="F602" s="30" t="s">
        <v>97</v>
      </c>
      <c r="G602" s="30">
        <v>79</v>
      </c>
      <c r="H602" s="30">
        <v>205</v>
      </c>
      <c r="I602" s="30">
        <v>24.5</v>
      </c>
      <c r="J602" s="30" t="s">
        <v>71</v>
      </c>
      <c r="K602" s="58">
        <v>0</v>
      </c>
      <c r="L602" s="58">
        <v>8.7875138091772498E+18</v>
      </c>
    </row>
    <row r="603" spans="3:12">
      <c r="C603" s="29" t="b">
        <v>0</v>
      </c>
      <c r="D603" s="30" t="s">
        <v>620</v>
      </c>
      <c r="E603" s="137" t="s">
        <v>602</v>
      </c>
      <c r="F603" s="30" t="s">
        <v>97</v>
      </c>
      <c r="G603" s="30">
        <v>74</v>
      </c>
      <c r="H603" s="30">
        <v>180</v>
      </c>
      <c r="I603" s="30">
        <v>24.38</v>
      </c>
      <c r="J603" s="30" t="s">
        <v>71</v>
      </c>
      <c r="K603" s="58">
        <v>0</v>
      </c>
      <c r="L603" s="58">
        <v>8.3989750034457303E+18</v>
      </c>
    </row>
    <row r="604" spans="3:12">
      <c r="C604" s="29" t="b">
        <v>0</v>
      </c>
      <c r="D604" s="30" t="s">
        <v>621</v>
      </c>
      <c r="E604" s="137" t="s">
        <v>602</v>
      </c>
      <c r="F604" s="30" t="s">
        <v>97</v>
      </c>
      <c r="G604" s="30">
        <v>73</v>
      </c>
      <c r="H604" s="30">
        <v>190</v>
      </c>
      <c r="I604" s="30">
        <v>26.89</v>
      </c>
      <c r="J604" s="30" t="s">
        <v>71</v>
      </c>
      <c r="K604" s="58">
        <v>0</v>
      </c>
      <c r="L604" s="58">
        <v>1.3403153112150499E+19</v>
      </c>
    </row>
    <row r="605" spans="3:12">
      <c r="C605" s="29" t="b">
        <v>0</v>
      </c>
      <c r="D605" s="30" t="s">
        <v>622</v>
      </c>
      <c r="E605" s="137" t="s">
        <v>602</v>
      </c>
      <c r="F605" s="30" t="s">
        <v>97</v>
      </c>
      <c r="G605" s="30">
        <v>74</v>
      </c>
      <c r="H605" s="30">
        <v>180</v>
      </c>
      <c r="I605" s="30">
        <v>24.2</v>
      </c>
      <c r="J605" s="30" t="s">
        <v>71</v>
      </c>
      <c r="K605" s="58">
        <v>0</v>
      </c>
      <c r="L605" s="58">
        <v>1.32631585801821E+19</v>
      </c>
    </row>
    <row r="606" spans="3:12">
      <c r="C606" s="29" t="b">
        <v>0</v>
      </c>
      <c r="D606" s="30" t="s">
        <v>623</v>
      </c>
      <c r="E606" s="137" t="s">
        <v>602</v>
      </c>
      <c r="F606" s="30" t="s">
        <v>97</v>
      </c>
      <c r="G606" s="30">
        <v>77</v>
      </c>
      <c r="H606" s="30">
        <v>190</v>
      </c>
      <c r="I606" s="30">
        <v>26.97</v>
      </c>
      <c r="J606" s="30" t="s">
        <v>71</v>
      </c>
      <c r="K606" s="58">
        <v>0</v>
      </c>
      <c r="L606" s="58">
        <v>2.07216554779709E+18</v>
      </c>
    </row>
    <row r="607" spans="3:12">
      <c r="C607" s="29" t="b">
        <v>0</v>
      </c>
      <c r="D607" s="30" t="s">
        <v>624</v>
      </c>
      <c r="E607" s="137" t="s">
        <v>602</v>
      </c>
      <c r="F607" s="30" t="s">
        <v>97</v>
      </c>
      <c r="G607" s="30">
        <v>75</v>
      </c>
      <c r="H607" s="30">
        <v>190</v>
      </c>
      <c r="I607" s="30">
        <v>25.21</v>
      </c>
      <c r="J607" s="30" t="s">
        <v>71</v>
      </c>
      <c r="K607" s="58">
        <v>0</v>
      </c>
      <c r="L607" s="58">
        <v>1.53253683660235E+19</v>
      </c>
    </row>
    <row r="608" spans="3:12">
      <c r="C608" s="29" t="b">
        <v>0</v>
      </c>
      <c r="D608" s="30" t="s">
        <v>625</v>
      </c>
      <c r="E608" s="137" t="s">
        <v>602</v>
      </c>
      <c r="F608" s="30" t="s">
        <v>97</v>
      </c>
      <c r="G608" s="30">
        <v>74</v>
      </c>
      <c r="H608" s="30">
        <v>220</v>
      </c>
      <c r="I608" s="30">
        <v>30.46</v>
      </c>
      <c r="J608" s="30" t="s">
        <v>71</v>
      </c>
      <c r="K608" s="58">
        <v>0</v>
      </c>
      <c r="L608" s="58">
        <v>1.05384114525493E+19</v>
      </c>
    </row>
    <row r="609" spans="3:12">
      <c r="C609" s="29" t="b">
        <v>0</v>
      </c>
      <c r="D609" s="30" t="s">
        <v>626</v>
      </c>
      <c r="E609" s="137" t="s">
        <v>602</v>
      </c>
      <c r="F609" s="30" t="s">
        <v>97</v>
      </c>
      <c r="G609" s="30">
        <v>73</v>
      </c>
      <c r="H609" s="30">
        <v>210</v>
      </c>
      <c r="I609" s="30">
        <v>28.53</v>
      </c>
      <c r="J609" s="30" t="s">
        <v>71</v>
      </c>
      <c r="K609" s="58">
        <v>0</v>
      </c>
      <c r="L609" s="58">
        <v>1.58231979670348E+19</v>
      </c>
    </row>
    <row r="610" spans="3:12">
      <c r="C610" s="29" t="b">
        <v>0</v>
      </c>
      <c r="D610" s="30" t="s">
        <v>627</v>
      </c>
      <c r="E610" s="137" t="s">
        <v>602</v>
      </c>
      <c r="F610" s="30" t="s">
        <v>97</v>
      </c>
      <c r="G610" s="30">
        <v>77</v>
      </c>
      <c r="H610" s="30">
        <v>255</v>
      </c>
      <c r="I610" s="30">
        <v>25.75</v>
      </c>
      <c r="J610" s="30" t="s">
        <v>71</v>
      </c>
      <c r="K610" s="58">
        <v>0</v>
      </c>
      <c r="L610" s="58">
        <v>5.41208996448512E+18</v>
      </c>
    </row>
    <row r="611" spans="3:12">
      <c r="C611" s="29" t="b">
        <v>0</v>
      </c>
      <c r="D611" s="30" t="s">
        <v>628</v>
      </c>
      <c r="E611" s="137" t="s">
        <v>602</v>
      </c>
      <c r="F611" s="30" t="s">
        <v>97</v>
      </c>
      <c r="G611" s="30">
        <v>73</v>
      </c>
      <c r="H611" s="30">
        <v>190</v>
      </c>
      <c r="I611" s="30">
        <v>31.15</v>
      </c>
      <c r="J611" s="30" t="s">
        <v>71</v>
      </c>
      <c r="K611" s="58">
        <v>0</v>
      </c>
      <c r="L611" s="58">
        <v>9.4657402829785293E+18</v>
      </c>
    </row>
    <row r="612" spans="3:12">
      <c r="C612" s="29" t="b">
        <v>0</v>
      </c>
      <c r="D612" s="30" t="s">
        <v>629</v>
      </c>
      <c r="E612" s="137" t="s">
        <v>602</v>
      </c>
      <c r="F612" s="30" t="s">
        <v>97</v>
      </c>
      <c r="G612" s="30">
        <v>77</v>
      </c>
      <c r="H612" s="30">
        <v>230</v>
      </c>
      <c r="I612" s="30">
        <v>26.48</v>
      </c>
      <c r="J612" s="30" t="s">
        <v>71</v>
      </c>
      <c r="K612" s="58">
        <v>0</v>
      </c>
      <c r="L612" s="58">
        <v>8.7128228852419297E+18</v>
      </c>
    </row>
    <row r="613" spans="3:12">
      <c r="C613" s="29" t="b">
        <v>0</v>
      </c>
      <c r="D613" s="30" t="s">
        <v>630</v>
      </c>
      <c r="E613" s="137" t="s">
        <v>602</v>
      </c>
      <c r="F613" s="30" t="s">
        <v>68</v>
      </c>
      <c r="G613" s="30">
        <v>74</v>
      </c>
      <c r="H613" s="30">
        <v>200</v>
      </c>
      <c r="I613" s="30">
        <v>26.93</v>
      </c>
      <c r="J613" s="30" t="s">
        <v>71</v>
      </c>
      <c r="K613" s="58">
        <v>0</v>
      </c>
      <c r="L613" s="58">
        <v>4.5716331026551002E+17</v>
      </c>
    </row>
    <row r="614" spans="3:12">
      <c r="C614" s="29" t="b">
        <v>0</v>
      </c>
      <c r="D614" s="30" t="s">
        <v>631</v>
      </c>
      <c r="E614" s="137" t="s">
        <v>602</v>
      </c>
      <c r="F614" s="30" t="s">
        <v>68</v>
      </c>
      <c r="G614" s="30">
        <v>74</v>
      </c>
      <c r="H614" s="30">
        <v>205</v>
      </c>
      <c r="I614" s="30">
        <v>29.55</v>
      </c>
      <c r="J614" s="30" t="s">
        <v>71</v>
      </c>
      <c r="K614" s="58">
        <v>0</v>
      </c>
      <c r="L614" s="58">
        <v>2.50701152325421E+18</v>
      </c>
    </row>
    <row r="615" spans="3:12">
      <c r="C615" s="29" t="b">
        <v>0</v>
      </c>
      <c r="D615" s="30" t="s">
        <v>632</v>
      </c>
      <c r="E615" s="137" t="s">
        <v>602</v>
      </c>
      <c r="F615" s="30" t="s">
        <v>68</v>
      </c>
      <c r="G615" s="30">
        <v>73</v>
      </c>
      <c r="H615" s="30">
        <v>210</v>
      </c>
      <c r="I615" s="30">
        <v>34.75</v>
      </c>
      <c r="J615" s="30" t="s">
        <v>71</v>
      </c>
      <c r="K615" s="58">
        <v>0</v>
      </c>
      <c r="L615" s="58">
        <v>8.26107596180113E+18</v>
      </c>
    </row>
    <row r="616" spans="3:12">
      <c r="C616" s="29" t="b">
        <v>0</v>
      </c>
      <c r="D616" s="30" t="s">
        <v>633</v>
      </c>
      <c r="E616" s="137" t="s">
        <v>602</v>
      </c>
      <c r="F616" s="30" t="s">
        <v>68</v>
      </c>
      <c r="G616" s="30">
        <v>77</v>
      </c>
      <c r="H616" s="30">
        <v>225</v>
      </c>
      <c r="I616" s="30">
        <v>29.71</v>
      </c>
      <c r="J616" s="30" t="s">
        <v>71</v>
      </c>
      <c r="K616" s="58">
        <v>0</v>
      </c>
      <c r="L616" s="58">
        <v>7.8234986269380905E+18</v>
      </c>
    </row>
    <row r="617" spans="3:12">
      <c r="C617" s="29" t="b">
        <v>0</v>
      </c>
      <c r="D617" s="30" t="s">
        <v>634</v>
      </c>
      <c r="E617" s="137" t="s">
        <v>602</v>
      </c>
      <c r="F617" s="30" t="s">
        <v>68</v>
      </c>
      <c r="G617" s="30">
        <v>74</v>
      </c>
      <c r="H617" s="30">
        <v>215</v>
      </c>
      <c r="I617" s="30">
        <v>29.83</v>
      </c>
      <c r="J617" s="30" t="s">
        <v>71</v>
      </c>
      <c r="K617" s="58">
        <v>0</v>
      </c>
      <c r="L617" s="58">
        <v>1.7034446259988699E+19</v>
      </c>
    </row>
    <row r="618" spans="3:12">
      <c r="C618" s="29" t="b">
        <v>0</v>
      </c>
      <c r="D618" s="30" t="s">
        <v>635</v>
      </c>
      <c r="E618" s="137" t="s">
        <v>602</v>
      </c>
      <c r="F618" s="30" t="s">
        <v>68</v>
      </c>
      <c r="G618" s="30">
        <v>77</v>
      </c>
      <c r="H618" s="30">
        <v>220</v>
      </c>
      <c r="I618" s="30">
        <v>33.57</v>
      </c>
      <c r="J618" s="30" t="s">
        <v>71</v>
      </c>
      <c r="K618" s="58">
        <v>0</v>
      </c>
      <c r="L618" s="58">
        <v>1.4189036696189999E+19</v>
      </c>
    </row>
    <row r="619" spans="3:12">
      <c r="C619" s="29" t="b">
        <v>0</v>
      </c>
      <c r="D619" s="30" t="s">
        <v>636</v>
      </c>
      <c r="E619" s="137" t="s">
        <v>602</v>
      </c>
      <c r="F619" s="30" t="s">
        <v>68</v>
      </c>
      <c r="G619" s="30">
        <v>75</v>
      </c>
      <c r="H619" s="30">
        <v>205</v>
      </c>
      <c r="I619" s="30">
        <v>28.21</v>
      </c>
      <c r="J619" s="30" t="s">
        <v>71</v>
      </c>
      <c r="K619" s="58">
        <v>0</v>
      </c>
      <c r="L619" s="58">
        <v>1.6251080914395601E+19</v>
      </c>
    </row>
    <row r="620" spans="3:12">
      <c r="C620" s="29" t="b">
        <v>0</v>
      </c>
      <c r="D620" s="30" t="s">
        <v>637</v>
      </c>
      <c r="E620" s="137" t="s">
        <v>602</v>
      </c>
      <c r="F620" s="30" t="s">
        <v>68</v>
      </c>
      <c r="G620" s="30">
        <v>77</v>
      </c>
      <c r="H620" s="30">
        <v>200</v>
      </c>
      <c r="I620" s="30">
        <v>27.54</v>
      </c>
      <c r="J620" s="30" t="s">
        <v>71</v>
      </c>
      <c r="K620" s="58">
        <v>0</v>
      </c>
      <c r="L620" s="58">
        <v>4.3816085485416899E+18</v>
      </c>
    </row>
    <row r="621" spans="3:12">
      <c r="C621" s="29" t="b">
        <v>0</v>
      </c>
      <c r="D621" s="30" t="s">
        <v>638</v>
      </c>
      <c r="E621" s="137" t="s">
        <v>639</v>
      </c>
      <c r="F621" s="30" t="s">
        <v>74</v>
      </c>
      <c r="G621" s="30">
        <v>75</v>
      </c>
      <c r="H621" s="30">
        <v>220</v>
      </c>
      <c r="I621" s="30">
        <v>26.05</v>
      </c>
      <c r="J621" s="30" t="s">
        <v>74</v>
      </c>
      <c r="K621" s="58">
        <v>0</v>
      </c>
      <c r="L621" s="58">
        <v>1.65255324273017E+19</v>
      </c>
    </row>
    <row r="622" spans="3:12">
      <c r="C622" s="29" t="b">
        <v>0</v>
      </c>
      <c r="D622" s="30" t="s">
        <v>640</v>
      </c>
      <c r="E622" s="137" t="s">
        <v>639</v>
      </c>
      <c r="F622" s="30" t="s">
        <v>74</v>
      </c>
      <c r="G622" s="30">
        <v>71</v>
      </c>
      <c r="H622" s="30">
        <v>197</v>
      </c>
      <c r="I622" s="30">
        <v>23.64</v>
      </c>
      <c r="J622" s="30" t="s">
        <v>74</v>
      </c>
      <c r="K622" s="58">
        <v>0</v>
      </c>
      <c r="L622" s="58">
        <v>9.8989705881164001E+18</v>
      </c>
    </row>
    <row r="623" spans="3:12">
      <c r="C623" s="29" t="b">
        <v>0</v>
      </c>
      <c r="D623" s="30" t="s">
        <v>641</v>
      </c>
      <c r="E623" s="137" t="s">
        <v>639</v>
      </c>
      <c r="F623" s="30" t="s">
        <v>78</v>
      </c>
      <c r="G623" s="30">
        <v>74</v>
      </c>
      <c r="H623" s="30">
        <v>225</v>
      </c>
      <c r="I623" s="30">
        <v>24.82</v>
      </c>
      <c r="J623" s="30" t="s">
        <v>79</v>
      </c>
      <c r="K623" s="58">
        <v>0</v>
      </c>
      <c r="L623" s="58">
        <v>1.4087959293627699E+19</v>
      </c>
    </row>
    <row r="624" spans="3:12">
      <c r="C624" s="29" t="b">
        <v>0</v>
      </c>
      <c r="D624" s="30" t="s">
        <v>642</v>
      </c>
      <c r="E624" s="137" t="s">
        <v>639</v>
      </c>
      <c r="F624" s="30" t="s">
        <v>78</v>
      </c>
      <c r="G624" s="30">
        <v>70</v>
      </c>
      <c r="H624" s="30">
        <v>187</v>
      </c>
      <c r="I624" s="30">
        <v>29.8</v>
      </c>
      <c r="J624" s="30" t="s">
        <v>79</v>
      </c>
      <c r="K624" s="58">
        <v>0</v>
      </c>
      <c r="L624" s="58">
        <v>1.3728957665951001E+19</v>
      </c>
    </row>
    <row r="625" spans="3:12">
      <c r="C625" s="29" t="b">
        <v>0</v>
      </c>
      <c r="D625" s="30" t="s">
        <v>643</v>
      </c>
      <c r="E625" s="137" t="s">
        <v>639</v>
      </c>
      <c r="F625" s="30" t="s">
        <v>78</v>
      </c>
      <c r="G625" s="30">
        <v>79</v>
      </c>
      <c r="H625" s="30">
        <v>245</v>
      </c>
      <c r="I625" s="30">
        <v>34.71</v>
      </c>
      <c r="J625" s="30" t="s">
        <v>79</v>
      </c>
      <c r="K625" s="58">
        <v>0</v>
      </c>
      <c r="L625" s="58">
        <v>7.8271394700746004E+18</v>
      </c>
    </row>
    <row r="626" spans="3:12">
      <c r="C626" s="29" t="b">
        <v>0</v>
      </c>
      <c r="D626" s="30" t="s">
        <v>644</v>
      </c>
      <c r="E626" s="137" t="s">
        <v>639</v>
      </c>
      <c r="F626" s="30" t="s">
        <v>82</v>
      </c>
      <c r="G626" s="30">
        <v>72</v>
      </c>
      <c r="H626" s="30">
        <v>185</v>
      </c>
      <c r="I626" s="30">
        <v>29.22</v>
      </c>
      <c r="J626" s="30" t="s">
        <v>79</v>
      </c>
      <c r="K626" s="58">
        <v>0</v>
      </c>
      <c r="L626" s="58">
        <v>4.6709022498964101E+18</v>
      </c>
    </row>
    <row r="627" spans="3:12">
      <c r="C627" s="29" t="b">
        <v>0</v>
      </c>
      <c r="D627" s="30" t="s">
        <v>645</v>
      </c>
      <c r="E627" s="137" t="s">
        <v>639</v>
      </c>
      <c r="F627" s="30" t="s">
        <v>84</v>
      </c>
      <c r="G627" s="30">
        <v>72</v>
      </c>
      <c r="H627" s="30">
        <v>185</v>
      </c>
      <c r="I627" s="30">
        <v>23.96</v>
      </c>
      <c r="J627" s="30" t="s">
        <v>79</v>
      </c>
      <c r="K627" s="58">
        <v>0</v>
      </c>
      <c r="L627" s="58">
        <v>8.01557511990541E+18</v>
      </c>
    </row>
    <row r="628" spans="3:12">
      <c r="C628" s="29" t="b">
        <v>0</v>
      </c>
      <c r="D628" s="30" t="s">
        <v>646</v>
      </c>
      <c r="E628" s="137" t="s">
        <v>639</v>
      </c>
      <c r="F628" s="30" t="s">
        <v>84</v>
      </c>
      <c r="G628" s="30">
        <v>70</v>
      </c>
      <c r="H628" s="30">
        <v>175</v>
      </c>
      <c r="I628" s="30">
        <v>23.87</v>
      </c>
      <c r="J628" s="30" t="s">
        <v>79</v>
      </c>
      <c r="K628" s="58">
        <v>0</v>
      </c>
      <c r="L628" s="58">
        <v>7.2486432891415398E+18</v>
      </c>
    </row>
    <row r="629" spans="3:12">
      <c r="C629" s="29" t="b">
        <v>0</v>
      </c>
      <c r="D629" s="30" t="s">
        <v>647</v>
      </c>
      <c r="E629" s="137" t="s">
        <v>639</v>
      </c>
      <c r="F629" s="30" t="s">
        <v>86</v>
      </c>
      <c r="G629" s="30">
        <v>74</v>
      </c>
      <c r="H629" s="30">
        <v>200</v>
      </c>
      <c r="I629" s="30">
        <v>26.77</v>
      </c>
      <c r="J629" s="30" t="s">
        <v>79</v>
      </c>
      <c r="K629" s="58">
        <v>0</v>
      </c>
      <c r="L629" s="58">
        <v>2.4091012722115E+18</v>
      </c>
    </row>
    <row r="630" spans="3:12">
      <c r="C630" s="29" t="b">
        <v>0</v>
      </c>
      <c r="D630" s="30" t="s">
        <v>66</v>
      </c>
      <c r="E630" s="137" t="s">
        <v>639</v>
      </c>
      <c r="F630" s="30" t="s">
        <v>89</v>
      </c>
      <c r="G630" s="30">
        <v>74</v>
      </c>
      <c r="H630" s="30">
        <v>180</v>
      </c>
      <c r="I630" s="30">
        <v>23.49</v>
      </c>
      <c r="J630" s="30" t="s">
        <v>89</v>
      </c>
      <c r="K630" s="58">
        <v>0</v>
      </c>
      <c r="L630" s="58">
        <v>9.571993647744469E+18</v>
      </c>
    </row>
    <row r="631" spans="3:12">
      <c r="C631" s="29" t="b">
        <v>0</v>
      </c>
      <c r="D631" s="30" t="s">
        <v>648</v>
      </c>
      <c r="E631" s="137" t="s">
        <v>639</v>
      </c>
      <c r="F631" s="30" t="s">
        <v>89</v>
      </c>
      <c r="G631" s="30">
        <v>72</v>
      </c>
      <c r="H631" s="30">
        <v>188</v>
      </c>
      <c r="I631" s="30">
        <v>26.77</v>
      </c>
      <c r="J631" s="30" t="s">
        <v>89</v>
      </c>
      <c r="K631" s="58">
        <v>0</v>
      </c>
      <c r="L631" s="58">
        <v>1.65971125980992E+18</v>
      </c>
    </row>
    <row r="632" spans="3:12">
      <c r="C632" s="29" t="b">
        <v>0</v>
      </c>
      <c r="D632" s="30" t="s">
        <v>649</v>
      </c>
      <c r="E632" s="137" t="s">
        <v>639</v>
      </c>
      <c r="F632" s="30" t="s">
        <v>89</v>
      </c>
      <c r="G632" s="30">
        <v>73</v>
      </c>
      <c r="H632" s="30">
        <v>225</v>
      </c>
      <c r="I632" s="30">
        <v>24.51</v>
      </c>
      <c r="J632" s="30" t="s">
        <v>89</v>
      </c>
      <c r="K632" s="58">
        <v>0</v>
      </c>
      <c r="L632" s="58">
        <v>9.2944082112528507E+18</v>
      </c>
    </row>
    <row r="633" spans="3:12">
      <c r="C633" s="29" t="b">
        <v>0</v>
      </c>
      <c r="D633" s="30" t="s">
        <v>650</v>
      </c>
      <c r="E633" s="137" t="s">
        <v>639</v>
      </c>
      <c r="F633" s="30" t="s">
        <v>89</v>
      </c>
      <c r="G633" s="30">
        <v>72</v>
      </c>
      <c r="H633" s="30">
        <v>200</v>
      </c>
      <c r="I633" s="30">
        <v>33.229999999999997</v>
      </c>
      <c r="J633" s="30" t="s">
        <v>89</v>
      </c>
      <c r="K633" s="58">
        <v>0</v>
      </c>
      <c r="L633" s="58">
        <v>9.8460287444213309E+18</v>
      </c>
    </row>
    <row r="634" spans="3:12">
      <c r="C634" s="29" t="b">
        <v>0</v>
      </c>
      <c r="D634" s="30" t="s">
        <v>651</v>
      </c>
      <c r="E634" s="137" t="s">
        <v>639</v>
      </c>
      <c r="F634" s="30" t="s">
        <v>89</v>
      </c>
      <c r="G634" s="30">
        <v>74</v>
      </c>
      <c r="H634" s="30">
        <v>210</v>
      </c>
      <c r="I634" s="30">
        <v>31.04</v>
      </c>
      <c r="J634" s="30" t="s">
        <v>89</v>
      </c>
      <c r="K634" s="58">
        <v>0</v>
      </c>
      <c r="L634" s="58">
        <v>1.63451175771166E+19</v>
      </c>
    </row>
    <row r="635" spans="3:12">
      <c r="C635" s="29" t="b">
        <v>0</v>
      </c>
      <c r="D635" s="30" t="s">
        <v>652</v>
      </c>
      <c r="E635" s="137" t="s">
        <v>639</v>
      </c>
      <c r="F635" s="30" t="s">
        <v>97</v>
      </c>
      <c r="G635" s="30">
        <v>74</v>
      </c>
      <c r="H635" s="30">
        <v>245</v>
      </c>
      <c r="I635" s="30">
        <v>32.020000000000003</v>
      </c>
      <c r="J635" s="30" t="s">
        <v>71</v>
      </c>
      <c r="K635" s="58">
        <v>0</v>
      </c>
      <c r="L635" s="58">
        <v>5.0533407485816504E+18</v>
      </c>
    </row>
    <row r="636" spans="3:12">
      <c r="C636" s="29" t="b">
        <v>0</v>
      </c>
      <c r="D636" s="30" t="s">
        <v>653</v>
      </c>
      <c r="E636" s="137" t="s">
        <v>639</v>
      </c>
      <c r="F636" s="30" t="s">
        <v>97</v>
      </c>
      <c r="G636" s="30">
        <v>76</v>
      </c>
      <c r="H636" s="30">
        <v>213</v>
      </c>
      <c r="I636" s="30">
        <v>31.44</v>
      </c>
      <c r="J636" s="30" t="s">
        <v>71</v>
      </c>
      <c r="K636" s="58">
        <v>0</v>
      </c>
      <c r="L636" s="58">
        <v>6.9935189981292298E+18</v>
      </c>
    </row>
    <row r="637" spans="3:12">
      <c r="C637" s="29" t="b">
        <v>0</v>
      </c>
      <c r="D637" s="30" t="s">
        <v>654</v>
      </c>
      <c r="E637" s="137" t="s">
        <v>639</v>
      </c>
      <c r="F637" s="30" t="s">
        <v>97</v>
      </c>
      <c r="G637" s="30">
        <v>82</v>
      </c>
      <c r="H637" s="30">
        <v>231</v>
      </c>
      <c r="I637" s="30">
        <v>43.47</v>
      </c>
      <c r="J637" s="30" t="s">
        <v>71</v>
      </c>
      <c r="K637" s="58">
        <v>0</v>
      </c>
      <c r="L637" s="58">
        <v>9.4285955069380096E+18</v>
      </c>
    </row>
    <row r="638" spans="3:12">
      <c r="C638" s="29" t="b">
        <v>0</v>
      </c>
      <c r="D638" s="30" t="s">
        <v>655</v>
      </c>
      <c r="E638" s="137" t="s">
        <v>639</v>
      </c>
      <c r="F638" s="30" t="s">
        <v>97</v>
      </c>
      <c r="G638" s="30">
        <v>74</v>
      </c>
      <c r="H638" s="30">
        <v>165</v>
      </c>
      <c r="I638" s="30">
        <v>28.38</v>
      </c>
      <c r="J638" s="30" t="s">
        <v>71</v>
      </c>
      <c r="K638" s="58">
        <v>0</v>
      </c>
      <c r="L638" s="58">
        <v>5.2899542230945198E+18</v>
      </c>
    </row>
    <row r="639" spans="3:12">
      <c r="C639" s="29" t="b">
        <v>0</v>
      </c>
      <c r="D639" s="30" t="s">
        <v>656</v>
      </c>
      <c r="E639" s="137" t="s">
        <v>639</v>
      </c>
      <c r="F639" s="30" t="s">
        <v>97</v>
      </c>
      <c r="G639" s="30">
        <v>74</v>
      </c>
      <c r="H639" s="30">
        <v>228</v>
      </c>
      <c r="I639" s="30">
        <v>27.81</v>
      </c>
      <c r="J639" s="30" t="s">
        <v>71</v>
      </c>
      <c r="K639" s="58">
        <v>0</v>
      </c>
      <c r="L639" s="58">
        <v>1.2698373676281999E+19</v>
      </c>
    </row>
    <row r="640" spans="3:12">
      <c r="C640" s="29" t="b">
        <v>0</v>
      </c>
      <c r="D640" s="30" t="s">
        <v>657</v>
      </c>
      <c r="E640" s="137" t="s">
        <v>639</v>
      </c>
      <c r="F640" s="30" t="s">
        <v>97</v>
      </c>
      <c r="G640" s="30">
        <v>70</v>
      </c>
      <c r="H640" s="30">
        <v>210</v>
      </c>
      <c r="I640" s="30">
        <v>24.57</v>
      </c>
      <c r="J640" s="30" t="s">
        <v>71</v>
      </c>
      <c r="K640" s="58">
        <v>0</v>
      </c>
      <c r="L640" s="58">
        <v>8.9602182783588598E+18</v>
      </c>
    </row>
    <row r="641" spans="3:12">
      <c r="C641" s="29" t="b">
        <v>0</v>
      </c>
      <c r="D641" s="30" t="s">
        <v>658</v>
      </c>
      <c r="E641" s="137" t="s">
        <v>639</v>
      </c>
      <c r="F641" s="30" t="s">
        <v>97</v>
      </c>
      <c r="G641" s="30">
        <v>73</v>
      </c>
      <c r="H641" s="30">
        <v>250</v>
      </c>
      <c r="I641" s="30">
        <v>23.34</v>
      </c>
      <c r="J641" s="30" t="s">
        <v>71</v>
      </c>
      <c r="K641" s="58">
        <v>0</v>
      </c>
      <c r="L641" s="58">
        <v>1.05419442765295E+19</v>
      </c>
    </row>
    <row r="642" spans="3:12">
      <c r="C642" s="29" t="b">
        <v>0</v>
      </c>
      <c r="D642" s="30" t="s">
        <v>659</v>
      </c>
      <c r="E642" s="137" t="s">
        <v>639</v>
      </c>
      <c r="F642" s="30" t="s">
        <v>68</v>
      </c>
      <c r="G642" s="30">
        <v>73</v>
      </c>
      <c r="H642" s="30">
        <v>191</v>
      </c>
      <c r="I642" s="30">
        <v>27.09</v>
      </c>
      <c r="J642" s="30" t="s">
        <v>71</v>
      </c>
      <c r="K642" s="58">
        <v>0</v>
      </c>
      <c r="L642" s="58">
        <v>1.4707114193085901E+19</v>
      </c>
    </row>
    <row r="643" spans="3:12">
      <c r="C643" s="29" t="b">
        <v>0</v>
      </c>
      <c r="D643" s="30" t="s">
        <v>570</v>
      </c>
      <c r="E643" s="137" t="s">
        <v>639</v>
      </c>
      <c r="F643" s="30" t="s">
        <v>68</v>
      </c>
      <c r="G643" s="30">
        <v>74</v>
      </c>
      <c r="H643" s="30">
        <v>190</v>
      </c>
      <c r="I643" s="30">
        <v>25.14</v>
      </c>
      <c r="J643" s="30" t="s">
        <v>71</v>
      </c>
      <c r="K643" s="58">
        <v>0</v>
      </c>
      <c r="L643" s="58">
        <v>2.0368988142061199E+18</v>
      </c>
    </row>
    <row r="644" spans="3:12">
      <c r="C644" s="29" t="b">
        <v>0</v>
      </c>
      <c r="D644" s="30" t="s">
        <v>660</v>
      </c>
      <c r="E644" s="137" t="s">
        <v>639</v>
      </c>
      <c r="F644" s="30" t="s">
        <v>68</v>
      </c>
      <c r="G644" s="30">
        <v>77</v>
      </c>
      <c r="H644" s="30">
        <v>200</v>
      </c>
      <c r="I644" s="30">
        <v>27.07</v>
      </c>
      <c r="J644" s="30" t="s">
        <v>71</v>
      </c>
      <c r="K644" s="58">
        <v>0</v>
      </c>
      <c r="L644" s="58">
        <v>2.5581065551571599E+18</v>
      </c>
    </row>
    <row r="645" spans="3:12">
      <c r="C645" s="29" t="b">
        <v>0</v>
      </c>
      <c r="D645" s="30" t="s">
        <v>661</v>
      </c>
      <c r="E645" s="137" t="s">
        <v>639</v>
      </c>
      <c r="F645" s="30" t="s">
        <v>68</v>
      </c>
      <c r="G645" s="30">
        <v>72</v>
      </c>
      <c r="H645" s="30">
        <v>215</v>
      </c>
      <c r="I645" s="30">
        <v>24.02</v>
      </c>
      <c r="J645" s="30" t="s">
        <v>71</v>
      </c>
      <c r="K645" s="58">
        <v>0</v>
      </c>
      <c r="L645" s="58">
        <v>7.88666021532723E+18</v>
      </c>
    </row>
    <row r="646" spans="3:12">
      <c r="C646" s="29" t="b">
        <v>0</v>
      </c>
      <c r="D646" s="30" t="s">
        <v>662</v>
      </c>
      <c r="E646" s="137" t="s">
        <v>639</v>
      </c>
      <c r="F646" s="30" t="s">
        <v>68</v>
      </c>
      <c r="G646" s="30">
        <v>76</v>
      </c>
      <c r="H646" s="30">
        <v>254</v>
      </c>
      <c r="I646" s="30">
        <v>27.6</v>
      </c>
      <c r="J646" s="30" t="s">
        <v>71</v>
      </c>
      <c r="K646" s="58">
        <v>0</v>
      </c>
      <c r="L646" s="58">
        <v>9.7766737902602691E+18</v>
      </c>
    </row>
    <row r="647" spans="3:12">
      <c r="C647" s="29" t="b">
        <v>0</v>
      </c>
      <c r="D647" s="30" t="s">
        <v>663</v>
      </c>
      <c r="E647" s="137" t="s">
        <v>639</v>
      </c>
      <c r="F647" s="30" t="s">
        <v>68</v>
      </c>
      <c r="G647" s="30">
        <v>73</v>
      </c>
      <c r="H647" s="30">
        <v>232</v>
      </c>
      <c r="I647" s="30">
        <v>27.99</v>
      </c>
      <c r="J647" s="30" t="s">
        <v>71</v>
      </c>
      <c r="K647" s="58">
        <v>0</v>
      </c>
      <c r="L647" s="58">
        <v>1.47199508268871E+19</v>
      </c>
    </row>
    <row r="648" spans="3:12">
      <c r="C648" s="29" t="b">
        <v>0</v>
      </c>
      <c r="D648" s="30" t="s">
        <v>664</v>
      </c>
      <c r="E648" s="137" t="s">
        <v>639</v>
      </c>
      <c r="F648" s="30" t="s">
        <v>68</v>
      </c>
      <c r="G648" s="30">
        <v>73</v>
      </c>
      <c r="H648" s="30">
        <v>180</v>
      </c>
      <c r="I648" s="30">
        <v>27.56</v>
      </c>
      <c r="J648" s="30" t="s">
        <v>71</v>
      </c>
      <c r="K648" s="58">
        <v>0</v>
      </c>
      <c r="L648" s="58">
        <v>1.2144401432995E+19</v>
      </c>
    </row>
    <row r="649" spans="3:12">
      <c r="C649" s="29" t="b">
        <v>0</v>
      </c>
      <c r="D649" s="30" t="s">
        <v>665</v>
      </c>
      <c r="E649" s="137" t="s">
        <v>666</v>
      </c>
      <c r="F649" s="30" t="s">
        <v>74</v>
      </c>
      <c r="G649" s="30">
        <v>72</v>
      </c>
      <c r="H649" s="30">
        <v>215</v>
      </c>
      <c r="I649" s="30">
        <v>28.63</v>
      </c>
      <c r="J649" s="30" t="s">
        <v>74</v>
      </c>
      <c r="K649" s="58">
        <v>0</v>
      </c>
      <c r="L649" s="58">
        <v>2.4514494562054502E+18</v>
      </c>
    </row>
    <row r="650" spans="3:12">
      <c r="C650" s="29" t="b">
        <v>0</v>
      </c>
      <c r="D650" s="30" t="s">
        <v>667</v>
      </c>
      <c r="E650" s="137" t="s">
        <v>666</v>
      </c>
      <c r="F650" s="30" t="s">
        <v>74</v>
      </c>
      <c r="G650" s="30">
        <v>74</v>
      </c>
      <c r="H650" s="30">
        <v>220</v>
      </c>
      <c r="I650" s="30">
        <v>30.99</v>
      </c>
      <c r="J650" s="30" t="s">
        <v>74</v>
      </c>
      <c r="K650" s="58">
        <v>0</v>
      </c>
      <c r="L650" s="58">
        <v>1.2891304507904801E+19</v>
      </c>
    </row>
    <row r="651" spans="3:12">
      <c r="C651" s="29" t="b">
        <v>0</v>
      </c>
      <c r="D651" s="30" t="s">
        <v>668</v>
      </c>
      <c r="E651" s="137" t="s">
        <v>666</v>
      </c>
      <c r="F651" s="30" t="s">
        <v>78</v>
      </c>
      <c r="G651" s="30">
        <v>74</v>
      </c>
      <c r="H651" s="30">
        <v>180</v>
      </c>
      <c r="I651" s="30">
        <v>26.33</v>
      </c>
      <c r="J651" s="30" t="s">
        <v>79</v>
      </c>
      <c r="K651" s="58">
        <v>0</v>
      </c>
      <c r="L651" s="58">
        <v>4.3854219012828401E+18</v>
      </c>
    </row>
    <row r="652" spans="3:12">
      <c r="C652" s="29" t="b">
        <v>0</v>
      </c>
      <c r="D652" s="30" t="s">
        <v>669</v>
      </c>
      <c r="E652" s="137" t="s">
        <v>666</v>
      </c>
      <c r="F652" s="30" t="s">
        <v>82</v>
      </c>
      <c r="G652" s="30">
        <v>71</v>
      </c>
      <c r="H652" s="30">
        <v>200</v>
      </c>
      <c r="I652" s="30">
        <v>26.97</v>
      </c>
      <c r="J652" s="30" t="s">
        <v>79</v>
      </c>
      <c r="K652" s="58">
        <v>0</v>
      </c>
      <c r="L652" s="58">
        <v>3.4219809410727301E+18</v>
      </c>
    </row>
    <row r="653" spans="3:12">
      <c r="C653" s="29" t="b">
        <v>0</v>
      </c>
      <c r="D653" s="30" t="s">
        <v>670</v>
      </c>
      <c r="E653" s="137" t="s">
        <v>666</v>
      </c>
      <c r="F653" s="30" t="s">
        <v>84</v>
      </c>
      <c r="G653" s="30">
        <v>72</v>
      </c>
      <c r="H653" s="30">
        <v>170</v>
      </c>
      <c r="I653" s="30">
        <v>22.85</v>
      </c>
      <c r="J653" s="30" t="s">
        <v>79</v>
      </c>
      <c r="K653" s="58">
        <v>0</v>
      </c>
      <c r="L653" s="58">
        <v>1.47695692851391E+18</v>
      </c>
    </row>
    <row r="654" spans="3:12">
      <c r="C654" s="29" t="b">
        <v>0</v>
      </c>
      <c r="D654" s="30" t="s">
        <v>671</v>
      </c>
      <c r="E654" s="137" t="s">
        <v>666</v>
      </c>
      <c r="F654" s="30" t="s">
        <v>84</v>
      </c>
      <c r="G654" s="30">
        <v>75</v>
      </c>
      <c r="H654" s="30">
        <v>195</v>
      </c>
      <c r="I654" s="30">
        <v>23.19</v>
      </c>
      <c r="J654" s="30" t="s">
        <v>79</v>
      </c>
      <c r="K654" s="58">
        <v>0</v>
      </c>
      <c r="L654" s="58">
        <v>1.7392084927956401E+18</v>
      </c>
    </row>
    <row r="655" spans="3:12">
      <c r="C655" s="29" t="b">
        <v>0</v>
      </c>
      <c r="D655" s="30" t="s">
        <v>672</v>
      </c>
      <c r="E655" s="137" t="s">
        <v>666</v>
      </c>
      <c r="F655" s="30" t="s">
        <v>86</v>
      </c>
      <c r="G655" s="30">
        <v>74</v>
      </c>
      <c r="H655" s="30">
        <v>210</v>
      </c>
      <c r="I655" s="30">
        <v>23.87</v>
      </c>
      <c r="J655" s="30" t="s">
        <v>79</v>
      </c>
      <c r="K655" s="58">
        <v>0</v>
      </c>
      <c r="L655" s="58">
        <v>5.8834657680321004E+18</v>
      </c>
    </row>
    <row r="656" spans="3:12">
      <c r="C656" s="29" t="b">
        <v>0</v>
      </c>
      <c r="D656" s="30" t="s">
        <v>673</v>
      </c>
      <c r="E656" s="137" t="s">
        <v>666</v>
      </c>
      <c r="F656" s="30" t="s">
        <v>86</v>
      </c>
      <c r="G656" s="30">
        <v>74</v>
      </c>
      <c r="H656" s="30">
        <v>200</v>
      </c>
      <c r="I656" s="30">
        <v>33.979999999999997</v>
      </c>
      <c r="J656" s="30" t="s">
        <v>79</v>
      </c>
      <c r="K656" s="58">
        <v>0</v>
      </c>
      <c r="L656" s="58">
        <v>1.2715354026293701E+18</v>
      </c>
    </row>
    <row r="657" spans="3:12">
      <c r="C657" s="29" t="b">
        <v>0</v>
      </c>
      <c r="D657" s="30" t="s">
        <v>674</v>
      </c>
      <c r="E657" s="137" t="s">
        <v>666</v>
      </c>
      <c r="F657" s="30" t="s">
        <v>89</v>
      </c>
      <c r="G657" s="30">
        <v>77</v>
      </c>
      <c r="H657" s="30">
        <v>220</v>
      </c>
      <c r="I657" s="30">
        <v>28.26</v>
      </c>
      <c r="J657" s="30" t="s">
        <v>89</v>
      </c>
      <c r="K657" s="58">
        <v>0</v>
      </c>
      <c r="L657" s="58">
        <v>2.5288504986050202E+18</v>
      </c>
    </row>
    <row r="658" spans="3:12">
      <c r="C658" s="29" t="b">
        <v>0</v>
      </c>
      <c r="D658" s="30" t="s">
        <v>675</v>
      </c>
      <c r="E658" s="137" t="s">
        <v>666</v>
      </c>
      <c r="F658" s="30" t="s">
        <v>89</v>
      </c>
      <c r="G658" s="30">
        <v>70</v>
      </c>
      <c r="H658" s="30">
        <v>165</v>
      </c>
      <c r="I658" s="30">
        <v>29.12</v>
      </c>
      <c r="J658" s="30" t="s">
        <v>89</v>
      </c>
      <c r="K658" s="58">
        <v>0</v>
      </c>
      <c r="L658" s="58">
        <v>7.7494368695276096E+17</v>
      </c>
    </row>
    <row r="659" spans="3:12">
      <c r="C659" s="29" t="b">
        <v>0</v>
      </c>
      <c r="D659" s="30" t="s">
        <v>676</v>
      </c>
      <c r="E659" s="137" t="s">
        <v>666</v>
      </c>
      <c r="F659" s="30" t="s">
        <v>89</v>
      </c>
      <c r="G659" s="30">
        <v>71</v>
      </c>
      <c r="H659" s="30">
        <v>180</v>
      </c>
      <c r="I659" s="30">
        <v>26.18</v>
      </c>
      <c r="J659" s="30" t="s">
        <v>89</v>
      </c>
      <c r="K659" s="58">
        <v>0</v>
      </c>
      <c r="L659" s="58">
        <v>9.0128294456437402E+18</v>
      </c>
    </row>
    <row r="660" spans="3:12">
      <c r="C660" s="29" t="b">
        <v>0</v>
      </c>
      <c r="D660" s="30" t="s">
        <v>677</v>
      </c>
      <c r="E660" s="137" t="s">
        <v>666</v>
      </c>
      <c r="F660" s="30" t="s">
        <v>89</v>
      </c>
      <c r="G660" s="30">
        <v>73</v>
      </c>
      <c r="H660" s="30">
        <v>200</v>
      </c>
      <c r="I660" s="30">
        <v>28.03</v>
      </c>
      <c r="J660" s="30" t="s">
        <v>89</v>
      </c>
      <c r="K660" s="58">
        <v>0</v>
      </c>
      <c r="L660" s="58">
        <v>1.12447011397999E+19</v>
      </c>
    </row>
    <row r="661" spans="3:12">
      <c r="C661" s="29" t="b">
        <v>0</v>
      </c>
      <c r="D661" s="30" t="s">
        <v>678</v>
      </c>
      <c r="E661" s="137" t="s">
        <v>666</v>
      </c>
      <c r="F661" s="30" t="s">
        <v>89</v>
      </c>
      <c r="G661" s="30">
        <v>76</v>
      </c>
      <c r="H661" s="30">
        <v>200</v>
      </c>
      <c r="I661" s="30">
        <v>23.08</v>
      </c>
      <c r="J661" s="30" t="s">
        <v>89</v>
      </c>
      <c r="K661" s="58">
        <v>0</v>
      </c>
      <c r="L661" s="58">
        <v>1.202000207419E+19</v>
      </c>
    </row>
    <row r="662" spans="3:12">
      <c r="C662" s="29" t="b">
        <v>0</v>
      </c>
      <c r="D662" s="30" t="s">
        <v>679</v>
      </c>
      <c r="E662" s="137" t="s">
        <v>666</v>
      </c>
      <c r="F662" s="30" t="s">
        <v>89</v>
      </c>
      <c r="G662" s="30">
        <v>71</v>
      </c>
      <c r="H662" s="30">
        <v>170</v>
      </c>
      <c r="I662" s="30">
        <v>26.24</v>
      </c>
      <c r="J662" s="30" t="s">
        <v>89</v>
      </c>
      <c r="K662" s="58">
        <v>0</v>
      </c>
      <c r="L662" s="58">
        <v>4.9188459374618696E+18</v>
      </c>
    </row>
    <row r="663" spans="3:12">
      <c r="C663" s="29" t="b">
        <v>0</v>
      </c>
      <c r="D663" s="30" t="s">
        <v>680</v>
      </c>
      <c r="E663" s="137" t="s">
        <v>666</v>
      </c>
      <c r="F663" s="30" t="s">
        <v>89</v>
      </c>
      <c r="G663" s="30">
        <v>75</v>
      </c>
      <c r="H663" s="30">
        <v>224</v>
      </c>
      <c r="I663" s="30">
        <v>26.63</v>
      </c>
      <c r="J663" s="30" t="s">
        <v>89</v>
      </c>
      <c r="K663" s="58">
        <v>0</v>
      </c>
      <c r="L663" s="58">
        <v>9.9409942460848294E+17</v>
      </c>
    </row>
    <row r="664" spans="3:12">
      <c r="C664" s="29" t="b">
        <v>0</v>
      </c>
      <c r="D664" s="30" t="s">
        <v>681</v>
      </c>
      <c r="E664" s="137" t="s">
        <v>666</v>
      </c>
      <c r="F664" s="30" t="s">
        <v>97</v>
      </c>
      <c r="G664" s="30">
        <v>74</v>
      </c>
      <c r="H664" s="30">
        <v>220</v>
      </c>
      <c r="I664" s="30">
        <v>24.21</v>
      </c>
      <c r="J664" s="30" t="s">
        <v>71</v>
      </c>
      <c r="K664" s="58">
        <v>0</v>
      </c>
      <c r="L664" s="58">
        <v>1.2300087664009001E+19</v>
      </c>
    </row>
    <row r="665" spans="3:12">
      <c r="C665" s="29" t="b">
        <v>0</v>
      </c>
      <c r="D665" s="30" t="s">
        <v>682</v>
      </c>
      <c r="E665" s="137" t="s">
        <v>666</v>
      </c>
      <c r="F665" s="30" t="s">
        <v>97</v>
      </c>
      <c r="G665" s="30">
        <v>72</v>
      </c>
      <c r="H665" s="30">
        <v>180</v>
      </c>
      <c r="I665" s="30">
        <v>23.01</v>
      </c>
      <c r="J665" s="30" t="s">
        <v>71</v>
      </c>
      <c r="K665" s="58">
        <v>0</v>
      </c>
      <c r="L665" s="58">
        <v>5.1287537805225997E+17</v>
      </c>
    </row>
    <row r="666" spans="3:12">
      <c r="C666" s="29" t="b">
        <v>0</v>
      </c>
      <c r="D666" s="30" t="s">
        <v>683</v>
      </c>
      <c r="E666" s="137" t="s">
        <v>666</v>
      </c>
      <c r="F666" s="30" t="s">
        <v>97</v>
      </c>
      <c r="G666" s="30">
        <v>76</v>
      </c>
      <c r="H666" s="30">
        <v>198</v>
      </c>
      <c r="I666" s="30">
        <v>23.13</v>
      </c>
      <c r="J666" s="30" t="s">
        <v>71</v>
      </c>
      <c r="K666" s="58">
        <v>0</v>
      </c>
      <c r="L666" s="58">
        <v>1.4568705364821899E+19</v>
      </c>
    </row>
    <row r="667" spans="3:12">
      <c r="C667" s="29" t="b">
        <v>0</v>
      </c>
      <c r="D667" s="30" t="s">
        <v>684</v>
      </c>
      <c r="E667" s="137" t="s">
        <v>666</v>
      </c>
      <c r="F667" s="30" t="s">
        <v>97</v>
      </c>
      <c r="G667" s="30">
        <v>79</v>
      </c>
      <c r="H667" s="30">
        <v>240</v>
      </c>
      <c r="I667" s="30">
        <v>23.08</v>
      </c>
      <c r="J667" s="30" t="s">
        <v>71</v>
      </c>
      <c r="K667" s="58">
        <v>0</v>
      </c>
      <c r="L667" s="58">
        <v>1.4792075868613401E+19</v>
      </c>
    </row>
    <row r="668" spans="3:12">
      <c r="C668" s="29" t="b">
        <v>0</v>
      </c>
      <c r="D668" s="30" t="s">
        <v>685</v>
      </c>
      <c r="E668" s="137" t="s">
        <v>666</v>
      </c>
      <c r="F668" s="30" t="s">
        <v>97</v>
      </c>
      <c r="G668" s="30">
        <v>76</v>
      </c>
      <c r="H668" s="30">
        <v>239</v>
      </c>
      <c r="I668" s="30">
        <v>25.13</v>
      </c>
      <c r="J668" s="30" t="s">
        <v>71</v>
      </c>
      <c r="K668" s="58">
        <v>0</v>
      </c>
      <c r="L668" s="58">
        <v>1.19942302928862E+19</v>
      </c>
    </row>
    <row r="669" spans="3:12">
      <c r="C669" s="29" t="b">
        <v>0</v>
      </c>
      <c r="D669" s="30" t="s">
        <v>686</v>
      </c>
      <c r="E669" s="137" t="s">
        <v>666</v>
      </c>
      <c r="F669" s="30" t="s">
        <v>68</v>
      </c>
      <c r="G669" s="30">
        <v>73</v>
      </c>
      <c r="H669" s="30">
        <v>185</v>
      </c>
      <c r="I669" s="30">
        <v>24.66</v>
      </c>
      <c r="J669" s="30" t="s">
        <v>71</v>
      </c>
      <c r="K669" s="58">
        <v>0</v>
      </c>
      <c r="L669" s="58">
        <v>7.3238647039992699E+18</v>
      </c>
    </row>
    <row r="670" spans="3:12">
      <c r="C670" s="29" t="b">
        <v>0</v>
      </c>
      <c r="D670" s="30" t="s">
        <v>687</v>
      </c>
      <c r="E670" s="137" t="s">
        <v>666</v>
      </c>
      <c r="F670" s="30" t="s">
        <v>68</v>
      </c>
      <c r="G670" s="30">
        <v>76</v>
      </c>
      <c r="H670" s="30">
        <v>210</v>
      </c>
      <c r="I670" s="30">
        <v>26.03</v>
      </c>
      <c r="J670" s="30" t="s">
        <v>71</v>
      </c>
      <c r="K670" s="58">
        <v>0</v>
      </c>
      <c r="L670" s="58">
        <v>1.7986799280854999E+19</v>
      </c>
    </row>
    <row r="671" spans="3:12">
      <c r="C671" s="29" t="b">
        <v>0</v>
      </c>
      <c r="D671" s="30" t="s">
        <v>688</v>
      </c>
      <c r="E671" s="137" t="s">
        <v>666</v>
      </c>
      <c r="F671" s="30" t="s">
        <v>68</v>
      </c>
      <c r="G671" s="30">
        <v>78</v>
      </c>
      <c r="H671" s="30">
        <v>220</v>
      </c>
      <c r="I671" s="30">
        <v>28.7</v>
      </c>
      <c r="J671" s="30" t="s">
        <v>71</v>
      </c>
      <c r="K671" s="58">
        <v>0</v>
      </c>
      <c r="L671" s="58">
        <v>1.81245272323538E+19</v>
      </c>
    </row>
    <row r="672" spans="3:12">
      <c r="C672" s="29" t="b">
        <v>0</v>
      </c>
      <c r="D672" s="30" t="s">
        <v>689</v>
      </c>
      <c r="E672" s="137" t="s">
        <v>666</v>
      </c>
      <c r="F672" s="30" t="s">
        <v>68</v>
      </c>
      <c r="G672" s="30">
        <v>75</v>
      </c>
      <c r="H672" s="30">
        <v>200</v>
      </c>
      <c r="I672" s="30">
        <v>25.57</v>
      </c>
      <c r="J672" s="30" t="s">
        <v>71</v>
      </c>
      <c r="K672" s="58">
        <v>0</v>
      </c>
      <c r="L672" s="58">
        <v>1.1221113372627499E+19</v>
      </c>
    </row>
    <row r="673" spans="3:12">
      <c r="C673" s="29" t="b">
        <v>0</v>
      </c>
      <c r="D673" s="30" t="s">
        <v>690</v>
      </c>
      <c r="E673" s="137" t="s">
        <v>666</v>
      </c>
      <c r="F673" s="30" t="s">
        <v>68</v>
      </c>
      <c r="G673" s="30">
        <v>76</v>
      </c>
      <c r="H673" s="30">
        <v>195</v>
      </c>
      <c r="I673" s="30">
        <v>24.65</v>
      </c>
      <c r="J673" s="30" t="s">
        <v>71</v>
      </c>
      <c r="K673" s="58">
        <v>0</v>
      </c>
      <c r="L673" s="58">
        <v>1.5789147120065401E+19</v>
      </c>
    </row>
    <row r="674" spans="3:12">
      <c r="C674" s="29" t="b">
        <v>0</v>
      </c>
      <c r="D674" s="30" t="s">
        <v>691</v>
      </c>
      <c r="E674" s="137" t="s">
        <v>666</v>
      </c>
      <c r="F674" s="30" t="s">
        <v>68</v>
      </c>
      <c r="G674" s="30">
        <v>72</v>
      </c>
      <c r="H674" s="30">
        <v>220</v>
      </c>
      <c r="I674" s="30">
        <v>25.55</v>
      </c>
      <c r="J674" s="30" t="s">
        <v>71</v>
      </c>
      <c r="K674" s="58">
        <v>0</v>
      </c>
      <c r="L674" s="58">
        <v>6.8330927444019098E+18</v>
      </c>
    </row>
    <row r="675" spans="3:12">
      <c r="C675" s="29" t="b">
        <v>0</v>
      </c>
      <c r="D675" s="30" t="s">
        <v>692</v>
      </c>
      <c r="E675" s="137" t="s">
        <v>666</v>
      </c>
      <c r="F675" s="30" t="s">
        <v>68</v>
      </c>
      <c r="G675" s="30">
        <v>72</v>
      </c>
      <c r="H675" s="30">
        <v>230</v>
      </c>
      <c r="I675" s="30">
        <v>22.27</v>
      </c>
      <c r="J675" s="30" t="s">
        <v>71</v>
      </c>
      <c r="K675" s="58">
        <v>0</v>
      </c>
      <c r="L675" s="58">
        <v>1.2585194008414401E+19</v>
      </c>
    </row>
    <row r="676" spans="3:12">
      <c r="C676" s="29" t="b">
        <v>0</v>
      </c>
      <c r="D676" s="30" t="s">
        <v>693</v>
      </c>
      <c r="E676" s="137" t="s">
        <v>666</v>
      </c>
      <c r="F676" s="30" t="s">
        <v>68</v>
      </c>
      <c r="G676" s="30">
        <v>73</v>
      </c>
      <c r="H676" s="30">
        <v>170</v>
      </c>
      <c r="I676" s="30">
        <v>24.76</v>
      </c>
      <c r="J676" s="30" t="s">
        <v>71</v>
      </c>
      <c r="K676" s="58">
        <v>0</v>
      </c>
      <c r="L676" s="58">
        <v>6.6500073318322196E+18</v>
      </c>
    </row>
    <row r="677" spans="3:12">
      <c r="C677" s="29" t="b">
        <v>0</v>
      </c>
      <c r="D677" s="30" t="s">
        <v>694</v>
      </c>
      <c r="E677" s="137" t="s">
        <v>666</v>
      </c>
      <c r="F677" s="30" t="s">
        <v>68</v>
      </c>
      <c r="G677" s="30">
        <v>73</v>
      </c>
      <c r="H677" s="30">
        <v>220</v>
      </c>
      <c r="I677" s="30">
        <v>23.98</v>
      </c>
      <c r="J677" s="30" t="s">
        <v>71</v>
      </c>
      <c r="K677" s="58">
        <v>0</v>
      </c>
      <c r="L677" s="58">
        <v>1.56664003080476E+19</v>
      </c>
    </row>
    <row r="678" spans="3:12">
      <c r="C678" s="29" t="b">
        <v>0</v>
      </c>
      <c r="D678" s="30" t="s">
        <v>695</v>
      </c>
      <c r="E678" s="137" t="s">
        <v>666</v>
      </c>
      <c r="F678" s="30" t="s">
        <v>68</v>
      </c>
      <c r="G678" s="30">
        <v>75</v>
      </c>
      <c r="H678" s="30">
        <v>230</v>
      </c>
      <c r="I678" s="30">
        <v>27.85</v>
      </c>
      <c r="J678" s="30" t="s">
        <v>71</v>
      </c>
      <c r="K678" s="58">
        <v>0</v>
      </c>
      <c r="L678" s="58">
        <v>1.1531023245965601E+19</v>
      </c>
    </row>
    <row r="679" spans="3:12">
      <c r="C679" s="29" t="b">
        <v>0</v>
      </c>
      <c r="D679" s="30" t="s">
        <v>696</v>
      </c>
      <c r="E679" s="137" t="s">
        <v>666</v>
      </c>
      <c r="F679" s="30" t="s">
        <v>68</v>
      </c>
      <c r="G679" s="30">
        <v>71</v>
      </c>
      <c r="H679" s="30">
        <v>165</v>
      </c>
      <c r="I679" s="30">
        <v>22.14</v>
      </c>
      <c r="J679" s="30" t="s">
        <v>71</v>
      </c>
      <c r="K679" s="58">
        <v>0</v>
      </c>
      <c r="L679" s="58">
        <v>2.5180077426296699E+18</v>
      </c>
    </row>
    <row r="680" spans="3:12">
      <c r="C680" s="29" t="b">
        <v>0</v>
      </c>
      <c r="D680" s="30" t="s">
        <v>697</v>
      </c>
      <c r="E680" s="137" t="s">
        <v>666</v>
      </c>
      <c r="F680" s="30" t="s">
        <v>68</v>
      </c>
      <c r="G680" s="30">
        <v>76</v>
      </c>
      <c r="H680" s="30">
        <v>205</v>
      </c>
      <c r="I680" s="30">
        <v>27.05</v>
      </c>
      <c r="J680" s="30" t="s">
        <v>71</v>
      </c>
      <c r="K680" s="58">
        <v>0</v>
      </c>
      <c r="L680" s="58">
        <v>1.6923190898658601E+19</v>
      </c>
    </row>
    <row r="681" spans="3:12">
      <c r="C681" s="29" t="b">
        <v>0</v>
      </c>
      <c r="D681" s="30" t="s">
        <v>698</v>
      </c>
      <c r="E681" s="137" t="s">
        <v>699</v>
      </c>
      <c r="F681" s="30" t="s">
        <v>74</v>
      </c>
      <c r="G681" s="30">
        <v>70</v>
      </c>
      <c r="H681" s="30">
        <v>192</v>
      </c>
      <c r="I681" s="30">
        <v>31.45</v>
      </c>
      <c r="J681" s="30" t="s">
        <v>74</v>
      </c>
      <c r="K681" s="58">
        <v>0</v>
      </c>
      <c r="L681" s="58">
        <v>9.8684987492264694E+18</v>
      </c>
    </row>
    <row r="682" spans="3:12">
      <c r="C682" s="29" t="b">
        <v>0</v>
      </c>
      <c r="D682" s="30" t="s">
        <v>700</v>
      </c>
      <c r="E682" s="137" t="s">
        <v>699</v>
      </c>
      <c r="F682" s="30" t="s">
        <v>74</v>
      </c>
      <c r="G682" s="30">
        <v>75</v>
      </c>
      <c r="H682" s="30">
        <v>210</v>
      </c>
      <c r="I682" s="30">
        <v>32.03</v>
      </c>
      <c r="J682" s="30" t="s">
        <v>74</v>
      </c>
      <c r="K682" s="58">
        <v>0</v>
      </c>
      <c r="L682" s="58">
        <v>1.05379994207081E+19</v>
      </c>
    </row>
    <row r="683" spans="3:12">
      <c r="C683" s="29" t="b">
        <v>0</v>
      </c>
      <c r="D683" s="30" t="s">
        <v>701</v>
      </c>
      <c r="E683" s="137" t="s">
        <v>699</v>
      </c>
      <c r="F683" s="30" t="s">
        <v>74</v>
      </c>
      <c r="G683" s="30">
        <v>74</v>
      </c>
      <c r="H683" s="30">
        <v>205</v>
      </c>
      <c r="I683" s="30">
        <v>29.95</v>
      </c>
      <c r="J683" s="30" t="s">
        <v>74</v>
      </c>
      <c r="K683" s="58">
        <v>0</v>
      </c>
      <c r="L683" s="58">
        <v>5.0124488930696602E+18</v>
      </c>
    </row>
    <row r="684" spans="3:12">
      <c r="C684" s="29" t="b">
        <v>0</v>
      </c>
      <c r="D684" s="30" t="s">
        <v>702</v>
      </c>
      <c r="E684" s="137" t="s">
        <v>699</v>
      </c>
      <c r="F684" s="30" t="s">
        <v>78</v>
      </c>
      <c r="G684" s="30">
        <v>75</v>
      </c>
      <c r="H684" s="30">
        <v>200</v>
      </c>
      <c r="I684" s="30">
        <v>23.47</v>
      </c>
      <c r="J684" s="30" t="s">
        <v>79</v>
      </c>
      <c r="K684" s="58">
        <v>0</v>
      </c>
      <c r="L684" s="58">
        <v>1.25815366425821E+19</v>
      </c>
    </row>
    <row r="685" spans="3:12">
      <c r="C685" s="29" t="b">
        <v>0</v>
      </c>
      <c r="D685" s="30" t="s">
        <v>703</v>
      </c>
      <c r="E685" s="137" t="s">
        <v>699</v>
      </c>
      <c r="F685" s="30" t="s">
        <v>78</v>
      </c>
      <c r="G685" s="30">
        <v>73</v>
      </c>
      <c r="H685" s="30">
        <v>210</v>
      </c>
      <c r="I685" s="30">
        <v>37.21</v>
      </c>
      <c r="J685" s="30" t="s">
        <v>79</v>
      </c>
      <c r="K685" s="58">
        <v>0</v>
      </c>
      <c r="L685" s="58">
        <v>9.0433943718466601E+18</v>
      </c>
    </row>
    <row r="686" spans="3:12">
      <c r="C686" s="29" t="b">
        <v>0</v>
      </c>
      <c r="D686" s="30" t="s">
        <v>704</v>
      </c>
      <c r="E686" s="137" t="s">
        <v>699</v>
      </c>
      <c r="F686" s="30" t="s">
        <v>82</v>
      </c>
      <c r="G686" s="30">
        <v>71</v>
      </c>
      <c r="H686" s="30">
        <v>185</v>
      </c>
      <c r="I686" s="30">
        <v>25.67</v>
      </c>
      <c r="J686" s="30" t="s">
        <v>79</v>
      </c>
      <c r="K686" s="58">
        <v>0</v>
      </c>
      <c r="L686" s="58">
        <v>1.3597566535911899E+19</v>
      </c>
    </row>
    <row r="687" spans="3:12">
      <c r="C687" s="29" t="b">
        <v>0</v>
      </c>
      <c r="D687" s="30" t="s">
        <v>705</v>
      </c>
      <c r="E687" s="137" t="s">
        <v>699</v>
      </c>
      <c r="F687" s="30" t="s">
        <v>84</v>
      </c>
      <c r="G687" s="30">
        <v>71</v>
      </c>
      <c r="H687" s="30">
        <v>195</v>
      </c>
      <c r="I687" s="30">
        <v>34.69</v>
      </c>
      <c r="J687" s="30" t="s">
        <v>79</v>
      </c>
      <c r="K687" s="58">
        <v>0</v>
      </c>
      <c r="L687" s="58">
        <v>1.44451418029761E+19</v>
      </c>
    </row>
    <row r="688" spans="3:12">
      <c r="C688" s="29" t="b">
        <v>0</v>
      </c>
      <c r="D688" s="30" t="s">
        <v>706</v>
      </c>
      <c r="E688" s="137" t="s">
        <v>699</v>
      </c>
      <c r="F688" s="30" t="s">
        <v>84</v>
      </c>
      <c r="G688" s="30">
        <v>72</v>
      </c>
      <c r="H688" s="30">
        <v>202</v>
      </c>
      <c r="I688" s="30">
        <v>30.04</v>
      </c>
      <c r="J688" s="30" t="s">
        <v>79</v>
      </c>
      <c r="K688" s="58">
        <v>0</v>
      </c>
      <c r="L688" s="58">
        <v>3.4979461112551598E+18</v>
      </c>
    </row>
    <row r="689" spans="3:12">
      <c r="C689" s="29" t="b">
        <v>0</v>
      </c>
      <c r="D689" s="30" t="s">
        <v>707</v>
      </c>
      <c r="E689" s="137" t="s">
        <v>699</v>
      </c>
      <c r="F689" s="30" t="s">
        <v>86</v>
      </c>
      <c r="G689" s="30">
        <v>73</v>
      </c>
      <c r="H689" s="30">
        <v>205</v>
      </c>
      <c r="I689" s="30">
        <v>32.520000000000003</v>
      </c>
      <c r="J689" s="30" t="s">
        <v>79</v>
      </c>
      <c r="K689" s="58">
        <v>0</v>
      </c>
      <c r="L689" s="58">
        <v>5.7030791857335398E+18</v>
      </c>
    </row>
    <row r="690" spans="3:12">
      <c r="C690" s="29" t="b">
        <v>0</v>
      </c>
      <c r="D690" s="30" t="s">
        <v>708</v>
      </c>
      <c r="E690" s="137" t="s">
        <v>699</v>
      </c>
      <c r="F690" s="30" t="s">
        <v>86</v>
      </c>
      <c r="G690" s="30">
        <v>73</v>
      </c>
      <c r="H690" s="30">
        <v>195</v>
      </c>
      <c r="I690" s="30">
        <v>24.15</v>
      </c>
      <c r="J690" s="30" t="s">
        <v>79</v>
      </c>
      <c r="K690" s="58">
        <v>0</v>
      </c>
      <c r="L690" s="58">
        <v>8.8414021435676897E+18</v>
      </c>
    </row>
    <row r="691" spans="3:12">
      <c r="C691" s="29" t="b">
        <v>0</v>
      </c>
      <c r="D691" s="30" t="s">
        <v>709</v>
      </c>
      <c r="E691" s="137" t="s">
        <v>699</v>
      </c>
      <c r="F691" s="30" t="s">
        <v>86</v>
      </c>
      <c r="G691" s="30">
        <v>72</v>
      </c>
      <c r="H691" s="30">
        <v>180</v>
      </c>
      <c r="I691" s="30">
        <v>26.86</v>
      </c>
      <c r="J691" s="30" t="s">
        <v>79</v>
      </c>
      <c r="K691" s="58">
        <v>0</v>
      </c>
      <c r="L691" s="58">
        <v>1.63138984316335E+19</v>
      </c>
    </row>
    <row r="692" spans="3:12">
      <c r="C692" s="29" t="b">
        <v>0</v>
      </c>
      <c r="D692" s="30" t="s">
        <v>710</v>
      </c>
      <c r="E692" s="137" t="s">
        <v>699</v>
      </c>
      <c r="F692" s="30" t="s">
        <v>89</v>
      </c>
      <c r="G692" s="30">
        <v>69</v>
      </c>
      <c r="H692" s="30">
        <v>200</v>
      </c>
      <c r="I692" s="30">
        <v>27.94</v>
      </c>
      <c r="J692" s="30" t="s">
        <v>89</v>
      </c>
      <c r="K692" s="58">
        <v>0</v>
      </c>
      <c r="L692" s="58">
        <v>2.0601391915258299E+18</v>
      </c>
    </row>
    <row r="693" spans="3:12">
      <c r="C693" s="29" t="b">
        <v>0</v>
      </c>
      <c r="D693" s="30" t="s">
        <v>711</v>
      </c>
      <c r="E693" s="137" t="s">
        <v>699</v>
      </c>
      <c r="F693" s="30" t="s">
        <v>89</v>
      </c>
      <c r="G693" s="30">
        <v>73</v>
      </c>
      <c r="H693" s="30">
        <v>185</v>
      </c>
      <c r="I693" s="30">
        <v>26.63</v>
      </c>
      <c r="J693" s="30" t="s">
        <v>89</v>
      </c>
      <c r="K693" s="58">
        <v>0</v>
      </c>
      <c r="L693" s="58">
        <v>1.4257551803746601E+19</v>
      </c>
    </row>
    <row r="694" spans="3:12">
      <c r="C694" s="29" t="b">
        <v>0</v>
      </c>
      <c r="D694" s="30" t="s">
        <v>712</v>
      </c>
      <c r="E694" s="137" t="s">
        <v>699</v>
      </c>
      <c r="F694" s="30" t="s">
        <v>89</v>
      </c>
      <c r="G694" s="30">
        <v>78</v>
      </c>
      <c r="H694" s="30">
        <v>240</v>
      </c>
      <c r="I694" s="30">
        <v>27.31</v>
      </c>
      <c r="J694" s="30" t="s">
        <v>89</v>
      </c>
      <c r="K694" s="58">
        <v>0</v>
      </c>
      <c r="L694" s="58">
        <v>8.7064404535163597E+18</v>
      </c>
    </row>
    <row r="695" spans="3:12">
      <c r="C695" s="29" t="b">
        <v>0</v>
      </c>
      <c r="D695" s="30" t="s">
        <v>713</v>
      </c>
      <c r="E695" s="137" t="s">
        <v>699</v>
      </c>
      <c r="F695" s="30" t="s">
        <v>89</v>
      </c>
      <c r="G695" s="30">
        <v>71</v>
      </c>
      <c r="H695" s="30">
        <v>185</v>
      </c>
      <c r="I695" s="30">
        <v>30.55</v>
      </c>
      <c r="J695" s="30" t="s">
        <v>89</v>
      </c>
      <c r="K695" s="58">
        <v>0</v>
      </c>
      <c r="L695" s="58">
        <v>8.3092989348412396E+18</v>
      </c>
    </row>
    <row r="696" spans="3:12">
      <c r="C696" s="29" t="b">
        <v>0</v>
      </c>
      <c r="D696" s="30" t="s">
        <v>714</v>
      </c>
      <c r="E696" s="137" t="s">
        <v>699</v>
      </c>
      <c r="F696" s="30" t="s">
        <v>89</v>
      </c>
      <c r="G696" s="30">
        <v>73</v>
      </c>
      <c r="H696" s="30">
        <v>220</v>
      </c>
      <c r="I696" s="30">
        <v>40.68</v>
      </c>
      <c r="J696" s="30" t="s">
        <v>89</v>
      </c>
      <c r="K696" s="58">
        <v>0</v>
      </c>
      <c r="L696" s="58">
        <v>6.2655596859029402E+18</v>
      </c>
    </row>
    <row r="697" spans="3:12">
      <c r="C697" s="29" t="b">
        <v>0</v>
      </c>
      <c r="D697" s="30" t="s">
        <v>715</v>
      </c>
      <c r="E697" s="137" t="s">
        <v>699</v>
      </c>
      <c r="F697" s="30" t="s">
        <v>89</v>
      </c>
      <c r="G697" s="30">
        <v>75</v>
      </c>
      <c r="H697" s="30">
        <v>205</v>
      </c>
      <c r="I697" s="30">
        <v>37.270000000000003</v>
      </c>
      <c r="J697" s="30" t="s">
        <v>89</v>
      </c>
      <c r="K697" s="58">
        <v>0</v>
      </c>
      <c r="L697" s="58">
        <v>1.63960077686481E+19</v>
      </c>
    </row>
    <row r="698" spans="3:12">
      <c r="C698" s="29" t="b">
        <v>0</v>
      </c>
      <c r="D698" s="30" t="s">
        <v>716</v>
      </c>
      <c r="E698" s="137" t="s">
        <v>699</v>
      </c>
      <c r="F698" s="30" t="s">
        <v>89</v>
      </c>
      <c r="G698" s="30">
        <v>76</v>
      </c>
      <c r="H698" s="30">
        <v>205</v>
      </c>
      <c r="I698" s="30">
        <v>25.78</v>
      </c>
      <c r="J698" s="30" t="s">
        <v>89</v>
      </c>
      <c r="K698" s="58">
        <v>0</v>
      </c>
      <c r="L698" s="58">
        <v>1.2531728673268199E+19</v>
      </c>
    </row>
    <row r="699" spans="3:12">
      <c r="C699" s="29" t="b">
        <v>0</v>
      </c>
      <c r="D699" s="30" t="s">
        <v>717</v>
      </c>
      <c r="E699" s="137" t="s">
        <v>699</v>
      </c>
      <c r="F699" s="30" t="s">
        <v>89</v>
      </c>
      <c r="G699" s="30">
        <v>70</v>
      </c>
      <c r="H699" s="30">
        <v>180</v>
      </c>
      <c r="I699" s="30">
        <v>30.98</v>
      </c>
      <c r="J699" s="30" t="s">
        <v>89</v>
      </c>
      <c r="K699" s="58">
        <v>0</v>
      </c>
      <c r="L699" s="58">
        <v>2.30380865022735E+18</v>
      </c>
    </row>
    <row r="700" spans="3:12">
      <c r="C700" s="29" t="b">
        <v>0</v>
      </c>
      <c r="D700" s="30" t="s">
        <v>718</v>
      </c>
      <c r="E700" s="137" t="s">
        <v>699</v>
      </c>
      <c r="F700" s="30" t="s">
        <v>97</v>
      </c>
      <c r="G700" s="30">
        <v>74</v>
      </c>
      <c r="H700" s="30">
        <v>201</v>
      </c>
      <c r="I700" s="30">
        <v>28.41</v>
      </c>
      <c r="J700" s="30" t="s">
        <v>71</v>
      </c>
      <c r="K700" s="58">
        <v>0</v>
      </c>
      <c r="L700" s="58">
        <v>1.8892016268432899E+17</v>
      </c>
    </row>
    <row r="701" spans="3:12">
      <c r="C701" s="29" t="b">
        <v>0</v>
      </c>
      <c r="D701" s="30" t="s">
        <v>719</v>
      </c>
      <c r="E701" s="137" t="s">
        <v>699</v>
      </c>
      <c r="F701" s="30" t="s">
        <v>97</v>
      </c>
      <c r="G701" s="30">
        <v>77</v>
      </c>
      <c r="H701" s="30">
        <v>190</v>
      </c>
      <c r="I701" s="30">
        <v>30.01</v>
      </c>
      <c r="J701" s="30" t="s">
        <v>71</v>
      </c>
      <c r="K701" s="58">
        <v>0</v>
      </c>
      <c r="L701" s="58">
        <v>1.6156187568225499E+19</v>
      </c>
    </row>
    <row r="702" spans="3:12">
      <c r="C702" s="29" t="b">
        <v>0</v>
      </c>
      <c r="D702" s="30" t="s">
        <v>720</v>
      </c>
      <c r="E702" s="137" t="s">
        <v>699</v>
      </c>
      <c r="F702" s="30" t="s">
        <v>97</v>
      </c>
      <c r="G702" s="30">
        <v>75</v>
      </c>
      <c r="H702" s="30">
        <v>208</v>
      </c>
      <c r="I702" s="30">
        <v>31.57</v>
      </c>
      <c r="J702" s="30" t="s">
        <v>71</v>
      </c>
      <c r="K702" s="58">
        <v>0</v>
      </c>
      <c r="L702" s="58">
        <v>8.08684827742464E+18</v>
      </c>
    </row>
    <row r="703" spans="3:12">
      <c r="C703" s="29" t="b">
        <v>0</v>
      </c>
      <c r="D703" s="30" t="s">
        <v>721</v>
      </c>
      <c r="E703" s="137" t="s">
        <v>699</v>
      </c>
      <c r="F703" s="30" t="s">
        <v>97</v>
      </c>
      <c r="G703" s="30">
        <v>79</v>
      </c>
      <c r="H703" s="30">
        <v>240</v>
      </c>
      <c r="I703" s="30">
        <v>28.81</v>
      </c>
      <c r="J703" s="30" t="s">
        <v>71</v>
      </c>
      <c r="K703" s="58">
        <v>0</v>
      </c>
      <c r="L703" s="58">
        <v>1.6815830990937801E+19</v>
      </c>
    </row>
    <row r="704" spans="3:12">
      <c r="C704" s="29" t="b">
        <v>0</v>
      </c>
      <c r="D704" s="30" t="s">
        <v>722</v>
      </c>
      <c r="E704" s="137" t="s">
        <v>699</v>
      </c>
      <c r="F704" s="30" t="s">
        <v>97</v>
      </c>
      <c r="G704" s="30">
        <v>72</v>
      </c>
      <c r="H704" s="30">
        <v>180</v>
      </c>
      <c r="I704" s="30">
        <v>24.09</v>
      </c>
      <c r="J704" s="30" t="s">
        <v>71</v>
      </c>
      <c r="K704" s="58">
        <v>0</v>
      </c>
      <c r="L704" s="58">
        <v>5.9826073561177395E+18</v>
      </c>
    </row>
    <row r="705" spans="3:12">
      <c r="C705" s="29" t="b">
        <v>0</v>
      </c>
      <c r="D705" s="30" t="s">
        <v>723</v>
      </c>
      <c r="E705" s="137" t="s">
        <v>699</v>
      </c>
      <c r="F705" s="30" t="s">
        <v>68</v>
      </c>
      <c r="G705" s="30">
        <v>77</v>
      </c>
      <c r="H705" s="30">
        <v>230</v>
      </c>
      <c r="I705" s="30">
        <v>26.47</v>
      </c>
      <c r="J705" s="30" t="s">
        <v>71</v>
      </c>
      <c r="K705" s="58">
        <v>0</v>
      </c>
      <c r="L705" s="58">
        <v>3.49386401969681E+18</v>
      </c>
    </row>
    <row r="706" spans="3:12">
      <c r="C706" s="29" t="b">
        <v>0</v>
      </c>
      <c r="D706" s="30" t="s">
        <v>724</v>
      </c>
      <c r="E706" s="137" t="s">
        <v>699</v>
      </c>
      <c r="F706" s="30" t="s">
        <v>68</v>
      </c>
      <c r="G706" s="30">
        <v>73</v>
      </c>
      <c r="H706" s="30">
        <v>195</v>
      </c>
      <c r="I706" s="30">
        <v>30.5</v>
      </c>
      <c r="J706" s="30" t="s">
        <v>71</v>
      </c>
      <c r="K706" s="58">
        <v>0</v>
      </c>
      <c r="L706" s="58">
        <v>1.6282329405130799E+19</v>
      </c>
    </row>
    <row r="707" spans="3:12">
      <c r="C707" s="29" t="b">
        <v>0</v>
      </c>
      <c r="D707" s="30" t="s">
        <v>725</v>
      </c>
      <c r="E707" s="137" t="s">
        <v>699</v>
      </c>
      <c r="F707" s="30" t="s">
        <v>68</v>
      </c>
      <c r="G707" s="30">
        <v>75</v>
      </c>
      <c r="H707" s="30">
        <v>215</v>
      </c>
      <c r="I707" s="30">
        <v>23.74</v>
      </c>
      <c r="J707" s="30" t="s">
        <v>71</v>
      </c>
      <c r="K707" s="58">
        <v>0</v>
      </c>
      <c r="L707" s="58">
        <v>1.4699716988886499E+19</v>
      </c>
    </row>
    <row r="708" spans="3:12">
      <c r="C708" s="29" t="b">
        <v>0</v>
      </c>
      <c r="D708" s="30" t="s">
        <v>726</v>
      </c>
      <c r="E708" s="137" t="s">
        <v>699</v>
      </c>
      <c r="F708" s="30" t="s">
        <v>68</v>
      </c>
      <c r="G708" s="30">
        <v>75</v>
      </c>
      <c r="H708" s="30">
        <v>190</v>
      </c>
      <c r="I708" s="30">
        <v>24.49</v>
      </c>
      <c r="J708" s="30" t="s">
        <v>71</v>
      </c>
      <c r="K708" s="58">
        <v>0</v>
      </c>
      <c r="L708" s="58">
        <v>1.00029218914183E+19</v>
      </c>
    </row>
    <row r="709" spans="3:12">
      <c r="C709" s="29" t="b">
        <v>0</v>
      </c>
      <c r="D709" s="30" t="s">
        <v>727</v>
      </c>
      <c r="E709" s="137" t="s">
        <v>699</v>
      </c>
      <c r="F709" s="30" t="s">
        <v>68</v>
      </c>
      <c r="G709" s="30">
        <v>75</v>
      </c>
      <c r="H709" s="30">
        <v>195</v>
      </c>
      <c r="I709" s="30">
        <v>26.73</v>
      </c>
      <c r="J709" s="30" t="s">
        <v>71</v>
      </c>
      <c r="K709" s="58">
        <v>0</v>
      </c>
      <c r="L709" s="58">
        <v>7.2266371650378004E+18</v>
      </c>
    </row>
    <row r="710" spans="3:12">
      <c r="C710" s="29" t="b">
        <v>0</v>
      </c>
      <c r="D710" s="30" t="s">
        <v>728</v>
      </c>
      <c r="E710" s="137" t="s">
        <v>699</v>
      </c>
      <c r="F710" s="30" t="s">
        <v>68</v>
      </c>
      <c r="G710" s="30">
        <v>73</v>
      </c>
      <c r="H710" s="30">
        <v>215</v>
      </c>
      <c r="I710" s="30">
        <v>27.01</v>
      </c>
      <c r="J710" s="30" t="s">
        <v>71</v>
      </c>
      <c r="K710" s="58">
        <v>0</v>
      </c>
      <c r="L710" s="58">
        <v>1.2745259402083E+19</v>
      </c>
    </row>
    <row r="711" spans="3:12">
      <c r="C711" s="29" t="b">
        <v>0</v>
      </c>
      <c r="D711" s="30" t="s">
        <v>729</v>
      </c>
      <c r="E711" s="137" t="s">
        <v>699</v>
      </c>
      <c r="F711" s="30" t="s">
        <v>68</v>
      </c>
      <c r="G711" s="30">
        <v>73</v>
      </c>
      <c r="H711" s="30">
        <v>215</v>
      </c>
      <c r="I711" s="30">
        <v>39.75</v>
      </c>
      <c r="J711" s="30" t="s">
        <v>71</v>
      </c>
      <c r="K711" s="58">
        <v>0</v>
      </c>
      <c r="L711" s="58">
        <v>4.5391139855074698E+18</v>
      </c>
    </row>
    <row r="712" spans="3:12">
      <c r="C712" s="29" t="b">
        <v>0</v>
      </c>
      <c r="D712" s="30" t="s">
        <v>730</v>
      </c>
      <c r="E712" s="137" t="s">
        <v>699</v>
      </c>
      <c r="F712" s="30" t="s">
        <v>68</v>
      </c>
      <c r="G712" s="30">
        <v>76</v>
      </c>
      <c r="H712" s="30">
        <v>220</v>
      </c>
      <c r="I712" s="30">
        <v>27.16</v>
      </c>
      <c r="J712" s="30" t="s">
        <v>71</v>
      </c>
      <c r="K712" s="58">
        <v>0</v>
      </c>
      <c r="L712" s="58">
        <v>1.2903971988067799E+19</v>
      </c>
    </row>
    <row r="713" spans="3:12">
      <c r="C713" s="29" t="b">
        <v>0</v>
      </c>
      <c r="D713" s="30" t="s">
        <v>731</v>
      </c>
      <c r="E713" s="137" t="s">
        <v>699</v>
      </c>
      <c r="F713" s="30" t="s">
        <v>68</v>
      </c>
      <c r="G713" s="30">
        <v>77</v>
      </c>
      <c r="H713" s="30">
        <v>220</v>
      </c>
      <c r="I713" s="30">
        <v>25.74</v>
      </c>
      <c r="J713" s="30" t="s">
        <v>71</v>
      </c>
      <c r="K713" s="58">
        <v>0</v>
      </c>
      <c r="L713" s="58">
        <v>6.0811087153197005E+18</v>
      </c>
    </row>
    <row r="714" spans="3:12">
      <c r="C714" s="29" t="b">
        <v>0</v>
      </c>
      <c r="D714" s="30" t="s">
        <v>732</v>
      </c>
      <c r="E714" s="137" t="s">
        <v>699</v>
      </c>
      <c r="F714" s="30" t="s">
        <v>68</v>
      </c>
      <c r="G714" s="30">
        <v>75</v>
      </c>
      <c r="H714" s="30">
        <v>230</v>
      </c>
      <c r="I714" s="30">
        <v>37.43</v>
      </c>
      <c r="J714" s="30" t="s">
        <v>71</v>
      </c>
      <c r="K714" s="58">
        <v>0</v>
      </c>
      <c r="L714" s="58">
        <v>1.6252629776713099E+19</v>
      </c>
    </row>
    <row r="715" spans="3:12">
      <c r="C715" s="29" t="b">
        <v>0</v>
      </c>
      <c r="D715" s="30" t="s">
        <v>733</v>
      </c>
      <c r="E715" s="137" t="s">
        <v>699</v>
      </c>
      <c r="F715" s="30" t="s">
        <v>68</v>
      </c>
      <c r="G715" s="30">
        <v>70</v>
      </c>
      <c r="H715" s="30">
        <v>195</v>
      </c>
      <c r="I715" s="30">
        <v>39.85</v>
      </c>
      <c r="J715" s="30" t="s">
        <v>71</v>
      </c>
      <c r="K715" s="58">
        <v>0</v>
      </c>
      <c r="L715" s="58">
        <v>1.8446110010826299E+19</v>
      </c>
    </row>
    <row r="716" spans="3:12">
      <c r="C716" s="29" t="b">
        <v>0</v>
      </c>
      <c r="D716" s="30" t="s">
        <v>734</v>
      </c>
      <c r="E716" s="137" t="s">
        <v>735</v>
      </c>
      <c r="F716" s="30" t="s">
        <v>74</v>
      </c>
      <c r="G716" s="30">
        <v>71</v>
      </c>
      <c r="H716" s="30">
        <v>190</v>
      </c>
      <c r="I716" s="30">
        <v>28.62</v>
      </c>
      <c r="J716" s="30" t="s">
        <v>74</v>
      </c>
      <c r="K716" s="58">
        <v>0</v>
      </c>
      <c r="L716" s="58">
        <v>1.3980530272124201E+19</v>
      </c>
    </row>
    <row r="717" spans="3:12">
      <c r="C717" s="29" t="b">
        <v>0</v>
      </c>
      <c r="D717" s="30" t="s">
        <v>736</v>
      </c>
      <c r="E717" s="137" t="s">
        <v>735</v>
      </c>
      <c r="F717" s="30" t="s">
        <v>74</v>
      </c>
      <c r="G717" s="30">
        <v>71</v>
      </c>
      <c r="H717" s="30">
        <v>195</v>
      </c>
      <c r="I717" s="30">
        <v>23.9</v>
      </c>
      <c r="J717" s="30" t="s">
        <v>74</v>
      </c>
      <c r="K717" s="58">
        <v>0</v>
      </c>
      <c r="L717" s="58">
        <v>9.0808570984167096E+18</v>
      </c>
    </row>
    <row r="718" spans="3:12">
      <c r="C718" s="29" t="b">
        <v>0</v>
      </c>
      <c r="D718" s="30" t="s">
        <v>737</v>
      </c>
      <c r="E718" s="137" t="s">
        <v>735</v>
      </c>
      <c r="F718" s="30" t="s">
        <v>74</v>
      </c>
      <c r="G718" s="30">
        <v>75</v>
      </c>
      <c r="H718" s="30">
        <v>209</v>
      </c>
      <c r="I718" s="30">
        <v>25.18</v>
      </c>
      <c r="J718" s="30" t="s">
        <v>74</v>
      </c>
      <c r="K718" s="58">
        <v>0</v>
      </c>
      <c r="L718" s="58">
        <v>2.87163696746402E+18</v>
      </c>
    </row>
    <row r="719" spans="3:12">
      <c r="C719" s="29" t="b">
        <v>0</v>
      </c>
      <c r="D719" s="30" t="s">
        <v>738</v>
      </c>
      <c r="E719" s="137" t="s">
        <v>735</v>
      </c>
      <c r="F719" s="30" t="s">
        <v>78</v>
      </c>
      <c r="G719" s="30">
        <v>74</v>
      </c>
      <c r="H719" s="30">
        <v>204</v>
      </c>
      <c r="I719" s="30">
        <v>33.53</v>
      </c>
      <c r="J719" s="30" t="s">
        <v>79</v>
      </c>
      <c r="K719" s="58">
        <v>0</v>
      </c>
      <c r="L719" s="58">
        <v>1.7320169542640001E+19</v>
      </c>
    </row>
    <row r="720" spans="3:12">
      <c r="C720" s="29" t="b">
        <v>0</v>
      </c>
      <c r="D720" s="30" t="s">
        <v>739</v>
      </c>
      <c r="E720" s="137" t="s">
        <v>735</v>
      </c>
      <c r="F720" s="30" t="s">
        <v>82</v>
      </c>
      <c r="G720" s="30">
        <v>69</v>
      </c>
      <c r="H720" s="30">
        <v>170</v>
      </c>
      <c r="I720" s="30">
        <v>33.03</v>
      </c>
      <c r="J720" s="30" t="s">
        <v>79</v>
      </c>
      <c r="K720" s="58">
        <v>0</v>
      </c>
      <c r="L720" s="58">
        <v>8.0836978208390103E+18</v>
      </c>
    </row>
    <row r="721" spans="3:12">
      <c r="C721" s="29" t="b">
        <v>0</v>
      </c>
      <c r="D721" s="30" t="s">
        <v>740</v>
      </c>
      <c r="E721" s="137" t="s">
        <v>735</v>
      </c>
      <c r="F721" s="30" t="s">
        <v>82</v>
      </c>
      <c r="G721" s="30">
        <v>70</v>
      </c>
      <c r="H721" s="30">
        <v>185</v>
      </c>
      <c r="I721" s="30">
        <v>31.35</v>
      </c>
      <c r="J721" s="30" t="s">
        <v>79</v>
      </c>
      <c r="K721" s="58">
        <v>0</v>
      </c>
      <c r="L721" s="58">
        <v>8.9421547960571597E+18</v>
      </c>
    </row>
    <row r="722" spans="3:12">
      <c r="C722" s="29" t="b">
        <v>0</v>
      </c>
      <c r="D722" s="30" t="s">
        <v>741</v>
      </c>
      <c r="E722" s="137" t="s">
        <v>735</v>
      </c>
      <c r="F722" s="30" t="s">
        <v>84</v>
      </c>
      <c r="G722" s="30">
        <v>75</v>
      </c>
      <c r="H722" s="30">
        <v>205</v>
      </c>
      <c r="I722" s="30">
        <v>22.39</v>
      </c>
      <c r="J722" s="30" t="s">
        <v>79</v>
      </c>
      <c r="K722" s="58">
        <v>0</v>
      </c>
      <c r="L722" s="58">
        <v>5.6914824373024102E+18</v>
      </c>
    </row>
    <row r="723" spans="3:12">
      <c r="C723" s="29" t="b">
        <v>0</v>
      </c>
      <c r="D723" s="30" t="s">
        <v>742</v>
      </c>
      <c r="E723" s="137" t="s">
        <v>735</v>
      </c>
      <c r="F723" s="30" t="s">
        <v>84</v>
      </c>
      <c r="G723" s="30">
        <v>72</v>
      </c>
      <c r="H723" s="30">
        <v>175</v>
      </c>
      <c r="I723" s="30">
        <v>27.99</v>
      </c>
      <c r="J723" s="30" t="s">
        <v>79</v>
      </c>
      <c r="K723" s="58">
        <v>0</v>
      </c>
      <c r="L723" s="58">
        <v>1.3592333524704901E+18</v>
      </c>
    </row>
    <row r="724" spans="3:12">
      <c r="C724" s="29" t="b">
        <v>0</v>
      </c>
      <c r="D724" s="30" t="s">
        <v>743</v>
      </c>
      <c r="E724" s="137" t="s">
        <v>735</v>
      </c>
      <c r="F724" s="30" t="s">
        <v>86</v>
      </c>
      <c r="G724" s="30">
        <v>75</v>
      </c>
      <c r="H724" s="30">
        <v>210</v>
      </c>
      <c r="I724" s="30">
        <v>27.22</v>
      </c>
      <c r="J724" s="30" t="s">
        <v>79</v>
      </c>
      <c r="K724" s="58">
        <v>0</v>
      </c>
      <c r="L724" s="58">
        <v>1.12159919955422E+19</v>
      </c>
    </row>
    <row r="725" spans="3:12">
      <c r="C725" s="29" t="b">
        <v>0</v>
      </c>
      <c r="D725" s="30" t="s">
        <v>744</v>
      </c>
      <c r="E725" s="137" t="s">
        <v>735</v>
      </c>
      <c r="F725" s="30" t="s">
        <v>89</v>
      </c>
      <c r="G725" s="30">
        <v>73</v>
      </c>
      <c r="H725" s="30">
        <v>190</v>
      </c>
      <c r="I725" s="30">
        <v>27.49</v>
      </c>
      <c r="J725" s="30" t="s">
        <v>89</v>
      </c>
      <c r="K725" s="58">
        <v>0</v>
      </c>
      <c r="L725" s="58">
        <v>3.3531315930866202E+18</v>
      </c>
    </row>
    <row r="726" spans="3:12">
      <c r="C726" s="29" t="b">
        <v>0</v>
      </c>
      <c r="D726" s="30" t="s">
        <v>745</v>
      </c>
      <c r="E726" s="137" t="s">
        <v>735</v>
      </c>
      <c r="F726" s="30" t="s">
        <v>89</v>
      </c>
      <c r="G726" s="30">
        <v>72</v>
      </c>
      <c r="H726" s="30">
        <v>180</v>
      </c>
      <c r="I726" s="30">
        <v>27.53</v>
      </c>
      <c r="J726" s="30" t="s">
        <v>89</v>
      </c>
      <c r="K726" s="58">
        <v>0</v>
      </c>
      <c r="L726" s="58">
        <v>1.6754382929232501E+19</v>
      </c>
    </row>
    <row r="727" spans="3:12">
      <c r="C727" s="29" t="b">
        <v>0</v>
      </c>
      <c r="D727" s="30" t="s">
        <v>746</v>
      </c>
      <c r="E727" s="137" t="s">
        <v>735</v>
      </c>
      <c r="F727" s="30" t="s">
        <v>89</v>
      </c>
      <c r="G727" s="30">
        <v>72</v>
      </c>
      <c r="H727" s="30">
        <v>180</v>
      </c>
      <c r="I727" s="30">
        <v>26.26</v>
      </c>
      <c r="J727" s="30" t="s">
        <v>89</v>
      </c>
      <c r="K727" s="58">
        <v>0</v>
      </c>
      <c r="L727" s="58">
        <v>5.7953252369478298E+18</v>
      </c>
    </row>
    <row r="728" spans="3:12">
      <c r="C728" s="29" t="b">
        <v>0</v>
      </c>
      <c r="D728" s="30" t="s">
        <v>747</v>
      </c>
      <c r="E728" s="137" t="s">
        <v>735</v>
      </c>
      <c r="F728" s="30" t="s">
        <v>89</v>
      </c>
      <c r="G728" s="30">
        <v>72</v>
      </c>
      <c r="H728" s="30">
        <v>160</v>
      </c>
      <c r="I728" s="30">
        <v>25.18</v>
      </c>
      <c r="J728" s="30" t="s">
        <v>89</v>
      </c>
      <c r="K728" s="58">
        <v>0</v>
      </c>
      <c r="L728" s="58">
        <v>7.19229599275537E+18</v>
      </c>
    </row>
    <row r="729" spans="3:12">
      <c r="C729" s="29" t="b">
        <v>0</v>
      </c>
      <c r="D729" s="30" t="s">
        <v>748</v>
      </c>
      <c r="E729" s="137" t="s">
        <v>735</v>
      </c>
      <c r="F729" s="30" t="s">
        <v>89</v>
      </c>
      <c r="G729" s="30">
        <v>76</v>
      </c>
      <c r="H729" s="30">
        <v>235</v>
      </c>
      <c r="I729" s="30">
        <v>27.12</v>
      </c>
      <c r="J729" s="30" t="s">
        <v>89</v>
      </c>
      <c r="K729" s="58">
        <v>0</v>
      </c>
      <c r="L729" s="58">
        <v>3.61055000812544E+18</v>
      </c>
    </row>
    <row r="730" spans="3:12">
      <c r="C730" s="29" t="b">
        <v>0</v>
      </c>
      <c r="D730" s="30" t="s">
        <v>749</v>
      </c>
      <c r="E730" s="137" t="s">
        <v>735</v>
      </c>
      <c r="F730" s="30" t="s">
        <v>89</v>
      </c>
      <c r="G730" s="30">
        <v>75</v>
      </c>
      <c r="H730" s="30">
        <v>200</v>
      </c>
      <c r="I730" s="30">
        <v>27.69</v>
      </c>
      <c r="J730" s="30" t="s">
        <v>89</v>
      </c>
      <c r="K730" s="58">
        <v>0</v>
      </c>
      <c r="L730" s="58">
        <v>5.70992048264802E+18</v>
      </c>
    </row>
    <row r="731" spans="3:12">
      <c r="C731" s="29" t="b">
        <v>0</v>
      </c>
      <c r="D731" s="30" t="s">
        <v>750</v>
      </c>
      <c r="E731" s="137" t="s">
        <v>735</v>
      </c>
      <c r="F731" s="30" t="s">
        <v>89</v>
      </c>
      <c r="G731" s="30">
        <v>74</v>
      </c>
      <c r="H731" s="30">
        <v>210</v>
      </c>
      <c r="I731" s="30">
        <v>25.69</v>
      </c>
      <c r="J731" s="30" t="s">
        <v>89</v>
      </c>
      <c r="K731" s="58">
        <v>0</v>
      </c>
      <c r="L731" s="58">
        <v>7.15499317715345E+18</v>
      </c>
    </row>
    <row r="732" spans="3:12">
      <c r="C732" s="29" t="b">
        <v>0</v>
      </c>
      <c r="D732" s="30" t="s">
        <v>751</v>
      </c>
      <c r="E732" s="137" t="s">
        <v>735</v>
      </c>
      <c r="F732" s="30" t="s">
        <v>97</v>
      </c>
      <c r="G732" s="30">
        <v>69</v>
      </c>
      <c r="H732" s="30">
        <v>180</v>
      </c>
      <c r="I732" s="30">
        <v>28.11</v>
      </c>
      <c r="J732" s="30" t="s">
        <v>71</v>
      </c>
      <c r="K732" s="58">
        <v>0</v>
      </c>
      <c r="L732" s="58">
        <v>6.5283375221370696E+18</v>
      </c>
    </row>
    <row r="733" spans="3:12">
      <c r="C733" s="29" t="b">
        <v>0</v>
      </c>
      <c r="D733" s="30" t="s">
        <v>752</v>
      </c>
      <c r="E733" s="137" t="s">
        <v>735</v>
      </c>
      <c r="F733" s="30" t="s">
        <v>97</v>
      </c>
      <c r="G733" s="30">
        <v>73</v>
      </c>
      <c r="H733" s="30">
        <v>190</v>
      </c>
      <c r="I733" s="30">
        <v>31.21</v>
      </c>
      <c r="J733" s="30" t="s">
        <v>71</v>
      </c>
      <c r="K733" s="58">
        <v>0</v>
      </c>
      <c r="L733" s="58">
        <v>3.2659276950726001E+18</v>
      </c>
    </row>
    <row r="734" spans="3:12">
      <c r="C734" s="29" t="b">
        <v>0</v>
      </c>
      <c r="D734" s="30" t="s">
        <v>753</v>
      </c>
      <c r="E734" s="137" t="s">
        <v>735</v>
      </c>
      <c r="F734" s="30" t="s">
        <v>97</v>
      </c>
      <c r="G734" s="30">
        <v>72</v>
      </c>
      <c r="H734" s="30">
        <v>197</v>
      </c>
      <c r="I734" s="30">
        <v>30.8</v>
      </c>
      <c r="J734" s="30" t="s">
        <v>71</v>
      </c>
      <c r="K734" s="58">
        <v>0</v>
      </c>
      <c r="L734" s="58">
        <v>4.0136200475941898E+18</v>
      </c>
    </row>
    <row r="735" spans="3:12">
      <c r="C735" s="29" t="b">
        <v>0</v>
      </c>
      <c r="D735" s="30" t="s">
        <v>754</v>
      </c>
      <c r="E735" s="137" t="s">
        <v>735</v>
      </c>
      <c r="F735" s="30" t="s">
        <v>97</v>
      </c>
      <c r="G735" s="30">
        <v>72</v>
      </c>
      <c r="H735" s="30">
        <v>203</v>
      </c>
      <c r="I735" s="30">
        <v>30.21</v>
      </c>
      <c r="J735" s="30" t="s">
        <v>71</v>
      </c>
      <c r="K735" s="58">
        <v>0</v>
      </c>
      <c r="L735" s="58">
        <v>1.20406316222208E+19</v>
      </c>
    </row>
    <row r="736" spans="3:12">
      <c r="C736" s="29" t="b">
        <v>0</v>
      </c>
      <c r="D736" s="30" t="s">
        <v>755</v>
      </c>
      <c r="E736" s="137" t="s">
        <v>735</v>
      </c>
      <c r="F736" s="30" t="s">
        <v>97</v>
      </c>
      <c r="G736" s="30">
        <v>75</v>
      </c>
      <c r="H736" s="30">
        <v>205</v>
      </c>
      <c r="I736" s="30">
        <v>28.06</v>
      </c>
      <c r="J736" s="30" t="s">
        <v>71</v>
      </c>
      <c r="K736" s="58">
        <v>0</v>
      </c>
      <c r="L736" s="58">
        <v>4.3540236396013399E+18</v>
      </c>
    </row>
    <row r="737" spans="3:12">
      <c r="C737" s="29" t="b">
        <v>0</v>
      </c>
      <c r="D737" s="30" t="s">
        <v>756</v>
      </c>
      <c r="E737" s="137" t="s">
        <v>735</v>
      </c>
      <c r="F737" s="30" t="s">
        <v>97</v>
      </c>
      <c r="G737" s="30">
        <v>77</v>
      </c>
      <c r="H737" s="30">
        <v>170</v>
      </c>
      <c r="I737" s="30">
        <v>26.52</v>
      </c>
      <c r="J737" s="30" t="s">
        <v>71</v>
      </c>
      <c r="K737" s="58">
        <v>0</v>
      </c>
      <c r="L737" s="58">
        <v>5.3841693664148797E+18</v>
      </c>
    </row>
    <row r="738" spans="3:12">
      <c r="C738" s="29" t="b">
        <v>0</v>
      </c>
      <c r="D738" s="30" t="s">
        <v>757</v>
      </c>
      <c r="E738" s="137" t="s">
        <v>735</v>
      </c>
      <c r="F738" s="30" t="s">
        <v>97</v>
      </c>
      <c r="G738" s="30">
        <v>76</v>
      </c>
      <c r="H738" s="30">
        <v>200</v>
      </c>
      <c r="I738" s="30">
        <v>23.1</v>
      </c>
      <c r="J738" s="30" t="s">
        <v>71</v>
      </c>
      <c r="K738" s="58">
        <v>0</v>
      </c>
      <c r="L738" s="58">
        <v>5.1883566112743301E+18</v>
      </c>
    </row>
    <row r="739" spans="3:12">
      <c r="C739" s="29" t="b">
        <v>0</v>
      </c>
      <c r="D739" s="30" t="s">
        <v>758</v>
      </c>
      <c r="E739" s="137" t="s">
        <v>735</v>
      </c>
      <c r="F739" s="30" t="s">
        <v>97</v>
      </c>
      <c r="G739" s="30">
        <v>80</v>
      </c>
      <c r="H739" s="30">
        <v>250</v>
      </c>
      <c r="I739" s="30">
        <v>25.02</v>
      </c>
      <c r="J739" s="30" t="s">
        <v>71</v>
      </c>
      <c r="K739" s="58">
        <v>0</v>
      </c>
      <c r="L739" s="58">
        <v>1.2424201604128399E+19</v>
      </c>
    </row>
    <row r="740" spans="3:12">
      <c r="C740" s="29" t="b">
        <v>0</v>
      </c>
      <c r="D740" s="30" t="s">
        <v>759</v>
      </c>
      <c r="E740" s="137" t="s">
        <v>735</v>
      </c>
      <c r="F740" s="30" t="s">
        <v>97</v>
      </c>
      <c r="G740" s="30">
        <v>77</v>
      </c>
      <c r="H740" s="30">
        <v>200</v>
      </c>
      <c r="I740" s="30">
        <v>26.14</v>
      </c>
      <c r="J740" s="30" t="s">
        <v>71</v>
      </c>
      <c r="K740" s="58">
        <v>0</v>
      </c>
      <c r="L740" s="58">
        <v>2.1131797662102899E+18</v>
      </c>
    </row>
    <row r="741" spans="3:12">
      <c r="C741" s="29" t="b">
        <v>0</v>
      </c>
      <c r="D741" s="30" t="s">
        <v>760</v>
      </c>
      <c r="E741" s="137" t="s">
        <v>735</v>
      </c>
      <c r="F741" s="30" t="s">
        <v>97</v>
      </c>
      <c r="G741" s="30">
        <v>76</v>
      </c>
      <c r="H741" s="30">
        <v>220</v>
      </c>
      <c r="I741" s="30">
        <v>25.38</v>
      </c>
      <c r="J741" s="30" t="s">
        <v>71</v>
      </c>
      <c r="K741" s="58">
        <v>0</v>
      </c>
      <c r="L741" s="58">
        <v>1.2487757544930099E+19</v>
      </c>
    </row>
    <row r="742" spans="3:12">
      <c r="C742" s="29" t="b">
        <v>0</v>
      </c>
      <c r="D742" s="30" t="s">
        <v>761</v>
      </c>
      <c r="E742" s="137" t="s">
        <v>735</v>
      </c>
      <c r="F742" s="30" t="s">
        <v>68</v>
      </c>
      <c r="G742" s="30">
        <v>79</v>
      </c>
      <c r="H742" s="30">
        <v>200</v>
      </c>
      <c r="I742" s="30">
        <v>27.6</v>
      </c>
      <c r="J742" s="30" t="s">
        <v>71</v>
      </c>
      <c r="K742" s="58">
        <v>0</v>
      </c>
      <c r="L742" s="58">
        <v>1.2966060129252E+17</v>
      </c>
    </row>
    <row r="743" spans="3:12">
      <c r="C743" s="29" t="b">
        <v>0</v>
      </c>
      <c r="D743" s="30" t="s">
        <v>762</v>
      </c>
      <c r="E743" s="137" t="s">
        <v>735</v>
      </c>
      <c r="F743" s="30" t="s">
        <v>68</v>
      </c>
      <c r="G743" s="30">
        <v>71</v>
      </c>
      <c r="H743" s="30">
        <v>190</v>
      </c>
      <c r="I743" s="30">
        <v>25.5</v>
      </c>
      <c r="J743" s="30" t="s">
        <v>71</v>
      </c>
      <c r="K743" s="58">
        <v>0</v>
      </c>
      <c r="L743" s="58">
        <v>3.37098197838483E+18</v>
      </c>
    </row>
    <row r="744" spans="3:12">
      <c r="C744" s="29" t="b">
        <v>0</v>
      </c>
      <c r="D744" s="30" t="s">
        <v>763</v>
      </c>
      <c r="E744" s="137" t="s">
        <v>735</v>
      </c>
      <c r="F744" s="30" t="s">
        <v>68</v>
      </c>
      <c r="G744" s="30">
        <v>75</v>
      </c>
      <c r="H744" s="30">
        <v>170</v>
      </c>
      <c r="I744" s="30">
        <v>24.24</v>
      </c>
      <c r="J744" s="30" t="s">
        <v>71</v>
      </c>
      <c r="K744" s="58">
        <v>0</v>
      </c>
      <c r="L744" s="58">
        <v>6.9155225537128899E+18</v>
      </c>
    </row>
    <row r="745" spans="3:12">
      <c r="C745" s="29" t="b">
        <v>0</v>
      </c>
      <c r="D745" s="30" t="s">
        <v>764</v>
      </c>
      <c r="E745" s="137" t="s">
        <v>735</v>
      </c>
      <c r="F745" s="30" t="s">
        <v>68</v>
      </c>
      <c r="G745" s="30">
        <v>73</v>
      </c>
      <c r="H745" s="30">
        <v>190</v>
      </c>
      <c r="I745" s="30">
        <v>23.32</v>
      </c>
      <c r="J745" s="30" t="s">
        <v>71</v>
      </c>
      <c r="K745" s="58">
        <v>0</v>
      </c>
      <c r="L745" s="58">
        <v>1.65805046011833E+19</v>
      </c>
    </row>
    <row r="746" spans="3:12">
      <c r="C746" s="29" t="b">
        <v>0</v>
      </c>
      <c r="D746" s="30" t="s">
        <v>765</v>
      </c>
      <c r="E746" s="137" t="s">
        <v>735</v>
      </c>
      <c r="F746" s="30" t="s">
        <v>68</v>
      </c>
      <c r="G746" s="30">
        <v>76</v>
      </c>
      <c r="H746" s="30">
        <v>220</v>
      </c>
      <c r="I746" s="30">
        <v>31.56</v>
      </c>
      <c r="J746" s="30" t="s">
        <v>71</v>
      </c>
      <c r="K746" s="58">
        <v>0</v>
      </c>
      <c r="L746" s="58">
        <v>1.35123339910214E+19</v>
      </c>
    </row>
    <row r="747" spans="3:12">
      <c r="C747" s="29" t="b">
        <v>0</v>
      </c>
      <c r="D747" s="30" t="s">
        <v>766</v>
      </c>
      <c r="E747" s="137" t="s">
        <v>735</v>
      </c>
      <c r="F747" s="30" t="s">
        <v>68</v>
      </c>
      <c r="G747" s="30">
        <v>77</v>
      </c>
      <c r="H747" s="30">
        <v>215</v>
      </c>
      <c r="I747" s="30">
        <v>34.19</v>
      </c>
      <c r="J747" s="30" t="s">
        <v>71</v>
      </c>
      <c r="K747" s="58">
        <v>0</v>
      </c>
      <c r="L747" s="58">
        <v>1.2217557065895399E+19</v>
      </c>
    </row>
    <row r="748" spans="3:12">
      <c r="C748" s="29" t="b">
        <v>0</v>
      </c>
      <c r="D748" s="30" t="s">
        <v>767</v>
      </c>
      <c r="E748" s="137" t="s">
        <v>735</v>
      </c>
      <c r="F748" s="30" t="s">
        <v>68</v>
      </c>
      <c r="G748" s="30">
        <v>73</v>
      </c>
      <c r="H748" s="30">
        <v>206</v>
      </c>
      <c r="I748" s="30">
        <v>36.78</v>
      </c>
      <c r="J748" s="30" t="s">
        <v>71</v>
      </c>
      <c r="K748" s="58">
        <v>0</v>
      </c>
      <c r="L748" s="58">
        <v>1.54871150996364E+19</v>
      </c>
    </row>
    <row r="749" spans="3:12">
      <c r="C749" s="29" t="b">
        <v>0</v>
      </c>
      <c r="D749" s="30" t="s">
        <v>768</v>
      </c>
      <c r="E749" s="137" t="s">
        <v>735</v>
      </c>
      <c r="F749" s="30" t="s">
        <v>68</v>
      </c>
      <c r="G749" s="30">
        <v>76</v>
      </c>
      <c r="H749" s="30">
        <v>215</v>
      </c>
      <c r="I749" s="30">
        <v>27.73</v>
      </c>
      <c r="J749" s="30" t="s">
        <v>71</v>
      </c>
      <c r="K749" s="58">
        <v>0</v>
      </c>
      <c r="L749" s="58">
        <v>1.4261016726991999E+19</v>
      </c>
    </row>
    <row r="750" spans="3:12">
      <c r="C750" s="29" t="b">
        <v>0</v>
      </c>
      <c r="D750" s="30" t="s">
        <v>769</v>
      </c>
      <c r="E750" s="137" t="s">
        <v>67</v>
      </c>
      <c r="F750" s="30" t="s">
        <v>74</v>
      </c>
      <c r="G750" s="30">
        <v>70</v>
      </c>
      <c r="H750" s="30">
        <v>185</v>
      </c>
      <c r="I750" s="30">
        <v>34.880000000000003</v>
      </c>
      <c r="J750" s="30" t="s">
        <v>74</v>
      </c>
      <c r="K750" s="58">
        <v>0</v>
      </c>
      <c r="L750" s="58">
        <v>2.1855924620157E+18</v>
      </c>
    </row>
    <row r="751" spans="3:12">
      <c r="C751" s="29" t="b">
        <v>0</v>
      </c>
      <c r="D751" s="30" t="s">
        <v>770</v>
      </c>
      <c r="E751" s="137" t="s">
        <v>67</v>
      </c>
      <c r="F751" s="30" t="s">
        <v>74</v>
      </c>
      <c r="G751" s="30">
        <v>75</v>
      </c>
      <c r="H751" s="30">
        <v>235</v>
      </c>
      <c r="I751" s="30">
        <v>31</v>
      </c>
      <c r="J751" s="30" t="s">
        <v>74</v>
      </c>
      <c r="K751" s="58">
        <v>0</v>
      </c>
      <c r="L751" s="58">
        <v>8.89315110185728E+18</v>
      </c>
    </row>
    <row r="752" spans="3:12">
      <c r="C752" s="29" t="b">
        <v>0</v>
      </c>
      <c r="D752" s="30" t="s">
        <v>771</v>
      </c>
      <c r="E752" s="137" t="s">
        <v>67</v>
      </c>
      <c r="F752" s="30" t="s">
        <v>78</v>
      </c>
      <c r="G752" s="30">
        <v>73</v>
      </c>
      <c r="H752" s="30">
        <v>188</v>
      </c>
      <c r="I752" s="30">
        <v>48.52</v>
      </c>
      <c r="J752" s="30" t="s">
        <v>79</v>
      </c>
      <c r="K752" s="58">
        <v>0</v>
      </c>
      <c r="L752" s="58">
        <v>6.6286756315545999E+18</v>
      </c>
    </row>
    <row r="753" spans="3:12">
      <c r="C753" s="29" t="b">
        <v>0</v>
      </c>
      <c r="D753" s="30" t="s">
        <v>772</v>
      </c>
      <c r="E753" s="137" t="s">
        <v>67</v>
      </c>
      <c r="F753" s="30" t="s">
        <v>78</v>
      </c>
      <c r="G753" s="30">
        <v>75</v>
      </c>
      <c r="H753" s="30">
        <v>230</v>
      </c>
      <c r="I753" s="30">
        <v>34.68</v>
      </c>
      <c r="J753" s="30" t="s">
        <v>79</v>
      </c>
      <c r="K753" s="58">
        <v>0</v>
      </c>
      <c r="L753" s="58">
        <v>1.82284649396072E+19</v>
      </c>
    </row>
    <row r="754" spans="3:12">
      <c r="C754" s="29" t="b">
        <v>0</v>
      </c>
      <c r="D754" s="30" t="s">
        <v>773</v>
      </c>
      <c r="E754" s="137" t="s">
        <v>67</v>
      </c>
      <c r="F754" s="30" t="s">
        <v>82</v>
      </c>
      <c r="G754" s="30">
        <v>70</v>
      </c>
      <c r="H754" s="30">
        <v>195</v>
      </c>
      <c r="I754" s="30">
        <v>37.380000000000003</v>
      </c>
      <c r="J754" s="30" t="s">
        <v>79</v>
      </c>
      <c r="K754" s="58">
        <v>0</v>
      </c>
      <c r="L754" s="58">
        <v>1.7915183859176301E+19</v>
      </c>
    </row>
    <row r="755" spans="3:12">
      <c r="C755" s="29" t="b">
        <v>0</v>
      </c>
      <c r="D755" s="30" t="s">
        <v>774</v>
      </c>
      <c r="E755" s="137" t="s">
        <v>67</v>
      </c>
      <c r="F755" s="30" t="s">
        <v>82</v>
      </c>
      <c r="G755" s="30">
        <v>69</v>
      </c>
      <c r="H755" s="30">
        <v>168</v>
      </c>
      <c r="I755" s="30">
        <v>24.33</v>
      </c>
      <c r="J755" s="30" t="s">
        <v>79</v>
      </c>
      <c r="K755" s="58">
        <v>0</v>
      </c>
      <c r="L755" s="58">
        <v>1.2338982538969999E+19</v>
      </c>
    </row>
    <row r="756" spans="3:12">
      <c r="C756" s="29" t="b">
        <v>0</v>
      </c>
      <c r="D756" s="30" t="s">
        <v>775</v>
      </c>
      <c r="E756" s="137" t="s">
        <v>67</v>
      </c>
      <c r="F756" s="30" t="s">
        <v>84</v>
      </c>
      <c r="G756" s="30">
        <v>71</v>
      </c>
      <c r="H756" s="30">
        <v>190</v>
      </c>
      <c r="I756" s="30">
        <v>37.299999999999997</v>
      </c>
      <c r="J756" s="30" t="s">
        <v>79</v>
      </c>
      <c r="K756" s="58">
        <v>0</v>
      </c>
      <c r="L756" s="58">
        <v>7.2288752688734904E+18</v>
      </c>
    </row>
    <row r="757" spans="3:12">
      <c r="C757" s="29" t="b">
        <v>0</v>
      </c>
      <c r="D757" s="30" t="s">
        <v>776</v>
      </c>
      <c r="E757" s="137" t="s">
        <v>67</v>
      </c>
      <c r="F757" s="30" t="s">
        <v>84</v>
      </c>
      <c r="G757" s="30">
        <v>72</v>
      </c>
      <c r="H757" s="30">
        <v>160</v>
      </c>
      <c r="I757" s="30">
        <v>23.72</v>
      </c>
      <c r="J757" s="30" t="s">
        <v>79</v>
      </c>
      <c r="K757" s="58">
        <v>0</v>
      </c>
      <c r="L757" s="58">
        <v>1.7500647501305801E+19</v>
      </c>
    </row>
    <row r="758" spans="3:12">
      <c r="C758" s="29" t="b">
        <v>0</v>
      </c>
      <c r="D758" s="30" t="s">
        <v>777</v>
      </c>
      <c r="E758" s="137" t="s">
        <v>67</v>
      </c>
      <c r="F758" s="30" t="s">
        <v>86</v>
      </c>
      <c r="G758" s="30">
        <v>72</v>
      </c>
      <c r="H758" s="30">
        <v>200</v>
      </c>
      <c r="I758" s="30">
        <v>24.19</v>
      </c>
      <c r="J758" s="30" t="s">
        <v>79</v>
      </c>
      <c r="K758" s="58">
        <v>0</v>
      </c>
      <c r="L758" s="58">
        <v>1.90425461628974E+18</v>
      </c>
    </row>
    <row r="759" spans="3:12">
      <c r="C759" s="29" t="b">
        <v>0</v>
      </c>
      <c r="D759" s="30" t="s">
        <v>778</v>
      </c>
      <c r="E759" s="137" t="s">
        <v>67</v>
      </c>
      <c r="F759" s="30" t="s">
        <v>89</v>
      </c>
      <c r="G759" s="30">
        <v>73</v>
      </c>
      <c r="H759" s="30">
        <v>200</v>
      </c>
      <c r="I759" s="30">
        <v>25.7</v>
      </c>
      <c r="J759" s="30" t="s">
        <v>89</v>
      </c>
      <c r="K759" s="58">
        <v>0</v>
      </c>
      <c r="L759" s="58">
        <v>6.0596715650567096E+18</v>
      </c>
    </row>
    <row r="760" spans="3:12">
      <c r="C760" s="29" t="b">
        <v>0</v>
      </c>
      <c r="D760" s="30" t="s">
        <v>779</v>
      </c>
      <c r="E760" s="137" t="s">
        <v>67</v>
      </c>
      <c r="F760" s="30" t="s">
        <v>89</v>
      </c>
      <c r="G760" s="30">
        <v>70</v>
      </c>
      <c r="H760" s="30">
        <v>189</v>
      </c>
      <c r="I760" s="30">
        <v>29.06</v>
      </c>
      <c r="J760" s="30" t="s">
        <v>89</v>
      </c>
      <c r="K760" s="58">
        <v>0</v>
      </c>
      <c r="L760" s="58">
        <v>5.7536289231420703E+18</v>
      </c>
    </row>
    <row r="761" spans="3:12">
      <c r="C761" s="29" t="b">
        <v>0</v>
      </c>
      <c r="D761" s="30" t="s">
        <v>780</v>
      </c>
      <c r="E761" s="137" t="s">
        <v>67</v>
      </c>
      <c r="F761" s="30" t="s">
        <v>89</v>
      </c>
      <c r="G761" s="30">
        <v>70</v>
      </c>
      <c r="H761" s="30">
        <v>180</v>
      </c>
      <c r="I761" s="30">
        <v>33.479999999999997</v>
      </c>
      <c r="J761" s="30" t="s">
        <v>89</v>
      </c>
      <c r="K761" s="58">
        <v>0</v>
      </c>
      <c r="L761" s="58">
        <v>4.5720930570553298E+18</v>
      </c>
    </row>
    <row r="762" spans="3:12">
      <c r="C762" s="29" t="b">
        <v>0</v>
      </c>
      <c r="D762" s="30" t="s">
        <v>781</v>
      </c>
      <c r="E762" s="137" t="s">
        <v>67</v>
      </c>
      <c r="F762" s="30" t="s">
        <v>89</v>
      </c>
      <c r="G762" s="30">
        <v>73</v>
      </c>
      <c r="H762" s="30">
        <v>190</v>
      </c>
      <c r="I762" s="30">
        <v>29.85</v>
      </c>
      <c r="J762" s="30" t="s">
        <v>89</v>
      </c>
      <c r="K762" s="58">
        <v>0</v>
      </c>
      <c r="L762" s="58">
        <v>1.24631339335162E+19</v>
      </c>
    </row>
    <row r="763" spans="3:12">
      <c r="C763" s="29" t="b">
        <v>0</v>
      </c>
      <c r="D763" s="30" t="s">
        <v>782</v>
      </c>
      <c r="E763" s="137" t="s">
        <v>67</v>
      </c>
      <c r="F763" s="30" t="s">
        <v>89</v>
      </c>
      <c r="G763" s="30">
        <v>76</v>
      </c>
      <c r="H763" s="30">
        <v>200</v>
      </c>
      <c r="I763" s="30">
        <v>34.299999999999997</v>
      </c>
      <c r="J763" s="30" t="s">
        <v>89</v>
      </c>
      <c r="K763" s="58">
        <v>0</v>
      </c>
      <c r="L763" s="58">
        <v>1.34879128865951E+18</v>
      </c>
    </row>
    <row r="764" spans="3:12">
      <c r="C764" s="29" t="b">
        <v>0</v>
      </c>
      <c r="D764" s="30" t="s">
        <v>783</v>
      </c>
      <c r="E764" s="137" t="s">
        <v>67</v>
      </c>
      <c r="F764" s="30" t="s">
        <v>89</v>
      </c>
      <c r="G764" s="30">
        <v>75</v>
      </c>
      <c r="H764" s="30">
        <v>220</v>
      </c>
      <c r="I764" s="30">
        <v>40.659999999999997</v>
      </c>
      <c r="J764" s="30" t="s">
        <v>89</v>
      </c>
      <c r="K764" s="58">
        <v>0</v>
      </c>
      <c r="L764" s="58">
        <v>3.6418054092620001E+18</v>
      </c>
    </row>
    <row r="765" spans="3:12">
      <c r="C765" s="29" t="b">
        <v>0</v>
      </c>
      <c r="D765" s="30" t="s">
        <v>784</v>
      </c>
      <c r="E765" s="137" t="s">
        <v>67</v>
      </c>
      <c r="F765" s="30" t="s">
        <v>89</v>
      </c>
      <c r="G765" s="30">
        <v>72</v>
      </c>
      <c r="H765" s="30">
        <v>187</v>
      </c>
      <c r="I765" s="30">
        <v>21.9</v>
      </c>
      <c r="J765" s="30" t="s">
        <v>89</v>
      </c>
      <c r="K765" s="58">
        <v>0</v>
      </c>
      <c r="L765" s="58">
        <v>4.87384906538573E+18</v>
      </c>
    </row>
    <row r="766" spans="3:12">
      <c r="C766" s="29" t="b">
        <v>0</v>
      </c>
      <c r="D766" s="30" t="s">
        <v>785</v>
      </c>
      <c r="E766" s="137" t="s">
        <v>67</v>
      </c>
      <c r="F766" s="30" t="s">
        <v>97</v>
      </c>
      <c r="G766" s="30">
        <v>73</v>
      </c>
      <c r="H766" s="30">
        <v>240</v>
      </c>
      <c r="I766" s="30">
        <v>27.39</v>
      </c>
      <c r="J766" s="30" t="s">
        <v>71</v>
      </c>
      <c r="K766" s="58">
        <v>0</v>
      </c>
      <c r="L766" s="58">
        <v>2.1334908835418199E+18</v>
      </c>
    </row>
    <row r="767" spans="3:12">
      <c r="C767" s="29" t="b">
        <v>0</v>
      </c>
      <c r="D767" s="30" t="s">
        <v>786</v>
      </c>
      <c r="E767" s="137" t="s">
        <v>67</v>
      </c>
      <c r="F767" s="30" t="s">
        <v>97</v>
      </c>
      <c r="G767" s="30">
        <v>79</v>
      </c>
      <c r="H767" s="30">
        <v>190</v>
      </c>
      <c r="I767" s="30">
        <v>23.13</v>
      </c>
      <c r="J767" s="30" t="s">
        <v>71</v>
      </c>
      <c r="K767" s="58">
        <v>0</v>
      </c>
      <c r="L767" s="58">
        <v>1.76243919173097E+19</v>
      </c>
    </row>
    <row r="768" spans="3:12">
      <c r="C768" s="29" t="b">
        <v>0</v>
      </c>
      <c r="D768" s="30" t="s">
        <v>787</v>
      </c>
      <c r="E768" s="137" t="s">
        <v>67</v>
      </c>
      <c r="F768" s="30" t="s">
        <v>97</v>
      </c>
      <c r="G768" s="30">
        <v>71</v>
      </c>
      <c r="H768" s="30">
        <v>180</v>
      </c>
      <c r="I768" s="30">
        <v>35.35</v>
      </c>
      <c r="J768" s="30" t="s">
        <v>71</v>
      </c>
      <c r="K768" s="58">
        <v>0</v>
      </c>
      <c r="L768" s="58">
        <v>6.5786640988487404E+18</v>
      </c>
    </row>
    <row r="769" spans="3:12">
      <c r="C769" s="29" t="b">
        <v>0</v>
      </c>
      <c r="D769" s="30" t="s">
        <v>788</v>
      </c>
      <c r="E769" s="137" t="s">
        <v>67</v>
      </c>
      <c r="F769" s="30" t="s">
        <v>97</v>
      </c>
      <c r="G769" s="30">
        <v>72</v>
      </c>
      <c r="H769" s="30">
        <v>185</v>
      </c>
      <c r="I769" s="30">
        <v>40.93</v>
      </c>
      <c r="J769" s="30" t="s">
        <v>71</v>
      </c>
      <c r="K769" s="58">
        <v>0</v>
      </c>
      <c r="L769" s="58">
        <v>7.2083535031590502E+18</v>
      </c>
    </row>
    <row r="770" spans="3:12">
      <c r="C770" s="29" t="b">
        <v>0</v>
      </c>
      <c r="D770" s="30" t="s">
        <v>789</v>
      </c>
      <c r="E770" s="137" t="s">
        <v>67</v>
      </c>
      <c r="F770" s="30" t="s">
        <v>97</v>
      </c>
      <c r="G770" s="30">
        <v>74</v>
      </c>
      <c r="H770" s="30">
        <v>210</v>
      </c>
      <c r="I770" s="30">
        <v>33.67</v>
      </c>
      <c r="J770" s="30" t="s">
        <v>71</v>
      </c>
      <c r="K770" s="58">
        <v>0</v>
      </c>
      <c r="L770" s="58">
        <v>4.3928271626919598E+18</v>
      </c>
    </row>
    <row r="771" spans="3:12">
      <c r="C771" s="29" t="b">
        <v>0</v>
      </c>
      <c r="D771" s="30" t="s">
        <v>790</v>
      </c>
      <c r="E771" s="137" t="s">
        <v>67</v>
      </c>
      <c r="F771" s="30" t="s">
        <v>97</v>
      </c>
      <c r="G771" s="30">
        <v>74</v>
      </c>
      <c r="H771" s="30">
        <v>220</v>
      </c>
      <c r="I771" s="30">
        <v>37.39</v>
      </c>
      <c r="J771" s="30" t="s">
        <v>71</v>
      </c>
      <c r="K771" s="58">
        <v>0</v>
      </c>
      <c r="L771" s="58">
        <v>1.2172366644418001E+19</v>
      </c>
    </row>
    <row r="772" spans="3:12">
      <c r="C772" s="29" t="b">
        <v>0</v>
      </c>
      <c r="D772" s="30" t="s">
        <v>791</v>
      </c>
      <c r="E772" s="137" t="s">
        <v>67</v>
      </c>
      <c r="F772" s="30" t="s">
        <v>97</v>
      </c>
      <c r="G772" s="30">
        <v>74</v>
      </c>
      <c r="H772" s="30">
        <v>219</v>
      </c>
      <c r="I772" s="30">
        <v>27.97</v>
      </c>
      <c r="J772" s="30" t="s">
        <v>71</v>
      </c>
      <c r="K772" s="58">
        <v>0</v>
      </c>
      <c r="L772" s="58">
        <v>1.8207746155702301E+19</v>
      </c>
    </row>
    <row r="773" spans="3:12">
      <c r="C773" s="29" t="b">
        <v>0</v>
      </c>
      <c r="D773" s="30" t="s">
        <v>792</v>
      </c>
      <c r="E773" s="137" t="s">
        <v>67</v>
      </c>
      <c r="F773" s="30" t="s">
        <v>97</v>
      </c>
      <c r="G773" s="30">
        <v>72</v>
      </c>
      <c r="H773" s="30">
        <v>190</v>
      </c>
      <c r="I773" s="30">
        <v>25.54</v>
      </c>
      <c r="J773" s="30" t="s">
        <v>71</v>
      </c>
      <c r="K773" s="58">
        <v>0</v>
      </c>
      <c r="L773" s="58">
        <v>7.6491770254497702E+17</v>
      </c>
    </row>
    <row r="774" spans="3:12">
      <c r="C774" s="29" t="b">
        <v>0</v>
      </c>
      <c r="D774" s="30" t="s">
        <v>793</v>
      </c>
      <c r="E774" s="137" t="s">
        <v>67</v>
      </c>
      <c r="F774" s="30" t="s">
        <v>97</v>
      </c>
      <c r="G774" s="30">
        <v>76</v>
      </c>
      <c r="H774" s="30">
        <v>193</v>
      </c>
      <c r="I774" s="30">
        <v>25.81</v>
      </c>
      <c r="J774" s="30" t="s">
        <v>71</v>
      </c>
      <c r="K774" s="58">
        <v>0</v>
      </c>
      <c r="L774" s="58">
        <v>1.5364034109679301E+19</v>
      </c>
    </row>
    <row r="775" spans="3:12">
      <c r="C775" s="29" t="b">
        <v>0</v>
      </c>
      <c r="D775" s="30" t="s">
        <v>794</v>
      </c>
      <c r="E775" s="137" t="s">
        <v>67</v>
      </c>
      <c r="F775" s="30" t="s">
        <v>68</v>
      </c>
      <c r="G775" s="30">
        <v>76</v>
      </c>
      <c r="H775" s="30">
        <v>175</v>
      </c>
      <c r="I775" s="30">
        <v>22.53</v>
      </c>
      <c r="J775" s="30" t="s">
        <v>71</v>
      </c>
      <c r="K775" s="58">
        <v>0</v>
      </c>
      <c r="L775" s="58">
        <v>1.0914557874806499E+19</v>
      </c>
    </row>
    <row r="776" spans="3:12">
      <c r="C776" s="29" t="b">
        <v>0</v>
      </c>
      <c r="D776" s="30" t="s">
        <v>795</v>
      </c>
      <c r="E776" s="137" t="s">
        <v>67</v>
      </c>
      <c r="F776" s="30" t="s">
        <v>68</v>
      </c>
      <c r="G776" s="30">
        <v>72</v>
      </c>
      <c r="H776" s="30">
        <v>180</v>
      </c>
      <c r="I776" s="30">
        <v>22.86</v>
      </c>
      <c r="J776" s="30" t="s">
        <v>71</v>
      </c>
      <c r="K776" s="58">
        <v>0</v>
      </c>
      <c r="L776" s="58">
        <v>7.1683765201675796E+18</v>
      </c>
    </row>
    <row r="777" spans="3:12">
      <c r="C777" s="29" t="b">
        <v>0</v>
      </c>
      <c r="D777" s="30" t="s">
        <v>796</v>
      </c>
      <c r="E777" s="137" t="s">
        <v>67</v>
      </c>
      <c r="F777" s="30" t="s">
        <v>68</v>
      </c>
      <c r="G777" s="30">
        <v>72</v>
      </c>
      <c r="H777" s="30">
        <v>215</v>
      </c>
      <c r="I777" s="30">
        <v>24.07</v>
      </c>
      <c r="J777" s="30" t="s">
        <v>71</v>
      </c>
      <c r="K777" s="58">
        <v>0</v>
      </c>
      <c r="L777" s="58">
        <v>1.7758715391585599E+19</v>
      </c>
    </row>
    <row r="778" spans="3:12">
      <c r="C778" s="29" t="b">
        <v>0</v>
      </c>
      <c r="D778" s="30" t="s">
        <v>797</v>
      </c>
      <c r="E778" s="137" t="s">
        <v>67</v>
      </c>
      <c r="F778" s="30" t="s">
        <v>68</v>
      </c>
      <c r="G778" s="30">
        <v>71</v>
      </c>
      <c r="H778" s="30">
        <v>210</v>
      </c>
      <c r="I778" s="30">
        <v>29.5</v>
      </c>
      <c r="J778" s="30" t="s">
        <v>71</v>
      </c>
      <c r="K778" s="58">
        <v>0</v>
      </c>
      <c r="L778" s="58">
        <v>1.1850439890729001E+19</v>
      </c>
    </row>
    <row r="779" spans="3:12">
      <c r="C779" s="29" t="b">
        <v>0</v>
      </c>
      <c r="D779" s="30" t="s">
        <v>798</v>
      </c>
      <c r="E779" s="137" t="s">
        <v>67</v>
      </c>
      <c r="F779" s="30" t="s">
        <v>68</v>
      </c>
      <c r="G779" s="30">
        <v>72</v>
      </c>
      <c r="H779" s="30">
        <v>200</v>
      </c>
      <c r="I779" s="30">
        <v>30.03</v>
      </c>
      <c r="J779" s="30" t="s">
        <v>71</v>
      </c>
      <c r="K779" s="58">
        <v>0</v>
      </c>
      <c r="L779" s="58">
        <v>1.71214094596829E+19</v>
      </c>
    </row>
    <row r="780" spans="3:12">
      <c r="C780" s="29" t="b">
        <v>0</v>
      </c>
      <c r="D780" s="30" t="s">
        <v>799</v>
      </c>
      <c r="E780" s="137" t="s">
        <v>67</v>
      </c>
      <c r="F780" s="30" t="s">
        <v>68</v>
      </c>
      <c r="G780" s="30">
        <v>72</v>
      </c>
      <c r="H780" s="30">
        <v>190</v>
      </c>
      <c r="I780" s="30">
        <v>27.38</v>
      </c>
      <c r="J780" s="30" t="s">
        <v>71</v>
      </c>
      <c r="K780" s="58">
        <v>0</v>
      </c>
      <c r="L780" s="58">
        <v>6.6626916958419098E+18</v>
      </c>
    </row>
    <row r="781" spans="3:12">
      <c r="C781" s="29" t="b">
        <v>0</v>
      </c>
      <c r="D781" s="30" t="s">
        <v>800</v>
      </c>
      <c r="E781" s="137" t="s">
        <v>67</v>
      </c>
      <c r="F781" s="30" t="s">
        <v>68</v>
      </c>
      <c r="G781" s="30">
        <v>70</v>
      </c>
      <c r="H781" s="30">
        <v>185</v>
      </c>
      <c r="I781" s="30">
        <v>30.51</v>
      </c>
      <c r="J781" s="30" t="s">
        <v>71</v>
      </c>
      <c r="K781" s="58">
        <v>0</v>
      </c>
      <c r="L781" s="58">
        <v>1.00101745461102E+19</v>
      </c>
    </row>
    <row r="782" spans="3:12">
      <c r="C782" s="29" t="b">
        <v>0</v>
      </c>
      <c r="D782" s="30" t="s">
        <v>801</v>
      </c>
      <c r="E782" s="137" t="s">
        <v>67</v>
      </c>
      <c r="F782" s="30" t="s">
        <v>68</v>
      </c>
      <c r="G782" s="30">
        <v>77</v>
      </c>
      <c r="H782" s="30">
        <v>220</v>
      </c>
      <c r="I782" s="30">
        <v>28.3</v>
      </c>
      <c r="J782" s="30" t="s">
        <v>71</v>
      </c>
      <c r="K782" s="58">
        <v>0</v>
      </c>
      <c r="L782" s="58">
        <v>2.8339518486409902E+18</v>
      </c>
    </row>
    <row r="783" spans="3:12">
      <c r="C783" s="29" t="b">
        <v>0</v>
      </c>
      <c r="D783" s="30" t="s">
        <v>802</v>
      </c>
      <c r="E783" s="137" t="s">
        <v>67</v>
      </c>
      <c r="F783" s="30" t="s">
        <v>68</v>
      </c>
      <c r="G783" s="30">
        <v>74</v>
      </c>
      <c r="H783" s="30">
        <v>170</v>
      </c>
      <c r="I783" s="30">
        <v>29.84</v>
      </c>
      <c r="J783" s="30" t="s">
        <v>71</v>
      </c>
      <c r="K783" s="58">
        <v>0</v>
      </c>
      <c r="L783" s="58">
        <v>1.1469611353507299E+19</v>
      </c>
    </row>
    <row r="784" spans="3:12">
      <c r="C784" s="29" t="b">
        <v>0</v>
      </c>
      <c r="D784" s="30" t="s">
        <v>803</v>
      </c>
      <c r="E784" s="137" t="s">
        <v>67</v>
      </c>
      <c r="F784" s="30" t="s">
        <v>68</v>
      </c>
      <c r="G784" s="30">
        <v>72</v>
      </c>
      <c r="H784" s="30">
        <v>195</v>
      </c>
      <c r="I784" s="30">
        <v>33.409999999999997</v>
      </c>
      <c r="J784" s="30" t="s">
        <v>71</v>
      </c>
      <c r="K784" s="58">
        <v>0</v>
      </c>
      <c r="L784" s="58">
        <v>1.75426584626931E+19</v>
      </c>
    </row>
    <row r="785" spans="3:12">
      <c r="C785" s="29" t="b">
        <v>0</v>
      </c>
      <c r="D785" s="30" t="s">
        <v>804</v>
      </c>
      <c r="E785" s="137" t="s">
        <v>67</v>
      </c>
      <c r="F785" s="30" t="s">
        <v>68</v>
      </c>
      <c r="G785" s="30">
        <v>76</v>
      </c>
      <c r="H785" s="30">
        <v>205</v>
      </c>
      <c r="I785" s="30">
        <v>33.6</v>
      </c>
      <c r="J785" s="30" t="s">
        <v>71</v>
      </c>
      <c r="K785" s="58">
        <v>0</v>
      </c>
      <c r="L785" s="58">
        <v>1.0144648374863901E+19</v>
      </c>
    </row>
    <row r="786" spans="3:12">
      <c r="C786" s="29" t="b">
        <v>0</v>
      </c>
      <c r="D786" s="30" t="s">
        <v>805</v>
      </c>
      <c r="E786" s="137" t="s">
        <v>67</v>
      </c>
      <c r="F786" s="30" t="s">
        <v>68</v>
      </c>
      <c r="G786" s="30">
        <v>71</v>
      </c>
      <c r="H786" s="30">
        <v>195</v>
      </c>
      <c r="I786" s="30">
        <v>35.6</v>
      </c>
      <c r="J786" s="30" t="s">
        <v>71</v>
      </c>
      <c r="K786" s="58">
        <v>0</v>
      </c>
      <c r="L786" s="58">
        <v>1.3771919143334199E+19</v>
      </c>
    </row>
    <row r="787" spans="3:12">
      <c r="C787" s="29" t="b">
        <v>0</v>
      </c>
      <c r="D787" s="30" t="s">
        <v>806</v>
      </c>
      <c r="E787" s="137" t="s">
        <v>67</v>
      </c>
      <c r="F787" s="30" t="s">
        <v>68</v>
      </c>
      <c r="G787" s="30">
        <v>76</v>
      </c>
      <c r="H787" s="30">
        <v>210</v>
      </c>
      <c r="I787" s="30">
        <v>24.19</v>
      </c>
      <c r="J787" s="30" t="s">
        <v>71</v>
      </c>
      <c r="K787" s="58">
        <v>0</v>
      </c>
      <c r="L787" s="58">
        <v>5.3668182495481702E+18</v>
      </c>
    </row>
    <row r="788" spans="3:12">
      <c r="C788" s="29" t="b">
        <v>0</v>
      </c>
      <c r="D788" s="30" t="s">
        <v>807</v>
      </c>
      <c r="E788" s="137" t="s">
        <v>808</v>
      </c>
      <c r="F788" s="30" t="s">
        <v>74</v>
      </c>
      <c r="G788" s="30">
        <v>71</v>
      </c>
      <c r="H788" s="30">
        <v>190</v>
      </c>
      <c r="I788" s="30">
        <v>37.880000000000003</v>
      </c>
      <c r="J788" s="30" t="s">
        <v>74</v>
      </c>
      <c r="K788" s="58">
        <v>0</v>
      </c>
      <c r="L788" s="58">
        <v>3.9154951659244201E+18</v>
      </c>
    </row>
    <row r="789" spans="3:12">
      <c r="C789" s="29" t="b">
        <v>0</v>
      </c>
      <c r="D789" s="30" t="s">
        <v>809</v>
      </c>
      <c r="E789" s="137" t="s">
        <v>808</v>
      </c>
      <c r="F789" s="30" t="s">
        <v>74</v>
      </c>
      <c r="G789" s="30">
        <v>73</v>
      </c>
      <c r="H789" s="30">
        <v>190</v>
      </c>
      <c r="I789" s="30">
        <v>27.56</v>
      </c>
      <c r="J789" s="30" t="s">
        <v>74</v>
      </c>
      <c r="K789" s="58">
        <v>0</v>
      </c>
      <c r="L789" s="58">
        <v>4.74809034746769E+18</v>
      </c>
    </row>
    <row r="790" spans="3:12">
      <c r="C790" s="29" t="b">
        <v>0</v>
      </c>
      <c r="D790" s="30" t="s">
        <v>810</v>
      </c>
      <c r="E790" s="137" t="s">
        <v>808</v>
      </c>
      <c r="F790" s="30" t="s">
        <v>74</v>
      </c>
      <c r="G790" s="30">
        <v>70</v>
      </c>
      <c r="H790" s="30">
        <v>180</v>
      </c>
      <c r="I790" s="30">
        <v>24.42</v>
      </c>
      <c r="J790" s="30" t="s">
        <v>74</v>
      </c>
      <c r="K790" s="58">
        <v>0</v>
      </c>
      <c r="L790" s="58">
        <v>7.0851898069817201E+18</v>
      </c>
    </row>
    <row r="791" spans="3:12">
      <c r="C791" s="29" t="b">
        <v>0</v>
      </c>
      <c r="D791" s="30" t="s">
        <v>811</v>
      </c>
      <c r="E791" s="137" t="s">
        <v>808</v>
      </c>
      <c r="F791" s="30" t="s">
        <v>78</v>
      </c>
      <c r="G791" s="30">
        <v>73</v>
      </c>
      <c r="H791" s="30">
        <v>220</v>
      </c>
      <c r="I791" s="30">
        <v>31.05</v>
      </c>
      <c r="J791" s="30" t="s">
        <v>79</v>
      </c>
      <c r="K791" s="58">
        <v>0</v>
      </c>
      <c r="L791" s="58">
        <v>7.7485091683344097E+18</v>
      </c>
    </row>
    <row r="792" spans="3:12">
      <c r="C792" s="29" t="b">
        <v>0</v>
      </c>
      <c r="D792" s="30" t="s">
        <v>812</v>
      </c>
      <c r="E792" s="137" t="s">
        <v>808</v>
      </c>
      <c r="F792" s="30" t="s">
        <v>78</v>
      </c>
      <c r="G792" s="30">
        <v>73</v>
      </c>
      <c r="H792" s="30">
        <v>190</v>
      </c>
      <c r="I792" s="30">
        <v>31.56</v>
      </c>
      <c r="J792" s="30" t="s">
        <v>79</v>
      </c>
      <c r="K792" s="58">
        <v>0</v>
      </c>
      <c r="L792" s="58">
        <v>5.9039238817648804E+18</v>
      </c>
    </row>
    <row r="793" spans="3:12">
      <c r="C793" s="29" t="b">
        <v>0</v>
      </c>
      <c r="D793" s="30" t="s">
        <v>813</v>
      </c>
      <c r="E793" s="137" t="s">
        <v>808</v>
      </c>
      <c r="F793" s="30" t="s">
        <v>82</v>
      </c>
      <c r="G793" s="30">
        <v>72</v>
      </c>
      <c r="H793" s="30">
        <v>186</v>
      </c>
      <c r="I793" s="30">
        <v>35.549999999999997</v>
      </c>
      <c r="J793" s="30" t="s">
        <v>79</v>
      </c>
      <c r="K793" s="58">
        <v>0</v>
      </c>
      <c r="L793" s="58">
        <v>1.7486857210343E+19</v>
      </c>
    </row>
    <row r="794" spans="3:12">
      <c r="C794" s="29" t="b">
        <v>0</v>
      </c>
      <c r="D794" s="30" t="s">
        <v>814</v>
      </c>
      <c r="E794" s="137" t="s">
        <v>808</v>
      </c>
      <c r="F794" s="30" t="s">
        <v>82</v>
      </c>
      <c r="G794" s="30">
        <v>71</v>
      </c>
      <c r="H794" s="30">
        <v>185</v>
      </c>
      <c r="I794" s="30">
        <v>41.21</v>
      </c>
      <c r="J794" s="30" t="s">
        <v>79</v>
      </c>
      <c r="K794" s="58">
        <v>0</v>
      </c>
      <c r="L794" s="58">
        <v>1.4490213630571901E+19</v>
      </c>
    </row>
    <row r="795" spans="3:12">
      <c r="C795" s="29" t="b">
        <v>0</v>
      </c>
      <c r="D795" s="30" t="s">
        <v>815</v>
      </c>
      <c r="E795" s="137" t="s">
        <v>808</v>
      </c>
      <c r="F795" s="30" t="s">
        <v>82</v>
      </c>
      <c r="G795" s="30">
        <v>71</v>
      </c>
      <c r="H795" s="30">
        <v>190</v>
      </c>
      <c r="I795" s="30">
        <v>27.12</v>
      </c>
      <c r="J795" s="30" t="s">
        <v>79</v>
      </c>
      <c r="K795" s="58">
        <v>0</v>
      </c>
      <c r="L795" s="58">
        <v>3.8477173658285302E+18</v>
      </c>
    </row>
    <row r="796" spans="3:12">
      <c r="C796" s="29" t="b">
        <v>0</v>
      </c>
      <c r="D796" s="30" t="s">
        <v>816</v>
      </c>
      <c r="E796" s="137" t="s">
        <v>808</v>
      </c>
      <c r="F796" s="30" t="s">
        <v>82</v>
      </c>
      <c r="G796" s="30">
        <v>71</v>
      </c>
      <c r="H796" s="30">
        <v>180</v>
      </c>
      <c r="I796" s="30">
        <v>26.97</v>
      </c>
      <c r="J796" s="30" t="s">
        <v>79</v>
      </c>
      <c r="K796" s="58">
        <v>0</v>
      </c>
      <c r="L796" s="58">
        <v>1.48210505673473E+19</v>
      </c>
    </row>
    <row r="797" spans="3:12">
      <c r="C797" s="29" t="b">
        <v>0</v>
      </c>
      <c r="D797" s="30" t="s">
        <v>817</v>
      </c>
      <c r="E797" s="137" t="s">
        <v>808</v>
      </c>
      <c r="F797" s="30" t="s">
        <v>82</v>
      </c>
      <c r="G797" s="30">
        <v>72</v>
      </c>
      <c r="H797" s="30">
        <v>190</v>
      </c>
      <c r="I797" s="30">
        <v>28.92</v>
      </c>
      <c r="J797" s="30" t="s">
        <v>79</v>
      </c>
      <c r="K797" s="58">
        <v>0</v>
      </c>
      <c r="L797" s="58">
        <v>7.9913426653903596E+18</v>
      </c>
    </row>
    <row r="798" spans="3:12">
      <c r="C798" s="29" t="b">
        <v>0</v>
      </c>
      <c r="D798" s="30" t="s">
        <v>818</v>
      </c>
      <c r="E798" s="137" t="s">
        <v>808</v>
      </c>
      <c r="F798" s="30" t="s">
        <v>84</v>
      </c>
      <c r="G798" s="30">
        <v>72</v>
      </c>
      <c r="H798" s="30">
        <v>170</v>
      </c>
      <c r="I798" s="30">
        <v>30.06</v>
      </c>
      <c r="J798" s="30" t="s">
        <v>79</v>
      </c>
      <c r="K798" s="58">
        <v>0</v>
      </c>
      <c r="L798" s="58">
        <v>8.98917845511953E+18</v>
      </c>
    </row>
    <row r="799" spans="3:12">
      <c r="C799" s="29" t="b">
        <v>0</v>
      </c>
      <c r="D799" s="30" t="s">
        <v>819</v>
      </c>
      <c r="E799" s="137" t="s">
        <v>808</v>
      </c>
      <c r="F799" s="30" t="s">
        <v>86</v>
      </c>
      <c r="G799" s="30">
        <v>74</v>
      </c>
      <c r="H799" s="30">
        <v>210</v>
      </c>
      <c r="I799" s="30">
        <v>31.51</v>
      </c>
      <c r="J799" s="30" t="s">
        <v>79</v>
      </c>
      <c r="K799" s="58">
        <v>0</v>
      </c>
      <c r="L799" s="58">
        <v>3.8178623950637701E+18</v>
      </c>
    </row>
    <row r="800" spans="3:12">
      <c r="C800" s="29" t="b">
        <v>0</v>
      </c>
      <c r="D800" s="30" t="s">
        <v>820</v>
      </c>
      <c r="E800" s="137" t="s">
        <v>808</v>
      </c>
      <c r="F800" s="30" t="s">
        <v>89</v>
      </c>
      <c r="G800" s="30">
        <v>74</v>
      </c>
      <c r="H800" s="30">
        <v>240</v>
      </c>
      <c r="I800" s="30">
        <v>30.69</v>
      </c>
      <c r="J800" s="30" t="s">
        <v>89</v>
      </c>
      <c r="K800" s="58">
        <v>0</v>
      </c>
      <c r="L800" s="58">
        <v>1.64247235368756E+19</v>
      </c>
    </row>
    <row r="801" spans="3:12">
      <c r="C801" s="29" t="b">
        <v>0</v>
      </c>
      <c r="D801" s="30" t="s">
        <v>821</v>
      </c>
      <c r="E801" s="137" t="s">
        <v>808</v>
      </c>
      <c r="F801" s="30" t="s">
        <v>89</v>
      </c>
      <c r="G801" s="30">
        <v>74</v>
      </c>
      <c r="H801" s="30">
        <v>220</v>
      </c>
      <c r="I801" s="30">
        <v>30.19</v>
      </c>
      <c r="J801" s="30" t="s">
        <v>89</v>
      </c>
      <c r="K801" s="58">
        <v>0</v>
      </c>
      <c r="L801" s="58">
        <v>4.9896556390021499E+18</v>
      </c>
    </row>
    <row r="802" spans="3:12">
      <c r="C802" s="29" t="b">
        <v>0</v>
      </c>
      <c r="D802" s="30" t="s">
        <v>822</v>
      </c>
      <c r="E802" s="137" t="s">
        <v>808</v>
      </c>
      <c r="F802" s="30" t="s">
        <v>89</v>
      </c>
      <c r="G802" s="30">
        <v>71</v>
      </c>
      <c r="H802" s="30">
        <v>180</v>
      </c>
      <c r="I802" s="30">
        <v>38.11</v>
      </c>
      <c r="J802" s="30" t="s">
        <v>89</v>
      </c>
      <c r="K802" s="58">
        <v>0</v>
      </c>
      <c r="L802" s="58">
        <v>1.03367554939806E+19</v>
      </c>
    </row>
    <row r="803" spans="3:12">
      <c r="C803" s="29" t="b">
        <v>0</v>
      </c>
      <c r="D803" s="30" t="s">
        <v>823</v>
      </c>
      <c r="E803" s="137" t="s">
        <v>808</v>
      </c>
      <c r="F803" s="30" t="s">
        <v>89</v>
      </c>
      <c r="G803" s="30">
        <v>72</v>
      </c>
      <c r="H803" s="30">
        <v>210</v>
      </c>
      <c r="I803" s="30">
        <v>28.68</v>
      </c>
      <c r="J803" s="30" t="s">
        <v>89</v>
      </c>
      <c r="K803" s="58">
        <v>0</v>
      </c>
      <c r="L803" s="58">
        <v>1.31594502674636E+19</v>
      </c>
    </row>
    <row r="804" spans="3:12">
      <c r="C804" s="29" t="b">
        <v>0</v>
      </c>
      <c r="D804" s="30" t="s">
        <v>824</v>
      </c>
      <c r="E804" s="137" t="s">
        <v>808</v>
      </c>
      <c r="F804" s="30" t="s">
        <v>89</v>
      </c>
      <c r="G804" s="30">
        <v>75</v>
      </c>
      <c r="H804" s="30">
        <v>210</v>
      </c>
      <c r="I804" s="30">
        <v>27.44</v>
      </c>
      <c r="J804" s="30" t="s">
        <v>89</v>
      </c>
      <c r="K804" s="58">
        <v>0</v>
      </c>
      <c r="L804" s="58">
        <v>2.7590445355493402E+18</v>
      </c>
    </row>
    <row r="805" spans="3:12">
      <c r="C805" s="29" t="b">
        <v>0</v>
      </c>
      <c r="D805" s="30" t="s">
        <v>825</v>
      </c>
      <c r="E805" s="137" t="s">
        <v>808</v>
      </c>
      <c r="F805" s="30" t="s">
        <v>97</v>
      </c>
      <c r="G805" s="30">
        <v>72</v>
      </c>
      <c r="H805" s="30">
        <v>195</v>
      </c>
      <c r="I805" s="30">
        <v>24.63</v>
      </c>
      <c r="J805" s="30" t="s">
        <v>71</v>
      </c>
      <c r="K805" s="58">
        <v>0</v>
      </c>
      <c r="L805" s="58">
        <v>1.6959433268991001E+19</v>
      </c>
    </row>
    <row r="806" spans="3:12">
      <c r="C806" s="29" t="b">
        <v>0</v>
      </c>
      <c r="D806" s="30" t="s">
        <v>826</v>
      </c>
      <c r="E806" s="137" t="s">
        <v>808</v>
      </c>
      <c r="F806" s="30" t="s">
        <v>97</v>
      </c>
      <c r="G806" s="30">
        <v>71</v>
      </c>
      <c r="H806" s="30">
        <v>160</v>
      </c>
      <c r="I806" s="30">
        <v>28.11</v>
      </c>
      <c r="J806" s="30" t="s">
        <v>71</v>
      </c>
      <c r="K806" s="58">
        <v>0</v>
      </c>
      <c r="L806" s="58">
        <v>2.10618138183905E+18</v>
      </c>
    </row>
    <row r="807" spans="3:12">
      <c r="C807" s="29" t="b">
        <v>0</v>
      </c>
      <c r="D807" s="30" t="s">
        <v>827</v>
      </c>
      <c r="E807" s="137" t="s">
        <v>808</v>
      </c>
      <c r="F807" s="30" t="s">
        <v>97</v>
      </c>
      <c r="G807" s="30">
        <v>72</v>
      </c>
      <c r="H807" s="30">
        <v>180</v>
      </c>
      <c r="I807" s="30">
        <v>28.9</v>
      </c>
      <c r="J807" s="30" t="s">
        <v>71</v>
      </c>
      <c r="K807" s="58">
        <v>0</v>
      </c>
      <c r="L807" s="58">
        <v>3.27383677981824E+18</v>
      </c>
    </row>
    <row r="808" spans="3:12">
      <c r="C808" s="29" t="b">
        <v>0</v>
      </c>
      <c r="D808" s="30" t="s">
        <v>828</v>
      </c>
      <c r="E808" s="137" t="s">
        <v>808</v>
      </c>
      <c r="F808" s="30" t="s">
        <v>97</v>
      </c>
      <c r="G808" s="30">
        <v>72</v>
      </c>
      <c r="H808" s="30">
        <v>205</v>
      </c>
      <c r="I808" s="30">
        <v>24.11</v>
      </c>
      <c r="J808" s="30" t="s">
        <v>71</v>
      </c>
      <c r="K808" s="58">
        <v>0</v>
      </c>
      <c r="L808" s="58">
        <v>4.3533840499688899E+18</v>
      </c>
    </row>
    <row r="809" spans="3:12">
      <c r="C809" s="29" t="b">
        <v>0</v>
      </c>
      <c r="D809" s="30" t="s">
        <v>829</v>
      </c>
      <c r="E809" s="137" t="s">
        <v>808</v>
      </c>
      <c r="F809" s="30" t="s">
        <v>97</v>
      </c>
      <c r="G809" s="30">
        <v>72</v>
      </c>
      <c r="H809" s="30">
        <v>200</v>
      </c>
      <c r="I809" s="30">
        <v>40.53</v>
      </c>
      <c r="J809" s="30" t="s">
        <v>71</v>
      </c>
      <c r="K809" s="58">
        <v>0</v>
      </c>
      <c r="L809" s="58">
        <v>5.6641656726492303E+18</v>
      </c>
    </row>
    <row r="810" spans="3:12">
      <c r="C810" s="29" t="b">
        <v>0</v>
      </c>
      <c r="D810" s="30" t="s">
        <v>830</v>
      </c>
      <c r="E810" s="137" t="s">
        <v>808</v>
      </c>
      <c r="F810" s="30" t="s">
        <v>97</v>
      </c>
      <c r="G810" s="30">
        <v>72</v>
      </c>
      <c r="H810" s="30">
        <v>185</v>
      </c>
      <c r="I810" s="30">
        <v>29.5</v>
      </c>
      <c r="J810" s="30" t="s">
        <v>71</v>
      </c>
      <c r="K810" s="58">
        <v>0</v>
      </c>
      <c r="L810" s="58">
        <v>1.26988082856391E+19</v>
      </c>
    </row>
    <row r="811" spans="3:12">
      <c r="C811" s="29" t="b">
        <v>0</v>
      </c>
      <c r="D811" s="30" t="s">
        <v>831</v>
      </c>
      <c r="E811" s="137" t="s">
        <v>808</v>
      </c>
      <c r="F811" s="30" t="s">
        <v>97</v>
      </c>
      <c r="G811" s="30">
        <v>74</v>
      </c>
      <c r="H811" s="30">
        <v>245</v>
      </c>
      <c r="I811" s="30">
        <v>28.62</v>
      </c>
      <c r="J811" s="30" t="s">
        <v>71</v>
      </c>
      <c r="K811" s="58">
        <v>0</v>
      </c>
      <c r="L811" s="58">
        <v>1.3719911291111801E+19</v>
      </c>
    </row>
    <row r="812" spans="3:12">
      <c r="C812" s="29" t="b">
        <v>0</v>
      </c>
      <c r="D812" s="30" t="s">
        <v>832</v>
      </c>
      <c r="E812" s="137" t="s">
        <v>808</v>
      </c>
      <c r="F812" s="30" t="s">
        <v>68</v>
      </c>
      <c r="G812" s="30">
        <v>74</v>
      </c>
      <c r="H812" s="30">
        <v>190</v>
      </c>
      <c r="I812" s="30">
        <v>26.42</v>
      </c>
      <c r="J812" s="30" t="s">
        <v>71</v>
      </c>
      <c r="K812" s="58">
        <v>0</v>
      </c>
      <c r="L812" s="58">
        <v>1.0508627200098501E+19</v>
      </c>
    </row>
    <row r="813" spans="3:12">
      <c r="C813" s="29" t="b">
        <v>0</v>
      </c>
      <c r="D813" s="30" t="s">
        <v>833</v>
      </c>
      <c r="E813" s="137" t="s">
        <v>808</v>
      </c>
      <c r="F813" s="30" t="s">
        <v>68</v>
      </c>
      <c r="G813" s="30">
        <v>77</v>
      </c>
      <c r="H813" s="30">
        <v>210</v>
      </c>
      <c r="I813" s="30">
        <v>30.18</v>
      </c>
      <c r="J813" s="30" t="s">
        <v>71</v>
      </c>
      <c r="K813" s="58">
        <v>0</v>
      </c>
      <c r="L813" s="58">
        <v>5.9417458315537101E+17</v>
      </c>
    </row>
    <row r="814" spans="3:12">
      <c r="C814" s="29" t="b">
        <v>0</v>
      </c>
      <c r="D814" s="30" t="s">
        <v>834</v>
      </c>
      <c r="E814" s="137" t="s">
        <v>808</v>
      </c>
      <c r="F814" s="30" t="s">
        <v>68</v>
      </c>
      <c r="G814" s="30">
        <v>75</v>
      </c>
      <c r="H814" s="30">
        <v>200</v>
      </c>
      <c r="I814" s="30">
        <v>33.75</v>
      </c>
      <c r="J814" s="30" t="s">
        <v>71</v>
      </c>
      <c r="K814" s="58">
        <v>0</v>
      </c>
      <c r="L814" s="58">
        <v>1.5465384892782299E+19</v>
      </c>
    </row>
    <row r="815" spans="3:12">
      <c r="C815" s="29" t="b">
        <v>0</v>
      </c>
      <c r="D815" s="30" t="s">
        <v>835</v>
      </c>
      <c r="E815" s="137" t="s">
        <v>808</v>
      </c>
      <c r="F815" s="30" t="s">
        <v>68</v>
      </c>
      <c r="G815" s="30">
        <v>73</v>
      </c>
      <c r="H815" s="30">
        <v>200</v>
      </c>
      <c r="I815" s="30">
        <v>30.06</v>
      </c>
      <c r="J815" s="30" t="s">
        <v>71</v>
      </c>
      <c r="K815" s="58">
        <v>0</v>
      </c>
      <c r="L815" s="58">
        <v>1.0664295501494499E+19</v>
      </c>
    </row>
    <row r="816" spans="3:12">
      <c r="C816" s="29" t="b">
        <v>0</v>
      </c>
      <c r="D816" s="30" t="s">
        <v>836</v>
      </c>
      <c r="E816" s="137" t="s">
        <v>808</v>
      </c>
      <c r="F816" s="30" t="s">
        <v>68</v>
      </c>
      <c r="G816" s="30">
        <v>75</v>
      </c>
      <c r="H816" s="30">
        <v>222</v>
      </c>
      <c r="I816" s="30">
        <v>29.22</v>
      </c>
      <c r="J816" s="30" t="s">
        <v>71</v>
      </c>
      <c r="K816" s="58">
        <v>0</v>
      </c>
      <c r="L816" s="58">
        <v>7.4089121909802301E+18</v>
      </c>
    </row>
    <row r="817" spans="3:12">
      <c r="C817" s="29" t="b">
        <v>0</v>
      </c>
      <c r="D817" s="30" t="s">
        <v>837</v>
      </c>
      <c r="E817" s="137" t="s">
        <v>808</v>
      </c>
      <c r="F817" s="30" t="s">
        <v>68</v>
      </c>
      <c r="G817" s="30">
        <v>73</v>
      </c>
      <c r="H817" s="30">
        <v>215</v>
      </c>
      <c r="I817" s="30">
        <v>24.47</v>
      </c>
      <c r="J817" s="30" t="s">
        <v>71</v>
      </c>
      <c r="K817" s="58">
        <v>0</v>
      </c>
      <c r="L817" s="58">
        <v>3.4740317856369802E+18</v>
      </c>
    </row>
    <row r="818" spans="3:12">
      <c r="C818" s="29" t="b">
        <v>0</v>
      </c>
      <c r="D818" s="30" t="s">
        <v>838</v>
      </c>
      <c r="E818" s="137" t="s">
        <v>808</v>
      </c>
      <c r="F818" s="30" t="s">
        <v>68</v>
      </c>
      <c r="G818" s="30">
        <v>76</v>
      </c>
      <c r="H818" s="30">
        <v>240</v>
      </c>
      <c r="I818" s="30">
        <v>24.94</v>
      </c>
      <c r="J818" s="30" t="s">
        <v>71</v>
      </c>
      <c r="K818" s="58">
        <v>0</v>
      </c>
      <c r="L818" s="58">
        <v>1.4666405369911501E+19</v>
      </c>
    </row>
    <row r="819" spans="3:12">
      <c r="C819" s="29" t="b">
        <v>0</v>
      </c>
      <c r="D819" s="30" t="s">
        <v>839</v>
      </c>
      <c r="E819" s="137" t="s">
        <v>808</v>
      </c>
      <c r="F819" s="30" t="s">
        <v>68</v>
      </c>
      <c r="G819" s="30">
        <v>72</v>
      </c>
      <c r="H819" s="30">
        <v>170</v>
      </c>
      <c r="I819" s="30">
        <v>28.77</v>
      </c>
      <c r="J819" s="30" t="s">
        <v>71</v>
      </c>
      <c r="K819" s="58">
        <v>0</v>
      </c>
      <c r="L819" s="58">
        <v>1.0858886512237099E+19</v>
      </c>
    </row>
    <row r="820" spans="3:12">
      <c r="C820" s="29" t="b">
        <v>0</v>
      </c>
      <c r="D820" s="30" t="s">
        <v>840</v>
      </c>
      <c r="E820" s="137" t="s">
        <v>808</v>
      </c>
      <c r="F820" s="30" t="s">
        <v>68</v>
      </c>
      <c r="G820" s="30">
        <v>77</v>
      </c>
      <c r="H820" s="30">
        <v>220</v>
      </c>
      <c r="I820" s="30">
        <v>28.54</v>
      </c>
      <c r="J820" s="30" t="s">
        <v>71</v>
      </c>
      <c r="K820" s="58">
        <v>0</v>
      </c>
      <c r="L820" s="58">
        <v>1.27417446280354E+18</v>
      </c>
    </row>
    <row r="821" spans="3:12">
      <c r="C821" s="29" t="b">
        <v>0</v>
      </c>
      <c r="D821" s="30" t="s">
        <v>841</v>
      </c>
      <c r="E821" s="137" t="s">
        <v>808</v>
      </c>
      <c r="F821" s="30" t="s">
        <v>68</v>
      </c>
      <c r="G821" s="30">
        <v>75</v>
      </c>
      <c r="H821" s="30">
        <v>156</v>
      </c>
      <c r="I821" s="30">
        <v>27.32</v>
      </c>
      <c r="J821" s="30" t="s">
        <v>71</v>
      </c>
      <c r="K821" s="58">
        <v>0</v>
      </c>
      <c r="L821" s="58">
        <v>9.8184302067685601E+18</v>
      </c>
    </row>
    <row r="822" spans="3:12">
      <c r="C822" s="29" t="b">
        <v>0</v>
      </c>
      <c r="D822" s="30" t="s">
        <v>842</v>
      </c>
      <c r="E822" s="137" t="s">
        <v>843</v>
      </c>
      <c r="F822" s="30" t="s">
        <v>74</v>
      </c>
      <c r="G822" s="30">
        <v>72</v>
      </c>
      <c r="H822" s="30">
        <v>190</v>
      </c>
      <c r="I822" s="30">
        <v>35.119999999999997</v>
      </c>
      <c r="J822" s="30" t="s">
        <v>74</v>
      </c>
      <c r="K822" s="58">
        <v>0</v>
      </c>
      <c r="L822" s="58">
        <v>7.8960787407104102E+18</v>
      </c>
    </row>
    <row r="823" spans="3:12">
      <c r="C823" s="29" t="b">
        <v>0</v>
      </c>
      <c r="D823" s="30" t="s">
        <v>844</v>
      </c>
      <c r="E823" s="137" t="s">
        <v>843</v>
      </c>
      <c r="F823" s="30" t="s">
        <v>74</v>
      </c>
      <c r="G823" s="30">
        <v>71</v>
      </c>
      <c r="H823" s="30">
        <v>202</v>
      </c>
      <c r="I823" s="30">
        <v>24.04</v>
      </c>
      <c r="J823" s="30" t="s">
        <v>74</v>
      </c>
      <c r="K823" s="58">
        <v>0</v>
      </c>
      <c r="L823" s="58">
        <v>1.5572309485883699E+18</v>
      </c>
    </row>
    <row r="824" spans="3:12">
      <c r="C824" s="29" t="b">
        <v>0</v>
      </c>
      <c r="D824" s="30" t="s">
        <v>845</v>
      </c>
      <c r="E824" s="137" t="s">
        <v>843</v>
      </c>
      <c r="F824" s="30" t="s">
        <v>78</v>
      </c>
      <c r="G824" s="30">
        <v>71</v>
      </c>
      <c r="H824" s="30">
        <v>221</v>
      </c>
      <c r="I824" s="30">
        <v>36.39</v>
      </c>
      <c r="J824" s="30" t="s">
        <v>79</v>
      </c>
      <c r="K824" s="58">
        <v>0</v>
      </c>
      <c r="L824" s="58">
        <v>1.2414847779491101E+19</v>
      </c>
    </row>
    <row r="825" spans="3:12">
      <c r="C825" s="29" t="b">
        <v>0</v>
      </c>
      <c r="D825" s="30" t="s">
        <v>846</v>
      </c>
      <c r="E825" s="137" t="s">
        <v>843</v>
      </c>
      <c r="F825" s="30" t="s">
        <v>78</v>
      </c>
      <c r="G825" s="30">
        <v>75</v>
      </c>
      <c r="H825" s="30">
        <v>200</v>
      </c>
      <c r="I825" s="30">
        <v>22.81</v>
      </c>
      <c r="J825" s="30" t="s">
        <v>79</v>
      </c>
      <c r="K825" s="58">
        <v>0</v>
      </c>
      <c r="L825" s="58">
        <v>9.8279896567792599E+18</v>
      </c>
    </row>
    <row r="826" spans="3:12">
      <c r="C826" s="29" t="b">
        <v>0</v>
      </c>
      <c r="D826" s="30" t="s">
        <v>847</v>
      </c>
      <c r="E826" s="137" t="s">
        <v>843</v>
      </c>
      <c r="F826" s="30" t="s">
        <v>78</v>
      </c>
      <c r="G826" s="30">
        <v>72</v>
      </c>
      <c r="H826" s="30">
        <v>190</v>
      </c>
      <c r="I826" s="30">
        <v>33.6</v>
      </c>
      <c r="J826" s="30" t="s">
        <v>79</v>
      </c>
      <c r="K826" s="58">
        <v>0</v>
      </c>
      <c r="L826" s="58">
        <v>7.5891809509973197E+18</v>
      </c>
    </row>
    <row r="827" spans="3:12">
      <c r="C827" s="29" t="b">
        <v>0</v>
      </c>
      <c r="D827" s="30" t="s">
        <v>848</v>
      </c>
      <c r="E827" s="137" t="s">
        <v>843</v>
      </c>
      <c r="F827" s="30" t="s">
        <v>82</v>
      </c>
      <c r="G827" s="30">
        <v>73</v>
      </c>
      <c r="H827" s="30">
        <v>210</v>
      </c>
      <c r="I827" s="30">
        <v>38.979999999999997</v>
      </c>
      <c r="J827" s="30" t="s">
        <v>79</v>
      </c>
      <c r="K827" s="58">
        <v>0</v>
      </c>
      <c r="L827" s="58">
        <v>1.28899835303908E+19</v>
      </c>
    </row>
    <row r="828" spans="3:12">
      <c r="C828" s="29" t="b">
        <v>0</v>
      </c>
      <c r="D828" s="30" t="s">
        <v>849</v>
      </c>
      <c r="E828" s="137" t="s">
        <v>843</v>
      </c>
      <c r="F828" s="30" t="s">
        <v>82</v>
      </c>
      <c r="G828" s="30">
        <v>73</v>
      </c>
      <c r="H828" s="30">
        <v>190</v>
      </c>
      <c r="I828" s="30">
        <v>34.39</v>
      </c>
      <c r="J828" s="30" t="s">
        <v>79</v>
      </c>
      <c r="K828" s="58">
        <v>0</v>
      </c>
      <c r="L828" s="58">
        <v>4.6161078193656699E+18</v>
      </c>
    </row>
    <row r="829" spans="3:12">
      <c r="C829" s="29" t="b">
        <v>0</v>
      </c>
      <c r="D829" s="30" t="s">
        <v>850</v>
      </c>
      <c r="E829" s="137" t="s">
        <v>843</v>
      </c>
      <c r="F829" s="30" t="s">
        <v>82</v>
      </c>
      <c r="G829" s="30">
        <v>71</v>
      </c>
      <c r="H829" s="30">
        <v>200</v>
      </c>
      <c r="I829" s="30">
        <v>33.15</v>
      </c>
      <c r="J829" s="30" t="s">
        <v>79</v>
      </c>
      <c r="K829" s="58">
        <v>0</v>
      </c>
      <c r="L829" s="58">
        <v>5.1421906582451497E+18</v>
      </c>
    </row>
    <row r="830" spans="3:12">
      <c r="C830" s="29" t="b">
        <v>0</v>
      </c>
      <c r="D830" s="30" t="s">
        <v>851</v>
      </c>
      <c r="E830" s="137" t="s">
        <v>843</v>
      </c>
      <c r="F830" s="30" t="s">
        <v>84</v>
      </c>
      <c r="G830" s="30">
        <v>70</v>
      </c>
      <c r="H830" s="30">
        <v>165</v>
      </c>
      <c r="I830" s="30">
        <v>29.35</v>
      </c>
      <c r="J830" s="30" t="s">
        <v>79</v>
      </c>
      <c r="K830" s="58">
        <v>0</v>
      </c>
      <c r="L830" s="58">
        <v>1.4548673490638801E+19</v>
      </c>
    </row>
    <row r="831" spans="3:12">
      <c r="C831" s="29" t="b">
        <v>0</v>
      </c>
      <c r="D831" s="30" t="s">
        <v>852</v>
      </c>
      <c r="E831" s="137" t="s">
        <v>843</v>
      </c>
      <c r="F831" s="30" t="s">
        <v>86</v>
      </c>
      <c r="G831" s="30">
        <v>75</v>
      </c>
      <c r="H831" s="30">
        <v>190</v>
      </c>
      <c r="I831" s="30">
        <v>26.59</v>
      </c>
      <c r="J831" s="30" t="s">
        <v>79</v>
      </c>
      <c r="K831" s="58">
        <v>0</v>
      </c>
      <c r="L831" s="58">
        <v>1.2412589296615299E+19</v>
      </c>
    </row>
    <row r="832" spans="3:12">
      <c r="C832" s="29" t="b">
        <v>0</v>
      </c>
      <c r="D832" s="30" t="s">
        <v>853</v>
      </c>
      <c r="E832" s="137" t="s">
        <v>843</v>
      </c>
      <c r="F832" s="30" t="s">
        <v>86</v>
      </c>
      <c r="G832" s="30">
        <v>71</v>
      </c>
      <c r="H832" s="30">
        <v>185</v>
      </c>
      <c r="I832" s="30">
        <v>23.46</v>
      </c>
      <c r="J832" s="30" t="s">
        <v>79</v>
      </c>
      <c r="K832" s="58">
        <v>0</v>
      </c>
      <c r="L832" s="58">
        <v>8.4936787638077399E+18</v>
      </c>
    </row>
    <row r="833" spans="3:12">
      <c r="C833" s="29" t="b">
        <v>0</v>
      </c>
      <c r="D833" s="30" t="s">
        <v>854</v>
      </c>
      <c r="E833" s="137" t="s">
        <v>843</v>
      </c>
      <c r="F833" s="30" t="s">
        <v>89</v>
      </c>
      <c r="G833" s="30">
        <v>76</v>
      </c>
      <c r="H833" s="30">
        <v>230</v>
      </c>
      <c r="I833" s="30">
        <v>22.43</v>
      </c>
      <c r="J833" s="30" t="s">
        <v>89</v>
      </c>
      <c r="K833" s="58">
        <v>0</v>
      </c>
      <c r="L833" s="58">
        <v>1.06140990963061E+19</v>
      </c>
    </row>
    <row r="834" spans="3:12">
      <c r="C834" s="29" t="b">
        <v>0</v>
      </c>
      <c r="D834" s="30" t="s">
        <v>855</v>
      </c>
      <c r="E834" s="137" t="s">
        <v>843</v>
      </c>
      <c r="F834" s="30" t="s">
        <v>89</v>
      </c>
      <c r="G834" s="30">
        <v>73</v>
      </c>
      <c r="H834" s="30">
        <v>208</v>
      </c>
      <c r="I834" s="30">
        <v>24.89</v>
      </c>
      <c r="J834" s="30" t="s">
        <v>89</v>
      </c>
      <c r="K834" s="58">
        <v>0</v>
      </c>
      <c r="L834" s="58">
        <v>4.03972578856975E+18</v>
      </c>
    </row>
    <row r="835" spans="3:12">
      <c r="C835" s="29" t="b">
        <v>0</v>
      </c>
      <c r="D835" s="30" t="s">
        <v>856</v>
      </c>
      <c r="E835" s="137" t="s">
        <v>843</v>
      </c>
      <c r="F835" s="30" t="s">
        <v>89</v>
      </c>
      <c r="G835" s="30">
        <v>68</v>
      </c>
      <c r="H835" s="30">
        <v>209</v>
      </c>
      <c r="I835" s="30">
        <v>24.67</v>
      </c>
      <c r="J835" s="30" t="s">
        <v>89</v>
      </c>
      <c r="K835" s="58">
        <v>0</v>
      </c>
      <c r="L835" s="58">
        <v>1.3610555103189201E+19</v>
      </c>
    </row>
    <row r="836" spans="3:12">
      <c r="C836" s="29" t="b">
        <v>0</v>
      </c>
      <c r="D836" s="30" t="s">
        <v>857</v>
      </c>
      <c r="E836" s="137" t="s">
        <v>843</v>
      </c>
      <c r="F836" s="30" t="s">
        <v>89</v>
      </c>
      <c r="G836" s="30">
        <v>71</v>
      </c>
      <c r="H836" s="30">
        <v>175</v>
      </c>
      <c r="I836" s="30">
        <v>26.17</v>
      </c>
      <c r="J836" s="30" t="s">
        <v>89</v>
      </c>
      <c r="K836" s="58">
        <v>0</v>
      </c>
      <c r="L836" s="58">
        <v>1.5996365086891201E+19</v>
      </c>
    </row>
    <row r="837" spans="3:12">
      <c r="C837" s="29" t="b">
        <v>0</v>
      </c>
      <c r="D837" s="30" t="s">
        <v>858</v>
      </c>
      <c r="E837" s="137" t="s">
        <v>843</v>
      </c>
      <c r="F837" s="30" t="s">
        <v>89</v>
      </c>
      <c r="G837" s="30">
        <v>72</v>
      </c>
      <c r="H837" s="30">
        <v>180</v>
      </c>
      <c r="I837" s="30">
        <v>29.54</v>
      </c>
      <c r="J837" s="30" t="s">
        <v>89</v>
      </c>
      <c r="K837" s="58">
        <v>0</v>
      </c>
      <c r="L837" s="58">
        <v>9.13961931719437E+18</v>
      </c>
    </row>
    <row r="838" spans="3:12">
      <c r="C838" s="29" t="b">
        <v>0</v>
      </c>
      <c r="D838" s="30" t="s">
        <v>859</v>
      </c>
      <c r="E838" s="137" t="s">
        <v>843</v>
      </c>
      <c r="F838" s="30" t="s">
        <v>89</v>
      </c>
      <c r="G838" s="30">
        <v>74</v>
      </c>
      <c r="H838" s="30">
        <v>200</v>
      </c>
      <c r="I838" s="30">
        <v>39.49</v>
      </c>
      <c r="J838" s="30" t="s">
        <v>89</v>
      </c>
      <c r="K838" s="58">
        <v>0</v>
      </c>
      <c r="L838" s="58">
        <v>1.6338709411851999E+19</v>
      </c>
    </row>
    <row r="839" spans="3:12">
      <c r="C839" s="29" t="b">
        <v>0</v>
      </c>
      <c r="D839" s="30" t="s">
        <v>860</v>
      </c>
      <c r="E839" s="137" t="s">
        <v>843</v>
      </c>
      <c r="F839" s="30" t="s">
        <v>97</v>
      </c>
      <c r="G839" s="30">
        <v>77</v>
      </c>
      <c r="H839" s="30">
        <v>205</v>
      </c>
      <c r="I839" s="30">
        <v>34.08</v>
      </c>
      <c r="J839" s="30" t="s">
        <v>71</v>
      </c>
      <c r="K839" s="58">
        <v>0</v>
      </c>
      <c r="L839" s="58">
        <v>8.4231171688194796E+18</v>
      </c>
    </row>
    <row r="840" spans="3:12">
      <c r="C840" s="29" t="b">
        <v>0</v>
      </c>
      <c r="D840" s="30" t="s">
        <v>861</v>
      </c>
      <c r="E840" s="137" t="s">
        <v>843</v>
      </c>
      <c r="F840" s="30" t="s">
        <v>97</v>
      </c>
      <c r="G840" s="30">
        <v>72</v>
      </c>
      <c r="H840" s="30">
        <v>200</v>
      </c>
      <c r="I840" s="30">
        <v>30.52</v>
      </c>
      <c r="J840" s="30" t="s">
        <v>71</v>
      </c>
      <c r="K840" s="58">
        <v>0</v>
      </c>
      <c r="L840" s="58">
        <v>8.9450062367243305E+18</v>
      </c>
    </row>
    <row r="841" spans="3:12">
      <c r="C841" s="29" t="b">
        <v>0</v>
      </c>
      <c r="D841" s="30" t="s">
        <v>862</v>
      </c>
      <c r="E841" s="137" t="s">
        <v>843</v>
      </c>
      <c r="F841" s="30" t="s">
        <v>97</v>
      </c>
      <c r="G841" s="30">
        <v>76</v>
      </c>
      <c r="H841" s="30">
        <v>250</v>
      </c>
      <c r="I841" s="30">
        <v>28.77</v>
      </c>
      <c r="J841" s="30" t="s">
        <v>71</v>
      </c>
      <c r="K841" s="58">
        <v>0</v>
      </c>
      <c r="L841" s="58">
        <v>2.9017322370009999E+18</v>
      </c>
    </row>
    <row r="842" spans="3:12">
      <c r="C842" s="29" t="b">
        <v>0</v>
      </c>
      <c r="D842" s="30" t="s">
        <v>863</v>
      </c>
      <c r="E842" s="137" t="s">
        <v>843</v>
      </c>
      <c r="F842" s="30" t="s">
        <v>97</v>
      </c>
      <c r="G842" s="30">
        <v>78</v>
      </c>
      <c r="H842" s="30">
        <v>210</v>
      </c>
      <c r="I842" s="30">
        <v>33.75</v>
      </c>
      <c r="J842" s="30" t="s">
        <v>71</v>
      </c>
      <c r="K842" s="58">
        <v>0</v>
      </c>
      <c r="L842" s="58">
        <v>1.14846613549043E+18</v>
      </c>
    </row>
    <row r="843" spans="3:12">
      <c r="C843" s="29" t="b">
        <v>0</v>
      </c>
      <c r="D843" s="30" t="s">
        <v>864</v>
      </c>
      <c r="E843" s="137" t="s">
        <v>843</v>
      </c>
      <c r="F843" s="30" t="s">
        <v>97</v>
      </c>
      <c r="G843" s="30">
        <v>81</v>
      </c>
      <c r="H843" s="30">
        <v>230</v>
      </c>
      <c r="I843" s="30">
        <v>32.69</v>
      </c>
      <c r="J843" s="30" t="s">
        <v>71</v>
      </c>
      <c r="K843" s="58">
        <v>0</v>
      </c>
      <c r="L843" s="58">
        <v>1.1929046728636801E+19</v>
      </c>
    </row>
    <row r="844" spans="3:12">
      <c r="C844" s="29" t="b">
        <v>0</v>
      </c>
      <c r="D844" s="30" t="s">
        <v>865</v>
      </c>
      <c r="E844" s="137" t="s">
        <v>843</v>
      </c>
      <c r="F844" s="30" t="s">
        <v>97</v>
      </c>
      <c r="G844" s="30">
        <v>72</v>
      </c>
      <c r="H844" s="30">
        <v>244</v>
      </c>
      <c r="I844" s="30">
        <v>22.59</v>
      </c>
      <c r="J844" s="30" t="s">
        <v>71</v>
      </c>
      <c r="K844" s="58">
        <v>0</v>
      </c>
      <c r="L844" s="58">
        <v>1.3184381636012401E+19</v>
      </c>
    </row>
    <row r="845" spans="3:12">
      <c r="C845" s="29" t="b">
        <v>0</v>
      </c>
      <c r="D845" s="30" t="s">
        <v>866</v>
      </c>
      <c r="E845" s="137" t="s">
        <v>843</v>
      </c>
      <c r="F845" s="30" t="s">
        <v>68</v>
      </c>
      <c r="G845" s="30">
        <v>73</v>
      </c>
      <c r="H845" s="30">
        <v>202</v>
      </c>
      <c r="I845" s="30">
        <v>37.04</v>
      </c>
      <c r="J845" s="30" t="s">
        <v>71</v>
      </c>
      <c r="K845" s="58">
        <v>0</v>
      </c>
      <c r="L845" s="58">
        <v>1.0629598227809901E+19</v>
      </c>
    </row>
    <row r="846" spans="3:12">
      <c r="C846" s="29" t="b">
        <v>0</v>
      </c>
      <c r="D846" s="30" t="s">
        <v>867</v>
      </c>
      <c r="E846" s="137" t="s">
        <v>843</v>
      </c>
      <c r="F846" s="30" t="s">
        <v>68</v>
      </c>
      <c r="G846" s="30">
        <v>76</v>
      </c>
      <c r="H846" s="30">
        <v>240</v>
      </c>
      <c r="I846" s="30">
        <v>22.7</v>
      </c>
      <c r="J846" s="30" t="s">
        <v>71</v>
      </c>
      <c r="K846" s="58">
        <v>0</v>
      </c>
      <c r="L846" s="58">
        <v>1.05165704895058E+19</v>
      </c>
    </row>
    <row r="847" spans="3:12">
      <c r="C847" s="29" t="b">
        <v>0</v>
      </c>
      <c r="D847" s="30" t="s">
        <v>868</v>
      </c>
      <c r="E847" s="137" t="s">
        <v>843</v>
      </c>
      <c r="F847" s="30" t="s">
        <v>68</v>
      </c>
      <c r="G847" s="30">
        <v>72</v>
      </c>
      <c r="H847" s="30">
        <v>200</v>
      </c>
      <c r="I847" s="30">
        <v>25.6</v>
      </c>
      <c r="J847" s="30" t="s">
        <v>71</v>
      </c>
      <c r="K847" s="58">
        <v>0</v>
      </c>
      <c r="L847" s="58">
        <v>1.9904104072085E+18</v>
      </c>
    </row>
    <row r="848" spans="3:12">
      <c r="C848" s="29" t="b">
        <v>0</v>
      </c>
      <c r="D848" s="30" t="s">
        <v>869</v>
      </c>
      <c r="E848" s="137" t="s">
        <v>843</v>
      </c>
      <c r="F848" s="30" t="s">
        <v>68</v>
      </c>
      <c r="G848" s="30">
        <v>72</v>
      </c>
      <c r="H848" s="30">
        <v>215</v>
      </c>
      <c r="I848" s="30">
        <v>27.23</v>
      </c>
      <c r="J848" s="30" t="s">
        <v>71</v>
      </c>
      <c r="K848" s="58">
        <v>0</v>
      </c>
      <c r="L848" s="58">
        <v>2.4345846698044001E+18</v>
      </c>
    </row>
    <row r="849" spans="3:12">
      <c r="C849" s="29" t="b">
        <v>0</v>
      </c>
      <c r="D849" s="30" t="s">
        <v>870</v>
      </c>
      <c r="E849" s="137" t="s">
        <v>843</v>
      </c>
      <c r="F849" s="30" t="s">
        <v>68</v>
      </c>
      <c r="G849" s="30">
        <v>74</v>
      </c>
      <c r="H849" s="30">
        <v>177</v>
      </c>
      <c r="I849" s="30">
        <v>25.74</v>
      </c>
      <c r="J849" s="30" t="s">
        <v>71</v>
      </c>
      <c r="K849" s="58">
        <v>0</v>
      </c>
      <c r="L849" s="58">
        <v>1.6757826235727901E+19</v>
      </c>
    </row>
    <row r="850" spans="3:12">
      <c r="C850" s="29" t="b">
        <v>0</v>
      </c>
      <c r="D850" s="30" t="s">
        <v>871</v>
      </c>
      <c r="E850" s="137" t="s">
        <v>843</v>
      </c>
      <c r="F850" s="30" t="s">
        <v>68</v>
      </c>
      <c r="G850" s="30">
        <v>76</v>
      </c>
      <c r="H850" s="30">
        <v>210</v>
      </c>
      <c r="I850" s="30">
        <v>30.29</v>
      </c>
      <c r="J850" s="30" t="s">
        <v>71</v>
      </c>
      <c r="K850" s="58">
        <v>0</v>
      </c>
      <c r="L850" s="58">
        <v>1.1900907010499299E+19</v>
      </c>
    </row>
    <row r="851" spans="3:12">
      <c r="C851" s="29" t="b">
        <v>0</v>
      </c>
      <c r="D851" s="30" t="s">
        <v>872</v>
      </c>
      <c r="E851" s="137" t="s">
        <v>843</v>
      </c>
      <c r="F851" s="30" t="s">
        <v>68</v>
      </c>
      <c r="G851" s="30">
        <v>73</v>
      </c>
      <c r="H851" s="30">
        <v>170</v>
      </c>
      <c r="I851" s="30">
        <v>26.72</v>
      </c>
      <c r="J851" s="30" t="s">
        <v>71</v>
      </c>
      <c r="K851" s="58">
        <v>0</v>
      </c>
      <c r="L851" s="58">
        <v>1.5985254526685999E+19</v>
      </c>
    </row>
    <row r="852" spans="3:12">
      <c r="C852" s="29" t="b">
        <v>0</v>
      </c>
      <c r="D852" s="30" t="s">
        <v>873</v>
      </c>
      <c r="E852" s="137" t="s">
        <v>843</v>
      </c>
      <c r="F852" s="30" t="s">
        <v>68</v>
      </c>
      <c r="G852" s="30">
        <v>76</v>
      </c>
      <c r="H852" s="30">
        <v>215</v>
      </c>
      <c r="I852" s="30">
        <v>33.9</v>
      </c>
      <c r="J852" s="30" t="s">
        <v>71</v>
      </c>
      <c r="K852" s="58">
        <v>0</v>
      </c>
      <c r="L852" s="58">
        <v>1.0157211946363501E+19</v>
      </c>
    </row>
    <row r="853" spans="3:12">
      <c r="C853" s="29" t="b">
        <v>0</v>
      </c>
      <c r="D853" s="30" t="s">
        <v>874</v>
      </c>
      <c r="E853" s="137" t="s">
        <v>843</v>
      </c>
      <c r="F853" s="30" t="s">
        <v>68</v>
      </c>
      <c r="G853" s="30">
        <v>75</v>
      </c>
      <c r="H853" s="30">
        <v>217</v>
      </c>
      <c r="I853" s="30">
        <v>29.86</v>
      </c>
      <c r="J853" s="30" t="s">
        <v>71</v>
      </c>
      <c r="K853" s="58">
        <v>0</v>
      </c>
      <c r="L853" s="58">
        <v>1.74518375619531E+19</v>
      </c>
    </row>
    <row r="854" spans="3:12">
      <c r="C854" s="29" t="b">
        <v>0</v>
      </c>
      <c r="D854" s="30" t="s">
        <v>875</v>
      </c>
      <c r="E854" s="137" t="s">
        <v>843</v>
      </c>
      <c r="F854" s="30" t="s">
        <v>68</v>
      </c>
      <c r="G854" s="30">
        <v>70</v>
      </c>
      <c r="H854" s="30">
        <v>198</v>
      </c>
      <c r="I854" s="30">
        <v>36.130000000000003</v>
      </c>
      <c r="J854" s="30" t="s">
        <v>71</v>
      </c>
      <c r="K854" s="58">
        <v>0</v>
      </c>
      <c r="L854" s="58">
        <v>1.0190306826686401E+19</v>
      </c>
    </row>
    <row r="855" spans="3:12">
      <c r="C855" s="29" t="b">
        <v>0</v>
      </c>
      <c r="D855" s="30" t="s">
        <v>876</v>
      </c>
      <c r="E855" s="137" t="s">
        <v>877</v>
      </c>
      <c r="F855" s="30" t="s">
        <v>74</v>
      </c>
      <c r="G855" s="30">
        <v>71</v>
      </c>
      <c r="H855" s="30">
        <v>200</v>
      </c>
      <c r="I855" s="30">
        <v>27.54</v>
      </c>
      <c r="J855" s="30" t="s">
        <v>74</v>
      </c>
      <c r="K855" s="58">
        <v>0</v>
      </c>
      <c r="L855" s="58">
        <v>1.5246832766119201E+19</v>
      </c>
    </row>
    <row r="856" spans="3:12">
      <c r="C856" s="29" t="b">
        <v>0</v>
      </c>
      <c r="D856" s="30" t="s">
        <v>878</v>
      </c>
      <c r="E856" s="137" t="s">
        <v>877</v>
      </c>
      <c r="F856" s="30" t="s">
        <v>74</v>
      </c>
      <c r="G856" s="30">
        <v>74</v>
      </c>
      <c r="H856" s="30">
        <v>220</v>
      </c>
      <c r="I856" s="30">
        <v>31.49</v>
      </c>
      <c r="J856" s="30" t="s">
        <v>74</v>
      </c>
      <c r="K856" s="58">
        <v>0</v>
      </c>
      <c r="L856" s="58">
        <v>1.03929310595391E+19</v>
      </c>
    </row>
    <row r="857" spans="3:12">
      <c r="C857" s="29" t="b">
        <v>0</v>
      </c>
      <c r="D857" s="30" t="s">
        <v>879</v>
      </c>
      <c r="E857" s="137" t="s">
        <v>877</v>
      </c>
      <c r="F857" s="30" t="s">
        <v>74</v>
      </c>
      <c r="G857" s="30">
        <v>72</v>
      </c>
      <c r="H857" s="30">
        <v>170</v>
      </c>
      <c r="I857" s="30">
        <v>28.1</v>
      </c>
      <c r="J857" s="30" t="s">
        <v>74</v>
      </c>
      <c r="K857" s="58">
        <v>0</v>
      </c>
      <c r="L857" s="58">
        <v>7.2992256893449001E+18</v>
      </c>
    </row>
    <row r="858" spans="3:12">
      <c r="C858" s="29" t="b">
        <v>0</v>
      </c>
      <c r="D858" s="30" t="s">
        <v>880</v>
      </c>
      <c r="E858" s="137" t="s">
        <v>877</v>
      </c>
      <c r="F858" s="30" t="s">
        <v>74</v>
      </c>
      <c r="G858" s="30">
        <v>73</v>
      </c>
      <c r="H858" s="30">
        <v>200</v>
      </c>
      <c r="I858" s="30">
        <v>34.07</v>
      </c>
      <c r="J858" s="30" t="s">
        <v>74</v>
      </c>
      <c r="K858" s="58">
        <v>0</v>
      </c>
      <c r="L858" s="58">
        <v>8.2819195193244099E+18</v>
      </c>
    </row>
    <row r="859" spans="3:12">
      <c r="C859" s="29" t="b">
        <v>0</v>
      </c>
      <c r="D859" s="30" t="s">
        <v>881</v>
      </c>
      <c r="E859" s="137" t="s">
        <v>877</v>
      </c>
      <c r="F859" s="30" t="s">
        <v>78</v>
      </c>
      <c r="G859" s="30">
        <v>76</v>
      </c>
      <c r="H859" s="30">
        <v>230</v>
      </c>
      <c r="I859" s="30">
        <v>27.28</v>
      </c>
      <c r="J859" s="30" t="s">
        <v>79</v>
      </c>
      <c r="K859" s="58">
        <v>0</v>
      </c>
      <c r="L859" s="58">
        <v>7.3733565106262106E+17</v>
      </c>
    </row>
    <row r="860" spans="3:12">
      <c r="C860" s="29" t="b">
        <v>0</v>
      </c>
      <c r="D860" s="30" t="s">
        <v>882</v>
      </c>
      <c r="E860" s="137" t="s">
        <v>877</v>
      </c>
      <c r="F860" s="30" t="s">
        <v>78</v>
      </c>
      <c r="G860" s="30">
        <v>76</v>
      </c>
      <c r="H860" s="30">
        <v>231</v>
      </c>
      <c r="I860" s="30">
        <v>30.8</v>
      </c>
      <c r="J860" s="30" t="s">
        <v>79</v>
      </c>
      <c r="K860" s="58">
        <v>0</v>
      </c>
      <c r="L860" s="58">
        <v>8.2344834050901105E+18</v>
      </c>
    </row>
    <row r="861" spans="3:12">
      <c r="C861" s="29" t="b">
        <v>0</v>
      </c>
      <c r="D861" s="30" t="s">
        <v>883</v>
      </c>
      <c r="E861" s="137" t="s">
        <v>877</v>
      </c>
      <c r="F861" s="30" t="s">
        <v>82</v>
      </c>
      <c r="G861" s="30">
        <v>73</v>
      </c>
      <c r="H861" s="30">
        <v>183</v>
      </c>
      <c r="I861" s="30">
        <v>28.2</v>
      </c>
      <c r="J861" s="30" t="s">
        <v>79</v>
      </c>
      <c r="K861" s="58">
        <v>0</v>
      </c>
      <c r="L861" s="58">
        <v>1.0693161091537199E+19</v>
      </c>
    </row>
    <row r="862" spans="3:12">
      <c r="C862" s="29" t="b">
        <v>0</v>
      </c>
      <c r="D862" s="30" t="s">
        <v>884</v>
      </c>
      <c r="E862" s="137" t="s">
        <v>877</v>
      </c>
      <c r="F862" s="30" t="s">
        <v>82</v>
      </c>
      <c r="G862" s="30">
        <v>71</v>
      </c>
      <c r="H862" s="30">
        <v>192</v>
      </c>
      <c r="I862" s="30">
        <v>27.9</v>
      </c>
      <c r="J862" s="30" t="s">
        <v>79</v>
      </c>
      <c r="K862" s="58">
        <v>0</v>
      </c>
      <c r="L862" s="58">
        <v>3.3957375291583002E+18</v>
      </c>
    </row>
    <row r="863" spans="3:12">
      <c r="C863" s="29" t="b">
        <v>0</v>
      </c>
      <c r="D863" s="30" t="s">
        <v>885</v>
      </c>
      <c r="E863" s="137" t="s">
        <v>877</v>
      </c>
      <c r="F863" s="30" t="s">
        <v>84</v>
      </c>
      <c r="G863" s="30">
        <v>68</v>
      </c>
      <c r="H863" s="30">
        <v>167</v>
      </c>
      <c r="I863" s="30">
        <v>28.26</v>
      </c>
      <c r="J863" s="30" t="s">
        <v>79</v>
      </c>
      <c r="K863" s="58">
        <v>0</v>
      </c>
      <c r="L863" s="58">
        <v>1.50616131531992E+19</v>
      </c>
    </row>
    <row r="864" spans="3:12">
      <c r="C864" s="29" t="b">
        <v>0</v>
      </c>
      <c r="D864" s="30" t="s">
        <v>886</v>
      </c>
      <c r="E864" s="137" t="s">
        <v>877</v>
      </c>
      <c r="F864" s="30" t="s">
        <v>86</v>
      </c>
      <c r="G864" s="30">
        <v>71</v>
      </c>
      <c r="H864" s="30">
        <v>190</v>
      </c>
      <c r="I864" s="30">
        <v>30.96</v>
      </c>
      <c r="J864" s="30" t="s">
        <v>79</v>
      </c>
      <c r="K864" s="58">
        <v>0</v>
      </c>
      <c r="L864" s="58">
        <v>1.4525251445521E+19</v>
      </c>
    </row>
    <row r="865" spans="3:12">
      <c r="C865" s="29" t="b">
        <v>0</v>
      </c>
      <c r="D865" s="30" t="s">
        <v>887</v>
      </c>
      <c r="E865" s="137" t="s">
        <v>877</v>
      </c>
      <c r="F865" s="30" t="s">
        <v>89</v>
      </c>
      <c r="G865" s="30">
        <v>71</v>
      </c>
      <c r="H865" s="30">
        <v>180</v>
      </c>
      <c r="I865" s="30">
        <v>24.18</v>
      </c>
      <c r="J865" s="30" t="s">
        <v>89</v>
      </c>
      <c r="K865" s="58">
        <v>0</v>
      </c>
      <c r="L865" s="58">
        <v>1.60620197544035E+19</v>
      </c>
    </row>
    <row r="866" spans="3:12">
      <c r="C866" s="29" t="b">
        <v>0</v>
      </c>
      <c r="D866" s="30" t="s">
        <v>888</v>
      </c>
      <c r="E866" s="137" t="s">
        <v>877</v>
      </c>
      <c r="F866" s="30" t="s">
        <v>89</v>
      </c>
      <c r="G866" s="30">
        <v>74</v>
      </c>
      <c r="H866" s="30">
        <v>180</v>
      </c>
      <c r="I866" s="30">
        <v>27.52</v>
      </c>
      <c r="J866" s="30" t="s">
        <v>89</v>
      </c>
      <c r="K866" s="58">
        <v>0</v>
      </c>
      <c r="L866" s="58">
        <v>1.5178563903964101E+19</v>
      </c>
    </row>
    <row r="867" spans="3:12">
      <c r="C867" s="29" t="b">
        <v>0</v>
      </c>
      <c r="D867" s="30" t="s">
        <v>889</v>
      </c>
      <c r="E867" s="137" t="s">
        <v>877</v>
      </c>
      <c r="F867" s="30" t="s">
        <v>89</v>
      </c>
      <c r="G867" s="30">
        <v>77</v>
      </c>
      <c r="H867" s="30">
        <v>215</v>
      </c>
      <c r="I867" s="30">
        <v>27.78</v>
      </c>
      <c r="J867" s="30" t="s">
        <v>89</v>
      </c>
      <c r="K867" s="58">
        <v>0</v>
      </c>
      <c r="L867" s="58">
        <v>1.44270441849902E+19</v>
      </c>
    </row>
    <row r="868" spans="3:12">
      <c r="C868" s="29" t="b">
        <v>0</v>
      </c>
      <c r="D868" s="30" t="s">
        <v>890</v>
      </c>
      <c r="E868" s="137" t="s">
        <v>877</v>
      </c>
      <c r="F868" s="30" t="s">
        <v>89</v>
      </c>
      <c r="G868" s="30">
        <v>69</v>
      </c>
      <c r="H868" s="30">
        <v>160</v>
      </c>
      <c r="I868" s="30">
        <v>26.25</v>
      </c>
      <c r="J868" s="30" t="s">
        <v>89</v>
      </c>
      <c r="K868" s="58">
        <v>0</v>
      </c>
      <c r="L868" s="58">
        <v>1.38517706630306E+19</v>
      </c>
    </row>
    <row r="869" spans="3:12">
      <c r="C869" s="29" t="b">
        <v>0</v>
      </c>
      <c r="D869" s="30" t="s">
        <v>891</v>
      </c>
      <c r="E869" s="137" t="s">
        <v>877</v>
      </c>
      <c r="F869" s="30" t="s">
        <v>89</v>
      </c>
      <c r="G869" s="30">
        <v>72</v>
      </c>
      <c r="H869" s="30">
        <v>205</v>
      </c>
      <c r="I869" s="30">
        <v>29.5</v>
      </c>
      <c r="J869" s="30" t="s">
        <v>89</v>
      </c>
      <c r="K869" s="58">
        <v>0</v>
      </c>
      <c r="L869" s="58">
        <v>6.8043720816956396E+18</v>
      </c>
    </row>
    <row r="870" spans="3:12">
      <c r="C870" s="29" t="b">
        <v>0</v>
      </c>
      <c r="D870" s="30" t="s">
        <v>892</v>
      </c>
      <c r="E870" s="137" t="s">
        <v>877</v>
      </c>
      <c r="F870" s="30" t="s">
        <v>89</v>
      </c>
      <c r="G870" s="30">
        <v>76</v>
      </c>
      <c r="H870" s="30">
        <v>223</v>
      </c>
      <c r="I870" s="30">
        <v>30.39</v>
      </c>
      <c r="J870" s="30" t="s">
        <v>89</v>
      </c>
      <c r="K870" s="58">
        <v>0</v>
      </c>
      <c r="L870" s="58">
        <v>1.22969450139036E+19</v>
      </c>
    </row>
    <row r="871" spans="3:12">
      <c r="C871" s="29" t="b">
        <v>0</v>
      </c>
      <c r="D871" s="30" t="s">
        <v>893</v>
      </c>
      <c r="E871" s="137" t="s">
        <v>877</v>
      </c>
      <c r="F871" s="30" t="s">
        <v>97</v>
      </c>
      <c r="G871" s="30">
        <v>75</v>
      </c>
      <c r="H871" s="30">
        <v>175</v>
      </c>
      <c r="I871" s="30">
        <v>23.18</v>
      </c>
      <c r="J871" s="30" t="s">
        <v>71</v>
      </c>
      <c r="K871" s="58">
        <v>0</v>
      </c>
      <c r="L871" s="58">
        <v>1.24678808473752E+19</v>
      </c>
    </row>
    <row r="872" spans="3:12">
      <c r="C872" s="29" t="b">
        <v>0</v>
      </c>
      <c r="D872" s="30" t="s">
        <v>894</v>
      </c>
      <c r="E872" s="137" t="s">
        <v>877</v>
      </c>
      <c r="F872" s="30" t="s">
        <v>97</v>
      </c>
      <c r="G872" s="30">
        <v>76</v>
      </c>
      <c r="H872" s="30">
        <v>170</v>
      </c>
      <c r="I872" s="30">
        <v>25.81</v>
      </c>
      <c r="J872" s="30" t="s">
        <v>71</v>
      </c>
      <c r="K872" s="58">
        <v>0</v>
      </c>
      <c r="L872" s="58">
        <v>1.19438542832145E+19</v>
      </c>
    </row>
    <row r="873" spans="3:12">
      <c r="C873" s="29" t="b">
        <v>0</v>
      </c>
      <c r="D873" s="30" t="s">
        <v>895</v>
      </c>
      <c r="E873" s="137" t="s">
        <v>877</v>
      </c>
      <c r="F873" s="30" t="s">
        <v>97</v>
      </c>
      <c r="G873" s="30">
        <v>75</v>
      </c>
      <c r="H873" s="30">
        <v>190</v>
      </c>
      <c r="I873" s="30">
        <v>23.01</v>
      </c>
      <c r="J873" s="30" t="s">
        <v>71</v>
      </c>
      <c r="K873" s="58">
        <v>0</v>
      </c>
      <c r="L873" s="58">
        <v>1.4073419077305301E+19</v>
      </c>
    </row>
    <row r="874" spans="3:12">
      <c r="C874" s="29" t="b">
        <v>0</v>
      </c>
      <c r="D874" s="30" t="s">
        <v>896</v>
      </c>
      <c r="E874" s="137" t="s">
        <v>877</v>
      </c>
      <c r="F874" s="30" t="s">
        <v>97</v>
      </c>
      <c r="G874" s="30">
        <v>76</v>
      </c>
      <c r="H874" s="30">
        <v>240</v>
      </c>
      <c r="I874" s="30">
        <v>31.72</v>
      </c>
      <c r="J874" s="30" t="s">
        <v>71</v>
      </c>
      <c r="K874" s="58">
        <v>0</v>
      </c>
      <c r="L874" s="58">
        <v>1.4452125843809599E+19</v>
      </c>
    </row>
    <row r="875" spans="3:12">
      <c r="C875" s="29" t="b">
        <v>0</v>
      </c>
      <c r="D875" s="30" t="s">
        <v>897</v>
      </c>
      <c r="E875" s="137" t="s">
        <v>877</v>
      </c>
      <c r="F875" s="30" t="s">
        <v>97</v>
      </c>
      <c r="G875" s="30">
        <v>72</v>
      </c>
      <c r="H875" s="30">
        <v>175</v>
      </c>
      <c r="I875" s="30">
        <v>44.28</v>
      </c>
      <c r="J875" s="30" t="s">
        <v>71</v>
      </c>
      <c r="K875" s="58">
        <v>0</v>
      </c>
      <c r="L875" s="58">
        <v>1.34809439505741E+19</v>
      </c>
    </row>
    <row r="876" spans="3:12">
      <c r="C876" s="29" t="b">
        <v>0</v>
      </c>
      <c r="D876" s="30" t="s">
        <v>898</v>
      </c>
      <c r="E876" s="137" t="s">
        <v>877</v>
      </c>
      <c r="F876" s="30" t="s">
        <v>97</v>
      </c>
      <c r="G876" s="30">
        <v>74</v>
      </c>
      <c r="H876" s="30">
        <v>230</v>
      </c>
      <c r="I876" s="30">
        <v>36.909999999999997</v>
      </c>
      <c r="J876" s="30" t="s">
        <v>71</v>
      </c>
      <c r="K876" s="58">
        <v>0</v>
      </c>
      <c r="L876" s="58">
        <v>1.6973319790395099E+19</v>
      </c>
    </row>
    <row r="877" spans="3:12">
      <c r="C877" s="29" t="b">
        <v>0</v>
      </c>
      <c r="D877" s="30" t="s">
        <v>899</v>
      </c>
      <c r="E877" s="137" t="s">
        <v>877</v>
      </c>
      <c r="F877" s="30" t="s">
        <v>97</v>
      </c>
      <c r="G877" s="30">
        <v>76</v>
      </c>
      <c r="H877" s="30">
        <v>223</v>
      </c>
      <c r="I877" s="30">
        <v>26.54</v>
      </c>
      <c r="J877" s="30" t="s">
        <v>71</v>
      </c>
      <c r="K877" s="58">
        <v>0</v>
      </c>
      <c r="L877" s="58">
        <v>1.40340950599807E+19</v>
      </c>
    </row>
    <row r="878" spans="3:12">
      <c r="C878" s="29" t="b">
        <v>0</v>
      </c>
      <c r="D878" s="30" t="s">
        <v>900</v>
      </c>
      <c r="E878" s="137" t="s">
        <v>877</v>
      </c>
      <c r="F878" s="30" t="s">
        <v>97</v>
      </c>
      <c r="G878" s="30">
        <v>74</v>
      </c>
      <c r="H878" s="30">
        <v>196</v>
      </c>
      <c r="I878" s="30">
        <v>29.27</v>
      </c>
      <c r="J878" s="30" t="s">
        <v>71</v>
      </c>
      <c r="K878" s="58">
        <v>0</v>
      </c>
      <c r="L878" s="58">
        <v>2.2660224102896699E+18</v>
      </c>
    </row>
    <row r="879" spans="3:12">
      <c r="C879" s="29" t="b">
        <v>0</v>
      </c>
      <c r="D879" s="30" t="s">
        <v>901</v>
      </c>
      <c r="E879" s="137" t="s">
        <v>877</v>
      </c>
      <c r="F879" s="30" t="s">
        <v>68</v>
      </c>
      <c r="G879" s="30">
        <v>72</v>
      </c>
      <c r="H879" s="30">
        <v>167</v>
      </c>
      <c r="I879" s="30">
        <v>30.51</v>
      </c>
      <c r="J879" s="30" t="s">
        <v>71</v>
      </c>
      <c r="K879" s="58">
        <v>0</v>
      </c>
      <c r="L879" s="58">
        <v>4.8574530515846605E+18</v>
      </c>
    </row>
    <row r="880" spans="3:12">
      <c r="C880" s="29" t="b">
        <v>0</v>
      </c>
      <c r="D880" s="30" t="s">
        <v>902</v>
      </c>
      <c r="E880" s="137" t="s">
        <v>877</v>
      </c>
      <c r="F880" s="30" t="s">
        <v>68</v>
      </c>
      <c r="G880" s="30">
        <v>75</v>
      </c>
      <c r="H880" s="30">
        <v>195</v>
      </c>
      <c r="I880" s="30">
        <v>31.28</v>
      </c>
      <c r="J880" s="30" t="s">
        <v>71</v>
      </c>
      <c r="K880" s="58">
        <v>0</v>
      </c>
      <c r="L880" s="58">
        <v>1.5398837233267401E+19</v>
      </c>
    </row>
    <row r="881" spans="3:12">
      <c r="C881" s="29" t="b">
        <v>0</v>
      </c>
      <c r="D881" s="30" t="s">
        <v>903</v>
      </c>
      <c r="E881" s="137" t="s">
        <v>877</v>
      </c>
      <c r="F881" s="30" t="s">
        <v>68</v>
      </c>
      <c r="G881" s="30">
        <v>78</v>
      </c>
      <c r="H881" s="30">
        <v>190</v>
      </c>
      <c r="I881" s="30">
        <v>26.51</v>
      </c>
      <c r="J881" s="30" t="s">
        <v>71</v>
      </c>
      <c r="K881" s="58">
        <v>0</v>
      </c>
      <c r="L881" s="58">
        <v>9.67869652653218E+18</v>
      </c>
    </row>
    <row r="882" spans="3:12">
      <c r="C882" s="29" t="b">
        <v>0</v>
      </c>
      <c r="D882" s="30" t="s">
        <v>904</v>
      </c>
      <c r="E882" s="137" t="s">
        <v>877</v>
      </c>
      <c r="F882" s="30" t="s">
        <v>68</v>
      </c>
      <c r="G882" s="30">
        <v>77</v>
      </c>
      <c r="H882" s="30">
        <v>250</v>
      </c>
      <c r="I882" s="30">
        <v>34.869999999999997</v>
      </c>
      <c r="J882" s="30" t="s">
        <v>71</v>
      </c>
      <c r="K882" s="58">
        <v>0</v>
      </c>
      <c r="L882" s="58">
        <v>9.6858354702929203E+18</v>
      </c>
    </row>
    <row r="883" spans="3:12">
      <c r="C883" s="29" t="b">
        <v>0</v>
      </c>
      <c r="D883" s="30" t="s">
        <v>905</v>
      </c>
      <c r="E883" s="137" t="s">
        <v>877</v>
      </c>
      <c r="F883" s="30" t="s">
        <v>68</v>
      </c>
      <c r="G883" s="30">
        <v>70</v>
      </c>
      <c r="H883" s="30">
        <v>190</v>
      </c>
      <c r="I883" s="30">
        <v>39.28</v>
      </c>
      <c r="J883" s="30" t="s">
        <v>71</v>
      </c>
      <c r="K883" s="58">
        <v>0</v>
      </c>
      <c r="L883" s="58">
        <v>5.3275458297886198E+18</v>
      </c>
    </row>
    <row r="884" spans="3:12">
      <c r="C884" s="29" t="b">
        <v>0</v>
      </c>
      <c r="D884" s="30" t="s">
        <v>906</v>
      </c>
      <c r="E884" s="137" t="s">
        <v>877</v>
      </c>
      <c r="F884" s="30" t="s">
        <v>68</v>
      </c>
      <c r="G884" s="30">
        <v>72</v>
      </c>
      <c r="H884" s="30">
        <v>190</v>
      </c>
      <c r="I884" s="30">
        <v>28.56</v>
      </c>
      <c r="J884" s="30" t="s">
        <v>71</v>
      </c>
      <c r="K884" s="58">
        <v>0</v>
      </c>
      <c r="L884" s="58">
        <v>1.16309199303429E+19</v>
      </c>
    </row>
    <row r="885" spans="3:12">
      <c r="C885" s="29" t="b">
        <v>0</v>
      </c>
      <c r="D885" s="30" t="s">
        <v>907</v>
      </c>
      <c r="E885" s="137" t="s">
        <v>877</v>
      </c>
      <c r="F885" s="30" t="s">
        <v>68</v>
      </c>
      <c r="G885" s="30">
        <v>79</v>
      </c>
      <c r="H885" s="30">
        <v>190</v>
      </c>
      <c r="I885" s="30">
        <v>27.82</v>
      </c>
      <c r="J885" s="30" t="s">
        <v>71</v>
      </c>
      <c r="K885" s="58">
        <v>0</v>
      </c>
      <c r="L885" s="58">
        <v>8.3144119789020201E+18</v>
      </c>
    </row>
    <row r="886" spans="3:12">
      <c r="C886" s="29" t="b">
        <v>0</v>
      </c>
      <c r="D886" s="30" t="s">
        <v>908</v>
      </c>
      <c r="E886" s="137" t="s">
        <v>877</v>
      </c>
      <c r="F886" s="30" t="s">
        <v>68</v>
      </c>
      <c r="G886" s="30">
        <v>74</v>
      </c>
      <c r="H886" s="30">
        <v>170</v>
      </c>
      <c r="I886" s="30">
        <v>25.94</v>
      </c>
      <c r="J886" s="30" t="s">
        <v>71</v>
      </c>
      <c r="K886" s="58">
        <v>0</v>
      </c>
      <c r="L886" s="58">
        <v>1.8432102969157599E+19</v>
      </c>
    </row>
    <row r="887" spans="3:12">
      <c r="C887" s="29" t="b">
        <v>0</v>
      </c>
      <c r="D887" s="30" t="s">
        <v>909</v>
      </c>
      <c r="E887" s="137" t="s">
        <v>877</v>
      </c>
      <c r="F887" s="30" t="s">
        <v>68</v>
      </c>
      <c r="G887" s="30">
        <v>71</v>
      </c>
      <c r="H887" s="30">
        <v>160</v>
      </c>
      <c r="I887" s="30">
        <v>28.53</v>
      </c>
      <c r="J887" s="30" t="s">
        <v>71</v>
      </c>
      <c r="K887" s="58">
        <v>0</v>
      </c>
      <c r="L887" s="58">
        <v>1.0347738202027399E+19</v>
      </c>
    </row>
    <row r="888" spans="3:12">
      <c r="C888" s="29" t="b">
        <v>0</v>
      </c>
      <c r="D888" s="30" t="s">
        <v>910</v>
      </c>
      <c r="E888" s="137" t="s">
        <v>877</v>
      </c>
      <c r="F888" s="30" t="s">
        <v>68</v>
      </c>
      <c r="G888" s="30">
        <v>68</v>
      </c>
      <c r="H888" s="30">
        <v>150</v>
      </c>
      <c r="I888" s="30">
        <v>22.11</v>
      </c>
      <c r="J888" s="30" t="s">
        <v>71</v>
      </c>
      <c r="K888" s="58">
        <v>0</v>
      </c>
      <c r="L888" s="58">
        <v>1.26369913570857E+19</v>
      </c>
    </row>
    <row r="889" spans="3:12">
      <c r="C889" s="29" t="b">
        <v>0</v>
      </c>
      <c r="D889" s="30" t="s">
        <v>911</v>
      </c>
      <c r="E889" s="137" t="s">
        <v>877</v>
      </c>
      <c r="F889" s="30" t="s">
        <v>68</v>
      </c>
      <c r="G889" s="30">
        <v>77</v>
      </c>
      <c r="H889" s="30">
        <v>225</v>
      </c>
      <c r="I889" s="30">
        <v>27.71</v>
      </c>
      <c r="J889" s="30" t="s">
        <v>71</v>
      </c>
      <c r="K889" s="58">
        <v>0</v>
      </c>
      <c r="L889" s="58">
        <v>1.62781314050635E+19</v>
      </c>
    </row>
    <row r="890" spans="3:12">
      <c r="C890" s="29" t="b">
        <v>0</v>
      </c>
      <c r="D890" s="30" t="s">
        <v>912</v>
      </c>
      <c r="E890" s="137" t="s">
        <v>913</v>
      </c>
      <c r="F890" s="30" t="s">
        <v>74</v>
      </c>
      <c r="G890" s="30">
        <v>75</v>
      </c>
      <c r="H890" s="30">
        <v>220</v>
      </c>
      <c r="I890" s="30">
        <v>37.380000000000003</v>
      </c>
      <c r="J890" s="30" t="s">
        <v>74</v>
      </c>
      <c r="K890" s="58">
        <v>0</v>
      </c>
      <c r="L890" s="58">
        <v>3.9109397026435999E+18</v>
      </c>
    </row>
    <row r="891" spans="3:12">
      <c r="C891" s="29" t="b">
        <v>0</v>
      </c>
      <c r="D891" s="30" t="s">
        <v>914</v>
      </c>
      <c r="E891" s="137" t="s">
        <v>913</v>
      </c>
      <c r="F891" s="30" t="s">
        <v>74</v>
      </c>
      <c r="G891" s="30">
        <v>71</v>
      </c>
      <c r="H891" s="30">
        <v>209</v>
      </c>
      <c r="I891" s="30">
        <v>30.67</v>
      </c>
      <c r="J891" s="30" t="s">
        <v>74</v>
      </c>
      <c r="K891" s="58">
        <v>0</v>
      </c>
      <c r="L891" s="58">
        <v>1.4844282796381E+19</v>
      </c>
    </row>
    <row r="892" spans="3:12">
      <c r="C892" s="29" t="b">
        <v>0</v>
      </c>
      <c r="D892" s="30" t="s">
        <v>915</v>
      </c>
      <c r="E892" s="137" t="s">
        <v>913</v>
      </c>
      <c r="F892" s="30" t="s">
        <v>74</v>
      </c>
      <c r="G892" s="30">
        <v>72</v>
      </c>
      <c r="H892" s="30">
        <v>210</v>
      </c>
      <c r="I892" s="30">
        <v>30.48</v>
      </c>
      <c r="J892" s="30" t="s">
        <v>74</v>
      </c>
      <c r="K892" s="58">
        <v>0</v>
      </c>
      <c r="L892" s="58">
        <v>1.8164959486797901E+18</v>
      </c>
    </row>
    <row r="893" spans="3:12">
      <c r="C893" s="29" t="b">
        <v>0</v>
      </c>
      <c r="D893" s="30" t="s">
        <v>916</v>
      </c>
      <c r="E893" s="137" t="s">
        <v>913</v>
      </c>
      <c r="F893" s="30" t="s">
        <v>74</v>
      </c>
      <c r="G893" s="30">
        <v>70</v>
      </c>
      <c r="H893" s="30">
        <v>176</v>
      </c>
      <c r="I893" s="30">
        <v>27.12</v>
      </c>
      <c r="J893" s="30" t="s">
        <v>74</v>
      </c>
      <c r="K893" s="58">
        <v>0</v>
      </c>
      <c r="L893" s="58">
        <v>2.7720610767944202E+18</v>
      </c>
    </row>
    <row r="894" spans="3:12">
      <c r="C894" s="29" t="b">
        <v>0</v>
      </c>
      <c r="D894" s="30" t="s">
        <v>917</v>
      </c>
      <c r="E894" s="137" t="s">
        <v>913</v>
      </c>
      <c r="F894" s="30" t="s">
        <v>78</v>
      </c>
      <c r="G894" s="30">
        <v>72</v>
      </c>
      <c r="H894" s="30">
        <v>260</v>
      </c>
      <c r="I894" s="30">
        <v>22.81</v>
      </c>
      <c r="J894" s="30" t="s">
        <v>79</v>
      </c>
      <c r="K894" s="58">
        <v>0</v>
      </c>
      <c r="L894" s="58">
        <v>1.72917527680261E+19</v>
      </c>
    </row>
    <row r="895" spans="3:12">
      <c r="C895" s="29" t="b">
        <v>0</v>
      </c>
      <c r="D895" s="30" t="s">
        <v>918</v>
      </c>
      <c r="E895" s="137" t="s">
        <v>913</v>
      </c>
      <c r="F895" s="30" t="s">
        <v>82</v>
      </c>
      <c r="G895" s="30">
        <v>72</v>
      </c>
      <c r="H895" s="30">
        <v>195</v>
      </c>
      <c r="I895" s="30">
        <v>24.46</v>
      </c>
      <c r="J895" s="30" t="s">
        <v>79</v>
      </c>
      <c r="K895" s="58">
        <v>0</v>
      </c>
      <c r="L895" s="58">
        <v>8.9093647661694996E+18</v>
      </c>
    </row>
    <row r="896" spans="3:12">
      <c r="C896" s="29" t="b">
        <v>0</v>
      </c>
      <c r="D896" s="30" t="s">
        <v>919</v>
      </c>
      <c r="E896" s="137" t="s">
        <v>913</v>
      </c>
      <c r="F896" s="30" t="s">
        <v>82</v>
      </c>
      <c r="G896" s="30">
        <v>73</v>
      </c>
      <c r="H896" s="30">
        <v>190</v>
      </c>
      <c r="I896" s="30">
        <v>34.729999999999997</v>
      </c>
      <c r="J896" s="30" t="s">
        <v>79</v>
      </c>
      <c r="K896" s="58">
        <v>0</v>
      </c>
      <c r="L896" s="58">
        <v>8.5807455891345603E+18</v>
      </c>
    </row>
    <row r="897" spans="3:12">
      <c r="C897" s="29" t="b">
        <v>0</v>
      </c>
      <c r="D897" s="30" t="s">
        <v>920</v>
      </c>
      <c r="E897" s="137" t="s">
        <v>913</v>
      </c>
      <c r="F897" s="30" t="s">
        <v>84</v>
      </c>
      <c r="G897" s="30">
        <v>72</v>
      </c>
      <c r="H897" s="30">
        <v>184</v>
      </c>
      <c r="I897" s="30">
        <v>36.53</v>
      </c>
      <c r="J897" s="30" t="s">
        <v>79</v>
      </c>
      <c r="K897" s="58">
        <v>0</v>
      </c>
      <c r="L897" s="58">
        <v>6.4301556763933696E+18</v>
      </c>
    </row>
    <row r="898" spans="3:12">
      <c r="C898" s="29" t="b">
        <v>0</v>
      </c>
      <c r="D898" s="30" t="s">
        <v>921</v>
      </c>
      <c r="E898" s="137" t="s">
        <v>913</v>
      </c>
      <c r="F898" s="30" t="s">
        <v>84</v>
      </c>
      <c r="G898" s="30">
        <v>74</v>
      </c>
      <c r="H898" s="30">
        <v>180</v>
      </c>
      <c r="I898" s="30">
        <v>24.53</v>
      </c>
      <c r="J898" s="30" t="s">
        <v>79</v>
      </c>
      <c r="K898" s="58">
        <v>0</v>
      </c>
      <c r="L898" s="58">
        <v>1.7354889020725201E+19</v>
      </c>
    </row>
    <row r="899" spans="3:12">
      <c r="C899" s="29" t="b">
        <v>0</v>
      </c>
      <c r="D899" s="30" t="s">
        <v>922</v>
      </c>
      <c r="E899" s="137" t="s">
        <v>913</v>
      </c>
      <c r="F899" s="30" t="s">
        <v>84</v>
      </c>
      <c r="G899" s="30">
        <v>72</v>
      </c>
      <c r="H899" s="30">
        <v>195</v>
      </c>
      <c r="I899" s="30">
        <v>27.17</v>
      </c>
      <c r="J899" s="30" t="s">
        <v>79</v>
      </c>
      <c r="K899" s="58">
        <v>0</v>
      </c>
      <c r="L899" s="58">
        <v>9.0022753265290895E+18</v>
      </c>
    </row>
    <row r="900" spans="3:12">
      <c r="C900" s="29" t="b">
        <v>0</v>
      </c>
      <c r="D900" s="30" t="s">
        <v>923</v>
      </c>
      <c r="E900" s="137" t="s">
        <v>913</v>
      </c>
      <c r="F900" s="30" t="s">
        <v>86</v>
      </c>
      <c r="G900" s="30">
        <v>72</v>
      </c>
      <c r="H900" s="30">
        <v>195</v>
      </c>
      <c r="I900" s="30">
        <v>26.9</v>
      </c>
      <c r="J900" s="30" t="s">
        <v>79</v>
      </c>
      <c r="K900" s="58">
        <v>0</v>
      </c>
      <c r="L900" s="58">
        <v>7.4922198580541501E+18</v>
      </c>
    </row>
    <row r="901" spans="3:12">
      <c r="C901" s="29" t="b">
        <v>0</v>
      </c>
      <c r="D901" s="30" t="s">
        <v>924</v>
      </c>
      <c r="E901" s="137" t="s">
        <v>913</v>
      </c>
      <c r="F901" s="30" t="s">
        <v>86</v>
      </c>
      <c r="G901" s="30">
        <v>75</v>
      </c>
      <c r="H901" s="30">
        <v>219</v>
      </c>
      <c r="I901" s="30">
        <v>33.67</v>
      </c>
      <c r="J901" s="30" t="s">
        <v>79</v>
      </c>
      <c r="K901" s="58">
        <v>0</v>
      </c>
      <c r="L901" s="58">
        <v>7.8261924577787802E+18</v>
      </c>
    </row>
    <row r="902" spans="3:12">
      <c r="C902" s="29" t="b">
        <v>0</v>
      </c>
      <c r="D902" s="30" t="s">
        <v>925</v>
      </c>
      <c r="E902" s="137" t="s">
        <v>913</v>
      </c>
      <c r="F902" s="30" t="s">
        <v>89</v>
      </c>
      <c r="G902" s="30">
        <v>72</v>
      </c>
      <c r="H902" s="30">
        <v>225</v>
      </c>
      <c r="I902" s="30">
        <v>29.14</v>
      </c>
      <c r="J902" s="30" t="s">
        <v>89</v>
      </c>
      <c r="K902" s="58">
        <v>0</v>
      </c>
      <c r="L902" s="58">
        <v>6.0435425824933402E+17</v>
      </c>
    </row>
    <row r="903" spans="3:12">
      <c r="C903" s="29" t="b">
        <v>0</v>
      </c>
      <c r="D903" s="30" t="s">
        <v>926</v>
      </c>
      <c r="E903" s="137" t="s">
        <v>913</v>
      </c>
      <c r="F903" s="30" t="s">
        <v>89</v>
      </c>
      <c r="G903" s="30">
        <v>73</v>
      </c>
      <c r="H903" s="30">
        <v>212</v>
      </c>
      <c r="I903" s="30">
        <v>32.61</v>
      </c>
      <c r="J903" s="30" t="s">
        <v>89</v>
      </c>
      <c r="K903" s="58">
        <v>0</v>
      </c>
      <c r="L903" s="58">
        <v>1.2179061803933E+19</v>
      </c>
    </row>
    <row r="904" spans="3:12">
      <c r="C904" s="29" t="b">
        <v>0</v>
      </c>
      <c r="D904" s="30" t="s">
        <v>927</v>
      </c>
      <c r="E904" s="137" t="s">
        <v>913</v>
      </c>
      <c r="F904" s="30" t="s">
        <v>89</v>
      </c>
      <c r="G904" s="30">
        <v>74</v>
      </c>
      <c r="H904" s="30">
        <v>202</v>
      </c>
      <c r="I904" s="30">
        <v>33.869999999999997</v>
      </c>
      <c r="J904" s="30" t="s">
        <v>89</v>
      </c>
      <c r="K904" s="58">
        <v>0</v>
      </c>
      <c r="L904" s="58">
        <v>4.7278911253069701E+18</v>
      </c>
    </row>
    <row r="905" spans="3:12">
      <c r="C905" s="29" t="b">
        <v>0</v>
      </c>
      <c r="D905" s="30" t="s">
        <v>928</v>
      </c>
      <c r="E905" s="137" t="s">
        <v>913</v>
      </c>
      <c r="F905" s="30" t="s">
        <v>89</v>
      </c>
      <c r="G905" s="30">
        <v>72</v>
      </c>
      <c r="H905" s="30">
        <v>185</v>
      </c>
      <c r="I905" s="30">
        <v>24.41</v>
      </c>
      <c r="J905" s="30" t="s">
        <v>89</v>
      </c>
      <c r="K905" s="58">
        <v>0</v>
      </c>
      <c r="L905" s="58">
        <v>1.1371568613223999E+19</v>
      </c>
    </row>
    <row r="906" spans="3:12">
      <c r="C906" s="29" t="b">
        <v>0</v>
      </c>
      <c r="D906" s="30" t="s">
        <v>929</v>
      </c>
      <c r="E906" s="137" t="s">
        <v>913</v>
      </c>
      <c r="F906" s="30" t="s">
        <v>89</v>
      </c>
      <c r="G906" s="30">
        <v>78</v>
      </c>
      <c r="H906" s="30">
        <v>200</v>
      </c>
      <c r="I906" s="30">
        <v>24.94</v>
      </c>
      <c r="J906" s="30" t="s">
        <v>89</v>
      </c>
      <c r="K906" s="58">
        <v>0</v>
      </c>
      <c r="L906" s="58">
        <v>2.0626433126135301E+18</v>
      </c>
    </row>
    <row r="907" spans="3:12">
      <c r="C907" s="29" t="b">
        <v>0</v>
      </c>
      <c r="D907" s="30" t="s">
        <v>930</v>
      </c>
      <c r="E907" s="137" t="s">
        <v>913</v>
      </c>
      <c r="F907" s="30" t="s">
        <v>89</v>
      </c>
      <c r="G907" s="30">
        <v>75</v>
      </c>
      <c r="H907" s="30">
        <v>209</v>
      </c>
      <c r="I907" s="30">
        <v>27.36</v>
      </c>
      <c r="J907" s="30" t="s">
        <v>89</v>
      </c>
      <c r="K907" s="58">
        <v>0</v>
      </c>
      <c r="L907" s="58">
        <v>2.6061133562105298E+18</v>
      </c>
    </row>
    <row r="908" spans="3:12">
      <c r="C908" s="29" t="b">
        <v>0</v>
      </c>
      <c r="D908" s="30" t="s">
        <v>931</v>
      </c>
      <c r="E908" s="137" t="s">
        <v>913</v>
      </c>
      <c r="F908" s="30" t="s">
        <v>89</v>
      </c>
      <c r="G908" s="30">
        <v>72</v>
      </c>
      <c r="H908" s="30">
        <v>200</v>
      </c>
      <c r="I908" s="30">
        <v>26.33</v>
      </c>
      <c r="J908" s="30" t="s">
        <v>89</v>
      </c>
      <c r="K908" s="58">
        <v>0</v>
      </c>
      <c r="L908" s="58">
        <v>1.7248573086140899E+19</v>
      </c>
    </row>
    <row r="909" spans="3:12">
      <c r="C909" s="29" t="b">
        <v>0</v>
      </c>
      <c r="D909" s="30" t="s">
        <v>932</v>
      </c>
      <c r="E909" s="137" t="s">
        <v>913</v>
      </c>
      <c r="F909" s="30" t="s">
        <v>89</v>
      </c>
      <c r="G909" s="30">
        <v>74</v>
      </c>
      <c r="H909" s="30">
        <v>195</v>
      </c>
      <c r="I909" s="30">
        <v>25.72</v>
      </c>
      <c r="J909" s="30" t="s">
        <v>89</v>
      </c>
      <c r="K909" s="58">
        <v>0</v>
      </c>
      <c r="L909" s="58">
        <v>1.0904470569282501E+19</v>
      </c>
    </row>
    <row r="910" spans="3:12">
      <c r="C910" s="29" t="b">
        <v>0</v>
      </c>
      <c r="D910" s="30" t="s">
        <v>933</v>
      </c>
      <c r="E910" s="137" t="s">
        <v>913</v>
      </c>
      <c r="F910" s="30" t="s">
        <v>97</v>
      </c>
      <c r="G910" s="30">
        <v>75</v>
      </c>
      <c r="H910" s="30">
        <v>228</v>
      </c>
      <c r="I910" s="30">
        <v>28.7</v>
      </c>
      <c r="J910" s="30" t="s">
        <v>71</v>
      </c>
      <c r="K910" s="58">
        <v>0</v>
      </c>
      <c r="L910" s="58">
        <v>9.8878476191975895E+18</v>
      </c>
    </row>
    <row r="911" spans="3:12">
      <c r="C911" s="29" t="b">
        <v>0</v>
      </c>
      <c r="D911" s="30" t="s">
        <v>934</v>
      </c>
      <c r="E911" s="137" t="s">
        <v>913</v>
      </c>
      <c r="F911" s="30" t="s">
        <v>97</v>
      </c>
      <c r="G911" s="30">
        <v>75</v>
      </c>
      <c r="H911" s="30">
        <v>210</v>
      </c>
      <c r="I911" s="30">
        <v>28.53</v>
      </c>
      <c r="J911" s="30" t="s">
        <v>71</v>
      </c>
      <c r="K911" s="58">
        <v>0</v>
      </c>
      <c r="L911" s="58">
        <v>1.1685842124660099E+19</v>
      </c>
    </row>
    <row r="912" spans="3:12">
      <c r="C912" s="29" t="b">
        <v>0</v>
      </c>
      <c r="D912" s="30" t="s">
        <v>935</v>
      </c>
      <c r="E912" s="137" t="s">
        <v>913</v>
      </c>
      <c r="F912" s="30" t="s">
        <v>97</v>
      </c>
      <c r="G912" s="30">
        <v>76</v>
      </c>
      <c r="H912" s="30">
        <v>190</v>
      </c>
      <c r="I912" s="30">
        <v>26.07</v>
      </c>
      <c r="J912" s="30" t="s">
        <v>71</v>
      </c>
      <c r="K912" s="58">
        <v>0</v>
      </c>
      <c r="L912" s="58">
        <v>2.3278398192143498E+18</v>
      </c>
    </row>
    <row r="913" spans="3:12">
      <c r="C913" s="29" t="b">
        <v>0</v>
      </c>
      <c r="D913" s="30" t="s">
        <v>936</v>
      </c>
      <c r="E913" s="137" t="s">
        <v>913</v>
      </c>
      <c r="F913" s="30" t="s">
        <v>97</v>
      </c>
      <c r="G913" s="30">
        <v>74</v>
      </c>
      <c r="H913" s="30">
        <v>212</v>
      </c>
      <c r="I913" s="30">
        <v>27.31</v>
      </c>
      <c r="J913" s="30" t="s">
        <v>71</v>
      </c>
      <c r="K913" s="58">
        <v>0</v>
      </c>
      <c r="L913" s="58">
        <v>1.3683522762778599E+19</v>
      </c>
    </row>
    <row r="914" spans="3:12">
      <c r="C914" s="29" t="b">
        <v>0</v>
      </c>
      <c r="D914" s="30" t="s">
        <v>937</v>
      </c>
      <c r="E914" s="137" t="s">
        <v>913</v>
      </c>
      <c r="F914" s="30" t="s">
        <v>97</v>
      </c>
      <c r="G914" s="30">
        <v>74</v>
      </c>
      <c r="H914" s="30">
        <v>190</v>
      </c>
      <c r="I914" s="30">
        <v>23.26</v>
      </c>
      <c r="J914" s="30" t="s">
        <v>71</v>
      </c>
      <c r="K914" s="58">
        <v>0</v>
      </c>
      <c r="L914" s="58">
        <v>1.67500575892545E+19</v>
      </c>
    </row>
    <row r="915" spans="3:12">
      <c r="C915" s="29" t="b">
        <v>0</v>
      </c>
      <c r="D915" s="30" t="s">
        <v>938</v>
      </c>
      <c r="E915" s="137" t="s">
        <v>913</v>
      </c>
      <c r="F915" s="30" t="s">
        <v>97</v>
      </c>
      <c r="G915" s="30">
        <v>73</v>
      </c>
      <c r="H915" s="30">
        <v>218</v>
      </c>
      <c r="I915" s="30">
        <v>28.62</v>
      </c>
      <c r="J915" s="30" t="s">
        <v>71</v>
      </c>
      <c r="K915" s="58">
        <v>0</v>
      </c>
      <c r="L915" s="58">
        <v>2.6927874868994202E+18</v>
      </c>
    </row>
    <row r="916" spans="3:12">
      <c r="C916" s="29" t="b">
        <v>0</v>
      </c>
      <c r="D916" s="30" t="s">
        <v>939</v>
      </c>
      <c r="E916" s="137" t="s">
        <v>913</v>
      </c>
      <c r="F916" s="30" t="s">
        <v>97</v>
      </c>
      <c r="G916" s="30">
        <v>74</v>
      </c>
      <c r="H916" s="30">
        <v>220</v>
      </c>
      <c r="I916" s="30">
        <v>32.159999999999997</v>
      </c>
      <c r="J916" s="30" t="s">
        <v>71</v>
      </c>
      <c r="K916" s="58">
        <v>0</v>
      </c>
      <c r="L916" s="58">
        <v>1.18606486920257E+19</v>
      </c>
    </row>
    <row r="917" spans="3:12">
      <c r="C917" s="29" t="b">
        <v>0</v>
      </c>
      <c r="D917" s="30" t="s">
        <v>940</v>
      </c>
      <c r="E917" s="137" t="s">
        <v>913</v>
      </c>
      <c r="F917" s="30" t="s">
        <v>68</v>
      </c>
      <c r="G917" s="30">
        <v>71</v>
      </c>
      <c r="H917" s="30">
        <v>190</v>
      </c>
      <c r="I917" s="30">
        <v>38.43</v>
      </c>
      <c r="J917" s="30" t="s">
        <v>71</v>
      </c>
      <c r="K917" s="58">
        <v>0</v>
      </c>
      <c r="L917" s="58">
        <v>1.72330772836823E+19</v>
      </c>
    </row>
    <row r="918" spans="3:12">
      <c r="C918" s="29" t="b">
        <v>0</v>
      </c>
      <c r="D918" s="30" t="s">
        <v>941</v>
      </c>
      <c r="E918" s="137" t="s">
        <v>913</v>
      </c>
      <c r="F918" s="30" t="s">
        <v>68</v>
      </c>
      <c r="G918" s="30">
        <v>74</v>
      </c>
      <c r="H918" s="30">
        <v>235</v>
      </c>
      <c r="I918" s="30">
        <v>31.81</v>
      </c>
      <c r="J918" s="30" t="s">
        <v>71</v>
      </c>
      <c r="K918" s="58">
        <v>0</v>
      </c>
      <c r="L918" s="58">
        <v>1.3961621416825E+19</v>
      </c>
    </row>
    <row r="919" spans="3:12">
      <c r="C919" s="29" t="b">
        <v>0</v>
      </c>
      <c r="D919" s="30" t="s">
        <v>942</v>
      </c>
      <c r="E919" s="137" t="s">
        <v>913</v>
      </c>
      <c r="F919" s="30" t="s">
        <v>68</v>
      </c>
      <c r="G919" s="30">
        <v>75</v>
      </c>
      <c r="H919" s="30">
        <v>210</v>
      </c>
      <c r="I919" s="30">
        <v>29.1</v>
      </c>
      <c r="J919" s="30" t="s">
        <v>71</v>
      </c>
      <c r="K919" s="58">
        <v>0</v>
      </c>
      <c r="L919" s="58">
        <v>5.8656078575413699E+18</v>
      </c>
    </row>
    <row r="920" spans="3:12">
      <c r="C920" s="29" t="b">
        <v>0</v>
      </c>
      <c r="D920" s="30" t="s">
        <v>943</v>
      </c>
      <c r="E920" s="137" t="s">
        <v>913</v>
      </c>
      <c r="F920" s="30" t="s">
        <v>68</v>
      </c>
      <c r="G920" s="30">
        <v>76</v>
      </c>
      <c r="H920" s="30">
        <v>200</v>
      </c>
      <c r="I920" s="30">
        <v>31.28</v>
      </c>
      <c r="J920" s="30" t="s">
        <v>71</v>
      </c>
      <c r="K920" s="58">
        <v>0</v>
      </c>
      <c r="L920" s="58">
        <v>1.6266575522108801E+19</v>
      </c>
    </row>
    <row r="921" spans="3:12">
      <c r="C921" s="29" t="b">
        <v>0</v>
      </c>
      <c r="D921" s="30" t="s">
        <v>944</v>
      </c>
      <c r="E921" s="137" t="s">
        <v>913</v>
      </c>
      <c r="F921" s="30" t="s">
        <v>68</v>
      </c>
      <c r="G921" s="30">
        <v>74</v>
      </c>
      <c r="H921" s="30">
        <v>188</v>
      </c>
      <c r="I921" s="30">
        <v>29.17</v>
      </c>
      <c r="J921" s="30" t="s">
        <v>71</v>
      </c>
      <c r="K921" s="58">
        <v>0</v>
      </c>
      <c r="L921" s="58">
        <v>5.1629078604095304E+18</v>
      </c>
    </row>
    <row r="922" spans="3:12">
      <c r="C922" s="29" t="b">
        <v>0</v>
      </c>
      <c r="D922" s="30" t="s">
        <v>945</v>
      </c>
      <c r="E922" s="137" t="s">
        <v>913</v>
      </c>
      <c r="F922" s="30" t="s">
        <v>68</v>
      </c>
      <c r="G922" s="30">
        <v>76</v>
      </c>
      <c r="H922" s="30">
        <v>210</v>
      </c>
      <c r="I922" s="30">
        <v>25.89</v>
      </c>
      <c r="J922" s="30" t="s">
        <v>71</v>
      </c>
      <c r="K922" s="58">
        <v>0</v>
      </c>
      <c r="L922" s="58">
        <v>5.9947963910838702E+18</v>
      </c>
    </row>
    <row r="923" spans="3:12">
      <c r="C923" s="29" t="b">
        <v>0</v>
      </c>
      <c r="D923" s="30" t="s">
        <v>946</v>
      </c>
      <c r="E923" s="137" t="s">
        <v>913</v>
      </c>
      <c r="F923" s="30" t="s">
        <v>68</v>
      </c>
      <c r="G923" s="30">
        <v>76</v>
      </c>
      <c r="H923" s="30">
        <v>235</v>
      </c>
      <c r="I923" s="30">
        <v>26.13</v>
      </c>
      <c r="J923" s="30" t="s">
        <v>71</v>
      </c>
      <c r="K923" s="58">
        <v>0</v>
      </c>
      <c r="L923" s="58">
        <v>9.39597394808944E+17</v>
      </c>
    </row>
    <row r="924" spans="3:12">
      <c r="C924" s="29" t="b">
        <v>0</v>
      </c>
      <c r="D924" s="30" t="s">
        <v>947</v>
      </c>
      <c r="E924" s="137" t="s">
        <v>913</v>
      </c>
      <c r="F924" s="30" t="s">
        <v>68</v>
      </c>
      <c r="G924" s="30">
        <v>73</v>
      </c>
      <c r="H924" s="30">
        <v>188</v>
      </c>
      <c r="I924" s="30">
        <v>29.13</v>
      </c>
      <c r="J924" s="30" t="s">
        <v>71</v>
      </c>
      <c r="K924" s="58">
        <v>0</v>
      </c>
      <c r="L924" s="58">
        <v>5.16439389826136E+17</v>
      </c>
    </row>
    <row r="925" spans="3:12">
      <c r="C925" s="29" t="b">
        <v>0</v>
      </c>
      <c r="D925" s="30" t="s">
        <v>948</v>
      </c>
      <c r="E925" s="137" t="s">
        <v>949</v>
      </c>
      <c r="F925" s="30" t="s">
        <v>74</v>
      </c>
      <c r="G925" s="30">
        <v>75</v>
      </c>
      <c r="H925" s="30">
        <v>215</v>
      </c>
      <c r="I925" s="30">
        <v>28.92</v>
      </c>
      <c r="J925" s="30" t="s">
        <v>74</v>
      </c>
      <c r="K925" s="58">
        <v>0</v>
      </c>
      <c r="L925" s="58">
        <v>1.38759207185698E+19</v>
      </c>
    </row>
    <row r="926" spans="3:12">
      <c r="C926" s="29" t="b">
        <v>0</v>
      </c>
      <c r="D926" s="30" t="s">
        <v>950</v>
      </c>
      <c r="E926" s="137" t="s">
        <v>949</v>
      </c>
      <c r="F926" s="30" t="s">
        <v>74</v>
      </c>
      <c r="G926" s="30">
        <v>75</v>
      </c>
      <c r="H926" s="30">
        <v>216</v>
      </c>
      <c r="I926" s="30">
        <v>26.01</v>
      </c>
      <c r="J926" s="30" t="s">
        <v>74</v>
      </c>
      <c r="K926" s="58">
        <v>0</v>
      </c>
      <c r="L926" s="58">
        <v>1.4501606875041401E+19</v>
      </c>
    </row>
    <row r="927" spans="3:12">
      <c r="C927" s="29" t="b">
        <v>0</v>
      </c>
      <c r="D927" s="30" t="s">
        <v>951</v>
      </c>
      <c r="E927" s="137" t="s">
        <v>949</v>
      </c>
      <c r="F927" s="30" t="s">
        <v>78</v>
      </c>
      <c r="G927" s="30">
        <v>74</v>
      </c>
      <c r="H927" s="30">
        <v>220</v>
      </c>
      <c r="I927" s="30">
        <v>24.81</v>
      </c>
      <c r="J927" s="30" t="s">
        <v>79</v>
      </c>
      <c r="K927" s="58">
        <v>0</v>
      </c>
      <c r="L927" s="58">
        <v>4.6918028822782505E+18</v>
      </c>
    </row>
    <row r="928" spans="3:12">
      <c r="C928" s="29" t="b">
        <v>0</v>
      </c>
      <c r="D928" s="30" t="s">
        <v>952</v>
      </c>
      <c r="E928" s="137" t="s">
        <v>949</v>
      </c>
      <c r="F928" s="30" t="s">
        <v>82</v>
      </c>
      <c r="G928" s="30">
        <v>68</v>
      </c>
      <c r="H928" s="30">
        <v>180</v>
      </c>
      <c r="I928" s="30">
        <v>28.79</v>
      </c>
      <c r="J928" s="30" t="s">
        <v>79</v>
      </c>
      <c r="K928" s="58">
        <v>0</v>
      </c>
      <c r="L928" s="58">
        <v>3.2154577636070702E+18</v>
      </c>
    </row>
    <row r="929" spans="3:12">
      <c r="C929" s="29" t="b">
        <v>0</v>
      </c>
      <c r="D929" s="30" t="s">
        <v>953</v>
      </c>
      <c r="E929" s="137" t="s">
        <v>949</v>
      </c>
      <c r="F929" s="30" t="s">
        <v>82</v>
      </c>
      <c r="G929" s="30">
        <v>72</v>
      </c>
      <c r="H929" s="30">
        <v>185</v>
      </c>
      <c r="I929" s="30">
        <v>33.770000000000003</v>
      </c>
      <c r="J929" s="30" t="s">
        <v>79</v>
      </c>
      <c r="K929" s="58">
        <v>0</v>
      </c>
      <c r="L929" s="58">
        <v>1.6883011388683301E+19</v>
      </c>
    </row>
    <row r="930" spans="3:12">
      <c r="C930" s="29" t="b">
        <v>0</v>
      </c>
      <c r="D930" s="30" t="s">
        <v>954</v>
      </c>
      <c r="E930" s="137" t="s">
        <v>949</v>
      </c>
      <c r="F930" s="30" t="s">
        <v>84</v>
      </c>
      <c r="G930" s="30">
        <v>75</v>
      </c>
      <c r="H930" s="30">
        <v>200</v>
      </c>
      <c r="I930" s="30">
        <v>33.85</v>
      </c>
      <c r="J930" s="30" t="s">
        <v>79</v>
      </c>
      <c r="K930" s="58">
        <v>0</v>
      </c>
      <c r="L930" s="58">
        <v>1.536106390479E+19</v>
      </c>
    </row>
    <row r="931" spans="3:12">
      <c r="C931" s="29" t="b">
        <v>0</v>
      </c>
      <c r="D931" s="30" t="s">
        <v>955</v>
      </c>
      <c r="E931" s="137" t="s">
        <v>949</v>
      </c>
      <c r="F931" s="30" t="s">
        <v>84</v>
      </c>
      <c r="G931" s="30">
        <v>71</v>
      </c>
      <c r="H931" s="30">
        <v>210</v>
      </c>
      <c r="I931" s="30">
        <v>27.36</v>
      </c>
      <c r="J931" s="30" t="s">
        <v>79</v>
      </c>
      <c r="K931" s="58">
        <v>0</v>
      </c>
      <c r="L931" s="58">
        <v>1.5277967022027201E+19</v>
      </c>
    </row>
    <row r="932" spans="3:12">
      <c r="C932" s="29" t="b">
        <v>0</v>
      </c>
      <c r="D932" s="30" t="s">
        <v>956</v>
      </c>
      <c r="E932" s="137" t="s">
        <v>949</v>
      </c>
      <c r="F932" s="30" t="s">
        <v>89</v>
      </c>
      <c r="G932" s="30">
        <v>70</v>
      </c>
      <c r="H932" s="30">
        <v>220</v>
      </c>
      <c r="I932" s="30">
        <v>26.01</v>
      </c>
      <c r="J932" s="30" t="s">
        <v>89</v>
      </c>
      <c r="K932" s="58">
        <v>0</v>
      </c>
      <c r="L932" s="58">
        <v>8.6457672074643702E+18</v>
      </c>
    </row>
    <row r="933" spans="3:12">
      <c r="C933" s="29" t="b">
        <v>0</v>
      </c>
      <c r="D933" s="30" t="s">
        <v>957</v>
      </c>
      <c r="E933" s="137" t="s">
        <v>949</v>
      </c>
      <c r="F933" s="30" t="s">
        <v>89</v>
      </c>
      <c r="G933" s="30">
        <v>72</v>
      </c>
      <c r="H933" s="30">
        <v>185</v>
      </c>
      <c r="I933" s="30">
        <v>29.95</v>
      </c>
      <c r="J933" s="30" t="s">
        <v>89</v>
      </c>
      <c r="K933" s="58">
        <v>0</v>
      </c>
      <c r="L933" s="58">
        <v>1.77993537816343E+19</v>
      </c>
    </row>
    <row r="934" spans="3:12">
      <c r="C934" s="29" t="b">
        <v>0</v>
      </c>
      <c r="D934" s="30" t="s">
        <v>958</v>
      </c>
      <c r="E934" s="137" t="s">
        <v>949</v>
      </c>
      <c r="F934" s="30" t="s">
        <v>89</v>
      </c>
      <c r="G934" s="30">
        <v>73</v>
      </c>
      <c r="H934" s="30">
        <v>231</v>
      </c>
      <c r="I934" s="30">
        <v>28.12</v>
      </c>
      <c r="J934" s="30" t="s">
        <v>89</v>
      </c>
      <c r="K934" s="58">
        <v>0</v>
      </c>
      <c r="L934" s="58">
        <v>1.4773026993457101E+19</v>
      </c>
    </row>
    <row r="935" spans="3:12">
      <c r="C935" s="29" t="b">
        <v>0</v>
      </c>
      <c r="D935" s="30" t="s">
        <v>959</v>
      </c>
      <c r="E935" s="137" t="s">
        <v>949</v>
      </c>
      <c r="F935" s="30" t="s">
        <v>89</v>
      </c>
      <c r="G935" s="30">
        <v>72</v>
      </c>
      <c r="H935" s="30">
        <v>210</v>
      </c>
      <c r="I935" s="30">
        <v>32.869999999999997</v>
      </c>
      <c r="J935" s="30" t="s">
        <v>89</v>
      </c>
      <c r="K935" s="58">
        <v>0</v>
      </c>
      <c r="L935" s="58">
        <v>1.0819929840383799E+19</v>
      </c>
    </row>
    <row r="936" spans="3:12">
      <c r="C936" s="29" t="b">
        <v>0</v>
      </c>
      <c r="D936" s="30" t="s">
        <v>960</v>
      </c>
      <c r="E936" s="137" t="s">
        <v>949</v>
      </c>
      <c r="F936" s="30" t="s">
        <v>89</v>
      </c>
      <c r="G936" s="30">
        <v>75</v>
      </c>
      <c r="H936" s="30">
        <v>195</v>
      </c>
      <c r="I936" s="30">
        <v>31.2</v>
      </c>
      <c r="J936" s="30" t="s">
        <v>89</v>
      </c>
      <c r="K936" s="58">
        <v>0</v>
      </c>
      <c r="L936" s="58">
        <v>6.6725352680000696E+18</v>
      </c>
    </row>
    <row r="937" spans="3:12">
      <c r="C937" s="29" t="b">
        <v>0</v>
      </c>
      <c r="D937" s="30" t="s">
        <v>961</v>
      </c>
      <c r="E937" s="137" t="s">
        <v>949</v>
      </c>
      <c r="F937" s="30" t="s">
        <v>89</v>
      </c>
      <c r="G937" s="30">
        <v>74</v>
      </c>
      <c r="H937" s="30">
        <v>200</v>
      </c>
      <c r="I937" s="30">
        <v>34.14</v>
      </c>
      <c r="J937" s="30" t="s">
        <v>89</v>
      </c>
      <c r="K937" s="58">
        <v>0</v>
      </c>
      <c r="L937" s="58">
        <v>6.68489926094568E+16</v>
      </c>
    </row>
    <row r="938" spans="3:12">
      <c r="C938" s="29" t="b">
        <v>0</v>
      </c>
      <c r="D938" s="30" t="s">
        <v>962</v>
      </c>
      <c r="E938" s="137" t="s">
        <v>949</v>
      </c>
      <c r="F938" s="30" t="s">
        <v>89</v>
      </c>
      <c r="G938" s="30">
        <v>70</v>
      </c>
      <c r="H938" s="30">
        <v>205</v>
      </c>
      <c r="I938" s="30">
        <v>36.11</v>
      </c>
      <c r="J938" s="30" t="s">
        <v>89</v>
      </c>
      <c r="K938" s="58">
        <v>0</v>
      </c>
      <c r="L938" s="58">
        <v>1.80752703442851E+19</v>
      </c>
    </row>
    <row r="939" spans="3:12">
      <c r="C939" s="29" t="b">
        <v>0</v>
      </c>
      <c r="D939" s="30" t="s">
        <v>963</v>
      </c>
      <c r="E939" s="137" t="s">
        <v>949</v>
      </c>
      <c r="F939" s="30" t="s">
        <v>97</v>
      </c>
      <c r="G939" s="30">
        <v>76</v>
      </c>
      <c r="H939" s="30">
        <v>200</v>
      </c>
      <c r="I939" s="30">
        <v>26.31</v>
      </c>
      <c r="J939" s="30" t="s">
        <v>71</v>
      </c>
      <c r="K939" s="58">
        <v>0</v>
      </c>
      <c r="L939" s="58">
        <v>2.6174498075025603E+18</v>
      </c>
    </row>
    <row r="940" spans="3:12">
      <c r="C940" s="29" t="b">
        <v>0</v>
      </c>
      <c r="D940" s="30" t="s">
        <v>964</v>
      </c>
      <c r="E940" s="137" t="s">
        <v>949</v>
      </c>
      <c r="F940" s="30" t="s">
        <v>97</v>
      </c>
      <c r="G940" s="30">
        <v>71</v>
      </c>
      <c r="H940" s="30">
        <v>190</v>
      </c>
      <c r="I940" s="30">
        <v>27.5</v>
      </c>
      <c r="J940" s="30" t="s">
        <v>71</v>
      </c>
      <c r="K940" s="58">
        <v>0</v>
      </c>
      <c r="L940" s="58">
        <v>1.6371413399840399E+19</v>
      </c>
    </row>
    <row r="941" spans="3:12">
      <c r="C941" s="29" t="b">
        <v>0</v>
      </c>
      <c r="D941" s="30" t="s">
        <v>66</v>
      </c>
      <c r="E941" s="137" t="s">
        <v>949</v>
      </c>
      <c r="F941" s="30" t="s">
        <v>97</v>
      </c>
      <c r="G941" s="30">
        <v>82</v>
      </c>
      <c r="H941" s="30">
        <v>250</v>
      </c>
      <c r="I941" s="30">
        <v>27.77</v>
      </c>
      <c r="J941" s="30" t="s">
        <v>71</v>
      </c>
      <c r="K941" s="58">
        <v>0</v>
      </c>
      <c r="L941" s="58">
        <v>1.40591552670197E+19</v>
      </c>
    </row>
    <row r="942" spans="3:12">
      <c r="C942" s="29" t="b">
        <v>0</v>
      </c>
      <c r="D942" s="30" t="s">
        <v>965</v>
      </c>
      <c r="E942" s="137" t="s">
        <v>949</v>
      </c>
      <c r="F942" s="30" t="s">
        <v>97</v>
      </c>
      <c r="G942" s="30">
        <v>72</v>
      </c>
      <c r="H942" s="30">
        <v>185</v>
      </c>
      <c r="I942" s="30">
        <v>40.880000000000003</v>
      </c>
      <c r="J942" s="30" t="s">
        <v>71</v>
      </c>
      <c r="K942" s="58">
        <v>0</v>
      </c>
      <c r="L942" s="58">
        <v>7.4671352852369203E+18</v>
      </c>
    </row>
    <row r="943" spans="3:12">
      <c r="C943" s="29" t="b">
        <v>0</v>
      </c>
      <c r="D943" s="30" t="s">
        <v>966</v>
      </c>
      <c r="E943" s="137" t="s">
        <v>949</v>
      </c>
      <c r="F943" s="30" t="s">
        <v>97</v>
      </c>
      <c r="G943" s="30">
        <v>73</v>
      </c>
      <c r="H943" s="30">
        <v>180</v>
      </c>
      <c r="I943" s="30">
        <v>25.75</v>
      </c>
      <c r="J943" s="30" t="s">
        <v>71</v>
      </c>
      <c r="K943" s="58">
        <v>0</v>
      </c>
      <c r="L943" s="58">
        <v>1.7836556013729599E+19</v>
      </c>
    </row>
    <row r="944" spans="3:12">
      <c r="C944" s="29" t="b">
        <v>0</v>
      </c>
      <c r="D944" s="30" t="s">
        <v>967</v>
      </c>
      <c r="E944" s="137" t="s">
        <v>949</v>
      </c>
      <c r="F944" s="30" t="s">
        <v>68</v>
      </c>
      <c r="G944" s="30">
        <v>74</v>
      </c>
      <c r="H944" s="30">
        <v>170</v>
      </c>
      <c r="I944" s="30">
        <v>31.41</v>
      </c>
      <c r="J944" s="30" t="s">
        <v>71</v>
      </c>
      <c r="K944" s="58">
        <v>0</v>
      </c>
      <c r="L944" s="58">
        <v>4.1411822961037798E+18</v>
      </c>
    </row>
    <row r="945" spans="3:12">
      <c r="C945" s="29" t="b">
        <v>0</v>
      </c>
      <c r="D945" s="30" t="s">
        <v>968</v>
      </c>
      <c r="E945" s="137" t="s">
        <v>949</v>
      </c>
      <c r="F945" s="30" t="s">
        <v>68</v>
      </c>
      <c r="G945" s="30">
        <v>71</v>
      </c>
      <c r="H945" s="30">
        <v>180</v>
      </c>
      <c r="I945" s="30">
        <v>30.84</v>
      </c>
      <c r="J945" s="30" t="s">
        <v>71</v>
      </c>
      <c r="K945" s="58">
        <v>0</v>
      </c>
      <c r="L945" s="58">
        <v>9.3327311290119209E+18</v>
      </c>
    </row>
    <row r="946" spans="3:12">
      <c r="C946" s="29" t="b">
        <v>0</v>
      </c>
      <c r="D946" s="30" t="s">
        <v>969</v>
      </c>
      <c r="E946" s="137" t="s">
        <v>949</v>
      </c>
      <c r="F946" s="30" t="s">
        <v>68</v>
      </c>
      <c r="G946" s="30">
        <v>75</v>
      </c>
      <c r="H946" s="30">
        <v>208</v>
      </c>
      <c r="I946" s="30">
        <v>30.57</v>
      </c>
      <c r="J946" s="30" t="s">
        <v>71</v>
      </c>
      <c r="K946" s="58">
        <v>0</v>
      </c>
      <c r="L946" s="58">
        <v>1.43828080709749E+19</v>
      </c>
    </row>
    <row r="947" spans="3:12">
      <c r="C947" s="29" t="b">
        <v>0</v>
      </c>
      <c r="D947" s="30" t="s">
        <v>970</v>
      </c>
      <c r="E947" s="137" t="s">
        <v>949</v>
      </c>
      <c r="F947" s="30" t="s">
        <v>68</v>
      </c>
      <c r="G947" s="30">
        <v>77</v>
      </c>
      <c r="H947" s="30">
        <v>235</v>
      </c>
      <c r="I947" s="30">
        <v>39.79</v>
      </c>
      <c r="J947" s="30" t="s">
        <v>71</v>
      </c>
      <c r="K947" s="58">
        <v>0</v>
      </c>
      <c r="L947" s="58">
        <v>4.8948005548233196E+18</v>
      </c>
    </row>
    <row r="948" spans="3:12">
      <c r="C948" s="29" t="b">
        <v>0</v>
      </c>
      <c r="D948" s="30" t="s">
        <v>971</v>
      </c>
      <c r="E948" s="137" t="s">
        <v>949</v>
      </c>
      <c r="F948" s="30" t="s">
        <v>68</v>
      </c>
      <c r="G948" s="30">
        <v>72</v>
      </c>
      <c r="H948" s="30">
        <v>215</v>
      </c>
      <c r="I948" s="30">
        <v>39.380000000000003</v>
      </c>
      <c r="J948" s="30" t="s">
        <v>71</v>
      </c>
      <c r="K948" s="58">
        <v>0</v>
      </c>
      <c r="L948" s="58">
        <v>4.2165574750631398E+18</v>
      </c>
    </row>
    <row r="949" spans="3:12">
      <c r="C949" s="29" t="b">
        <v>0</v>
      </c>
      <c r="D949" s="30" t="s">
        <v>972</v>
      </c>
      <c r="E949" s="137" t="s">
        <v>949</v>
      </c>
      <c r="F949" s="30" t="s">
        <v>68</v>
      </c>
      <c r="G949" s="30">
        <v>74</v>
      </c>
      <c r="H949" s="30">
        <v>244</v>
      </c>
      <c r="I949" s="30">
        <v>29.42</v>
      </c>
      <c r="J949" s="30" t="s">
        <v>71</v>
      </c>
      <c r="K949" s="58">
        <v>0</v>
      </c>
      <c r="L949" s="58">
        <v>3.86470472565837E+18</v>
      </c>
    </row>
    <row r="950" spans="3:12">
      <c r="C950" s="29" t="b">
        <v>0</v>
      </c>
      <c r="D950" s="30" t="s">
        <v>973</v>
      </c>
      <c r="E950" s="137" t="s">
        <v>949</v>
      </c>
      <c r="F950" s="30" t="s">
        <v>68</v>
      </c>
      <c r="G950" s="30">
        <v>72</v>
      </c>
      <c r="H950" s="30">
        <v>220</v>
      </c>
      <c r="I950" s="30">
        <v>26.19</v>
      </c>
      <c r="J950" s="30" t="s">
        <v>71</v>
      </c>
      <c r="K950" s="58">
        <v>0</v>
      </c>
      <c r="L950" s="58">
        <v>1.4343596435804799E+19</v>
      </c>
    </row>
    <row r="951" spans="3:12">
      <c r="C951" s="29" t="b">
        <v>0</v>
      </c>
      <c r="D951" s="30" t="s">
        <v>974</v>
      </c>
      <c r="E951" s="137" t="s">
        <v>949</v>
      </c>
      <c r="F951" s="30" t="s">
        <v>68</v>
      </c>
      <c r="G951" s="30">
        <v>73</v>
      </c>
      <c r="H951" s="30">
        <v>185</v>
      </c>
      <c r="I951" s="30">
        <v>23.74</v>
      </c>
      <c r="J951" s="30" t="s">
        <v>71</v>
      </c>
      <c r="K951" s="58">
        <v>0</v>
      </c>
      <c r="L951" s="58">
        <v>1.0045129771019901E+19</v>
      </c>
    </row>
    <row r="952" spans="3:12">
      <c r="C952" s="29" t="b">
        <v>0</v>
      </c>
      <c r="D952" s="30" t="s">
        <v>975</v>
      </c>
      <c r="E952" s="137" t="s">
        <v>949</v>
      </c>
      <c r="F952" s="30" t="s">
        <v>68</v>
      </c>
      <c r="G952" s="30">
        <v>78</v>
      </c>
      <c r="H952" s="30">
        <v>230</v>
      </c>
      <c r="I952" s="30">
        <v>26.03</v>
      </c>
      <c r="J952" s="30" t="s">
        <v>71</v>
      </c>
      <c r="K952" s="58">
        <v>0</v>
      </c>
      <c r="L952" s="58">
        <v>1.5332332433648001E+19</v>
      </c>
    </row>
    <row r="953" spans="3:12">
      <c r="C953" s="29" t="b">
        <v>0</v>
      </c>
      <c r="D953" s="30" t="s">
        <v>976</v>
      </c>
      <c r="E953" s="137" t="s">
        <v>949</v>
      </c>
      <c r="F953" s="30" t="s">
        <v>68</v>
      </c>
      <c r="G953" s="30">
        <v>77</v>
      </c>
      <c r="H953" s="30">
        <v>190</v>
      </c>
      <c r="I953" s="30">
        <v>28.59</v>
      </c>
      <c r="J953" s="30" t="s">
        <v>71</v>
      </c>
      <c r="K953" s="58">
        <v>0</v>
      </c>
      <c r="L953" s="58">
        <v>1.4070376879524999E+19</v>
      </c>
    </row>
    <row r="954" spans="3:12">
      <c r="C954" s="29" t="b">
        <v>0</v>
      </c>
      <c r="D954" s="30" t="s">
        <v>977</v>
      </c>
      <c r="E954" s="137" t="s">
        <v>949</v>
      </c>
      <c r="F954" s="30" t="s">
        <v>68</v>
      </c>
      <c r="G954" s="30">
        <v>73</v>
      </c>
      <c r="H954" s="30">
        <v>200</v>
      </c>
      <c r="I954" s="30">
        <v>26.77</v>
      </c>
      <c r="J954" s="30" t="s">
        <v>71</v>
      </c>
      <c r="K954" s="58">
        <v>0</v>
      </c>
      <c r="L954" s="58">
        <v>1.4841626051620499E+19</v>
      </c>
    </row>
    <row r="955" spans="3:12">
      <c r="C955" s="29" t="b">
        <v>0</v>
      </c>
      <c r="D955" s="30" t="s">
        <v>978</v>
      </c>
      <c r="E955" s="137" t="s">
        <v>949</v>
      </c>
      <c r="F955" s="30" t="s">
        <v>68</v>
      </c>
      <c r="G955" s="30">
        <v>73</v>
      </c>
      <c r="H955" s="30">
        <v>180</v>
      </c>
      <c r="I955" s="30">
        <v>27.21</v>
      </c>
      <c r="J955" s="30" t="s">
        <v>71</v>
      </c>
      <c r="K955" s="58">
        <v>0</v>
      </c>
      <c r="L955" s="58">
        <v>1.3567003168131899E+19</v>
      </c>
    </row>
    <row r="956" spans="3:12">
      <c r="C956" s="29" t="b">
        <v>0</v>
      </c>
      <c r="D956" s="30" t="s">
        <v>979</v>
      </c>
      <c r="E956" s="137" t="s">
        <v>949</v>
      </c>
      <c r="F956" s="30" t="s">
        <v>68</v>
      </c>
      <c r="G956" s="30">
        <v>73</v>
      </c>
      <c r="H956" s="30">
        <v>190</v>
      </c>
      <c r="I956" s="30">
        <v>24.87</v>
      </c>
      <c r="J956" s="30" t="s">
        <v>71</v>
      </c>
      <c r="K956" s="58">
        <v>0</v>
      </c>
      <c r="L956" s="58">
        <v>1.34556218524118E+19</v>
      </c>
    </row>
    <row r="957" spans="3:12">
      <c r="C957" s="29" t="b">
        <v>0</v>
      </c>
      <c r="D957" s="30" t="s">
        <v>980</v>
      </c>
      <c r="E957" s="137" t="s">
        <v>981</v>
      </c>
      <c r="F957" s="30" t="s">
        <v>74</v>
      </c>
      <c r="G957" s="30">
        <v>73</v>
      </c>
      <c r="H957" s="30">
        <v>196</v>
      </c>
      <c r="I957" s="30">
        <v>30.26</v>
      </c>
      <c r="J957" s="30" t="s">
        <v>74</v>
      </c>
      <c r="K957" s="58">
        <v>0</v>
      </c>
      <c r="L957" s="58">
        <v>3.7922518999606999E+18</v>
      </c>
    </row>
    <row r="958" spans="3:12">
      <c r="C958" s="29" t="b">
        <v>0</v>
      </c>
      <c r="D958" s="30" t="s">
        <v>982</v>
      </c>
      <c r="E958" s="137" t="s">
        <v>981</v>
      </c>
      <c r="F958" s="30" t="s">
        <v>74</v>
      </c>
      <c r="G958" s="30">
        <v>73</v>
      </c>
      <c r="H958" s="30">
        <v>180</v>
      </c>
      <c r="I958" s="30">
        <v>22.34</v>
      </c>
      <c r="J958" s="30" t="s">
        <v>74</v>
      </c>
      <c r="K958" s="58">
        <v>0</v>
      </c>
      <c r="L958" s="58">
        <v>1.50595571431737E+19</v>
      </c>
    </row>
    <row r="959" spans="3:12">
      <c r="C959" s="29" t="b">
        <v>0</v>
      </c>
      <c r="D959" s="30" t="s">
        <v>983</v>
      </c>
      <c r="E959" s="137" t="s">
        <v>981</v>
      </c>
      <c r="F959" s="30" t="s">
        <v>78</v>
      </c>
      <c r="G959" s="30">
        <v>76</v>
      </c>
      <c r="H959" s="30">
        <v>230</v>
      </c>
      <c r="I959" s="30">
        <v>26.2</v>
      </c>
      <c r="J959" s="30" t="s">
        <v>79</v>
      </c>
      <c r="K959" s="58">
        <v>0</v>
      </c>
      <c r="L959" s="58">
        <v>3.70448962367586E+18</v>
      </c>
    </row>
    <row r="960" spans="3:12">
      <c r="C960" s="29" t="b">
        <v>0</v>
      </c>
      <c r="D960" s="30" t="s">
        <v>984</v>
      </c>
      <c r="E960" s="137" t="s">
        <v>981</v>
      </c>
      <c r="F960" s="30" t="s">
        <v>78</v>
      </c>
      <c r="G960" s="30">
        <v>75</v>
      </c>
      <c r="H960" s="30">
        <v>224</v>
      </c>
      <c r="I960" s="30">
        <v>28.45</v>
      </c>
      <c r="J960" s="30" t="s">
        <v>79</v>
      </c>
      <c r="K960" s="58">
        <v>0</v>
      </c>
      <c r="L960" s="58">
        <v>4.3297267215642301E+18</v>
      </c>
    </row>
    <row r="961" spans="3:12">
      <c r="C961" s="29" t="b">
        <v>0</v>
      </c>
      <c r="D961" s="30" t="s">
        <v>985</v>
      </c>
      <c r="E961" s="137" t="s">
        <v>981</v>
      </c>
      <c r="F961" s="30" t="s">
        <v>82</v>
      </c>
      <c r="G961" s="30">
        <v>70</v>
      </c>
      <c r="H961" s="30">
        <v>160</v>
      </c>
      <c r="I961" s="30">
        <v>27.63</v>
      </c>
      <c r="J961" s="30" t="s">
        <v>79</v>
      </c>
      <c r="K961" s="58">
        <v>0</v>
      </c>
      <c r="L961" s="58">
        <v>1.52667243790603E+19</v>
      </c>
    </row>
    <row r="962" spans="3:12">
      <c r="C962" s="29" t="b">
        <v>0</v>
      </c>
      <c r="D962" s="30" t="s">
        <v>986</v>
      </c>
      <c r="E962" s="137" t="s">
        <v>981</v>
      </c>
      <c r="F962" s="30" t="s">
        <v>84</v>
      </c>
      <c r="G962" s="30">
        <v>73</v>
      </c>
      <c r="H962" s="30">
        <v>178</v>
      </c>
      <c r="I962" s="30">
        <v>25.93</v>
      </c>
      <c r="J962" s="30" t="s">
        <v>79</v>
      </c>
      <c r="K962" s="58">
        <v>0</v>
      </c>
      <c r="L962" s="58">
        <v>6.8122853293409004E+18</v>
      </c>
    </row>
    <row r="963" spans="3:12">
      <c r="C963" s="29" t="b">
        <v>0</v>
      </c>
      <c r="D963" s="30" t="s">
        <v>987</v>
      </c>
      <c r="E963" s="137" t="s">
        <v>981</v>
      </c>
      <c r="F963" s="30" t="s">
        <v>84</v>
      </c>
      <c r="G963" s="30">
        <v>72</v>
      </c>
      <c r="H963" s="30">
        <v>205</v>
      </c>
      <c r="I963" s="30">
        <v>28.94</v>
      </c>
      <c r="J963" s="30" t="s">
        <v>79</v>
      </c>
      <c r="K963" s="58">
        <v>0</v>
      </c>
      <c r="L963" s="58">
        <v>3.0001493432463498E+18</v>
      </c>
    </row>
    <row r="964" spans="3:12">
      <c r="C964" s="29" t="b">
        <v>0</v>
      </c>
      <c r="D964" s="30" t="s">
        <v>988</v>
      </c>
      <c r="E964" s="137" t="s">
        <v>981</v>
      </c>
      <c r="F964" s="30" t="s">
        <v>84</v>
      </c>
      <c r="G964" s="30">
        <v>73</v>
      </c>
      <c r="H964" s="30">
        <v>185</v>
      </c>
      <c r="I964" s="30">
        <v>26.8</v>
      </c>
      <c r="J964" s="30" t="s">
        <v>79</v>
      </c>
      <c r="K964" s="58">
        <v>0</v>
      </c>
      <c r="L964" s="58">
        <v>8.7484498114413404E+18</v>
      </c>
    </row>
    <row r="965" spans="3:12">
      <c r="C965" s="29" t="b">
        <v>0</v>
      </c>
      <c r="D965" s="30" t="s">
        <v>989</v>
      </c>
      <c r="E965" s="137" t="s">
        <v>981</v>
      </c>
      <c r="F965" s="30" t="s">
        <v>86</v>
      </c>
      <c r="G965" s="30">
        <v>75</v>
      </c>
      <c r="H965" s="30">
        <v>210</v>
      </c>
      <c r="I965" s="30">
        <v>22.42</v>
      </c>
      <c r="J965" s="30" t="s">
        <v>79</v>
      </c>
      <c r="K965" s="58">
        <v>0</v>
      </c>
      <c r="L965" s="58">
        <v>2.6234473258093501E+18</v>
      </c>
    </row>
    <row r="966" spans="3:12">
      <c r="C966" s="29" t="b">
        <v>0</v>
      </c>
      <c r="D966" s="30" t="s">
        <v>990</v>
      </c>
      <c r="E966" s="137" t="s">
        <v>981</v>
      </c>
      <c r="F966" s="30" t="s">
        <v>89</v>
      </c>
      <c r="G966" s="30">
        <v>74</v>
      </c>
      <c r="H966" s="30">
        <v>180</v>
      </c>
      <c r="I966" s="30">
        <v>27.26</v>
      </c>
      <c r="J966" s="30" t="s">
        <v>89</v>
      </c>
      <c r="K966" s="58">
        <v>0</v>
      </c>
      <c r="L966" s="58">
        <v>1.21196710564188E+19</v>
      </c>
    </row>
    <row r="967" spans="3:12">
      <c r="C967" s="29" t="b">
        <v>0</v>
      </c>
      <c r="D967" s="30" t="s">
        <v>991</v>
      </c>
      <c r="E967" s="137" t="s">
        <v>981</v>
      </c>
      <c r="F967" s="30" t="s">
        <v>89</v>
      </c>
      <c r="G967" s="30">
        <v>73</v>
      </c>
      <c r="H967" s="30">
        <v>190</v>
      </c>
      <c r="I967" s="30">
        <v>28.38</v>
      </c>
      <c r="J967" s="30" t="s">
        <v>89</v>
      </c>
      <c r="K967" s="58">
        <v>0</v>
      </c>
      <c r="L967" s="58">
        <v>1.7582054398900199E+19</v>
      </c>
    </row>
    <row r="968" spans="3:12">
      <c r="C968" s="29" t="b">
        <v>0</v>
      </c>
      <c r="D968" s="30" t="s">
        <v>992</v>
      </c>
      <c r="E968" s="137" t="s">
        <v>981</v>
      </c>
      <c r="F968" s="30" t="s">
        <v>89</v>
      </c>
      <c r="G968" s="30">
        <v>73</v>
      </c>
      <c r="H968" s="30">
        <v>200</v>
      </c>
      <c r="I968" s="30">
        <v>25.23</v>
      </c>
      <c r="J968" s="30" t="s">
        <v>89</v>
      </c>
      <c r="K968" s="58">
        <v>0</v>
      </c>
      <c r="L968" s="58">
        <v>1.5880614190196101E+18</v>
      </c>
    </row>
    <row r="969" spans="3:12">
      <c r="C969" s="29" t="b">
        <v>0</v>
      </c>
      <c r="D969" s="30" t="s">
        <v>993</v>
      </c>
      <c r="E969" s="137" t="s">
        <v>981</v>
      </c>
      <c r="F969" s="30" t="s">
        <v>89</v>
      </c>
      <c r="G969" s="30">
        <v>76</v>
      </c>
      <c r="H969" s="30">
        <v>257</v>
      </c>
      <c r="I969" s="30">
        <v>28.16</v>
      </c>
      <c r="J969" s="30" t="s">
        <v>89</v>
      </c>
      <c r="K969" s="58">
        <v>0</v>
      </c>
      <c r="L969" s="58">
        <v>1.6018909653090001E+19</v>
      </c>
    </row>
    <row r="970" spans="3:12">
      <c r="C970" s="29" t="b">
        <v>0</v>
      </c>
      <c r="D970" s="30" t="s">
        <v>994</v>
      </c>
      <c r="E970" s="137" t="s">
        <v>981</v>
      </c>
      <c r="F970" s="30" t="s">
        <v>89</v>
      </c>
      <c r="G970" s="30">
        <v>73</v>
      </c>
      <c r="H970" s="30">
        <v>190</v>
      </c>
      <c r="I970" s="30">
        <v>28.48</v>
      </c>
      <c r="J970" s="30" t="s">
        <v>89</v>
      </c>
      <c r="K970" s="58">
        <v>0</v>
      </c>
      <c r="L970" s="58">
        <v>2.7944998357353498E+18</v>
      </c>
    </row>
    <row r="971" spans="3:12">
      <c r="C971" s="29" t="b">
        <v>0</v>
      </c>
      <c r="D971" s="30" t="s">
        <v>995</v>
      </c>
      <c r="E971" s="137" t="s">
        <v>981</v>
      </c>
      <c r="F971" s="30" t="s">
        <v>89</v>
      </c>
      <c r="G971" s="30">
        <v>75</v>
      </c>
      <c r="H971" s="30">
        <v>220</v>
      </c>
      <c r="I971" s="30">
        <v>26.78</v>
      </c>
      <c r="J971" s="30" t="s">
        <v>89</v>
      </c>
      <c r="K971" s="58">
        <v>0</v>
      </c>
      <c r="L971" s="58">
        <v>6.2994447635398502E+18</v>
      </c>
    </row>
    <row r="972" spans="3:12">
      <c r="C972" s="29" t="b">
        <v>0</v>
      </c>
      <c r="D972" s="30" t="s">
        <v>996</v>
      </c>
      <c r="E972" s="137" t="s">
        <v>981</v>
      </c>
      <c r="F972" s="30" t="s">
        <v>89</v>
      </c>
      <c r="G972" s="30">
        <v>70</v>
      </c>
      <c r="H972" s="30">
        <v>165</v>
      </c>
      <c r="I972" s="30">
        <v>25.24</v>
      </c>
      <c r="J972" s="30" t="s">
        <v>89</v>
      </c>
      <c r="K972" s="58">
        <v>0</v>
      </c>
      <c r="L972" s="58">
        <v>1.37032133205196E+19</v>
      </c>
    </row>
    <row r="973" spans="3:12">
      <c r="C973" s="29" t="b">
        <v>0</v>
      </c>
      <c r="D973" s="30" t="s">
        <v>997</v>
      </c>
      <c r="E973" s="137" t="s">
        <v>981</v>
      </c>
      <c r="F973" s="30" t="s">
        <v>97</v>
      </c>
      <c r="G973" s="30">
        <v>77</v>
      </c>
      <c r="H973" s="30">
        <v>205</v>
      </c>
      <c r="I973" s="30">
        <v>27.45</v>
      </c>
      <c r="J973" s="30" t="s">
        <v>71</v>
      </c>
      <c r="K973" s="58">
        <v>0</v>
      </c>
      <c r="L973" s="58">
        <v>9.1235082459416504E+18</v>
      </c>
    </row>
    <row r="974" spans="3:12">
      <c r="C974" s="29" t="b">
        <v>0</v>
      </c>
      <c r="D974" s="30" t="s">
        <v>998</v>
      </c>
      <c r="E974" s="137" t="s">
        <v>981</v>
      </c>
      <c r="F974" s="30" t="s">
        <v>97</v>
      </c>
      <c r="G974" s="30">
        <v>72</v>
      </c>
      <c r="H974" s="30">
        <v>200</v>
      </c>
      <c r="I974" s="30">
        <v>29.05</v>
      </c>
      <c r="J974" s="30" t="s">
        <v>71</v>
      </c>
      <c r="K974" s="58">
        <v>0</v>
      </c>
      <c r="L974" s="58">
        <v>1.03569756635998E+19</v>
      </c>
    </row>
    <row r="975" spans="3:12">
      <c r="C975" s="29" t="b">
        <v>0</v>
      </c>
      <c r="D975" s="30" t="s">
        <v>999</v>
      </c>
      <c r="E975" s="137" t="s">
        <v>981</v>
      </c>
      <c r="F975" s="30" t="s">
        <v>97</v>
      </c>
      <c r="G975" s="30">
        <v>77</v>
      </c>
      <c r="H975" s="30">
        <v>208</v>
      </c>
      <c r="I975" s="30">
        <v>29.08</v>
      </c>
      <c r="J975" s="30" t="s">
        <v>71</v>
      </c>
      <c r="K975" s="58">
        <v>0</v>
      </c>
      <c r="L975" s="58">
        <v>1.1633704103349101E+19</v>
      </c>
    </row>
    <row r="976" spans="3:12">
      <c r="C976" s="29" t="b">
        <v>0</v>
      </c>
      <c r="D976" s="30" t="s">
        <v>1000</v>
      </c>
      <c r="E976" s="137" t="s">
        <v>981</v>
      </c>
      <c r="F976" s="30" t="s">
        <v>97</v>
      </c>
      <c r="G976" s="30">
        <v>74</v>
      </c>
      <c r="H976" s="30">
        <v>185</v>
      </c>
      <c r="I976" s="30">
        <v>25.84</v>
      </c>
      <c r="J976" s="30" t="s">
        <v>71</v>
      </c>
      <c r="K976" s="58">
        <v>0</v>
      </c>
      <c r="L976" s="58">
        <v>8.1464962709043599E+18</v>
      </c>
    </row>
    <row r="977" spans="3:12">
      <c r="C977" s="29" t="b">
        <v>0</v>
      </c>
      <c r="D977" s="30" t="s">
        <v>1001</v>
      </c>
      <c r="E977" s="137" t="s">
        <v>981</v>
      </c>
      <c r="F977" s="30" t="s">
        <v>97</v>
      </c>
      <c r="G977" s="30">
        <v>75</v>
      </c>
      <c r="H977" s="30">
        <v>215</v>
      </c>
      <c r="I977" s="30">
        <v>25.4</v>
      </c>
      <c r="J977" s="30" t="s">
        <v>71</v>
      </c>
      <c r="K977" s="58">
        <v>0</v>
      </c>
      <c r="L977" s="58">
        <v>2.65150426786195E+18</v>
      </c>
    </row>
    <row r="978" spans="3:12">
      <c r="C978" s="29" t="b">
        <v>0</v>
      </c>
      <c r="D978" s="30" t="s">
        <v>1002</v>
      </c>
      <c r="E978" s="137" t="s">
        <v>981</v>
      </c>
      <c r="F978" s="30" t="s">
        <v>97</v>
      </c>
      <c r="G978" s="30">
        <v>75</v>
      </c>
      <c r="H978" s="30">
        <v>170</v>
      </c>
      <c r="I978" s="30">
        <v>26.54</v>
      </c>
      <c r="J978" s="30" t="s">
        <v>71</v>
      </c>
      <c r="K978" s="58">
        <v>0</v>
      </c>
      <c r="L978" s="58">
        <v>7.6364491254410199E+18</v>
      </c>
    </row>
    <row r="979" spans="3:12">
      <c r="C979" s="29" t="b">
        <v>0</v>
      </c>
      <c r="D979" s="30" t="s">
        <v>1003</v>
      </c>
      <c r="E979" s="137" t="s">
        <v>981</v>
      </c>
      <c r="F979" s="30" t="s">
        <v>68</v>
      </c>
      <c r="G979" s="30">
        <v>75</v>
      </c>
      <c r="H979" s="30">
        <v>235</v>
      </c>
      <c r="I979" s="30">
        <v>22.73</v>
      </c>
      <c r="J979" s="30" t="s">
        <v>71</v>
      </c>
      <c r="K979" s="58">
        <v>0</v>
      </c>
      <c r="L979" s="58">
        <v>1.74305724640967E+19</v>
      </c>
    </row>
    <row r="980" spans="3:12">
      <c r="C980" s="29" t="b">
        <v>0</v>
      </c>
      <c r="D980" s="30" t="s">
        <v>1004</v>
      </c>
      <c r="E980" s="137" t="s">
        <v>981</v>
      </c>
      <c r="F980" s="30" t="s">
        <v>68</v>
      </c>
      <c r="G980" s="30">
        <v>75</v>
      </c>
      <c r="H980" s="30">
        <v>210</v>
      </c>
      <c r="I980" s="30">
        <v>28.53</v>
      </c>
      <c r="J980" s="30" t="s">
        <v>71</v>
      </c>
      <c r="K980" s="58">
        <v>0</v>
      </c>
      <c r="L980" s="58">
        <v>1.0242216966354301E+19</v>
      </c>
    </row>
    <row r="981" spans="3:12">
      <c r="C981" s="29" t="b">
        <v>0</v>
      </c>
      <c r="D981" s="30" t="s">
        <v>1005</v>
      </c>
      <c r="E981" s="137" t="s">
        <v>981</v>
      </c>
      <c r="F981" s="30" t="s">
        <v>68</v>
      </c>
      <c r="G981" s="30">
        <v>72</v>
      </c>
      <c r="H981" s="30">
        <v>170</v>
      </c>
      <c r="I981" s="30">
        <v>25.37</v>
      </c>
      <c r="J981" s="30" t="s">
        <v>71</v>
      </c>
      <c r="K981" s="58">
        <v>0</v>
      </c>
      <c r="L981" s="58">
        <v>8.6973670045474304E+18</v>
      </c>
    </row>
    <row r="982" spans="3:12">
      <c r="C982" s="29" t="b">
        <v>0</v>
      </c>
      <c r="D982" s="30" t="s">
        <v>1006</v>
      </c>
      <c r="E982" s="137" t="s">
        <v>981</v>
      </c>
      <c r="F982" s="30" t="s">
        <v>68</v>
      </c>
      <c r="G982" s="30">
        <v>74</v>
      </c>
      <c r="H982" s="30">
        <v>180</v>
      </c>
      <c r="I982" s="30">
        <v>25.35</v>
      </c>
      <c r="J982" s="30" t="s">
        <v>71</v>
      </c>
      <c r="K982" s="58">
        <v>0</v>
      </c>
      <c r="L982" s="58">
        <v>1.4435481305221599E+19</v>
      </c>
    </row>
    <row r="983" spans="3:12">
      <c r="C983" s="29" t="b">
        <v>0</v>
      </c>
      <c r="D983" s="30" t="s">
        <v>1007</v>
      </c>
      <c r="E983" s="137" t="s">
        <v>981</v>
      </c>
      <c r="F983" s="30" t="s">
        <v>68</v>
      </c>
      <c r="G983" s="30">
        <v>71</v>
      </c>
      <c r="H983" s="30">
        <v>170</v>
      </c>
      <c r="I983" s="30">
        <v>26.43</v>
      </c>
      <c r="J983" s="30" t="s">
        <v>71</v>
      </c>
      <c r="K983" s="58">
        <v>0</v>
      </c>
      <c r="L983" s="58">
        <v>4.8575802622291302E+18</v>
      </c>
    </row>
    <row r="984" spans="3:12">
      <c r="C984" s="29" t="b">
        <v>0</v>
      </c>
      <c r="D984" s="30" t="s">
        <v>1008</v>
      </c>
      <c r="E984" s="137" t="s">
        <v>981</v>
      </c>
      <c r="F984" s="30" t="s">
        <v>68</v>
      </c>
      <c r="G984" s="30">
        <v>76</v>
      </c>
      <c r="H984" s="30">
        <v>190</v>
      </c>
      <c r="I984" s="30">
        <v>25.43</v>
      </c>
      <c r="J984" s="30" t="s">
        <v>71</v>
      </c>
      <c r="K984" s="58">
        <v>0</v>
      </c>
      <c r="L984" s="58">
        <v>3.0010753941539898E+17</v>
      </c>
    </row>
    <row r="985" spans="3:12">
      <c r="C985" s="29" t="b">
        <v>0</v>
      </c>
      <c r="D985" s="30" t="s">
        <v>1009</v>
      </c>
      <c r="E985" s="137" t="s">
        <v>981</v>
      </c>
      <c r="F985" s="30" t="s">
        <v>68</v>
      </c>
      <c r="G985" s="30">
        <v>71</v>
      </c>
      <c r="H985" s="30">
        <v>150</v>
      </c>
      <c r="I985" s="30">
        <v>29.23</v>
      </c>
      <c r="J985" s="30" t="s">
        <v>71</v>
      </c>
      <c r="K985" s="58">
        <v>0</v>
      </c>
      <c r="L985" s="58">
        <v>4.16753287518611E+18</v>
      </c>
    </row>
    <row r="986" spans="3:12">
      <c r="C986" s="29" t="b">
        <v>0</v>
      </c>
      <c r="D986" s="30" t="s">
        <v>1010</v>
      </c>
      <c r="E986" s="137" t="s">
        <v>981</v>
      </c>
      <c r="F986" s="30" t="s">
        <v>68</v>
      </c>
      <c r="G986" s="30">
        <v>75</v>
      </c>
      <c r="H986" s="30">
        <v>230</v>
      </c>
      <c r="I986" s="30">
        <v>30.22</v>
      </c>
      <c r="J986" s="30" t="s">
        <v>71</v>
      </c>
      <c r="K986" s="58">
        <v>0</v>
      </c>
      <c r="L986" s="58">
        <v>1.72999419953015E+16</v>
      </c>
    </row>
    <row r="987" spans="3:12">
      <c r="C987" s="29" t="b">
        <v>0</v>
      </c>
      <c r="D987" s="30" t="s">
        <v>1011</v>
      </c>
      <c r="E987" s="137" t="s">
        <v>981</v>
      </c>
      <c r="F987" s="30" t="s">
        <v>68</v>
      </c>
      <c r="G987" s="30">
        <v>76</v>
      </c>
      <c r="H987" s="30">
        <v>203</v>
      </c>
      <c r="I987" s="30">
        <v>32.299999999999997</v>
      </c>
      <c r="J987" s="30" t="s">
        <v>71</v>
      </c>
      <c r="K987" s="58">
        <v>0</v>
      </c>
      <c r="L987" s="58">
        <v>1.2422460475683E+19</v>
      </c>
    </row>
    <row r="988" spans="3:12">
      <c r="C988" s="29" t="b">
        <v>0</v>
      </c>
      <c r="D988" s="30" t="s">
        <v>1012</v>
      </c>
      <c r="E988" s="137" t="s">
        <v>981</v>
      </c>
      <c r="F988" s="30" t="s">
        <v>68</v>
      </c>
      <c r="G988" s="30">
        <v>83</v>
      </c>
      <c r="H988" s="30">
        <v>260</v>
      </c>
      <c r="I988" s="30">
        <v>28.42</v>
      </c>
      <c r="J988" s="30" t="s">
        <v>71</v>
      </c>
      <c r="K988" s="58">
        <v>0</v>
      </c>
      <c r="L988" s="58">
        <v>5.8273934569319199E+18</v>
      </c>
    </row>
    <row r="989" spans="3:12">
      <c r="C989" s="29" t="b">
        <v>0</v>
      </c>
      <c r="D989" s="30" t="s">
        <v>1013</v>
      </c>
      <c r="E989" s="137" t="s">
        <v>981</v>
      </c>
      <c r="F989" s="30" t="s">
        <v>68</v>
      </c>
      <c r="G989" s="30">
        <v>75</v>
      </c>
      <c r="H989" s="30">
        <v>246</v>
      </c>
      <c r="I989" s="30">
        <v>25.24</v>
      </c>
      <c r="J989" s="30" t="s">
        <v>71</v>
      </c>
      <c r="K989" s="58">
        <v>0</v>
      </c>
      <c r="L989" s="58">
        <v>1.1916298226687001E+19</v>
      </c>
    </row>
    <row r="990" spans="3:12">
      <c r="C990" s="29" t="b">
        <v>0</v>
      </c>
      <c r="D990" s="30" t="s">
        <v>1014</v>
      </c>
      <c r="E990" s="137" t="s">
        <v>981</v>
      </c>
      <c r="F990" s="30" t="s">
        <v>68</v>
      </c>
      <c r="G990" s="30">
        <v>74</v>
      </c>
      <c r="H990" s="30">
        <v>186</v>
      </c>
      <c r="I990" s="30">
        <v>29.13</v>
      </c>
      <c r="J990" s="30" t="s">
        <v>71</v>
      </c>
      <c r="K990" s="58">
        <v>0</v>
      </c>
      <c r="L990" s="58">
        <v>1.38195342343436E+19</v>
      </c>
    </row>
    <row r="991" spans="3:12">
      <c r="C991" s="29" t="b">
        <v>0</v>
      </c>
      <c r="D991" s="30" t="s">
        <v>1015</v>
      </c>
      <c r="E991" s="137" t="s">
        <v>981</v>
      </c>
      <c r="F991" s="30" t="s">
        <v>68</v>
      </c>
      <c r="G991" s="30">
        <v>76</v>
      </c>
      <c r="H991" s="30">
        <v>210</v>
      </c>
      <c r="I991" s="30">
        <v>24.63</v>
      </c>
      <c r="J991" s="30" t="s">
        <v>71</v>
      </c>
      <c r="K991" s="58">
        <v>0</v>
      </c>
      <c r="L991" s="58">
        <v>1.4599866907537199E+19</v>
      </c>
    </row>
    <row r="992" spans="3:12">
      <c r="C992" s="29" t="b">
        <v>0</v>
      </c>
      <c r="D992" s="30" t="s">
        <v>1016</v>
      </c>
      <c r="E992" s="137" t="s">
        <v>981</v>
      </c>
      <c r="F992" s="30" t="s">
        <v>68</v>
      </c>
      <c r="G992" s="30">
        <v>72</v>
      </c>
      <c r="H992" s="30">
        <v>198</v>
      </c>
      <c r="I992" s="30">
        <v>24.95</v>
      </c>
      <c r="J992" s="30" t="s">
        <v>71</v>
      </c>
      <c r="K992" s="58">
        <v>0</v>
      </c>
      <c r="L992" s="58">
        <v>4.8340328464983695E+18</v>
      </c>
    </row>
    <row r="993" spans="3:12">
      <c r="C993" s="29" t="b">
        <v>0</v>
      </c>
      <c r="D993" s="30" t="s">
        <v>1017</v>
      </c>
      <c r="E993" s="137" t="s">
        <v>1018</v>
      </c>
      <c r="F993" s="30" t="s">
        <v>74</v>
      </c>
      <c r="G993" s="30">
        <v>72</v>
      </c>
      <c r="H993" s="30">
        <v>210</v>
      </c>
      <c r="I993" s="30">
        <v>28.06</v>
      </c>
      <c r="J993" s="30" t="s">
        <v>74</v>
      </c>
      <c r="K993" s="58">
        <v>0</v>
      </c>
      <c r="L993" s="58">
        <v>5.1916331454240604E+18</v>
      </c>
    </row>
    <row r="994" spans="3:12">
      <c r="C994" s="29" t="b">
        <v>0</v>
      </c>
      <c r="D994" s="30" t="s">
        <v>1019</v>
      </c>
      <c r="E994" s="137" t="s">
        <v>1018</v>
      </c>
      <c r="F994" s="30" t="s">
        <v>74</v>
      </c>
      <c r="G994" s="30">
        <v>75</v>
      </c>
      <c r="H994" s="30">
        <v>215</v>
      </c>
      <c r="I994" s="30">
        <v>25.86</v>
      </c>
      <c r="J994" s="30" t="s">
        <v>74</v>
      </c>
      <c r="K994" s="58">
        <v>0</v>
      </c>
      <c r="L994" s="58">
        <v>8.6354107100481403E+18</v>
      </c>
    </row>
    <row r="995" spans="3:12">
      <c r="C995" s="29" t="b">
        <v>0</v>
      </c>
      <c r="D995" s="30" t="s">
        <v>1020</v>
      </c>
      <c r="E995" s="137" t="s">
        <v>1018</v>
      </c>
      <c r="F995" s="30" t="s">
        <v>78</v>
      </c>
      <c r="G995" s="30">
        <v>75</v>
      </c>
      <c r="H995" s="30">
        <v>180</v>
      </c>
      <c r="I995" s="30">
        <v>27.32</v>
      </c>
      <c r="J995" s="30" t="s">
        <v>79</v>
      </c>
      <c r="K995" s="58">
        <v>0</v>
      </c>
      <c r="L995" s="58">
        <v>3.4682448689679299E+18</v>
      </c>
    </row>
    <row r="996" spans="3:12">
      <c r="C996" s="29" t="b">
        <v>0</v>
      </c>
      <c r="D996" s="30" t="s">
        <v>1021</v>
      </c>
      <c r="E996" s="137" t="s">
        <v>1018</v>
      </c>
      <c r="F996" s="30" t="s">
        <v>78</v>
      </c>
      <c r="G996" s="30">
        <v>72</v>
      </c>
      <c r="H996" s="30">
        <v>200</v>
      </c>
      <c r="I996" s="30">
        <v>25.91</v>
      </c>
      <c r="J996" s="30" t="s">
        <v>79</v>
      </c>
      <c r="K996" s="58">
        <v>0</v>
      </c>
      <c r="L996" s="58">
        <v>1.69481243980299E+19</v>
      </c>
    </row>
    <row r="997" spans="3:12">
      <c r="C997" s="29" t="b">
        <v>0</v>
      </c>
      <c r="D997" s="30" t="s">
        <v>1022</v>
      </c>
      <c r="E997" s="137" t="s">
        <v>1018</v>
      </c>
      <c r="F997" s="30" t="s">
        <v>78</v>
      </c>
      <c r="G997" s="30">
        <v>77</v>
      </c>
      <c r="H997" s="30">
        <v>245</v>
      </c>
      <c r="I997" s="30">
        <v>26.63</v>
      </c>
      <c r="J997" s="30" t="s">
        <v>79</v>
      </c>
      <c r="K997" s="58">
        <v>0</v>
      </c>
      <c r="L997" s="58">
        <v>7.7488267308599603E+18</v>
      </c>
    </row>
    <row r="998" spans="3:12">
      <c r="C998" s="29" t="b">
        <v>0</v>
      </c>
      <c r="D998" s="30" t="s">
        <v>1023</v>
      </c>
      <c r="E998" s="137" t="s">
        <v>1018</v>
      </c>
      <c r="F998" s="30" t="s">
        <v>82</v>
      </c>
      <c r="G998" s="30">
        <v>73</v>
      </c>
      <c r="H998" s="30">
        <v>200</v>
      </c>
      <c r="I998" s="30">
        <v>25.95</v>
      </c>
      <c r="J998" s="30" t="s">
        <v>79</v>
      </c>
      <c r="K998" s="58">
        <v>0</v>
      </c>
      <c r="L998" s="58">
        <v>1.31840591705425E+19</v>
      </c>
    </row>
    <row r="999" spans="3:12">
      <c r="C999" s="29" t="b">
        <v>0</v>
      </c>
      <c r="D999" s="30" t="s">
        <v>1024</v>
      </c>
      <c r="E999" s="137" t="s">
        <v>1018</v>
      </c>
      <c r="F999" s="30" t="s">
        <v>84</v>
      </c>
      <c r="G999" s="30">
        <v>72</v>
      </c>
      <c r="H999" s="30">
        <v>192</v>
      </c>
      <c r="I999" s="30">
        <v>29.17</v>
      </c>
      <c r="J999" s="30" t="s">
        <v>79</v>
      </c>
      <c r="K999" s="58">
        <v>0</v>
      </c>
      <c r="L999" s="58">
        <v>1.1391133610699201E+19</v>
      </c>
    </row>
    <row r="1000" spans="3:12">
      <c r="C1000" s="29" t="b">
        <v>0</v>
      </c>
      <c r="D1000" s="30" t="s">
        <v>1025</v>
      </c>
      <c r="E1000" s="137" t="s">
        <v>1018</v>
      </c>
      <c r="F1000" s="30" t="s">
        <v>86</v>
      </c>
      <c r="G1000" s="30">
        <v>70</v>
      </c>
      <c r="H1000" s="30">
        <v>192</v>
      </c>
      <c r="I1000" s="30">
        <v>29.19</v>
      </c>
      <c r="J1000" s="30" t="s">
        <v>79</v>
      </c>
      <c r="K1000" s="58">
        <v>0</v>
      </c>
      <c r="L1000" s="58">
        <v>8.7846655831783501E+17</v>
      </c>
    </row>
    <row r="1001" spans="3:12">
      <c r="C1001" s="29" t="b">
        <v>0</v>
      </c>
      <c r="D1001" s="30" t="s">
        <v>1026</v>
      </c>
      <c r="E1001" s="137" t="s">
        <v>1018</v>
      </c>
      <c r="F1001" s="30" t="s">
        <v>89</v>
      </c>
      <c r="G1001" s="30">
        <v>74</v>
      </c>
      <c r="H1001" s="30">
        <v>200</v>
      </c>
      <c r="I1001" s="30">
        <v>28.44</v>
      </c>
      <c r="J1001" s="30" t="s">
        <v>89</v>
      </c>
      <c r="K1001" s="58">
        <v>0</v>
      </c>
      <c r="L1001" s="58">
        <v>4.3432434798092401E+18</v>
      </c>
    </row>
    <row r="1002" spans="3:12">
      <c r="C1002" s="29" t="b">
        <v>0</v>
      </c>
      <c r="D1002" s="30" t="s">
        <v>1027</v>
      </c>
      <c r="E1002" s="137" t="s">
        <v>1018</v>
      </c>
      <c r="F1002" s="30" t="s">
        <v>89</v>
      </c>
      <c r="G1002" s="30">
        <v>72</v>
      </c>
      <c r="H1002" s="30">
        <v>192</v>
      </c>
      <c r="I1002" s="30">
        <v>26.36</v>
      </c>
      <c r="J1002" s="30" t="s">
        <v>89</v>
      </c>
      <c r="K1002" s="58">
        <v>0</v>
      </c>
      <c r="L1002" s="58">
        <v>1.34604705663435E+19</v>
      </c>
    </row>
    <row r="1003" spans="3:12">
      <c r="C1003" s="29" t="b">
        <v>0</v>
      </c>
      <c r="D1003" s="30" t="s">
        <v>1028</v>
      </c>
      <c r="E1003" s="137" t="s">
        <v>1018</v>
      </c>
      <c r="F1003" s="30" t="s">
        <v>89</v>
      </c>
      <c r="G1003" s="30">
        <v>74</v>
      </c>
      <c r="H1003" s="30">
        <v>205</v>
      </c>
      <c r="I1003" s="30">
        <v>28.29</v>
      </c>
      <c r="J1003" s="30" t="s">
        <v>89</v>
      </c>
      <c r="K1003" s="58">
        <v>0</v>
      </c>
      <c r="L1003" s="58">
        <v>8.0988661206035999E+18</v>
      </c>
    </row>
    <row r="1004" spans="3:12">
      <c r="C1004" s="29" t="b">
        <v>0</v>
      </c>
      <c r="D1004" s="30" t="s">
        <v>1029</v>
      </c>
      <c r="E1004" s="137" t="s">
        <v>1018</v>
      </c>
      <c r="F1004" s="30" t="s">
        <v>89</v>
      </c>
      <c r="G1004" s="30">
        <v>72</v>
      </c>
      <c r="H1004" s="30">
        <v>190</v>
      </c>
      <c r="I1004" s="30">
        <v>29.45</v>
      </c>
      <c r="J1004" s="30" t="s">
        <v>89</v>
      </c>
      <c r="K1004" s="58">
        <v>0</v>
      </c>
      <c r="L1004" s="58">
        <v>1.4052389634980301E+19</v>
      </c>
    </row>
    <row r="1005" spans="3:12">
      <c r="C1005" s="29" t="b">
        <v>0</v>
      </c>
      <c r="D1005" s="30" t="s">
        <v>1030</v>
      </c>
      <c r="E1005" s="137" t="s">
        <v>1018</v>
      </c>
      <c r="F1005" s="30" t="s">
        <v>89</v>
      </c>
      <c r="G1005" s="30">
        <v>71</v>
      </c>
      <c r="H1005" s="30">
        <v>186</v>
      </c>
      <c r="I1005" s="30">
        <v>25.34</v>
      </c>
      <c r="J1005" s="30" t="s">
        <v>89</v>
      </c>
      <c r="K1005" s="58">
        <v>0</v>
      </c>
      <c r="L1005" s="58">
        <v>6.5569000940914401E+18</v>
      </c>
    </row>
    <row r="1006" spans="3:12">
      <c r="C1006" s="29" t="b">
        <v>0</v>
      </c>
      <c r="D1006" s="30" t="s">
        <v>1031</v>
      </c>
      <c r="E1006" s="137" t="s">
        <v>1018</v>
      </c>
      <c r="F1006" s="30" t="s">
        <v>89</v>
      </c>
      <c r="G1006" s="30">
        <v>70</v>
      </c>
      <c r="H1006" s="30">
        <v>170</v>
      </c>
      <c r="I1006" s="30">
        <v>26.86</v>
      </c>
      <c r="J1006" s="30" t="s">
        <v>89</v>
      </c>
      <c r="K1006" s="58">
        <v>0</v>
      </c>
      <c r="L1006" s="58">
        <v>2.3650976192695699E+17</v>
      </c>
    </row>
    <row r="1007" spans="3:12">
      <c r="C1007" s="29" t="b">
        <v>0</v>
      </c>
      <c r="D1007" s="30" t="s">
        <v>1032</v>
      </c>
      <c r="E1007" s="137" t="s">
        <v>1018</v>
      </c>
      <c r="F1007" s="30" t="s">
        <v>89</v>
      </c>
      <c r="G1007" s="30">
        <v>71</v>
      </c>
      <c r="H1007" s="30">
        <v>197</v>
      </c>
      <c r="I1007" s="30">
        <v>26.36</v>
      </c>
      <c r="J1007" s="30" t="s">
        <v>89</v>
      </c>
      <c r="K1007" s="58">
        <v>0</v>
      </c>
      <c r="L1007" s="58">
        <v>1.1283551555942001E+19</v>
      </c>
    </row>
    <row r="1008" spans="3:12">
      <c r="C1008" s="29" t="b">
        <v>0</v>
      </c>
      <c r="D1008" s="30" t="s">
        <v>1033</v>
      </c>
      <c r="E1008" s="137" t="s">
        <v>1018</v>
      </c>
      <c r="F1008" s="30" t="s">
        <v>97</v>
      </c>
      <c r="G1008" s="30">
        <v>76</v>
      </c>
      <c r="H1008" s="30">
        <v>219</v>
      </c>
      <c r="I1008" s="30">
        <v>27.39</v>
      </c>
      <c r="J1008" s="30" t="s">
        <v>71</v>
      </c>
      <c r="K1008" s="58">
        <v>0</v>
      </c>
      <c r="L1008" s="58">
        <v>8.5697277800849398E+18</v>
      </c>
    </row>
    <row r="1009" spans="3:12">
      <c r="C1009" s="29" t="b">
        <v>0</v>
      </c>
      <c r="D1009" s="30" t="s">
        <v>1034</v>
      </c>
      <c r="E1009" s="137" t="s">
        <v>1018</v>
      </c>
      <c r="F1009" s="30" t="s">
        <v>97</v>
      </c>
      <c r="G1009" s="30">
        <v>74</v>
      </c>
      <c r="H1009" s="30">
        <v>200</v>
      </c>
      <c r="I1009" s="30">
        <v>25.84</v>
      </c>
      <c r="J1009" s="30" t="s">
        <v>71</v>
      </c>
      <c r="K1009" s="58">
        <v>0</v>
      </c>
      <c r="L1009" s="58">
        <v>3.73260463849184E+18</v>
      </c>
    </row>
    <row r="1010" spans="3:12">
      <c r="C1010" s="29" t="b">
        <v>0</v>
      </c>
      <c r="D1010" s="30" t="s">
        <v>1035</v>
      </c>
      <c r="E1010" s="137" t="s">
        <v>1018</v>
      </c>
      <c r="F1010" s="30" t="s">
        <v>97</v>
      </c>
      <c r="G1010" s="30">
        <v>76</v>
      </c>
      <c r="H1010" s="30">
        <v>220</v>
      </c>
      <c r="I1010" s="30">
        <v>25.08</v>
      </c>
      <c r="J1010" s="30" t="s">
        <v>71</v>
      </c>
      <c r="K1010" s="58">
        <v>0</v>
      </c>
      <c r="L1010" s="58">
        <v>1.40677831639746E+18</v>
      </c>
    </row>
    <row r="1011" spans="3:12">
      <c r="C1011" s="29" t="b">
        <v>0</v>
      </c>
      <c r="D1011" s="30" t="s">
        <v>1036</v>
      </c>
      <c r="E1011" s="137" t="s">
        <v>1018</v>
      </c>
      <c r="F1011" s="30" t="s">
        <v>97</v>
      </c>
      <c r="G1011" s="30">
        <v>74</v>
      </c>
      <c r="H1011" s="30">
        <v>207</v>
      </c>
      <c r="I1011" s="30">
        <v>23.87</v>
      </c>
      <c r="J1011" s="30" t="s">
        <v>71</v>
      </c>
      <c r="K1011" s="58">
        <v>0</v>
      </c>
      <c r="L1011" s="58">
        <v>9.7229798616037499E+18</v>
      </c>
    </row>
    <row r="1012" spans="3:12">
      <c r="C1012" s="29" t="b">
        <v>0</v>
      </c>
      <c r="D1012" s="30" t="s">
        <v>1037</v>
      </c>
      <c r="E1012" s="137" t="s">
        <v>1018</v>
      </c>
      <c r="F1012" s="30" t="s">
        <v>97</v>
      </c>
      <c r="G1012" s="30">
        <v>74</v>
      </c>
      <c r="H1012" s="30">
        <v>225</v>
      </c>
      <c r="I1012" s="30">
        <v>24.68</v>
      </c>
      <c r="J1012" s="30" t="s">
        <v>71</v>
      </c>
      <c r="K1012" s="58">
        <v>0</v>
      </c>
      <c r="L1012" s="58">
        <v>1.2460381024752501E+19</v>
      </c>
    </row>
    <row r="1013" spans="3:12">
      <c r="C1013" s="29" t="b">
        <v>0</v>
      </c>
      <c r="D1013" s="30" t="s">
        <v>1038</v>
      </c>
      <c r="E1013" s="137" t="s">
        <v>1018</v>
      </c>
      <c r="F1013" s="30" t="s">
        <v>97</v>
      </c>
      <c r="G1013" s="30">
        <v>74</v>
      </c>
      <c r="H1013" s="30">
        <v>207</v>
      </c>
      <c r="I1013" s="30">
        <v>24.64</v>
      </c>
      <c r="J1013" s="30" t="s">
        <v>71</v>
      </c>
      <c r="K1013" s="58">
        <v>0</v>
      </c>
      <c r="L1013" s="58">
        <v>8.20496981139072E+18</v>
      </c>
    </row>
    <row r="1014" spans="3:12">
      <c r="C1014" s="29" t="b">
        <v>0</v>
      </c>
      <c r="D1014" s="30" t="s">
        <v>1039</v>
      </c>
      <c r="E1014" s="137" t="s">
        <v>1018</v>
      </c>
      <c r="F1014" s="30" t="s">
        <v>97</v>
      </c>
      <c r="G1014" s="30">
        <v>75</v>
      </c>
      <c r="H1014" s="30">
        <v>212</v>
      </c>
      <c r="I1014" s="30">
        <v>29.19</v>
      </c>
      <c r="J1014" s="30" t="s">
        <v>71</v>
      </c>
      <c r="K1014" s="58">
        <v>0</v>
      </c>
      <c r="L1014" s="58">
        <v>1.00529098551825E+19</v>
      </c>
    </row>
    <row r="1015" spans="3:12">
      <c r="C1015" s="29" t="b">
        <v>0</v>
      </c>
      <c r="D1015" s="30" t="s">
        <v>1040</v>
      </c>
      <c r="E1015" s="137" t="s">
        <v>1018</v>
      </c>
      <c r="F1015" s="30" t="s">
        <v>97</v>
      </c>
      <c r="G1015" s="30">
        <v>75</v>
      </c>
      <c r="H1015" s="30">
        <v>225</v>
      </c>
      <c r="I1015" s="30">
        <v>28.84</v>
      </c>
      <c r="J1015" s="30" t="s">
        <v>71</v>
      </c>
      <c r="K1015" s="58">
        <v>0</v>
      </c>
      <c r="L1015" s="58">
        <v>4.9259847290660403E+18</v>
      </c>
    </row>
    <row r="1016" spans="3:12">
      <c r="C1016" s="29" t="b">
        <v>0</v>
      </c>
      <c r="D1016" s="30" t="s">
        <v>1041</v>
      </c>
      <c r="E1016" s="137" t="s">
        <v>1018</v>
      </c>
      <c r="F1016" s="30" t="s">
        <v>97</v>
      </c>
      <c r="G1016" s="30">
        <v>71</v>
      </c>
      <c r="H1016" s="30">
        <v>170</v>
      </c>
      <c r="I1016" s="30">
        <v>25.33</v>
      </c>
      <c r="J1016" s="30" t="s">
        <v>71</v>
      </c>
      <c r="K1016" s="58">
        <v>0</v>
      </c>
      <c r="L1016" s="58">
        <v>9.4746655837800305E+18</v>
      </c>
    </row>
    <row r="1017" spans="3:12">
      <c r="C1017" s="29" t="b">
        <v>0</v>
      </c>
      <c r="D1017" s="30" t="s">
        <v>1042</v>
      </c>
      <c r="E1017" s="137" t="s">
        <v>1018</v>
      </c>
      <c r="F1017" s="30" t="s">
        <v>97</v>
      </c>
      <c r="G1017" s="30">
        <v>71</v>
      </c>
      <c r="H1017" s="30">
        <v>190</v>
      </c>
      <c r="I1017" s="30">
        <v>24.45</v>
      </c>
      <c r="J1017" s="30" t="s">
        <v>71</v>
      </c>
      <c r="K1017" s="58">
        <v>0</v>
      </c>
      <c r="L1017" s="58">
        <v>7.3968830016530596E+18</v>
      </c>
    </row>
    <row r="1018" spans="3:12">
      <c r="C1018" s="29" t="b">
        <v>0</v>
      </c>
      <c r="D1018" s="30" t="s">
        <v>1043</v>
      </c>
      <c r="E1018" s="137" t="s">
        <v>1018</v>
      </c>
      <c r="F1018" s="30" t="s">
        <v>68</v>
      </c>
      <c r="G1018" s="30">
        <v>74</v>
      </c>
      <c r="H1018" s="30">
        <v>210</v>
      </c>
      <c r="I1018" s="30">
        <v>28.32</v>
      </c>
      <c r="J1018" s="30" t="s">
        <v>71</v>
      </c>
      <c r="K1018" s="58">
        <v>0</v>
      </c>
      <c r="L1018" s="58">
        <v>9.6599224671747502E+18</v>
      </c>
    </row>
    <row r="1019" spans="3:12">
      <c r="C1019" s="29" t="b">
        <v>0</v>
      </c>
      <c r="D1019" s="30" t="s">
        <v>1044</v>
      </c>
      <c r="E1019" s="137" t="s">
        <v>1018</v>
      </c>
      <c r="F1019" s="30" t="s">
        <v>68</v>
      </c>
      <c r="G1019" s="30">
        <v>77</v>
      </c>
      <c r="H1019" s="30">
        <v>230</v>
      </c>
      <c r="I1019" s="30">
        <v>32.340000000000003</v>
      </c>
      <c r="J1019" s="30" t="s">
        <v>71</v>
      </c>
      <c r="K1019" s="58">
        <v>0</v>
      </c>
      <c r="L1019" s="58">
        <v>8.2919648359348204E+18</v>
      </c>
    </row>
    <row r="1020" spans="3:12">
      <c r="C1020" s="29" t="b">
        <v>0</v>
      </c>
      <c r="D1020" s="30" t="s">
        <v>1045</v>
      </c>
      <c r="E1020" s="137" t="s">
        <v>1018</v>
      </c>
      <c r="F1020" s="30" t="s">
        <v>68</v>
      </c>
      <c r="G1020" s="30">
        <v>71</v>
      </c>
      <c r="H1020" s="30">
        <v>210</v>
      </c>
      <c r="I1020" s="30">
        <v>34.97</v>
      </c>
      <c r="J1020" s="30" t="s">
        <v>71</v>
      </c>
      <c r="K1020" s="58">
        <v>0</v>
      </c>
      <c r="L1020" s="58">
        <v>7.8460291175962604E+18</v>
      </c>
    </row>
    <row r="1021" spans="3:12">
      <c r="C1021" s="29" t="b">
        <v>0</v>
      </c>
      <c r="D1021" s="30" t="s">
        <v>1046</v>
      </c>
      <c r="E1021" s="137" t="s">
        <v>1018</v>
      </c>
      <c r="F1021" s="30" t="s">
        <v>68</v>
      </c>
      <c r="G1021" s="30">
        <v>74</v>
      </c>
      <c r="H1021" s="30">
        <v>200</v>
      </c>
      <c r="I1021" s="30">
        <v>32.04</v>
      </c>
      <c r="J1021" s="30" t="s">
        <v>71</v>
      </c>
      <c r="K1021" s="58">
        <v>0</v>
      </c>
      <c r="L1021" s="58">
        <v>8.8464063829544397E+18</v>
      </c>
    </row>
    <row r="1022" spans="3:12">
      <c r="C1022" s="29" t="b">
        <v>0</v>
      </c>
      <c r="D1022" s="30" t="s">
        <v>1047</v>
      </c>
      <c r="E1022" s="137" t="s">
        <v>1018</v>
      </c>
      <c r="F1022" s="30" t="s">
        <v>68</v>
      </c>
      <c r="G1022" s="30">
        <v>75</v>
      </c>
      <c r="H1022" s="30">
        <v>238</v>
      </c>
      <c r="I1022" s="30">
        <v>23.49</v>
      </c>
      <c r="J1022" s="30" t="s">
        <v>71</v>
      </c>
      <c r="K1022" s="58">
        <v>0</v>
      </c>
      <c r="L1022" s="58">
        <v>1.58497761352332E+19</v>
      </c>
    </row>
    <row r="1023" spans="3:12">
      <c r="C1023" s="29" t="b">
        <v>0</v>
      </c>
      <c r="D1023" s="30" t="s">
        <v>1048</v>
      </c>
      <c r="E1023" s="137" t="s">
        <v>1018</v>
      </c>
      <c r="F1023" s="30" t="s">
        <v>68</v>
      </c>
      <c r="G1023" s="30">
        <v>77</v>
      </c>
      <c r="H1023" s="30">
        <v>234</v>
      </c>
      <c r="I1023" s="30">
        <v>26.09</v>
      </c>
      <c r="J1023" s="30" t="s">
        <v>71</v>
      </c>
      <c r="K1023" s="58">
        <v>0</v>
      </c>
      <c r="L1023" s="58">
        <v>4.1742257484614098E+18</v>
      </c>
    </row>
    <row r="1024" spans="3:12">
      <c r="C1024" s="29" t="b">
        <v>0</v>
      </c>
      <c r="D1024" s="30" t="s">
        <v>1049</v>
      </c>
      <c r="E1024" s="137" t="s">
        <v>1018</v>
      </c>
      <c r="F1024" s="30" t="s">
        <v>68</v>
      </c>
      <c r="G1024" s="30">
        <v>76</v>
      </c>
      <c r="H1024" s="30">
        <v>222</v>
      </c>
      <c r="I1024" s="30">
        <v>26.41</v>
      </c>
      <c r="J1024" s="30" t="s">
        <v>71</v>
      </c>
      <c r="K1024" s="58">
        <v>0</v>
      </c>
      <c r="L1024" s="58">
        <v>2.1453207314594299E+18</v>
      </c>
    </row>
    <row r="1025" spans="3:12">
      <c r="C1025" s="29" t="b">
        <v>0</v>
      </c>
      <c r="D1025" s="30" t="s">
        <v>1050</v>
      </c>
      <c r="E1025" s="137" t="s">
        <v>1018</v>
      </c>
      <c r="F1025" s="30" t="s">
        <v>68</v>
      </c>
      <c r="G1025" s="30">
        <v>74</v>
      </c>
      <c r="H1025" s="30">
        <v>200</v>
      </c>
      <c r="I1025" s="30">
        <v>26.55</v>
      </c>
      <c r="J1025" s="30" t="s">
        <v>71</v>
      </c>
      <c r="K1025" s="58">
        <v>0</v>
      </c>
      <c r="L1025" s="58">
        <v>7.1934104416705096E+18</v>
      </c>
    </row>
    <row r="1026" spans="3:12">
      <c r="C1026" s="29" t="b">
        <v>0</v>
      </c>
      <c r="D1026" s="30" t="s">
        <v>1051</v>
      </c>
      <c r="E1026" s="137" t="s">
        <v>1018</v>
      </c>
      <c r="F1026" s="30" t="s">
        <v>68</v>
      </c>
      <c r="G1026" s="30">
        <v>76</v>
      </c>
      <c r="H1026" s="30">
        <v>190</v>
      </c>
      <c r="I1026" s="30">
        <v>24.62</v>
      </c>
      <c r="J1026" s="30" t="s">
        <v>71</v>
      </c>
      <c r="K1026" s="58">
        <v>0</v>
      </c>
      <c r="L1026" s="58">
        <v>1.6899659080630499E+19</v>
      </c>
    </row>
    <row r="1027" spans="3:12">
      <c r="C1027" s="29" t="b">
        <v>0</v>
      </c>
      <c r="D1027" s="30" t="s">
        <v>1052</v>
      </c>
      <c r="E1027" s="137" t="s">
        <v>1018</v>
      </c>
      <c r="F1027" s="30" t="s">
        <v>68</v>
      </c>
      <c r="G1027" s="30">
        <v>72</v>
      </c>
      <c r="H1027" s="30">
        <v>170</v>
      </c>
      <c r="I1027" s="30">
        <v>28.49</v>
      </c>
      <c r="J1027" s="30" t="s">
        <v>71</v>
      </c>
      <c r="K1027" s="58">
        <v>0</v>
      </c>
      <c r="L1027" s="58">
        <v>1.5526894982656299E+19</v>
      </c>
    </row>
    <row r="1028" spans="3:12">
      <c r="C1028" s="29" t="b">
        <v>0</v>
      </c>
      <c r="D1028" s="30" t="s">
        <v>1053</v>
      </c>
      <c r="E1028" s="137" t="s">
        <v>1054</v>
      </c>
      <c r="F1028" s="30" t="s">
        <v>74</v>
      </c>
      <c r="G1028" s="30">
        <v>71</v>
      </c>
      <c r="H1028" s="30">
        <v>220</v>
      </c>
      <c r="I1028" s="30">
        <v>32.61</v>
      </c>
      <c r="J1028" s="30" t="s">
        <v>74</v>
      </c>
      <c r="K1028" s="58">
        <v>0</v>
      </c>
      <c r="L1028" s="58">
        <v>1.19978687771036E+19</v>
      </c>
    </row>
    <row r="1029" spans="3:12">
      <c r="C1029" s="29" t="b">
        <v>0</v>
      </c>
      <c r="D1029" s="30" t="s">
        <v>1055</v>
      </c>
      <c r="E1029" s="137" t="s">
        <v>1054</v>
      </c>
      <c r="F1029" s="30" t="s">
        <v>74</v>
      </c>
      <c r="G1029" s="30">
        <v>72</v>
      </c>
      <c r="H1029" s="30">
        <v>223</v>
      </c>
      <c r="I1029" s="30">
        <v>28.06</v>
      </c>
      <c r="J1029" s="30" t="s">
        <v>74</v>
      </c>
      <c r="K1029" s="58">
        <v>0</v>
      </c>
      <c r="L1029" s="58">
        <v>1.48933364432734E+19</v>
      </c>
    </row>
    <row r="1030" spans="3:12">
      <c r="C1030" s="29" t="b">
        <v>0</v>
      </c>
      <c r="D1030" s="30" t="s">
        <v>1056</v>
      </c>
      <c r="E1030" s="137" t="s">
        <v>1054</v>
      </c>
      <c r="F1030" s="30" t="s">
        <v>78</v>
      </c>
      <c r="G1030" s="30">
        <v>75</v>
      </c>
      <c r="H1030" s="30">
        <v>210</v>
      </c>
      <c r="I1030" s="30">
        <v>28.08</v>
      </c>
      <c r="J1030" s="30" t="s">
        <v>79</v>
      </c>
      <c r="K1030" s="58">
        <v>0</v>
      </c>
      <c r="L1030" s="58">
        <v>7.0370968241487698E+18</v>
      </c>
    </row>
    <row r="1031" spans="3:12">
      <c r="C1031" s="29" t="b">
        <v>0</v>
      </c>
      <c r="D1031" s="30" t="s">
        <v>1057</v>
      </c>
      <c r="E1031" s="137" t="s">
        <v>1054</v>
      </c>
      <c r="F1031" s="30" t="s">
        <v>78</v>
      </c>
      <c r="G1031" s="30">
        <v>73</v>
      </c>
      <c r="H1031" s="30">
        <v>215</v>
      </c>
      <c r="I1031" s="30">
        <v>37.340000000000003</v>
      </c>
      <c r="J1031" s="30" t="s">
        <v>79</v>
      </c>
      <c r="K1031" s="58">
        <v>0</v>
      </c>
      <c r="L1031" s="58">
        <v>1.0312556811108499E+19</v>
      </c>
    </row>
    <row r="1032" spans="3:12">
      <c r="C1032" s="29" t="b">
        <v>0</v>
      </c>
      <c r="D1032" s="30" t="s">
        <v>1058</v>
      </c>
      <c r="E1032" s="137" t="s">
        <v>1054</v>
      </c>
      <c r="F1032" s="30" t="s">
        <v>82</v>
      </c>
      <c r="G1032" s="30">
        <v>68</v>
      </c>
      <c r="H1032" s="30">
        <v>196</v>
      </c>
      <c r="I1032" s="30">
        <v>35.25</v>
      </c>
      <c r="J1032" s="30" t="s">
        <v>79</v>
      </c>
      <c r="K1032" s="58">
        <v>0</v>
      </c>
      <c r="L1032" s="58">
        <v>4.7068354665622702E+18</v>
      </c>
    </row>
    <row r="1033" spans="3:12">
      <c r="C1033" s="29" t="b">
        <v>0</v>
      </c>
      <c r="D1033" s="30" t="s">
        <v>1059</v>
      </c>
      <c r="E1033" s="137" t="s">
        <v>1054</v>
      </c>
      <c r="F1033" s="30" t="s">
        <v>82</v>
      </c>
      <c r="G1033" s="30">
        <v>72</v>
      </c>
      <c r="H1033" s="30">
        <v>175</v>
      </c>
      <c r="I1033" s="30">
        <v>24.77</v>
      </c>
      <c r="J1033" s="30" t="s">
        <v>79</v>
      </c>
      <c r="K1033" s="58">
        <v>0</v>
      </c>
      <c r="L1033" s="58">
        <v>1.5299155657435099E+19</v>
      </c>
    </row>
    <row r="1034" spans="3:12">
      <c r="C1034" s="29" t="b">
        <v>0</v>
      </c>
      <c r="D1034" s="30" t="s">
        <v>1060</v>
      </c>
      <c r="E1034" s="137" t="s">
        <v>1054</v>
      </c>
      <c r="F1034" s="30" t="s">
        <v>84</v>
      </c>
      <c r="G1034" s="30">
        <v>69</v>
      </c>
      <c r="H1034" s="30">
        <v>175</v>
      </c>
      <c r="I1034" s="30">
        <v>39.85</v>
      </c>
      <c r="J1034" s="30" t="s">
        <v>79</v>
      </c>
      <c r="K1034" s="58">
        <v>0</v>
      </c>
      <c r="L1034" s="58">
        <v>6.2112408970107003E+18</v>
      </c>
    </row>
    <row r="1035" spans="3:12">
      <c r="C1035" s="29" t="b">
        <v>0</v>
      </c>
      <c r="D1035" s="30" t="s">
        <v>1061</v>
      </c>
      <c r="E1035" s="137" t="s">
        <v>1054</v>
      </c>
      <c r="F1035" s="30" t="s">
        <v>86</v>
      </c>
      <c r="G1035" s="30">
        <v>73</v>
      </c>
      <c r="H1035" s="30">
        <v>189</v>
      </c>
      <c r="I1035" s="30">
        <v>35.49</v>
      </c>
      <c r="J1035" s="30" t="s">
        <v>79</v>
      </c>
      <c r="K1035" s="58">
        <v>0</v>
      </c>
      <c r="L1035" s="58">
        <v>2.0658505695056899E+17</v>
      </c>
    </row>
    <row r="1036" spans="3:12">
      <c r="C1036" s="29" t="b">
        <v>0</v>
      </c>
      <c r="D1036" s="30" t="s">
        <v>1062</v>
      </c>
      <c r="E1036" s="137" t="s">
        <v>1054</v>
      </c>
      <c r="F1036" s="30" t="s">
        <v>86</v>
      </c>
      <c r="G1036" s="30">
        <v>73</v>
      </c>
      <c r="H1036" s="30">
        <v>205</v>
      </c>
      <c r="I1036" s="30">
        <v>31.84</v>
      </c>
      <c r="J1036" s="30" t="s">
        <v>79</v>
      </c>
      <c r="K1036" s="58">
        <v>0</v>
      </c>
      <c r="L1036" s="58">
        <v>1.2900549645874601E+18</v>
      </c>
    </row>
    <row r="1037" spans="3:12">
      <c r="C1037" s="29" t="b">
        <v>0</v>
      </c>
      <c r="D1037" s="30" t="s">
        <v>1063</v>
      </c>
      <c r="E1037" s="137" t="s">
        <v>1054</v>
      </c>
      <c r="F1037" s="30" t="s">
        <v>89</v>
      </c>
      <c r="G1037" s="30">
        <v>75</v>
      </c>
      <c r="H1037" s="30">
        <v>210</v>
      </c>
      <c r="I1037" s="30">
        <v>26.67</v>
      </c>
      <c r="J1037" s="30" t="s">
        <v>89</v>
      </c>
      <c r="K1037" s="58">
        <v>0</v>
      </c>
      <c r="L1037" s="58">
        <v>9.5198946502931108E+18</v>
      </c>
    </row>
    <row r="1038" spans="3:12">
      <c r="C1038" s="29" t="b">
        <v>0</v>
      </c>
      <c r="D1038" s="30" t="s">
        <v>1064</v>
      </c>
      <c r="E1038" s="137" t="s">
        <v>1054</v>
      </c>
      <c r="F1038" s="30" t="s">
        <v>89</v>
      </c>
      <c r="G1038" s="30">
        <v>70</v>
      </c>
      <c r="H1038" s="30">
        <v>180</v>
      </c>
      <c r="I1038" s="30">
        <v>34.75</v>
      </c>
      <c r="J1038" s="30" t="s">
        <v>89</v>
      </c>
      <c r="K1038" s="58">
        <v>0</v>
      </c>
      <c r="L1038" s="58">
        <v>1.7252193416511001E+19</v>
      </c>
    </row>
    <row r="1039" spans="3:12">
      <c r="C1039" s="29" t="b">
        <v>0</v>
      </c>
      <c r="D1039" s="30" t="s">
        <v>1065</v>
      </c>
      <c r="E1039" s="137" t="s">
        <v>1054</v>
      </c>
      <c r="F1039" s="30" t="s">
        <v>89</v>
      </c>
      <c r="G1039" s="30">
        <v>70</v>
      </c>
      <c r="H1039" s="30">
        <v>180</v>
      </c>
      <c r="I1039" s="30">
        <v>28.91</v>
      </c>
      <c r="J1039" s="30" t="s">
        <v>89</v>
      </c>
      <c r="K1039" s="58">
        <v>0</v>
      </c>
      <c r="L1039" s="58">
        <v>1.6626872079391701E+19</v>
      </c>
    </row>
    <row r="1040" spans="3:12">
      <c r="C1040" s="29" t="b">
        <v>0</v>
      </c>
      <c r="D1040" s="30" t="s">
        <v>1066</v>
      </c>
      <c r="E1040" s="137" t="s">
        <v>1054</v>
      </c>
      <c r="F1040" s="30" t="s">
        <v>89</v>
      </c>
      <c r="G1040" s="30">
        <v>74</v>
      </c>
      <c r="H1040" s="30">
        <v>197</v>
      </c>
      <c r="I1040" s="30">
        <v>32.729999999999997</v>
      </c>
      <c r="J1040" s="30" t="s">
        <v>89</v>
      </c>
      <c r="K1040" s="58">
        <v>0</v>
      </c>
      <c r="L1040" s="58">
        <v>1.3719202380109799E+19</v>
      </c>
    </row>
    <row r="1041" spans="3:12">
      <c r="C1041" s="29" t="b">
        <v>0</v>
      </c>
      <c r="D1041" s="30" t="s">
        <v>1067</v>
      </c>
      <c r="E1041" s="137" t="s">
        <v>1054</v>
      </c>
      <c r="F1041" s="30" t="s">
        <v>89</v>
      </c>
      <c r="G1041" s="30">
        <v>75</v>
      </c>
      <c r="H1041" s="30">
        <v>220</v>
      </c>
      <c r="I1041" s="30">
        <v>35.72</v>
      </c>
      <c r="J1041" s="30" t="s">
        <v>89</v>
      </c>
      <c r="K1041" s="58">
        <v>0</v>
      </c>
      <c r="L1041" s="58">
        <v>1.35312155194873E+19</v>
      </c>
    </row>
    <row r="1042" spans="3:12">
      <c r="C1042" s="29" t="b">
        <v>0</v>
      </c>
      <c r="D1042" s="30" t="s">
        <v>1068</v>
      </c>
      <c r="E1042" s="137" t="s">
        <v>1054</v>
      </c>
      <c r="F1042" s="30" t="s">
        <v>89</v>
      </c>
      <c r="G1042" s="30">
        <v>74</v>
      </c>
      <c r="H1042" s="30">
        <v>228</v>
      </c>
      <c r="I1042" s="30">
        <v>42.6</v>
      </c>
      <c r="J1042" s="30" t="s">
        <v>89</v>
      </c>
      <c r="K1042" s="58">
        <v>0</v>
      </c>
      <c r="L1042" s="58">
        <v>8.6605255091727299E+18</v>
      </c>
    </row>
    <row r="1043" spans="3:12">
      <c r="C1043" s="29" t="b">
        <v>0</v>
      </c>
      <c r="D1043" s="30" t="s">
        <v>1069</v>
      </c>
      <c r="E1043" s="137" t="s">
        <v>1054</v>
      </c>
      <c r="F1043" s="30" t="s">
        <v>89</v>
      </c>
      <c r="G1043" s="30">
        <v>74</v>
      </c>
      <c r="H1043" s="30">
        <v>190</v>
      </c>
      <c r="I1043" s="30">
        <v>26.22</v>
      </c>
      <c r="J1043" s="30" t="s">
        <v>89</v>
      </c>
      <c r="K1043" s="58">
        <v>0</v>
      </c>
      <c r="L1043" s="58">
        <v>9.4486053433924403E+18</v>
      </c>
    </row>
    <row r="1044" spans="3:12">
      <c r="C1044" s="29" t="b">
        <v>0</v>
      </c>
      <c r="D1044" s="30" t="s">
        <v>1070</v>
      </c>
      <c r="E1044" s="137" t="s">
        <v>1054</v>
      </c>
      <c r="F1044" s="30" t="s">
        <v>97</v>
      </c>
      <c r="G1044" s="30">
        <v>73</v>
      </c>
      <c r="H1044" s="30">
        <v>204</v>
      </c>
      <c r="I1044" s="30">
        <v>21.85</v>
      </c>
      <c r="J1044" s="30" t="s">
        <v>71</v>
      </c>
      <c r="K1044" s="58">
        <v>0</v>
      </c>
      <c r="L1044" s="58">
        <v>1.75137048827748E+19</v>
      </c>
    </row>
    <row r="1045" spans="3:12">
      <c r="C1045" s="29" t="b">
        <v>0</v>
      </c>
      <c r="D1045" s="30" t="s">
        <v>1071</v>
      </c>
      <c r="E1045" s="137" t="s">
        <v>1054</v>
      </c>
      <c r="F1045" s="30" t="s">
        <v>97</v>
      </c>
      <c r="G1045" s="30">
        <v>74</v>
      </c>
      <c r="H1045" s="30">
        <v>165</v>
      </c>
      <c r="I1045" s="30">
        <v>24.28</v>
      </c>
      <c r="J1045" s="30" t="s">
        <v>71</v>
      </c>
      <c r="K1045" s="58">
        <v>0</v>
      </c>
      <c r="L1045" s="58">
        <v>1.1682597153044601E+19</v>
      </c>
    </row>
    <row r="1046" spans="3:12">
      <c r="C1046" s="29" t="b">
        <v>0</v>
      </c>
      <c r="D1046" s="30" t="s">
        <v>1072</v>
      </c>
      <c r="E1046" s="137" t="s">
        <v>1054</v>
      </c>
      <c r="F1046" s="30" t="s">
        <v>97</v>
      </c>
      <c r="G1046" s="30">
        <v>75</v>
      </c>
      <c r="H1046" s="30">
        <v>216</v>
      </c>
      <c r="I1046" s="30">
        <v>22.41</v>
      </c>
      <c r="J1046" s="30" t="s">
        <v>71</v>
      </c>
      <c r="K1046" s="58">
        <v>0</v>
      </c>
      <c r="L1046" s="58">
        <v>1.78976868692242E+19</v>
      </c>
    </row>
    <row r="1047" spans="3:12">
      <c r="C1047" s="29" t="b">
        <v>0</v>
      </c>
      <c r="D1047" s="30" t="s">
        <v>1073</v>
      </c>
      <c r="E1047" s="137" t="s">
        <v>1054</v>
      </c>
      <c r="F1047" s="30" t="s">
        <v>97</v>
      </c>
      <c r="G1047" s="30">
        <v>77</v>
      </c>
      <c r="H1047" s="30">
        <v>220</v>
      </c>
      <c r="I1047" s="30">
        <v>32.56</v>
      </c>
      <c r="J1047" s="30" t="s">
        <v>71</v>
      </c>
      <c r="K1047" s="58">
        <v>0</v>
      </c>
      <c r="L1047" s="58">
        <v>8.8922739237902899E+18</v>
      </c>
    </row>
    <row r="1048" spans="3:12">
      <c r="C1048" s="29" t="b">
        <v>0</v>
      </c>
      <c r="D1048" s="30" t="s">
        <v>1074</v>
      </c>
      <c r="E1048" s="137" t="s">
        <v>1054</v>
      </c>
      <c r="F1048" s="30" t="s">
        <v>97</v>
      </c>
      <c r="G1048" s="30">
        <v>73</v>
      </c>
      <c r="H1048" s="30">
        <v>208</v>
      </c>
      <c r="I1048" s="30">
        <v>32.74</v>
      </c>
      <c r="J1048" s="30" t="s">
        <v>71</v>
      </c>
      <c r="K1048" s="58">
        <v>0</v>
      </c>
      <c r="L1048" s="58">
        <v>1.54325876054906E+19</v>
      </c>
    </row>
    <row r="1049" spans="3:12">
      <c r="C1049" s="29" t="b">
        <v>0</v>
      </c>
      <c r="D1049" s="30" t="s">
        <v>1075</v>
      </c>
      <c r="E1049" s="137" t="s">
        <v>1054</v>
      </c>
      <c r="F1049" s="30" t="s">
        <v>97</v>
      </c>
      <c r="G1049" s="30">
        <v>74</v>
      </c>
      <c r="H1049" s="30">
        <v>210</v>
      </c>
      <c r="I1049" s="30">
        <v>26.39</v>
      </c>
      <c r="J1049" s="30" t="s">
        <v>71</v>
      </c>
      <c r="K1049" s="58">
        <v>0</v>
      </c>
      <c r="L1049" s="58">
        <v>1.2640379679137401E+19</v>
      </c>
    </row>
    <row r="1050" spans="3:12">
      <c r="C1050" s="29" t="b">
        <v>0</v>
      </c>
      <c r="D1050" s="30" t="s">
        <v>1076</v>
      </c>
      <c r="E1050" s="137" t="s">
        <v>1054</v>
      </c>
      <c r="F1050" s="30" t="s">
        <v>97</v>
      </c>
      <c r="G1050" s="30">
        <v>76</v>
      </c>
      <c r="H1050" s="30">
        <v>215</v>
      </c>
      <c r="I1050" s="30">
        <v>28.8</v>
      </c>
      <c r="J1050" s="30" t="s">
        <v>71</v>
      </c>
      <c r="K1050" s="58">
        <v>0</v>
      </c>
      <c r="L1050" s="58">
        <v>7.6244298729275197E+18</v>
      </c>
    </row>
    <row r="1051" spans="3:12">
      <c r="C1051" s="29" t="b">
        <v>0</v>
      </c>
      <c r="D1051" s="30" t="s">
        <v>1077</v>
      </c>
      <c r="E1051" s="137" t="s">
        <v>1054</v>
      </c>
      <c r="F1051" s="30" t="s">
        <v>68</v>
      </c>
      <c r="G1051" s="30">
        <v>74</v>
      </c>
      <c r="H1051" s="30">
        <v>195</v>
      </c>
      <c r="I1051" s="30">
        <v>28.2</v>
      </c>
      <c r="J1051" s="30" t="s">
        <v>71</v>
      </c>
      <c r="K1051" s="58">
        <v>0</v>
      </c>
      <c r="L1051" s="58">
        <v>7.4102905533572997E+18</v>
      </c>
    </row>
    <row r="1052" spans="3:12">
      <c r="C1052" s="29" t="b">
        <v>0</v>
      </c>
      <c r="D1052" s="30" t="s">
        <v>1078</v>
      </c>
      <c r="E1052" s="137" t="s">
        <v>1054</v>
      </c>
      <c r="F1052" s="30" t="s">
        <v>68</v>
      </c>
      <c r="G1052" s="30">
        <v>75</v>
      </c>
      <c r="H1052" s="30">
        <v>200</v>
      </c>
      <c r="I1052" s="30">
        <v>26.52</v>
      </c>
      <c r="J1052" s="30" t="s">
        <v>71</v>
      </c>
      <c r="K1052" s="58">
        <v>0</v>
      </c>
      <c r="L1052" s="58">
        <v>8.7008853023702702E+18</v>
      </c>
    </row>
    <row r="1053" spans="3:12">
      <c r="C1053" s="29" t="b">
        <v>0</v>
      </c>
      <c r="D1053" s="30" t="s">
        <v>1079</v>
      </c>
      <c r="E1053" s="137" t="s">
        <v>1054</v>
      </c>
      <c r="F1053" s="30" t="s">
        <v>68</v>
      </c>
      <c r="G1053" s="30">
        <v>73</v>
      </c>
      <c r="H1053" s="30">
        <v>215</v>
      </c>
      <c r="I1053" s="30">
        <v>34.520000000000003</v>
      </c>
      <c r="J1053" s="30" t="s">
        <v>71</v>
      </c>
      <c r="K1053" s="58">
        <v>0</v>
      </c>
      <c r="L1053" s="58">
        <v>1.66569488551819E+19</v>
      </c>
    </row>
    <row r="1054" spans="3:12">
      <c r="C1054" s="29" t="b">
        <v>0</v>
      </c>
      <c r="D1054" s="30" t="s">
        <v>1080</v>
      </c>
      <c r="E1054" s="137" t="s">
        <v>1054</v>
      </c>
      <c r="F1054" s="30" t="s">
        <v>68</v>
      </c>
      <c r="G1054" s="30">
        <v>76</v>
      </c>
      <c r="H1054" s="30">
        <v>229</v>
      </c>
      <c r="I1054" s="30">
        <v>34.32</v>
      </c>
      <c r="J1054" s="30" t="s">
        <v>71</v>
      </c>
      <c r="K1054" s="58">
        <v>0</v>
      </c>
      <c r="L1054" s="58">
        <v>1.27569585066163E+19</v>
      </c>
    </row>
    <row r="1055" spans="3:12">
      <c r="C1055" s="29" t="b">
        <v>0</v>
      </c>
      <c r="D1055" s="30" t="s">
        <v>1081</v>
      </c>
      <c r="E1055" s="137" t="s">
        <v>1054</v>
      </c>
      <c r="F1055" s="30" t="s">
        <v>68</v>
      </c>
      <c r="G1055" s="30">
        <v>78</v>
      </c>
      <c r="H1055" s="30">
        <v>240</v>
      </c>
      <c r="I1055" s="30">
        <v>26.98</v>
      </c>
      <c r="J1055" s="30" t="s">
        <v>71</v>
      </c>
      <c r="K1055" s="58">
        <v>0</v>
      </c>
      <c r="L1055" s="58">
        <v>8.9188442651857603E+18</v>
      </c>
    </row>
    <row r="1056" spans="3:12">
      <c r="C1056" s="29" t="b">
        <v>0</v>
      </c>
      <c r="D1056" s="30" t="s">
        <v>1082</v>
      </c>
      <c r="E1056" s="137" t="s">
        <v>1054</v>
      </c>
      <c r="F1056" s="30" t="s">
        <v>68</v>
      </c>
      <c r="G1056" s="30">
        <v>75</v>
      </c>
      <c r="H1056" s="30">
        <v>207</v>
      </c>
      <c r="I1056" s="30">
        <v>28.86</v>
      </c>
      <c r="J1056" s="30" t="s">
        <v>71</v>
      </c>
      <c r="K1056" s="58">
        <v>0</v>
      </c>
      <c r="L1056" s="58">
        <v>1.5368722082243701E+19</v>
      </c>
    </row>
    <row r="1057" spans="3:12">
      <c r="C1057" s="29" t="b">
        <v>0</v>
      </c>
      <c r="D1057" s="30" t="s">
        <v>1083</v>
      </c>
      <c r="E1057" s="137" t="s">
        <v>1054</v>
      </c>
      <c r="F1057" s="30" t="s">
        <v>68</v>
      </c>
      <c r="G1057" s="30">
        <v>73</v>
      </c>
      <c r="H1057" s="30">
        <v>205</v>
      </c>
      <c r="I1057" s="30">
        <v>24.96</v>
      </c>
      <c r="J1057" s="30" t="s">
        <v>71</v>
      </c>
      <c r="K1057" s="58">
        <v>0</v>
      </c>
      <c r="L1057" s="58">
        <v>1.6918394253453699E+19</v>
      </c>
    </row>
    <row r="1058" spans="3:12">
      <c r="C1058" s="29" t="b">
        <v>0</v>
      </c>
      <c r="D1058" s="30" t="s">
        <v>1084</v>
      </c>
      <c r="E1058" s="137" t="s">
        <v>1054</v>
      </c>
      <c r="F1058" s="30" t="s">
        <v>68</v>
      </c>
      <c r="G1058" s="30">
        <v>77</v>
      </c>
      <c r="H1058" s="30">
        <v>208</v>
      </c>
      <c r="I1058" s="30">
        <v>25.3</v>
      </c>
      <c r="J1058" s="30" t="s">
        <v>71</v>
      </c>
      <c r="K1058" s="58">
        <v>0</v>
      </c>
      <c r="L1058" s="58">
        <v>1.1337243900281201E+19</v>
      </c>
    </row>
    <row r="1059" spans="3:12">
      <c r="C1059" s="29" t="b">
        <v>0</v>
      </c>
      <c r="D1059" s="30" t="s">
        <v>1085</v>
      </c>
      <c r="E1059" s="137" t="s">
        <v>1054</v>
      </c>
      <c r="F1059" s="30" t="s">
        <v>68</v>
      </c>
      <c r="G1059" s="30">
        <v>74</v>
      </c>
      <c r="H1059" s="30">
        <v>185</v>
      </c>
      <c r="I1059" s="30">
        <v>27.06</v>
      </c>
      <c r="J1059" s="30" t="s">
        <v>71</v>
      </c>
      <c r="K1059" s="58">
        <v>0</v>
      </c>
      <c r="L1059" s="58">
        <v>1.4031042025953201E+18</v>
      </c>
    </row>
    <row r="1060" spans="3:12">
      <c r="C1060" s="29" t="b">
        <v>0</v>
      </c>
      <c r="D1060" s="30" t="s">
        <v>1086</v>
      </c>
      <c r="E1060" s="137" t="s">
        <v>1054</v>
      </c>
      <c r="F1060" s="30" t="s">
        <v>68</v>
      </c>
      <c r="G1060" s="30">
        <v>72</v>
      </c>
      <c r="H1060" s="30">
        <v>190</v>
      </c>
      <c r="I1060" s="30">
        <v>25.44</v>
      </c>
      <c r="J1060" s="30" t="s">
        <v>71</v>
      </c>
      <c r="K1060" s="58">
        <v>0</v>
      </c>
      <c r="L1060" s="58">
        <v>1.22061279311477E+19</v>
      </c>
    </row>
    <row r="1061" spans="3:12">
      <c r="C1061" s="29" t="b">
        <v>0</v>
      </c>
      <c r="D1061" s="30" t="s">
        <v>1087</v>
      </c>
      <c r="E1061" s="137" t="s">
        <v>1054</v>
      </c>
      <c r="F1061" s="30" t="s">
        <v>68</v>
      </c>
      <c r="G1061" s="30">
        <v>74</v>
      </c>
      <c r="H1061" s="30">
        <v>170</v>
      </c>
      <c r="I1061" s="30">
        <v>25.53</v>
      </c>
      <c r="J1061" s="30" t="s">
        <v>71</v>
      </c>
      <c r="K1061" s="58">
        <v>0</v>
      </c>
      <c r="L1061" s="58">
        <v>6.855488564228E+16</v>
      </c>
    </row>
    <row r="1062" spans="3:12">
      <c r="C1062" s="29" t="b">
        <v>0</v>
      </c>
      <c r="D1062" s="30" t="s">
        <v>1088</v>
      </c>
      <c r="E1062" s="137" t="s">
        <v>1089</v>
      </c>
      <c r="F1062" s="30" t="s">
        <v>74</v>
      </c>
      <c r="G1062" s="30">
        <v>72</v>
      </c>
      <c r="H1062" s="30">
        <v>208</v>
      </c>
      <c r="I1062" s="30">
        <v>34.869999999999997</v>
      </c>
      <c r="J1062" s="30" t="s">
        <v>74</v>
      </c>
      <c r="K1062" s="58">
        <v>0</v>
      </c>
      <c r="L1062" s="58">
        <v>3.1332130615979802E+18</v>
      </c>
    </row>
    <row r="1063" spans="3:12">
      <c r="C1063" s="29" t="b">
        <v>0</v>
      </c>
      <c r="D1063" s="30" t="s">
        <v>1090</v>
      </c>
      <c r="E1063" s="137" t="s">
        <v>1089</v>
      </c>
      <c r="F1063" s="30" t="s">
        <v>74</v>
      </c>
      <c r="G1063" s="30">
        <v>71</v>
      </c>
      <c r="H1063" s="30">
        <v>225</v>
      </c>
      <c r="I1063" s="30">
        <v>24.63</v>
      </c>
      <c r="J1063" s="30" t="s">
        <v>74</v>
      </c>
      <c r="K1063" s="58">
        <v>0</v>
      </c>
      <c r="L1063" s="58">
        <v>1.2839606176355799E+19</v>
      </c>
    </row>
    <row r="1064" spans="3:12">
      <c r="C1064" s="29" t="b">
        <v>0</v>
      </c>
      <c r="D1064" s="30" t="s">
        <v>1091</v>
      </c>
      <c r="E1064" s="137" t="s">
        <v>1089</v>
      </c>
      <c r="F1064" s="30" t="s">
        <v>78</v>
      </c>
      <c r="G1064" s="30">
        <v>73</v>
      </c>
      <c r="H1064" s="30">
        <v>190</v>
      </c>
      <c r="I1064" s="30">
        <v>27.99</v>
      </c>
      <c r="J1064" s="30" t="s">
        <v>79</v>
      </c>
      <c r="K1064" s="58">
        <v>0</v>
      </c>
      <c r="L1064" s="58">
        <v>6.5105118521856602E+17</v>
      </c>
    </row>
    <row r="1065" spans="3:12">
      <c r="C1065" s="29" t="b">
        <v>0</v>
      </c>
      <c r="D1065" s="30" t="s">
        <v>1092</v>
      </c>
      <c r="E1065" s="137" t="s">
        <v>1089</v>
      </c>
      <c r="F1065" s="30" t="s">
        <v>78</v>
      </c>
      <c r="G1065" s="30">
        <v>75</v>
      </c>
      <c r="H1065" s="30">
        <v>225</v>
      </c>
      <c r="I1065" s="30">
        <v>27.12</v>
      </c>
      <c r="J1065" s="30" t="s">
        <v>79</v>
      </c>
      <c r="K1065" s="58">
        <v>0</v>
      </c>
      <c r="L1065" s="58">
        <v>9.6290445848112294E+17</v>
      </c>
    </row>
    <row r="1066" spans="3:12">
      <c r="C1066" s="29" t="b">
        <v>0</v>
      </c>
      <c r="D1066" s="30" t="s">
        <v>1093</v>
      </c>
      <c r="E1066" s="137" t="s">
        <v>1089</v>
      </c>
      <c r="F1066" s="30" t="s">
        <v>82</v>
      </c>
      <c r="G1066" s="30">
        <v>73</v>
      </c>
      <c r="H1066" s="30">
        <v>185</v>
      </c>
      <c r="I1066" s="30">
        <v>31.14</v>
      </c>
      <c r="J1066" s="30" t="s">
        <v>79</v>
      </c>
      <c r="K1066" s="58">
        <v>0</v>
      </c>
      <c r="L1066" s="58">
        <v>3.2320293003445202E+18</v>
      </c>
    </row>
    <row r="1067" spans="3:12">
      <c r="C1067" s="29" t="b">
        <v>0</v>
      </c>
      <c r="D1067" s="30" t="s">
        <v>1094</v>
      </c>
      <c r="E1067" s="137" t="s">
        <v>1089</v>
      </c>
      <c r="F1067" s="30" t="s">
        <v>82</v>
      </c>
      <c r="G1067" s="30">
        <v>67</v>
      </c>
      <c r="H1067" s="30">
        <v>180</v>
      </c>
      <c r="I1067" s="30">
        <v>30.21</v>
      </c>
      <c r="J1067" s="30" t="s">
        <v>79</v>
      </c>
      <c r="K1067" s="58">
        <v>0</v>
      </c>
      <c r="L1067" s="58">
        <v>7.8351217287190405E+18</v>
      </c>
    </row>
    <row r="1068" spans="3:12">
      <c r="C1068" s="29" t="b">
        <v>0</v>
      </c>
      <c r="D1068" s="30" t="s">
        <v>1095</v>
      </c>
      <c r="E1068" s="137" t="s">
        <v>1089</v>
      </c>
      <c r="F1068" s="30" t="s">
        <v>84</v>
      </c>
      <c r="G1068" s="30">
        <v>67</v>
      </c>
      <c r="H1068" s="30">
        <v>165</v>
      </c>
      <c r="I1068" s="30">
        <v>32.11</v>
      </c>
      <c r="J1068" s="30" t="s">
        <v>79</v>
      </c>
      <c r="K1068" s="58">
        <v>0</v>
      </c>
      <c r="L1068" s="58">
        <v>6.4837175029962004E+18</v>
      </c>
    </row>
    <row r="1069" spans="3:12">
      <c r="C1069" s="29" t="b">
        <v>0</v>
      </c>
      <c r="D1069" s="30" t="s">
        <v>1096</v>
      </c>
      <c r="E1069" s="137" t="s">
        <v>1089</v>
      </c>
      <c r="F1069" s="30" t="s">
        <v>86</v>
      </c>
      <c r="G1069" s="30">
        <v>76</v>
      </c>
      <c r="H1069" s="30">
        <v>240</v>
      </c>
      <c r="I1069" s="30">
        <v>31.91</v>
      </c>
      <c r="J1069" s="30" t="s">
        <v>79</v>
      </c>
      <c r="K1069" s="58">
        <v>0</v>
      </c>
      <c r="L1069" s="58">
        <v>1.79763121792646E+19</v>
      </c>
    </row>
    <row r="1070" spans="3:12">
      <c r="C1070" s="29" t="b">
        <v>0</v>
      </c>
      <c r="D1070" s="30" t="s">
        <v>1097</v>
      </c>
      <c r="E1070" s="137" t="s">
        <v>1089</v>
      </c>
      <c r="F1070" s="30" t="s">
        <v>86</v>
      </c>
      <c r="G1070" s="30">
        <v>74</v>
      </c>
      <c r="H1070" s="30">
        <v>220</v>
      </c>
      <c r="I1070" s="30">
        <v>34.44</v>
      </c>
      <c r="J1070" s="30" t="s">
        <v>79</v>
      </c>
      <c r="K1070" s="58">
        <v>0</v>
      </c>
      <c r="L1070" s="58">
        <v>1.4389846088623301E+19</v>
      </c>
    </row>
    <row r="1071" spans="3:12">
      <c r="C1071" s="29" t="b">
        <v>0</v>
      </c>
      <c r="D1071" s="30" t="s">
        <v>1098</v>
      </c>
      <c r="E1071" s="137" t="s">
        <v>1089</v>
      </c>
      <c r="F1071" s="30" t="s">
        <v>89</v>
      </c>
      <c r="G1071" s="30">
        <v>73</v>
      </c>
      <c r="H1071" s="30">
        <v>212</v>
      </c>
      <c r="I1071" s="30">
        <v>36.68</v>
      </c>
      <c r="J1071" s="30" t="s">
        <v>89</v>
      </c>
      <c r="K1071" s="58">
        <v>0</v>
      </c>
      <c r="L1071" s="58">
        <v>5.8475895986951895E+18</v>
      </c>
    </row>
    <row r="1072" spans="3:12">
      <c r="C1072" s="29" t="b">
        <v>0</v>
      </c>
      <c r="D1072" s="30" t="s">
        <v>1099</v>
      </c>
      <c r="E1072" s="137" t="s">
        <v>1089</v>
      </c>
      <c r="F1072" s="30" t="s">
        <v>89</v>
      </c>
      <c r="G1072" s="30">
        <v>70</v>
      </c>
      <c r="H1072" s="30">
        <v>163</v>
      </c>
      <c r="I1072" s="30">
        <v>37.659999999999997</v>
      </c>
      <c r="J1072" s="30" t="s">
        <v>89</v>
      </c>
      <c r="K1072" s="58">
        <v>0</v>
      </c>
      <c r="L1072" s="58">
        <v>1.2661891410573601E+19</v>
      </c>
    </row>
    <row r="1073" spans="3:12">
      <c r="C1073" s="29" t="b">
        <v>0</v>
      </c>
      <c r="D1073" s="30" t="s">
        <v>1100</v>
      </c>
      <c r="E1073" s="137" t="s">
        <v>1089</v>
      </c>
      <c r="F1073" s="30" t="s">
        <v>89</v>
      </c>
      <c r="G1073" s="30">
        <v>75</v>
      </c>
      <c r="H1073" s="30">
        <v>215</v>
      </c>
      <c r="I1073" s="30">
        <v>30.98</v>
      </c>
      <c r="J1073" s="30" t="s">
        <v>89</v>
      </c>
      <c r="K1073" s="58">
        <v>0</v>
      </c>
      <c r="L1073" s="58">
        <v>1.7105552209569499E+19</v>
      </c>
    </row>
    <row r="1074" spans="3:12">
      <c r="C1074" s="29" t="b">
        <v>0</v>
      </c>
      <c r="D1074" s="30" t="s">
        <v>1101</v>
      </c>
      <c r="E1074" s="137" t="s">
        <v>1089</v>
      </c>
      <c r="F1074" s="30" t="s">
        <v>89</v>
      </c>
      <c r="G1074" s="30">
        <v>70</v>
      </c>
      <c r="H1074" s="30">
        <v>175</v>
      </c>
      <c r="I1074" s="30">
        <v>27.07</v>
      </c>
      <c r="J1074" s="30" t="s">
        <v>89</v>
      </c>
      <c r="K1074" s="58">
        <v>0</v>
      </c>
      <c r="L1074" s="58">
        <v>1.67255642580271E+19</v>
      </c>
    </row>
    <row r="1075" spans="3:12">
      <c r="C1075" s="29" t="b">
        <v>0</v>
      </c>
      <c r="D1075" s="30" t="s">
        <v>1102</v>
      </c>
      <c r="E1075" s="137" t="s">
        <v>1089</v>
      </c>
      <c r="F1075" s="30" t="s">
        <v>89</v>
      </c>
      <c r="G1075" s="30">
        <v>72</v>
      </c>
      <c r="H1075" s="30">
        <v>205</v>
      </c>
      <c r="I1075" s="30">
        <v>29.11</v>
      </c>
      <c r="J1075" s="30" t="s">
        <v>89</v>
      </c>
      <c r="K1075" s="58">
        <v>0</v>
      </c>
      <c r="L1075" s="58">
        <v>9.5273593684241695E+18</v>
      </c>
    </row>
    <row r="1076" spans="3:12">
      <c r="C1076" s="29" t="b">
        <v>0</v>
      </c>
      <c r="D1076" s="30" t="s">
        <v>1103</v>
      </c>
      <c r="E1076" s="137" t="s">
        <v>1089</v>
      </c>
      <c r="F1076" s="30" t="s">
        <v>89</v>
      </c>
      <c r="G1076" s="30">
        <v>77</v>
      </c>
      <c r="H1076" s="30">
        <v>210</v>
      </c>
      <c r="I1076" s="30">
        <v>25.82</v>
      </c>
      <c r="J1076" s="30" t="s">
        <v>89</v>
      </c>
      <c r="K1076" s="58">
        <v>0</v>
      </c>
      <c r="L1076" s="58">
        <v>1.34948947237648E+18</v>
      </c>
    </row>
    <row r="1077" spans="3:12">
      <c r="C1077" s="29" t="b">
        <v>0</v>
      </c>
      <c r="D1077" s="30" t="s">
        <v>1104</v>
      </c>
      <c r="E1077" s="137" t="s">
        <v>1089</v>
      </c>
      <c r="F1077" s="30" t="s">
        <v>97</v>
      </c>
      <c r="G1077" s="30">
        <v>79</v>
      </c>
      <c r="H1077" s="30">
        <v>205</v>
      </c>
      <c r="I1077" s="30">
        <v>25.5</v>
      </c>
      <c r="J1077" s="30" t="s">
        <v>71</v>
      </c>
      <c r="K1077" s="58">
        <v>0</v>
      </c>
      <c r="L1077" s="58">
        <v>4.22526583285201E+18</v>
      </c>
    </row>
    <row r="1078" spans="3:12">
      <c r="C1078" s="29" t="b">
        <v>0</v>
      </c>
      <c r="D1078" s="30" t="s">
        <v>1105</v>
      </c>
      <c r="E1078" s="137" t="s">
        <v>1089</v>
      </c>
      <c r="F1078" s="30" t="s">
        <v>97</v>
      </c>
      <c r="G1078" s="30">
        <v>78</v>
      </c>
      <c r="H1078" s="30">
        <v>208</v>
      </c>
      <c r="I1078" s="30">
        <v>29.57</v>
      </c>
      <c r="J1078" s="30" t="s">
        <v>71</v>
      </c>
      <c r="K1078" s="58">
        <v>0</v>
      </c>
      <c r="L1078" s="58">
        <v>1.20229507166063E+19</v>
      </c>
    </row>
    <row r="1079" spans="3:12">
      <c r="C1079" s="29" t="b">
        <v>0</v>
      </c>
      <c r="D1079" s="30" t="s">
        <v>1106</v>
      </c>
      <c r="E1079" s="137" t="s">
        <v>1089</v>
      </c>
      <c r="F1079" s="30" t="s">
        <v>97</v>
      </c>
      <c r="G1079" s="30">
        <v>74</v>
      </c>
      <c r="H1079" s="30">
        <v>215</v>
      </c>
      <c r="I1079" s="30">
        <v>25.37</v>
      </c>
      <c r="J1079" s="30" t="s">
        <v>71</v>
      </c>
      <c r="K1079" s="58">
        <v>0</v>
      </c>
      <c r="L1079" s="58">
        <v>3.3476153007321298E+18</v>
      </c>
    </row>
    <row r="1080" spans="3:12">
      <c r="C1080" s="29" t="b">
        <v>0</v>
      </c>
      <c r="D1080" s="30" t="s">
        <v>1107</v>
      </c>
      <c r="E1080" s="137" t="s">
        <v>1089</v>
      </c>
      <c r="F1080" s="30" t="s">
        <v>97</v>
      </c>
      <c r="G1080" s="30">
        <v>75</v>
      </c>
      <c r="H1080" s="30">
        <v>180</v>
      </c>
      <c r="I1080" s="30">
        <v>33.99</v>
      </c>
      <c r="J1080" s="30" t="s">
        <v>71</v>
      </c>
      <c r="K1080" s="58">
        <v>0</v>
      </c>
      <c r="L1080" s="58">
        <v>1.2653712223671501E+19</v>
      </c>
    </row>
    <row r="1081" spans="3:12">
      <c r="C1081" s="29" t="b">
        <v>0</v>
      </c>
      <c r="D1081" s="30" t="s">
        <v>1108</v>
      </c>
      <c r="E1081" s="137" t="s">
        <v>1089</v>
      </c>
      <c r="F1081" s="30" t="s">
        <v>97</v>
      </c>
      <c r="G1081" s="30">
        <v>75</v>
      </c>
      <c r="H1081" s="30">
        <v>200</v>
      </c>
      <c r="I1081" s="30">
        <v>29.86</v>
      </c>
      <c r="J1081" s="30" t="s">
        <v>71</v>
      </c>
      <c r="K1081" s="58">
        <v>0</v>
      </c>
      <c r="L1081" s="58">
        <v>1.55362807375563E+19</v>
      </c>
    </row>
    <row r="1082" spans="3:12">
      <c r="C1082" s="29" t="b">
        <v>0</v>
      </c>
      <c r="D1082" s="30" t="s">
        <v>1109</v>
      </c>
      <c r="E1082" s="137" t="s">
        <v>1089</v>
      </c>
      <c r="F1082" s="30" t="s">
        <v>97</v>
      </c>
      <c r="G1082" s="30">
        <v>78</v>
      </c>
      <c r="H1082" s="30">
        <v>230</v>
      </c>
      <c r="I1082" s="30">
        <v>31.84</v>
      </c>
      <c r="J1082" s="30" t="s">
        <v>71</v>
      </c>
      <c r="K1082" s="58">
        <v>0</v>
      </c>
      <c r="L1082" s="58">
        <v>9.0052371841837896E+18</v>
      </c>
    </row>
    <row r="1083" spans="3:12">
      <c r="C1083" s="29" t="b">
        <v>0</v>
      </c>
      <c r="D1083" s="30" t="s">
        <v>1110</v>
      </c>
      <c r="E1083" s="137" t="s">
        <v>1089</v>
      </c>
      <c r="F1083" s="30" t="s">
        <v>68</v>
      </c>
      <c r="G1083" s="30">
        <v>76</v>
      </c>
      <c r="H1083" s="30">
        <v>211</v>
      </c>
      <c r="I1083" s="30">
        <v>38.31</v>
      </c>
      <c r="J1083" s="30" t="s">
        <v>71</v>
      </c>
      <c r="K1083" s="58">
        <v>0</v>
      </c>
      <c r="L1083" s="58">
        <v>7.8225563281190697E+18</v>
      </c>
    </row>
    <row r="1084" spans="3:12">
      <c r="C1084" s="29" t="b">
        <v>0</v>
      </c>
      <c r="D1084" s="30" t="s">
        <v>1111</v>
      </c>
      <c r="E1084" s="137" t="s">
        <v>1089</v>
      </c>
      <c r="F1084" s="30" t="s">
        <v>68</v>
      </c>
      <c r="G1084" s="30">
        <v>75</v>
      </c>
      <c r="H1084" s="30">
        <v>230</v>
      </c>
      <c r="I1084" s="30">
        <v>34.479999999999997</v>
      </c>
      <c r="J1084" s="30" t="s">
        <v>71</v>
      </c>
      <c r="K1084" s="58">
        <v>0</v>
      </c>
      <c r="L1084" s="58">
        <v>4.7148333432539003E+18</v>
      </c>
    </row>
    <row r="1085" spans="3:12">
      <c r="C1085" s="29" t="b">
        <v>0</v>
      </c>
      <c r="D1085" s="30" t="s">
        <v>1112</v>
      </c>
      <c r="E1085" s="137" t="s">
        <v>1089</v>
      </c>
      <c r="F1085" s="30" t="s">
        <v>68</v>
      </c>
      <c r="G1085" s="30">
        <v>69</v>
      </c>
      <c r="H1085" s="30">
        <v>190</v>
      </c>
      <c r="I1085" s="30">
        <v>36.880000000000003</v>
      </c>
      <c r="J1085" s="30" t="s">
        <v>71</v>
      </c>
      <c r="K1085" s="58">
        <v>0</v>
      </c>
      <c r="L1085" s="58">
        <v>5.0603502961426196E+18</v>
      </c>
    </row>
    <row r="1086" spans="3:12">
      <c r="C1086" s="29" t="b">
        <v>0</v>
      </c>
      <c r="D1086" s="30" t="s">
        <v>1113</v>
      </c>
      <c r="E1086" s="137" t="s">
        <v>1089</v>
      </c>
      <c r="F1086" s="30" t="s">
        <v>68</v>
      </c>
      <c r="G1086" s="30">
        <v>75</v>
      </c>
      <c r="H1086" s="30">
        <v>220</v>
      </c>
      <c r="I1086" s="30">
        <v>32.340000000000003</v>
      </c>
      <c r="J1086" s="30" t="s">
        <v>71</v>
      </c>
      <c r="K1086" s="58">
        <v>0</v>
      </c>
      <c r="L1086" s="58">
        <v>2.5354688121843799E+18</v>
      </c>
    </row>
    <row r="1087" spans="3:12">
      <c r="C1087" s="29" t="b">
        <v>0</v>
      </c>
      <c r="D1087" s="30" t="s">
        <v>1114</v>
      </c>
      <c r="E1087" s="137" t="s">
        <v>1089</v>
      </c>
      <c r="F1087" s="30" t="s">
        <v>68</v>
      </c>
      <c r="G1087" s="30">
        <v>72</v>
      </c>
      <c r="H1087" s="30">
        <v>180</v>
      </c>
      <c r="I1087" s="30">
        <v>31.58</v>
      </c>
      <c r="J1087" s="30" t="s">
        <v>71</v>
      </c>
      <c r="K1087" s="58">
        <v>0</v>
      </c>
      <c r="L1087" s="58">
        <v>8.6026042513581998E+18</v>
      </c>
    </row>
    <row r="1088" spans="3:12">
      <c r="C1088" s="29" t="b">
        <v>0</v>
      </c>
      <c r="D1088" s="30" t="s">
        <v>1115</v>
      </c>
      <c r="E1088" s="137" t="s">
        <v>1089</v>
      </c>
      <c r="F1088" s="30" t="s">
        <v>68</v>
      </c>
      <c r="G1088" s="30">
        <v>75</v>
      </c>
      <c r="H1088" s="30">
        <v>205</v>
      </c>
      <c r="I1088" s="30">
        <v>28.89</v>
      </c>
      <c r="J1088" s="30" t="s">
        <v>71</v>
      </c>
      <c r="K1088" s="58">
        <v>0</v>
      </c>
      <c r="L1088" s="58">
        <v>6.9311754955544205E+17</v>
      </c>
    </row>
    <row r="1089" spans="3:12">
      <c r="C1089" s="29" t="b">
        <v>0</v>
      </c>
      <c r="D1089" s="30" t="s">
        <v>1116</v>
      </c>
      <c r="E1089" s="137" t="s">
        <v>1089</v>
      </c>
      <c r="F1089" s="30" t="s">
        <v>68</v>
      </c>
      <c r="G1089" s="30">
        <v>73</v>
      </c>
      <c r="H1089" s="30">
        <v>190</v>
      </c>
      <c r="I1089" s="30">
        <v>25.08</v>
      </c>
      <c r="J1089" s="30" t="s">
        <v>71</v>
      </c>
      <c r="K1089" s="58">
        <v>0</v>
      </c>
      <c r="L1089" s="58">
        <v>9.1983856248190904E+18</v>
      </c>
    </row>
    <row r="1090" spans="3:12">
      <c r="C1090" s="29" t="b">
        <v>0</v>
      </c>
      <c r="D1090" s="30" t="s">
        <v>1117</v>
      </c>
      <c r="E1090" s="137" t="s">
        <v>1089</v>
      </c>
      <c r="F1090" s="30" t="s">
        <v>68</v>
      </c>
      <c r="G1090" s="30">
        <v>74</v>
      </c>
      <c r="H1090" s="30">
        <v>180</v>
      </c>
      <c r="I1090" s="30">
        <v>25.73</v>
      </c>
      <c r="J1090" s="30" t="s">
        <v>71</v>
      </c>
      <c r="K1090" s="58">
        <v>0</v>
      </c>
      <c r="L1090" s="58">
        <v>6.8996634498895903E+18</v>
      </c>
    </row>
    <row r="1091" spans="3:12">
      <c r="C1091" s="29" t="b">
        <v>0</v>
      </c>
      <c r="D1091" s="30" t="s">
        <v>1118</v>
      </c>
      <c r="E1091" s="137" t="s">
        <v>1089</v>
      </c>
      <c r="F1091" s="30" t="s">
        <v>68</v>
      </c>
      <c r="G1091" s="30">
        <v>75</v>
      </c>
      <c r="H1091" s="30">
        <v>205</v>
      </c>
      <c r="I1091" s="30">
        <v>25.19</v>
      </c>
      <c r="J1091" s="30" t="s">
        <v>71</v>
      </c>
      <c r="K1091" s="58">
        <v>0</v>
      </c>
      <c r="L1091" s="58">
        <v>1.82110148430313E+19</v>
      </c>
    </row>
    <row r="1092" spans="3:12">
      <c r="C1092" s="29" t="b">
        <v>0</v>
      </c>
      <c r="D1092" s="30" t="s">
        <v>1119</v>
      </c>
      <c r="E1092" s="137" t="s">
        <v>1089</v>
      </c>
      <c r="F1092" s="30" t="s">
        <v>68</v>
      </c>
      <c r="G1092" s="30">
        <v>75</v>
      </c>
      <c r="H1092" s="30">
        <v>190</v>
      </c>
      <c r="I1092" s="30">
        <v>31.01</v>
      </c>
      <c r="J1092" s="30" t="s">
        <v>71</v>
      </c>
      <c r="K1092" s="58">
        <v>0</v>
      </c>
      <c r="L1092" s="58">
        <v>1.07186561616873E+19</v>
      </c>
    </row>
    <row r="1093" spans="3:12">
      <c r="C1093" s="29" t="b">
        <v>0</v>
      </c>
      <c r="D1093" s="30" t="s">
        <v>1120</v>
      </c>
      <c r="E1093" s="137" t="s">
        <v>1089</v>
      </c>
      <c r="F1093" s="30" t="s">
        <v>68</v>
      </c>
      <c r="G1093" s="30">
        <v>73</v>
      </c>
      <c r="H1093" s="30">
        <v>195</v>
      </c>
      <c r="I1093" s="30">
        <v>27.92</v>
      </c>
      <c r="J1093" s="30" t="s">
        <v>71</v>
      </c>
      <c r="K1093" s="58">
        <v>0</v>
      </c>
      <c r="L1093" s="58">
        <v>1.7212740477663701E+19</v>
      </c>
    </row>
  </sheetData>
  <mergeCells count="1">
    <mergeCell ref="D15:E15"/>
  </mergeCells>
  <phoneticPr fontId="15" type="noConversion"/>
  <conditionalFormatting sqref="D22:F29 D35:F39 D45:F53">
    <cfRule type="cellIs" dxfId="2173" priority="58" operator="equal">
      <formula>0</formula>
    </cfRule>
  </conditionalFormatting>
  <conditionalFormatting sqref="C79:C1093">
    <cfRule type="cellIs" dxfId="2172" priority="54" operator="equal">
      <formula>FALSE</formula>
    </cfRule>
    <cfRule type="cellIs" dxfId="2171" priority="55" operator="notEqual">
      <formula>FALSE</formula>
    </cfRule>
  </conditionalFormatting>
  <conditionalFormatting sqref="D9:J9">
    <cfRule type="cellIs" dxfId="2170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169" priority="29"/>
  </conditionalFormatting>
  <conditionalFormatting sqref="D7:J7">
    <cfRule type="cellIs" dxfId="2168" priority="22" operator="notEqual">
      <formula>"Definition"</formula>
    </cfRule>
  </conditionalFormatting>
  <conditionalFormatting sqref="D15">
    <cfRule type="cellIs" dxfId="2167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66" priority="52" operator="equal">
      <formula>FALSE</formula>
    </cfRule>
    <cfRule type="cellIs" dxfId="2165" priority="53" operator="notEqual">
      <formula>FALSE</formula>
    </cfRule>
  </conditionalFormatting>
  <conditionalFormatting sqref="G22:J29 G35:J39 G45:J53">
    <cfRule type="cellIs" dxfId="2147" priority="5" operator="equal">
      <formula>0</formula>
    </cfRule>
  </conditionalFormatting>
  <conditionalFormatting sqref="G23:J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J64">
    <cfRule type="cellIs" dxfId="2146" priority="3" operator="equal">
      <formula>FALSE</formula>
    </cfRule>
    <cfRule type="cellIs" dxfId="2145" priority="4" operator="notEqual">
      <formula>FALSE</formula>
    </cfRule>
  </conditionalFormatting>
  <conditionalFormatting sqref="K78:L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D451A-6089-49F9-846B-EC0FCBFBD9D1}">
  <sheetPr codeName="Sheet7"/>
  <dimension ref="B1:Q102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0.5546875" bestFit="1" customWidth="1"/>
    <col min="4" max="4" width="10.109375" bestFit="1" customWidth="1"/>
    <col min="5" max="5" width="12.21875" bestFit="1" customWidth="1"/>
    <col min="6" max="6" width="10.88671875" bestFit="1" customWidth="1"/>
    <col min="7" max="7" width="11.44140625" bestFit="1" customWidth="1"/>
    <col min="8" max="8" width="8.6640625" bestFit="1" customWidth="1"/>
    <col min="9" max="9" width="13.21875" bestFit="1" customWidth="1"/>
    <col min="10" max="11" width="15.77734375" customWidth="1"/>
    <col min="12" max="16" width="15.44140625" customWidth="1"/>
  </cols>
  <sheetData>
    <row r="1" spans="2:17">
      <c r="C1" s="2"/>
      <c r="D1" s="6"/>
      <c r="E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MLB</v>
      </c>
      <c r="E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45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  <c r="J8" s="106" t="s">
        <v>53</v>
      </c>
      <c r="K8" s="106" t="s">
        <v>54</v>
      </c>
    </row>
    <row r="9" spans="2:17" ht="15" customHeight="1">
      <c r="C9" s="138" t="s">
        <v>515</v>
      </c>
      <c r="D9" s="98"/>
      <c r="E9" s="98"/>
      <c r="F9" s="98"/>
      <c r="G9" s="98"/>
      <c r="H9" s="98"/>
      <c r="I9" s="98"/>
      <c r="J9" s="107">
        <v>0</v>
      </c>
      <c r="K9" s="141"/>
    </row>
    <row r="10" spans="2:17" ht="15" customHeight="1">
      <c r="C10" s="138" t="s">
        <v>482</v>
      </c>
      <c r="D10" s="98"/>
      <c r="E10" s="98"/>
      <c r="F10" s="98"/>
      <c r="G10" s="98"/>
      <c r="H10" s="98"/>
      <c r="I10" s="98"/>
      <c r="J10" s="107">
        <v>0</v>
      </c>
      <c r="K10" s="141"/>
    </row>
    <row r="11" spans="2:17" ht="15" customHeight="1">
      <c r="C11" s="138" t="s">
        <v>115</v>
      </c>
      <c r="D11" s="98"/>
      <c r="E11" s="98"/>
      <c r="F11" s="98"/>
      <c r="G11" s="98"/>
      <c r="H11" s="98"/>
      <c r="I11" s="98"/>
      <c r="J11" s="107">
        <v>0</v>
      </c>
      <c r="K11" s="141"/>
    </row>
    <row r="12" spans="2:17" ht="15" customHeight="1">
      <c r="C12" s="138" t="s">
        <v>673</v>
      </c>
      <c r="D12" s="98"/>
      <c r="E12" s="98"/>
      <c r="F12" s="98"/>
      <c r="G12" s="98"/>
      <c r="H12" s="98"/>
      <c r="I12" s="98"/>
      <c r="J12" s="107">
        <v>0</v>
      </c>
      <c r="K12" s="141"/>
    </row>
    <row r="13" spans="2:17" ht="15" customHeight="1">
      <c r="C13" s="138" t="s">
        <v>755</v>
      </c>
      <c r="D13" s="98"/>
      <c r="E13" s="98"/>
      <c r="F13" s="98"/>
      <c r="G13" s="98"/>
      <c r="H13" s="98"/>
      <c r="I13" s="98"/>
      <c r="J13" s="107">
        <v>0</v>
      </c>
      <c r="K13" s="141"/>
    </row>
    <row r="14" spans="2:17">
      <c r="C14" s="138" t="s">
        <v>248</v>
      </c>
      <c r="D14" s="98"/>
      <c r="E14" s="98"/>
      <c r="F14" s="98"/>
      <c r="G14" s="98"/>
      <c r="H14" s="98"/>
      <c r="I14" s="98"/>
      <c r="J14" s="107">
        <v>0</v>
      </c>
      <c r="K14" s="141"/>
    </row>
    <row r="15" spans="2:17">
      <c r="C15" s="138" t="s">
        <v>721</v>
      </c>
      <c r="D15" s="98"/>
      <c r="E15" s="98"/>
      <c r="F15" s="98"/>
      <c r="G15" s="98"/>
      <c r="H15" s="98"/>
      <c r="I15" s="98"/>
      <c r="J15" s="107">
        <v>0</v>
      </c>
      <c r="K15" s="141"/>
    </row>
    <row r="16" spans="2:17">
      <c r="C16" s="138" t="s">
        <v>801</v>
      </c>
      <c r="D16" s="98"/>
      <c r="E16" s="98"/>
      <c r="F16" s="98"/>
      <c r="G16" s="98"/>
      <c r="H16" s="98"/>
      <c r="I16" s="98"/>
      <c r="J16" s="107">
        <v>0</v>
      </c>
      <c r="K16" s="141"/>
    </row>
    <row r="17" spans="3:11">
      <c r="C17" s="138" t="s">
        <v>503</v>
      </c>
      <c r="D17" s="98"/>
      <c r="E17" s="98"/>
      <c r="F17" s="98"/>
      <c r="G17" s="98"/>
      <c r="H17" s="98"/>
      <c r="I17" s="98"/>
      <c r="J17" s="107">
        <v>0</v>
      </c>
      <c r="K17" s="141"/>
    </row>
    <row r="18" spans="3:11">
      <c r="C18" s="138" t="s">
        <v>1094</v>
      </c>
      <c r="D18" s="98"/>
      <c r="E18" s="98"/>
      <c r="F18" s="98"/>
      <c r="G18" s="98"/>
      <c r="H18" s="98"/>
      <c r="I18" s="98"/>
      <c r="J18" s="107">
        <v>0</v>
      </c>
      <c r="K18" s="141"/>
    </row>
    <row r="19" spans="3:11">
      <c r="C19" s="138" t="s">
        <v>891</v>
      </c>
      <c r="D19" s="98"/>
      <c r="E19" s="98"/>
      <c r="F19" s="98"/>
      <c r="G19" s="98"/>
      <c r="H19" s="98"/>
      <c r="I19" s="98"/>
      <c r="J19" s="107">
        <v>0</v>
      </c>
      <c r="K19" s="141"/>
    </row>
    <row r="20" spans="3:11">
      <c r="C20" s="138" t="s">
        <v>886</v>
      </c>
      <c r="D20" s="98"/>
      <c r="E20" s="98"/>
      <c r="F20" s="98"/>
      <c r="G20" s="98"/>
      <c r="H20" s="98"/>
      <c r="I20" s="98"/>
      <c r="J20" s="107">
        <v>0</v>
      </c>
      <c r="K20" s="141"/>
    </row>
    <row r="21" spans="3:11">
      <c r="C21" s="138" t="s">
        <v>72</v>
      </c>
      <c r="D21" s="98"/>
      <c r="E21" s="98"/>
      <c r="F21" s="98"/>
      <c r="G21" s="98"/>
      <c r="H21" s="98"/>
      <c r="I21" s="98"/>
      <c r="J21" s="107">
        <v>0</v>
      </c>
      <c r="K21" s="141"/>
    </row>
    <row r="22" spans="3:11">
      <c r="C22" s="138" t="s">
        <v>712</v>
      </c>
      <c r="D22" s="98"/>
      <c r="E22" s="98"/>
      <c r="F22" s="98"/>
      <c r="G22" s="98"/>
      <c r="H22" s="98"/>
      <c r="I22" s="98"/>
      <c r="J22" s="107">
        <v>0</v>
      </c>
      <c r="K22" s="141"/>
    </row>
    <row r="23" spans="3:11">
      <c r="C23" s="138" t="s">
        <v>900</v>
      </c>
      <c r="D23" s="98"/>
      <c r="E23" s="98"/>
      <c r="F23" s="98"/>
      <c r="G23" s="98"/>
      <c r="H23" s="98"/>
      <c r="I23" s="98"/>
      <c r="J23" s="107">
        <v>0</v>
      </c>
      <c r="K23" s="141"/>
    </row>
    <row r="24" spans="3:11">
      <c r="C24" s="138" t="s">
        <v>818</v>
      </c>
      <c r="D24" s="98"/>
      <c r="E24" s="98"/>
      <c r="F24" s="98"/>
      <c r="G24" s="98"/>
      <c r="H24" s="98"/>
      <c r="I24" s="98"/>
      <c r="J24" s="107">
        <v>0</v>
      </c>
      <c r="K24" s="141"/>
    </row>
    <row r="25" spans="3:11">
      <c r="C25" s="138" t="s">
        <v>374</v>
      </c>
      <c r="D25" s="98"/>
      <c r="E25" s="98"/>
      <c r="F25" s="98"/>
      <c r="G25" s="98"/>
      <c r="H25" s="98"/>
      <c r="I25" s="98"/>
      <c r="J25" s="107">
        <v>0</v>
      </c>
      <c r="K25" s="141"/>
    </row>
    <row r="26" spans="3:11">
      <c r="C26" s="138" t="s">
        <v>1093</v>
      </c>
      <c r="D26" s="98"/>
      <c r="E26" s="98"/>
      <c r="F26" s="98"/>
      <c r="G26" s="98"/>
      <c r="H26" s="98"/>
      <c r="I26" s="98"/>
      <c r="J26" s="107">
        <v>0</v>
      </c>
      <c r="K26" s="141"/>
    </row>
    <row r="27" spans="3:11">
      <c r="C27" s="138" t="s">
        <v>1020</v>
      </c>
      <c r="D27" s="98"/>
      <c r="E27" s="98"/>
      <c r="F27" s="98"/>
      <c r="G27" s="98"/>
      <c r="H27" s="98"/>
      <c r="I27" s="98"/>
      <c r="J27" s="107">
        <v>0</v>
      </c>
      <c r="K27" s="141"/>
    </row>
    <row r="28" spans="3:11">
      <c r="C28" s="138" t="s">
        <v>99</v>
      </c>
      <c r="D28" s="98"/>
      <c r="E28" s="98"/>
      <c r="F28" s="98"/>
      <c r="G28" s="98"/>
      <c r="H28" s="98"/>
      <c r="I28" s="98"/>
      <c r="J28" s="107">
        <v>0</v>
      </c>
      <c r="K28" s="141"/>
    </row>
    <row r="29" spans="3:11">
      <c r="C29" s="138" t="s">
        <v>257</v>
      </c>
      <c r="D29" s="98"/>
      <c r="E29" s="98"/>
      <c r="F29" s="98"/>
      <c r="G29" s="98"/>
      <c r="H29" s="98"/>
      <c r="I29" s="98"/>
      <c r="J29" s="107">
        <v>0</v>
      </c>
      <c r="K29" s="141"/>
    </row>
    <row r="30" spans="3:11">
      <c r="C30" s="138" t="s">
        <v>88</v>
      </c>
      <c r="D30" s="98"/>
      <c r="E30" s="98"/>
      <c r="F30" s="98"/>
      <c r="G30" s="98"/>
      <c r="H30" s="98"/>
      <c r="I30" s="98"/>
      <c r="J30" s="107">
        <v>0</v>
      </c>
      <c r="K30" s="141"/>
    </row>
    <row r="31" spans="3:11">
      <c r="C31" s="138" t="s">
        <v>1104</v>
      </c>
      <c r="D31" s="98"/>
      <c r="E31" s="98"/>
      <c r="F31" s="98"/>
      <c r="G31" s="98"/>
      <c r="H31" s="98"/>
      <c r="I31" s="98"/>
      <c r="J31" s="107">
        <v>0</v>
      </c>
      <c r="K31" s="141"/>
    </row>
    <row r="32" spans="3:11">
      <c r="C32" s="138" t="s">
        <v>369</v>
      </c>
      <c r="D32" s="98"/>
      <c r="E32" s="98"/>
      <c r="F32" s="98"/>
      <c r="G32" s="98"/>
      <c r="H32" s="98"/>
      <c r="I32" s="98"/>
      <c r="J32" s="107">
        <v>0</v>
      </c>
      <c r="K32" s="141"/>
    </row>
    <row r="33" spans="3:11">
      <c r="C33" s="138" t="s">
        <v>951</v>
      </c>
      <c r="D33" s="98"/>
      <c r="E33" s="98"/>
      <c r="F33" s="98"/>
      <c r="G33" s="98"/>
      <c r="H33" s="98"/>
      <c r="I33" s="98"/>
      <c r="J33" s="107">
        <v>0</v>
      </c>
      <c r="K33" s="141"/>
    </row>
    <row r="34" spans="3:11">
      <c r="C34" s="138" t="s">
        <v>489</v>
      </c>
      <c r="D34" s="98"/>
      <c r="E34" s="98"/>
      <c r="F34" s="98"/>
      <c r="G34" s="98"/>
      <c r="H34" s="98"/>
      <c r="I34" s="98"/>
      <c r="J34" s="107">
        <v>0</v>
      </c>
      <c r="K34" s="141"/>
    </row>
    <row r="35" spans="3:11">
      <c r="C35" s="138" t="s">
        <v>280</v>
      </c>
      <c r="D35" s="98"/>
      <c r="E35" s="98"/>
      <c r="F35" s="98"/>
      <c r="G35" s="98"/>
      <c r="H35" s="98"/>
      <c r="I35" s="98"/>
      <c r="J35" s="107">
        <v>0</v>
      </c>
      <c r="K35" s="141"/>
    </row>
    <row r="36" spans="3:11">
      <c r="C36" s="138" t="s">
        <v>785</v>
      </c>
      <c r="D36" s="98"/>
      <c r="E36" s="98"/>
      <c r="F36" s="98"/>
      <c r="G36" s="98"/>
      <c r="H36" s="98"/>
      <c r="I36" s="98"/>
      <c r="J36" s="107">
        <v>0</v>
      </c>
      <c r="K36" s="141"/>
    </row>
    <row r="37" spans="3:11">
      <c r="C37" s="138" t="s">
        <v>1092</v>
      </c>
      <c r="D37" s="98"/>
      <c r="E37" s="98"/>
      <c r="F37" s="98"/>
      <c r="G37" s="98"/>
      <c r="H37" s="98"/>
      <c r="I37" s="98"/>
      <c r="J37" s="107">
        <v>0</v>
      </c>
      <c r="K37" s="141"/>
    </row>
    <row r="38" spans="3:11">
      <c r="C38" s="138" t="s">
        <v>646</v>
      </c>
      <c r="D38" s="98"/>
      <c r="E38" s="98"/>
      <c r="F38" s="98"/>
      <c r="G38" s="98"/>
      <c r="H38" s="98"/>
      <c r="I38" s="98"/>
      <c r="J38" s="107">
        <v>0</v>
      </c>
      <c r="K38" s="141"/>
    </row>
    <row r="39" spans="3:11">
      <c r="C39" s="138" t="s">
        <v>538</v>
      </c>
      <c r="D39" s="98"/>
      <c r="E39" s="98"/>
      <c r="F39" s="98"/>
      <c r="G39" s="98"/>
      <c r="H39" s="98"/>
      <c r="I39" s="98"/>
      <c r="J39" s="107">
        <v>0</v>
      </c>
      <c r="K39" s="141"/>
    </row>
    <row r="40" spans="3:11">
      <c r="C40" s="138" t="s">
        <v>121</v>
      </c>
      <c r="D40" s="98"/>
      <c r="E40" s="98"/>
      <c r="F40" s="98"/>
      <c r="G40" s="98"/>
      <c r="H40" s="98"/>
      <c r="I40" s="98"/>
      <c r="J40" s="107">
        <v>0</v>
      </c>
      <c r="K40" s="141"/>
    </row>
    <row r="41" spans="3:11">
      <c r="C41" s="138" t="s">
        <v>189</v>
      </c>
      <c r="D41" s="98"/>
      <c r="E41" s="98"/>
      <c r="F41" s="98"/>
      <c r="G41" s="98"/>
      <c r="H41" s="98"/>
      <c r="I41" s="98"/>
      <c r="J41" s="107">
        <v>0</v>
      </c>
      <c r="K41" s="141"/>
    </row>
    <row r="42" spans="3:11">
      <c r="C42" s="138" t="s">
        <v>994</v>
      </c>
      <c r="D42" s="98"/>
      <c r="E42" s="98"/>
      <c r="F42" s="98"/>
      <c r="G42" s="98"/>
      <c r="H42" s="98"/>
      <c r="I42" s="98"/>
      <c r="J42" s="107">
        <v>0</v>
      </c>
      <c r="K42" s="141"/>
    </row>
    <row r="43" spans="3:11">
      <c r="C43" s="138" t="s">
        <v>706</v>
      </c>
      <c r="D43" s="98"/>
      <c r="E43" s="98"/>
      <c r="F43" s="98"/>
      <c r="G43" s="98"/>
      <c r="H43" s="98"/>
      <c r="I43" s="98"/>
      <c r="J43" s="107">
        <v>0</v>
      </c>
      <c r="K43" s="141"/>
    </row>
    <row r="44" spans="3:11">
      <c r="C44" s="138" t="s">
        <v>510</v>
      </c>
      <c r="D44" s="98"/>
      <c r="E44" s="98"/>
      <c r="F44" s="98"/>
      <c r="G44" s="98"/>
      <c r="H44" s="98"/>
      <c r="I44" s="98"/>
      <c r="J44" s="107">
        <v>0</v>
      </c>
      <c r="K44" s="141"/>
    </row>
    <row r="45" spans="3:11">
      <c r="C45" s="138" t="s">
        <v>300</v>
      </c>
      <c r="D45" s="98"/>
      <c r="E45" s="98"/>
      <c r="F45" s="98"/>
      <c r="G45" s="98"/>
      <c r="H45" s="98"/>
      <c r="I45" s="98"/>
      <c r="J45" s="107">
        <v>0</v>
      </c>
      <c r="K45" s="141"/>
    </row>
    <row r="46" spans="3:11">
      <c r="C46" s="138" t="s">
        <v>537</v>
      </c>
      <c r="D46" s="98"/>
      <c r="E46" s="98"/>
      <c r="F46" s="98"/>
      <c r="G46" s="98"/>
      <c r="H46" s="98"/>
      <c r="I46" s="98"/>
      <c r="J46" s="107">
        <v>0</v>
      </c>
      <c r="K46" s="141"/>
    </row>
    <row r="47" spans="3:11">
      <c r="C47" s="138" t="s">
        <v>611</v>
      </c>
      <c r="D47" s="98"/>
      <c r="E47" s="98"/>
      <c r="F47" s="98"/>
      <c r="G47" s="98"/>
      <c r="H47" s="98"/>
      <c r="I47" s="98"/>
      <c r="J47" s="107">
        <v>0</v>
      </c>
      <c r="K47" s="141"/>
    </row>
    <row r="48" spans="3:11">
      <c r="C48" s="138" t="s">
        <v>675</v>
      </c>
      <c r="D48" s="98"/>
      <c r="E48" s="98"/>
      <c r="F48" s="98"/>
      <c r="G48" s="98"/>
      <c r="H48" s="98"/>
      <c r="I48" s="98"/>
      <c r="J48" s="107">
        <v>0</v>
      </c>
      <c r="K48" s="141"/>
    </row>
    <row r="49" spans="3:11">
      <c r="C49" s="138" t="s">
        <v>894</v>
      </c>
      <c r="D49" s="98"/>
      <c r="E49" s="98"/>
      <c r="F49" s="98"/>
      <c r="G49" s="98"/>
      <c r="H49" s="98"/>
      <c r="I49" s="98"/>
      <c r="J49" s="107">
        <v>0</v>
      </c>
      <c r="K49" s="141"/>
    </row>
    <row r="50" spans="3:11">
      <c r="C50" s="138" t="s">
        <v>737</v>
      </c>
      <c r="D50" s="98"/>
      <c r="E50" s="98"/>
      <c r="F50" s="98"/>
      <c r="G50" s="98"/>
      <c r="H50" s="98"/>
      <c r="I50" s="98"/>
      <c r="J50" s="107">
        <v>0</v>
      </c>
      <c r="K50" s="141"/>
    </row>
    <row r="51" spans="3:11">
      <c r="C51" s="138" t="s">
        <v>795</v>
      </c>
      <c r="D51" s="98"/>
      <c r="E51" s="98"/>
      <c r="F51" s="98"/>
      <c r="G51" s="98"/>
      <c r="H51" s="98"/>
      <c r="I51" s="98"/>
      <c r="J51" s="107">
        <v>0</v>
      </c>
      <c r="K51" s="141"/>
    </row>
    <row r="52" spans="3:11">
      <c r="C52" s="138" t="s">
        <v>908</v>
      </c>
      <c r="D52" s="98"/>
      <c r="E52" s="98"/>
      <c r="F52" s="98"/>
      <c r="G52" s="98"/>
      <c r="H52" s="98"/>
      <c r="I52" s="98"/>
      <c r="J52" s="107">
        <v>0</v>
      </c>
      <c r="K52" s="141"/>
    </row>
    <row r="53" spans="3:11">
      <c r="C53" s="138" t="s">
        <v>774</v>
      </c>
      <c r="D53" s="98"/>
      <c r="E53" s="98"/>
      <c r="F53" s="98"/>
      <c r="G53" s="98"/>
      <c r="H53" s="98"/>
      <c r="I53" s="98"/>
      <c r="J53" s="107">
        <v>0</v>
      </c>
      <c r="K53" s="141"/>
    </row>
    <row r="54" spans="3:11">
      <c r="C54" s="138" t="s">
        <v>855</v>
      </c>
      <c r="D54" s="98"/>
      <c r="E54" s="98"/>
      <c r="F54" s="98"/>
      <c r="G54" s="98"/>
      <c r="H54" s="98"/>
      <c r="I54" s="98"/>
      <c r="J54" s="107">
        <v>0</v>
      </c>
      <c r="K54" s="141"/>
    </row>
    <row r="55" spans="3:11">
      <c r="C55" s="138" t="s">
        <v>437</v>
      </c>
      <c r="D55" s="98"/>
      <c r="E55" s="98"/>
      <c r="F55" s="98"/>
      <c r="G55" s="98"/>
      <c r="H55" s="98"/>
      <c r="I55" s="98"/>
      <c r="J55" s="107">
        <v>0</v>
      </c>
      <c r="K55" s="141"/>
    </row>
    <row r="56" spans="3:11">
      <c r="C56" s="138" t="s">
        <v>975</v>
      </c>
      <c r="D56" s="98"/>
      <c r="E56" s="98"/>
      <c r="F56" s="98"/>
      <c r="G56" s="98"/>
      <c r="H56" s="98"/>
      <c r="I56" s="98"/>
      <c r="J56" s="107">
        <v>0</v>
      </c>
      <c r="K56" s="141"/>
    </row>
    <row r="57" spans="3:11">
      <c r="C57" s="138" t="s">
        <v>355</v>
      </c>
      <c r="D57" s="98"/>
      <c r="E57" s="98"/>
      <c r="F57" s="98"/>
      <c r="G57" s="98"/>
      <c r="H57" s="98"/>
      <c r="I57" s="98"/>
      <c r="J57" s="107">
        <v>0</v>
      </c>
      <c r="K57" s="141"/>
    </row>
    <row r="58" spans="3:11">
      <c r="C58" s="138" t="s">
        <v>141</v>
      </c>
      <c r="D58" s="98"/>
      <c r="E58" s="98"/>
      <c r="F58" s="98"/>
      <c r="G58" s="98"/>
      <c r="H58" s="98"/>
      <c r="I58" s="98"/>
      <c r="J58" s="107">
        <v>0</v>
      </c>
      <c r="K58" s="141"/>
    </row>
    <row r="59" spans="3:11">
      <c r="C59" s="138" t="s">
        <v>577</v>
      </c>
      <c r="D59" s="98"/>
      <c r="E59" s="98"/>
      <c r="F59" s="98"/>
      <c r="G59" s="98"/>
      <c r="H59" s="98"/>
      <c r="I59" s="98"/>
      <c r="J59" s="107">
        <v>0</v>
      </c>
      <c r="K59" s="141"/>
    </row>
    <row r="60" spans="3:11">
      <c r="C60" s="138" t="s">
        <v>853</v>
      </c>
      <c r="D60" s="98"/>
      <c r="E60" s="98"/>
      <c r="F60" s="98"/>
      <c r="G60" s="98"/>
      <c r="H60" s="98"/>
      <c r="I60" s="98"/>
      <c r="J60" s="107">
        <v>0</v>
      </c>
      <c r="K60" s="141"/>
    </row>
    <row r="61" spans="3:11">
      <c r="C61" s="138" t="s">
        <v>227</v>
      </c>
      <c r="D61" s="98"/>
      <c r="E61" s="98"/>
      <c r="F61" s="98"/>
      <c r="G61" s="98"/>
      <c r="H61" s="98"/>
      <c r="I61" s="98"/>
      <c r="J61" s="107">
        <v>0</v>
      </c>
      <c r="K61" s="141"/>
    </row>
    <row r="62" spans="3:11">
      <c r="C62" s="138" t="s">
        <v>308</v>
      </c>
      <c r="D62" s="98"/>
      <c r="E62" s="98"/>
      <c r="F62" s="98"/>
      <c r="G62" s="98"/>
      <c r="H62" s="98"/>
      <c r="I62" s="98"/>
      <c r="J62" s="107">
        <v>0</v>
      </c>
      <c r="K62" s="141"/>
    </row>
    <row r="63" spans="3:11">
      <c r="C63" s="138" t="s">
        <v>294</v>
      </c>
      <c r="D63" s="98"/>
      <c r="E63" s="98"/>
      <c r="F63" s="98"/>
      <c r="G63" s="98"/>
      <c r="H63" s="98"/>
      <c r="I63" s="98"/>
      <c r="J63" s="107">
        <v>0</v>
      </c>
      <c r="K63" s="141"/>
    </row>
    <row r="64" spans="3:11">
      <c r="C64" s="138" t="s">
        <v>436</v>
      </c>
      <c r="D64" s="98"/>
      <c r="E64" s="98"/>
      <c r="F64" s="98"/>
      <c r="G64" s="98"/>
      <c r="H64" s="98"/>
      <c r="I64" s="98"/>
      <c r="J64" s="107">
        <v>0</v>
      </c>
      <c r="K64" s="141"/>
    </row>
    <row r="65" spans="3:11">
      <c r="C65" s="138" t="s">
        <v>624</v>
      </c>
      <c r="D65" s="98"/>
      <c r="E65" s="98"/>
      <c r="F65" s="98"/>
      <c r="G65" s="98"/>
      <c r="H65" s="98"/>
      <c r="I65" s="98"/>
      <c r="J65" s="107">
        <v>0</v>
      </c>
      <c r="K65" s="141"/>
    </row>
    <row r="66" spans="3:11">
      <c r="C66" s="138" t="s">
        <v>618</v>
      </c>
      <c r="D66" s="98"/>
      <c r="E66" s="98"/>
      <c r="F66" s="98"/>
      <c r="G66" s="98"/>
      <c r="H66" s="98"/>
      <c r="I66" s="98"/>
      <c r="J66" s="107">
        <v>0</v>
      </c>
      <c r="K66" s="141"/>
    </row>
    <row r="67" spans="3:11">
      <c r="C67" s="138" t="s">
        <v>435</v>
      </c>
      <c r="D67" s="98"/>
      <c r="E67" s="98"/>
      <c r="F67" s="98"/>
      <c r="G67" s="98"/>
      <c r="H67" s="98"/>
      <c r="I67" s="98"/>
      <c r="J67" s="107">
        <v>0</v>
      </c>
      <c r="K67" s="141"/>
    </row>
    <row r="68" spans="3:11">
      <c r="C68" s="138" t="s">
        <v>682</v>
      </c>
      <c r="D68" s="98"/>
      <c r="E68" s="98"/>
      <c r="F68" s="98"/>
      <c r="G68" s="98"/>
      <c r="H68" s="98"/>
      <c r="I68" s="98"/>
      <c r="J68" s="107">
        <v>0</v>
      </c>
      <c r="K68" s="141"/>
    </row>
    <row r="69" spans="3:11">
      <c r="C69" s="138" t="s">
        <v>1106</v>
      </c>
      <c r="D69" s="98"/>
      <c r="E69" s="98"/>
      <c r="F69" s="98"/>
      <c r="G69" s="98"/>
      <c r="H69" s="98"/>
      <c r="I69" s="98"/>
      <c r="J69" s="107">
        <v>0</v>
      </c>
      <c r="K69" s="141"/>
    </row>
    <row r="70" spans="3:11">
      <c r="C70" s="138" t="s">
        <v>904</v>
      </c>
      <c r="D70" s="98"/>
      <c r="E70" s="98"/>
      <c r="F70" s="98"/>
      <c r="G70" s="98"/>
      <c r="H70" s="98"/>
      <c r="I70" s="98"/>
      <c r="J70" s="107">
        <v>0</v>
      </c>
      <c r="K70" s="141"/>
    </row>
    <row r="71" spans="3:11">
      <c r="C71" s="138" t="s">
        <v>265</v>
      </c>
      <c r="D71" s="98"/>
      <c r="E71" s="98"/>
      <c r="F71" s="98"/>
      <c r="G71" s="98"/>
      <c r="H71" s="98"/>
      <c r="I71" s="98"/>
      <c r="J71" s="107">
        <v>0</v>
      </c>
      <c r="K71" s="141"/>
    </row>
    <row r="72" spans="3:11">
      <c r="C72" s="138" t="s">
        <v>609</v>
      </c>
      <c r="D72" s="98"/>
      <c r="E72" s="98"/>
      <c r="F72" s="98"/>
      <c r="G72" s="98"/>
      <c r="H72" s="98"/>
      <c r="I72" s="98"/>
      <c r="J72" s="107">
        <v>0</v>
      </c>
      <c r="K72" s="141"/>
    </row>
    <row r="73" spans="3:11">
      <c r="C73" s="138" t="s">
        <v>1080</v>
      </c>
      <c r="D73" s="98"/>
      <c r="E73" s="98"/>
      <c r="F73" s="98"/>
      <c r="G73" s="98"/>
      <c r="H73" s="98"/>
      <c r="I73" s="98"/>
      <c r="J73" s="107">
        <v>0</v>
      </c>
      <c r="K73" s="141"/>
    </row>
    <row r="74" spans="3:11">
      <c r="C74" s="138" t="s">
        <v>87</v>
      </c>
      <c r="D74" s="98"/>
      <c r="E74" s="98"/>
      <c r="F74" s="98"/>
      <c r="G74" s="98"/>
      <c r="H74" s="98"/>
      <c r="I74" s="98"/>
      <c r="J74" s="107">
        <v>0</v>
      </c>
      <c r="K74" s="141"/>
    </row>
    <row r="75" spans="3:11">
      <c r="C75" s="138" t="s">
        <v>995</v>
      </c>
      <c r="D75" s="98"/>
      <c r="E75" s="98"/>
      <c r="F75" s="98"/>
      <c r="G75" s="98"/>
      <c r="H75" s="98"/>
      <c r="I75" s="98"/>
      <c r="J75" s="107">
        <v>0</v>
      </c>
      <c r="K75" s="141"/>
    </row>
    <row r="76" spans="3:11">
      <c r="C76" s="138" t="s">
        <v>519</v>
      </c>
      <c r="D76" s="98"/>
      <c r="E76" s="98"/>
      <c r="F76" s="98"/>
      <c r="G76" s="98"/>
      <c r="H76" s="98"/>
      <c r="I76" s="98"/>
      <c r="J76" s="107">
        <v>0</v>
      </c>
      <c r="K76" s="141"/>
    </row>
    <row r="77" spans="3:11">
      <c r="C77" s="138" t="s">
        <v>403</v>
      </c>
      <c r="D77" s="98"/>
      <c r="E77" s="98"/>
      <c r="F77" s="98"/>
      <c r="G77" s="98"/>
      <c r="H77" s="98"/>
      <c r="I77" s="98"/>
      <c r="J77" s="107">
        <v>0</v>
      </c>
      <c r="K77" s="141"/>
    </row>
    <row r="78" spans="3:11">
      <c r="C78" s="138" t="s">
        <v>1068</v>
      </c>
      <c r="D78" s="98"/>
      <c r="E78" s="98"/>
      <c r="F78" s="98"/>
      <c r="G78" s="98"/>
      <c r="H78" s="98"/>
      <c r="I78" s="98"/>
      <c r="J78" s="107">
        <v>0</v>
      </c>
      <c r="K78" s="141"/>
    </row>
    <row r="79" spans="3:11">
      <c r="C79" s="138" t="s">
        <v>1076</v>
      </c>
      <c r="D79" s="98"/>
      <c r="E79" s="98"/>
      <c r="F79" s="98"/>
      <c r="G79" s="98"/>
      <c r="H79" s="98"/>
      <c r="I79" s="98"/>
      <c r="J79" s="107">
        <v>0</v>
      </c>
      <c r="K79" s="141"/>
    </row>
    <row r="80" spans="3:11">
      <c r="C80" s="138" t="s">
        <v>169</v>
      </c>
      <c r="D80" s="98"/>
      <c r="E80" s="98"/>
      <c r="F80" s="98"/>
      <c r="G80" s="98"/>
      <c r="H80" s="98"/>
      <c r="I80" s="98"/>
      <c r="J80" s="107">
        <v>0</v>
      </c>
      <c r="K80" s="141"/>
    </row>
    <row r="81" spans="3:11">
      <c r="C81" s="138" t="s">
        <v>1006</v>
      </c>
      <c r="D81" s="98"/>
      <c r="E81" s="98"/>
      <c r="F81" s="98"/>
      <c r="G81" s="98"/>
      <c r="H81" s="98"/>
      <c r="I81" s="98"/>
      <c r="J81" s="107">
        <v>0</v>
      </c>
      <c r="K81" s="141"/>
    </row>
    <row r="82" spans="3:11">
      <c r="C82" s="138" t="s">
        <v>364</v>
      </c>
      <c r="D82" s="98"/>
      <c r="E82" s="98"/>
      <c r="F82" s="98"/>
      <c r="G82" s="98"/>
      <c r="H82" s="98"/>
      <c r="I82" s="98"/>
      <c r="J82" s="107">
        <v>0</v>
      </c>
      <c r="K82" s="141"/>
    </row>
    <row r="83" spans="3:11">
      <c r="C83" s="138" t="s">
        <v>228</v>
      </c>
      <c r="D83" s="98"/>
      <c r="E83" s="98"/>
      <c r="F83" s="98"/>
      <c r="G83" s="98"/>
      <c r="H83" s="98"/>
      <c r="I83" s="98"/>
      <c r="J83" s="107">
        <v>0</v>
      </c>
      <c r="K83" s="141"/>
    </row>
    <row r="84" spans="3:11">
      <c r="C84" s="138" t="s">
        <v>935</v>
      </c>
      <c r="D84" s="98"/>
      <c r="E84" s="98"/>
      <c r="F84" s="98"/>
      <c r="G84" s="98"/>
      <c r="H84" s="98"/>
      <c r="I84" s="98"/>
      <c r="J84" s="107">
        <v>0</v>
      </c>
      <c r="K84" s="141"/>
    </row>
    <row r="85" spans="3:11">
      <c r="C85" s="138" t="s">
        <v>778</v>
      </c>
      <c r="D85" s="98"/>
      <c r="E85" s="98"/>
      <c r="F85" s="98"/>
      <c r="G85" s="98"/>
      <c r="H85" s="98"/>
      <c r="I85" s="98"/>
      <c r="J85" s="107">
        <v>0</v>
      </c>
      <c r="K85" s="141"/>
    </row>
    <row r="86" spans="3:11">
      <c r="C86" s="138" t="s">
        <v>938</v>
      </c>
      <c r="D86" s="98"/>
      <c r="E86" s="98"/>
      <c r="F86" s="98"/>
      <c r="G86" s="98"/>
      <c r="H86" s="98"/>
      <c r="I86" s="98"/>
      <c r="J86" s="107">
        <v>0</v>
      </c>
      <c r="K86" s="141"/>
    </row>
    <row r="87" spans="3:11">
      <c r="C87" s="138" t="s">
        <v>402</v>
      </c>
      <c r="D87" s="98"/>
      <c r="E87" s="98"/>
      <c r="F87" s="98"/>
      <c r="G87" s="98"/>
      <c r="H87" s="98"/>
      <c r="I87" s="98"/>
      <c r="J87" s="107">
        <v>0</v>
      </c>
      <c r="K87" s="141"/>
    </row>
    <row r="88" spans="3:11">
      <c r="C88" s="138" t="s">
        <v>1053</v>
      </c>
      <c r="D88" s="98"/>
      <c r="E88" s="98"/>
      <c r="F88" s="98"/>
      <c r="G88" s="98"/>
      <c r="H88" s="98"/>
      <c r="I88" s="98"/>
      <c r="J88" s="107">
        <v>0</v>
      </c>
      <c r="K88" s="141"/>
    </row>
    <row r="89" spans="3:11">
      <c r="C89" s="138" t="s">
        <v>985</v>
      </c>
      <c r="D89" s="98"/>
      <c r="E89" s="98"/>
      <c r="F89" s="98"/>
      <c r="G89" s="98"/>
      <c r="H89" s="98"/>
      <c r="I89" s="98"/>
      <c r="J89" s="107">
        <v>0</v>
      </c>
      <c r="K89" s="141"/>
    </row>
    <row r="90" spans="3:11">
      <c r="C90" s="138" t="s">
        <v>725</v>
      </c>
      <c r="D90" s="98"/>
      <c r="E90" s="98"/>
      <c r="F90" s="98"/>
      <c r="G90" s="98"/>
      <c r="H90" s="98"/>
      <c r="I90" s="98"/>
      <c r="J90" s="107">
        <v>0</v>
      </c>
      <c r="K90" s="141"/>
    </row>
    <row r="91" spans="3:11">
      <c r="C91" s="138" t="s">
        <v>922</v>
      </c>
      <c r="D91" s="98"/>
      <c r="E91" s="98"/>
      <c r="F91" s="98"/>
      <c r="G91" s="98"/>
      <c r="H91" s="98"/>
      <c r="I91" s="98"/>
      <c r="J91" s="107">
        <v>0</v>
      </c>
      <c r="K91" s="141"/>
    </row>
    <row r="92" spans="3:11">
      <c r="C92" s="138" t="s">
        <v>1086</v>
      </c>
      <c r="D92" s="98"/>
      <c r="E92" s="98"/>
      <c r="F92" s="98"/>
      <c r="G92" s="98"/>
      <c r="H92" s="98"/>
      <c r="I92" s="98"/>
      <c r="J92" s="107">
        <v>0</v>
      </c>
      <c r="K92" s="141"/>
    </row>
    <row r="93" spans="3:11">
      <c r="C93" s="138" t="s">
        <v>997</v>
      </c>
      <c r="D93" s="98"/>
      <c r="E93" s="98"/>
      <c r="F93" s="98"/>
      <c r="G93" s="98"/>
      <c r="H93" s="98"/>
      <c r="I93" s="98"/>
      <c r="J93" s="107">
        <v>0</v>
      </c>
      <c r="K93" s="141"/>
    </row>
    <row r="94" spans="3:11">
      <c r="C94" s="138" t="s">
        <v>805</v>
      </c>
      <c r="D94" s="98"/>
      <c r="E94" s="98"/>
      <c r="F94" s="98"/>
      <c r="G94" s="98"/>
      <c r="H94" s="98"/>
      <c r="I94" s="98"/>
      <c r="J94" s="107">
        <v>0</v>
      </c>
      <c r="K94" s="141"/>
    </row>
    <row r="95" spans="3:11">
      <c r="C95" s="138" t="s">
        <v>593</v>
      </c>
      <c r="D95" s="98"/>
      <c r="E95" s="98"/>
      <c r="F95" s="98"/>
      <c r="G95" s="98"/>
      <c r="H95" s="98"/>
      <c r="I95" s="98"/>
      <c r="J95" s="107">
        <v>0</v>
      </c>
      <c r="K95" s="141"/>
    </row>
    <row r="96" spans="3:11">
      <c r="C96" s="138" t="s">
        <v>635</v>
      </c>
      <c r="D96" s="98"/>
      <c r="E96" s="98"/>
      <c r="F96" s="98"/>
      <c r="G96" s="98"/>
      <c r="H96" s="98"/>
      <c r="I96" s="98"/>
      <c r="J96" s="107">
        <v>0</v>
      </c>
      <c r="K96" s="141"/>
    </row>
    <row r="97" spans="3:11">
      <c r="C97" s="138" t="s">
        <v>595</v>
      </c>
      <c r="D97" s="98"/>
      <c r="E97" s="98"/>
      <c r="F97" s="98"/>
      <c r="G97" s="98"/>
      <c r="H97" s="98"/>
      <c r="I97" s="98"/>
      <c r="J97" s="107">
        <v>0</v>
      </c>
      <c r="K97" s="141"/>
    </row>
    <row r="98" spans="3:11">
      <c r="C98" s="138" t="s">
        <v>302</v>
      </c>
      <c r="D98" s="98"/>
      <c r="E98" s="98"/>
      <c r="F98" s="98"/>
      <c r="G98" s="98"/>
      <c r="H98" s="98"/>
      <c r="I98" s="98"/>
      <c r="J98" s="107">
        <v>0</v>
      </c>
      <c r="K98" s="141"/>
    </row>
    <row r="99" spans="3:11">
      <c r="C99" s="138" t="s">
        <v>263</v>
      </c>
      <c r="D99" s="98"/>
      <c r="E99" s="98"/>
      <c r="F99" s="98"/>
      <c r="G99" s="98"/>
      <c r="H99" s="98"/>
      <c r="I99" s="98"/>
      <c r="J99" s="107">
        <v>0</v>
      </c>
      <c r="K99" s="141"/>
    </row>
    <row r="100" spans="3:11">
      <c r="C100" s="138" t="s">
        <v>143</v>
      </c>
      <c r="D100" s="98"/>
      <c r="E100" s="98"/>
      <c r="F100" s="98"/>
      <c r="G100" s="98"/>
      <c r="H100" s="98"/>
      <c r="I100" s="98"/>
      <c r="J100" s="107">
        <v>0</v>
      </c>
      <c r="K100" s="141"/>
    </row>
    <row r="101" spans="3:11">
      <c r="C101" s="138" t="s">
        <v>269</v>
      </c>
      <c r="D101" s="98"/>
      <c r="E101" s="98"/>
      <c r="F101" s="98"/>
      <c r="G101" s="98"/>
      <c r="H101" s="98"/>
      <c r="I101" s="98"/>
      <c r="J101" s="107">
        <v>0</v>
      </c>
      <c r="K101" s="141"/>
    </row>
    <row r="102" spans="3:11">
      <c r="C102" s="138" t="s">
        <v>726</v>
      </c>
      <c r="D102" s="98"/>
      <c r="E102" s="98"/>
      <c r="F102" s="98"/>
      <c r="G102" s="98"/>
      <c r="H102" s="98"/>
      <c r="I102" s="98"/>
      <c r="J102" s="107">
        <v>0</v>
      </c>
      <c r="K102" s="141"/>
    </row>
    <row r="103" spans="3:11">
      <c r="C103" s="138" t="s">
        <v>552</v>
      </c>
      <c r="D103" s="98"/>
      <c r="E103" s="98"/>
      <c r="F103" s="98"/>
      <c r="G103" s="98"/>
      <c r="H103" s="98"/>
      <c r="I103" s="98"/>
      <c r="J103" s="107">
        <v>0</v>
      </c>
      <c r="K103" s="141"/>
    </row>
    <row r="104" spans="3:11">
      <c r="C104" s="138" t="s">
        <v>144</v>
      </c>
      <c r="D104" s="98"/>
      <c r="E104" s="98"/>
      <c r="F104" s="98"/>
      <c r="G104" s="98"/>
      <c r="H104" s="98"/>
      <c r="I104" s="98"/>
      <c r="J104" s="107">
        <v>0</v>
      </c>
      <c r="K104" s="141"/>
    </row>
    <row r="105" spans="3:11">
      <c r="C105" s="138" t="s">
        <v>807</v>
      </c>
      <c r="D105" s="98"/>
      <c r="E105" s="98"/>
      <c r="F105" s="98"/>
      <c r="G105" s="98"/>
      <c r="H105" s="98"/>
      <c r="I105" s="98"/>
      <c r="J105" s="107">
        <v>0</v>
      </c>
      <c r="K105" s="141"/>
    </row>
    <row r="106" spans="3:11">
      <c r="C106" s="138" t="s">
        <v>1022</v>
      </c>
      <c r="D106" s="98"/>
      <c r="E106" s="98"/>
      <c r="F106" s="98"/>
      <c r="G106" s="98"/>
      <c r="H106" s="98"/>
      <c r="I106" s="98"/>
      <c r="J106" s="107">
        <v>0</v>
      </c>
      <c r="K106" s="141"/>
    </row>
    <row r="107" spans="3:11">
      <c r="C107" s="138" t="s">
        <v>275</v>
      </c>
      <c r="D107" s="98"/>
      <c r="E107" s="98"/>
      <c r="F107" s="98"/>
      <c r="G107" s="98"/>
      <c r="H107" s="98"/>
      <c r="I107" s="98"/>
      <c r="J107" s="107">
        <v>0</v>
      </c>
      <c r="K107" s="141"/>
    </row>
    <row r="108" spans="3:11">
      <c r="C108" s="138" t="s">
        <v>749</v>
      </c>
      <c r="D108" s="98"/>
      <c r="E108" s="98"/>
      <c r="F108" s="98"/>
      <c r="G108" s="98"/>
      <c r="H108" s="98"/>
      <c r="I108" s="98"/>
      <c r="J108" s="107">
        <v>0</v>
      </c>
      <c r="K108" s="141"/>
    </row>
    <row r="109" spans="3:11">
      <c r="C109" s="138" t="s">
        <v>1085</v>
      </c>
      <c r="D109" s="98"/>
      <c r="E109" s="98"/>
      <c r="F109" s="98"/>
      <c r="G109" s="98"/>
      <c r="H109" s="98"/>
      <c r="I109" s="98"/>
      <c r="J109" s="107">
        <v>0</v>
      </c>
      <c r="K109" s="141"/>
    </row>
    <row r="110" spans="3:11">
      <c r="C110" s="138" t="s">
        <v>833</v>
      </c>
      <c r="D110" s="98"/>
      <c r="E110" s="98"/>
      <c r="F110" s="98"/>
      <c r="G110" s="98"/>
      <c r="H110" s="98"/>
      <c r="I110" s="98"/>
      <c r="J110" s="107">
        <v>0</v>
      </c>
      <c r="K110" s="141"/>
    </row>
    <row r="111" spans="3:11">
      <c r="C111" s="138" t="s">
        <v>862</v>
      </c>
      <c r="D111" s="98"/>
      <c r="E111" s="98"/>
      <c r="F111" s="98"/>
      <c r="G111" s="98"/>
      <c r="H111" s="98"/>
      <c r="I111" s="98"/>
      <c r="J111" s="107">
        <v>0</v>
      </c>
      <c r="K111" s="141"/>
    </row>
    <row r="112" spans="3:11">
      <c r="C112" s="138" t="s">
        <v>730</v>
      </c>
      <c r="D112" s="98"/>
      <c r="E112" s="98"/>
      <c r="F112" s="98"/>
      <c r="G112" s="98"/>
      <c r="H112" s="98"/>
      <c r="I112" s="98"/>
      <c r="J112" s="107">
        <v>0</v>
      </c>
      <c r="K112" s="141"/>
    </row>
    <row r="113" spans="3:11">
      <c r="C113" s="138" t="s">
        <v>1116</v>
      </c>
      <c r="D113" s="98"/>
      <c r="E113" s="98"/>
      <c r="F113" s="98"/>
      <c r="G113" s="98"/>
      <c r="H113" s="98"/>
      <c r="I113" s="98"/>
      <c r="J113" s="107">
        <v>0</v>
      </c>
      <c r="K113" s="141"/>
    </row>
    <row r="114" spans="3:11">
      <c r="C114" s="138" t="s">
        <v>474</v>
      </c>
      <c r="D114" s="98"/>
      <c r="E114" s="98"/>
      <c r="F114" s="98"/>
      <c r="G114" s="98"/>
      <c r="H114" s="98"/>
      <c r="I114" s="98"/>
      <c r="J114" s="107">
        <v>0</v>
      </c>
      <c r="K114" s="141"/>
    </row>
    <row r="115" spans="3:11">
      <c r="C115" s="138" t="s">
        <v>1113</v>
      </c>
      <c r="D115" s="98"/>
      <c r="E115" s="98"/>
      <c r="F115" s="98"/>
      <c r="G115" s="98"/>
      <c r="H115" s="98"/>
      <c r="I115" s="98"/>
      <c r="J115" s="107">
        <v>0</v>
      </c>
      <c r="K115" s="141"/>
    </row>
    <row r="116" spans="3:11">
      <c r="C116" s="138" t="s">
        <v>927</v>
      </c>
      <c r="D116" s="98"/>
      <c r="E116" s="98"/>
      <c r="F116" s="98"/>
      <c r="G116" s="98"/>
      <c r="H116" s="98"/>
      <c r="I116" s="98"/>
      <c r="J116" s="107">
        <v>0</v>
      </c>
      <c r="K116" s="141"/>
    </row>
    <row r="117" spans="3:11">
      <c r="C117" s="138" t="s">
        <v>827</v>
      </c>
      <c r="D117" s="98"/>
      <c r="E117" s="98"/>
      <c r="F117" s="98"/>
      <c r="G117" s="98"/>
      <c r="H117" s="98"/>
      <c r="I117" s="98"/>
      <c r="J117" s="107">
        <v>0</v>
      </c>
      <c r="K117" s="141"/>
    </row>
    <row r="118" spans="3:11">
      <c r="C118" s="138" t="s">
        <v>93</v>
      </c>
      <c r="D118" s="98"/>
      <c r="E118" s="98"/>
      <c r="F118" s="98"/>
      <c r="G118" s="98"/>
      <c r="H118" s="98"/>
      <c r="I118" s="98"/>
      <c r="J118" s="107">
        <v>0</v>
      </c>
      <c r="K118" s="141"/>
    </row>
    <row r="119" spans="3:11">
      <c r="C119" s="138" t="s">
        <v>334</v>
      </c>
      <c r="D119" s="98"/>
      <c r="E119" s="98"/>
      <c r="F119" s="98"/>
      <c r="G119" s="98"/>
      <c r="H119" s="98"/>
      <c r="I119" s="98"/>
      <c r="J119" s="107">
        <v>0</v>
      </c>
      <c r="K119" s="141"/>
    </row>
    <row r="120" spans="3:11">
      <c r="C120" s="138" t="s">
        <v>525</v>
      </c>
      <c r="D120" s="98"/>
      <c r="E120" s="98"/>
      <c r="F120" s="98"/>
      <c r="G120" s="98"/>
      <c r="H120" s="98"/>
      <c r="I120" s="98"/>
      <c r="J120" s="107">
        <v>0</v>
      </c>
      <c r="K120" s="141"/>
    </row>
    <row r="121" spans="3:11">
      <c r="C121" s="138" t="s">
        <v>664</v>
      </c>
      <c r="D121" s="98"/>
      <c r="E121" s="98"/>
      <c r="F121" s="98"/>
      <c r="G121" s="98"/>
      <c r="H121" s="98"/>
      <c r="I121" s="98"/>
      <c r="J121" s="107">
        <v>0</v>
      </c>
      <c r="K121" s="141"/>
    </row>
    <row r="122" spans="3:11">
      <c r="C122" s="138" t="s">
        <v>483</v>
      </c>
      <c r="D122" s="98"/>
      <c r="E122" s="98"/>
      <c r="F122" s="98"/>
      <c r="G122" s="98"/>
      <c r="H122" s="98"/>
      <c r="I122" s="98"/>
      <c r="J122" s="107">
        <v>0</v>
      </c>
      <c r="K122" s="141"/>
    </row>
    <row r="123" spans="3:11">
      <c r="C123" s="138" t="s">
        <v>659</v>
      </c>
      <c r="D123" s="98"/>
      <c r="E123" s="98"/>
      <c r="F123" s="98"/>
      <c r="G123" s="98"/>
      <c r="H123" s="98"/>
      <c r="I123" s="98"/>
      <c r="J123" s="107">
        <v>0</v>
      </c>
      <c r="K123" s="141"/>
    </row>
    <row r="124" spans="3:11">
      <c r="C124" s="138" t="s">
        <v>195</v>
      </c>
      <c r="D124" s="98"/>
      <c r="E124" s="98"/>
      <c r="F124" s="98"/>
      <c r="G124" s="98"/>
      <c r="H124" s="98"/>
      <c r="I124" s="98"/>
      <c r="J124" s="107">
        <v>0</v>
      </c>
      <c r="K124" s="141"/>
    </row>
    <row r="125" spans="3:11">
      <c r="C125" s="138" t="s">
        <v>704</v>
      </c>
      <c r="D125" s="98"/>
      <c r="E125" s="98"/>
      <c r="F125" s="98"/>
      <c r="G125" s="98"/>
      <c r="H125" s="98"/>
      <c r="I125" s="98"/>
      <c r="J125" s="107">
        <v>0</v>
      </c>
      <c r="K125" s="141"/>
    </row>
    <row r="126" spans="3:11">
      <c r="C126" s="138" t="s">
        <v>656</v>
      </c>
      <c r="D126" s="98"/>
      <c r="E126" s="98"/>
      <c r="F126" s="98"/>
      <c r="G126" s="98"/>
      <c r="H126" s="98"/>
      <c r="I126" s="98"/>
      <c r="J126" s="107">
        <v>0</v>
      </c>
      <c r="K126" s="141"/>
    </row>
    <row r="127" spans="3:11">
      <c r="C127" s="138" t="s">
        <v>563</v>
      </c>
      <c r="D127" s="98"/>
      <c r="E127" s="98"/>
      <c r="F127" s="98"/>
      <c r="G127" s="98"/>
      <c r="H127" s="98"/>
      <c r="I127" s="98"/>
      <c r="J127" s="107">
        <v>0</v>
      </c>
      <c r="K127" s="141"/>
    </row>
    <row r="128" spans="3:11">
      <c r="C128" s="138" t="s">
        <v>212</v>
      </c>
      <c r="D128" s="98"/>
      <c r="E128" s="98"/>
      <c r="F128" s="98"/>
      <c r="G128" s="98"/>
      <c r="H128" s="98"/>
      <c r="I128" s="98"/>
      <c r="J128" s="107">
        <v>0</v>
      </c>
      <c r="K128" s="141"/>
    </row>
    <row r="129" spans="3:11">
      <c r="C129" s="138" t="s">
        <v>400</v>
      </c>
      <c r="D129" s="98"/>
      <c r="E129" s="98"/>
      <c r="F129" s="98"/>
      <c r="G129" s="98"/>
      <c r="H129" s="98"/>
      <c r="I129" s="98"/>
      <c r="J129" s="107">
        <v>0</v>
      </c>
      <c r="K129" s="141"/>
    </row>
    <row r="130" spans="3:11">
      <c r="C130" s="138" t="s">
        <v>338</v>
      </c>
      <c r="D130" s="98"/>
      <c r="E130" s="98"/>
      <c r="F130" s="98"/>
      <c r="G130" s="98"/>
      <c r="H130" s="98"/>
      <c r="I130" s="98"/>
      <c r="J130" s="107">
        <v>0</v>
      </c>
      <c r="K130" s="141"/>
    </row>
    <row r="131" spans="3:11">
      <c r="C131" s="138" t="s">
        <v>1005</v>
      </c>
      <c r="D131" s="98"/>
      <c r="E131" s="98"/>
      <c r="F131" s="98"/>
      <c r="G131" s="98"/>
      <c r="H131" s="98"/>
      <c r="I131" s="98"/>
      <c r="J131" s="107">
        <v>0</v>
      </c>
      <c r="K131" s="141"/>
    </row>
    <row r="132" spans="3:11">
      <c r="C132" s="138" t="s">
        <v>899</v>
      </c>
      <c r="D132" s="98"/>
      <c r="E132" s="98"/>
      <c r="F132" s="98"/>
      <c r="G132" s="98"/>
      <c r="H132" s="98"/>
      <c r="I132" s="98"/>
      <c r="J132" s="107">
        <v>0</v>
      </c>
      <c r="K132" s="141"/>
    </row>
    <row r="133" spans="3:11">
      <c r="C133" s="138" t="s">
        <v>873</v>
      </c>
      <c r="D133" s="98"/>
      <c r="E133" s="98"/>
      <c r="F133" s="98"/>
      <c r="G133" s="98"/>
      <c r="H133" s="98"/>
      <c r="I133" s="98"/>
      <c r="J133" s="107">
        <v>0</v>
      </c>
      <c r="K133" s="141"/>
    </row>
    <row r="134" spans="3:11">
      <c r="C134" s="138" t="s">
        <v>451</v>
      </c>
      <c r="D134" s="98"/>
      <c r="E134" s="98"/>
      <c r="F134" s="98"/>
      <c r="G134" s="98"/>
      <c r="H134" s="98"/>
      <c r="I134" s="98"/>
      <c r="J134" s="107">
        <v>0</v>
      </c>
      <c r="K134" s="141"/>
    </row>
    <row r="135" spans="3:11">
      <c r="C135" s="138" t="s">
        <v>315</v>
      </c>
      <c r="D135" s="98"/>
      <c r="E135" s="98"/>
      <c r="F135" s="98"/>
      <c r="G135" s="98"/>
      <c r="H135" s="98"/>
      <c r="I135" s="98"/>
      <c r="J135" s="107">
        <v>0</v>
      </c>
      <c r="K135" s="141"/>
    </row>
    <row r="136" spans="3:11">
      <c r="C136" s="138" t="s">
        <v>109</v>
      </c>
      <c r="D136" s="98"/>
      <c r="E136" s="98"/>
      <c r="F136" s="98"/>
      <c r="G136" s="98"/>
      <c r="H136" s="98"/>
      <c r="I136" s="98"/>
      <c r="J136" s="107">
        <v>0</v>
      </c>
      <c r="K136" s="141"/>
    </row>
    <row r="137" spans="3:11">
      <c r="C137" s="138" t="s">
        <v>765</v>
      </c>
      <c r="D137" s="98"/>
      <c r="E137" s="98"/>
      <c r="F137" s="98"/>
      <c r="G137" s="98"/>
      <c r="H137" s="98"/>
      <c r="I137" s="98"/>
      <c r="J137" s="107">
        <v>0</v>
      </c>
      <c r="K137" s="141"/>
    </row>
    <row r="138" spans="3:11">
      <c r="C138" s="138" t="s">
        <v>962</v>
      </c>
      <c r="D138" s="98"/>
      <c r="E138" s="98"/>
      <c r="F138" s="98"/>
      <c r="G138" s="98"/>
      <c r="H138" s="98"/>
      <c r="I138" s="98"/>
      <c r="J138" s="107">
        <v>0</v>
      </c>
      <c r="K138" s="141"/>
    </row>
    <row r="139" spans="3:11">
      <c r="C139" s="138" t="s">
        <v>753</v>
      </c>
      <c r="D139" s="98"/>
      <c r="E139" s="98"/>
      <c r="F139" s="98"/>
      <c r="G139" s="98"/>
      <c r="H139" s="98"/>
      <c r="I139" s="98"/>
      <c r="J139" s="107">
        <v>0</v>
      </c>
      <c r="K139" s="141"/>
    </row>
    <row r="140" spans="3:11">
      <c r="C140" s="138" t="s">
        <v>565</v>
      </c>
      <c r="D140" s="98"/>
      <c r="E140" s="98"/>
      <c r="F140" s="98"/>
      <c r="G140" s="98"/>
      <c r="H140" s="98"/>
      <c r="I140" s="98"/>
      <c r="J140" s="107">
        <v>0</v>
      </c>
      <c r="K140" s="141"/>
    </row>
    <row r="141" spans="3:11">
      <c r="C141" s="138" t="s">
        <v>125</v>
      </c>
      <c r="D141" s="98"/>
      <c r="E141" s="98"/>
      <c r="F141" s="98"/>
      <c r="G141" s="98"/>
      <c r="H141" s="98"/>
      <c r="I141" s="98"/>
      <c r="J141" s="107">
        <v>0</v>
      </c>
      <c r="K141" s="141"/>
    </row>
    <row r="142" spans="3:11">
      <c r="C142" s="138" t="s">
        <v>81</v>
      </c>
      <c r="D142" s="98"/>
      <c r="E142" s="98"/>
      <c r="F142" s="98"/>
      <c r="G142" s="98"/>
      <c r="H142" s="98"/>
      <c r="I142" s="98"/>
      <c r="J142" s="107">
        <v>0</v>
      </c>
      <c r="K142" s="141"/>
    </row>
    <row r="143" spans="3:11">
      <c r="C143" s="138" t="s">
        <v>1051</v>
      </c>
      <c r="D143" s="98"/>
      <c r="E143" s="98"/>
      <c r="F143" s="98"/>
      <c r="G143" s="98"/>
      <c r="H143" s="98"/>
      <c r="I143" s="98"/>
      <c r="J143" s="107">
        <v>0</v>
      </c>
      <c r="K143" s="141"/>
    </row>
    <row r="144" spans="3:11">
      <c r="C144" s="138" t="s">
        <v>906</v>
      </c>
      <c r="D144" s="98"/>
      <c r="E144" s="98"/>
      <c r="F144" s="98"/>
      <c r="G144" s="98"/>
      <c r="H144" s="98"/>
      <c r="I144" s="98"/>
      <c r="J144" s="107">
        <v>0</v>
      </c>
      <c r="K144" s="141"/>
    </row>
    <row r="145" spans="3:11">
      <c r="C145" s="138" t="s">
        <v>980</v>
      </c>
      <c r="D145" s="98"/>
      <c r="E145" s="98"/>
      <c r="F145" s="98"/>
      <c r="G145" s="98"/>
      <c r="H145" s="98"/>
      <c r="I145" s="98"/>
      <c r="J145" s="107">
        <v>0</v>
      </c>
      <c r="K145" s="141"/>
    </row>
    <row r="146" spans="3:11">
      <c r="C146" s="138" t="s">
        <v>724</v>
      </c>
      <c r="D146" s="98"/>
      <c r="E146" s="98"/>
      <c r="F146" s="98"/>
      <c r="G146" s="98"/>
      <c r="H146" s="98"/>
      <c r="I146" s="98"/>
      <c r="J146" s="107">
        <v>0</v>
      </c>
      <c r="K146" s="141"/>
    </row>
    <row r="147" spans="3:11">
      <c r="C147" s="138" t="s">
        <v>940</v>
      </c>
      <c r="D147" s="98"/>
      <c r="E147" s="98"/>
      <c r="F147" s="98"/>
      <c r="G147" s="98"/>
      <c r="H147" s="98"/>
      <c r="I147" s="98"/>
      <c r="J147" s="107">
        <v>0</v>
      </c>
      <c r="K147" s="141"/>
    </row>
    <row r="148" spans="3:11">
      <c r="C148" s="138" t="s">
        <v>242</v>
      </c>
      <c r="D148" s="98"/>
      <c r="E148" s="98"/>
      <c r="F148" s="98"/>
      <c r="G148" s="98"/>
      <c r="H148" s="98"/>
      <c r="I148" s="98"/>
      <c r="J148" s="107">
        <v>0</v>
      </c>
      <c r="K148" s="141"/>
    </row>
    <row r="149" spans="3:11">
      <c r="C149" s="138" t="s">
        <v>417</v>
      </c>
      <c r="D149" s="98"/>
      <c r="E149" s="98"/>
      <c r="F149" s="98"/>
      <c r="G149" s="98"/>
      <c r="H149" s="98"/>
      <c r="I149" s="98"/>
      <c r="J149" s="107">
        <v>0</v>
      </c>
      <c r="K149" s="141"/>
    </row>
    <row r="150" spans="3:11">
      <c r="C150" s="138" t="s">
        <v>521</v>
      </c>
      <c r="D150" s="98"/>
      <c r="E150" s="98"/>
      <c r="F150" s="98"/>
      <c r="G150" s="98"/>
      <c r="H150" s="98"/>
      <c r="I150" s="98"/>
      <c r="J150" s="107">
        <v>0</v>
      </c>
      <c r="K150" s="141"/>
    </row>
    <row r="151" spans="3:11">
      <c r="C151" s="138" t="s">
        <v>1083</v>
      </c>
      <c r="D151" s="98"/>
      <c r="E151" s="98"/>
      <c r="F151" s="98"/>
      <c r="G151" s="98"/>
      <c r="H151" s="98"/>
      <c r="I151" s="98"/>
      <c r="J151" s="107">
        <v>0</v>
      </c>
      <c r="K151" s="141"/>
    </row>
    <row r="152" spans="3:11">
      <c r="C152" s="138" t="s">
        <v>719</v>
      </c>
      <c r="D152" s="98"/>
      <c r="E152" s="98"/>
      <c r="F152" s="98"/>
      <c r="G152" s="98"/>
      <c r="H152" s="98"/>
      <c r="I152" s="98"/>
      <c r="J152" s="107">
        <v>0</v>
      </c>
      <c r="K152" s="141"/>
    </row>
    <row r="153" spans="3:11">
      <c r="C153" s="138" t="s">
        <v>815</v>
      </c>
      <c r="D153" s="98"/>
      <c r="E153" s="98"/>
      <c r="F153" s="98"/>
      <c r="G153" s="98"/>
      <c r="H153" s="98"/>
      <c r="I153" s="98"/>
      <c r="J153" s="107">
        <v>0</v>
      </c>
      <c r="K153" s="141"/>
    </row>
    <row r="154" spans="3:11">
      <c r="C154" s="138" t="s">
        <v>1049</v>
      </c>
      <c r="D154" s="98"/>
      <c r="E154" s="98"/>
      <c r="F154" s="98"/>
      <c r="G154" s="98"/>
      <c r="H154" s="98"/>
      <c r="I154" s="98"/>
      <c r="J154" s="107">
        <v>0</v>
      </c>
      <c r="K154" s="141"/>
    </row>
    <row r="155" spans="3:11">
      <c r="C155" s="138" t="s">
        <v>713</v>
      </c>
      <c r="D155" s="98"/>
      <c r="E155" s="98"/>
      <c r="F155" s="98"/>
      <c r="G155" s="98"/>
      <c r="H155" s="98"/>
      <c r="I155" s="98"/>
      <c r="J155" s="107">
        <v>0</v>
      </c>
      <c r="K155" s="141"/>
    </row>
    <row r="156" spans="3:11">
      <c r="C156" s="138" t="s">
        <v>617</v>
      </c>
      <c r="D156" s="98"/>
      <c r="E156" s="98"/>
      <c r="F156" s="98"/>
      <c r="G156" s="98"/>
      <c r="H156" s="98"/>
      <c r="I156" s="98"/>
      <c r="J156" s="107">
        <v>0</v>
      </c>
      <c r="K156" s="141"/>
    </row>
    <row r="157" spans="3:11">
      <c r="C157" s="138" t="s">
        <v>751</v>
      </c>
      <c r="D157" s="98"/>
      <c r="E157" s="98"/>
      <c r="F157" s="98"/>
      <c r="G157" s="98"/>
      <c r="H157" s="98"/>
      <c r="I157" s="98"/>
      <c r="J157" s="107">
        <v>0</v>
      </c>
      <c r="K157" s="141"/>
    </row>
    <row r="158" spans="3:11">
      <c r="C158" s="138" t="s">
        <v>239</v>
      </c>
      <c r="D158" s="98"/>
      <c r="E158" s="98"/>
      <c r="F158" s="98"/>
      <c r="G158" s="98"/>
      <c r="H158" s="98"/>
      <c r="I158" s="98"/>
      <c r="J158" s="107">
        <v>0</v>
      </c>
      <c r="K158" s="141"/>
    </row>
    <row r="159" spans="3:11">
      <c r="C159" s="138" t="s">
        <v>496</v>
      </c>
      <c r="D159" s="98"/>
      <c r="E159" s="98"/>
      <c r="F159" s="98"/>
      <c r="G159" s="98"/>
      <c r="H159" s="98"/>
      <c r="I159" s="98"/>
      <c r="J159" s="107">
        <v>0</v>
      </c>
      <c r="K159" s="141"/>
    </row>
    <row r="160" spans="3:11">
      <c r="C160" s="138" t="s">
        <v>404</v>
      </c>
      <c r="D160" s="98"/>
      <c r="E160" s="98"/>
      <c r="F160" s="98"/>
      <c r="G160" s="98"/>
      <c r="H160" s="98"/>
      <c r="I160" s="98"/>
      <c r="J160" s="107">
        <v>0</v>
      </c>
      <c r="K160" s="141"/>
    </row>
    <row r="161" spans="3:11">
      <c r="C161" s="138" t="s">
        <v>307</v>
      </c>
      <c r="D161" s="98"/>
      <c r="E161" s="98"/>
      <c r="F161" s="98"/>
      <c r="G161" s="98"/>
      <c r="H161" s="98"/>
      <c r="I161" s="98"/>
      <c r="J161" s="107">
        <v>0</v>
      </c>
      <c r="K161" s="141"/>
    </row>
    <row r="162" spans="3:11">
      <c r="C162" s="138" t="s">
        <v>781</v>
      </c>
      <c r="D162" s="98"/>
      <c r="E162" s="98"/>
      <c r="F162" s="98"/>
      <c r="G162" s="98"/>
      <c r="H162" s="98"/>
      <c r="I162" s="98"/>
      <c r="J162" s="107">
        <v>0</v>
      </c>
      <c r="K162" s="141"/>
    </row>
    <row r="163" spans="3:11">
      <c r="C163" s="138" t="s">
        <v>772</v>
      </c>
      <c r="D163" s="98"/>
      <c r="E163" s="98"/>
      <c r="F163" s="98"/>
      <c r="G163" s="98"/>
      <c r="H163" s="98"/>
      <c r="I163" s="98"/>
      <c r="J163" s="107">
        <v>0</v>
      </c>
      <c r="K163" s="141"/>
    </row>
    <row r="164" spans="3:11">
      <c r="C164" s="138" t="s">
        <v>331</v>
      </c>
      <c r="D164" s="98"/>
      <c r="E164" s="98"/>
      <c r="F164" s="98"/>
      <c r="G164" s="98"/>
      <c r="H164" s="98"/>
      <c r="I164" s="98"/>
      <c r="J164" s="107">
        <v>0</v>
      </c>
      <c r="K164" s="141"/>
    </row>
    <row r="165" spans="3:11">
      <c r="C165" s="138" t="s">
        <v>820</v>
      </c>
      <c r="D165" s="98"/>
      <c r="E165" s="98"/>
      <c r="F165" s="98"/>
      <c r="G165" s="98"/>
      <c r="H165" s="98"/>
      <c r="I165" s="98"/>
      <c r="J165" s="107">
        <v>0</v>
      </c>
      <c r="K165" s="141"/>
    </row>
    <row r="166" spans="3:11">
      <c r="C166" s="138" t="s">
        <v>620</v>
      </c>
      <c r="D166" s="98"/>
      <c r="E166" s="98"/>
      <c r="F166" s="98"/>
      <c r="G166" s="98"/>
      <c r="H166" s="98"/>
      <c r="I166" s="98"/>
      <c r="J166" s="107">
        <v>0</v>
      </c>
      <c r="K166" s="141"/>
    </row>
    <row r="167" spans="3:11">
      <c r="C167" s="138" t="s">
        <v>693</v>
      </c>
      <c r="D167" s="98"/>
      <c r="E167" s="98"/>
      <c r="F167" s="98"/>
      <c r="G167" s="98"/>
      <c r="H167" s="98"/>
      <c r="I167" s="98"/>
      <c r="J167" s="107">
        <v>0</v>
      </c>
      <c r="K167" s="141"/>
    </row>
    <row r="168" spans="3:11">
      <c r="C168" s="138" t="s">
        <v>649</v>
      </c>
      <c r="D168" s="98"/>
      <c r="E168" s="98"/>
      <c r="F168" s="98"/>
      <c r="G168" s="98"/>
      <c r="H168" s="98"/>
      <c r="I168" s="98"/>
      <c r="J168" s="107">
        <v>0</v>
      </c>
      <c r="K168" s="141"/>
    </row>
    <row r="169" spans="3:11">
      <c r="C169" s="138" t="s">
        <v>879</v>
      </c>
      <c r="D169" s="98"/>
      <c r="E169" s="98"/>
      <c r="F169" s="98"/>
      <c r="G169" s="98"/>
      <c r="H169" s="98"/>
      <c r="I169" s="98"/>
      <c r="J169" s="107">
        <v>0</v>
      </c>
      <c r="K169" s="141"/>
    </row>
    <row r="170" spans="3:11">
      <c r="C170" s="138" t="s">
        <v>550</v>
      </c>
      <c r="D170" s="98"/>
      <c r="E170" s="98"/>
      <c r="F170" s="98"/>
      <c r="G170" s="98"/>
      <c r="H170" s="98"/>
      <c r="I170" s="98"/>
      <c r="J170" s="107">
        <v>0</v>
      </c>
      <c r="K170" s="141"/>
    </row>
    <row r="171" spans="3:11">
      <c r="C171" s="138" t="s">
        <v>937</v>
      </c>
      <c r="D171" s="98"/>
      <c r="E171" s="98"/>
      <c r="F171" s="98"/>
      <c r="G171" s="98"/>
      <c r="H171" s="98"/>
      <c r="I171" s="98"/>
      <c r="J171" s="107">
        <v>0</v>
      </c>
      <c r="K171" s="141"/>
    </row>
    <row r="172" spans="3:11">
      <c r="C172" s="138" t="s">
        <v>627</v>
      </c>
      <c r="D172" s="98"/>
      <c r="E172" s="98"/>
      <c r="F172" s="98"/>
      <c r="G172" s="98"/>
      <c r="H172" s="98"/>
      <c r="I172" s="98"/>
      <c r="J172" s="107">
        <v>0</v>
      </c>
      <c r="K172" s="141"/>
    </row>
    <row r="173" spans="3:11">
      <c r="C173" s="138" t="s">
        <v>235</v>
      </c>
      <c r="D173" s="98"/>
      <c r="E173" s="98"/>
      <c r="F173" s="98"/>
      <c r="G173" s="98"/>
      <c r="H173" s="98"/>
      <c r="I173" s="98"/>
      <c r="J173" s="107">
        <v>0</v>
      </c>
      <c r="K173" s="141"/>
    </row>
    <row r="174" spans="3:11">
      <c r="C174" s="138" t="s">
        <v>411</v>
      </c>
      <c r="D174" s="98"/>
      <c r="E174" s="98"/>
      <c r="F174" s="98"/>
      <c r="G174" s="98"/>
      <c r="H174" s="98"/>
      <c r="I174" s="98"/>
      <c r="J174" s="107">
        <v>0</v>
      </c>
      <c r="K174" s="141"/>
    </row>
    <row r="175" spans="3:11">
      <c r="C175" s="138" t="s">
        <v>513</v>
      </c>
      <c r="D175" s="98"/>
      <c r="E175" s="98"/>
      <c r="F175" s="98"/>
      <c r="G175" s="98"/>
      <c r="H175" s="98"/>
      <c r="I175" s="98"/>
      <c r="J175" s="107">
        <v>0</v>
      </c>
      <c r="K175" s="141"/>
    </row>
    <row r="176" spans="3:11">
      <c r="C176" s="138" t="s">
        <v>151</v>
      </c>
      <c r="D176" s="98"/>
      <c r="E176" s="98"/>
      <c r="F176" s="98"/>
      <c r="G176" s="98"/>
      <c r="H176" s="98"/>
      <c r="I176" s="98"/>
      <c r="J176" s="107">
        <v>0</v>
      </c>
      <c r="K176" s="141"/>
    </row>
    <row r="177" spans="3:11">
      <c r="C177" s="138" t="s">
        <v>610</v>
      </c>
      <c r="D177" s="98"/>
      <c r="E177" s="98"/>
      <c r="F177" s="98"/>
      <c r="G177" s="98"/>
      <c r="H177" s="98"/>
      <c r="I177" s="98"/>
      <c r="J177" s="107">
        <v>0</v>
      </c>
      <c r="K177" s="141"/>
    </row>
    <row r="178" spans="3:11">
      <c r="C178" s="138" t="s">
        <v>389</v>
      </c>
      <c r="D178" s="98"/>
      <c r="E178" s="98"/>
      <c r="F178" s="98"/>
      <c r="G178" s="98"/>
      <c r="H178" s="98"/>
      <c r="I178" s="98"/>
      <c r="J178" s="107">
        <v>0</v>
      </c>
      <c r="K178" s="141"/>
    </row>
    <row r="179" spans="3:11">
      <c r="C179" s="138" t="s">
        <v>381</v>
      </c>
      <c r="D179" s="98"/>
      <c r="E179" s="98"/>
      <c r="F179" s="98"/>
      <c r="G179" s="98"/>
      <c r="H179" s="98"/>
      <c r="I179" s="98"/>
      <c r="J179" s="107">
        <v>0</v>
      </c>
      <c r="K179" s="141"/>
    </row>
    <row r="180" spans="3:11">
      <c r="C180" s="138" t="s">
        <v>865</v>
      </c>
      <c r="D180" s="98"/>
      <c r="E180" s="98"/>
      <c r="F180" s="98"/>
      <c r="G180" s="98"/>
      <c r="H180" s="98"/>
      <c r="I180" s="98"/>
      <c r="J180" s="107">
        <v>0</v>
      </c>
      <c r="K180" s="141"/>
    </row>
    <row r="181" spans="3:11">
      <c r="C181" s="138" t="s">
        <v>107</v>
      </c>
      <c r="D181" s="98"/>
      <c r="E181" s="98"/>
      <c r="F181" s="98"/>
      <c r="G181" s="98"/>
      <c r="H181" s="98"/>
      <c r="I181" s="98"/>
      <c r="J181" s="107">
        <v>0</v>
      </c>
      <c r="K181" s="141"/>
    </row>
    <row r="182" spans="3:11">
      <c r="C182" s="138" t="s">
        <v>1016</v>
      </c>
      <c r="D182" s="98"/>
      <c r="E182" s="98"/>
      <c r="F182" s="98"/>
      <c r="G182" s="98"/>
      <c r="H182" s="98"/>
      <c r="I182" s="98"/>
      <c r="J182" s="107">
        <v>0</v>
      </c>
      <c r="K182" s="141"/>
    </row>
    <row r="183" spans="3:11">
      <c r="C183" s="138" t="s">
        <v>349</v>
      </c>
      <c r="D183" s="98"/>
      <c r="E183" s="98"/>
      <c r="F183" s="98"/>
      <c r="G183" s="98"/>
      <c r="H183" s="98"/>
      <c r="I183" s="98"/>
      <c r="J183" s="107">
        <v>0</v>
      </c>
      <c r="K183" s="141"/>
    </row>
    <row r="184" spans="3:11">
      <c r="C184" s="138" t="s">
        <v>284</v>
      </c>
      <c r="D184" s="98"/>
      <c r="E184" s="98"/>
      <c r="F184" s="98"/>
      <c r="G184" s="98"/>
      <c r="H184" s="98"/>
      <c r="I184" s="98"/>
      <c r="J184" s="107">
        <v>0</v>
      </c>
      <c r="K184" s="141"/>
    </row>
    <row r="185" spans="3:11">
      <c r="C185" s="138" t="s">
        <v>700</v>
      </c>
      <c r="D185" s="98"/>
      <c r="E185" s="98"/>
      <c r="F185" s="98"/>
      <c r="G185" s="98"/>
      <c r="H185" s="98"/>
      <c r="I185" s="98"/>
      <c r="J185" s="107">
        <v>0</v>
      </c>
      <c r="K185" s="141"/>
    </row>
    <row r="186" spans="3:11">
      <c r="C186" s="138" t="s">
        <v>422</v>
      </c>
      <c r="D186" s="98"/>
      <c r="E186" s="98"/>
      <c r="F186" s="98"/>
      <c r="G186" s="98"/>
      <c r="H186" s="98"/>
      <c r="I186" s="98"/>
      <c r="J186" s="107">
        <v>0</v>
      </c>
      <c r="K186" s="141"/>
    </row>
    <row r="187" spans="3:11">
      <c r="C187" s="138" t="s">
        <v>599</v>
      </c>
      <c r="D187" s="98"/>
      <c r="E187" s="98"/>
      <c r="F187" s="98"/>
      <c r="G187" s="98"/>
      <c r="H187" s="98"/>
      <c r="I187" s="98"/>
      <c r="J187" s="107">
        <v>0</v>
      </c>
      <c r="K187" s="141"/>
    </row>
    <row r="188" spans="3:11">
      <c r="C188" s="138" t="s">
        <v>840</v>
      </c>
      <c r="D188" s="98"/>
      <c r="E188" s="98"/>
      <c r="F188" s="98"/>
      <c r="G188" s="98"/>
      <c r="H188" s="98"/>
      <c r="I188" s="98"/>
      <c r="J188" s="107">
        <v>0</v>
      </c>
      <c r="K188" s="141"/>
    </row>
    <row r="189" spans="3:11">
      <c r="C189" s="138" t="s">
        <v>647</v>
      </c>
      <c r="D189" s="98"/>
      <c r="E189" s="98"/>
      <c r="F189" s="98"/>
      <c r="G189" s="98"/>
      <c r="H189" s="98"/>
      <c r="I189" s="98"/>
      <c r="J189" s="107">
        <v>0</v>
      </c>
      <c r="K189" s="141"/>
    </row>
    <row r="190" spans="3:11">
      <c r="C190" s="138" t="s">
        <v>789</v>
      </c>
      <c r="D190" s="98"/>
      <c r="E190" s="98"/>
      <c r="F190" s="98"/>
      <c r="G190" s="98"/>
      <c r="H190" s="98"/>
      <c r="I190" s="98"/>
      <c r="J190" s="107">
        <v>0</v>
      </c>
      <c r="K190" s="141"/>
    </row>
    <row r="191" spans="3:11">
      <c r="C191" s="138" t="s">
        <v>132</v>
      </c>
      <c r="D191" s="98"/>
      <c r="E191" s="98"/>
      <c r="F191" s="98"/>
      <c r="G191" s="98"/>
      <c r="H191" s="98"/>
      <c r="I191" s="98"/>
      <c r="J191" s="107">
        <v>0</v>
      </c>
      <c r="K191" s="141"/>
    </row>
    <row r="192" spans="3:11">
      <c r="C192" s="138" t="s">
        <v>824</v>
      </c>
      <c r="D192" s="98"/>
      <c r="E192" s="98"/>
      <c r="F192" s="98"/>
      <c r="G192" s="98"/>
      <c r="H192" s="98"/>
      <c r="I192" s="98"/>
      <c r="J192" s="107">
        <v>0</v>
      </c>
      <c r="K192" s="141"/>
    </row>
    <row r="193" spans="3:11">
      <c r="C193" s="138" t="s">
        <v>883</v>
      </c>
      <c r="D193" s="98"/>
      <c r="E193" s="98"/>
      <c r="F193" s="98"/>
      <c r="G193" s="98"/>
      <c r="H193" s="98"/>
      <c r="I193" s="98"/>
      <c r="J193" s="107">
        <v>0</v>
      </c>
      <c r="K193" s="141"/>
    </row>
    <row r="194" spans="3:11">
      <c r="C194" s="138" t="s">
        <v>312</v>
      </c>
      <c r="D194" s="98"/>
      <c r="E194" s="98"/>
      <c r="F194" s="98"/>
      <c r="G194" s="98"/>
      <c r="H194" s="98"/>
      <c r="I194" s="98"/>
      <c r="J194" s="107">
        <v>0</v>
      </c>
      <c r="K194" s="141"/>
    </row>
    <row r="195" spans="3:11">
      <c r="C195" s="138" t="s">
        <v>870</v>
      </c>
      <c r="D195" s="98"/>
      <c r="E195" s="98"/>
      <c r="F195" s="98"/>
      <c r="G195" s="98"/>
      <c r="H195" s="98"/>
      <c r="I195" s="98"/>
      <c r="J195" s="107">
        <v>0</v>
      </c>
      <c r="K195" s="141"/>
    </row>
    <row r="196" spans="3:11">
      <c r="C196" s="138" t="s">
        <v>572</v>
      </c>
      <c r="D196" s="98"/>
      <c r="E196" s="98"/>
      <c r="F196" s="98"/>
      <c r="G196" s="98"/>
      <c r="H196" s="98"/>
      <c r="I196" s="98"/>
      <c r="J196" s="107">
        <v>0</v>
      </c>
      <c r="K196" s="141"/>
    </row>
    <row r="197" spans="3:11">
      <c r="C197" s="138" t="s">
        <v>166</v>
      </c>
      <c r="D197" s="98"/>
      <c r="E197" s="98"/>
      <c r="F197" s="98"/>
      <c r="G197" s="98"/>
      <c r="H197" s="98"/>
      <c r="I197" s="98"/>
      <c r="J197" s="107">
        <v>0</v>
      </c>
      <c r="K197" s="141"/>
    </row>
    <row r="198" spans="3:11">
      <c r="C198" s="138" t="s">
        <v>1010</v>
      </c>
      <c r="D198" s="98"/>
      <c r="E198" s="98"/>
      <c r="F198" s="98"/>
      <c r="G198" s="98"/>
      <c r="H198" s="98"/>
      <c r="I198" s="98"/>
      <c r="J198" s="107">
        <v>0</v>
      </c>
      <c r="K198" s="141"/>
    </row>
    <row r="199" spans="3:11">
      <c r="C199" s="138" t="s">
        <v>316</v>
      </c>
      <c r="D199" s="98"/>
      <c r="E199" s="98"/>
      <c r="F199" s="98"/>
      <c r="G199" s="98"/>
      <c r="H199" s="98"/>
      <c r="I199" s="98"/>
      <c r="J199" s="107">
        <v>0</v>
      </c>
      <c r="K199" s="141"/>
    </row>
    <row r="200" spans="3:11">
      <c r="C200" s="138" t="s">
        <v>816</v>
      </c>
      <c r="D200" s="98"/>
      <c r="E200" s="98"/>
      <c r="F200" s="98"/>
      <c r="G200" s="98"/>
      <c r="H200" s="98"/>
      <c r="I200" s="98"/>
      <c r="J200" s="107">
        <v>0</v>
      </c>
      <c r="K200" s="141"/>
    </row>
    <row r="201" spans="3:11">
      <c r="C201" s="138" t="s">
        <v>934</v>
      </c>
      <c r="D201" s="98"/>
      <c r="E201" s="98"/>
      <c r="F201" s="98"/>
      <c r="G201" s="98"/>
      <c r="H201" s="98"/>
      <c r="I201" s="98"/>
      <c r="J201" s="107">
        <v>0</v>
      </c>
      <c r="K201" s="141"/>
    </row>
    <row r="202" spans="3:11">
      <c r="C202" s="138" t="s">
        <v>1109</v>
      </c>
      <c r="D202" s="98"/>
      <c r="E202" s="98"/>
      <c r="F202" s="98"/>
      <c r="G202" s="98"/>
      <c r="H202" s="98"/>
      <c r="I202" s="98"/>
      <c r="J202" s="107">
        <v>0</v>
      </c>
      <c r="K202" s="141"/>
    </row>
    <row r="203" spans="3:11">
      <c r="C203" s="138" t="s">
        <v>880</v>
      </c>
      <c r="D203" s="98"/>
      <c r="E203" s="98"/>
      <c r="F203" s="98"/>
      <c r="G203" s="98"/>
      <c r="H203" s="98"/>
      <c r="I203" s="98"/>
      <c r="J203" s="107">
        <v>0</v>
      </c>
      <c r="K203" s="141"/>
    </row>
    <row r="204" spans="3:11">
      <c r="C204" s="138" t="s">
        <v>711</v>
      </c>
      <c r="D204" s="98"/>
      <c r="E204" s="98"/>
      <c r="F204" s="98"/>
      <c r="G204" s="98"/>
      <c r="H204" s="98"/>
      <c r="I204" s="98"/>
      <c r="J204" s="107">
        <v>0</v>
      </c>
      <c r="K204" s="141"/>
    </row>
    <row r="205" spans="3:11">
      <c r="C205" s="138" t="s">
        <v>1031</v>
      </c>
      <c r="D205" s="98"/>
      <c r="E205" s="98"/>
      <c r="F205" s="98"/>
      <c r="G205" s="98"/>
      <c r="H205" s="98"/>
      <c r="I205" s="98"/>
      <c r="J205" s="107">
        <v>0</v>
      </c>
      <c r="K205" s="141"/>
    </row>
    <row r="206" spans="3:11">
      <c r="C206" s="138" t="s">
        <v>1103</v>
      </c>
      <c r="D206" s="98"/>
      <c r="E206" s="98"/>
      <c r="F206" s="98"/>
      <c r="G206" s="98"/>
      <c r="H206" s="98"/>
      <c r="I206" s="98"/>
      <c r="J206" s="107">
        <v>0</v>
      </c>
      <c r="K206" s="141"/>
    </row>
    <row r="207" spans="3:11">
      <c r="C207" s="138" t="s">
        <v>80</v>
      </c>
      <c r="D207" s="98"/>
      <c r="E207" s="98"/>
      <c r="F207" s="98"/>
      <c r="G207" s="98"/>
      <c r="H207" s="98"/>
      <c r="I207" s="98"/>
      <c r="J207" s="107">
        <v>0</v>
      </c>
      <c r="K207" s="141"/>
    </row>
    <row r="208" spans="3:11">
      <c r="C208" s="138" t="s">
        <v>534</v>
      </c>
      <c r="D208" s="98"/>
      <c r="E208" s="98"/>
      <c r="F208" s="98"/>
      <c r="G208" s="98"/>
      <c r="H208" s="98"/>
      <c r="I208" s="98"/>
      <c r="J208" s="107">
        <v>0</v>
      </c>
      <c r="K208" s="141"/>
    </row>
    <row r="209" spans="3:11">
      <c r="C209" s="138" t="s">
        <v>736</v>
      </c>
      <c r="D209" s="98"/>
      <c r="E209" s="98"/>
      <c r="F209" s="98"/>
      <c r="G209" s="98"/>
      <c r="H209" s="98"/>
      <c r="I209" s="98"/>
      <c r="J209" s="107">
        <v>0</v>
      </c>
      <c r="K209" s="141"/>
    </row>
    <row r="210" spans="3:11">
      <c r="C210" s="138" t="s">
        <v>1118</v>
      </c>
      <c r="D210" s="98"/>
      <c r="E210" s="98"/>
      <c r="F210" s="98"/>
      <c r="G210" s="98"/>
      <c r="H210" s="98"/>
      <c r="I210" s="98"/>
      <c r="J210" s="107">
        <v>0</v>
      </c>
      <c r="K210" s="141"/>
    </row>
    <row r="211" spans="3:11">
      <c r="C211" s="138" t="s">
        <v>113</v>
      </c>
      <c r="D211" s="98"/>
      <c r="E211" s="98"/>
      <c r="F211" s="98"/>
      <c r="G211" s="98"/>
      <c r="H211" s="98"/>
      <c r="I211" s="98"/>
      <c r="J211" s="107">
        <v>0</v>
      </c>
      <c r="K211" s="141"/>
    </row>
    <row r="212" spans="3:11">
      <c r="C212" s="138" t="s">
        <v>388</v>
      </c>
      <c r="D212" s="98"/>
      <c r="E212" s="98"/>
      <c r="F212" s="98"/>
      <c r="G212" s="98"/>
      <c r="H212" s="98"/>
      <c r="I212" s="98"/>
      <c r="J212" s="107">
        <v>0</v>
      </c>
      <c r="K212" s="141"/>
    </row>
    <row r="213" spans="3:11">
      <c r="C213" s="138" t="s">
        <v>175</v>
      </c>
      <c r="D213" s="98"/>
      <c r="E213" s="98"/>
      <c r="F213" s="98"/>
      <c r="G213" s="98"/>
      <c r="H213" s="98"/>
      <c r="I213" s="98"/>
      <c r="J213" s="107">
        <v>0</v>
      </c>
      <c r="K213" s="141"/>
    </row>
    <row r="214" spans="3:11">
      <c r="C214" s="138" t="s">
        <v>888</v>
      </c>
      <c r="D214" s="98"/>
      <c r="E214" s="98"/>
      <c r="F214" s="98"/>
      <c r="G214" s="98"/>
      <c r="H214" s="98"/>
      <c r="I214" s="98"/>
      <c r="J214" s="107">
        <v>0</v>
      </c>
      <c r="K214" s="141"/>
    </row>
    <row r="215" spans="3:11">
      <c r="C215" s="138" t="s">
        <v>839</v>
      </c>
      <c r="D215" s="98"/>
      <c r="E215" s="98"/>
      <c r="F215" s="98"/>
      <c r="G215" s="98"/>
      <c r="H215" s="98"/>
      <c r="I215" s="98"/>
      <c r="J215" s="107">
        <v>0</v>
      </c>
      <c r="K215" s="141"/>
    </row>
    <row r="216" spans="3:11">
      <c r="C216" s="138" t="s">
        <v>1004</v>
      </c>
      <c r="D216" s="98"/>
      <c r="E216" s="98"/>
      <c r="F216" s="98"/>
      <c r="G216" s="98"/>
      <c r="H216" s="98"/>
      <c r="I216" s="98"/>
      <c r="J216" s="107">
        <v>0</v>
      </c>
      <c r="K216" s="141"/>
    </row>
    <row r="217" spans="3:11">
      <c r="C217" s="138" t="s">
        <v>327</v>
      </c>
      <c r="D217" s="98"/>
      <c r="E217" s="98"/>
      <c r="F217" s="98"/>
      <c r="G217" s="98"/>
      <c r="H217" s="98"/>
      <c r="I217" s="98"/>
      <c r="J217" s="107">
        <v>0</v>
      </c>
      <c r="K217" s="141"/>
    </row>
    <row r="218" spans="3:11">
      <c r="C218" s="138" t="s">
        <v>996</v>
      </c>
      <c r="D218" s="98"/>
      <c r="E218" s="98"/>
      <c r="F218" s="98"/>
      <c r="G218" s="98"/>
      <c r="H218" s="98"/>
      <c r="I218" s="98"/>
      <c r="J218" s="107">
        <v>0</v>
      </c>
      <c r="K218" s="141"/>
    </row>
    <row r="219" spans="3:11">
      <c r="C219" s="138" t="s">
        <v>638</v>
      </c>
      <c r="D219" s="98"/>
      <c r="E219" s="98"/>
      <c r="F219" s="98"/>
      <c r="G219" s="98"/>
      <c r="H219" s="98"/>
      <c r="I219" s="98"/>
      <c r="J219" s="107">
        <v>0</v>
      </c>
      <c r="K219" s="141"/>
    </row>
    <row r="220" spans="3:11">
      <c r="C220" s="138" t="s">
        <v>467</v>
      </c>
      <c r="D220" s="98"/>
      <c r="E220" s="98"/>
      <c r="F220" s="98"/>
      <c r="G220" s="98"/>
      <c r="H220" s="98"/>
      <c r="I220" s="98"/>
      <c r="J220" s="107">
        <v>0</v>
      </c>
      <c r="K220" s="141"/>
    </row>
    <row r="221" spans="3:11">
      <c r="C221" s="138" t="s">
        <v>567</v>
      </c>
      <c r="D221" s="98"/>
      <c r="E221" s="98"/>
      <c r="F221" s="98"/>
      <c r="G221" s="98"/>
      <c r="H221" s="98"/>
      <c r="I221" s="98"/>
      <c r="J221" s="107">
        <v>0</v>
      </c>
      <c r="K221" s="141"/>
    </row>
    <row r="222" spans="3:11">
      <c r="C222" s="138" t="s">
        <v>66</v>
      </c>
      <c r="D222" s="98"/>
      <c r="E222" s="98"/>
      <c r="F222" s="98"/>
      <c r="G222" s="98"/>
      <c r="H222" s="98"/>
      <c r="I222" s="98"/>
      <c r="J222" s="107">
        <v>0</v>
      </c>
      <c r="K222" s="141"/>
    </row>
    <row r="223" spans="3:11">
      <c r="C223" s="138" t="s">
        <v>586</v>
      </c>
      <c r="D223" s="98"/>
      <c r="E223" s="98"/>
      <c r="F223" s="98"/>
      <c r="G223" s="98"/>
      <c r="H223" s="98"/>
      <c r="I223" s="98"/>
      <c r="J223" s="107">
        <v>0</v>
      </c>
      <c r="K223" s="141"/>
    </row>
    <row r="224" spans="3:11">
      <c r="C224" s="138" t="s">
        <v>974</v>
      </c>
      <c r="D224" s="98"/>
      <c r="E224" s="98"/>
      <c r="F224" s="98"/>
      <c r="G224" s="98"/>
      <c r="H224" s="98"/>
      <c r="I224" s="98"/>
      <c r="J224" s="107">
        <v>0</v>
      </c>
      <c r="K224" s="141"/>
    </row>
    <row r="225" spans="3:11">
      <c r="C225" s="138" t="s">
        <v>933</v>
      </c>
      <c r="D225" s="98"/>
      <c r="E225" s="98"/>
      <c r="F225" s="98"/>
      <c r="G225" s="98"/>
      <c r="H225" s="98"/>
      <c r="I225" s="98"/>
      <c r="J225" s="107">
        <v>0</v>
      </c>
      <c r="K225" s="141"/>
    </row>
    <row r="226" spans="3:11">
      <c r="C226" s="138" t="s">
        <v>902</v>
      </c>
      <c r="D226" s="98"/>
      <c r="E226" s="98"/>
      <c r="F226" s="98"/>
      <c r="G226" s="98"/>
      <c r="H226" s="98"/>
      <c r="I226" s="98"/>
      <c r="J226" s="107">
        <v>0</v>
      </c>
      <c r="K226" s="141"/>
    </row>
    <row r="227" spans="3:11">
      <c r="C227" s="138" t="s">
        <v>964</v>
      </c>
      <c r="D227" s="98"/>
      <c r="E227" s="98"/>
      <c r="F227" s="98"/>
      <c r="G227" s="98"/>
      <c r="H227" s="98"/>
      <c r="I227" s="98"/>
      <c r="J227" s="107">
        <v>0</v>
      </c>
      <c r="K227" s="141"/>
    </row>
    <row r="228" spans="3:11">
      <c r="C228" s="138" t="s">
        <v>614</v>
      </c>
      <c r="D228" s="98"/>
      <c r="E228" s="98"/>
      <c r="F228" s="98"/>
      <c r="G228" s="98"/>
      <c r="H228" s="98"/>
      <c r="I228" s="98"/>
      <c r="J228" s="107">
        <v>0</v>
      </c>
      <c r="K228" s="141"/>
    </row>
    <row r="229" spans="3:11">
      <c r="C229" s="138" t="s">
        <v>237</v>
      </c>
      <c r="D229" s="98"/>
      <c r="E229" s="98"/>
      <c r="F229" s="98"/>
      <c r="G229" s="98"/>
      <c r="H229" s="98"/>
      <c r="I229" s="98"/>
      <c r="J229" s="107">
        <v>0</v>
      </c>
      <c r="K229" s="141"/>
    </row>
    <row r="230" spans="3:11">
      <c r="C230" s="138" t="s">
        <v>742</v>
      </c>
      <c r="D230" s="98"/>
      <c r="E230" s="98"/>
      <c r="F230" s="98"/>
      <c r="G230" s="98"/>
      <c r="H230" s="98"/>
      <c r="I230" s="98"/>
      <c r="J230" s="107">
        <v>0</v>
      </c>
      <c r="K230" s="141"/>
    </row>
    <row r="231" spans="3:11">
      <c r="C231" s="138" t="s">
        <v>198</v>
      </c>
      <c r="D231" s="98"/>
      <c r="E231" s="98"/>
      <c r="F231" s="98"/>
      <c r="G231" s="98"/>
      <c r="H231" s="98"/>
      <c r="I231" s="98"/>
      <c r="J231" s="107">
        <v>0</v>
      </c>
      <c r="K231" s="141"/>
    </row>
    <row r="232" spans="3:11">
      <c r="C232" s="138" t="s">
        <v>676</v>
      </c>
      <c r="D232" s="98"/>
      <c r="E232" s="98"/>
      <c r="F232" s="98"/>
      <c r="G232" s="98"/>
      <c r="H232" s="98"/>
      <c r="I232" s="98"/>
      <c r="J232" s="107">
        <v>0</v>
      </c>
      <c r="K232" s="141"/>
    </row>
    <row r="233" spans="3:11">
      <c r="C233" s="138" t="s">
        <v>893</v>
      </c>
      <c r="D233" s="98"/>
      <c r="E233" s="98"/>
      <c r="F233" s="98"/>
      <c r="G233" s="98"/>
      <c r="H233" s="98"/>
      <c r="I233" s="98"/>
      <c r="J233" s="107">
        <v>0</v>
      </c>
      <c r="K233" s="141"/>
    </row>
    <row r="234" spans="3:11">
      <c r="C234" s="138" t="s">
        <v>641</v>
      </c>
      <c r="D234" s="98"/>
      <c r="E234" s="98"/>
      <c r="F234" s="98"/>
      <c r="G234" s="98"/>
      <c r="H234" s="98"/>
      <c r="I234" s="98"/>
      <c r="J234" s="107">
        <v>0</v>
      </c>
      <c r="K234" s="141"/>
    </row>
    <row r="235" spans="3:11">
      <c r="C235" s="138" t="s">
        <v>929</v>
      </c>
      <c r="D235" s="98"/>
      <c r="E235" s="98"/>
      <c r="F235" s="98"/>
      <c r="G235" s="98"/>
      <c r="H235" s="98"/>
      <c r="I235" s="98"/>
      <c r="J235" s="107">
        <v>0</v>
      </c>
      <c r="K235" s="141"/>
    </row>
    <row r="236" spans="3:11">
      <c r="C236" s="138" t="s">
        <v>924</v>
      </c>
      <c r="D236" s="98"/>
      <c r="E236" s="98"/>
      <c r="F236" s="98"/>
      <c r="G236" s="98"/>
      <c r="H236" s="98"/>
      <c r="I236" s="98"/>
      <c r="J236" s="107">
        <v>0</v>
      </c>
      <c r="K236" s="141"/>
    </row>
    <row r="237" spans="3:11">
      <c r="C237" s="138" t="s">
        <v>94</v>
      </c>
      <c r="D237" s="98"/>
      <c r="E237" s="98"/>
      <c r="F237" s="98"/>
      <c r="G237" s="98"/>
      <c r="H237" s="98"/>
      <c r="I237" s="98"/>
      <c r="J237" s="107">
        <v>0</v>
      </c>
      <c r="K237" s="141"/>
    </row>
    <row r="238" spans="3:11">
      <c r="C238" s="138" t="s">
        <v>745</v>
      </c>
      <c r="D238" s="98"/>
      <c r="E238" s="98"/>
      <c r="F238" s="98"/>
      <c r="G238" s="98"/>
      <c r="H238" s="98"/>
      <c r="I238" s="98"/>
      <c r="J238" s="107">
        <v>0</v>
      </c>
      <c r="K238" s="141"/>
    </row>
    <row r="239" spans="3:11">
      <c r="C239" s="138" t="s">
        <v>814</v>
      </c>
      <c r="D239" s="98"/>
      <c r="E239" s="98"/>
      <c r="F239" s="98"/>
      <c r="G239" s="98"/>
      <c r="H239" s="98"/>
      <c r="I239" s="98"/>
      <c r="J239" s="107">
        <v>0</v>
      </c>
      <c r="K239" s="141"/>
    </row>
    <row r="240" spans="3:11">
      <c r="C240" s="138" t="s">
        <v>210</v>
      </c>
      <c r="D240" s="98"/>
      <c r="E240" s="98"/>
      <c r="F240" s="98"/>
      <c r="G240" s="98"/>
      <c r="H240" s="98"/>
      <c r="I240" s="98"/>
      <c r="J240" s="107">
        <v>0</v>
      </c>
      <c r="K240" s="141"/>
    </row>
    <row r="241" spans="3:11">
      <c r="C241" s="138" t="s">
        <v>920</v>
      </c>
      <c r="D241" s="98"/>
      <c r="E241" s="98"/>
      <c r="F241" s="98"/>
      <c r="G241" s="98"/>
      <c r="H241" s="98"/>
      <c r="I241" s="98"/>
      <c r="J241" s="107">
        <v>0</v>
      </c>
      <c r="K241" s="141"/>
    </row>
    <row r="242" spans="3:11">
      <c r="C242" s="138" t="s">
        <v>208</v>
      </c>
      <c r="D242" s="98"/>
      <c r="E242" s="98"/>
      <c r="F242" s="98"/>
      <c r="G242" s="98"/>
      <c r="H242" s="98"/>
      <c r="I242" s="98"/>
      <c r="J242" s="107">
        <v>0</v>
      </c>
      <c r="K242" s="141"/>
    </row>
    <row r="243" spans="3:11">
      <c r="C243" s="138" t="s">
        <v>335</v>
      </c>
      <c r="D243" s="98"/>
      <c r="E243" s="98"/>
      <c r="F243" s="98"/>
      <c r="G243" s="98"/>
      <c r="H243" s="98"/>
      <c r="I243" s="98"/>
      <c r="J243" s="107">
        <v>0</v>
      </c>
      <c r="K243" s="141"/>
    </row>
    <row r="244" spans="3:11">
      <c r="C244" s="138" t="s">
        <v>566</v>
      </c>
      <c r="D244" s="98"/>
      <c r="E244" s="98"/>
      <c r="F244" s="98"/>
      <c r="G244" s="98"/>
      <c r="H244" s="98"/>
      <c r="I244" s="98"/>
      <c r="J244" s="107">
        <v>0</v>
      </c>
      <c r="K244" s="141"/>
    </row>
    <row r="245" spans="3:11">
      <c r="C245" s="138" t="s">
        <v>987</v>
      </c>
      <c r="D245" s="98"/>
      <c r="E245" s="98"/>
      <c r="F245" s="98"/>
      <c r="G245" s="98"/>
      <c r="H245" s="98"/>
      <c r="I245" s="98"/>
      <c r="J245" s="107">
        <v>0</v>
      </c>
      <c r="K245" s="141"/>
    </row>
    <row r="246" spans="3:11">
      <c r="C246" s="138" t="s">
        <v>199</v>
      </c>
      <c r="D246" s="98"/>
      <c r="E246" s="98"/>
      <c r="F246" s="98"/>
      <c r="G246" s="98"/>
      <c r="H246" s="98"/>
      <c r="I246" s="98"/>
      <c r="J246" s="107">
        <v>0</v>
      </c>
      <c r="K246" s="141"/>
    </row>
    <row r="247" spans="3:11">
      <c r="C247" s="138" t="s">
        <v>337</v>
      </c>
      <c r="D247" s="98"/>
      <c r="E247" s="98"/>
      <c r="F247" s="98"/>
      <c r="G247" s="98"/>
      <c r="H247" s="98"/>
      <c r="I247" s="98"/>
      <c r="J247" s="107">
        <v>0</v>
      </c>
      <c r="K247" s="141"/>
    </row>
    <row r="248" spans="3:11">
      <c r="C248" s="138" t="s">
        <v>158</v>
      </c>
      <c r="D248" s="98"/>
      <c r="E248" s="98"/>
      <c r="F248" s="98"/>
      <c r="G248" s="98"/>
      <c r="H248" s="98"/>
      <c r="I248" s="98"/>
      <c r="J248" s="107">
        <v>0</v>
      </c>
      <c r="K248" s="141"/>
    </row>
    <row r="249" spans="3:11">
      <c r="C249" s="138" t="s">
        <v>1046</v>
      </c>
      <c r="D249" s="98"/>
      <c r="E249" s="98"/>
      <c r="F249" s="98"/>
      <c r="G249" s="98"/>
      <c r="H249" s="98"/>
      <c r="I249" s="98"/>
      <c r="J249" s="107">
        <v>0</v>
      </c>
      <c r="K249" s="141"/>
    </row>
    <row r="250" spans="3:11">
      <c r="C250" s="138" t="s">
        <v>912</v>
      </c>
      <c r="D250" s="98"/>
      <c r="E250" s="98"/>
      <c r="F250" s="98"/>
      <c r="G250" s="98"/>
      <c r="H250" s="98"/>
      <c r="I250" s="98"/>
      <c r="J250" s="107">
        <v>0</v>
      </c>
      <c r="K250" s="141"/>
    </row>
    <row r="251" spans="3:11">
      <c r="C251" s="138" t="s">
        <v>775</v>
      </c>
      <c r="D251" s="98"/>
      <c r="E251" s="98"/>
      <c r="F251" s="98"/>
      <c r="G251" s="98"/>
      <c r="H251" s="98"/>
      <c r="I251" s="98"/>
      <c r="J251" s="107">
        <v>0</v>
      </c>
      <c r="K251" s="141"/>
    </row>
    <row r="252" spans="3:11">
      <c r="C252" s="138" t="s">
        <v>276</v>
      </c>
      <c r="D252" s="98"/>
      <c r="E252" s="98"/>
      <c r="F252" s="98"/>
      <c r="G252" s="98"/>
      <c r="H252" s="98"/>
      <c r="I252" s="98"/>
      <c r="J252" s="107">
        <v>0</v>
      </c>
      <c r="K252" s="141"/>
    </row>
    <row r="253" spans="3:11">
      <c r="C253" s="138" t="s">
        <v>259</v>
      </c>
      <c r="D253" s="98"/>
      <c r="E253" s="98"/>
      <c r="F253" s="98"/>
      <c r="G253" s="98"/>
      <c r="H253" s="98"/>
      <c r="I253" s="98"/>
      <c r="J253" s="107">
        <v>0</v>
      </c>
      <c r="K253" s="141"/>
    </row>
    <row r="254" spans="3:11">
      <c r="C254" s="138" t="s">
        <v>423</v>
      </c>
      <c r="D254" s="98"/>
      <c r="E254" s="98"/>
      <c r="F254" s="98"/>
      <c r="G254" s="98"/>
      <c r="H254" s="98"/>
      <c r="I254" s="98"/>
      <c r="J254" s="107">
        <v>0</v>
      </c>
      <c r="K254" s="141"/>
    </row>
    <row r="255" spans="3:11">
      <c r="C255" s="138" t="s">
        <v>669</v>
      </c>
      <c r="D255" s="98"/>
      <c r="E255" s="98"/>
      <c r="F255" s="98"/>
      <c r="G255" s="98"/>
      <c r="H255" s="98"/>
      <c r="I255" s="98"/>
      <c r="J255" s="107">
        <v>0</v>
      </c>
      <c r="K255" s="141"/>
    </row>
    <row r="256" spans="3:11">
      <c r="C256" s="138" t="s">
        <v>836</v>
      </c>
      <c r="D256" s="98"/>
      <c r="E256" s="98"/>
      <c r="F256" s="98"/>
      <c r="G256" s="98"/>
      <c r="H256" s="98"/>
      <c r="I256" s="98"/>
      <c r="J256" s="107">
        <v>0</v>
      </c>
      <c r="K256" s="141"/>
    </row>
    <row r="257" spans="3:11">
      <c r="C257" s="138" t="s">
        <v>658</v>
      </c>
      <c r="D257" s="98"/>
      <c r="E257" s="98"/>
      <c r="F257" s="98"/>
      <c r="G257" s="98"/>
      <c r="H257" s="98"/>
      <c r="I257" s="98"/>
      <c r="J257" s="107">
        <v>0</v>
      </c>
      <c r="K257" s="141"/>
    </row>
    <row r="258" spans="3:11">
      <c r="C258" s="138" t="s">
        <v>100</v>
      </c>
      <c r="D258" s="98"/>
      <c r="E258" s="98"/>
      <c r="F258" s="98"/>
      <c r="G258" s="98"/>
      <c r="H258" s="98"/>
      <c r="I258" s="98"/>
      <c r="J258" s="107">
        <v>0</v>
      </c>
      <c r="K258" s="141"/>
    </row>
    <row r="259" spans="3:11">
      <c r="C259" s="138" t="s">
        <v>884</v>
      </c>
      <c r="D259" s="98"/>
      <c r="E259" s="98"/>
      <c r="F259" s="98"/>
      <c r="G259" s="98"/>
      <c r="H259" s="98"/>
      <c r="I259" s="98"/>
      <c r="J259" s="107">
        <v>0</v>
      </c>
      <c r="K259" s="141"/>
    </row>
    <row r="260" spans="3:11">
      <c r="C260" s="138" t="s">
        <v>106</v>
      </c>
      <c r="D260" s="98"/>
      <c r="E260" s="98"/>
      <c r="F260" s="98"/>
      <c r="G260" s="98"/>
      <c r="H260" s="98"/>
      <c r="I260" s="98"/>
      <c r="J260" s="107">
        <v>0</v>
      </c>
      <c r="K260" s="141"/>
    </row>
    <row r="261" spans="3:11">
      <c r="C261" s="138" t="s">
        <v>130</v>
      </c>
      <c r="D261" s="98"/>
      <c r="E261" s="98"/>
      <c r="F261" s="98"/>
      <c r="G261" s="98"/>
      <c r="H261" s="98"/>
      <c r="I261" s="98"/>
      <c r="J261" s="107">
        <v>0</v>
      </c>
      <c r="K261" s="141"/>
    </row>
    <row r="262" spans="3:11">
      <c r="C262" s="138" t="s">
        <v>309</v>
      </c>
      <c r="D262" s="98"/>
      <c r="E262" s="98"/>
      <c r="F262" s="98"/>
      <c r="G262" s="98"/>
      <c r="H262" s="98"/>
      <c r="I262" s="98"/>
      <c r="J262" s="107">
        <v>0</v>
      </c>
      <c r="K262" s="141"/>
    </row>
    <row r="263" spans="3:11">
      <c r="C263" s="138" t="s">
        <v>178</v>
      </c>
      <c r="D263" s="98"/>
      <c r="E263" s="98"/>
      <c r="F263" s="98"/>
      <c r="G263" s="98"/>
      <c r="H263" s="98"/>
      <c r="I263" s="98"/>
      <c r="J263" s="107">
        <v>0</v>
      </c>
      <c r="K263" s="141"/>
    </row>
    <row r="264" spans="3:11">
      <c r="C264" s="138" t="s">
        <v>613</v>
      </c>
      <c r="D264" s="98"/>
      <c r="E264" s="98"/>
      <c r="F264" s="98"/>
      <c r="G264" s="98"/>
      <c r="H264" s="98"/>
      <c r="I264" s="98"/>
      <c r="J264" s="107">
        <v>0</v>
      </c>
      <c r="K264" s="141"/>
    </row>
    <row r="265" spans="3:11">
      <c r="C265" s="138" t="s">
        <v>936</v>
      </c>
      <c r="D265" s="98"/>
      <c r="E265" s="98"/>
      <c r="F265" s="98"/>
      <c r="G265" s="98"/>
      <c r="H265" s="98"/>
      <c r="I265" s="98"/>
      <c r="J265" s="107">
        <v>0</v>
      </c>
      <c r="K265" s="141"/>
    </row>
    <row r="266" spans="3:11">
      <c r="C266" s="138" t="s">
        <v>1064</v>
      </c>
      <c r="D266" s="98"/>
      <c r="E266" s="98"/>
      <c r="F266" s="98"/>
      <c r="G266" s="98"/>
      <c r="H266" s="98"/>
      <c r="I266" s="98"/>
      <c r="J266" s="107">
        <v>0</v>
      </c>
      <c r="K266" s="141"/>
    </row>
    <row r="267" spans="3:11">
      <c r="C267" s="138" t="s">
        <v>791</v>
      </c>
      <c r="D267" s="98"/>
      <c r="E267" s="98"/>
      <c r="F267" s="98"/>
      <c r="G267" s="98"/>
      <c r="H267" s="98"/>
      <c r="I267" s="98"/>
      <c r="J267" s="107">
        <v>0</v>
      </c>
      <c r="K267" s="141"/>
    </row>
    <row r="268" spans="3:11">
      <c r="C268" s="138" t="s">
        <v>140</v>
      </c>
      <c r="D268" s="98"/>
      <c r="E268" s="98"/>
      <c r="F268" s="98"/>
      <c r="G268" s="98"/>
      <c r="H268" s="98"/>
      <c r="I268" s="98"/>
      <c r="J268" s="107">
        <v>0</v>
      </c>
      <c r="K268" s="141"/>
    </row>
    <row r="269" spans="3:11">
      <c r="C269" s="138" t="s">
        <v>835</v>
      </c>
      <c r="D269" s="98"/>
      <c r="E269" s="98"/>
      <c r="F269" s="98"/>
      <c r="G269" s="98"/>
      <c r="H269" s="98"/>
      <c r="I269" s="98"/>
      <c r="J269" s="107">
        <v>0</v>
      </c>
      <c r="K269" s="141"/>
    </row>
    <row r="270" spans="3:11">
      <c r="C270" s="138" t="s">
        <v>440</v>
      </c>
      <c r="D270" s="98"/>
      <c r="E270" s="98"/>
      <c r="F270" s="98"/>
      <c r="G270" s="98"/>
      <c r="H270" s="98"/>
      <c r="I270" s="98"/>
      <c r="J270" s="107">
        <v>0</v>
      </c>
      <c r="K270" s="141"/>
    </row>
    <row r="271" spans="3:11">
      <c r="C271" s="138" t="s">
        <v>234</v>
      </c>
      <c r="D271" s="98"/>
      <c r="E271" s="98"/>
      <c r="F271" s="98"/>
      <c r="G271" s="98"/>
      <c r="H271" s="98"/>
      <c r="I271" s="98"/>
      <c r="J271" s="107">
        <v>0</v>
      </c>
      <c r="K271" s="141"/>
    </row>
    <row r="272" spans="3:11">
      <c r="C272" s="138" t="s">
        <v>1095</v>
      </c>
      <c r="D272" s="98"/>
      <c r="E272" s="98"/>
      <c r="F272" s="98"/>
      <c r="G272" s="98"/>
      <c r="H272" s="98"/>
      <c r="I272" s="98"/>
      <c r="J272" s="107">
        <v>0</v>
      </c>
      <c r="K272" s="141"/>
    </row>
    <row r="273" spans="3:11">
      <c r="C273" s="138" t="s">
        <v>196</v>
      </c>
      <c r="D273" s="98"/>
      <c r="E273" s="98"/>
      <c r="F273" s="98"/>
      <c r="G273" s="98"/>
      <c r="H273" s="98"/>
      <c r="I273" s="98"/>
      <c r="J273" s="107">
        <v>0</v>
      </c>
      <c r="K273" s="141"/>
    </row>
    <row r="274" spans="3:11">
      <c r="C274" s="138" t="s">
        <v>780</v>
      </c>
      <c r="D274" s="98"/>
      <c r="E274" s="98"/>
      <c r="F274" s="98"/>
      <c r="G274" s="98"/>
      <c r="H274" s="98"/>
      <c r="I274" s="98"/>
      <c r="J274" s="107">
        <v>0</v>
      </c>
      <c r="K274" s="141"/>
    </row>
    <row r="275" spans="3:11">
      <c r="C275" s="138" t="s">
        <v>460</v>
      </c>
      <c r="D275" s="98"/>
      <c r="E275" s="98"/>
      <c r="F275" s="98"/>
      <c r="G275" s="98"/>
      <c r="H275" s="98"/>
      <c r="I275" s="98"/>
      <c r="J275" s="107">
        <v>0</v>
      </c>
      <c r="K275" s="141"/>
    </row>
    <row r="276" spans="3:11">
      <c r="C276" s="138" t="s">
        <v>701</v>
      </c>
      <c r="D276" s="98"/>
      <c r="E276" s="98"/>
      <c r="F276" s="98"/>
      <c r="G276" s="98"/>
      <c r="H276" s="98"/>
      <c r="I276" s="98"/>
      <c r="J276" s="107">
        <v>0</v>
      </c>
      <c r="K276" s="141"/>
    </row>
    <row r="277" spans="3:11">
      <c r="C277" s="138" t="s">
        <v>273</v>
      </c>
      <c r="D277" s="98"/>
      <c r="E277" s="98"/>
      <c r="F277" s="98"/>
      <c r="G277" s="98"/>
      <c r="H277" s="98"/>
      <c r="I277" s="98"/>
      <c r="J277" s="107">
        <v>0</v>
      </c>
      <c r="K277" s="141"/>
    </row>
    <row r="278" spans="3:11">
      <c r="C278" s="138" t="s">
        <v>732</v>
      </c>
      <c r="D278" s="98"/>
      <c r="E278" s="98"/>
      <c r="F278" s="98"/>
      <c r="G278" s="98"/>
      <c r="H278" s="98"/>
      <c r="I278" s="98"/>
      <c r="J278" s="107">
        <v>0</v>
      </c>
      <c r="K278" s="141"/>
    </row>
    <row r="279" spans="3:11">
      <c r="C279" s="138" t="s">
        <v>777</v>
      </c>
      <c r="D279" s="98"/>
      <c r="E279" s="98"/>
      <c r="F279" s="98"/>
      <c r="G279" s="98"/>
      <c r="H279" s="98"/>
      <c r="I279" s="98"/>
      <c r="J279" s="107">
        <v>0</v>
      </c>
      <c r="K279" s="141"/>
    </row>
    <row r="280" spans="3:11">
      <c r="C280" s="138" t="s">
        <v>529</v>
      </c>
      <c r="D280" s="98"/>
      <c r="E280" s="98"/>
      <c r="F280" s="98"/>
      <c r="G280" s="98"/>
      <c r="H280" s="98"/>
      <c r="I280" s="98"/>
      <c r="J280" s="107">
        <v>0</v>
      </c>
      <c r="K280" s="141"/>
    </row>
    <row r="281" spans="3:11">
      <c r="C281" s="138" t="s">
        <v>408</v>
      </c>
      <c r="D281" s="98"/>
      <c r="E281" s="98"/>
      <c r="F281" s="98"/>
      <c r="G281" s="98"/>
      <c r="H281" s="98"/>
      <c r="I281" s="98"/>
      <c r="J281" s="107">
        <v>0</v>
      </c>
      <c r="K281" s="141"/>
    </row>
    <row r="282" spans="3:11">
      <c r="C282" s="138" t="s">
        <v>856</v>
      </c>
      <c r="D282" s="98"/>
      <c r="E282" s="98"/>
      <c r="F282" s="98"/>
      <c r="G282" s="98"/>
      <c r="H282" s="98"/>
      <c r="I282" s="98"/>
      <c r="J282" s="107">
        <v>0</v>
      </c>
      <c r="K282" s="141"/>
    </row>
    <row r="283" spans="3:11">
      <c r="C283" s="138" t="s">
        <v>945</v>
      </c>
      <c r="D283" s="98"/>
      <c r="E283" s="98"/>
      <c r="F283" s="98"/>
      <c r="G283" s="98"/>
      <c r="H283" s="98"/>
      <c r="I283" s="98"/>
      <c r="J283" s="107">
        <v>0</v>
      </c>
      <c r="K283" s="141"/>
    </row>
    <row r="284" spans="3:11">
      <c r="C284" s="138" t="s">
        <v>756</v>
      </c>
      <c r="D284" s="98"/>
      <c r="E284" s="98"/>
      <c r="F284" s="98"/>
      <c r="G284" s="98"/>
      <c r="H284" s="98"/>
      <c r="I284" s="98"/>
      <c r="J284" s="107">
        <v>0</v>
      </c>
      <c r="K284" s="141"/>
    </row>
    <row r="285" spans="3:11">
      <c r="C285" s="138" t="s">
        <v>562</v>
      </c>
      <c r="D285" s="98"/>
      <c r="E285" s="98"/>
      <c r="F285" s="98"/>
      <c r="G285" s="98"/>
      <c r="H285" s="98"/>
      <c r="I285" s="98"/>
      <c r="J285" s="107">
        <v>0</v>
      </c>
      <c r="K285" s="141"/>
    </row>
    <row r="286" spans="3:11">
      <c r="C286" s="138" t="s">
        <v>299</v>
      </c>
      <c r="D286" s="98"/>
      <c r="E286" s="98"/>
      <c r="F286" s="98"/>
      <c r="G286" s="98"/>
      <c r="H286" s="98"/>
      <c r="I286" s="98"/>
      <c r="J286" s="107">
        <v>0</v>
      </c>
      <c r="K286" s="141"/>
    </row>
    <row r="287" spans="3:11">
      <c r="C287" s="138" t="s">
        <v>863</v>
      </c>
      <c r="D287" s="98"/>
      <c r="E287" s="98"/>
      <c r="F287" s="98"/>
      <c r="G287" s="98"/>
      <c r="H287" s="98"/>
      <c r="I287" s="98"/>
      <c r="J287" s="107">
        <v>0</v>
      </c>
      <c r="K287" s="141"/>
    </row>
    <row r="288" spans="3:11">
      <c r="C288" s="138" t="s">
        <v>606</v>
      </c>
      <c r="D288" s="98"/>
      <c r="E288" s="98"/>
      <c r="F288" s="98"/>
      <c r="G288" s="98"/>
      <c r="H288" s="98"/>
      <c r="I288" s="98"/>
      <c r="J288" s="107">
        <v>0</v>
      </c>
      <c r="K288" s="141"/>
    </row>
    <row r="289" spans="3:11">
      <c r="C289" s="138" t="s">
        <v>942</v>
      </c>
      <c r="D289" s="98"/>
      <c r="E289" s="98"/>
      <c r="F289" s="98"/>
      <c r="G289" s="98"/>
      <c r="H289" s="98"/>
      <c r="I289" s="98"/>
      <c r="J289" s="107">
        <v>0</v>
      </c>
      <c r="K289" s="141"/>
    </row>
    <row r="290" spans="3:11">
      <c r="C290" s="138" t="s">
        <v>205</v>
      </c>
      <c r="D290" s="98"/>
      <c r="E290" s="98"/>
      <c r="F290" s="98"/>
      <c r="G290" s="98"/>
      <c r="H290" s="98"/>
      <c r="I290" s="98"/>
      <c r="J290" s="107">
        <v>0</v>
      </c>
      <c r="K290" s="141"/>
    </row>
    <row r="291" spans="3:11">
      <c r="C291" s="138" t="s">
        <v>397</v>
      </c>
      <c r="D291" s="98"/>
      <c r="E291" s="98"/>
      <c r="F291" s="98"/>
      <c r="G291" s="98"/>
      <c r="H291" s="98"/>
      <c r="I291" s="98"/>
      <c r="J291" s="107">
        <v>0</v>
      </c>
      <c r="K291" s="141"/>
    </row>
    <row r="292" spans="3:11">
      <c r="C292" s="138" t="s">
        <v>260</v>
      </c>
      <c r="D292" s="98"/>
      <c r="E292" s="98"/>
      <c r="F292" s="98"/>
      <c r="G292" s="98"/>
      <c r="H292" s="98"/>
      <c r="I292" s="98"/>
      <c r="J292" s="107">
        <v>0</v>
      </c>
      <c r="K292" s="141"/>
    </row>
    <row r="293" spans="3:11">
      <c r="C293" s="138" t="s">
        <v>685</v>
      </c>
      <c r="D293" s="98"/>
      <c r="E293" s="98"/>
      <c r="F293" s="98"/>
      <c r="G293" s="98"/>
      <c r="H293" s="98"/>
      <c r="I293" s="98"/>
      <c r="J293" s="107">
        <v>0</v>
      </c>
      <c r="K293" s="141"/>
    </row>
    <row r="294" spans="3:11">
      <c r="C294" s="138" t="s">
        <v>970</v>
      </c>
      <c r="D294" s="98"/>
      <c r="E294" s="98"/>
      <c r="F294" s="98"/>
      <c r="G294" s="98"/>
      <c r="H294" s="98"/>
      <c r="I294" s="98"/>
      <c r="J294" s="107">
        <v>0</v>
      </c>
      <c r="K294" s="141"/>
    </row>
    <row r="295" spans="3:11">
      <c r="C295" s="138" t="s">
        <v>653</v>
      </c>
      <c r="D295" s="98"/>
      <c r="E295" s="98"/>
      <c r="F295" s="98"/>
      <c r="G295" s="98"/>
      <c r="H295" s="98"/>
      <c r="I295" s="98"/>
      <c r="J295" s="107">
        <v>0</v>
      </c>
      <c r="K295" s="141"/>
    </row>
    <row r="296" spans="3:11">
      <c r="C296" s="138" t="s">
        <v>295</v>
      </c>
      <c r="D296" s="98"/>
      <c r="E296" s="98"/>
      <c r="F296" s="98"/>
      <c r="G296" s="98"/>
      <c r="H296" s="98"/>
      <c r="I296" s="98"/>
      <c r="J296" s="107">
        <v>0</v>
      </c>
      <c r="K296" s="141"/>
    </row>
    <row r="297" spans="3:11">
      <c r="C297" s="138" t="s">
        <v>183</v>
      </c>
      <c r="D297" s="98"/>
      <c r="E297" s="98"/>
      <c r="F297" s="98"/>
      <c r="G297" s="98"/>
      <c r="H297" s="98"/>
      <c r="I297" s="98"/>
      <c r="J297" s="107">
        <v>0</v>
      </c>
      <c r="K297" s="141"/>
    </row>
    <row r="298" spans="3:11">
      <c r="C298" s="138" t="s">
        <v>660</v>
      </c>
      <c r="D298" s="98"/>
      <c r="E298" s="98"/>
      <c r="F298" s="98"/>
      <c r="G298" s="98"/>
      <c r="H298" s="98"/>
      <c r="I298" s="98"/>
      <c r="J298" s="107">
        <v>0</v>
      </c>
      <c r="K298" s="141"/>
    </row>
    <row r="299" spans="3:11">
      <c r="C299" s="138" t="s">
        <v>932</v>
      </c>
      <c r="D299" s="98"/>
      <c r="E299" s="98"/>
      <c r="F299" s="98"/>
      <c r="G299" s="98"/>
      <c r="H299" s="98"/>
      <c r="I299" s="98"/>
      <c r="J299" s="107">
        <v>0</v>
      </c>
      <c r="K299" s="141"/>
    </row>
    <row r="300" spans="3:11">
      <c r="C300" s="138" t="s">
        <v>799</v>
      </c>
      <c r="D300" s="98"/>
      <c r="E300" s="98"/>
      <c r="F300" s="98"/>
      <c r="G300" s="98"/>
      <c r="H300" s="98"/>
      <c r="I300" s="98"/>
      <c r="J300" s="107">
        <v>0</v>
      </c>
      <c r="K300" s="141"/>
    </row>
    <row r="301" spans="3:11">
      <c r="C301" s="138" t="s">
        <v>526</v>
      </c>
      <c r="D301" s="98"/>
      <c r="E301" s="98"/>
      <c r="F301" s="98"/>
      <c r="G301" s="98"/>
      <c r="H301" s="98"/>
      <c r="I301" s="98"/>
      <c r="J301" s="107">
        <v>0</v>
      </c>
      <c r="K301" s="141"/>
    </row>
    <row r="302" spans="3:11">
      <c r="C302" s="138" t="s">
        <v>171</v>
      </c>
      <c r="D302" s="98"/>
      <c r="E302" s="98"/>
      <c r="F302" s="98"/>
      <c r="G302" s="98"/>
      <c r="H302" s="98"/>
      <c r="I302" s="98"/>
      <c r="J302" s="107">
        <v>0</v>
      </c>
      <c r="K302" s="141"/>
    </row>
    <row r="303" spans="3:11">
      <c r="C303" s="138" t="s">
        <v>188</v>
      </c>
      <c r="D303" s="98"/>
      <c r="E303" s="98"/>
      <c r="F303" s="98"/>
      <c r="G303" s="98"/>
      <c r="H303" s="98"/>
      <c r="I303" s="98"/>
      <c r="J303" s="107">
        <v>0</v>
      </c>
      <c r="K303" s="141"/>
    </row>
    <row r="304" spans="3:11">
      <c r="C304" s="138" t="s">
        <v>661</v>
      </c>
      <c r="D304" s="98"/>
      <c r="E304" s="98"/>
      <c r="F304" s="98"/>
      <c r="G304" s="98"/>
      <c r="H304" s="98"/>
      <c r="I304" s="98"/>
      <c r="J304" s="107">
        <v>0</v>
      </c>
      <c r="K304" s="141"/>
    </row>
    <row r="305" spans="3:11">
      <c r="C305" s="138" t="s">
        <v>571</v>
      </c>
      <c r="D305" s="98"/>
      <c r="E305" s="98"/>
      <c r="F305" s="98"/>
      <c r="G305" s="98"/>
      <c r="H305" s="98"/>
      <c r="I305" s="98"/>
      <c r="J305" s="107">
        <v>0</v>
      </c>
      <c r="K305" s="141"/>
    </row>
    <row r="306" spans="3:11">
      <c r="C306" s="138" t="s">
        <v>481</v>
      </c>
      <c r="D306" s="98"/>
      <c r="E306" s="98"/>
      <c r="F306" s="98"/>
      <c r="G306" s="98"/>
      <c r="H306" s="98"/>
      <c r="I306" s="98"/>
      <c r="J306" s="107">
        <v>0</v>
      </c>
      <c r="K306" s="141"/>
    </row>
    <row r="307" spans="3:11">
      <c r="C307" s="138" t="s">
        <v>359</v>
      </c>
      <c r="D307" s="98"/>
      <c r="E307" s="98"/>
      <c r="F307" s="98"/>
      <c r="G307" s="98"/>
      <c r="H307" s="98"/>
      <c r="I307" s="98"/>
      <c r="J307" s="107">
        <v>0</v>
      </c>
      <c r="K307" s="141"/>
    </row>
    <row r="308" spans="3:11">
      <c r="C308" s="138" t="s">
        <v>243</v>
      </c>
      <c r="D308" s="98"/>
      <c r="E308" s="98"/>
      <c r="F308" s="98"/>
      <c r="G308" s="98"/>
      <c r="H308" s="98"/>
      <c r="I308" s="98"/>
      <c r="J308" s="107">
        <v>0</v>
      </c>
      <c r="K308" s="141"/>
    </row>
    <row r="309" spans="3:11">
      <c r="C309" s="138" t="s">
        <v>708</v>
      </c>
      <c r="D309" s="98"/>
      <c r="E309" s="98"/>
      <c r="F309" s="98"/>
      <c r="G309" s="98"/>
      <c r="H309" s="98"/>
      <c r="I309" s="98"/>
      <c r="J309" s="107">
        <v>0</v>
      </c>
      <c r="K309" s="141"/>
    </row>
    <row r="310" spans="3:11">
      <c r="C310" s="138" t="s">
        <v>409</v>
      </c>
      <c r="D310" s="98"/>
      <c r="E310" s="98"/>
      <c r="F310" s="98"/>
      <c r="G310" s="98"/>
      <c r="H310" s="98"/>
      <c r="I310" s="98"/>
      <c r="J310" s="107">
        <v>0</v>
      </c>
      <c r="K310" s="141"/>
    </row>
    <row r="311" spans="3:11">
      <c r="C311" s="138" t="s">
        <v>1055</v>
      </c>
      <c r="D311" s="98"/>
      <c r="E311" s="98"/>
      <c r="F311" s="98"/>
      <c r="G311" s="98"/>
      <c r="H311" s="98"/>
      <c r="I311" s="98"/>
      <c r="J311" s="107">
        <v>0</v>
      </c>
      <c r="K311" s="141"/>
    </row>
    <row r="312" spans="3:11">
      <c r="C312" s="138" t="s">
        <v>407</v>
      </c>
      <c r="D312" s="98"/>
      <c r="E312" s="98"/>
      <c r="F312" s="98"/>
      <c r="G312" s="98"/>
      <c r="H312" s="98"/>
      <c r="I312" s="98"/>
      <c r="J312" s="107">
        <v>0</v>
      </c>
      <c r="K312" s="141"/>
    </row>
    <row r="313" spans="3:11">
      <c r="C313" s="138" t="s">
        <v>722</v>
      </c>
      <c r="D313" s="98"/>
      <c r="E313" s="98"/>
      <c r="F313" s="98"/>
      <c r="G313" s="98"/>
      <c r="H313" s="98"/>
      <c r="I313" s="98"/>
      <c r="J313" s="107">
        <v>0</v>
      </c>
      <c r="K313" s="141"/>
    </row>
    <row r="314" spans="3:11">
      <c r="C314" s="138" t="s">
        <v>875</v>
      </c>
      <c r="D314" s="98"/>
      <c r="E314" s="98"/>
      <c r="F314" s="98"/>
      <c r="G314" s="98"/>
      <c r="H314" s="98"/>
      <c r="I314" s="98"/>
      <c r="J314" s="107">
        <v>0</v>
      </c>
      <c r="K314" s="141"/>
    </row>
    <row r="315" spans="3:11">
      <c r="C315" s="138" t="s">
        <v>444</v>
      </c>
      <c r="D315" s="98"/>
      <c r="E315" s="98"/>
      <c r="F315" s="98"/>
      <c r="G315" s="98"/>
      <c r="H315" s="98"/>
      <c r="I315" s="98"/>
      <c r="J315" s="107">
        <v>0</v>
      </c>
      <c r="K315" s="141"/>
    </row>
    <row r="316" spans="3:11">
      <c r="C316" s="138" t="s">
        <v>1003</v>
      </c>
      <c r="D316" s="98"/>
      <c r="E316" s="98"/>
      <c r="F316" s="98"/>
      <c r="G316" s="98"/>
      <c r="H316" s="98"/>
      <c r="I316" s="98"/>
      <c r="J316" s="107">
        <v>0</v>
      </c>
      <c r="K316" s="141"/>
    </row>
    <row r="317" spans="3:11">
      <c r="C317" s="138" t="s">
        <v>779</v>
      </c>
      <c r="D317" s="98"/>
      <c r="E317" s="98"/>
      <c r="F317" s="98"/>
      <c r="G317" s="98"/>
      <c r="H317" s="98"/>
      <c r="I317" s="98"/>
      <c r="J317" s="107">
        <v>0</v>
      </c>
      <c r="K317" s="141"/>
    </row>
    <row r="318" spans="3:11">
      <c r="C318" s="138" t="s">
        <v>657</v>
      </c>
      <c r="D318" s="98"/>
      <c r="E318" s="98"/>
      <c r="F318" s="98"/>
      <c r="G318" s="98"/>
      <c r="H318" s="98"/>
      <c r="I318" s="98"/>
      <c r="J318" s="107">
        <v>0</v>
      </c>
      <c r="K318" s="141"/>
    </row>
    <row r="319" spans="3:11">
      <c r="C319" s="138" t="s">
        <v>817</v>
      </c>
      <c r="D319" s="98"/>
      <c r="E319" s="98"/>
      <c r="F319" s="98"/>
      <c r="G319" s="98"/>
      <c r="H319" s="98"/>
      <c r="I319" s="98"/>
      <c r="J319" s="107">
        <v>0</v>
      </c>
      <c r="K319" s="141"/>
    </row>
    <row r="320" spans="3:11">
      <c r="C320" s="138" t="s">
        <v>651</v>
      </c>
      <c r="D320" s="98"/>
      <c r="E320" s="98"/>
      <c r="F320" s="98"/>
      <c r="G320" s="98"/>
      <c r="H320" s="98"/>
      <c r="I320" s="98"/>
      <c r="J320" s="107">
        <v>0</v>
      </c>
      <c r="K320" s="141"/>
    </row>
    <row r="321" spans="3:11">
      <c r="C321" s="138" t="s">
        <v>266</v>
      </c>
      <c r="D321" s="98"/>
      <c r="E321" s="98"/>
      <c r="F321" s="98"/>
      <c r="G321" s="98"/>
      <c r="H321" s="98"/>
      <c r="I321" s="98"/>
      <c r="J321" s="107">
        <v>0</v>
      </c>
      <c r="K321" s="141"/>
    </row>
    <row r="322" spans="3:11">
      <c r="C322" s="138" t="s">
        <v>490</v>
      </c>
      <c r="D322" s="98"/>
      <c r="E322" s="98"/>
      <c r="F322" s="98"/>
      <c r="G322" s="98"/>
      <c r="H322" s="98"/>
      <c r="I322" s="98"/>
      <c r="J322" s="107">
        <v>0</v>
      </c>
      <c r="K322" s="141"/>
    </row>
    <row r="323" spans="3:11">
      <c r="C323" s="138" t="s">
        <v>197</v>
      </c>
      <c r="D323" s="98"/>
      <c r="E323" s="98"/>
      <c r="F323" s="98"/>
      <c r="G323" s="98"/>
      <c r="H323" s="98"/>
      <c r="I323" s="98"/>
      <c r="J323" s="107">
        <v>0</v>
      </c>
      <c r="K323" s="141"/>
    </row>
    <row r="324" spans="3:11">
      <c r="C324" s="138" t="s">
        <v>720</v>
      </c>
      <c r="D324" s="98"/>
      <c r="E324" s="98"/>
      <c r="F324" s="98"/>
      <c r="G324" s="98"/>
      <c r="H324" s="98"/>
      <c r="I324" s="98"/>
      <c r="J324" s="107">
        <v>0</v>
      </c>
      <c r="K324" s="141"/>
    </row>
    <row r="325" spans="3:11">
      <c r="C325" s="138" t="s">
        <v>390</v>
      </c>
      <c r="D325" s="98"/>
      <c r="E325" s="98"/>
      <c r="F325" s="98"/>
      <c r="G325" s="98"/>
      <c r="H325" s="98"/>
      <c r="I325" s="98"/>
      <c r="J325" s="107">
        <v>0</v>
      </c>
      <c r="K325" s="141"/>
    </row>
    <row r="326" spans="3:11">
      <c r="C326" s="138" t="s">
        <v>679</v>
      </c>
      <c r="D326" s="98"/>
      <c r="E326" s="98"/>
      <c r="F326" s="98"/>
      <c r="G326" s="98"/>
      <c r="H326" s="98"/>
      <c r="I326" s="98"/>
      <c r="J326" s="107">
        <v>0</v>
      </c>
      <c r="K326" s="141"/>
    </row>
    <row r="327" spans="3:11">
      <c r="C327" s="138" t="s">
        <v>869</v>
      </c>
      <c r="D327" s="98"/>
      <c r="E327" s="98"/>
      <c r="F327" s="98"/>
      <c r="G327" s="98"/>
      <c r="H327" s="98"/>
      <c r="I327" s="98"/>
      <c r="J327" s="107">
        <v>0</v>
      </c>
      <c r="K327" s="141"/>
    </row>
    <row r="328" spans="3:11">
      <c r="C328" s="138" t="s">
        <v>157</v>
      </c>
      <c r="D328" s="98"/>
      <c r="E328" s="98"/>
      <c r="F328" s="98"/>
      <c r="G328" s="98"/>
      <c r="H328" s="98"/>
      <c r="I328" s="98"/>
      <c r="J328" s="107">
        <v>0</v>
      </c>
      <c r="K328" s="141"/>
    </row>
    <row r="329" spans="3:11">
      <c r="C329" s="138" t="s">
        <v>96</v>
      </c>
      <c r="D329" s="98"/>
      <c r="E329" s="98"/>
      <c r="F329" s="98"/>
      <c r="G329" s="98"/>
      <c r="H329" s="98"/>
      <c r="I329" s="98"/>
      <c r="J329" s="107">
        <v>0</v>
      </c>
      <c r="K329" s="141"/>
    </row>
    <row r="330" spans="3:11">
      <c r="C330" s="138" t="s">
        <v>172</v>
      </c>
      <c r="D330" s="98"/>
      <c r="E330" s="98"/>
      <c r="F330" s="98"/>
      <c r="G330" s="98"/>
      <c r="H330" s="98"/>
      <c r="I330" s="98"/>
      <c r="J330" s="107">
        <v>0</v>
      </c>
      <c r="K330" s="141"/>
    </row>
    <row r="331" spans="3:11">
      <c r="C331" s="138" t="s">
        <v>433</v>
      </c>
      <c r="D331" s="98"/>
      <c r="E331" s="98"/>
      <c r="F331" s="98"/>
      <c r="G331" s="98"/>
      <c r="H331" s="98"/>
      <c r="I331" s="98"/>
      <c r="J331" s="107">
        <v>0</v>
      </c>
      <c r="K331" s="141"/>
    </row>
    <row r="332" spans="3:11">
      <c r="C332" s="138" t="s">
        <v>279</v>
      </c>
      <c r="D332" s="98"/>
      <c r="E332" s="98"/>
      <c r="F332" s="98"/>
      <c r="G332" s="98"/>
      <c r="H332" s="98"/>
      <c r="I332" s="98"/>
      <c r="J332" s="107">
        <v>0</v>
      </c>
      <c r="K332" s="141"/>
    </row>
    <row r="333" spans="3:11">
      <c r="C333" s="138" t="s">
        <v>909</v>
      </c>
      <c r="D333" s="98"/>
      <c r="E333" s="98"/>
      <c r="F333" s="98"/>
      <c r="G333" s="98"/>
      <c r="H333" s="98"/>
      <c r="I333" s="98"/>
      <c r="J333" s="107">
        <v>0</v>
      </c>
      <c r="K333" s="141"/>
    </row>
    <row r="334" spans="3:11">
      <c r="C334" s="138" t="s">
        <v>841</v>
      </c>
      <c r="D334" s="98"/>
      <c r="E334" s="98"/>
      <c r="F334" s="98"/>
      <c r="G334" s="98"/>
      <c r="H334" s="98"/>
      <c r="I334" s="98"/>
      <c r="J334" s="107">
        <v>0</v>
      </c>
      <c r="K334" s="141"/>
    </row>
    <row r="335" spans="3:11">
      <c r="C335" s="138" t="s">
        <v>910</v>
      </c>
      <c r="D335" s="98"/>
      <c r="E335" s="98"/>
      <c r="F335" s="98"/>
      <c r="G335" s="98"/>
      <c r="H335" s="98"/>
      <c r="I335" s="98"/>
      <c r="J335" s="107">
        <v>0</v>
      </c>
      <c r="K335" s="141"/>
    </row>
    <row r="336" spans="3:11">
      <c r="C336" s="138" t="s">
        <v>247</v>
      </c>
      <c r="D336" s="98"/>
      <c r="E336" s="98"/>
      <c r="F336" s="98"/>
      <c r="G336" s="98"/>
      <c r="H336" s="98"/>
      <c r="I336" s="98"/>
      <c r="J336" s="107">
        <v>0</v>
      </c>
      <c r="K336" s="141"/>
    </row>
    <row r="337" spans="3:11">
      <c r="C337" s="138" t="s">
        <v>988</v>
      </c>
      <c r="D337" s="98"/>
      <c r="E337" s="98"/>
      <c r="F337" s="98"/>
      <c r="G337" s="98"/>
      <c r="H337" s="98"/>
      <c r="I337" s="98"/>
      <c r="J337" s="107">
        <v>0</v>
      </c>
      <c r="K337" s="141"/>
    </row>
    <row r="338" spans="3:11">
      <c r="C338" s="138" t="s">
        <v>377</v>
      </c>
      <c r="D338" s="98"/>
      <c r="E338" s="98"/>
      <c r="F338" s="98"/>
      <c r="G338" s="98"/>
      <c r="H338" s="98"/>
      <c r="I338" s="98"/>
      <c r="J338" s="107">
        <v>0</v>
      </c>
      <c r="K338" s="141"/>
    </row>
    <row r="339" spans="3:11">
      <c r="C339" s="138" t="s">
        <v>244</v>
      </c>
      <c r="D339" s="98"/>
      <c r="E339" s="98"/>
      <c r="F339" s="98"/>
      <c r="G339" s="98"/>
      <c r="H339" s="98"/>
      <c r="I339" s="98"/>
      <c r="J339" s="107">
        <v>0</v>
      </c>
      <c r="K339" s="141"/>
    </row>
    <row r="340" spans="3:11">
      <c r="C340" s="138" t="s">
        <v>825</v>
      </c>
      <c r="D340" s="98"/>
      <c r="E340" s="98"/>
      <c r="F340" s="98"/>
      <c r="G340" s="98"/>
      <c r="H340" s="98"/>
      <c r="I340" s="98"/>
      <c r="J340" s="107">
        <v>0</v>
      </c>
      <c r="K340" s="141"/>
    </row>
    <row r="341" spans="3:11">
      <c r="C341" s="138" t="s">
        <v>348</v>
      </c>
      <c r="D341" s="98"/>
      <c r="E341" s="98"/>
      <c r="F341" s="98"/>
      <c r="G341" s="98"/>
      <c r="H341" s="98"/>
      <c r="I341" s="98"/>
      <c r="J341" s="107">
        <v>0</v>
      </c>
      <c r="K341" s="141"/>
    </row>
    <row r="342" spans="3:11">
      <c r="C342" s="138" t="s">
        <v>941</v>
      </c>
      <c r="D342" s="98"/>
      <c r="E342" s="98"/>
      <c r="F342" s="98"/>
      <c r="G342" s="98"/>
      <c r="H342" s="98"/>
      <c r="I342" s="98"/>
      <c r="J342" s="107">
        <v>0</v>
      </c>
      <c r="K342" s="141"/>
    </row>
    <row r="343" spans="3:11">
      <c r="C343" s="138" t="s">
        <v>488</v>
      </c>
      <c r="D343" s="98"/>
      <c r="E343" s="98"/>
      <c r="F343" s="98"/>
      <c r="G343" s="98"/>
      <c r="H343" s="98"/>
      <c r="I343" s="98"/>
      <c r="J343" s="107">
        <v>0</v>
      </c>
      <c r="K343" s="141"/>
    </row>
    <row r="344" spans="3:11">
      <c r="C344" s="138" t="s">
        <v>553</v>
      </c>
      <c r="D344" s="98"/>
      <c r="E344" s="98"/>
      <c r="F344" s="98"/>
      <c r="G344" s="98"/>
      <c r="H344" s="98"/>
      <c r="I344" s="98"/>
      <c r="J344" s="107">
        <v>0</v>
      </c>
      <c r="K344" s="141"/>
    </row>
    <row r="345" spans="3:11">
      <c r="C345" s="138" t="s">
        <v>181</v>
      </c>
      <c r="D345" s="98"/>
      <c r="E345" s="98"/>
      <c r="F345" s="98"/>
      <c r="G345" s="98"/>
      <c r="H345" s="98"/>
      <c r="I345" s="98"/>
      <c r="J345" s="107">
        <v>0</v>
      </c>
      <c r="K345" s="141"/>
    </row>
    <row r="346" spans="3:11">
      <c r="C346" s="138" t="s">
        <v>528</v>
      </c>
      <c r="D346" s="98"/>
      <c r="E346" s="98"/>
      <c r="F346" s="98"/>
      <c r="G346" s="98"/>
      <c r="H346" s="98"/>
      <c r="I346" s="98"/>
      <c r="J346" s="107">
        <v>0</v>
      </c>
      <c r="K346" s="141"/>
    </row>
    <row r="347" spans="3:11">
      <c r="C347" s="138" t="s">
        <v>477</v>
      </c>
      <c r="D347" s="98"/>
      <c r="E347" s="98"/>
      <c r="F347" s="98"/>
      <c r="G347" s="98"/>
      <c r="H347" s="98"/>
      <c r="I347" s="98"/>
      <c r="J347" s="107">
        <v>0</v>
      </c>
      <c r="K347" s="141"/>
    </row>
    <row r="348" spans="3:11">
      <c r="C348" s="138" t="s">
        <v>487</v>
      </c>
      <c r="D348" s="98"/>
      <c r="E348" s="98"/>
      <c r="F348" s="98"/>
      <c r="G348" s="98"/>
      <c r="H348" s="98"/>
      <c r="I348" s="98"/>
      <c r="J348" s="107">
        <v>0</v>
      </c>
      <c r="K348" s="141"/>
    </row>
    <row r="349" spans="3:11">
      <c r="C349" s="138" t="s">
        <v>230</v>
      </c>
      <c r="D349" s="98"/>
      <c r="E349" s="98"/>
      <c r="F349" s="98"/>
      <c r="G349" s="98"/>
      <c r="H349" s="98"/>
      <c r="I349" s="98"/>
      <c r="J349" s="107">
        <v>0</v>
      </c>
      <c r="K349" s="141"/>
    </row>
    <row r="350" spans="3:11">
      <c r="C350" s="138" t="s">
        <v>1069</v>
      </c>
      <c r="D350" s="98"/>
      <c r="E350" s="98"/>
      <c r="F350" s="98"/>
      <c r="G350" s="98"/>
      <c r="H350" s="98"/>
      <c r="I350" s="98"/>
      <c r="J350" s="107">
        <v>0</v>
      </c>
      <c r="K350" s="141"/>
    </row>
    <row r="351" spans="3:11">
      <c r="C351" s="138" t="s">
        <v>91</v>
      </c>
      <c r="D351" s="98"/>
      <c r="E351" s="98"/>
      <c r="F351" s="98"/>
      <c r="G351" s="98"/>
      <c r="H351" s="98"/>
      <c r="I351" s="98"/>
      <c r="J351" s="107">
        <v>0</v>
      </c>
      <c r="K351" s="141"/>
    </row>
    <row r="352" spans="3:11">
      <c r="C352" s="138" t="s">
        <v>896</v>
      </c>
      <c r="D352" s="98"/>
      <c r="E352" s="98"/>
      <c r="F352" s="98"/>
      <c r="G352" s="98"/>
      <c r="H352" s="98"/>
      <c r="I352" s="98"/>
      <c r="J352" s="107">
        <v>0</v>
      </c>
      <c r="K352" s="141"/>
    </row>
    <row r="353" spans="3:11">
      <c r="C353" s="138" t="s">
        <v>1025</v>
      </c>
      <c r="D353" s="98"/>
      <c r="E353" s="98"/>
      <c r="F353" s="98"/>
      <c r="G353" s="98"/>
      <c r="H353" s="98"/>
      <c r="I353" s="98"/>
      <c r="J353" s="107">
        <v>0</v>
      </c>
      <c r="K353" s="141"/>
    </row>
    <row r="354" spans="3:11">
      <c r="C354" s="138" t="s">
        <v>930</v>
      </c>
      <c r="D354" s="98"/>
      <c r="E354" s="98"/>
      <c r="F354" s="98"/>
      <c r="G354" s="98"/>
      <c r="H354" s="98"/>
      <c r="I354" s="98"/>
      <c r="J354" s="107">
        <v>0</v>
      </c>
      <c r="K354" s="141"/>
    </row>
    <row r="355" spans="3:11">
      <c r="C355" s="138" t="s">
        <v>164</v>
      </c>
      <c r="D355" s="98"/>
      <c r="E355" s="98"/>
      <c r="F355" s="98"/>
      <c r="G355" s="98"/>
      <c r="H355" s="98"/>
      <c r="I355" s="98"/>
      <c r="J355" s="107">
        <v>0</v>
      </c>
      <c r="K355" s="141"/>
    </row>
    <row r="356" spans="3:11">
      <c r="C356" s="138" t="s">
        <v>743</v>
      </c>
      <c r="D356" s="98"/>
      <c r="E356" s="98"/>
      <c r="F356" s="98"/>
      <c r="G356" s="98"/>
      <c r="H356" s="98"/>
      <c r="I356" s="98"/>
      <c r="J356" s="107">
        <v>0</v>
      </c>
      <c r="K356" s="141"/>
    </row>
    <row r="357" spans="3:11">
      <c r="C357" s="138" t="s">
        <v>1088</v>
      </c>
      <c r="D357" s="98"/>
      <c r="E357" s="98"/>
      <c r="F357" s="98"/>
      <c r="G357" s="98"/>
      <c r="H357" s="98"/>
      <c r="I357" s="98"/>
      <c r="J357" s="107">
        <v>0</v>
      </c>
      <c r="K357" s="141"/>
    </row>
    <row r="358" spans="3:11">
      <c r="C358" s="138" t="s">
        <v>728</v>
      </c>
      <c r="D358" s="98"/>
      <c r="E358" s="98"/>
      <c r="F358" s="98"/>
      <c r="G358" s="98"/>
      <c r="H358" s="98"/>
      <c r="I358" s="98"/>
      <c r="J358" s="107">
        <v>0</v>
      </c>
      <c r="K358" s="141"/>
    </row>
    <row r="359" spans="3:11">
      <c r="C359" s="138" t="s">
        <v>163</v>
      </c>
      <c r="D359" s="98"/>
      <c r="E359" s="98"/>
      <c r="F359" s="98"/>
      <c r="G359" s="98"/>
      <c r="H359" s="98"/>
      <c r="I359" s="98"/>
      <c r="J359" s="107">
        <v>0</v>
      </c>
      <c r="K359" s="141"/>
    </row>
    <row r="360" spans="3:11">
      <c r="C360" s="138" t="s">
        <v>340</v>
      </c>
      <c r="D360" s="98"/>
      <c r="E360" s="98"/>
      <c r="F360" s="98"/>
      <c r="G360" s="98"/>
      <c r="H360" s="98"/>
      <c r="I360" s="98"/>
      <c r="J360" s="107">
        <v>0</v>
      </c>
      <c r="K360" s="141"/>
    </row>
    <row r="361" spans="3:11">
      <c r="C361" s="138" t="s">
        <v>134</v>
      </c>
      <c r="D361" s="98"/>
      <c r="E361" s="98"/>
      <c r="F361" s="98"/>
      <c r="G361" s="98"/>
      <c r="H361" s="98"/>
      <c r="I361" s="98"/>
      <c r="J361" s="107">
        <v>0</v>
      </c>
      <c r="K361" s="141"/>
    </row>
    <row r="362" spans="3:11">
      <c r="C362" s="138" t="s">
        <v>954</v>
      </c>
      <c r="D362" s="98"/>
      <c r="E362" s="98"/>
      <c r="F362" s="98"/>
      <c r="G362" s="98"/>
      <c r="H362" s="98"/>
      <c r="I362" s="98"/>
      <c r="J362" s="107">
        <v>0</v>
      </c>
      <c r="K362" s="141"/>
    </row>
    <row r="363" spans="3:11">
      <c r="C363" s="138" t="s">
        <v>901</v>
      </c>
      <c r="D363" s="98"/>
      <c r="E363" s="98"/>
      <c r="F363" s="98"/>
      <c r="G363" s="98"/>
      <c r="H363" s="98"/>
      <c r="I363" s="98"/>
      <c r="J363" s="107">
        <v>0</v>
      </c>
      <c r="K363" s="141"/>
    </row>
    <row r="364" spans="3:11">
      <c r="C364" s="138" t="s">
        <v>926</v>
      </c>
      <c r="D364" s="98"/>
      <c r="E364" s="98"/>
      <c r="F364" s="98"/>
      <c r="G364" s="98"/>
      <c r="H364" s="98"/>
      <c r="I364" s="98"/>
      <c r="J364" s="107">
        <v>0</v>
      </c>
      <c r="K364" s="141"/>
    </row>
    <row r="365" spans="3:11">
      <c r="C365" s="138" t="s">
        <v>186</v>
      </c>
      <c r="D365" s="98"/>
      <c r="E365" s="98"/>
      <c r="F365" s="98"/>
      <c r="G365" s="98"/>
      <c r="H365" s="98"/>
      <c r="I365" s="98"/>
      <c r="J365" s="107">
        <v>0</v>
      </c>
      <c r="K365" s="141"/>
    </row>
    <row r="366" spans="3:11">
      <c r="C366" s="138" t="s">
        <v>385</v>
      </c>
      <c r="D366" s="98"/>
      <c r="E366" s="98"/>
      <c r="F366" s="98"/>
      <c r="G366" s="98"/>
      <c r="H366" s="98"/>
      <c r="I366" s="98"/>
      <c r="J366" s="107">
        <v>0</v>
      </c>
      <c r="K366" s="141"/>
    </row>
    <row r="367" spans="3:11">
      <c r="C367" s="138" t="s">
        <v>604</v>
      </c>
      <c r="D367" s="98"/>
      <c r="E367" s="98"/>
      <c r="F367" s="98"/>
      <c r="G367" s="98"/>
      <c r="H367" s="98"/>
      <c r="I367" s="98"/>
      <c r="J367" s="107">
        <v>0</v>
      </c>
      <c r="K367" s="141"/>
    </row>
    <row r="368" spans="3:11">
      <c r="C368" s="138" t="s">
        <v>463</v>
      </c>
      <c r="D368" s="98"/>
      <c r="E368" s="98"/>
      <c r="F368" s="98"/>
      <c r="G368" s="98"/>
      <c r="H368" s="98"/>
      <c r="I368" s="98"/>
      <c r="J368" s="107">
        <v>0</v>
      </c>
      <c r="K368" s="141"/>
    </row>
    <row r="369" spans="3:11">
      <c r="C369" s="138" t="s">
        <v>449</v>
      </c>
      <c r="D369" s="98"/>
      <c r="E369" s="98"/>
      <c r="F369" s="98"/>
      <c r="G369" s="98"/>
      <c r="H369" s="98"/>
      <c r="I369" s="98"/>
      <c r="J369" s="107">
        <v>0</v>
      </c>
      <c r="K369" s="141"/>
    </row>
    <row r="370" spans="3:11">
      <c r="C370" s="138" t="s">
        <v>556</v>
      </c>
      <c r="D370" s="98"/>
      <c r="E370" s="98"/>
      <c r="F370" s="98"/>
      <c r="G370" s="98"/>
      <c r="H370" s="98"/>
      <c r="I370" s="98"/>
      <c r="J370" s="107">
        <v>0</v>
      </c>
      <c r="K370" s="141"/>
    </row>
    <row r="371" spans="3:11">
      <c r="C371" s="138" t="s">
        <v>231</v>
      </c>
      <c r="D371" s="98"/>
      <c r="E371" s="98"/>
      <c r="F371" s="98"/>
      <c r="G371" s="98"/>
      <c r="H371" s="98"/>
      <c r="I371" s="98"/>
      <c r="J371" s="107">
        <v>0</v>
      </c>
      <c r="K371" s="141"/>
    </row>
    <row r="372" spans="3:11">
      <c r="C372" s="138" t="s">
        <v>944</v>
      </c>
      <c r="D372" s="98"/>
      <c r="E372" s="98"/>
      <c r="F372" s="98"/>
      <c r="G372" s="98"/>
      <c r="H372" s="98"/>
      <c r="I372" s="98"/>
      <c r="J372" s="107">
        <v>0</v>
      </c>
      <c r="K372" s="141"/>
    </row>
    <row r="373" spans="3:11">
      <c r="C373" s="138" t="s">
        <v>947</v>
      </c>
      <c r="D373" s="98"/>
      <c r="E373" s="98"/>
      <c r="F373" s="98"/>
      <c r="G373" s="98"/>
      <c r="H373" s="98"/>
      <c r="I373" s="98"/>
      <c r="J373" s="107">
        <v>0</v>
      </c>
      <c r="K373" s="141"/>
    </row>
    <row r="374" spans="3:11">
      <c r="C374" s="138" t="s">
        <v>182</v>
      </c>
      <c r="D374" s="98"/>
      <c r="E374" s="98"/>
      <c r="F374" s="98"/>
      <c r="G374" s="98"/>
      <c r="H374" s="98"/>
      <c r="I374" s="98"/>
      <c r="J374" s="107">
        <v>0</v>
      </c>
      <c r="K374" s="141"/>
    </row>
    <row r="375" spans="3:11">
      <c r="C375" s="138" t="s">
        <v>965</v>
      </c>
      <c r="D375" s="98"/>
      <c r="E375" s="98"/>
      <c r="F375" s="98"/>
      <c r="G375" s="98"/>
      <c r="H375" s="98"/>
      <c r="I375" s="98"/>
      <c r="J375" s="107">
        <v>0</v>
      </c>
      <c r="K375" s="141"/>
    </row>
    <row r="376" spans="3:11">
      <c r="C376" s="138" t="s">
        <v>406</v>
      </c>
      <c r="D376" s="98"/>
      <c r="E376" s="98"/>
      <c r="F376" s="98"/>
      <c r="G376" s="98"/>
      <c r="H376" s="98"/>
      <c r="I376" s="98"/>
      <c r="J376" s="107">
        <v>0</v>
      </c>
      <c r="K376" s="141"/>
    </row>
    <row r="377" spans="3:11">
      <c r="C377" s="138" t="s">
        <v>498</v>
      </c>
      <c r="D377" s="98"/>
      <c r="E377" s="98"/>
      <c r="F377" s="98"/>
      <c r="G377" s="98"/>
      <c r="H377" s="98"/>
      <c r="I377" s="98"/>
      <c r="J377" s="107">
        <v>0</v>
      </c>
      <c r="K377" s="141"/>
    </row>
    <row r="378" spans="3:11">
      <c r="C378" s="138" t="s">
        <v>804</v>
      </c>
      <c r="D378" s="98"/>
      <c r="E378" s="98"/>
      <c r="F378" s="98"/>
      <c r="G378" s="98"/>
      <c r="H378" s="98"/>
      <c r="I378" s="98"/>
      <c r="J378" s="107">
        <v>0</v>
      </c>
      <c r="K378" s="141"/>
    </row>
    <row r="379" spans="3:11">
      <c r="C379" s="138" t="s">
        <v>466</v>
      </c>
      <c r="D379" s="98"/>
      <c r="E379" s="98"/>
      <c r="F379" s="98"/>
      <c r="G379" s="98"/>
      <c r="H379" s="98"/>
      <c r="I379" s="98"/>
      <c r="J379" s="107">
        <v>0</v>
      </c>
      <c r="K379" s="141"/>
    </row>
    <row r="380" spans="3:11">
      <c r="C380" s="138" t="s">
        <v>514</v>
      </c>
      <c r="D380" s="98"/>
      <c r="E380" s="98"/>
      <c r="F380" s="98"/>
      <c r="G380" s="98"/>
      <c r="H380" s="98"/>
      <c r="I380" s="98"/>
      <c r="J380" s="107">
        <v>0</v>
      </c>
      <c r="K380" s="141"/>
    </row>
    <row r="381" spans="3:11">
      <c r="C381" s="138" t="s">
        <v>472</v>
      </c>
      <c r="D381" s="98"/>
      <c r="E381" s="98"/>
      <c r="F381" s="98"/>
      <c r="G381" s="98"/>
      <c r="H381" s="98"/>
      <c r="I381" s="98"/>
      <c r="J381" s="107">
        <v>0</v>
      </c>
      <c r="K381" s="141"/>
    </row>
    <row r="382" spans="3:11">
      <c r="C382" s="138" t="s">
        <v>671</v>
      </c>
      <c r="D382" s="98"/>
      <c r="E382" s="98"/>
      <c r="F382" s="98"/>
      <c r="G382" s="98"/>
      <c r="H382" s="98"/>
      <c r="I382" s="98"/>
      <c r="J382" s="107">
        <v>0</v>
      </c>
      <c r="K382" s="141"/>
    </row>
    <row r="383" spans="3:11">
      <c r="C383" s="138" t="s">
        <v>98</v>
      </c>
      <c r="D383" s="98"/>
      <c r="E383" s="98"/>
      <c r="F383" s="98"/>
      <c r="G383" s="98"/>
      <c r="H383" s="98"/>
      <c r="I383" s="98"/>
      <c r="J383" s="107">
        <v>0</v>
      </c>
      <c r="K383" s="141"/>
    </row>
    <row r="384" spans="3:11">
      <c r="C384" s="138" t="s">
        <v>972</v>
      </c>
      <c r="D384" s="98"/>
      <c r="E384" s="98"/>
      <c r="F384" s="98"/>
      <c r="G384" s="98"/>
      <c r="H384" s="98"/>
      <c r="I384" s="98"/>
      <c r="J384" s="107">
        <v>0</v>
      </c>
      <c r="K384" s="141"/>
    </row>
    <row r="385" spans="3:11">
      <c r="C385" s="138" t="s">
        <v>133</v>
      </c>
      <c r="D385" s="98"/>
      <c r="E385" s="98"/>
      <c r="F385" s="98"/>
      <c r="G385" s="98"/>
      <c r="H385" s="98"/>
      <c r="I385" s="98"/>
      <c r="J385" s="107">
        <v>0</v>
      </c>
      <c r="K385" s="141"/>
    </row>
    <row r="386" spans="3:11">
      <c r="C386" s="138" t="s">
        <v>179</v>
      </c>
      <c r="D386" s="98"/>
      <c r="E386" s="98"/>
      <c r="F386" s="98"/>
      <c r="G386" s="98"/>
      <c r="H386" s="98"/>
      <c r="I386" s="98"/>
      <c r="J386" s="107">
        <v>0</v>
      </c>
      <c r="K386" s="141"/>
    </row>
    <row r="387" spans="3:11">
      <c r="C387" s="138" t="s">
        <v>810</v>
      </c>
      <c r="D387" s="98"/>
      <c r="E387" s="98"/>
      <c r="F387" s="98"/>
      <c r="G387" s="98"/>
      <c r="H387" s="98"/>
      <c r="I387" s="98"/>
      <c r="J387" s="107">
        <v>0</v>
      </c>
      <c r="K387" s="141"/>
    </row>
    <row r="388" spans="3:11">
      <c r="C388" s="138" t="s">
        <v>225</v>
      </c>
      <c r="D388" s="98"/>
      <c r="E388" s="98"/>
      <c r="F388" s="98"/>
      <c r="G388" s="98"/>
      <c r="H388" s="98"/>
      <c r="I388" s="98"/>
      <c r="J388" s="107">
        <v>0</v>
      </c>
      <c r="K388" s="141"/>
    </row>
    <row r="389" spans="3:11">
      <c r="C389" s="138" t="s">
        <v>601</v>
      </c>
      <c r="D389" s="98"/>
      <c r="E389" s="98"/>
      <c r="F389" s="98"/>
      <c r="G389" s="98"/>
      <c r="H389" s="98"/>
      <c r="I389" s="98"/>
      <c r="J389" s="107">
        <v>0</v>
      </c>
      <c r="K389" s="141"/>
    </row>
    <row r="390" spans="3:11">
      <c r="C390" s="138" t="s">
        <v>695</v>
      </c>
      <c r="D390" s="98"/>
      <c r="E390" s="98"/>
      <c r="F390" s="98"/>
      <c r="G390" s="98"/>
      <c r="H390" s="98"/>
      <c r="I390" s="98"/>
      <c r="J390" s="107">
        <v>0</v>
      </c>
      <c r="K390" s="141"/>
    </row>
    <row r="391" spans="3:11">
      <c r="C391" s="138" t="s">
        <v>303</v>
      </c>
      <c r="D391" s="98"/>
      <c r="E391" s="98"/>
      <c r="F391" s="98"/>
      <c r="G391" s="98"/>
      <c r="H391" s="98"/>
      <c r="I391" s="98"/>
      <c r="J391" s="107">
        <v>0</v>
      </c>
      <c r="K391" s="141"/>
    </row>
    <row r="392" spans="3:11">
      <c r="C392" s="138" t="s">
        <v>209</v>
      </c>
      <c r="D392" s="98"/>
      <c r="E392" s="98"/>
      <c r="F392" s="98"/>
      <c r="G392" s="98"/>
      <c r="H392" s="98"/>
      <c r="I392" s="98"/>
      <c r="J392" s="107">
        <v>0</v>
      </c>
      <c r="K392" s="141"/>
    </row>
    <row r="393" spans="3:11">
      <c r="C393" s="138" t="s">
        <v>868</v>
      </c>
      <c r="D393" s="98"/>
      <c r="E393" s="98"/>
      <c r="F393" s="98"/>
      <c r="G393" s="98"/>
      <c r="H393" s="98"/>
      <c r="I393" s="98"/>
      <c r="J393" s="107">
        <v>0</v>
      </c>
      <c r="K393" s="141"/>
    </row>
    <row r="394" spans="3:11">
      <c r="C394" s="138" t="s">
        <v>380</v>
      </c>
      <c r="D394" s="98"/>
      <c r="E394" s="98"/>
      <c r="F394" s="98"/>
      <c r="G394" s="98"/>
      <c r="H394" s="98"/>
      <c r="I394" s="98"/>
      <c r="J394" s="107">
        <v>0</v>
      </c>
      <c r="K394" s="141"/>
    </row>
    <row r="395" spans="3:11">
      <c r="C395" s="138" t="s">
        <v>155</v>
      </c>
      <c r="D395" s="98"/>
      <c r="E395" s="98"/>
      <c r="F395" s="98"/>
      <c r="G395" s="98"/>
      <c r="H395" s="98"/>
      <c r="I395" s="98"/>
      <c r="J395" s="107">
        <v>0</v>
      </c>
      <c r="K395" s="141"/>
    </row>
    <row r="396" spans="3:11">
      <c r="C396" s="138" t="s">
        <v>1017</v>
      </c>
      <c r="D396" s="98"/>
      <c r="E396" s="98"/>
      <c r="F396" s="98"/>
      <c r="G396" s="98"/>
      <c r="H396" s="98"/>
      <c r="I396" s="98"/>
      <c r="J396" s="107">
        <v>0</v>
      </c>
      <c r="K396" s="141"/>
    </row>
    <row r="397" spans="3:11">
      <c r="C397" s="138" t="s">
        <v>809</v>
      </c>
      <c r="D397" s="98"/>
      <c r="E397" s="98"/>
      <c r="F397" s="98"/>
      <c r="G397" s="98"/>
      <c r="H397" s="98"/>
      <c r="I397" s="98"/>
      <c r="J397" s="107">
        <v>0</v>
      </c>
      <c r="K397" s="141"/>
    </row>
    <row r="398" spans="3:11">
      <c r="C398" s="138" t="s">
        <v>311</v>
      </c>
      <c r="D398" s="98"/>
      <c r="E398" s="98"/>
      <c r="F398" s="98"/>
      <c r="G398" s="98"/>
      <c r="H398" s="98"/>
      <c r="I398" s="98"/>
      <c r="J398" s="107">
        <v>0</v>
      </c>
      <c r="K398" s="141"/>
    </row>
    <row r="399" spans="3:11">
      <c r="C399" s="138" t="s">
        <v>287</v>
      </c>
      <c r="D399" s="98"/>
      <c r="E399" s="98"/>
      <c r="F399" s="98"/>
      <c r="G399" s="98"/>
      <c r="H399" s="98"/>
      <c r="I399" s="98"/>
      <c r="J399" s="107">
        <v>0</v>
      </c>
      <c r="K399" s="141"/>
    </row>
    <row r="400" spans="3:11">
      <c r="C400" s="138" t="s">
        <v>469</v>
      </c>
      <c r="D400" s="98"/>
      <c r="E400" s="98"/>
      <c r="F400" s="98"/>
      <c r="G400" s="98"/>
      <c r="H400" s="98"/>
      <c r="I400" s="98"/>
      <c r="J400" s="107">
        <v>0</v>
      </c>
      <c r="K400" s="141"/>
    </row>
    <row r="401" spans="3:11">
      <c r="C401" s="138" t="s">
        <v>1041</v>
      </c>
      <c r="D401" s="98"/>
      <c r="E401" s="98"/>
      <c r="F401" s="98"/>
      <c r="G401" s="98"/>
      <c r="H401" s="98"/>
      <c r="I401" s="98"/>
      <c r="J401" s="107">
        <v>0</v>
      </c>
      <c r="K401" s="141"/>
    </row>
    <row r="402" spans="3:11">
      <c r="C402" s="138" t="s">
        <v>375</v>
      </c>
      <c r="D402" s="98"/>
      <c r="E402" s="98"/>
      <c r="F402" s="98"/>
      <c r="G402" s="98"/>
      <c r="H402" s="98"/>
      <c r="I402" s="98"/>
      <c r="J402" s="107">
        <v>0</v>
      </c>
      <c r="K402" s="141"/>
    </row>
    <row r="403" spans="3:11">
      <c r="C403" s="138" t="s">
        <v>323</v>
      </c>
      <c r="D403" s="98"/>
      <c r="E403" s="98"/>
      <c r="F403" s="98"/>
      <c r="G403" s="98"/>
      <c r="H403" s="98"/>
      <c r="I403" s="98"/>
      <c r="J403" s="107">
        <v>0</v>
      </c>
      <c r="K403" s="141"/>
    </row>
    <row r="404" spans="3:11">
      <c r="C404" s="138" t="s">
        <v>214</v>
      </c>
      <c r="D404" s="98"/>
      <c r="E404" s="98"/>
      <c r="F404" s="98"/>
      <c r="G404" s="98"/>
      <c r="H404" s="98"/>
      <c r="I404" s="98"/>
      <c r="J404" s="107">
        <v>0</v>
      </c>
      <c r="K404" s="141"/>
    </row>
    <row r="405" spans="3:11">
      <c r="C405" s="138" t="s">
        <v>916</v>
      </c>
      <c r="D405" s="98"/>
      <c r="E405" s="98"/>
      <c r="F405" s="98"/>
      <c r="G405" s="98"/>
      <c r="H405" s="98"/>
      <c r="I405" s="98"/>
      <c r="J405" s="107">
        <v>0</v>
      </c>
      <c r="K405" s="141"/>
    </row>
    <row r="406" spans="3:11">
      <c r="C406" s="138" t="s">
        <v>193</v>
      </c>
      <c r="D406" s="98"/>
      <c r="E406" s="98"/>
      <c r="F406" s="98"/>
      <c r="G406" s="98"/>
      <c r="H406" s="98"/>
      <c r="I406" s="98"/>
      <c r="J406" s="107">
        <v>0</v>
      </c>
      <c r="K406" s="141"/>
    </row>
    <row r="407" spans="3:11">
      <c r="C407" s="138" t="s">
        <v>921</v>
      </c>
      <c r="D407" s="98"/>
      <c r="E407" s="98"/>
      <c r="F407" s="98"/>
      <c r="G407" s="98"/>
      <c r="H407" s="98"/>
      <c r="I407" s="98"/>
      <c r="J407" s="107">
        <v>0</v>
      </c>
      <c r="K407" s="141"/>
    </row>
    <row r="408" spans="3:11">
      <c r="C408" s="138" t="s">
        <v>387</v>
      </c>
      <c r="D408" s="98"/>
      <c r="E408" s="98"/>
      <c r="F408" s="98"/>
      <c r="G408" s="98"/>
      <c r="H408" s="98"/>
      <c r="I408" s="98"/>
      <c r="J408" s="107">
        <v>0</v>
      </c>
      <c r="K408" s="141"/>
    </row>
    <row r="409" spans="3:11">
      <c r="C409" s="138" t="s">
        <v>413</v>
      </c>
      <c r="D409" s="98"/>
      <c r="E409" s="98"/>
      <c r="F409" s="98"/>
      <c r="G409" s="98"/>
      <c r="H409" s="98"/>
      <c r="I409" s="98"/>
      <c r="J409" s="107">
        <v>0</v>
      </c>
      <c r="K409" s="141"/>
    </row>
    <row r="410" spans="3:11">
      <c r="C410" s="138" t="s">
        <v>958</v>
      </c>
      <c r="D410" s="98"/>
      <c r="E410" s="98"/>
      <c r="F410" s="98"/>
      <c r="G410" s="98"/>
      <c r="H410" s="98"/>
      <c r="I410" s="98"/>
      <c r="J410" s="107">
        <v>0</v>
      </c>
      <c r="K410" s="141"/>
    </row>
    <row r="411" spans="3:11">
      <c r="C411" s="138" t="s">
        <v>1082</v>
      </c>
      <c r="D411" s="98"/>
      <c r="E411" s="98"/>
      <c r="F411" s="98"/>
      <c r="G411" s="98"/>
      <c r="H411" s="98"/>
      <c r="I411" s="98"/>
      <c r="J411" s="107">
        <v>0</v>
      </c>
      <c r="K411" s="141"/>
    </row>
    <row r="412" spans="3:11">
      <c r="C412" s="138" t="s">
        <v>1024</v>
      </c>
      <c r="D412" s="98"/>
      <c r="E412" s="98"/>
      <c r="F412" s="98"/>
      <c r="G412" s="98"/>
      <c r="H412" s="98"/>
      <c r="I412" s="98"/>
      <c r="J412" s="107">
        <v>0</v>
      </c>
      <c r="K412" s="141"/>
    </row>
    <row r="413" spans="3:11">
      <c r="C413" s="138" t="s">
        <v>612</v>
      </c>
      <c r="D413" s="98"/>
      <c r="E413" s="98"/>
      <c r="F413" s="98"/>
      <c r="G413" s="98"/>
      <c r="H413" s="98"/>
      <c r="I413" s="98"/>
      <c r="J413" s="107">
        <v>0</v>
      </c>
      <c r="K413" s="141"/>
    </row>
    <row r="414" spans="3:11">
      <c r="C414" s="138" t="s">
        <v>412</v>
      </c>
      <c r="D414" s="98"/>
      <c r="E414" s="98"/>
      <c r="F414" s="98"/>
      <c r="G414" s="98"/>
      <c r="H414" s="98"/>
      <c r="I414" s="98"/>
      <c r="J414" s="107">
        <v>0</v>
      </c>
      <c r="K414" s="141"/>
    </row>
    <row r="415" spans="3:11">
      <c r="C415" s="138" t="s">
        <v>421</v>
      </c>
      <c r="D415" s="98"/>
      <c r="E415" s="98"/>
      <c r="F415" s="98"/>
      <c r="G415" s="98"/>
      <c r="H415" s="98"/>
      <c r="I415" s="98"/>
      <c r="J415" s="107">
        <v>0</v>
      </c>
      <c r="K415" s="141"/>
    </row>
    <row r="416" spans="3:11">
      <c r="C416" s="138" t="s">
        <v>966</v>
      </c>
      <c r="D416" s="98"/>
      <c r="E416" s="98"/>
      <c r="F416" s="98"/>
      <c r="G416" s="98"/>
      <c r="H416" s="98"/>
      <c r="I416" s="98"/>
      <c r="J416" s="107">
        <v>0</v>
      </c>
      <c r="K416" s="141"/>
    </row>
    <row r="417" spans="3:11">
      <c r="C417" s="138" t="s">
        <v>238</v>
      </c>
      <c r="D417" s="98"/>
      <c r="E417" s="98"/>
      <c r="F417" s="98"/>
      <c r="G417" s="98"/>
      <c r="H417" s="98"/>
      <c r="I417" s="98"/>
      <c r="J417" s="107">
        <v>0</v>
      </c>
      <c r="K417" s="141"/>
    </row>
    <row r="418" spans="3:11">
      <c r="C418" s="138" t="s">
        <v>392</v>
      </c>
      <c r="D418" s="98"/>
      <c r="E418" s="98"/>
      <c r="F418" s="98"/>
      <c r="G418" s="98"/>
      <c r="H418" s="98"/>
      <c r="I418" s="98"/>
      <c r="J418" s="107">
        <v>0</v>
      </c>
      <c r="K418" s="141"/>
    </row>
    <row r="419" spans="3:11">
      <c r="C419" s="138" t="s">
        <v>111</v>
      </c>
      <c r="D419" s="98"/>
      <c r="E419" s="98"/>
      <c r="F419" s="98"/>
      <c r="G419" s="98"/>
      <c r="H419" s="98"/>
      <c r="I419" s="98"/>
      <c r="J419" s="107">
        <v>0</v>
      </c>
      <c r="K419" s="141"/>
    </row>
    <row r="420" spans="3:11">
      <c r="C420" s="138" t="s">
        <v>846</v>
      </c>
      <c r="D420" s="98"/>
      <c r="E420" s="98"/>
      <c r="F420" s="98"/>
      <c r="G420" s="98"/>
      <c r="H420" s="98"/>
      <c r="I420" s="98"/>
      <c r="J420" s="107">
        <v>0</v>
      </c>
      <c r="K420" s="141"/>
    </row>
    <row r="421" spans="3:11">
      <c r="C421" s="138" t="s">
        <v>416</v>
      </c>
      <c r="D421" s="98"/>
      <c r="E421" s="98"/>
      <c r="F421" s="98"/>
      <c r="G421" s="98"/>
      <c r="H421" s="98"/>
      <c r="I421" s="98"/>
      <c r="J421" s="107">
        <v>0</v>
      </c>
      <c r="K421" s="141"/>
    </row>
    <row r="422" spans="3:11">
      <c r="C422" s="138" t="s">
        <v>739</v>
      </c>
      <c r="D422" s="98"/>
      <c r="E422" s="98"/>
      <c r="F422" s="98"/>
      <c r="G422" s="98"/>
      <c r="H422" s="98"/>
      <c r="I422" s="98"/>
      <c r="J422" s="107">
        <v>0</v>
      </c>
      <c r="K422" s="141"/>
    </row>
    <row r="423" spans="3:11">
      <c r="C423" s="138" t="s">
        <v>897</v>
      </c>
      <c r="D423" s="98"/>
      <c r="E423" s="98"/>
      <c r="F423" s="98"/>
      <c r="G423" s="98"/>
      <c r="H423" s="98"/>
      <c r="I423" s="98"/>
      <c r="J423" s="107">
        <v>0</v>
      </c>
      <c r="K423" s="141"/>
    </row>
    <row r="424" spans="3:11">
      <c r="C424" s="138" t="s">
        <v>108</v>
      </c>
      <c r="D424" s="98"/>
      <c r="E424" s="98"/>
      <c r="F424" s="98"/>
      <c r="G424" s="98"/>
      <c r="H424" s="98"/>
      <c r="I424" s="98"/>
      <c r="J424" s="107">
        <v>0</v>
      </c>
      <c r="K424" s="141"/>
    </row>
    <row r="425" spans="3:11">
      <c r="C425" s="138" t="s">
        <v>731</v>
      </c>
      <c r="D425" s="98"/>
      <c r="E425" s="98"/>
      <c r="F425" s="98"/>
      <c r="G425" s="98"/>
      <c r="H425" s="98"/>
      <c r="I425" s="98"/>
      <c r="J425" s="107">
        <v>0</v>
      </c>
      <c r="K425" s="141"/>
    </row>
    <row r="426" spans="3:11">
      <c r="C426" s="138" t="s">
        <v>102</v>
      </c>
      <c r="D426" s="98"/>
      <c r="E426" s="98"/>
      <c r="F426" s="98"/>
      <c r="G426" s="98"/>
      <c r="H426" s="98"/>
      <c r="I426" s="98"/>
      <c r="J426" s="107">
        <v>0</v>
      </c>
      <c r="K426" s="141"/>
    </row>
    <row r="427" spans="3:11">
      <c r="C427" s="138" t="s">
        <v>384</v>
      </c>
      <c r="D427" s="98"/>
      <c r="E427" s="98"/>
      <c r="F427" s="98"/>
      <c r="G427" s="98"/>
      <c r="H427" s="98"/>
      <c r="I427" s="98"/>
      <c r="J427" s="107">
        <v>0</v>
      </c>
      <c r="K427" s="141"/>
    </row>
    <row r="428" spans="3:11">
      <c r="C428" s="138" t="s">
        <v>539</v>
      </c>
      <c r="D428" s="98"/>
      <c r="E428" s="98"/>
      <c r="F428" s="98"/>
      <c r="G428" s="98"/>
      <c r="H428" s="98"/>
      <c r="I428" s="98"/>
      <c r="J428" s="107">
        <v>0</v>
      </c>
      <c r="K428" s="141"/>
    </row>
    <row r="429" spans="3:11">
      <c r="C429" s="138" t="s">
        <v>1026</v>
      </c>
      <c r="D429" s="98"/>
      <c r="E429" s="98"/>
      <c r="F429" s="98"/>
      <c r="G429" s="98"/>
      <c r="H429" s="98"/>
      <c r="I429" s="98"/>
      <c r="J429" s="107">
        <v>0</v>
      </c>
      <c r="K429" s="141"/>
    </row>
    <row r="430" spans="3:11">
      <c r="C430" s="138" t="s">
        <v>1008</v>
      </c>
      <c r="D430" s="98"/>
      <c r="E430" s="98"/>
      <c r="F430" s="98"/>
      <c r="G430" s="98"/>
      <c r="H430" s="98"/>
      <c r="I430" s="98"/>
      <c r="J430" s="107">
        <v>0</v>
      </c>
      <c r="K430" s="141"/>
    </row>
    <row r="431" spans="3:11">
      <c r="C431" s="138" t="s">
        <v>253</v>
      </c>
      <c r="D431" s="98"/>
      <c r="E431" s="98"/>
      <c r="F431" s="98"/>
      <c r="G431" s="98"/>
      <c r="H431" s="98"/>
      <c r="I431" s="98"/>
      <c r="J431" s="107">
        <v>0</v>
      </c>
      <c r="K431" s="141"/>
    </row>
    <row r="432" spans="3:11">
      <c r="C432" s="138" t="s">
        <v>1065</v>
      </c>
      <c r="D432" s="98"/>
      <c r="E432" s="98"/>
      <c r="F432" s="98"/>
      <c r="G432" s="98"/>
      <c r="H432" s="98"/>
      <c r="I432" s="98"/>
      <c r="J432" s="107">
        <v>0</v>
      </c>
      <c r="K432" s="141"/>
    </row>
    <row r="433" spans="3:11">
      <c r="C433" s="138" t="s">
        <v>527</v>
      </c>
      <c r="D433" s="98"/>
      <c r="E433" s="98"/>
      <c r="F433" s="98"/>
      <c r="G433" s="98"/>
      <c r="H433" s="98"/>
      <c r="I433" s="98"/>
      <c r="J433" s="107">
        <v>0</v>
      </c>
      <c r="K433" s="141"/>
    </row>
    <row r="434" spans="3:11">
      <c r="C434" s="138" t="s">
        <v>350</v>
      </c>
      <c r="D434" s="98"/>
      <c r="E434" s="98"/>
      <c r="F434" s="98"/>
      <c r="G434" s="98"/>
      <c r="H434" s="98"/>
      <c r="I434" s="98"/>
      <c r="J434" s="107">
        <v>0</v>
      </c>
      <c r="K434" s="141"/>
    </row>
    <row r="435" spans="3:11">
      <c r="C435" s="138" t="s">
        <v>415</v>
      </c>
      <c r="D435" s="98"/>
      <c r="E435" s="98"/>
      <c r="F435" s="98"/>
      <c r="G435" s="98"/>
      <c r="H435" s="98"/>
      <c r="I435" s="98"/>
      <c r="J435" s="107">
        <v>0</v>
      </c>
      <c r="K435" s="141"/>
    </row>
    <row r="436" spans="3:11">
      <c r="C436" s="138" t="s">
        <v>758</v>
      </c>
      <c r="D436" s="98"/>
      <c r="E436" s="98"/>
      <c r="F436" s="98"/>
      <c r="G436" s="98"/>
      <c r="H436" s="98"/>
      <c r="I436" s="98"/>
      <c r="J436" s="107">
        <v>0</v>
      </c>
      <c r="K436" s="141"/>
    </row>
    <row r="437" spans="3:11">
      <c r="C437" s="138" t="s">
        <v>1111</v>
      </c>
      <c r="D437" s="98"/>
      <c r="E437" s="98"/>
      <c r="F437" s="98"/>
      <c r="G437" s="98"/>
      <c r="H437" s="98"/>
      <c r="I437" s="98"/>
      <c r="J437" s="107">
        <v>0</v>
      </c>
      <c r="K437" s="141"/>
    </row>
    <row r="438" spans="3:11">
      <c r="C438" s="138" t="s">
        <v>831</v>
      </c>
      <c r="D438" s="98"/>
      <c r="E438" s="98"/>
      <c r="F438" s="98"/>
      <c r="G438" s="98"/>
      <c r="H438" s="98"/>
      <c r="I438" s="98"/>
      <c r="J438" s="107">
        <v>0</v>
      </c>
      <c r="K438" s="141"/>
    </row>
    <row r="439" spans="3:11">
      <c r="C439" s="138" t="s">
        <v>256</v>
      </c>
      <c r="D439" s="98"/>
      <c r="E439" s="98"/>
      <c r="F439" s="98"/>
      <c r="G439" s="98"/>
      <c r="H439" s="98"/>
      <c r="I439" s="98"/>
      <c r="J439" s="107">
        <v>0</v>
      </c>
      <c r="K439" s="141"/>
    </row>
    <row r="440" spans="3:11">
      <c r="C440" s="138" t="s">
        <v>547</v>
      </c>
      <c r="D440" s="98"/>
      <c r="E440" s="98"/>
      <c r="F440" s="98"/>
      <c r="G440" s="98"/>
      <c r="H440" s="98"/>
      <c r="I440" s="98"/>
      <c r="J440" s="107">
        <v>0</v>
      </c>
      <c r="K440" s="141"/>
    </row>
    <row r="441" spans="3:11">
      <c r="C441" s="138" t="s">
        <v>821</v>
      </c>
      <c r="D441" s="98"/>
      <c r="E441" s="98"/>
      <c r="F441" s="98"/>
      <c r="G441" s="98"/>
      <c r="H441" s="98"/>
      <c r="I441" s="98"/>
      <c r="J441" s="107">
        <v>0</v>
      </c>
      <c r="K441" s="141"/>
    </row>
    <row r="442" spans="3:11">
      <c r="C442" s="138" t="s">
        <v>428</v>
      </c>
      <c r="D442" s="98"/>
      <c r="E442" s="98"/>
      <c r="F442" s="98"/>
      <c r="G442" s="98"/>
      <c r="H442" s="98"/>
      <c r="I442" s="98"/>
      <c r="J442" s="107">
        <v>0</v>
      </c>
      <c r="K442" s="141"/>
    </row>
    <row r="443" spans="3:11">
      <c r="C443" s="138" t="s">
        <v>626</v>
      </c>
      <c r="D443" s="98"/>
      <c r="E443" s="98"/>
      <c r="F443" s="98"/>
      <c r="G443" s="98"/>
      <c r="H443" s="98"/>
      <c r="I443" s="98"/>
      <c r="J443" s="107">
        <v>0</v>
      </c>
      <c r="K443" s="141"/>
    </row>
    <row r="444" spans="3:11">
      <c r="C444" s="138" t="s">
        <v>232</v>
      </c>
      <c r="D444" s="98"/>
      <c r="E444" s="98"/>
      <c r="F444" s="98"/>
      <c r="G444" s="98"/>
      <c r="H444" s="98"/>
      <c r="I444" s="98"/>
      <c r="J444" s="107">
        <v>0</v>
      </c>
      <c r="K444" s="141"/>
    </row>
    <row r="445" spans="3:11">
      <c r="C445" s="138" t="s">
        <v>500</v>
      </c>
      <c r="D445" s="98"/>
      <c r="E445" s="98"/>
      <c r="F445" s="98"/>
      <c r="G445" s="98"/>
      <c r="H445" s="98"/>
      <c r="I445" s="98"/>
      <c r="J445" s="107">
        <v>0</v>
      </c>
      <c r="K445" s="141"/>
    </row>
    <row r="446" spans="3:11">
      <c r="C446" s="138" t="s">
        <v>857</v>
      </c>
      <c r="D446" s="98"/>
      <c r="E446" s="98"/>
      <c r="F446" s="98"/>
      <c r="G446" s="98"/>
      <c r="H446" s="98"/>
      <c r="I446" s="98"/>
      <c r="J446" s="107">
        <v>0</v>
      </c>
      <c r="K446" s="141"/>
    </row>
    <row r="447" spans="3:11">
      <c r="C447" s="138" t="s">
        <v>860</v>
      </c>
      <c r="D447" s="98"/>
      <c r="E447" s="98"/>
      <c r="F447" s="98"/>
      <c r="G447" s="98"/>
      <c r="H447" s="98"/>
      <c r="I447" s="98"/>
      <c r="J447" s="107">
        <v>0</v>
      </c>
      <c r="K447" s="141"/>
    </row>
    <row r="448" spans="3:11">
      <c r="C448" s="138" t="s">
        <v>504</v>
      </c>
      <c r="D448" s="98"/>
      <c r="E448" s="98"/>
      <c r="F448" s="98"/>
      <c r="G448" s="98"/>
      <c r="H448" s="98"/>
      <c r="I448" s="98"/>
      <c r="J448" s="107">
        <v>0</v>
      </c>
      <c r="K448" s="141"/>
    </row>
    <row r="449" spans="3:11">
      <c r="C449" s="138" t="s">
        <v>543</v>
      </c>
      <c r="D449" s="98"/>
      <c r="E449" s="98"/>
      <c r="F449" s="98"/>
      <c r="G449" s="98"/>
      <c r="H449" s="98"/>
      <c r="I449" s="98"/>
      <c r="J449" s="107">
        <v>0</v>
      </c>
      <c r="K449" s="141"/>
    </row>
    <row r="450" spans="3:11">
      <c r="C450" s="138" t="s">
        <v>796</v>
      </c>
      <c r="D450" s="98"/>
      <c r="E450" s="98"/>
      <c r="F450" s="98"/>
      <c r="G450" s="98"/>
      <c r="H450" s="98"/>
      <c r="I450" s="98"/>
      <c r="J450" s="107">
        <v>0</v>
      </c>
      <c r="K450" s="141"/>
    </row>
    <row r="451" spans="3:11">
      <c r="C451" s="138" t="s">
        <v>185</v>
      </c>
      <c r="D451" s="98"/>
      <c r="E451" s="98"/>
      <c r="F451" s="98"/>
      <c r="G451" s="98"/>
      <c r="H451" s="98"/>
      <c r="I451" s="98"/>
      <c r="J451" s="107">
        <v>0</v>
      </c>
      <c r="K451" s="141"/>
    </row>
    <row r="452" spans="3:11">
      <c r="C452" s="138" t="s">
        <v>272</v>
      </c>
      <c r="D452" s="98"/>
      <c r="E452" s="98"/>
      <c r="F452" s="98"/>
      <c r="G452" s="98"/>
      <c r="H452" s="98"/>
      <c r="I452" s="98"/>
      <c r="J452" s="107">
        <v>0</v>
      </c>
      <c r="K452" s="141"/>
    </row>
    <row r="453" spans="3:11">
      <c r="C453" s="138" t="s">
        <v>213</v>
      </c>
      <c r="D453" s="98"/>
      <c r="E453" s="98"/>
      <c r="F453" s="98"/>
      <c r="G453" s="98"/>
      <c r="H453" s="98"/>
      <c r="I453" s="98"/>
      <c r="J453" s="107">
        <v>0</v>
      </c>
      <c r="K453" s="141"/>
    </row>
    <row r="454" spans="3:11">
      <c r="C454" s="138" t="s">
        <v>698</v>
      </c>
      <c r="D454" s="98"/>
      <c r="E454" s="98"/>
      <c r="F454" s="98"/>
      <c r="G454" s="98"/>
      <c r="H454" s="98"/>
      <c r="I454" s="98"/>
      <c r="J454" s="107">
        <v>0</v>
      </c>
      <c r="K454" s="141"/>
    </row>
    <row r="455" spans="3:11">
      <c r="C455" s="138" t="s">
        <v>137</v>
      </c>
      <c r="D455" s="98"/>
      <c r="E455" s="98"/>
      <c r="F455" s="98"/>
      <c r="G455" s="98"/>
      <c r="H455" s="98"/>
      <c r="I455" s="98"/>
      <c r="J455" s="107">
        <v>0</v>
      </c>
      <c r="K455" s="141"/>
    </row>
    <row r="456" spans="3:11">
      <c r="C456" s="138" t="s">
        <v>289</v>
      </c>
      <c r="D456" s="98"/>
      <c r="E456" s="98"/>
      <c r="F456" s="98"/>
      <c r="G456" s="98"/>
      <c r="H456" s="98"/>
      <c r="I456" s="98"/>
      <c r="J456" s="107">
        <v>0</v>
      </c>
      <c r="K456" s="141"/>
    </row>
    <row r="457" spans="3:11">
      <c r="C457" s="138" t="s">
        <v>95</v>
      </c>
      <c r="D457" s="98"/>
      <c r="E457" s="98"/>
      <c r="F457" s="98"/>
      <c r="G457" s="98"/>
      <c r="H457" s="98"/>
      <c r="I457" s="98"/>
      <c r="J457" s="107">
        <v>0</v>
      </c>
      <c r="K457" s="141"/>
    </row>
    <row r="458" spans="3:11">
      <c r="C458" s="138" t="s">
        <v>281</v>
      </c>
      <c r="D458" s="98"/>
      <c r="E458" s="98"/>
      <c r="F458" s="98"/>
      <c r="G458" s="98"/>
      <c r="H458" s="98"/>
      <c r="I458" s="98"/>
      <c r="J458" s="107">
        <v>0</v>
      </c>
      <c r="K458" s="141"/>
    </row>
    <row r="459" spans="3:11">
      <c r="C459" s="138" t="s">
        <v>889</v>
      </c>
      <c r="D459" s="98"/>
      <c r="E459" s="98"/>
      <c r="F459" s="98"/>
      <c r="G459" s="98"/>
      <c r="H459" s="98"/>
      <c r="I459" s="98"/>
      <c r="J459" s="107">
        <v>0</v>
      </c>
      <c r="K459" s="141"/>
    </row>
    <row r="460" spans="3:11">
      <c r="C460" s="138" t="s">
        <v>524</v>
      </c>
      <c r="D460" s="98"/>
      <c r="E460" s="98"/>
      <c r="F460" s="98"/>
      <c r="G460" s="98"/>
      <c r="H460" s="98"/>
      <c r="I460" s="98"/>
      <c r="J460" s="107">
        <v>0</v>
      </c>
      <c r="K460" s="141"/>
    </row>
    <row r="461" spans="3:11">
      <c r="C461" s="138" t="s">
        <v>750</v>
      </c>
      <c r="D461" s="98"/>
      <c r="E461" s="98"/>
      <c r="F461" s="98"/>
      <c r="G461" s="98"/>
      <c r="H461" s="98"/>
      <c r="I461" s="98"/>
      <c r="J461" s="107">
        <v>0</v>
      </c>
      <c r="K461" s="141"/>
    </row>
    <row r="462" spans="3:11">
      <c r="C462" s="138" t="s">
        <v>541</v>
      </c>
      <c r="D462" s="98"/>
      <c r="E462" s="98"/>
      <c r="F462" s="98"/>
      <c r="G462" s="98"/>
      <c r="H462" s="98"/>
      <c r="I462" s="98"/>
      <c r="J462" s="107">
        <v>0</v>
      </c>
      <c r="K462" s="141"/>
    </row>
    <row r="463" spans="3:11">
      <c r="C463" s="138" t="s">
        <v>714</v>
      </c>
      <c r="D463" s="98"/>
      <c r="E463" s="98"/>
      <c r="F463" s="98"/>
      <c r="G463" s="98"/>
      <c r="H463" s="98"/>
      <c r="I463" s="98"/>
      <c r="J463" s="107">
        <v>0</v>
      </c>
      <c r="K463" s="141"/>
    </row>
    <row r="464" spans="3:11">
      <c r="C464" s="138" t="s">
        <v>650</v>
      </c>
      <c r="D464" s="98"/>
      <c r="E464" s="98"/>
      <c r="F464" s="98"/>
      <c r="G464" s="98"/>
      <c r="H464" s="98"/>
      <c r="I464" s="98"/>
      <c r="J464" s="107">
        <v>0</v>
      </c>
      <c r="K464" s="141"/>
    </row>
    <row r="465" spans="3:11">
      <c r="C465" s="138" t="s">
        <v>90</v>
      </c>
      <c r="D465" s="98"/>
      <c r="E465" s="98"/>
      <c r="F465" s="98"/>
      <c r="G465" s="98"/>
      <c r="H465" s="98"/>
      <c r="I465" s="98"/>
      <c r="J465" s="107">
        <v>0</v>
      </c>
      <c r="K465" s="141"/>
    </row>
    <row r="466" spans="3:11">
      <c r="C466" s="138" t="s">
        <v>759</v>
      </c>
      <c r="D466" s="98"/>
      <c r="E466" s="98"/>
      <c r="F466" s="98"/>
      <c r="G466" s="98"/>
      <c r="H466" s="98"/>
      <c r="I466" s="98"/>
      <c r="J466" s="107">
        <v>0</v>
      </c>
      <c r="K466" s="141"/>
    </row>
    <row r="467" spans="3:11">
      <c r="C467" s="138" t="s">
        <v>574</v>
      </c>
      <c r="D467" s="98"/>
      <c r="E467" s="98"/>
      <c r="F467" s="98"/>
      <c r="G467" s="98"/>
      <c r="H467" s="98"/>
      <c r="I467" s="98"/>
      <c r="J467" s="107">
        <v>0</v>
      </c>
      <c r="K467" s="141"/>
    </row>
    <row r="468" spans="3:11">
      <c r="C468" s="138" t="s">
        <v>310</v>
      </c>
      <c r="D468" s="98"/>
      <c r="E468" s="98"/>
      <c r="F468" s="98"/>
      <c r="G468" s="98"/>
      <c r="H468" s="98"/>
      <c r="I468" s="98"/>
      <c r="J468" s="107">
        <v>0</v>
      </c>
      <c r="K468" s="141"/>
    </row>
    <row r="469" spans="3:11">
      <c r="C469" s="138" t="s">
        <v>848</v>
      </c>
      <c r="D469" s="98"/>
      <c r="E469" s="98"/>
      <c r="F469" s="98"/>
      <c r="G469" s="98"/>
      <c r="H469" s="98"/>
      <c r="I469" s="98"/>
      <c r="J469" s="107">
        <v>0</v>
      </c>
      <c r="K469" s="141"/>
    </row>
    <row r="470" spans="3:11">
      <c r="C470" s="138" t="s">
        <v>709</v>
      </c>
      <c r="D470" s="98"/>
      <c r="E470" s="98"/>
      <c r="F470" s="98"/>
      <c r="G470" s="98"/>
      <c r="H470" s="98"/>
      <c r="I470" s="98"/>
      <c r="J470" s="107">
        <v>0</v>
      </c>
      <c r="K470" s="141"/>
    </row>
    <row r="471" spans="3:11">
      <c r="C471" s="138" t="s">
        <v>149</v>
      </c>
      <c r="D471" s="98"/>
      <c r="E471" s="98"/>
      <c r="F471" s="98"/>
      <c r="G471" s="98"/>
      <c r="H471" s="98"/>
      <c r="I471" s="98"/>
      <c r="J471" s="107">
        <v>0</v>
      </c>
      <c r="K471" s="141"/>
    </row>
    <row r="472" spans="3:11">
      <c r="C472" s="138" t="s">
        <v>419</v>
      </c>
      <c r="D472" s="98"/>
      <c r="E472" s="98"/>
      <c r="F472" s="98"/>
      <c r="G472" s="98"/>
      <c r="H472" s="98"/>
      <c r="I472" s="98"/>
      <c r="J472" s="107">
        <v>0</v>
      </c>
      <c r="K472" s="141"/>
    </row>
    <row r="473" spans="3:11">
      <c r="C473" s="138" t="s">
        <v>746</v>
      </c>
      <c r="D473" s="98"/>
      <c r="E473" s="98"/>
      <c r="F473" s="98"/>
      <c r="G473" s="98"/>
      <c r="H473" s="98"/>
      <c r="I473" s="98"/>
      <c r="J473" s="107">
        <v>0</v>
      </c>
      <c r="K473" s="141"/>
    </row>
    <row r="474" spans="3:11">
      <c r="C474" s="138" t="s">
        <v>939</v>
      </c>
      <c r="D474" s="98"/>
      <c r="E474" s="98"/>
      <c r="F474" s="98"/>
      <c r="G474" s="98"/>
      <c r="H474" s="98"/>
      <c r="I474" s="98"/>
      <c r="J474" s="107">
        <v>0</v>
      </c>
      <c r="K474" s="141"/>
    </row>
    <row r="475" spans="3:11">
      <c r="C475" s="138" t="s">
        <v>383</v>
      </c>
      <c r="D475" s="98"/>
      <c r="E475" s="98"/>
      <c r="F475" s="98"/>
      <c r="G475" s="98"/>
      <c r="H475" s="98"/>
      <c r="I475" s="98"/>
      <c r="J475" s="107">
        <v>0</v>
      </c>
      <c r="K475" s="141"/>
    </row>
    <row r="476" spans="3:11">
      <c r="C476" s="138" t="s">
        <v>174</v>
      </c>
      <c r="D476" s="98"/>
      <c r="E476" s="98"/>
      <c r="F476" s="98"/>
      <c r="G476" s="98"/>
      <c r="H476" s="98"/>
      <c r="I476" s="98"/>
      <c r="J476" s="107">
        <v>0</v>
      </c>
      <c r="K476" s="141"/>
    </row>
    <row r="477" spans="3:11">
      <c r="C477" s="138" t="s">
        <v>530</v>
      </c>
      <c r="D477" s="98"/>
      <c r="E477" s="98"/>
      <c r="F477" s="98"/>
      <c r="G477" s="98"/>
      <c r="H477" s="98"/>
      <c r="I477" s="98"/>
      <c r="J477" s="107">
        <v>0</v>
      </c>
      <c r="K477" s="141"/>
    </row>
    <row r="478" spans="3:11">
      <c r="C478" s="138" t="s">
        <v>768</v>
      </c>
      <c r="D478" s="98"/>
      <c r="E478" s="98"/>
      <c r="F478" s="98"/>
      <c r="G478" s="98"/>
      <c r="H478" s="98"/>
      <c r="I478" s="98"/>
      <c r="J478" s="107">
        <v>0</v>
      </c>
      <c r="K478" s="141"/>
    </row>
    <row r="479" spans="3:11">
      <c r="C479" s="138" t="s">
        <v>342</v>
      </c>
      <c r="D479" s="98"/>
      <c r="E479" s="98"/>
      <c r="F479" s="98"/>
      <c r="G479" s="98"/>
      <c r="H479" s="98"/>
      <c r="I479" s="98"/>
      <c r="J479" s="107">
        <v>0</v>
      </c>
      <c r="K479" s="141"/>
    </row>
    <row r="480" spans="3:11">
      <c r="C480" s="138" t="s">
        <v>114</v>
      </c>
      <c r="D480" s="98"/>
      <c r="E480" s="98"/>
      <c r="F480" s="98"/>
      <c r="G480" s="98"/>
      <c r="H480" s="98"/>
      <c r="I480" s="98"/>
      <c r="J480" s="107">
        <v>0</v>
      </c>
      <c r="K480" s="141"/>
    </row>
    <row r="481" spans="3:11">
      <c r="C481" s="138" t="s">
        <v>678</v>
      </c>
      <c r="D481" s="98"/>
      <c r="E481" s="98"/>
      <c r="F481" s="98"/>
      <c r="G481" s="98"/>
      <c r="H481" s="98"/>
      <c r="I481" s="98"/>
      <c r="J481" s="107">
        <v>0</v>
      </c>
      <c r="K481" s="141"/>
    </row>
    <row r="482" spans="3:11">
      <c r="C482" s="138" t="s">
        <v>372</v>
      </c>
      <c r="D482" s="98"/>
      <c r="E482" s="98"/>
      <c r="F482" s="98"/>
      <c r="G482" s="98"/>
      <c r="H482" s="98"/>
      <c r="I482" s="98"/>
      <c r="J482" s="107">
        <v>0</v>
      </c>
      <c r="K482" s="141"/>
    </row>
    <row r="483" spans="3:11">
      <c r="C483" s="138" t="s">
        <v>240</v>
      </c>
      <c r="D483" s="98"/>
      <c r="E483" s="98"/>
      <c r="F483" s="98"/>
      <c r="G483" s="98"/>
      <c r="H483" s="98"/>
      <c r="I483" s="98"/>
      <c r="J483" s="107">
        <v>0</v>
      </c>
      <c r="K483" s="141"/>
    </row>
    <row r="484" spans="3:11">
      <c r="C484" s="138" t="s">
        <v>129</v>
      </c>
      <c r="D484" s="98"/>
      <c r="E484" s="98"/>
      <c r="F484" s="98"/>
      <c r="G484" s="98"/>
      <c r="H484" s="98"/>
      <c r="I484" s="98"/>
      <c r="J484" s="107">
        <v>0</v>
      </c>
      <c r="K484" s="141"/>
    </row>
    <row r="485" spans="3:11">
      <c r="C485" s="138" t="s">
        <v>1013</v>
      </c>
      <c r="D485" s="98"/>
      <c r="E485" s="98"/>
      <c r="F485" s="98"/>
      <c r="G485" s="98"/>
      <c r="H485" s="98"/>
      <c r="I485" s="98"/>
      <c r="J485" s="107">
        <v>0</v>
      </c>
      <c r="K485" s="141"/>
    </row>
    <row r="486" spans="3:11">
      <c r="C486" s="138" t="s">
        <v>559</v>
      </c>
      <c r="D486" s="98"/>
      <c r="E486" s="98"/>
      <c r="F486" s="98"/>
      <c r="G486" s="98"/>
      <c r="H486" s="98"/>
      <c r="I486" s="98"/>
      <c r="J486" s="107">
        <v>0</v>
      </c>
      <c r="K486" s="141"/>
    </row>
    <row r="487" spans="3:11">
      <c r="C487" s="138" t="s">
        <v>982</v>
      </c>
      <c r="D487" s="98"/>
      <c r="E487" s="98"/>
      <c r="F487" s="98"/>
      <c r="G487" s="98"/>
      <c r="H487" s="98"/>
      <c r="I487" s="98"/>
      <c r="J487" s="107">
        <v>0</v>
      </c>
      <c r="K487" s="141"/>
    </row>
    <row r="488" spans="3:11">
      <c r="C488" s="138" t="s">
        <v>226</v>
      </c>
      <c r="D488" s="98"/>
      <c r="E488" s="98"/>
      <c r="F488" s="98"/>
      <c r="G488" s="98"/>
      <c r="H488" s="98"/>
      <c r="I488" s="98"/>
      <c r="J488" s="107">
        <v>0</v>
      </c>
      <c r="K488" s="141"/>
    </row>
    <row r="489" spans="3:11">
      <c r="C489" s="138" t="s">
        <v>907</v>
      </c>
      <c r="D489" s="98"/>
      <c r="E489" s="98"/>
      <c r="F489" s="98"/>
      <c r="G489" s="98"/>
      <c r="H489" s="98"/>
      <c r="I489" s="98"/>
      <c r="J489" s="107">
        <v>0</v>
      </c>
      <c r="K489" s="141"/>
    </row>
    <row r="490" spans="3:11">
      <c r="C490" s="138" t="s">
        <v>1098</v>
      </c>
      <c r="D490" s="98"/>
      <c r="E490" s="98"/>
      <c r="F490" s="98"/>
      <c r="G490" s="98"/>
      <c r="H490" s="98"/>
      <c r="I490" s="98"/>
      <c r="J490" s="107">
        <v>0</v>
      </c>
      <c r="K490" s="141"/>
    </row>
    <row r="491" spans="3:11">
      <c r="C491" s="138" t="s">
        <v>455</v>
      </c>
      <c r="D491" s="98"/>
      <c r="E491" s="98"/>
      <c r="F491" s="98"/>
      <c r="G491" s="98"/>
      <c r="H491" s="98"/>
      <c r="I491" s="98"/>
      <c r="J491" s="107">
        <v>0</v>
      </c>
      <c r="K491" s="141"/>
    </row>
    <row r="492" spans="3:11">
      <c r="C492" s="138" t="s">
        <v>885</v>
      </c>
      <c r="D492" s="98"/>
      <c r="E492" s="98"/>
      <c r="F492" s="98"/>
      <c r="G492" s="98"/>
      <c r="H492" s="98"/>
      <c r="I492" s="98"/>
      <c r="J492" s="107">
        <v>0</v>
      </c>
      <c r="K492" s="141"/>
    </row>
    <row r="493" spans="3:11">
      <c r="C493" s="138" t="s">
        <v>458</v>
      </c>
      <c r="D493" s="98"/>
      <c r="E493" s="98"/>
      <c r="F493" s="98"/>
      <c r="G493" s="98"/>
      <c r="H493" s="98"/>
      <c r="I493" s="98"/>
      <c r="J493" s="107">
        <v>0</v>
      </c>
      <c r="K493" s="141"/>
    </row>
    <row r="494" spans="3:11">
      <c r="C494" s="138" t="s">
        <v>470</v>
      </c>
      <c r="D494" s="98"/>
      <c r="E494" s="98"/>
      <c r="F494" s="98"/>
      <c r="G494" s="98"/>
      <c r="H494" s="98"/>
      <c r="I494" s="98"/>
      <c r="J494" s="107">
        <v>0</v>
      </c>
      <c r="K494" s="141"/>
    </row>
    <row r="495" spans="3:11">
      <c r="C495" s="138" t="s">
        <v>492</v>
      </c>
      <c r="D495" s="98"/>
      <c r="E495" s="98"/>
      <c r="F495" s="98"/>
      <c r="G495" s="98"/>
      <c r="H495" s="98"/>
      <c r="I495" s="98"/>
      <c r="J495" s="107">
        <v>0</v>
      </c>
      <c r="K495" s="141"/>
    </row>
    <row r="496" spans="3:11">
      <c r="C496" s="138" t="s">
        <v>1029</v>
      </c>
      <c r="D496" s="98"/>
      <c r="E496" s="98"/>
      <c r="F496" s="98"/>
      <c r="G496" s="98"/>
      <c r="H496" s="98"/>
      <c r="I496" s="98"/>
      <c r="J496" s="107">
        <v>0</v>
      </c>
      <c r="K496" s="141"/>
    </row>
    <row r="497" spans="3:11">
      <c r="C497" s="138" t="s">
        <v>874</v>
      </c>
      <c r="D497" s="98"/>
      <c r="E497" s="98"/>
      <c r="F497" s="98"/>
      <c r="G497" s="98"/>
      <c r="H497" s="98"/>
      <c r="I497" s="98"/>
      <c r="J497" s="107">
        <v>0</v>
      </c>
      <c r="K497" s="141"/>
    </row>
    <row r="498" spans="3:11">
      <c r="C498" s="138" t="s">
        <v>274</v>
      </c>
      <c r="D498" s="98"/>
      <c r="E498" s="98"/>
      <c r="F498" s="98"/>
      <c r="G498" s="98"/>
      <c r="H498" s="98"/>
      <c r="I498" s="98"/>
      <c r="J498" s="107">
        <v>0</v>
      </c>
      <c r="K498" s="141"/>
    </row>
    <row r="499" spans="3:11">
      <c r="C499" s="138" t="s">
        <v>674</v>
      </c>
      <c r="D499" s="98"/>
      <c r="E499" s="98"/>
      <c r="F499" s="98"/>
      <c r="G499" s="98"/>
      <c r="H499" s="98"/>
      <c r="I499" s="98"/>
      <c r="J499" s="107">
        <v>0</v>
      </c>
      <c r="K499" s="141"/>
    </row>
    <row r="500" spans="3:11">
      <c r="C500" s="138" t="s">
        <v>251</v>
      </c>
      <c r="D500" s="98"/>
      <c r="E500" s="98"/>
      <c r="F500" s="98"/>
      <c r="G500" s="98"/>
      <c r="H500" s="98"/>
      <c r="I500" s="98"/>
      <c r="J500" s="107">
        <v>0</v>
      </c>
      <c r="K500" s="141"/>
    </row>
    <row r="501" spans="3:11">
      <c r="C501" s="138" t="s">
        <v>122</v>
      </c>
      <c r="D501" s="98"/>
      <c r="E501" s="98"/>
      <c r="F501" s="98"/>
      <c r="G501" s="98"/>
      <c r="H501" s="98"/>
      <c r="I501" s="98"/>
      <c r="J501" s="107">
        <v>0</v>
      </c>
      <c r="K501" s="141"/>
    </row>
    <row r="502" spans="3:11">
      <c r="C502" s="138" t="s">
        <v>223</v>
      </c>
      <c r="D502" s="98"/>
      <c r="E502" s="98"/>
      <c r="F502" s="98"/>
      <c r="G502" s="98"/>
      <c r="H502" s="98"/>
      <c r="I502" s="98"/>
      <c r="J502" s="107">
        <v>0</v>
      </c>
      <c r="K502" s="141"/>
    </row>
    <row r="503" spans="3:11">
      <c r="C503" s="138" t="s">
        <v>278</v>
      </c>
      <c r="D503" s="98"/>
      <c r="E503" s="98"/>
      <c r="F503" s="98"/>
      <c r="G503" s="98"/>
      <c r="H503" s="98"/>
      <c r="I503" s="98"/>
      <c r="J503" s="107">
        <v>0</v>
      </c>
      <c r="K503" s="141"/>
    </row>
    <row r="504" spans="3:11">
      <c r="C504" s="138" t="s">
        <v>533</v>
      </c>
      <c r="D504" s="98"/>
      <c r="E504" s="98"/>
      <c r="F504" s="98"/>
      <c r="G504" s="98"/>
      <c r="H504" s="98"/>
      <c r="I504" s="98"/>
      <c r="J504" s="107">
        <v>0</v>
      </c>
      <c r="K504" s="141"/>
    </row>
    <row r="505" spans="3:11">
      <c r="C505" s="138" t="s">
        <v>561</v>
      </c>
      <c r="D505" s="98"/>
      <c r="E505" s="98"/>
      <c r="F505" s="98"/>
      <c r="G505" s="98"/>
      <c r="H505" s="98"/>
      <c r="I505" s="98"/>
      <c r="J505" s="107">
        <v>0</v>
      </c>
      <c r="K505" s="141"/>
    </row>
    <row r="506" spans="3:11">
      <c r="C506" s="138" t="s">
        <v>462</v>
      </c>
      <c r="D506" s="98"/>
      <c r="E506" s="98"/>
      <c r="F506" s="98"/>
      <c r="G506" s="98"/>
      <c r="H506" s="98"/>
      <c r="I506" s="98"/>
      <c r="J506" s="107">
        <v>0</v>
      </c>
      <c r="K506" s="141"/>
    </row>
    <row r="507" spans="3:11">
      <c r="C507" s="138" t="s">
        <v>173</v>
      </c>
      <c r="D507" s="98"/>
      <c r="E507" s="98"/>
      <c r="F507" s="98"/>
      <c r="G507" s="98"/>
      <c r="H507" s="98"/>
      <c r="I507" s="98"/>
      <c r="J507" s="107">
        <v>0</v>
      </c>
      <c r="K507" s="141"/>
    </row>
    <row r="508" spans="3:11">
      <c r="C508" s="138" t="s">
        <v>1001</v>
      </c>
      <c r="D508" s="98"/>
      <c r="E508" s="98"/>
      <c r="F508" s="98"/>
      <c r="G508" s="98"/>
      <c r="H508" s="98"/>
      <c r="I508" s="98"/>
      <c r="J508" s="107">
        <v>0</v>
      </c>
      <c r="K508" s="141"/>
    </row>
    <row r="509" spans="3:11">
      <c r="C509" s="138" t="s">
        <v>456</v>
      </c>
      <c r="D509" s="98"/>
      <c r="E509" s="98"/>
      <c r="F509" s="98"/>
      <c r="G509" s="98"/>
      <c r="H509" s="98"/>
      <c r="I509" s="98"/>
      <c r="J509" s="107">
        <v>0</v>
      </c>
      <c r="K509" s="141"/>
    </row>
    <row r="510" spans="3:11">
      <c r="C510" s="138" t="s">
        <v>215</v>
      </c>
      <c r="D510" s="98"/>
      <c r="E510" s="98"/>
      <c r="F510" s="98"/>
      <c r="G510" s="98"/>
      <c r="H510" s="98"/>
      <c r="I510" s="98"/>
      <c r="J510" s="107">
        <v>0</v>
      </c>
      <c r="K510" s="141"/>
    </row>
    <row r="511" spans="3:11">
      <c r="C511" s="138" t="s">
        <v>353</v>
      </c>
      <c r="D511" s="98"/>
      <c r="E511" s="98"/>
      <c r="F511" s="98"/>
      <c r="G511" s="98"/>
      <c r="H511" s="98"/>
      <c r="I511" s="98"/>
      <c r="J511" s="107">
        <v>0</v>
      </c>
      <c r="K511" s="141"/>
    </row>
    <row r="512" spans="3:11">
      <c r="C512" s="138" t="s">
        <v>589</v>
      </c>
      <c r="D512" s="98"/>
      <c r="E512" s="98"/>
      <c r="F512" s="98"/>
      <c r="G512" s="98"/>
      <c r="H512" s="98"/>
      <c r="I512" s="98"/>
      <c r="J512" s="107">
        <v>0</v>
      </c>
      <c r="K512" s="141"/>
    </row>
    <row r="513" spans="3:11">
      <c r="C513" s="138" t="s">
        <v>439</v>
      </c>
      <c r="D513" s="98"/>
      <c r="E513" s="98"/>
      <c r="F513" s="98"/>
      <c r="G513" s="98"/>
      <c r="H513" s="98"/>
      <c r="I513" s="98"/>
      <c r="J513" s="107">
        <v>0</v>
      </c>
      <c r="K513" s="141"/>
    </row>
    <row r="514" spans="3:11">
      <c r="C514" s="138" t="s">
        <v>702</v>
      </c>
      <c r="D514" s="98"/>
      <c r="E514" s="98"/>
      <c r="F514" s="98"/>
      <c r="G514" s="98"/>
      <c r="H514" s="98"/>
      <c r="I514" s="98"/>
      <c r="J514" s="107">
        <v>0</v>
      </c>
      <c r="K514" s="141"/>
    </row>
    <row r="515" spans="3:11">
      <c r="C515" s="138" t="s">
        <v>549</v>
      </c>
      <c r="D515" s="98"/>
      <c r="E515" s="98"/>
      <c r="F515" s="98"/>
      <c r="G515" s="98"/>
      <c r="H515" s="98"/>
      <c r="I515" s="98"/>
      <c r="J515" s="107">
        <v>0</v>
      </c>
      <c r="K515" s="141"/>
    </row>
    <row r="516" spans="3:11">
      <c r="C516" s="138" t="s">
        <v>445</v>
      </c>
      <c r="D516" s="98"/>
      <c r="E516" s="98"/>
      <c r="F516" s="98"/>
      <c r="G516" s="98"/>
      <c r="H516" s="98"/>
      <c r="I516" s="98"/>
      <c r="J516" s="107">
        <v>0</v>
      </c>
      <c r="K516" s="141"/>
    </row>
    <row r="517" spans="3:11">
      <c r="C517" s="138" t="s">
        <v>430</v>
      </c>
      <c r="D517" s="98"/>
      <c r="E517" s="98"/>
      <c r="F517" s="98"/>
      <c r="G517" s="98"/>
      <c r="H517" s="98"/>
      <c r="I517" s="98"/>
      <c r="J517" s="107">
        <v>0</v>
      </c>
      <c r="K517" s="141"/>
    </row>
    <row r="518" spans="3:11">
      <c r="C518" s="138" t="s">
        <v>1043</v>
      </c>
      <c r="D518" s="98"/>
      <c r="E518" s="98"/>
      <c r="F518" s="98"/>
      <c r="G518" s="98"/>
      <c r="H518" s="98"/>
      <c r="I518" s="98"/>
      <c r="J518" s="107">
        <v>0</v>
      </c>
      <c r="K518" s="141"/>
    </row>
    <row r="519" spans="3:11">
      <c r="C519" s="138" t="s">
        <v>508</v>
      </c>
      <c r="D519" s="98"/>
      <c r="E519" s="98"/>
      <c r="F519" s="98"/>
      <c r="G519" s="98"/>
      <c r="H519" s="98"/>
      <c r="I519" s="98"/>
      <c r="J519" s="107">
        <v>0</v>
      </c>
      <c r="K519" s="141"/>
    </row>
    <row r="520" spans="3:11">
      <c r="C520" s="138" t="s">
        <v>486</v>
      </c>
      <c r="D520" s="98"/>
      <c r="E520" s="98"/>
      <c r="F520" s="98"/>
      <c r="G520" s="98"/>
      <c r="H520" s="98"/>
      <c r="I520" s="98"/>
      <c r="J520" s="107">
        <v>0</v>
      </c>
      <c r="K520" s="141"/>
    </row>
    <row r="521" spans="3:11">
      <c r="C521" s="138" t="s">
        <v>168</v>
      </c>
      <c r="D521" s="98"/>
      <c r="E521" s="98"/>
      <c r="F521" s="98"/>
      <c r="G521" s="98"/>
      <c r="H521" s="98"/>
      <c r="I521" s="98"/>
      <c r="J521" s="107">
        <v>0</v>
      </c>
      <c r="K521" s="141"/>
    </row>
    <row r="522" spans="3:11">
      <c r="C522" s="138" t="s">
        <v>793</v>
      </c>
      <c r="D522" s="98"/>
      <c r="E522" s="98"/>
      <c r="F522" s="98"/>
      <c r="G522" s="98"/>
      <c r="H522" s="98"/>
      <c r="I522" s="98"/>
      <c r="J522" s="107">
        <v>0</v>
      </c>
      <c r="K522" s="141"/>
    </row>
    <row r="523" spans="3:11">
      <c r="C523" s="138" t="s">
        <v>505</v>
      </c>
      <c r="D523" s="98"/>
      <c r="E523" s="98"/>
      <c r="F523" s="98"/>
      <c r="G523" s="98"/>
      <c r="H523" s="98"/>
      <c r="I523" s="98"/>
      <c r="J523" s="107">
        <v>0</v>
      </c>
      <c r="K523" s="141"/>
    </row>
    <row r="524" spans="3:11">
      <c r="C524" s="138" t="s">
        <v>1091</v>
      </c>
      <c r="D524" s="98"/>
      <c r="E524" s="98"/>
      <c r="F524" s="98"/>
      <c r="G524" s="98"/>
      <c r="H524" s="98"/>
      <c r="I524" s="98"/>
      <c r="J524" s="107">
        <v>0</v>
      </c>
      <c r="K524" s="141"/>
    </row>
    <row r="525" spans="3:11">
      <c r="C525" s="138" t="s">
        <v>105</v>
      </c>
      <c r="D525" s="98"/>
      <c r="E525" s="98"/>
      <c r="F525" s="98"/>
      <c r="G525" s="98"/>
      <c r="H525" s="98"/>
      <c r="I525" s="98"/>
      <c r="J525" s="107">
        <v>0</v>
      </c>
      <c r="K525" s="141"/>
    </row>
    <row r="526" spans="3:11">
      <c r="C526" s="138" t="s">
        <v>999</v>
      </c>
      <c r="D526" s="98"/>
      <c r="E526" s="98"/>
      <c r="F526" s="98"/>
      <c r="G526" s="98"/>
      <c r="H526" s="98"/>
      <c r="I526" s="98"/>
      <c r="J526" s="107">
        <v>0</v>
      </c>
      <c r="K526" s="141"/>
    </row>
    <row r="527" spans="3:11">
      <c r="C527" s="138" t="s">
        <v>480</v>
      </c>
      <c r="D527" s="98"/>
      <c r="E527" s="98"/>
      <c r="F527" s="98"/>
      <c r="G527" s="98"/>
      <c r="H527" s="98"/>
      <c r="I527" s="98"/>
      <c r="J527" s="107">
        <v>0</v>
      </c>
      <c r="K527" s="141"/>
    </row>
    <row r="528" spans="3:11">
      <c r="C528" s="138" t="s">
        <v>1102</v>
      </c>
      <c r="D528" s="98"/>
      <c r="E528" s="98"/>
      <c r="F528" s="98"/>
      <c r="G528" s="98"/>
      <c r="H528" s="98"/>
      <c r="I528" s="98"/>
      <c r="J528" s="107">
        <v>0</v>
      </c>
      <c r="K528" s="141"/>
    </row>
    <row r="529" spans="3:11">
      <c r="C529" s="138" t="s">
        <v>583</v>
      </c>
      <c r="D529" s="98"/>
      <c r="E529" s="98"/>
      <c r="F529" s="98"/>
      <c r="G529" s="98"/>
      <c r="H529" s="98"/>
      <c r="I529" s="98"/>
      <c r="J529" s="107">
        <v>0</v>
      </c>
      <c r="K529" s="141"/>
    </row>
    <row r="530" spans="3:11">
      <c r="C530" s="138" t="s">
        <v>517</v>
      </c>
      <c r="D530" s="98"/>
      <c r="E530" s="98"/>
      <c r="F530" s="98"/>
      <c r="G530" s="98"/>
      <c r="H530" s="98"/>
      <c r="I530" s="98"/>
      <c r="J530" s="107">
        <v>0</v>
      </c>
      <c r="K530" s="141"/>
    </row>
    <row r="531" spans="3:11">
      <c r="C531" s="138" t="s">
        <v>301</v>
      </c>
      <c r="D531" s="98"/>
      <c r="E531" s="98"/>
      <c r="F531" s="98"/>
      <c r="G531" s="98"/>
      <c r="H531" s="98"/>
      <c r="I531" s="98"/>
      <c r="J531" s="107">
        <v>0</v>
      </c>
      <c r="K531" s="141"/>
    </row>
    <row r="532" spans="3:11">
      <c r="C532" s="138" t="s">
        <v>914</v>
      </c>
      <c r="D532" s="98"/>
      <c r="E532" s="98"/>
      <c r="F532" s="98"/>
      <c r="G532" s="98"/>
      <c r="H532" s="98"/>
      <c r="I532" s="98"/>
      <c r="J532" s="107">
        <v>0</v>
      </c>
      <c r="K532" s="141"/>
    </row>
    <row r="533" spans="3:11">
      <c r="C533" s="138" t="s">
        <v>797</v>
      </c>
      <c r="D533" s="98"/>
      <c r="E533" s="98"/>
      <c r="F533" s="98"/>
      <c r="G533" s="98"/>
      <c r="H533" s="98"/>
      <c r="I533" s="98"/>
      <c r="J533" s="107">
        <v>0</v>
      </c>
      <c r="K533" s="141"/>
    </row>
    <row r="534" spans="3:11">
      <c r="C534" s="138" t="s">
        <v>136</v>
      </c>
      <c r="D534" s="98"/>
      <c r="E534" s="98"/>
      <c r="F534" s="98"/>
      <c r="G534" s="98"/>
      <c r="H534" s="98"/>
      <c r="I534" s="98"/>
      <c r="J534" s="107">
        <v>0</v>
      </c>
      <c r="K534" s="141"/>
    </row>
    <row r="535" spans="3:11">
      <c r="C535" s="138" t="s">
        <v>391</v>
      </c>
      <c r="D535" s="98"/>
      <c r="E535" s="98"/>
      <c r="F535" s="98"/>
      <c r="G535" s="98"/>
      <c r="H535" s="98"/>
      <c r="I535" s="98"/>
      <c r="J535" s="107">
        <v>0</v>
      </c>
      <c r="K535" s="141"/>
    </row>
    <row r="536" spans="3:11">
      <c r="C536" s="138" t="s">
        <v>206</v>
      </c>
      <c r="D536" s="98"/>
      <c r="E536" s="98"/>
      <c r="F536" s="98"/>
      <c r="G536" s="98"/>
      <c r="H536" s="98"/>
      <c r="I536" s="98"/>
      <c r="J536" s="107">
        <v>0</v>
      </c>
      <c r="K536" s="141"/>
    </row>
    <row r="537" spans="3:11">
      <c r="C537" s="138" t="s">
        <v>898</v>
      </c>
      <c r="D537" s="98"/>
      <c r="E537" s="98"/>
      <c r="F537" s="98"/>
      <c r="G537" s="98"/>
      <c r="H537" s="98"/>
      <c r="I537" s="98"/>
      <c r="J537" s="107">
        <v>0</v>
      </c>
      <c r="K537" s="141"/>
    </row>
    <row r="538" spans="3:11">
      <c r="C538" s="138" t="s">
        <v>1012</v>
      </c>
      <c r="D538" s="98"/>
      <c r="E538" s="98"/>
      <c r="F538" s="98"/>
      <c r="G538" s="98"/>
      <c r="H538" s="98"/>
      <c r="I538" s="98"/>
      <c r="J538" s="107">
        <v>0</v>
      </c>
      <c r="K538" s="141"/>
    </row>
    <row r="539" spans="3:11">
      <c r="C539" s="138" t="s">
        <v>425</v>
      </c>
      <c r="D539" s="98"/>
      <c r="E539" s="98"/>
      <c r="F539" s="98"/>
      <c r="G539" s="98"/>
      <c r="H539" s="98"/>
      <c r="I539" s="98"/>
      <c r="J539" s="107">
        <v>0</v>
      </c>
      <c r="K539" s="141"/>
    </row>
    <row r="540" spans="3:11">
      <c r="C540" s="138" t="s">
        <v>1050</v>
      </c>
      <c r="D540" s="98"/>
      <c r="E540" s="98"/>
      <c r="F540" s="98"/>
      <c r="G540" s="98"/>
      <c r="H540" s="98"/>
      <c r="I540" s="98"/>
      <c r="J540" s="107">
        <v>0</v>
      </c>
      <c r="K540" s="141"/>
    </row>
    <row r="541" spans="3:11">
      <c r="C541" s="138" t="s">
        <v>867</v>
      </c>
      <c r="D541" s="98"/>
      <c r="E541" s="98"/>
      <c r="F541" s="98"/>
      <c r="G541" s="98"/>
      <c r="H541" s="98"/>
      <c r="I541" s="98"/>
      <c r="J541" s="107">
        <v>0</v>
      </c>
      <c r="K541" s="141"/>
    </row>
    <row r="542" spans="3:11">
      <c r="C542" s="138" t="s">
        <v>582</v>
      </c>
      <c r="D542" s="98"/>
      <c r="E542" s="98"/>
      <c r="F542" s="98"/>
      <c r="G542" s="98"/>
      <c r="H542" s="98"/>
      <c r="I542" s="98"/>
      <c r="J542" s="107">
        <v>0</v>
      </c>
      <c r="K542" s="141"/>
    </row>
    <row r="543" spans="3:11">
      <c r="C543" s="138" t="s">
        <v>203</v>
      </c>
      <c r="D543" s="98"/>
      <c r="E543" s="98"/>
      <c r="F543" s="98"/>
      <c r="G543" s="98"/>
      <c r="H543" s="98"/>
      <c r="I543" s="98"/>
      <c r="J543" s="107">
        <v>0</v>
      </c>
      <c r="K543" s="141"/>
    </row>
    <row r="544" spans="3:11">
      <c r="C544" s="138" t="s">
        <v>1071</v>
      </c>
      <c r="D544" s="98"/>
      <c r="E544" s="98"/>
      <c r="F544" s="98"/>
      <c r="G544" s="98"/>
      <c r="H544" s="98"/>
      <c r="I544" s="98"/>
      <c r="J544" s="107">
        <v>0</v>
      </c>
      <c r="K544" s="141"/>
    </row>
    <row r="545" spans="3:11">
      <c r="C545" s="138" t="s">
        <v>354</v>
      </c>
      <c r="D545" s="98"/>
      <c r="E545" s="98"/>
      <c r="F545" s="98"/>
      <c r="G545" s="98"/>
      <c r="H545" s="98"/>
      <c r="I545" s="98"/>
      <c r="J545" s="107">
        <v>0</v>
      </c>
      <c r="K545" s="141"/>
    </row>
    <row r="546" spans="3:11">
      <c r="C546" s="138" t="s">
        <v>401</v>
      </c>
      <c r="D546" s="98"/>
      <c r="E546" s="98"/>
      <c r="F546" s="98"/>
      <c r="G546" s="98"/>
      <c r="H546" s="98"/>
      <c r="I546" s="98"/>
      <c r="J546" s="107">
        <v>0</v>
      </c>
      <c r="K546" s="141"/>
    </row>
    <row r="547" spans="3:11">
      <c r="C547" s="138" t="s">
        <v>453</v>
      </c>
      <c r="D547" s="98"/>
      <c r="E547" s="98"/>
      <c r="F547" s="98"/>
      <c r="G547" s="98"/>
      <c r="H547" s="98"/>
      <c r="I547" s="98"/>
      <c r="J547" s="107">
        <v>0</v>
      </c>
      <c r="K547" s="141"/>
    </row>
    <row r="548" spans="3:11">
      <c r="C548" s="138" t="s">
        <v>663</v>
      </c>
      <c r="D548" s="98"/>
      <c r="E548" s="98"/>
      <c r="F548" s="98"/>
      <c r="G548" s="98"/>
      <c r="H548" s="98"/>
      <c r="I548" s="98"/>
      <c r="J548" s="107">
        <v>0</v>
      </c>
      <c r="K548" s="141"/>
    </row>
    <row r="549" spans="3:11">
      <c r="C549" s="138" t="s">
        <v>291</v>
      </c>
      <c r="D549" s="98"/>
      <c r="E549" s="98"/>
      <c r="F549" s="98"/>
      <c r="G549" s="98"/>
      <c r="H549" s="98"/>
      <c r="I549" s="98"/>
      <c r="J549" s="107">
        <v>0</v>
      </c>
      <c r="K549" s="141"/>
    </row>
    <row r="550" spans="3:11">
      <c r="C550" s="138" t="s">
        <v>802</v>
      </c>
      <c r="D550" s="98"/>
      <c r="E550" s="98"/>
      <c r="F550" s="98"/>
      <c r="G550" s="98"/>
      <c r="H550" s="98"/>
      <c r="I550" s="98"/>
      <c r="J550" s="107">
        <v>0</v>
      </c>
      <c r="K550" s="141"/>
    </row>
    <row r="551" spans="3:11">
      <c r="C551" s="138" t="s">
        <v>1027</v>
      </c>
      <c r="D551" s="98"/>
      <c r="E551" s="98"/>
      <c r="F551" s="98"/>
      <c r="G551" s="98"/>
      <c r="H551" s="98"/>
      <c r="I551" s="98"/>
      <c r="J551" s="107">
        <v>0</v>
      </c>
      <c r="K551" s="141"/>
    </row>
    <row r="552" spans="3:11">
      <c r="C552" s="138" t="s">
        <v>946</v>
      </c>
      <c r="D552" s="98"/>
      <c r="E552" s="98"/>
      <c r="F552" s="98"/>
      <c r="G552" s="98"/>
      <c r="H552" s="98"/>
      <c r="I552" s="98"/>
      <c r="J552" s="107">
        <v>0</v>
      </c>
      <c r="K552" s="141"/>
    </row>
    <row r="553" spans="3:11">
      <c r="C553" s="138" t="s">
        <v>1023</v>
      </c>
      <c r="D553" s="98"/>
      <c r="E553" s="98"/>
      <c r="F553" s="98"/>
      <c r="G553" s="98"/>
      <c r="H553" s="98"/>
      <c r="I553" s="98"/>
      <c r="J553" s="107">
        <v>0</v>
      </c>
      <c r="K553" s="141"/>
    </row>
    <row r="554" spans="3:11">
      <c r="C554" s="138" t="s">
        <v>135</v>
      </c>
      <c r="D554" s="98"/>
      <c r="E554" s="98"/>
      <c r="F554" s="98"/>
      <c r="G554" s="98"/>
      <c r="H554" s="98"/>
      <c r="I554" s="98"/>
      <c r="J554" s="107">
        <v>0</v>
      </c>
      <c r="K554" s="141"/>
    </row>
    <row r="555" spans="3:11">
      <c r="C555" s="138" t="s">
        <v>959</v>
      </c>
      <c r="D555" s="98"/>
      <c r="E555" s="98"/>
      <c r="F555" s="98"/>
      <c r="G555" s="98"/>
      <c r="H555" s="98"/>
      <c r="I555" s="98"/>
      <c r="J555" s="107">
        <v>0</v>
      </c>
      <c r="K555" s="141"/>
    </row>
    <row r="556" spans="3:11">
      <c r="C556" s="138" t="s">
        <v>696</v>
      </c>
      <c r="D556" s="98"/>
      <c r="E556" s="98"/>
      <c r="F556" s="98"/>
      <c r="G556" s="98"/>
      <c r="H556" s="98"/>
      <c r="I556" s="98"/>
      <c r="J556" s="107">
        <v>0</v>
      </c>
      <c r="K556" s="141"/>
    </row>
    <row r="557" spans="3:11">
      <c r="C557" s="138" t="s">
        <v>371</v>
      </c>
      <c r="D557" s="98"/>
      <c r="E557" s="98"/>
      <c r="F557" s="98"/>
      <c r="G557" s="98"/>
      <c r="H557" s="98"/>
      <c r="I557" s="98"/>
      <c r="J557" s="107">
        <v>0</v>
      </c>
      <c r="K557" s="141"/>
    </row>
    <row r="558" spans="3:11">
      <c r="C558" s="138" t="s">
        <v>365</v>
      </c>
      <c r="D558" s="98"/>
      <c r="E558" s="98"/>
      <c r="F558" s="98"/>
      <c r="G558" s="98"/>
      <c r="H558" s="98"/>
      <c r="I558" s="98"/>
      <c r="J558" s="107">
        <v>0</v>
      </c>
      <c r="K558" s="141"/>
    </row>
    <row r="559" spans="3:11">
      <c r="C559" s="138" t="s">
        <v>351</v>
      </c>
      <c r="D559" s="98"/>
      <c r="E559" s="98"/>
      <c r="F559" s="98"/>
      <c r="G559" s="98"/>
      <c r="H559" s="98"/>
      <c r="I559" s="98"/>
      <c r="J559" s="107">
        <v>0</v>
      </c>
      <c r="K559" s="141"/>
    </row>
    <row r="560" spans="3:11">
      <c r="C560" s="138" t="s">
        <v>147</v>
      </c>
      <c r="D560" s="98"/>
      <c r="E560" s="98"/>
      <c r="F560" s="98"/>
      <c r="G560" s="98"/>
      <c r="H560" s="98"/>
      <c r="I560" s="98"/>
      <c r="J560" s="107">
        <v>0</v>
      </c>
      <c r="K560" s="141"/>
    </row>
    <row r="561" spans="3:11">
      <c r="C561" s="138" t="s">
        <v>776</v>
      </c>
      <c r="D561" s="98"/>
      <c r="E561" s="98"/>
      <c r="F561" s="98"/>
      <c r="G561" s="98"/>
      <c r="H561" s="98"/>
      <c r="I561" s="98"/>
      <c r="J561" s="107">
        <v>0</v>
      </c>
      <c r="K561" s="141"/>
    </row>
    <row r="562" spans="3:11">
      <c r="C562" s="138" t="s">
        <v>773</v>
      </c>
      <c r="D562" s="98"/>
      <c r="E562" s="98"/>
      <c r="F562" s="98"/>
      <c r="G562" s="98"/>
      <c r="H562" s="98"/>
      <c r="I562" s="98"/>
      <c r="J562" s="107">
        <v>0</v>
      </c>
      <c r="K562" s="141"/>
    </row>
    <row r="563" spans="3:11">
      <c r="C563" s="138" t="s">
        <v>662</v>
      </c>
      <c r="D563" s="98"/>
      <c r="E563" s="98"/>
      <c r="F563" s="98"/>
      <c r="G563" s="98"/>
      <c r="H563" s="98"/>
      <c r="I563" s="98"/>
      <c r="J563" s="107">
        <v>0</v>
      </c>
      <c r="K563" s="141"/>
    </row>
    <row r="564" spans="3:11">
      <c r="C564" s="138" t="s">
        <v>318</v>
      </c>
      <c r="D564" s="98"/>
      <c r="E564" s="98"/>
      <c r="F564" s="98"/>
      <c r="G564" s="98"/>
      <c r="H564" s="98"/>
      <c r="I564" s="98"/>
      <c r="J564" s="107">
        <v>0</v>
      </c>
      <c r="K564" s="141"/>
    </row>
    <row r="565" spans="3:11">
      <c r="C565" s="138" t="s">
        <v>366</v>
      </c>
      <c r="D565" s="98"/>
      <c r="E565" s="98"/>
      <c r="F565" s="98"/>
      <c r="G565" s="98"/>
      <c r="H565" s="98"/>
      <c r="I565" s="98"/>
      <c r="J565" s="107">
        <v>0</v>
      </c>
      <c r="K565" s="141"/>
    </row>
    <row r="566" spans="3:11">
      <c r="C566" s="138" t="s">
        <v>948</v>
      </c>
      <c r="D566" s="98"/>
      <c r="E566" s="98"/>
      <c r="F566" s="98"/>
      <c r="G566" s="98"/>
      <c r="H566" s="98"/>
      <c r="I566" s="98"/>
      <c r="J566" s="107">
        <v>0</v>
      </c>
      <c r="K566" s="141"/>
    </row>
    <row r="567" spans="3:11">
      <c r="C567" s="138" t="s">
        <v>224</v>
      </c>
      <c r="D567" s="98"/>
      <c r="E567" s="98"/>
      <c r="F567" s="98"/>
      <c r="G567" s="98"/>
      <c r="H567" s="98"/>
      <c r="I567" s="98"/>
      <c r="J567" s="107">
        <v>0</v>
      </c>
      <c r="K567" s="141"/>
    </row>
    <row r="568" spans="3:11">
      <c r="C568" s="138" t="s">
        <v>201</v>
      </c>
      <c r="D568" s="98"/>
      <c r="E568" s="98"/>
      <c r="F568" s="98"/>
      <c r="G568" s="98"/>
      <c r="H568" s="98"/>
      <c r="I568" s="98"/>
      <c r="J568" s="107">
        <v>0</v>
      </c>
      <c r="K568" s="141"/>
    </row>
    <row r="569" spans="3:11">
      <c r="C569" s="138" t="s">
        <v>123</v>
      </c>
      <c r="D569" s="98"/>
      <c r="E569" s="98"/>
      <c r="F569" s="98"/>
      <c r="G569" s="98"/>
      <c r="H569" s="98"/>
      <c r="I569" s="98"/>
      <c r="J569" s="107">
        <v>0</v>
      </c>
      <c r="K569" s="141"/>
    </row>
    <row r="570" spans="3:11">
      <c r="C570" s="138" t="s">
        <v>754</v>
      </c>
      <c r="D570" s="98"/>
      <c r="E570" s="98"/>
      <c r="F570" s="98"/>
      <c r="G570" s="98"/>
      <c r="H570" s="98"/>
      <c r="I570" s="98"/>
      <c r="J570" s="107">
        <v>0</v>
      </c>
      <c r="K570" s="141"/>
    </row>
    <row r="571" spans="3:11">
      <c r="C571" s="138" t="s">
        <v>716</v>
      </c>
      <c r="D571" s="98"/>
      <c r="E571" s="98"/>
      <c r="F571" s="98"/>
      <c r="G571" s="98"/>
      <c r="H571" s="98"/>
      <c r="I571" s="98"/>
      <c r="J571" s="107">
        <v>0</v>
      </c>
      <c r="K571" s="141"/>
    </row>
    <row r="572" spans="3:11">
      <c r="C572" s="138" t="s">
        <v>1115</v>
      </c>
      <c r="D572" s="98"/>
      <c r="E572" s="98"/>
      <c r="F572" s="98"/>
      <c r="G572" s="98"/>
      <c r="H572" s="98"/>
      <c r="I572" s="98"/>
      <c r="J572" s="107">
        <v>0</v>
      </c>
      <c r="K572" s="141"/>
    </row>
    <row r="573" spans="3:11">
      <c r="C573" s="138" t="s">
        <v>684</v>
      </c>
      <c r="D573" s="98"/>
      <c r="E573" s="98"/>
      <c r="F573" s="98"/>
      <c r="G573" s="98"/>
      <c r="H573" s="98"/>
      <c r="I573" s="98"/>
      <c r="J573" s="107">
        <v>0</v>
      </c>
      <c r="K573" s="141"/>
    </row>
    <row r="574" spans="3:11">
      <c r="C574" s="138" t="s">
        <v>1120</v>
      </c>
      <c r="D574" s="98"/>
      <c r="E574" s="98"/>
      <c r="F574" s="98"/>
      <c r="G574" s="98"/>
      <c r="H574" s="98"/>
      <c r="I574" s="98"/>
      <c r="J574" s="107">
        <v>0</v>
      </c>
      <c r="K574" s="141"/>
    </row>
    <row r="575" spans="3:11">
      <c r="C575" s="138" t="s">
        <v>395</v>
      </c>
      <c r="D575" s="98"/>
      <c r="E575" s="98"/>
      <c r="F575" s="98"/>
      <c r="G575" s="98"/>
      <c r="H575" s="98"/>
      <c r="I575" s="98"/>
      <c r="J575" s="107">
        <v>0</v>
      </c>
      <c r="K575" s="141"/>
    </row>
    <row r="576" spans="3:11">
      <c r="C576" s="138" t="s">
        <v>296</v>
      </c>
      <c r="D576" s="98"/>
      <c r="E576" s="98"/>
      <c r="F576" s="98"/>
      <c r="G576" s="98"/>
      <c r="H576" s="98"/>
      <c r="I576" s="98"/>
      <c r="J576" s="107">
        <v>0</v>
      </c>
      <c r="K576" s="141"/>
    </row>
    <row r="577" spans="3:11">
      <c r="C577" s="138" t="s">
        <v>494</v>
      </c>
      <c r="D577" s="98"/>
      <c r="E577" s="98"/>
      <c r="F577" s="98"/>
      <c r="G577" s="98"/>
      <c r="H577" s="98"/>
      <c r="I577" s="98"/>
      <c r="J577" s="107">
        <v>0</v>
      </c>
      <c r="K577" s="141"/>
    </row>
    <row r="578" spans="3:11">
      <c r="C578" s="138" t="s">
        <v>1048</v>
      </c>
      <c r="D578" s="98"/>
      <c r="E578" s="98"/>
      <c r="F578" s="98"/>
      <c r="G578" s="98"/>
      <c r="H578" s="98"/>
      <c r="I578" s="98"/>
      <c r="J578" s="107">
        <v>0</v>
      </c>
      <c r="K578" s="141"/>
    </row>
    <row r="579" spans="3:11">
      <c r="C579" s="138" t="s">
        <v>1035</v>
      </c>
      <c r="D579" s="98"/>
      <c r="E579" s="98"/>
      <c r="F579" s="98"/>
      <c r="G579" s="98"/>
      <c r="H579" s="98"/>
      <c r="I579" s="98"/>
      <c r="J579" s="107">
        <v>0</v>
      </c>
      <c r="K579" s="141"/>
    </row>
    <row r="580" spans="3:11">
      <c r="C580" s="138" t="s">
        <v>677</v>
      </c>
      <c r="D580" s="98"/>
      <c r="E580" s="98"/>
      <c r="F580" s="98"/>
      <c r="G580" s="98"/>
      <c r="H580" s="98"/>
      <c r="I580" s="98"/>
      <c r="J580" s="107">
        <v>0</v>
      </c>
      <c r="K580" s="141"/>
    </row>
    <row r="581" spans="3:11">
      <c r="C581" s="138" t="s">
        <v>986</v>
      </c>
      <c r="D581" s="98"/>
      <c r="E581" s="98"/>
      <c r="F581" s="98"/>
      <c r="G581" s="98"/>
      <c r="H581" s="98"/>
      <c r="I581" s="98"/>
      <c r="J581" s="107">
        <v>0</v>
      </c>
      <c r="K581" s="141"/>
    </row>
    <row r="582" spans="3:11">
      <c r="C582" s="138" t="s">
        <v>705</v>
      </c>
      <c r="D582" s="98"/>
      <c r="E582" s="98"/>
      <c r="F582" s="98"/>
      <c r="G582" s="98"/>
      <c r="H582" s="98"/>
      <c r="I582" s="98"/>
      <c r="J582" s="107">
        <v>0</v>
      </c>
      <c r="K582" s="141"/>
    </row>
    <row r="583" spans="3:11">
      <c r="C583" s="138" t="s">
        <v>655</v>
      </c>
      <c r="D583" s="98"/>
      <c r="E583" s="98"/>
      <c r="F583" s="98"/>
      <c r="G583" s="98"/>
      <c r="H583" s="98"/>
      <c r="I583" s="98"/>
      <c r="J583" s="107">
        <v>0</v>
      </c>
      <c r="K583" s="141"/>
    </row>
    <row r="584" spans="3:11">
      <c r="C584" s="138" t="s">
        <v>1100</v>
      </c>
      <c r="D584" s="98"/>
      <c r="E584" s="98"/>
      <c r="F584" s="98"/>
      <c r="G584" s="98"/>
      <c r="H584" s="98"/>
      <c r="I584" s="98"/>
      <c r="J584" s="107">
        <v>0</v>
      </c>
      <c r="K584" s="141"/>
    </row>
    <row r="585" spans="3:11">
      <c r="C585" s="138" t="s">
        <v>246</v>
      </c>
      <c r="D585" s="98"/>
      <c r="E585" s="98"/>
      <c r="F585" s="98"/>
      <c r="G585" s="98"/>
      <c r="H585" s="98"/>
      <c r="I585" s="98"/>
      <c r="J585" s="107">
        <v>0</v>
      </c>
      <c r="K585" s="141"/>
    </row>
    <row r="586" spans="3:11">
      <c r="C586" s="138" t="s">
        <v>622</v>
      </c>
      <c r="D586" s="98"/>
      <c r="E586" s="98"/>
      <c r="F586" s="98"/>
      <c r="G586" s="98"/>
      <c r="H586" s="98"/>
      <c r="I586" s="98"/>
      <c r="J586" s="107">
        <v>0</v>
      </c>
      <c r="K586" s="141"/>
    </row>
    <row r="587" spans="3:11">
      <c r="C587" s="138" t="s">
        <v>764</v>
      </c>
      <c r="D587" s="98"/>
      <c r="E587" s="98"/>
      <c r="F587" s="98"/>
      <c r="G587" s="98"/>
      <c r="H587" s="98"/>
      <c r="I587" s="98"/>
      <c r="J587" s="107">
        <v>0</v>
      </c>
      <c r="K587" s="141"/>
    </row>
    <row r="588" spans="3:11">
      <c r="C588" s="138" t="s">
        <v>798</v>
      </c>
      <c r="D588" s="98"/>
      <c r="E588" s="98"/>
      <c r="F588" s="98"/>
      <c r="G588" s="98"/>
      <c r="H588" s="98"/>
      <c r="I588" s="98"/>
      <c r="J588" s="107">
        <v>0</v>
      </c>
      <c r="K588" s="141"/>
    </row>
    <row r="589" spans="3:11">
      <c r="C589" s="138" t="s">
        <v>1052</v>
      </c>
      <c r="D589" s="98"/>
      <c r="E589" s="98"/>
      <c r="F589" s="98"/>
      <c r="G589" s="98"/>
      <c r="H589" s="98"/>
      <c r="I589" s="98"/>
      <c r="J589" s="107">
        <v>0</v>
      </c>
      <c r="K589" s="141"/>
    </row>
    <row r="590" spans="3:11">
      <c r="C590" s="138" t="s">
        <v>858</v>
      </c>
      <c r="D590" s="98"/>
      <c r="E590" s="98"/>
      <c r="F590" s="98"/>
      <c r="G590" s="98"/>
      <c r="H590" s="98"/>
      <c r="I590" s="98"/>
      <c r="J590" s="107">
        <v>0</v>
      </c>
      <c r="K590" s="141"/>
    </row>
    <row r="591" spans="3:11">
      <c r="C591" s="138" t="s">
        <v>558</v>
      </c>
      <c r="D591" s="98"/>
      <c r="E591" s="98"/>
      <c r="F591" s="98"/>
      <c r="G591" s="98"/>
      <c r="H591" s="98"/>
      <c r="I591" s="98"/>
      <c r="J591" s="107">
        <v>0</v>
      </c>
      <c r="K591" s="141"/>
    </row>
    <row r="592" spans="3:11">
      <c r="C592" s="138" t="s">
        <v>167</v>
      </c>
      <c r="D592" s="98"/>
      <c r="E592" s="98"/>
      <c r="F592" s="98"/>
      <c r="G592" s="98"/>
      <c r="H592" s="98"/>
      <c r="I592" s="98"/>
      <c r="J592" s="107">
        <v>0</v>
      </c>
      <c r="K592" s="141"/>
    </row>
    <row r="593" spans="3:11">
      <c r="C593" s="138" t="s">
        <v>418</v>
      </c>
      <c r="D593" s="98"/>
      <c r="E593" s="98"/>
      <c r="F593" s="98"/>
      <c r="G593" s="98"/>
      <c r="H593" s="98"/>
      <c r="I593" s="98"/>
      <c r="J593" s="107">
        <v>0</v>
      </c>
      <c r="K593" s="141"/>
    </row>
    <row r="594" spans="3:11">
      <c r="C594" s="138" t="s">
        <v>120</v>
      </c>
      <c r="D594" s="98"/>
      <c r="E594" s="98"/>
      <c r="F594" s="98"/>
      <c r="G594" s="98"/>
      <c r="H594" s="98"/>
      <c r="I594" s="98"/>
      <c r="J594" s="107">
        <v>0</v>
      </c>
      <c r="K594" s="141"/>
    </row>
    <row r="595" spans="3:11">
      <c r="C595" s="138" t="s">
        <v>216</v>
      </c>
      <c r="D595" s="98"/>
      <c r="E595" s="98"/>
      <c r="F595" s="98"/>
      <c r="G595" s="98"/>
      <c r="H595" s="98"/>
      <c r="I595" s="98"/>
      <c r="J595" s="107">
        <v>0</v>
      </c>
      <c r="K595" s="141"/>
    </row>
    <row r="596" spans="3:11">
      <c r="C596" s="138" t="s">
        <v>557</v>
      </c>
      <c r="D596" s="98"/>
      <c r="E596" s="98"/>
      <c r="F596" s="98"/>
      <c r="G596" s="98"/>
      <c r="H596" s="98"/>
      <c r="I596" s="98"/>
      <c r="J596" s="107">
        <v>0</v>
      </c>
      <c r="K596" s="141"/>
    </row>
    <row r="597" spans="3:11">
      <c r="C597" s="138" t="s">
        <v>771</v>
      </c>
      <c r="D597" s="98"/>
      <c r="E597" s="98"/>
      <c r="F597" s="98"/>
      <c r="G597" s="98"/>
      <c r="H597" s="98"/>
      <c r="I597" s="98"/>
      <c r="J597" s="107">
        <v>0</v>
      </c>
      <c r="K597" s="141"/>
    </row>
    <row r="598" spans="3:11">
      <c r="C598" s="138" t="s">
        <v>190</v>
      </c>
      <c r="D598" s="98"/>
      <c r="E598" s="98"/>
      <c r="F598" s="98"/>
      <c r="G598" s="98"/>
      <c r="H598" s="98"/>
      <c r="I598" s="98"/>
      <c r="J598" s="107">
        <v>0</v>
      </c>
      <c r="K598" s="141"/>
    </row>
    <row r="599" spans="3:11">
      <c r="C599" s="138" t="s">
        <v>386</v>
      </c>
      <c r="D599" s="98"/>
      <c r="E599" s="98"/>
      <c r="F599" s="98"/>
      <c r="G599" s="98"/>
      <c r="H599" s="98"/>
      <c r="I599" s="98"/>
      <c r="J599" s="107">
        <v>0</v>
      </c>
      <c r="K599" s="141"/>
    </row>
    <row r="600" spans="3:11">
      <c r="C600" s="138" t="s">
        <v>282</v>
      </c>
      <c r="D600" s="98"/>
      <c r="E600" s="98"/>
      <c r="F600" s="98"/>
      <c r="G600" s="98"/>
      <c r="H600" s="98"/>
      <c r="I600" s="98"/>
      <c r="J600" s="107">
        <v>0</v>
      </c>
      <c r="K600" s="141"/>
    </row>
    <row r="601" spans="3:11">
      <c r="C601" s="138" t="s">
        <v>977</v>
      </c>
      <c r="D601" s="98"/>
      <c r="E601" s="98"/>
      <c r="F601" s="98"/>
      <c r="G601" s="98"/>
      <c r="H601" s="98"/>
      <c r="I601" s="98"/>
      <c r="J601" s="107">
        <v>0</v>
      </c>
      <c r="K601" s="141"/>
    </row>
    <row r="602" spans="3:11">
      <c r="C602" s="138" t="s">
        <v>535</v>
      </c>
      <c r="D602" s="98"/>
      <c r="E602" s="98"/>
      <c r="F602" s="98"/>
      <c r="G602" s="98"/>
      <c r="H602" s="98"/>
      <c r="I602" s="98"/>
      <c r="J602" s="107">
        <v>0</v>
      </c>
      <c r="K602" s="141"/>
    </row>
    <row r="603" spans="3:11">
      <c r="C603" s="138" t="s">
        <v>177</v>
      </c>
      <c r="D603" s="98"/>
      <c r="E603" s="98"/>
      <c r="F603" s="98"/>
      <c r="G603" s="98"/>
      <c r="H603" s="98"/>
      <c r="I603" s="98"/>
      <c r="J603" s="107">
        <v>0</v>
      </c>
      <c r="K603" s="141"/>
    </row>
    <row r="604" spans="3:11">
      <c r="C604" s="138" t="s">
        <v>344</v>
      </c>
      <c r="D604" s="98"/>
      <c r="E604" s="98"/>
      <c r="F604" s="98"/>
      <c r="G604" s="98"/>
      <c r="H604" s="98"/>
      <c r="I604" s="98"/>
      <c r="J604" s="107">
        <v>0</v>
      </c>
      <c r="K604" s="141"/>
    </row>
    <row r="605" spans="3:11">
      <c r="C605" s="138" t="s">
        <v>207</v>
      </c>
      <c r="D605" s="98"/>
      <c r="E605" s="98"/>
      <c r="F605" s="98"/>
      <c r="G605" s="98"/>
      <c r="H605" s="98"/>
      <c r="I605" s="98"/>
      <c r="J605" s="107">
        <v>0</v>
      </c>
      <c r="K605" s="141"/>
    </row>
    <row r="606" spans="3:11">
      <c r="C606" s="138" t="s">
        <v>740</v>
      </c>
      <c r="D606" s="98"/>
      <c r="E606" s="98"/>
      <c r="F606" s="98"/>
      <c r="G606" s="98"/>
      <c r="H606" s="98"/>
      <c r="I606" s="98"/>
      <c r="J606" s="107">
        <v>0</v>
      </c>
      <c r="K606" s="141"/>
    </row>
    <row r="607" spans="3:11">
      <c r="C607" s="138" t="s">
        <v>576</v>
      </c>
      <c r="D607" s="98"/>
      <c r="E607" s="98"/>
      <c r="F607" s="98"/>
      <c r="G607" s="98"/>
      <c r="H607" s="98"/>
      <c r="I607" s="98"/>
      <c r="J607" s="107">
        <v>0</v>
      </c>
      <c r="K607" s="141"/>
    </row>
    <row r="608" spans="3:11">
      <c r="C608" s="138" t="s">
        <v>221</v>
      </c>
      <c r="D608" s="98"/>
      <c r="E608" s="98"/>
      <c r="F608" s="98"/>
      <c r="G608" s="98"/>
      <c r="H608" s="98"/>
      <c r="I608" s="98"/>
      <c r="J608" s="107">
        <v>0</v>
      </c>
      <c r="K608" s="141"/>
    </row>
    <row r="609" spans="3:11">
      <c r="C609" s="138" t="s">
        <v>170</v>
      </c>
      <c r="D609" s="98"/>
      <c r="E609" s="98"/>
      <c r="F609" s="98"/>
      <c r="G609" s="98"/>
      <c r="H609" s="98"/>
      <c r="I609" s="98"/>
      <c r="J609" s="107">
        <v>0</v>
      </c>
      <c r="K609" s="141"/>
    </row>
    <row r="610" spans="3:11">
      <c r="C610" s="138" t="s">
        <v>1070</v>
      </c>
      <c r="D610" s="98"/>
      <c r="E610" s="98"/>
      <c r="F610" s="98"/>
      <c r="G610" s="98"/>
      <c r="H610" s="98"/>
      <c r="I610" s="98"/>
      <c r="J610" s="107">
        <v>0</v>
      </c>
      <c r="K610" s="141"/>
    </row>
    <row r="611" spans="3:11">
      <c r="C611" s="138" t="s">
        <v>715</v>
      </c>
      <c r="D611" s="98"/>
      <c r="E611" s="98"/>
      <c r="F611" s="98"/>
      <c r="G611" s="98"/>
      <c r="H611" s="98"/>
      <c r="I611" s="98"/>
      <c r="J611" s="107">
        <v>0</v>
      </c>
      <c r="K611" s="141"/>
    </row>
    <row r="612" spans="3:11">
      <c r="C612" s="138" t="s">
        <v>459</v>
      </c>
      <c r="D612" s="98"/>
      <c r="E612" s="98"/>
      <c r="F612" s="98"/>
      <c r="G612" s="98"/>
      <c r="H612" s="98"/>
      <c r="I612" s="98"/>
      <c r="J612" s="107">
        <v>0</v>
      </c>
      <c r="K612" s="141"/>
    </row>
    <row r="613" spans="3:11">
      <c r="C613" s="138" t="s">
        <v>152</v>
      </c>
      <c r="D613" s="98"/>
      <c r="E613" s="98"/>
      <c r="F613" s="98"/>
      <c r="G613" s="98"/>
      <c r="H613" s="98"/>
      <c r="I613" s="98"/>
      <c r="J613" s="107">
        <v>0</v>
      </c>
      <c r="K613" s="141"/>
    </row>
    <row r="614" spans="3:11">
      <c r="C614" s="138" t="s">
        <v>362</v>
      </c>
      <c r="D614" s="98"/>
      <c r="E614" s="98"/>
      <c r="F614" s="98"/>
      <c r="G614" s="98"/>
      <c r="H614" s="98"/>
      <c r="I614" s="98"/>
      <c r="J614" s="107">
        <v>0</v>
      </c>
      <c r="K614" s="141"/>
    </row>
    <row r="615" spans="3:11">
      <c r="C615" s="138" t="s">
        <v>476</v>
      </c>
      <c r="D615" s="98"/>
      <c r="E615" s="98"/>
      <c r="F615" s="98"/>
      <c r="G615" s="98"/>
      <c r="H615" s="98"/>
      <c r="I615" s="98"/>
      <c r="J615" s="107">
        <v>0</v>
      </c>
      <c r="K615" s="141"/>
    </row>
    <row r="616" spans="3:11">
      <c r="C616" s="138" t="s">
        <v>346</v>
      </c>
      <c r="D616" s="98"/>
      <c r="E616" s="98"/>
      <c r="F616" s="98"/>
      <c r="G616" s="98"/>
      <c r="H616" s="98"/>
      <c r="I616" s="98"/>
      <c r="J616" s="107">
        <v>0</v>
      </c>
      <c r="K616" s="141"/>
    </row>
    <row r="617" spans="3:11">
      <c r="C617" s="138" t="s">
        <v>633</v>
      </c>
      <c r="D617" s="98"/>
      <c r="E617" s="98"/>
      <c r="F617" s="98"/>
      <c r="G617" s="98"/>
      <c r="H617" s="98"/>
      <c r="I617" s="98"/>
      <c r="J617" s="107">
        <v>0</v>
      </c>
      <c r="K617" s="141"/>
    </row>
    <row r="618" spans="3:11">
      <c r="C618" s="138" t="s">
        <v>978</v>
      </c>
      <c r="D618" s="98"/>
      <c r="E618" s="98"/>
      <c r="F618" s="98"/>
      <c r="G618" s="98"/>
      <c r="H618" s="98"/>
      <c r="I618" s="98"/>
      <c r="J618" s="107">
        <v>0</v>
      </c>
      <c r="K618" s="141"/>
    </row>
    <row r="619" spans="3:11">
      <c r="C619" s="138" t="s">
        <v>1078</v>
      </c>
      <c r="D619" s="98"/>
      <c r="E619" s="98"/>
      <c r="F619" s="98"/>
      <c r="G619" s="98"/>
      <c r="H619" s="98"/>
      <c r="I619" s="98"/>
      <c r="J619" s="107">
        <v>0</v>
      </c>
      <c r="K619" s="141"/>
    </row>
    <row r="620" spans="3:11">
      <c r="C620" s="138" t="s">
        <v>1059</v>
      </c>
      <c r="D620" s="98"/>
      <c r="E620" s="98"/>
      <c r="F620" s="98"/>
      <c r="G620" s="98"/>
      <c r="H620" s="98"/>
      <c r="I620" s="98"/>
      <c r="J620" s="107">
        <v>0</v>
      </c>
      <c r="K620" s="141"/>
    </row>
    <row r="621" spans="3:11">
      <c r="C621" s="138" t="s">
        <v>688</v>
      </c>
      <c r="D621" s="98"/>
      <c r="E621" s="98"/>
      <c r="F621" s="98"/>
      <c r="G621" s="98"/>
      <c r="H621" s="98"/>
      <c r="I621" s="98"/>
      <c r="J621" s="107">
        <v>0</v>
      </c>
      <c r="K621" s="141"/>
    </row>
    <row r="622" spans="3:11">
      <c r="C622" s="138" t="s">
        <v>925</v>
      </c>
      <c r="D622" s="98"/>
      <c r="E622" s="98"/>
      <c r="F622" s="98"/>
      <c r="G622" s="98"/>
      <c r="H622" s="98"/>
      <c r="I622" s="98"/>
      <c r="J622" s="107">
        <v>0</v>
      </c>
      <c r="K622" s="141"/>
    </row>
    <row r="623" spans="3:11">
      <c r="C623" s="138" t="s">
        <v>77</v>
      </c>
      <c r="D623" s="98"/>
      <c r="E623" s="98"/>
      <c r="F623" s="98"/>
      <c r="G623" s="98"/>
      <c r="H623" s="98"/>
      <c r="I623" s="98"/>
      <c r="J623" s="107">
        <v>0</v>
      </c>
      <c r="K623" s="141"/>
    </row>
    <row r="624" spans="3:11">
      <c r="C624" s="138" t="s">
        <v>485</v>
      </c>
      <c r="D624" s="98"/>
      <c r="E624" s="98"/>
      <c r="F624" s="98"/>
      <c r="G624" s="98"/>
      <c r="H624" s="98"/>
      <c r="I624" s="98"/>
      <c r="J624" s="107">
        <v>0</v>
      </c>
      <c r="K624" s="141"/>
    </row>
    <row r="625" spans="3:11">
      <c r="C625" s="138" t="s">
        <v>305</v>
      </c>
      <c r="D625" s="98"/>
      <c r="E625" s="98"/>
      <c r="F625" s="98"/>
      <c r="G625" s="98"/>
      <c r="H625" s="98"/>
      <c r="I625" s="98"/>
      <c r="J625" s="107">
        <v>0</v>
      </c>
      <c r="K625" s="141"/>
    </row>
    <row r="626" spans="3:11">
      <c r="C626" s="138" t="s">
        <v>187</v>
      </c>
      <c r="D626" s="98"/>
      <c r="E626" s="98"/>
      <c r="F626" s="98"/>
      <c r="G626" s="98"/>
      <c r="H626" s="98"/>
      <c r="I626" s="98"/>
      <c r="J626" s="107">
        <v>0</v>
      </c>
      <c r="K626" s="141"/>
    </row>
    <row r="627" spans="3:11">
      <c r="C627" s="138" t="s">
        <v>955</v>
      </c>
      <c r="D627" s="98"/>
      <c r="E627" s="98"/>
      <c r="F627" s="98"/>
      <c r="G627" s="98"/>
      <c r="H627" s="98"/>
      <c r="I627" s="98"/>
      <c r="J627" s="107">
        <v>0</v>
      </c>
      <c r="K627" s="141"/>
    </row>
    <row r="628" spans="3:11">
      <c r="C628" s="138" t="s">
        <v>283</v>
      </c>
      <c r="D628" s="98"/>
      <c r="E628" s="98"/>
      <c r="F628" s="98"/>
      <c r="G628" s="98"/>
      <c r="H628" s="98"/>
      <c r="I628" s="98"/>
      <c r="J628" s="107">
        <v>0</v>
      </c>
      <c r="K628" s="141"/>
    </row>
    <row r="629" spans="3:11">
      <c r="C629" s="138" t="s">
        <v>1108</v>
      </c>
      <c r="D629" s="98"/>
      <c r="E629" s="98"/>
      <c r="F629" s="98"/>
      <c r="G629" s="98"/>
      <c r="H629" s="98"/>
      <c r="I629" s="98"/>
      <c r="J629" s="107">
        <v>0</v>
      </c>
      <c r="K629" s="141"/>
    </row>
    <row r="630" spans="3:11">
      <c r="C630" s="138" t="s">
        <v>992</v>
      </c>
      <c r="D630" s="98"/>
      <c r="E630" s="98"/>
      <c r="F630" s="98"/>
      <c r="G630" s="98"/>
      <c r="H630" s="98"/>
      <c r="I630" s="98"/>
      <c r="J630" s="107">
        <v>0</v>
      </c>
      <c r="K630" s="141"/>
    </row>
    <row r="631" spans="3:11">
      <c r="C631" s="138" t="s">
        <v>103</v>
      </c>
      <c r="D631" s="98"/>
      <c r="E631" s="98"/>
      <c r="F631" s="98"/>
      <c r="G631" s="98"/>
      <c r="H631" s="98"/>
      <c r="I631" s="98"/>
      <c r="J631" s="107">
        <v>0</v>
      </c>
      <c r="K631" s="141"/>
    </row>
    <row r="632" spans="3:11">
      <c r="C632" s="138" t="s">
        <v>110</v>
      </c>
      <c r="D632" s="98"/>
      <c r="E632" s="98"/>
      <c r="F632" s="98"/>
      <c r="G632" s="98"/>
      <c r="H632" s="98"/>
      <c r="I632" s="98"/>
      <c r="J632" s="107">
        <v>0</v>
      </c>
      <c r="K632" s="141"/>
    </row>
    <row r="633" spans="3:11">
      <c r="C633" s="138" t="s">
        <v>585</v>
      </c>
      <c r="D633" s="98"/>
      <c r="E633" s="98"/>
      <c r="F633" s="98"/>
      <c r="G633" s="98"/>
      <c r="H633" s="98"/>
      <c r="I633" s="98"/>
      <c r="J633" s="107">
        <v>0</v>
      </c>
      <c r="K633" s="141"/>
    </row>
    <row r="634" spans="3:11">
      <c r="C634" s="138" t="s">
        <v>319</v>
      </c>
      <c r="D634" s="98"/>
      <c r="E634" s="98"/>
      <c r="F634" s="98"/>
      <c r="G634" s="98"/>
      <c r="H634" s="98"/>
      <c r="I634" s="98"/>
      <c r="J634" s="107">
        <v>0</v>
      </c>
      <c r="K634" s="141"/>
    </row>
    <row r="635" spans="3:11">
      <c r="C635" s="138" t="s">
        <v>718</v>
      </c>
      <c r="D635" s="98"/>
      <c r="E635" s="98"/>
      <c r="F635" s="98"/>
      <c r="G635" s="98"/>
      <c r="H635" s="98"/>
      <c r="I635" s="98"/>
      <c r="J635" s="107">
        <v>0</v>
      </c>
      <c r="K635" s="141"/>
    </row>
    <row r="636" spans="3:11">
      <c r="C636" s="138" t="s">
        <v>204</v>
      </c>
      <c r="D636" s="98"/>
      <c r="E636" s="98"/>
      <c r="F636" s="98"/>
      <c r="G636" s="98"/>
      <c r="H636" s="98"/>
      <c r="I636" s="98"/>
      <c r="J636" s="107">
        <v>0</v>
      </c>
      <c r="K636" s="141"/>
    </row>
    <row r="637" spans="3:11">
      <c r="C637" s="138" t="s">
        <v>811</v>
      </c>
      <c r="D637" s="98"/>
      <c r="E637" s="98"/>
      <c r="F637" s="98"/>
      <c r="G637" s="98"/>
      <c r="H637" s="98"/>
      <c r="I637" s="98"/>
      <c r="J637" s="107">
        <v>0</v>
      </c>
      <c r="K637" s="141"/>
    </row>
    <row r="638" spans="3:11">
      <c r="C638" s="138" t="s">
        <v>592</v>
      </c>
      <c r="D638" s="98"/>
      <c r="E638" s="98"/>
      <c r="F638" s="98"/>
      <c r="G638" s="98"/>
      <c r="H638" s="98"/>
      <c r="I638" s="98"/>
      <c r="J638" s="107">
        <v>0</v>
      </c>
      <c r="K638" s="141"/>
    </row>
    <row r="639" spans="3:11">
      <c r="C639" s="138" t="s">
        <v>1056</v>
      </c>
      <c r="D639" s="98"/>
      <c r="E639" s="98"/>
      <c r="F639" s="98"/>
      <c r="G639" s="98"/>
      <c r="H639" s="98"/>
      <c r="I639" s="98"/>
      <c r="J639" s="107">
        <v>0</v>
      </c>
      <c r="K639" s="141"/>
    </row>
    <row r="640" spans="3:11">
      <c r="C640" s="138" t="s">
        <v>983</v>
      </c>
      <c r="D640" s="98"/>
      <c r="E640" s="98"/>
      <c r="F640" s="98"/>
      <c r="G640" s="98"/>
      <c r="H640" s="98"/>
      <c r="I640" s="98"/>
      <c r="J640" s="107">
        <v>0</v>
      </c>
      <c r="K640" s="141"/>
    </row>
    <row r="641" spans="3:11">
      <c r="C641" s="138" t="s">
        <v>784</v>
      </c>
      <c r="D641" s="98"/>
      <c r="E641" s="98"/>
      <c r="F641" s="98"/>
      <c r="G641" s="98"/>
      <c r="H641" s="98"/>
      <c r="I641" s="98"/>
      <c r="J641" s="107">
        <v>0</v>
      </c>
      <c r="K641" s="141"/>
    </row>
    <row r="642" spans="3:11">
      <c r="C642" s="138" t="s">
        <v>766</v>
      </c>
      <c r="D642" s="98"/>
      <c r="E642" s="98"/>
      <c r="F642" s="98"/>
      <c r="G642" s="98"/>
      <c r="H642" s="98"/>
      <c r="I642" s="98"/>
      <c r="J642" s="107">
        <v>0</v>
      </c>
      <c r="K642" s="141"/>
    </row>
    <row r="643" spans="3:11">
      <c r="C643" s="138" t="s">
        <v>931</v>
      </c>
      <c r="D643" s="98"/>
      <c r="E643" s="98"/>
      <c r="F643" s="98"/>
      <c r="G643" s="98"/>
      <c r="H643" s="98"/>
      <c r="I643" s="98"/>
      <c r="J643" s="107">
        <v>0</v>
      </c>
      <c r="K643" s="141"/>
    </row>
    <row r="644" spans="3:11">
      <c r="C644" s="138" t="s">
        <v>285</v>
      </c>
      <c r="D644" s="98"/>
      <c r="E644" s="98"/>
      <c r="F644" s="98"/>
      <c r="G644" s="98"/>
      <c r="H644" s="98"/>
      <c r="I644" s="98"/>
      <c r="J644" s="107">
        <v>0</v>
      </c>
      <c r="K644" s="141"/>
    </row>
    <row r="645" spans="3:11">
      <c r="C645" s="138" t="s">
        <v>1007</v>
      </c>
      <c r="D645" s="98"/>
      <c r="E645" s="98"/>
      <c r="F645" s="98"/>
      <c r="G645" s="98"/>
      <c r="H645" s="98"/>
      <c r="I645" s="98"/>
      <c r="J645" s="107">
        <v>0</v>
      </c>
      <c r="K645" s="141"/>
    </row>
    <row r="646" spans="3:11">
      <c r="C646" s="138" t="s">
        <v>546</v>
      </c>
      <c r="D646" s="98"/>
      <c r="E646" s="98"/>
      <c r="F646" s="98"/>
      <c r="G646" s="98"/>
      <c r="H646" s="98"/>
      <c r="I646" s="98"/>
      <c r="J646" s="107">
        <v>0</v>
      </c>
      <c r="K646" s="141"/>
    </row>
    <row r="647" spans="3:11">
      <c r="C647" s="138" t="s">
        <v>838</v>
      </c>
      <c r="D647" s="98"/>
      <c r="E647" s="98"/>
      <c r="F647" s="98"/>
      <c r="G647" s="98"/>
      <c r="H647" s="98"/>
      <c r="I647" s="98"/>
      <c r="J647" s="107">
        <v>0</v>
      </c>
      <c r="K647" s="141"/>
    </row>
    <row r="648" spans="3:11">
      <c r="C648" s="138" t="s">
        <v>652</v>
      </c>
      <c r="D648" s="98"/>
      <c r="E648" s="98"/>
      <c r="F648" s="98"/>
      <c r="G648" s="98"/>
      <c r="H648" s="98"/>
      <c r="I648" s="98"/>
      <c r="J648" s="107">
        <v>0</v>
      </c>
      <c r="K648" s="141"/>
    </row>
    <row r="649" spans="3:11">
      <c r="C649" s="138" t="s">
        <v>686</v>
      </c>
      <c r="D649" s="98"/>
      <c r="E649" s="98"/>
      <c r="F649" s="98"/>
      <c r="G649" s="98"/>
      <c r="H649" s="98"/>
      <c r="I649" s="98"/>
      <c r="J649" s="107">
        <v>0</v>
      </c>
      <c r="K649" s="141"/>
    </row>
    <row r="650" spans="3:11">
      <c r="C650" s="138" t="s">
        <v>1014</v>
      </c>
      <c r="D650" s="98"/>
      <c r="E650" s="98"/>
      <c r="F650" s="98"/>
      <c r="G650" s="98"/>
      <c r="H650" s="98"/>
      <c r="I650" s="98"/>
      <c r="J650" s="107">
        <v>0</v>
      </c>
      <c r="K650" s="141"/>
    </row>
    <row r="651" spans="3:11">
      <c r="C651" s="138" t="s">
        <v>536</v>
      </c>
      <c r="D651" s="98"/>
      <c r="E651" s="98"/>
      <c r="F651" s="98"/>
      <c r="G651" s="98"/>
      <c r="H651" s="98"/>
      <c r="I651" s="98"/>
      <c r="J651" s="107">
        <v>0</v>
      </c>
      <c r="K651" s="141"/>
    </row>
    <row r="652" spans="3:11">
      <c r="C652" s="138" t="s">
        <v>859</v>
      </c>
      <c r="D652" s="98"/>
      <c r="E652" s="98"/>
      <c r="F652" s="98"/>
      <c r="G652" s="98"/>
      <c r="H652" s="98"/>
      <c r="I652" s="98"/>
      <c r="J652" s="107">
        <v>0</v>
      </c>
      <c r="K652" s="141"/>
    </row>
    <row r="653" spans="3:11">
      <c r="C653" s="138" t="s">
        <v>540</v>
      </c>
      <c r="D653" s="98"/>
      <c r="E653" s="98"/>
      <c r="F653" s="98"/>
      <c r="G653" s="98"/>
      <c r="H653" s="98"/>
      <c r="I653" s="98"/>
      <c r="J653" s="107">
        <v>0</v>
      </c>
      <c r="K653" s="141"/>
    </row>
    <row r="654" spans="3:11">
      <c r="C654" s="138" t="s">
        <v>126</v>
      </c>
      <c r="D654" s="98"/>
      <c r="E654" s="98"/>
      <c r="F654" s="98"/>
      <c r="G654" s="98"/>
      <c r="H654" s="98"/>
      <c r="I654" s="98"/>
      <c r="J654" s="107">
        <v>0</v>
      </c>
      <c r="K654" s="141"/>
    </row>
    <row r="655" spans="3:11">
      <c r="C655" s="138" t="s">
        <v>320</v>
      </c>
      <c r="D655" s="98"/>
      <c r="E655" s="98"/>
      <c r="F655" s="98"/>
      <c r="G655" s="98"/>
      <c r="H655" s="98"/>
      <c r="I655" s="98"/>
      <c r="J655" s="107">
        <v>0</v>
      </c>
      <c r="K655" s="141"/>
    </row>
    <row r="656" spans="3:11">
      <c r="C656" s="138" t="s">
        <v>446</v>
      </c>
      <c r="D656" s="98"/>
      <c r="E656" s="98"/>
      <c r="F656" s="98"/>
      <c r="G656" s="98"/>
      <c r="H656" s="98"/>
      <c r="I656" s="98"/>
      <c r="J656" s="107">
        <v>0</v>
      </c>
      <c r="K656" s="141"/>
    </row>
    <row r="657" spans="3:11">
      <c r="C657" s="138" t="s">
        <v>823</v>
      </c>
      <c r="D657" s="98"/>
      <c r="E657" s="98"/>
      <c r="F657" s="98"/>
      <c r="G657" s="98"/>
      <c r="H657" s="98"/>
      <c r="I657" s="98"/>
      <c r="J657" s="107">
        <v>0</v>
      </c>
      <c r="K657" s="141"/>
    </row>
    <row r="658" spans="3:11">
      <c r="C658" s="138" t="s">
        <v>501</v>
      </c>
      <c r="D658" s="98"/>
      <c r="E658" s="98"/>
      <c r="F658" s="98"/>
      <c r="G658" s="98"/>
      <c r="H658" s="98"/>
      <c r="I658" s="98"/>
      <c r="J658" s="107">
        <v>0</v>
      </c>
      <c r="K658" s="141"/>
    </row>
    <row r="659" spans="3:11">
      <c r="C659" s="138" t="s">
        <v>588</v>
      </c>
      <c r="D659" s="98"/>
      <c r="E659" s="98"/>
      <c r="F659" s="98"/>
      <c r="G659" s="98"/>
      <c r="H659" s="98"/>
      <c r="I659" s="98"/>
      <c r="J659" s="107">
        <v>0</v>
      </c>
      <c r="K659" s="141"/>
    </row>
    <row r="660" spans="3:11">
      <c r="C660" s="138" t="s">
        <v>336</v>
      </c>
      <c r="D660" s="98"/>
      <c r="E660" s="98"/>
      <c r="F660" s="98"/>
      <c r="G660" s="98"/>
      <c r="H660" s="98"/>
      <c r="I660" s="98"/>
      <c r="J660" s="107">
        <v>0</v>
      </c>
      <c r="K660" s="141"/>
    </row>
    <row r="661" spans="3:11">
      <c r="C661" s="138" t="s">
        <v>159</v>
      </c>
      <c r="D661" s="98"/>
      <c r="E661" s="98"/>
      <c r="F661" s="98"/>
      <c r="G661" s="98"/>
      <c r="H661" s="98"/>
      <c r="I661" s="98"/>
      <c r="J661" s="107">
        <v>0</v>
      </c>
      <c r="K661" s="141"/>
    </row>
    <row r="662" spans="3:11">
      <c r="C662" s="138" t="s">
        <v>594</v>
      </c>
      <c r="D662" s="98"/>
      <c r="E662" s="98"/>
      <c r="F662" s="98"/>
      <c r="G662" s="98"/>
      <c r="H662" s="98"/>
      <c r="I662" s="98"/>
      <c r="J662" s="107">
        <v>0</v>
      </c>
      <c r="K662" s="141"/>
    </row>
    <row r="663" spans="3:11">
      <c r="C663" s="138" t="s">
        <v>763</v>
      </c>
      <c r="D663" s="98"/>
      <c r="E663" s="98"/>
      <c r="F663" s="98"/>
      <c r="G663" s="98"/>
      <c r="H663" s="98"/>
      <c r="I663" s="98"/>
      <c r="J663" s="107">
        <v>0</v>
      </c>
      <c r="K663" s="141"/>
    </row>
    <row r="664" spans="3:11">
      <c r="C664" s="138" t="s">
        <v>211</v>
      </c>
      <c r="D664" s="98"/>
      <c r="E664" s="98"/>
      <c r="F664" s="98"/>
      <c r="G664" s="98"/>
      <c r="H664" s="98"/>
      <c r="I664" s="98"/>
      <c r="J664" s="107">
        <v>0</v>
      </c>
      <c r="K664" s="141"/>
    </row>
    <row r="665" spans="3:11">
      <c r="C665" s="138" t="s">
        <v>194</v>
      </c>
      <c r="D665" s="98"/>
      <c r="E665" s="98"/>
      <c r="F665" s="98"/>
      <c r="G665" s="98"/>
      <c r="H665" s="98"/>
      <c r="I665" s="98"/>
      <c r="J665" s="107">
        <v>0</v>
      </c>
      <c r="K665" s="141"/>
    </row>
    <row r="666" spans="3:11">
      <c r="C666" s="138" t="s">
        <v>262</v>
      </c>
      <c r="D666" s="98"/>
      <c r="E666" s="98"/>
      <c r="F666" s="98"/>
      <c r="G666" s="98"/>
      <c r="H666" s="98"/>
      <c r="I666" s="98"/>
      <c r="J666" s="107">
        <v>0</v>
      </c>
      <c r="K666" s="141"/>
    </row>
    <row r="667" spans="3:11">
      <c r="C667" s="138" t="s">
        <v>794</v>
      </c>
      <c r="D667" s="98"/>
      <c r="E667" s="98"/>
      <c r="F667" s="98"/>
      <c r="G667" s="98"/>
      <c r="H667" s="98"/>
      <c r="I667" s="98"/>
      <c r="J667" s="107">
        <v>0</v>
      </c>
      <c r="K667" s="141"/>
    </row>
    <row r="668" spans="3:11">
      <c r="C668" s="138" t="s">
        <v>952</v>
      </c>
      <c r="D668" s="98"/>
      <c r="E668" s="98"/>
      <c r="F668" s="98"/>
      <c r="G668" s="98"/>
      <c r="H668" s="98"/>
      <c r="I668" s="98"/>
      <c r="J668" s="107">
        <v>0</v>
      </c>
      <c r="K668" s="141"/>
    </row>
    <row r="669" spans="3:11">
      <c r="C669" s="138" t="s">
        <v>290</v>
      </c>
      <c r="D669" s="98"/>
      <c r="E669" s="98"/>
      <c r="F669" s="98"/>
      <c r="G669" s="98"/>
      <c r="H669" s="98"/>
      <c r="I669" s="98"/>
      <c r="J669" s="107">
        <v>0</v>
      </c>
      <c r="K669" s="141"/>
    </row>
    <row r="670" spans="3:11">
      <c r="C670" s="138" t="s">
        <v>339</v>
      </c>
      <c r="D670" s="98"/>
      <c r="E670" s="98"/>
      <c r="F670" s="98"/>
      <c r="G670" s="98"/>
      <c r="H670" s="98"/>
      <c r="I670" s="98"/>
      <c r="J670" s="107">
        <v>0</v>
      </c>
      <c r="K670" s="141"/>
    </row>
    <row r="671" spans="3:11">
      <c r="C671" s="138" t="s">
        <v>322</v>
      </c>
      <c r="D671" s="98"/>
      <c r="E671" s="98"/>
      <c r="F671" s="98"/>
      <c r="G671" s="98"/>
      <c r="H671" s="98"/>
      <c r="I671" s="98"/>
      <c r="J671" s="107">
        <v>0</v>
      </c>
      <c r="K671" s="141"/>
    </row>
    <row r="672" spans="3:11">
      <c r="C672" s="138" t="s">
        <v>707</v>
      </c>
      <c r="D672" s="98"/>
      <c r="E672" s="98"/>
      <c r="F672" s="98"/>
      <c r="G672" s="98"/>
      <c r="H672" s="98"/>
      <c r="I672" s="98"/>
      <c r="J672" s="107">
        <v>0</v>
      </c>
      <c r="K672" s="141"/>
    </row>
    <row r="673" spans="3:11">
      <c r="C673" s="138" t="s">
        <v>138</v>
      </c>
      <c r="D673" s="98"/>
      <c r="E673" s="98"/>
      <c r="F673" s="98"/>
      <c r="G673" s="98"/>
      <c r="H673" s="98"/>
      <c r="I673" s="98"/>
      <c r="J673" s="107">
        <v>0</v>
      </c>
      <c r="K673" s="141"/>
    </row>
    <row r="674" spans="3:11">
      <c r="C674" s="138" t="s">
        <v>615</v>
      </c>
      <c r="D674" s="98"/>
      <c r="E674" s="98"/>
      <c r="F674" s="98"/>
      <c r="G674" s="98"/>
      <c r="H674" s="98"/>
      <c r="I674" s="98"/>
      <c r="J674" s="107">
        <v>0</v>
      </c>
      <c r="K674" s="141"/>
    </row>
    <row r="675" spans="3:11">
      <c r="C675" s="138" t="s">
        <v>261</v>
      </c>
      <c r="D675" s="98"/>
      <c r="E675" s="98"/>
      <c r="F675" s="98"/>
      <c r="G675" s="98"/>
      <c r="H675" s="98"/>
      <c r="I675" s="98"/>
      <c r="J675" s="107">
        <v>0</v>
      </c>
      <c r="K675" s="141"/>
    </row>
    <row r="676" spans="3:11">
      <c r="C676" s="138" t="s">
        <v>434</v>
      </c>
      <c r="D676" s="98"/>
      <c r="E676" s="98"/>
      <c r="F676" s="98"/>
      <c r="G676" s="98"/>
      <c r="H676" s="98"/>
      <c r="I676" s="98"/>
      <c r="J676" s="107">
        <v>0</v>
      </c>
      <c r="K676" s="141"/>
    </row>
    <row r="677" spans="3:11">
      <c r="C677" s="138" t="s">
        <v>864</v>
      </c>
      <c r="D677" s="98"/>
      <c r="E677" s="98"/>
      <c r="F677" s="98"/>
      <c r="G677" s="98"/>
      <c r="H677" s="98"/>
      <c r="I677" s="98"/>
      <c r="J677" s="107">
        <v>0</v>
      </c>
      <c r="K677" s="141"/>
    </row>
    <row r="678" spans="3:11">
      <c r="C678" s="138" t="s">
        <v>264</v>
      </c>
      <c r="D678" s="98"/>
      <c r="E678" s="98"/>
      <c r="F678" s="98"/>
      <c r="G678" s="98"/>
      <c r="H678" s="98"/>
      <c r="I678" s="98"/>
      <c r="J678" s="107">
        <v>0</v>
      </c>
      <c r="K678" s="141"/>
    </row>
    <row r="679" spans="3:11">
      <c r="C679" s="138" t="s">
        <v>270</v>
      </c>
      <c r="D679" s="98"/>
      <c r="E679" s="98"/>
      <c r="F679" s="98"/>
      <c r="G679" s="98"/>
      <c r="H679" s="98"/>
      <c r="I679" s="98"/>
      <c r="J679" s="107">
        <v>0</v>
      </c>
      <c r="K679" s="141"/>
    </row>
    <row r="680" spans="3:11">
      <c r="C680" s="138" t="s">
        <v>813</v>
      </c>
      <c r="D680" s="98"/>
      <c r="E680" s="98"/>
      <c r="F680" s="98"/>
      <c r="G680" s="98"/>
      <c r="H680" s="98"/>
      <c r="I680" s="98"/>
      <c r="J680" s="107">
        <v>0</v>
      </c>
      <c r="K680" s="141"/>
    </row>
    <row r="681" spans="3:11">
      <c r="C681" s="138" t="s">
        <v>394</v>
      </c>
      <c r="D681" s="98"/>
      <c r="E681" s="98"/>
      <c r="F681" s="98"/>
      <c r="G681" s="98"/>
      <c r="H681" s="98"/>
      <c r="I681" s="98"/>
      <c r="J681" s="107">
        <v>0</v>
      </c>
      <c r="K681" s="141"/>
    </row>
    <row r="682" spans="3:11">
      <c r="C682" s="138" t="s">
        <v>1105</v>
      </c>
      <c r="D682" s="98"/>
      <c r="E682" s="98"/>
      <c r="F682" s="98"/>
      <c r="G682" s="98"/>
      <c r="H682" s="98"/>
      <c r="I682" s="98"/>
      <c r="J682" s="107">
        <v>0</v>
      </c>
      <c r="K682" s="141"/>
    </row>
    <row r="683" spans="3:11">
      <c r="C683" s="138" t="s">
        <v>629</v>
      </c>
      <c r="D683" s="98"/>
      <c r="E683" s="98"/>
      <c r="F683" s="98"/>
      <c r="G683" s="98"/>
      <c r="H683" s="98"/>
      <c r="I683" s="98"/>
      <c r="J683" s="107">
        <v>0</v>
      </c>
      <c r="K683" s="141"/>
    </row>
    <row r="684" spans="3:11">
      <c r="C684" s="138" t="s">
        <v>1057</v>
      </c>
      <c r="D684" s="98"/>
      <c r="E684" s="98"/>
      <c r="F684" s="98"/>
      <c r="G684" s="98"/>
      <c r="H684" s="98"/>
      <c r="I684" s="98"/>
      <c r="J684" s="107">
        <v>0</v>
      </c>
      <c r="K684" s="141"/>
    </row>
    <row r="685" spans="3:11">
      <c r="C685" s="138" t="s">
        <v>438</v>
      </c>
      <c r="D685" s="98"/>
      <c r="E685" s="98"/>
      <c r="F685" s="98"/>
      <c r="G685" s="98"/>
      <c r="H685" s="98"/>
      <c r="I685" s="98"/>
      <c r="J685" s="107">
        <v>0</v>
      </c>
      <c r="K685" s="141"/>
    </row>
    <row r="686" spans="3:11">
      <c r="C686" s="138" t="s">
        <v>468</v>
      </c>
      <c r="D686" s="98"/>
      <c r="E686" s="98"/>
      <c r="F686" s="98"/>
      <c r="G686" s="98"/>
      <c r="H686" s="98"/>
      <c r="I686" s="98"/>
      <c r="J686" s="107">
        <v>0</v>
      </c>
      <c r="K686" s="141"/>
    </row>
    <row r="687" spans="3:11">
      <c r="C687" s="138" t="s">
        <v>850</v>
      </c>
      <c r="D687" s="98"/>
      <c r="E687" s="98"/>
      <c r="F687" s="98"/>
      <c r="G687" s="98"/>
      <c r="H687" s="98"/>
      <c r="I687" s="98"/>
      <c r="J687" s="107">
        <v>0</v>
      </c>
      <c r="K687" s="141"/>
    </row>
    <row r="688" spans="3:11">
      <c r="C688" s="138" t="s">
        <v>473</v>
      </c>
      <c r="D688" s="98"/>
      <c r="E688" s="98"/>
      <c r="F688" s="98"/>
      <c r="G688" s="98"/>
      <c r="H688" s="98"/>
      <c r="I688" s="98"/>
      <c r="J688" s="107">
        <v>0</v>
      </c>
      <c r="K688" s="141"/>
    </row>
    <row r="689" spans="3:11">
      <c r="C689" s="138" t="s">
        <v>569</v>
      </c>
      <c r="D689" s="98"/>
      <c r="E689" s="98"/>
      <c r="F689" s="98"/>
      <c r="G689" s="98"/>
      <c r="H689" s="98"/>
      <c r="I689" s="98"/>
      <c r="J689" s="107">
        <v>0</v>
      </c>
      <c r="K689" s="141"/>
    </row>
    <row r="690" spans="3:11">
      <c r="C690" s="138" t="s">
        <v>1044</v>
      </c>
      <c r="D690" s="98"/>
      <c r="E690" s="98"/>
      <c r="F690" s="98"/>
      <c r="G690" s="98"/>
      <c r="H690" s="98"/>
      <c r="I690" s="98"/>
      <c r="J690" s="107">
        <v>0</v>
      </c>
      <c r="K690" s="141"/>
    </row>
    <row r="691" spans="3:11">
      <c r="C691" s="138" t="s">
        <v>828</v>
      </c>
      <c r="D691" s="98"/>
      <c r="E691" s="98"/>
      <c r="F691" s="98"/>
      <c r="G691" s="98"/>
      <c r="H691" s="98"/>
      <c r="I691" s="98"/>
      <c r="J691" s="107">
        <v>0</v>
      </c>
      <c r="K691" s="141"/>
    </row>
    <row r="692" spans="3:11">
      <c r="C692" s="138" t="s">
        <v>727</v>
      </c>
      <c r="D692" s="98"/>
      <c r="E692" s="98"/>
      <c r="F692" s="98"/>
      <c r="G692" s="98"/>
      <c r="H692" s="98"/>
      <c r="I692" s="98"/>
      <c r="J692" s="107">
        <v>0</v>
      </c>
      <c r="K692" s="141"/>
    </row>
    <row r="693" spans="3:11">
      <c r="C693" s="138" t="s">
        <v>1072</v>
      </c>
      <c r="D693" s="98"/>
      <c r="E693" s="98"/>
      <c r="F693" s="98"/>
      <c r="G693" s="98"/>
      <c r="H693" s="98"/>
      <c r="I693" s="98"/>
      <c r="J693" s="107">
        <v>0</v>
      </c>
      <c r="K693" s="141"/>
    </row>
    <row r="694" spans="3:11">
      <c r="C694" s="138" t="s">
        <v>1047</v>
      </c>
      <c r="D694" s="98"/>
      <c r="E694" s="98"/>
      <c r="F694" s="98"/>
      <c r="G694" s="98"/>
      <c r="H694" s="98"/>
      <c r="I694" s="98"/>
      <c r="J694" s="107">
        <v>0</v>
      </c>
      <c r="K694" s="141"/>
    </row>
    <row r="695" spans="3:11">
      <c r="C695" s="138" t="s">
        <v>202</v>
      </c>
      <c r="D695" s="98"/>
      <c r="E695" s="98"/>
      <c r="F695" s="98"/>
      <c r="G695" s="98"/>
      <c r="H695" s="98"/>
      <c r="I695" s="98"/>
      <c r="J695" s="107">
        <v>0</v>
      </c>
      <c r="K695" s="141"/>
    </row>
    <row r="696" spans="3:11">
      <c r="C696" s="138" t="s">
        <v>575</v>
      </c>
      <c r="D696" s="98"/>
      <c r="E696" s="98"/>
      <c r="F696" s="98"/>
      <c r="G696" s="98"/>
      <c r="H696" s="98"/>
      <c r="I696" s="98"/>
      <c r="J696" s="107">
        <v>0</v>
      </c>
      <c r="K696" s="141"/>
    </row>
    <row r="697" spans="3:11">
      <c r="C697" s="138" t="s">
        <v>551</v>
      </c>
      <c r="D697" s="98"/>
      <c r="E697" s="98"/>
      <c r="F697" s="98"/>
      <c r="G697" s="98"/>
      <c r="H697" s="98"/>
      <c r="I697" s="98"/>
      <c r="J697" s="107">
        <v>0</v>
      </c>
      <c r="K697" s="141"/>
    </row>
    <row r="698" spans="3:11">
      <c r="C698" s="138" t="s">
        <v>560</v>
      </c>
      <c r="D698" s="98"/>
      <c r="E698" s="98"/>
      <c r="F698" s="98"/>
      <c r="G698" s="98"/>
      <c r="H698" s="98"/>
      <c r="I698" s="98"/>
      <c r="J698" s="107">
        <v>0</v>
      </c>
      <c r="K698" s="141"/>
    </row>
    <row r="699" spans="3:11">
      <c r="C699" s="138" t="s">
        <v>748</v>
      </c>
      <c r="D699" s="98"/>
      <c r="E699" s="98"/>
      <c r="F699" s="98"/>
      <c r="G699" s="98"/>
      <c r="H699" s="98"/>
      <c r="I699" s="98"/>
      <c r="J699" s="107">
        <v>0</v>
      </c>
      <c r="K699" s="141"/>
    </row>
    <row r="700" spans="3:11">
      <c r="C700" s="138" t="s">
        <v>854</v>
      </c>
      <c r="D700" s="98"/>
      <c r="E700" s="98"/>
      <c r="F700" s="98"/>
      <c r="G700" s="98"/>
      <c r="H700" s="98"/>
      <c r="I700" s="98"/>
      <c r="J700" s="107">
        <v>0</v>
      </c>
      <c r="K700" s="141"/>
    </row>
    <row r="701" spans="3:11">
      <c r="C701" s="138" t="s">
        <v>697</v>
      </c>
      <c r="D701" s="98"/>
      <c r="E701" s="98"/>
      <c r="F701" s="98"/>
      <c r="G701" s="98"/>
      <c r="H701" s="98"/>
      <c r="I701" s="98"/>
      <c r="J701" s="107">
        <v>0</v>
      </c>
      <c r="K701" s="141"/>
    </row>
    <row r="702" spans="3:11">
      <c r="C702" s="138" t="s">
        <v>252</v>
      </c>
      <c r="D702" s="98"/>
      <c r="E702" s="98"/>
      <c r="F702" s="98"/>
      <c r="G702" s="98"/>
      <c r="H702" s="98"/>
      <c r="I702" s="98"/>
      <c r="J702" s="107">
        <v>0</v>
      </c>
      <c r="K702" s="141"/>
    </row>
    <row r="703" spans="3:11">
      <c r="C703" s="138" t="s">
        <v>1073</v>
      </c>
      <c r="D703" s="98"/>
      <c r="E703" s="98"/>
      <c r="F703" s="98"/>
      <c r="G703" s="98"/>
      <c r="H703" s="98"/>
      <c r="I703" s="98"/>
      <c r="J703" s="107">
        <v>0</v>
      </c>
      <c r="K703" s="141"/>
    </row>
    <row r="704" spans="3:11">
      <c r="C704" s="138" t="s">
        <v>616</v>
      </c>
      <c r="D704" s="98"/>
      <c r="E704" s="98"/>
      <c r="F704" s="98"/>
      <c r="G704" s="98"/>
      <c r="H704" s="98"/>
      <c r="I704" s="98"/>
      <c r="J704" s="107">
        <v>0</v>
      </c>
      <c r="K704" s="141"/>
    </row>
    <row r="705" spans="3:11">
      <c r="C705" s="138" t="s">
        <v>522</v>
      </c>
      <c r="D705" s="98"/>
      <c r="E705" s="98"/>
      <c r="F705" s="98"/>
      <c r="G705" s="98"/>
      <c r="H705" s="98"/>
      <c r="I705" s="98"/>
      <c r="J705" s="107">
        <v>0</v>
      </c>
      <c r="K705" s="141"/>
    </row>
    <row r="706" spans="3:11">
      <c r="C706" s="138" t="s">
        <v>911</v>
      </c>
      <c r="D706" s="98"/>
      <c r="E706" s="98"/>
      <c r="F706" s="98"/>
      <c r="G706" s="98"/>
      <c r="H706" s="98"/>
      <c r="I706" s="98"/>
      <c r="J706" s="107">
        <v>0</v>
      </c>
      <c r="K706" s="141"/>
    </row>
    <row r="707" spans="3:11">
      <c r="C707" s="138" t="s">
        <v>142</v>
      </c>
      <c r="D707" s="98"/>
      <c r="E707" s="98"/>
      <c r="F707" s="98"/>
      <c r="G707" s="98"/>
      <c r="H707" s="98"/>
      <c r="I707" s="98"/>
      <c r="J707" s="107">
        <v>0</v>
      </c>
      <c r="K707" s="141"/>
    </row>
    <row r="708" spans="3:11">
      <c r="C708" s="138" t="s">
        <v>667</v>
      </c>
      <c r="D708" s="98"/>
      <c r="E708" s="98"/>
      <c r="F708" s="98"/>
      <c r="G708" s="98"/>
      <c r="H708" s="98"/>
      <c r="I708" s="98"/>
      <c r="J708" s="107">
        <v>0</v>
      </c>
      <c r="K708" s="141"/>
    </row>
    <row r="709" spans="3:11">
      <c r="C709" s="138" t="s">
        <v>943</v>
      </c>
      <c r="D709" s="98"/>
      <c r="E709" s="98"/>
      <c r="F709" s="98"/>
      <c r="G709" s="98"/>
      <c r="H709" s="98"/>
      <c r="I709" s="98"/>
      <c r="J709" s="107">
        <v>0</v>
      </c>
      <c r="K709" s="141"/>
    </row>
    <row r="710" spans="3:11">
      <c r="C710" s="138" t="s">
        <v>304</v>
      </c>
      <c r="D710" s="98"/>
      <c r="E710" s="98"/>
      <c r="F710" s="98"/>
      <c r="G710" s="98"/>
      <c r="H710" s="98"/>
      <c r="I710" s="98"/>
      <c r="J710" s="107">
        <v>0</v>
      </c>
      <c r="K710" s="141"/>
    </row>
    <row r="711" spans="3:11">
      <c r="C711" s="138" t="s">
        <v>85</v>
      </c>
      <c r="D711" s="98"/>
      <c r="E711" s="98"/>
      <c r="F711" s="98"/>
      <c r="G711" s="98"/>
      <c r="H711" s="98"/>
      <c r="I711" s="98"/>
      <c r="J711" s="107">
        <v>0</v>
      </c>
      <c r="K711" s="141"/>
    </row>
    <row r="712" spans="3:11">
      <c r="C712" s="138" t="s">
        <v>1084</v>
      </c>
      <c r="D712" s="98"/>
      <c r="E712" s="98"/>
      <c r="F712" s="98"/>
      <c r="G712" s="98"/>
      <c r="H712" s="98"/>
      <c r="I712" s="98"/>
      <c r="J712" s="107">
        <v>0</v>
      </c>
      <c r="K712" s="141"/>
    </row>
    <row r="713" spans="3:11">
      <c r="C713" s="138" t="s">
        <v>1011</v>
      </c>
      <c r="D713" s="98"/>
      <c r="E713" s="98"/>
      <c r="F713" s="98"/>
      <c r="G713" s="98"/>
      <c r="H713" s="98"/>
      <c r="I713" s="98"/>
      <c r="J713" s="107">
        <v>0</v>
      </c>
      <c r="K713" s="141"/>
    </row>
    <row r="714" spans="3:11">
      <c r="C714" s="138" t="s">
        <v>603</v>
      </c>
      <c r="D714" s="98"/>
      <c r="E714" s="98"/>
      <c r="F714" s="98"/>
      <c r="G714" s="98"/>
      <c r="H714" s="98"/>
      <c r="I714" s="98"/>
      <c r="J714" s="107">
        <v>0</v>
      </c>
      <c r="K714" s="141"/>
    </row>
    <row r="715" spans="3:11">
      <c r="C715" s="138" t="s">
        <v>887</v>
      </c>
      <c r="D715" s="98"/>
      <c r="E715" s="98"/>
      <c r="F715" s="98"/>
      <c r="G715" s="98"/>
      <c r="H715" s="98"/>
      <c r="I715" s="98"/>
      <c r="J715" s="107">
        <v>0</v>
      </c>
      <c r="K715" s="141"/>
    </row>
    <row r="716" spans="3:11">
      <c r="C716" s="138" t="s">
        <v>544</v>
      </c>
      <c r="D716" s="98"/>
      <c r="E716" s="98"/>
      <c r="F716" s="98"/>
      <c r="G716" s="98"/>
      <c r="H716" s="98"/>
      <c r="I716" s="98"/>
      <c r="J716" s="107">
        <v>0</v>
      </c>
      <c r="K716" s="141"/>
    </row>
    <row r="717" spans="3:11">
      <c r="C717" s="138" t="s">
        <v>471</v>
      </c>
      <c r="D717" s="98"/>
      <c r="E717" s="98"/>
      <c r="F717" s="98"/>
      <c r="G717" s="98"/>
      <c r="H717" s="98"/>
      <c r="I717" s="98"/>
      <c r="J717" s="107">
        <v>0</v>
      </c>
      <c r="K717" s="141"/>
    </row>
    <row r="718" spans="3:11">
      <c r="C718" s="138" t="s">
        <v>832</v>
      </c>
      <c r="D718" s="98"/>
      <c r="E718" s="98"/>
      <c r="F718" s="98"/>
      <c r="G718" s="98"/>
      <c r="H718" s="98"/>
      <c r="I718" s="98"/>
      <c r="J718" s="107">
        <v>0</v>
      </c>
      <c r="K718" s="141"/>
    </row>
    <row r="719" spans="3:11">
      <c r="C719" s="138" t="s">
        <v>382</v>
      </c>
      <c r="D719" s="98"/>
      <c r="E719" s="98"/>
      <c r="F719" s="98"/>
      <c r="G719" s="98"/>
      <c r="H719" s="98"/>
      <c r="I719" s="98"/>
      <c r="J719" s="107">
        <v>0</v>
      </c>
      <c r="K719" s="141"/>
    </row>
    <row r="720" spans="3:11">
      <c r="C720" s="138" t="s">
        <v>672</v>
      </c>
      <c r="D720" s="98"/>
      <c r="E720" s="98"/>
      <c r="F720" s="98"/>
      <c r="G720" s="98"/>
      <c r="H720" s="98"/>
      <c r="I720" s="98"/>
      <c r="J720" s="107">
        <v>0</v>
      </c>
      <c r="K720" s="141"/>
    </row>
    <row r="721" spans="3:11">
      <c r="C721" s="138" t="s">
        <v>297</v>
      </c>
      <c r="D721" s="98"/>
      <c r="E721" s="98"/>
      <c r="F721" s="98"/>
      <c r="G721" s="98"/>
      <c r="H721" s="98"/>
      <c r="I721" s="98"/>
      <c r="J721" s="107">
        <v>0</v>
      </c>
      <c r="K721" s="141"/>
    </row>
    <row r="722" spans="3:11">
      <c r="C722" s="138" t="s">
        <v>640</v>
      </c>
      <c r="D722" s="98"/>
      <c r="E722" s="98"/>
      <c r="F722" s="98"/>
      <c r="G722" s="98"/>
      <c r="H722" s="98"/>
      <c r="I722" s="98"/>
      <c r="J722" s="107">
        <v>0</v>
      </c>
      <c r="K722" s="141"/>
    </row>
    <row r="723" spans="3:11">
      <c r="C723" s="138" t="s">
        <v>465</v>
      </c>
      <c r="D723" s="98"/>
      <c r="E723" s="98"/>
      <c r="F723" s="98"/>
      <c r="G723" s="98"/>
      <c r="H723" s="98"/>
      <c r="I723" s="98"/>
      <c r="J723" s="107">
        <v>0</v>
      </c>
      <c r="K723" s="141"/>
    </row>
    <row r="724" spans="3:11">
      <c r="C724" s="138" t="s">
        <v>665</v>
      </c>
      <c r="D724" s="98"/>
      <c r="E724" s="98"/>
      <c r="F724" s="98"/>
      <c r="G724" s="98"/>
      <c r="H724" s="98"/>
      <c r="I724" s="98"/>
      <c r="J724" s="107">
        <v>0</v>
      </c>
      <c r="K724" s="141"/>
    </row>
    <row r="725" spans="3:11">
      <c r="C725" s="138" t="s">
        <v>83</v>
      </c>
      <c r="D725" s="98"/>
      <c r="E725" s="98"/>
      <c r="F725" s="98"/>
      <c r="G725" s="98"/>
      <c r="H725" s="98"/>
      <c r="I725" s="98"/>
      <c r="J725" s="107">
        <v>0</v>
      </c>
      <c r="K725" s="141"/>
    </row>
    <row r="726" spans="3:11">
      <c r="C726" s="138" t="s">
        <v>976</v>
      </c>
      <c r="D726" s="98"/>
      <c r="E726" s="98"/>
      <c r="F726" s="98"/>
      <c r="G726" s="98"/>
      <c r="H726" s="98"/>
      <c r="I726" s="98"/>
      <c r="J726" s="107">
        <v>0</v>
      </c>
      <c r="K726" s="141"/>
    </row>
    <row r="727" spans="3:11">
      <c r="C727" s="138" t="s">
        <v>961</v>
      </c>
      <c r="D727" s="98"/>
      <c r="E727" s="98"/>
      <c r="F727" s="98"/>
      <c r="G727" s="98"/>
      <c r="H727" s="98"/>
      <c r="I727" s="98"/>
      <c r="J727" s="107">
        <v>0</v>
      </c>
      <c r="K727" s="141"/>
    </row>
    <row r="728" spans="3:11">
      <c r="C728" s="138" t="s">
        <v>591</v>
      </c>
      <c r="D728" s="98"/>
      <c r="E728" s="98"/>
      <c r="F728" s="98"/>
      <c r="G728" s="98"/>
      <c r="H728" s="98"/>
      <c r="I728" s="98"/>
      <c r="J728" s="107">
        <v>0</v>
      </c>
      <c r="K728" s="141"/>
    </row>
    <row r="729" spans="3:11">
      <c r="C729" s="138" t="s">
        <v>584</v>
      </c>
      <c r="D729" s="98"/>
      <c r="E729" s="98"/>
      <c r="F729" s="98"/>
      <c r="G729" s="98"/>
      <c r="H729" s="98"/>
      <c r="I729" s="98"/>
      <c r="J729" s="107">
        <v>0</v>
      </c>
      <c r="K729" s="141"/>
    </row>
    <row r="730" spans="3:11">
      <c r="C730" s="138" t="s">
        <v>668</v>
      </c>
      <c r="D730" s="98"/>
      <c r="E730" s="98"/>
      <c r="F730" s="98"/>
      <c r="G730" s="98"/>
      <c r="H730" s="98"/>
      <c r="I730" s="98"/>
      <c r="J730" s="107">
        <v>0</v>
      </c>
      <c r="K730" s="141"/>
    </row>
    <row r="731" spans="3:11">
      <c r="C731" s="138" t="s">
        <v>812</v>
      </c>
      <c r="D731" s="98"/>
      <c r="E731" s="98"/>
      <c r="F731" s="98"/>
      <c r="G731" s="98"/>
      <c r="H731" s="98"/>
      <c r="I731" s="98"/>
      <c r="J731" s="107">
        <v>0</v>
      </c>
      <c r="K731" s="141"/>
    </row>
    <row r="732" spans="3:11">
      <c r="C732" s="138" t="s">
        <v>842</v>
      </c>
      <c r="D732" s="98"/>
      <c r="E732" s="98"/>
      <c r="F732" s="98"/>
      <c r="G732" s="98"/>
      <c r="H732" s="98"/>
      <c r="I732" s="98"/>
      <c r="J732" s="107">
        <v>0</v>
      </c>
      <c r="K732" s="141"/>
    </row>
    <row r="733" spans="3:11">
      <c r="C733" s="138" t="s">
        <v>191</v>
      </c>
      <c r="D733" s="98"/>
      <c r="E733" s="98"/>
      <c r="F733" s="98"/>
      <c r="G733" s="98"/>
      <c r="H733" s="98"/>
      <c r="I733" s="98"/>
      <c r="J733" s="107">
        <v>0</v>
      </c>
      <c r="K733" s="141"/>
    </row>
    <row r="734" spans="3:11">
      <c r="C734" s="138" t="s">
        <v>139</v>
      </c>
      <c r="D734" s="98"/>
      <c r="E734" s="98"/>
      <c r="F734" s="98"/>
      <c r="G734" s="98"/>
      <c r="H734" s="98"/>
      <c r="I734" s="98"/>
      <c r="J734" s="107">
        <v>0</v>
      </c>
      <c r="K734" s="141"/>
    </row>
    <row r="735" spans="3:11">
      <c r="C735" s="138" t="s">
        <v>347</v>
      </c>
      <c r="D735" s="98"/>
      <c r="E735" s="98"/>
      <c r="F735" s="98"/>
      <c r="G735" s="98"/>
      <c r="H735" s="98"/>
      <c r="I735" s="98"/>
      <c r="J735" s="107">
        <v>0</v>
      </c>
      <c r="K735" s="141"/>
    </row>
    <row r="736" spans="3:11">
      <c r="C736" s="138" t="s">
        <v>376</v>
      </c>
      <c r="D736" s="98"/>
      <c r="E736" s="98"/>
      <c r="F736" s="98"/>
      <c r="G736" s="98"/>
      <c r="H736" s="98"/>
      <c r="I736" s="98"/>
      <c r="J736" s="107">
        <v>0</v>
      </c>
      <c r="K736" s="141"/>
    </row>
    <row r="737" spans="3:11">
      <c r="C737" s="138" t="s">
        <v>306</v>
      </c>
      <c r="D737" s="98"/>
      <c r="E737" s="98"/>
      <c r="F737" s="98"/>
      <c r="G737" s="98"/>
      <c r="H737" s="98"/>
      <c r="I737" s="98"/>
      <c r="J737" s="107">
        <v>0</v>
      </c>
      <c r="K737" s="141"/>
    </row>
    <row r="738" spans="3:11">
      <c r="C738" s="138" t="s">
        <v>321</v>
      </c>
      <c r="D738" s="98"/>
      <c r="E738" s="98"/>
      <c r="F738" s="98"/>
      <c r="G738" s="98"/>
      <c r="H738" s="98"/>
      <c r="I738" s="98"/>
      <c r="J738" s="107">
        <v>0</v>
      </c>
      <c r="K738" s="141"/>
    </row>
    <row r="739" spans="3:11">
      <c r="C739" s="138" t="s">
        <v>150</v>
      </c>
      <c r="D739" s="98"/>
      <c r="E739" s="98"/>
      <c r="F739" s="98"/>
      <c r="G739" s="98"/>
      <c r="H739" s="98"/>
      <c r="I739" s="98"/>
      <c r="J739" s="107">
        <v>0</v>
      </c>
      <c r="K739" s="141"/>
    </row>
    <row r="740" spans="3:11">
      <c r="C740" s="138" t="s">
        <v>1002</v>
      </c>
      <c r="D740" s="98"/>
      <c r="E740" s="98"/>
      <c r="F740" s="98"/>
      <c r="G740" s="98"/>
      <c r="H740" s="98"/>
      <c r="I740" s="98"/>
      <c r="J740" s="107">
        <v>0</v>
      </c>
      <c r="K740" s="141"/>
    </row>
    <row r="741" spans="3:11">
      <c r="C741" s="138" t="s">
        <v>786</v>
      </c>
      <c r="D741" s="98"/>
      <c r="E741" s="98"/>
      <c r="F741" s="98"/>
      <c r="G741" s="98"/>
      <c r="H741" s="98"/>
      <c r="I741" s="98"/>
      <c r="J741" s="107">
        <v>0</v>
      </c>
      <c r="K741" s="141"/>
    </row>
    <row r="742" spans="3:11">
      <c r="C742" s="138" t="s">
        <v>254</v>
      </c>
      <c r="D742" s="98"/>
      <c r="E742" s="98"/>
      <c r="F742" s="98"/>
      <c r="G742" s="98"/>
      <c r="H742" s="98"/>
      <c r="I742" s="98"/>
      <c r="J742" s="107">
        <v>0</v>
      </c>
      <c r="K742" s="141"/>
    </row>
    <row r="743" spans="3:11">
      <c r="C743" s="138" t="s">
        <v>531</v>
      </c>
      <c r="D743" s="98"/>
      <c r="E743" s="98"/>
      <c r="F743" s="98"/>
      <c r="G743" s="98"/>
      <c r="H743" s="98"/>
      <c r="I743" s="98"/>
      <c r="J743" s="107">
        <v>0</v>
      </c>
      <c r="K743" s="141"/>
    </row>
    <row r="744" spans="3:11">
      <c r="C744" s="138" t="s">
        <v>993</v>
      </c>
      <c r="D744" s="98"/>
      <c r="E744" s="98"/>
      <c r="F744" s="98"/>
      <c r="G744" s="98"/>
      <c r="H744" s="98"/>
      <c r="I744" s="98"/>
      <c r="J744" s="107">
        <v>0</v>
      </c>
      <c r="K744" s="141"/>
    </row>
    <row r="745" spans="3:11">
      <c r="C745" s="138" t="s">
        <v>915</v>
      </c>
      <c r="D745" s="98"/>
      <c r="E745" s="98"/>
      <c r="F745" s="98"/>
      <c r="G745" s="98"/>
      <c r="H745" s="98"/>
      <c r="I745" s="98"/>
      <c r="J745" s="107">
        <v>0</v>
      </c>
      <c r="K745" s="141"/>
    </row>
    <row r="746" spans="3:11">
      <c r="C746" s="138" t="s">
        <v>729</v>
      </c>
      <c r="D746" s="98"/>
      <c r="E746" s="98"/>
      <c r="F746" s="98"/>
      <c r="G746" s="98"/>
      <c r="H746" s="98"/>
      <c r="I746" s="98"/>
      <c r="J746" s="107">
        <v>0</v>
      </c>
      <c r="K746" s="141"/>
    </row>
    <row r="747" spans="3:11">
      <c r="C747" s="138" t="s">
        <v>963</v>
      </c>
      <c r="D747" s="98"/>
      <c r="E747" s="98"/>
      <c r="F747" s="98"/>
      <c r="G747" s="98"/>
      <c r="H747" s="98"/>
      <c r="I747" s="98"/>
      <c r="J747" s="107">
        <v>0</v>
      </c>
      <c r="K747" s="141"/>
    </row>
    <row r="748" spans="3:11">
      <c r="C748" s="138" t="s">
        <v>217</v>
      </c>
      <c r="D748" s="98"/>
      <c r="E748" s="98"/>
      <c r="F748" s="98"/>
      <c r="G748" s="98"/>
      <c r="H748" s="98"/>
      <c r="I748" s="98"/>
      <c r="J748" s="107">
        <v>0</v>
      </c>
      <c r="K748" s="141"/>
    </row>
    <row r="749" spans="3:11">
      <c r="C749" s="138" t="s">
        <v>636</v>
      </c>
      <c r="D749" s="98"/>
      <c r="E749" s="98"/>
      <c r="F749" s="98"/>
      <c r="G749" s="98"/>
      <c r="H749" s="98"/>
      <c r="I749" s="98"/>
      <c r="J749" s="107">
        <v>0</v>
      </c>
      <c r="K749" s="141"/>
    </row>
    <row r="750" spans="3:11">
      <c r="C750" s="138" t="s">
        <v>267</v>
      </c>
      <c r="D750" s="98"/>
      <c r="E750" s="98"/>
      <c r="F750" s="98"/>
      <c r="G750" s="98"/>
      <c r="H750" s="98"/>
      <c r="I750" s="98"/>
      <c r="J750" s="107">
        <v>0</v>
      </c>
      <c r="K750" s="141"/>
    </row>
    <row r="751" spans="3:11">
      <c r="C751" s="138" t="s">
        <v>442</v>
      </c>
      <c r="D751" s="98"/>
      <c r="E751" s="98"/>
      <c r="F751" s="98"/>
      <c r="G751" s="98"/>
      <c r="H751" s="98"/>
      <c r="I751" s="98"/>
      <c r="J751" s="107">
        <v>0</v>
      </c>
      <c r="K751" s="141"/>
    </row>
    <row r="752" spans="3:11">
      <c r="C752" s="138" t="s">
        <v>783</v>
      </c>
      <c r="D752" s="98"/>
      <c r="E752" s="98"/>
      <c r="F752" s="98"/>
      <c r="G752" s="98"/>
      <c r="H752" s="98"/>
      <c r="I752" s="98"/>
      <c r="J752" s="107">
        <v>0</v>
      </c>
      <c r="K752" s="141"/>
    </row>
    <row r="753" spans="3:11">
      <c r="C753" s="138" t="s">
        <v>819</v>
      </c>
      <c r="D753" s="98"/>
      <c r="E753" s="98"/>
      <c r="F753" s="98"/>
      <c r="G753" s="98"/>
      <c r="H753" s="98"/>
      <c r="I753" s="98"/>
      <c r="J753" s="107">
        <v>0</v>
      </c>
      <c r="K753" s="141"/>
    </row>
    <row r="754" spans="3:11">
      <c r="C754" s="138" t="s">
        <v>1030</v>
      </c>
      <c r="D754" s="98"/>
      <c r="E754" s="98"/>
      <c r="F754" s="98"/>
      <c r="G754" s="98"/>
      <c r="H754" s="98"/>
      <c r="I754" s="98"/>
      <c r="J754" s="107">
        <v>0</v>
      </c>
      <c r="K754" s="141"/>
    </row>
    <row r="755" spans="3:11">
      <c r="C755" s="138" t="s">
        <v>343</v>
      </c>
      <c r="D755" s="98"/>
      <c r="E755" s="98"/>
      <c r="F755" s="98"/>
      <c r="G755" s="98"/>
      <c r="H755" s="98"/>
      <c r="I755" s="98"/>
      <c r="J755" s="107">
        <v>0</v>
      </c>
      <c r="K755" s="141"/>
    </row>
    <row r="756" spans="3:11">
      <c r="C756" s="138" t="s">
        <v>630</v>
      </c>
      <c r="D756" s="98"/>
      <c r="E756" s="98"/>
      <c r="F756" s="98"/>
      <c r="G756" s="98"/>
      <c r="H756" s="98"/>
      <c r="I756" s="98"/>
      <c r="J756" s="107">
        <v>0</v>
      </c>
      <c r="K756" s="141"/>
    </row>
    <row r="757" spans="3:11">
      <c r="C757" s="138" t="s">
        <v>450</v>
      </c>
      <c r="D757" s="98"/>
      <c r="E757" s="98"/>
      <c r="F757" s="98"/>
      <c r="G757" s="98"/>
      <c r="H757" s="98"/>
      <c r="I757" s="98"/>
      <c r="J757" s="107">
        <v>0</v>
      </c>
      <c r="K757" s="141"/>
    </row>
    <row r="758" spans="3:11">
      <c r="C758" s="138" t="s">
        <v>330</v>
      </c>
      <c r="D758" s="98"/>
      <c r="E758" s="98"/>
      <c r="F758" s="98"/>
      <c r="G758" s="98"/>
      <c r="H758" s="98"/>
      <c r="I758" s="98"/>
      <c r="J758" s="107">
        <v>0</v>
      </c>
      <c r="K758" s="141"/>
    </row>
    <row r="759" spans="3:11">
      <c r="C759" s="138" t="s">
        <v>478</v>
      </c>
      <c r="D759" s="98"/>
      <c r="E759" s="98"/>
      <c r="F759" s="98"/>
      <c r="G759" s="98"/>
      <c r="H759" s="98"/>
      <c r="I759" s="98"/>
      <c r="J759" s="107">
        <v>0</v>
      </c>
      <c r="K759" s="141"/>
    </row>
    <row r="760" spans="3:11">
      <c r="C760" s="138" t="s">
        <v>218</v>
      </c>
      <c r="D760" s="98"/>
      <c r="E760" s="98"/>
      <c r="F760" s="98"/>
      <c r="G760" s="98"/>
      <c r="H760" s="98"/>
      <c r="I760" s="98"/>
      <c r="J760" s="107">
        <v>0</v>
      </c>
      <c r="K760" s="141"/>
    </row>
    <row r="761" spans="3:11">
      <c r="C761" s="138" t="s">
        <v>984</v>
      </c>
      <c r="D761" s="98"/>
      <c r="E761" s="98"/>
      <c r="F761" s="98"/>
      <c r="G761" s="98"/>
      <c r="H761" s="98"/>
      <c r="I761" s="98"/>
      <c r="J761" s="107">
        <v>0</v>
      </c>
      <c r="K761" s="141"/>
    </row>
    <row r="762" spans="3:11">
      <c r="C762" s="138" t="s">
        <v>92</v>
      </c>
      <c r="D762" s="98"/>
      <c r="E762" s="98"/>
      <c r="F762" s="98"/>
      <c r="G762" s="98"/>
      <c r="H762" s="98"/>
      <c r="I762" s="98"/>
      <c r="J762" s="107">
        <v>0</v>
      </c>
      <c r="K762" s="141"/>
    </row>
    <row r="763" spans="3:11">
      <c r="C763" s="138" t="s">
        <v>146</v>
      </c>
      <c r="D763" s="98"/>
      <c r="E763" s="98"/>
      <c r="F763" s="98"/>
      <c r="G763" s="98"/>
      <c r="H763" s="98"/>
      <c r="I763" s="98"/>
      <c r="J763" s="107">
        <v>0</v>
      </c>
      <c r="K763" s="141"/>
    </row>
    <row r="764" spans="3:11">
      <c r="C764" s="138" t="s">
        <v>542</v>
      </c>
      <c r="D764" s="98"/>
      <c r="E764" s="98"/>
      <c r="F764" s="98"/>
      <c r="G764" s="98"/>
      <c r="H764" s="98"/>
      <c r="I764" s="98"/>
      <c r="J764" s="107">
        <v>0</v>
      </c>
      <c r="K764" s="141"/>
    </row>
    <row r="765" spans="3:11">
      <c r="C765" s="138" t="s">
        <v>258</v>
      </c>
      <c r="D765" s="98"/>
      <c r="E765" s="98"/>
      <c r="F765" s="98"/>
      <c r="G765" s="98"/>
      <c r="H765" s="98"/>
      <c r="I765" s="98"/>
      <c r="J765" s="107">
        <v>0</v>
      </c>
      <c r="K765" s="141"/>
    </row>
    <row r="766" spans="3:11">
      <c r="C766" s="138" t="s">
        <v>1075</v>
      </c>
      <c r="D766" s="98"/>
      <c r="E766" s="98"/>
      <c r="F766" s="98"/>
      <c r="G766" s="98"/>
      <c r="H766" s="98"/>
      <c r="I766" s="98"/>
      <c r="J766" s="107">
        <v>0</v>
      </c>
      <c r="K766" s="141"/>
    </row>
    <row r="767" spans="3:11">
      <c r="C767" s="138" t="s">
        <v>847</v>
      </c>
      <c r="D767" s="98"/>
      <c r="E767" s="98"/>
      <c r="F767" s="98"/>
      <c r="G767" s="98"/>
      <c r="H767" s="98"/>
      <c r="I767" s="98"/>
      <c r="J767" s="107">
        <v>0</v>
      </c>
      <c r="K767" s="141"/>
    </row>
    <row r="768" spans="3:11">
      <c r="C768" s="138" t="s">
        <v>990</v>
      </c>
      <c r="D768" s="98"/>
      <c r="E768" s="98"/>
      <c r="F768" s="98"/>
      <c r="G768" s="98"/>
      <c r="H768" s="98"/>
      <c r="I768" s="98"/>
      <c r="J768" s="107">
        <v>0</v>
      </c>
      <c r="K768" s="141"/>
    </row>
    <row r="769" spans="3:11">
      <c r="C769" s="138" t="s">
        <v>710</v>
      </c>
      <c r="D769" s="98"/>
      <c r="E769" s="98"/>
      <c r="F769" s="98"/>
      <c r="G769" s="98"/>
      <c r="H769" s="98"/>
      <c r="I769" s="98"/>
      <c r="J769" s="107">
        <v>0</v>
      </c>
      <c r="K769" s="141"/>
    </row>
    <row r="770" spans="3:11">
      <c r="C770" s="138" t="s">
        <v>461</v>
      </c>
      <c r="D770" s="98"/>
      <c r="E770" s="98"/>
      <c r="F770" s="98"/>
      <c r="G770" s="98"/>
      <c r="H770" s="98"/>
      <c r="I770" s="98"/>
      <c r="J770" s="107">
        <v>0</v>
      </c>
      <c r="K770" s="141"/>
    </row>
    <row r="771" spans="3:11">
      <c r="C771" s="138" t="s">
        <v>448</v>
      </c>
      <c r="D771" s="98"/>
      <c r="E771" s="98"/>
      <c r="F771" s="98"/>
      <c r="G771" s="98"/>
      <c r="H771" s="98"/>
      <c r="I771" s="98"/>
      <c r="J771" s="107">
        <v>0</v>
      </c>
      <c r="K771" s="141"/>
    </row>
    <row r="772" spans="3:11">
      <c r="C772" s="138" t="s">
        <v>792</v>
      </c>
      <c r="D772" s="98"/>
      <c r="E772" s="98"/>
      <c r="F772" s="98"/>
      <c r="G772" s="98"/>
      <c r="H772" s="98"/>
      <c r="I772" s="98"/>
      <c r="J772" s="107">
        <v>0</v>
      </c>
      <c r="K772" s="141"/>
    </row>
    <row r="773" spans="3:11">
      <c r="C773" s="138" t="s">
        <v>845</v>
      </c>
      <c r="D773" s="98"/>
      <c r="E773" s="98"/>
      <c r="F773" s="98"/>
      <c r="G773" s="98"/>
      <c r="H773" s="98"/>
      <c r="I773" s="98"/>
      <c r="J773" s="107">
        <v>0</v>
      </c>
      <c r="K773" s="141"/>
    </row>
    <row r="774" spans="3:11">
      <c r="C774" s="138" t="s">
        <v>328</v>
      </c>
      <c r="D774" s="98"/>
      <c r="E774" s="98"/>
      <c r="F774" s="98"/>
      <c r="G774" s="98"/>
      <c r="H774" s="98"/>
      <c r="I774" s="98"/>
      <c r="J774" s="107">
        <v>0</v>
      </c>
      <c r="K774" s="141"/>
    </row>
    <row r="775" spans="3:11">
      <c r="C775" s="138" t="s">
        <v>1060</v>
      </c>
      <c r="D775" s="98"/>
      <c r="E775" s="98"/>
      <c r="F775" s="98"/>
      <c r="G775" s="98"/>
      <c r="H775" s="98"/>
      <c r="I775" s="98"/>
      <c r="J775" s="107">
        <v>0</v>
      </c>
      <c r="K775" s="141"/>
    </row>
    <row r="776" spans="3:11">
      <c r="C776" s="138" t="s">
        <v>156</v>
      </c>
      <c r="D776" s="98"/>
      <c r="E776" s="98"/>
      <c r="F776" s="98"/>
      <c r="G776" s="98"/>
      <c r="H776" s="98"/>
      <c r="I776" s="98"/>
      <c r="J776" s="107">
        <v>0</v>
      </c>
      <c r="K776" s="141"/>
    </row>
    <row r="777" spans="3:11">
      <c r="C777" s="138" t="s">
        <v>790</v>
      </c>
      <c r="D777" s="98"/>
      <c r="E777" s="98"/>
      <c r="F777" s="98"/>
      <c r="G777" s="98"/>
      <c r="H777" s="98"/>
      <c r="I777" s="98"/>
      <c r="J777" s="107">
        <v>0</v>
      </c>
      <c r="K777" s="141"/>
    </row>
    <row r="778" spans="3:11">
      <c r="C778" s="138" t="s">
        <v>644</v>
      </c>
      <c r="D778" s="98"/>
      <c r="E778" s="98"/>
      <c r="F778" s="98"/>
      <c r="G778" s="98"/>
      <c r="H778" s="98"/>
      <c r="I778" s="98"/>
      <c r="J778" s="107">
        <v>0</v>
      </c>
      <c r="K778" s="141"/>
    </row>
    <row r="779" spans="3:11">
      <c r="C779" s="138" t="s">
        <v>822</v>
      </c>
      <c r="D779" s="98"/>
      <c r="E779" s="98"/>
      <c r="F779" s="98"/>
      <c r="G779" s="98"/>
      <c r="H779" s="98"/>
      <c r="I779" s="98"/>
      <c r="J779" s="107">
        <v>0</v>
      </c>
      <c r="K779" s="141"/>
    </row>
    <row r="780" spans="3:11">
      <c r="C780" s="138" t="s">
        <v>597</v>
      </c>
      <c r="D780" s="98"/>
      <c r="E780" s="98"/>
      <c r="F780" s="98"/>
      <c r="G780" s="98"/>
      <c r="H780" s="98"/>
      <c r="I780" s="98"/>
      <c r="J780" s="107">
        <v>0</v>
      </c>
      <c r="K780" s="141"/>
    </row>
    <row r="781" spans="3:11">
      <c r="C781" s="138" t="s">
        <v>368</v>
      </c>
      <c r="D781" s="98"/>
      <c r="E781" s="98"/>
      <c r="F781" s="98"/>
      <c r="G781" s="98"/>
      <c r="H781" s="98"/>
      <c r="I781" s="98"/>
      <c r="J781" s="107">
        <v>0</v>
      </c>
      <c r="K781" s="141"/>
    </row>
    <row r="782" spans="3:11">
      <c r="C782" s="138" t="s">
        <v>127</v>
      </c>
      <c r="D782" s="98"/>
      <c r="E782" s="98"/>
      <c r="F782" s="98"/>
      <c r="G782" s="98"/>
      <c r="H782" s="98"/>
      <c r="I782" s="98"/>
      <c r="J782" s="107">
        <v>0</v>
      </c>
      <c r="K782" s="141"/>
    </row>
    <row r="783" spans="3:11">
      <c r="C783" s="138" t="s">
        <v>892</v>
      </c>
      <c r="D783" s="98"/>
      <c r="E783" s="98"/>
      <c r="F783" s="98"/>
      <c r="G783" s="98"/>
      <c r="H783" s="98"/>
      <c r="I783" s="98"/>
      <c r="J783" s="107">
        <v>0</v>
      </c>
      <c r="K783" s="141"/>
    </row>
    <row r="784" spans="3:11">
      <c r="C784" s="138" t="s">
        <v>1087</v>
      </c>
      <c r="D784" s="98"/>
      <c r="E784" s="98"/>
      <c r="F784" s="98"/>
      <c r="G784" s="98"/>
      <c r="H784" s="98"/>
      <c r="I784" s="98"/>
      <c r="J784" s="107">
        <v>0</v>
      </c>
      <c r="K784" s="141"/>
    </row>
    <row r="785" spans="3:11">
      <c r="C785" s="138" t="s">
        <v>555</v>
      </c>
      <c r="D785" s="98"/>
      <c r="E785" s="98"/>
      <c r="F785" s="98"/>
      <c r="G785" s="98"/>
      <c r="H785" s="98"/>
      <c r="I785" s="98"/>
      <c r="J785" s="107">
        <v>0</v>
      </c>
      <c r="K785" s="141"/>
    </row>
    <row r="786" spans="3:11">
      <c r="C786" s="138" t="s">
        <v>75</v>
      </c>
      <c r="D786" s="98"/>
      <c r="E786" s="98"/>
      <c r="F786" s="98"/>
      <c r="G786" s="98"/>
      <c r="H786" s="98"/>
      <c r="I786" s="98"/>
      <c r="J786" s="107">
        <v>0</v>
      </c>
      <c r="K786" s="141"/>
    </row>
    <row r="787" spans="3:11">
      <c r="C787" s="138" t="s">
        <v>236</v>
      </c>
      <c r="D787" s="98"/>
      <c r="E787" s="98"/>
      <c r="F787" s="98"/>
      <c r="G787" s="98"/>
      <c r="H787" s="98"/>
      <c r="I787" s="98"/>
      <c r="J787" s="107">
        <v>0</v>
      </c>
      <c r="K787" s="141"/>
    </row>
    <row r="788" spans="3:11">
      <c r="C788" s="138" t="s">
        <v>837</v>
      </c>
      <c r="D788" s="98"/>
      <c r="E788" s="98"/>
      <c r="F788" s="98"/>
      <c r="G788" s="98"/>
      <c r="H788" s="98"/>
      <c r="I788" s="98"/>
      <c r="J788" s="107">
        <v>0</v>
      </c>
      <c r="K788" s="141"/>
    </row>
    <row r="789" spans="3:11">
      <c r="C789" s="138" t="s">
        <v>118</v>
      </c>
      <c r="D789" s="98"/>
      <c r="E789" s="98"/>
      <c r="F789" s="98"/>
      <c r="G789" s="98"/>
      <c r="H789" s="98"/>
      <c r="I789" s="98"/>
      <c r="J789" s="107">
        <v>0</v>
      </c>
      <c r="K789" s="141"/>
    </row>
    <row r="790" spans="3:11">
      <c r="C790" s="138" t="s">
        <v>769</v>
      </c>
      <c r="D790" s="98"/>
      <c r="E790" s="98"/>
      <c r="F790" s="98"/>
      <c r="G790" s="98"/>
      <c r="H790" s="98"/>
      <c r="I790" s="98"/>
      <c r="J790" s="107">
        <v>0</v>
      </c>
      <c r="K790" s="141"/>
    </row>
    <row r="791" spans="3:11">
      <c r="C791" s="138" t="s">
        <v>1037</v>
      </c>
      <c r="D791" s="98"/>
      <c r="E791" s="98"/>
      <c r="F791" s="98"/>
      <c r="G791" s="98"/>
      <c r="H791" s="98"/>
      <c r="I791" s="98"/>
      <c r="J791" s="107">
        <v>0</v>
      </c>
      <c r="K791" s="141"/>
    </row>
    <row r="792" spans="3:11">
      <c r="C792" s="138" t="s">
        <v>956</v>
      </c>
      <c r="D792" s="98"/>
      <c r="E792" s="98"/>
      <c r="F792" s="98"/>
      <c r="G792" s="98"/>
      <c r="H792" s="98"/>
      <c r="I792" s="98"/>
      <c r="J792" s="107">
        <v>0</v>
      </c>
      <c r="K792" s="141"/>
    </row>
    <row r="793" spans="3:11">
      <c r="C793" s="138" t="s">
        <v>800</v>
      </c>
      <c r="D793" s="98"/>
      <c r="E793" s="98"/>
      <c r="F793" s="98"/>
      <c r="G793" s="98"/>
      <c r="H793" s="98"/>
      <c r="I793" s="98"/>
      <c r="J793" s="107">
        <v>0</v>
      </c>
      <c r="K793" s="141"/>
    </row>
    <row r="794" spans="3:11">
      <c r="C794" s="138" t="s">
        <v>1062</v>
      </c>
      <c r="D794" s="98"/>
      <c r="E794" s="98"/>
      <c r="F794" s="98"/>
      <c r="G794" s="98"/>
      <c r="H794" s="98"/>
      <c r="I794" s="98"/>
      <c r="J794" s="107">
        <v>0</v>
      </c>
      <c r="K794" s="141"/>
    </row>
    <row r="795" spans="3:11">
      <c r="C795" s="138" t="s">
        <v>787</v>
      </c>
      <c r="D795" s="98"/>
      <c r="E795" s="98"/>
      <c r="F795" s="98"/>
      <c r="G795" s="98"/>
      <c r="H795" s="98"/>
      <c r="I795" s="98"/>
      <c r="J795" s="107">
        <v>0</v>
      </c>
      <c r="K795" s="141"/>
    </row>
    <row r="796" spans="3:11">
      <c r="C796" s="138" t="s">
        <v>568</v>
      </c>
      <c r="D796" s="98"/>
      <c r="E796" s="98"/>
      <c r="F796" s="98"/>
      <c r="G796" s="98"/>
      <c r="H796" s="98"/>
      <c r="I796" s="98"/>
      <c r="J796" s="107">
        <v>0</v>
      </c>
      <c r="K796" s="141"/>
    </row>
    <row r="797" spans="3:11">
      <c r="C797" s="138" t="s">
        <v>590</v>
      </c>
      <c r="D797" s="98"/>
      <c r="E797" s="98"/>
      <c r="F797" s="98"/>
      <c r="G797" s="98"/>
      <c r="H797" s="98"/>
      <c r="I797" s="98"/>
      <c r="J797" s="107">
        <v>0</v>
      </c>
      <c r="K797" s="141"/>
    </row>
    <row r="798" spans="3:11">
      <c r="C798" s="138" t="s">
        <v>176</v>
      </c>
      <c r="D798" s="98"/>
      <c r="E798" s="98"/>
      <c r="F798" s="98"/>
      <c r="G798" s="98"/>
      <c r="H798" s="98"/>
      <c r="I798" s="98"/>
      <c r="J798" s="107">
        <v>0</v>
      </c>
      <c r="K798" s="141"/>
    </row>
    <row r="799" spans="3:11">
      <c r="C799" s="138" t="s">
        <v>587</v>
      </c>
      <c r="D799" s="98"/>
      <c r="E799" s="98"/>
      <c r="F799" s="98"/>
      <c r="G799" s="98"/>
      <c r="H799" s="98"/>
      <c r="I799" s="98"/>
      <c r="J799" s="107">
        <v>0</v>
      </c>
      <c r="K799" s="141"/>
    </row>
    <row r="800" spans="3:11">
      <c r="C800" s="138" t="s">
        <v>806</v>
      </c>
      <c r="D800" s="98"/>
      <c r="E800" s="98"/>
      <c r="F800" s="98"/>
      <c r="G800" s="98"/>
      <c r="H800" s="98"/>
      <c r="I800" s="98"/>
      <c r="J800" s="107">
        <v>0</v>
      </c>
      <c r="K800" s="141"/>
    </row>
    <row r="801" spans="3:11">
      <c r="C801" s="138" t="s">
        <v>329</v>
      </c>
      <c r="D801" s="98"/>
      <c r="E801" s="98"/>
      <c r="F801" s="98"/>
      <c r="G801" s="98"/>
      <c r="H801" s="98"/>
      <c r="I801" s="98"/>
      <c r="J801" s="107">
        <v>0</v>
      </c>
      <c r="K801" s="141"/>
    </row>
    <row r="802" spans="3:11">
      <c r="C802" s="138" t="s">
        <v>917</v>
      </c>
      <c r="D802" s="98"/>
      <c r="E802" s="98"/>
      <c r="F802" s="98"/>
      <c r="G802" s="98"/>
      <c r="H802" s="98"/>
      <c r="I802" s="98"/>
      <c r="J802" s="107">
        <v>0</v>
      </c>
      <c r="K802" s="141"/>
    </row>
    <row r="803" spans="3:11">
      <c r="C803" s="138" t="s">
        <v>249</v>
      </c>
      <c r="D803" s="98"/>
      <c r="E803" s="98"/>
      <c r="F803" s="98"/>
      <c r="G803" s="98"/>
      <c r="H803" s="98"/>
      <c r="I803" s="98"/>
      <c r="J803" s="107">
        <v>0</v>
      </c>
      <c r="K803" s="141"/>
    </row>
    <row r="804" spans="3:11">
      <c r="C804" s="138" t="s">
        <v>851</v>
      </c>
      <c r="D804" s="98"/>
      <c r="E804" s="98"/>
      <c r="F804" s="98"/>
      <c r="G804" s="98"/>
      <c r="H804" s="98"/>
      <c r="I804" s="98"/>
      <c r="J804" s="107">
        <v>0</v>
      </c>
      <c r="K804" s="141"/>
    </row>
    <row r="805" spans="3:11">
      <c r="C805" s="138" t="s">
        <v>241</v>
      </c>
      <c r="D805" s="98"/>
      <c r="E805" s="98"/>
      <c r="F805" s="98"/>
      <c r="G805" s="98"/>
      <c r="H805" s="98"/>
      <c r="I805" s="98"/>
      <c r="J805" s="107">
        <v>0</v>
      </c>
      <c r="K805" s="141"/>
    </row>
    <row r="806" spans="3:11">
      <c r="C806" s="138" t="s">
        <v>598</v>
      </c>
      <c r="D806" s="98"/>
      <c r="E806" s="98"/>
      <c r="F806" s="98"/>
      <c r="G806" s="98"/>
      <c r="H806" s="98"/>
      <c r="I806" s="98"/>
      <c r="J806" s="107">
        <v>0</v>
      </c>
      <c r="K806" s="141"/>
    </row>
    <row r="807" spans="3:11">
      <c r="C807" s="138" t="s">
        <v>1032</v>
      </c>
      <c r="D807" s="98"/>
      <c r="E807" s="98"/>
      <c r="F807" s="98"/>
      <c r="G807" s="98"/>
      <c r="H807" s="98"/>
      <c r="I807" s="98"/>
      <c r="J807" s="107">
        <v>0</v>
      </c>
      <c r="K807" s="141"/>
    </row>
    <row r="808" spans="3:11">
      <c r="C808" s="138" t="s">
        <v>770</v>
      </c>
      <c r="D808" s="98"/>
      <c r="E808" s="98"/>
      <c r="F808" s="98"/>
      <c r="G808" s="98"/>
      <c r="H808" s="98"/>
      <c r="I808" s="98"/>
      <c r="J808" s="107">
        <v>0</v>
      </c>
      <c r="K808" s="141"/>
    </row>
    <row r="809" spans="3:11">
      <c r="C809" s="138" t="s">
        <v>76</v>
      </c>
      <c r="D809" s="98"/>
      <c r="E809" s="98"/>
      <c r="F809" s="98"/>
      <c r="G809" s="98"/>
      <c r="H809" s="98"/>
      <c r="I809" s="98"/>
      <c r="J809" s="107">
        <v>0</v>
      </c>
      <c r="K809" s="141"/>
    </row>
    <row r="810" spans="3:11">
      <c r="C810" s="138" t="s">
        <v>849</v>
      </c>
      <c r="D810" s="98"/>
      <c r="E810" s="98"/>
      <c r="F810" s="98"/>
      <c r="G810" s="98"/>
      <c r="H810" s="98"/>
      <c r="I810" s="98"/>
      <c r="J810" s="107">
        <v>0</v>
      </c>
      <c r="K810" s="141"/>
    </row>
    <row r="811" spans="3:11">
      <c r="C811" s="138" t="s">
        <v>548</v>
      </c>
      <c r="D811" s="98"/>
      <c r="E811" s="98"/>
      <c r="F811" s="98"/>
      <c r="G811" s="98"/>
      <c r="H811" s="98"/>
      <c r="I811" s="98"/>
      <c r="J811" s="107">
        <v>0</v>
      </c>
      <c r="K811" s="141"/>
    </row>
    <row r="812" spans="3:11">
      <c r="C812" s="138" t="s">
        <v>762</v>
      </c>
      <c r="D812" s="98"/>
      <c r="E812" s="98"/>
      <c r="F812" s="98"/>
      <c r="G812" s="98"/>
      <c r="H812" s="98"/>
      <c r="I812" s="98"/>
      <c r="J812" s="107">
        <v>0</v>
      </c>
      <c r="K812" s="141"/>
    </row>
    <row r="813" spans="3:11">
      <c r="C813" s="138" t="s">
        <v>332</v>
      </c>
      <c r="D813" s="98"/>
      <c r="E813" s="98"/>
      <c r="F813" s="98"/>
      <c r="G813" s="98"/>
      <c r="H813" s="98"/>
      <c r="I813" s="98"/>
      <c r="J813" s="107">
        <v>0</v>
      </c>
      <c r="K813" s="141"/>
    </row>
    <row r="814" spans="3:11">
      <c r="C814" s="138" t="s">
        <v>1114</v>
      </c>
      <c r="D814" s="98"/>
      <c r="E814" s="98"/>
      <c r="F814" s="98"/>
      <c r="G814" s="98"/>
      <c r="H814" s="98"/>
      <c r="I814" s="98"/>
      <c r="J814" s="107">
        <v>0</v>
      </c>
      <c r="K814" s="141"/>
    </row>
    <row r="815" spans="3:11">
      <c r="C815" s="138" t="s">
        <v>654</v>
      </c>
      <c r="D815" s="98"/>
      <c r="E815" s="98"/>
      <c r="F815" s="98"/>
      <c r="G815" s="98"/>
      <c r="H815" s="98"/>
      <c r="I815" s="98"/>
      <c r="J815" s="107">
        <v>0</v>
      </c>
      <c r="K815" s="141"/>
    </row>
    <row r="816" spans="3:11">
      <c r="C816" s="138" t="s">
        <v>1119</v>
      </c>
      <c r="D816" s="98"/>
      <c r="E816" s="98"/>
      <c r="F816" s="98"/>
      <c r="G816" s="98"/>
      <c r="H816" s="98"/>
      <c r="I816" s="98"/>
      <c r="J816" s="107">
        <v>0</v>
      </c>
      <c r="K816" s="141"/>
    </row>
    <row r="817" spans="3:11">
      <c r="C817" s="138" t="s">
        <v>691</v>
      </c>
      <c r="D817" s="98"/>
      <c r="E817" s="98"/>
      <c r="F817" s="98"/>
      <c r="G817" s="98"/>
      <c r="H817" s="98"/>
      <c r="I817" s="98"/>
      <c r="J817" s="107">
        <v>0</v>
      </c>
      <c r="K817" s="141"/>
    </row>
    <row r="818" spans="3:11">
      <c r="C818" s="138" t="s">
        <v>1066</v>
      </c>
      <c r="D818" s="98"/>
      <c r="E818" s="98"/>
      <c r="F818" s="98"/>
      <c r="G818" s="98"/>
      <c r="H818" s="98"/>
      <c r="I818" s="98"/>
      <c r="J818" s="107">
        <v>0</v>
      </c>
      <c r="K818" s="141"/>
    </row>
    <row r="819" spans="3:11">
      <c r="C819" s="138" t="s">
        <v>861</v>
      </c>
      <c r="D819" s="98"/>
      <c r="E819" s="98"/>
      <c r="F819" s="98"/>
      <c r="G819" s="98"/>
      <c r="H819" s="98"/>
      <c r="I819" s="98"/>
      <c r="J819" s="107">
        <v>0</v>
      </c>
      <c r="K819" s="141"/>
    </row>
    <row r="820" spans="3:11">
      <c r="C820" s="138" t="s">
        <v>370</v>
      </c>
      <c r="D820" s="98"/>
      <c r="E820" s="98"/>
      <c r="F820" s="98"/>
      <c r="G820" s="98"/>
      <c r="H820" s="98"/>
      <c r="I820" s="98"/>
      <c r="J820" s="107">
        <v>0</v>
      </c>
      <c r="K820" s="141"/>
    </row>
    <row r="821" spans="3:11">
      <c r="C821" s="138" t="s">
        <v>1058</v>
      </c>
      <c r="D821" s="98"/>
      <c r="E821" s="98"/>
      <c r="F821" s="98"/>
      <c r="G821" s="98"/>
      <c r="H821" s="98"/>
      <c r="I821" s="98"/>
      <c r="J821" s="107">
        <v>0</v>
      </c>
      <c r="K821" s="141"/>
    </row>
    <row r="822" spans="3:11">
      <c r="C822" s="138" t="s">
        <v>509</v>
      </c>
      <c r="D822" s="98"/>
      <c r="E822" s="98"/>
      <c r="F822" s="98"/>
      <c r="G822" s="98"/>
      <c r="H822" s="98"/>
      <c r="I822" s="98"/>
      <c r="J822" s="107">
        <v>0</v>
      </c>
      <c r="K822" s="141"/>
    </row>
    <row r="823" spans="3:11">
      <c r="C823" s="138" t="s">
        <v>680</v>
      </c>
      <c r="D823" s="98"/>
      <c r="E823" s="98"/>
      <c r="F823" s="98"/>
      <c r="G823" s="98"/>
      <c r="H823" s="98"/>
      <c r="I823" s="98"/>
      <c r="J823" s="107">
        <v>0</v>
      </c>
      <c r="K823" s="141"/>
    </row>
    <row r="824" spans="3:11">
      <c r="C824" s="138" t="s">
        <v>443</v>
      </c>
      <c r="D824" s="98"/>
      <c r="E824" s="98"/>
      <c r="F824" s="98"/>
      <c r="G824" s="98"/>
      <c r="H824" s="98"/>
      <c r="I824" s="98"/>
      <c r="J824" s="107">
        <v>0</v>
      </c>
      <c r="K824" s="141"/>
    </row>
    <row r="825" spans="3:11">
      <c r="C825" s="138" t="s">
        <v>160</v>
      </c>
      <c r="D825" s="98"/>
      <c r="E825" s="98"/>
      <c r="F825" s="98"/>
      <c r="G825" s="98"/>
      <c r="H825" s="98"/>
      <c r="I825" s="98"/>
      <c r="J825" s="107">
        <v>0</v>
      </c>
      <c r="K825" s="141"/>
    </row>
    <row r="826" spans="3:11">
      <c r="C826" s="138" t="s">
        <v>360</v>
      </c>
      <c r="D826" s="98"/>
      <c r="E826" s="98"/>
      <c r="F826" s="98"/>
      <c r="G826" s="98"/>
      <c r="H826" s="98"/>
      <c r="I826" s="98"/>
      <c r="J826" s="107">
        <v>0</v>
      </c>
      <c r="K826" s="141"/>
    </row>
    <row r="827" spans="3:11">
      <c r="C827" s="138" t="s">
        <v>690</v>
      </c>
      <c r="D827" s="98"/>
      <c r="E827" s="98"/>
      <c r="F827" s="98"/>
      <c r="G827" s="98"/>
      <c r="H827" s="98"/>
      <c r="I827" s="98"/>
      <c r="J827" s="107">
        <v>0</v>
      </c>
      <c r="K827" s="141"/>
    </row>
    <row r="828" spans="3:11">
      <c r="C828" s="138" t="s">
        <v>733</v>
      </c>
      <c r="D828" s="98"/>
      <c r="E828" s="98"/>
      <c r="F828" s="98"/>
      <c r="G828" s="98"/>
      <c r="H828" s="98"/>
      <c r="I828" s="98"/>
      <c r="J828" s="107">
        <v>0</v>
      </c>
      <c r="K828" s="141"/>
    </row>
    <row r="829" spans="3:11">
      <c r="C829" s="138" t="s">
        <v>1112</v>
      </c>
      <c r="D829" s="98"/>
      <c r="E829" s="98"/>
      <c r="F829" s="98"/>
      <c r="G829" s="98"/>
      <c r="H829" s="98"/>
      <c r="I829" s="98"/>
      <c r="J829" s="107">
        <v>0</v>
      </c>
      <c r="K829" s="141"/>
    </row>
    <row r="830" spans="3:11">
      <c r="C830" s="138" t="s">
        <v>1061</v>
      </c>
      <c r="D830" s="98"/>
      <c r="E830" s="98"/>
      <c r="F830" s="98"/>
      <c r="G830" s="98"/>
      <c r="H830" s="98"/>
      <c r="I830" s="98"/>
      <c r="J830" s="107">
        <v>0</v>
      </c>
      <c r="K830" s="141"/>
    </row>
    <row r="831" spans="3:11">
      <c r="C831" s="138" t="s">
        <v>277</v>
      </c>
      <c r="D831" s="98"/>
      <c r="E831" s="98"/>
      <c r="F831" s="98"/>
      <c r="G831" s="98"/>
      <c r="H831" s="98"/>
      <c r="I831" s="98"/>
      <c r="J831" s="107">
        <v>0</v>
      </c>
      <c r="K831" s="141"/>
    </row>
    <row r="832" spans="3:11">
      <c r="C832" s="138" t="s">
        <v>623</v>
      </c>
      <c r="D832" s="98"/>
      <c r="E832" s="98"/>
      <c r="F832" s="98"/>
      <c r="G832" s="98"/>
      <c r="H832" s="98"/>
      <c r="I832" s="98"/>
      <c r="J832" s="107">
        <v>0</v>
      </c>
      <c r="K832" s="141"/>
    </row>
    <row r="833" spans="3:11">
      <c r="C833" s="138" t="s">
        <v>363</v>
      </c>
      <c r="D833" s="98"/>
      <c r="E833" s="98"/>
      <c r="F833" s="98"/>
      <c r="G833" s="98"/>
      <c r="H833" s="98"/>
      <c r="I833" s="98"/>
      <c r="J833" s="107">
        <v>0</v>
      </c>
      <c r="K833" s="141"/>
    </row>
    <row r="834" spans="3:11">
      <c r="C834" s="138" t="s">
        <v>493</v>
      </c>
      <c r="D834" s="98"/>
      <c r="E834" s="98"/>
      <c r="F834" s="98"/>
      <c r="G834" s="98"/>
      <c r="H834" s="98"/>
      <c r="I834" s="98"/>
      <c r="J834" s="107">
        <v>0</v>
      </c>
      <c r="K834" s="141"/>
    </row>
    <row r="835" spans="3:11">
      <c r="C835" s="138" t="s">
        <v>918</v>
      </c>
      <c r="D835" s="98"/>
      <c r="E835" s="98"/>
      <c r="F835" s="98"/>
      <c r="G835" s="98"/>
      <c r="H835" s="98"/>
      <c r="I835" s="98"/>
      <c r="J835" s="107">
        <v>0</v>
      </c>
      <c r="K835" s="141"/>
    </row>
    <row r="836" spans="3:11">
      <c r="C836" s="138" t="s">
        <v>681</v>
      </c>
      <c r="D836" s="98"/>
      <c r="E836" s="98"/>
      <c r="F836" s="98"/>
      <c r="G836" s="98"/>
      <c r="H836" s="98"/>
      <c r="I836" s="98"/>
      <c r="J836" s="107">
        <v>0</v>
      </c>
      <c r="K836" s="141"/>
    </row>
    <row r="837" spans="3:11">
      <c r="C837" s="138" t="s">
        <v>950</v>
      </c>
      <c r="D837" s="98"/>
      <c r="E837" s="98"/>
      <c r="F837" s="98"/>
      <c r="G837" s="98"/>
      <c r="H837" s="98"/>
      <c r="I837" s="98"/>
      <c r="J837" s="107">
        <v>0</v>
      </c>
      <c r="K837" s="141"/>
    </row>
    <row r="838" spans="3:11">
      <c r="C838" s="138" t="s">
        <v>131</v>
      </c>
      <c r="D838" s="98"/>
      <c r="E838" s="98"/>
      <c r="F838" s="98"/>
      <c r="G838" s="98"/>
      <c r="H838" s="98"/>
      <c r="I838" s="98"/>
      <c r="J838" s="107">
        <v>0</v>
      </c>
      <c r="K838" s="141"/>
    </row>
    <row r="839" spans="3:11">
      <c r="C839" s="138" t="s">
        <v>154</v>
      </c>
      <c r="D839" s="98"/>
      <c r="E839" s="98"/>
      <c r="F839" s="98"/>
      <c r="G839" s="98"/>
      <c r="H839" s="98"/>
      <c r="I839" s="98"/>
      <c r="J839" s="107">
        <v>0</v>
      </c>
      <c r="K839" s="141"/>
    </row>
    <row r="840" spans="3:11">
      <c r="C840" s="138" t="s">
        <v>642</v>
      </c>
      <c r="D840" s="98"/>
      <c r="E840" s="98"/>
      <c r="F840" s="98"/>
      <c r="G840" s="98"/>
      <c r="H840" s="98"/>
      <c r="I840" s="98"/>
      <c r="J840" s="107">
        <v>0</v>
      </c>
      <c r="K840" s="141"/>
    </row>
    <row r="841" spans="3:11">
      <c r="C841" s="138" t="s">
        <v>670</v>
      </c>
      <c r="D841" s="98"/>
      <c r="E841" s="98"/>
      <c r="F841" s="98"/>
      <c r="G841" s="98"/>
      <c r="H841" s="98"/>
      <c r="I841" s="98"/>
      <c r="J841" s="107">
        <v>0</v>
      </c>
      <c r="K841" s="141"/>
    </row>
    <row r="842" spans="3:11">
      <c r="C842" s="138" t="s">
        <v>250</v>
      </c>
      <c r="D842" s="98"/>
      <c r="E842" s="98"/>
      <c r="F842" s="98"/>
      <c r="G842" s="98"/>
      <c r="H842" s="98"/>
      <c r="I842" s="98"/>
      <c r="J842" s="107">
        <v>0</v>
      </c>
      <c r="K842" s="141"/>
    </row>
    <row r="843" spans="3:11">
      <c r="C843" s="138" t="s">
        <v>637</v>
      </c>
      <c r="D843" s="98"/>
      <c r="E843" s="98"/>
      <c r="F843" s="98"/>
      <c r="G843" s="98"/>
      <c r="H843" s="98"/>
      <c r="I843" s="98"/>
      <c r="J843" s="107">
        <v>0</v>
      </c>
      <c r="K843" s="141"/>
    </row>
    <row r="844" spans="3:11">
      <c r="C844" s="138" t="s">
        <v>298</v>
      </c>
      <c r="D844" s="98"/>
      <c r="E844" s="98"/>
      <c r="F844" s="98"/>
      <c r="G844" s="98"/>
      <c r="H844" s="98"/>
      <c r="I844" s="98"/>
      <c r="J844" s="107">
        <v>0</v>
      </c>
      <c r="K844" s="141"/>
    </row>
    <row r="845" spans="3:11">
      <c r="C845" s="138" t="s">
        <v>479</v>
      </c>
      <c r="D845" s="98"/>
      <c r="E845" s="98"/>
      <c r="F845" s="98"/>
      <c r="G845" s="98"/>
      <c r="H845" s="98"/>
      <c r="I845" s="98"/>
      <c r="J845" s="107">
        <v>0</v>
      </c>
      <c r="K845" s="141"/>
    </row>
    <row r="846" spans="3:11">
      <c r="C846" s="138" t="s">
        <v>405</v>
      </c>
      <c r="D846" s="98"/>
      <c r="E846" s="98"/>
      <c r="F846" s="98"/>
      <c r="G846" s="98"/>
      <c r="H846" s="98"/>
      <c r="I846" s="98"/>
      <c r="J846" s="107">
        <v>0</v>
      </c>
      <c r="K846" s="141"/>
    </row>
    <row r="847" spans="3:11">
      <c r="C847" s="138" t="s">
        <v>878</v>
      </c>
      <c r="D847" s="98"/>
      <c r="E847" s="98"/>
      <c r="F847" s="98"/>
      <c r="G847" s="98"/>
      <c r="H847" s="98"/>
      <c r="I847" s="98"/>
      <c r="J847" s="107">
        <v>0</v>
      </c>
      <c r="K847" s="141"/>
    </row>
    <row r="848" spans="3:11">
      <c r="C848" s="138" t="s">
        <v>752</v>
      </c>
      <c r="D848" s="98"/>
      <c r="E848" s="98"/>
      <c r="F848" s="98"/>
      <c r="G848" s="98"/>
      <c r="H848" s="98"/>
      <c r="I848" s="98"/>
      <c r="J848" s="107">
        <v>0</v>
      </c>
      <c r="K848" s="141"/>
    </row>
    <row r="849" spans="3:11">
      <c r="C849" s="138" t="s">
        <v>358</v>
      </c>
      <c r="D849" s="98"/>
      <c r="E849" s="98"/>
      <c r="F849" s="98"/>
      <c r="G849" s="98"/>
      <c r="H849" s="98"/>
      <c r="I849" s="98"/>
      <c r="J849" s="107">
        <v>0</v>
      </c>
      <c r="K849" s="141"/>
    </row>
    <row r="850" spans="3:11">
      <c r="C850" s="138" t="s">
        <v>288</v>
      </c>
      <c r="D850" s="98"/>
      <c r="E850" s="98"/>
      <c r="F850" s="98"/>
      <c r="G850" s="98"/>
      <c r="H850" s="98"/>
      <c r="I850" s="98"/>
      <c r="J850" s="107">
        <v>0</v>
      </c>
      <c r="K850" s="141"/>
    </row>
    <row r="851" spans="3:11">
      <c r="C851" s="138" t="s">
        <v>491</v>
      </c>
      <c r="D851" s="98"/>
      <c r="E851" s="98"/>
      <c r="F851" s="98"/>
      <c r="G851" s="98"/>
      <c r="H851" s="98"/>
      <c r="I851" s="98"/>
      <c r="J851" s="107">
        <v>0</v>
      </c>
      <c r="K851" s="141"/>
    </row>
    <row r="852" spans="3:11">
      <c r="C852" s="138" t="s">
        <v>608</v>
      </c>
      <c r="D852" s="98"/>
      <c r="E852" s="98"/>
      <c r="F852" s="98"/>
      <c r="G852" s="98"/>
      <c r="H852" s="98"/>
      <c r="I852" s="98"/>
      <c r="J852" s="107">
        <v>0</v>
      </c>
      <c r="K852" s="141"/>
    </row>
    <row r="853" spans="3:11">
      <c r="C853" s="138" t="s">
        <v>1019</v>
      </c>
      <c r="D853" s="98"/>
      <c r="E853" s="98"/>
      <c r="F853" s="98"/>
      <c r="G853" s="98"/>
      <c r="H853" s="98"/>
      <c r="I853" s="98"/>
      <c r="J853" s="107">
        <v>0</v>
      </c>
      <c r="K853" s="141"/>
    </row>
    <row r="854" spans="3:11">
      <c r="C854" s="138" t="s">
        <v>432</v>
      </c>
      <c r="D854" s="98"/>
      <c r="E854" s="98"/>
      <c r="F854" s="98"/>
      <c r="G854" s="98"/>
      <c r="H854" s="98"/>
      <c r="I854" s="98"/>
      <c r="J854" s="107">
        <v>0</v>
      </c>
      <c r="K854" s="141"/>
    </row>
    <row r="855" spans="3:11">
      <c r="C855" s="138" t="s">
        <v>516</v>
      </c>
      <c r="D855" s="98"/>
      <c r="E855" s="98"/>
      <c r="F855" s="98"/>
      <c r="G855" s="98"/>
      <c r="H855" s="98"/>
      <c r="I855" s="98"/>
      <c r="J855" s="107">
        <v>0</v>
      </c>
      <c r="K855" s="141"/>
    </row>
    <row r="856" spans="3:11">
      <c r="C856" s="138" t="s">
        <v>830</v>
      </c>
      <c r="D856" s="98"/>
      <c r="E856" s="98"/>
      <c r="F856" s="98"/>
      <c r="G856" s="98"/>
      <c r="H856" s="98"/>
      <c r="I856" s="98"/>
      <c r="J856" s="107">
        <v>0</v>
      </c>
      <c r="K856" s="141"/>
    </row>
    <row r="857" spans="3:11">
      <c r="C857" s="138" t="s">
        <v>506</v>
      </c>
      <c r="D857" s="98"/>
      <c r="E857" s="98"/>
      <c r="F857" s="98"/>
      <c r="G857" s="98"/>
      <c r="H857" s="98"/>
      <c r="I857" s="98"/>
      <c r="J857" s="107">
        <v>0</v>
      </c>
      <c r="K857" s="141"/>
    </row>
    <row r="858" spans="3:11">
      <c r="C858" s="138" t="s">
        <v>973</v>
      </c>
      <c r="D858" s="98"/>
      <c r="E858" s="98"/>
      <c r="F858" s="98"/>
      <c r="G858" s="98"/>
      <c r="H858" s="98"/>
      <c r="I858" s="98"/>
      <c r="J858" s="107">
        <v>0</v>
      </c>
      <c r="K858" s="141"/>
    </row>
    <row r="859" spans="3:11">
      <c r="C859" s="138" t="s">
        <v>420</v>
      </c>
      <c r="D859" s="98"/>
      <c r="E859" s="98"/>
      <c r="F859" s="98"/>
      <c r="G859" s="98"/>
      <c r="H859" s="98"/>
      <c r="I859" s="98"/>
      <c r="J859" s="107">
        <v>0</v>
      </c>
      <c r="K859" s="141"/>
    </row>
    <row r="860" spans="3:11">
      <c r="C860" s="138" t="s">
        <v>502</v>
      </c>
      <c r="D860" s="98"/>
      <c r="E860" s="98"/>
      <c r="F860" s="98"/>
      <c r="G860" s="98"/>
      <c r="H860" s="98"/>
      <c r="I860" s="98"/>
      <c r="J860" s="107">
        <v>0</v>
      </c>
      <c r="K860" s="141"/>
    </row>
    <row r="861" spans="3:11">
      <c r="C861" s="138" t="s">
        <v>1074</v>
      </c>
      <c r="D861" s="98"/>
      <c r="E861" s="98"/>
      <c r="F861" s="98"/>
      <c r="G861" s="98"/>
      <c r="H861" s="98"/>
      <c r="I861" s="98"/>
      <c r="J861" s="107">
        <v>0</v>
      </c>
      <c r="K861" s="141"/>
    </row>
    <row r="862" spans="3:11">
      <c r="C862" s="138" t="s">
        <v>1110</v>
      </c>
      <c r="D862" s="98"/>
      <c r="E862" s="98"/>
      <c r="F862" s="98"/>
      <c r="G862" s="98"/>
      <c r="H862" s="98"/>
      <c r="I862" s="98"/>
      <c r="J862" s="107">
        <v>0</v>
      </c>
      <c r="K862" s="141"/>
    </row>
    <row r="863" spans="3:11">
      <c r="C863" s="138" t="s">
        <v>960</v>
      </c>
      <c r="D863" s="98"/>
      <c r="E863" s="98"/>
      <c r="F863" s="98"/>
      <c r="G863" s="98"/>
      <c r="H863" s="98"/>
      <c r="I863" s="98"/>
      <c r="J863" s="107">
        <v>0</v>
      </c>
      <c r="K863" s="141"/>
    </row>
    <row r="864" spans="3:11">
      <c r="C864" s="138" t="s">
        <v>844</v>
      </c>
      <c r="D864" s="98"/>
      <c r="E864" s="98"/>
      <c r="F864" s="98"/>
      <c r="G864" s="98"/>
      <c r="H864" s="98"/>
      <c r="I864" s="98"/>
      <c r="J864" s="107">
        <v>0</v>
      </c>
      <c r="K864" s="141"/>
    </row>
    <row r="865" spans="3:11">
      <c r="C865" s="138" t="s">
        <v>457</v>
      </c>
      <c r="D865" s="98"/>
      <c r="E865" s="98"/>
      <c r="F865" s="98"/>
      <c r="G865" s="98"/>
      <c r="H865" s="98"/>
      <c r="I865" s="98"/>
      <c r="J865" s="107">
        <v>0</v>
      </c>
      <c r="K865" s="141"/>
    </row>
    <row r="866" spans="3:11">
      <c r="C866" s="138" t="s">
        <v>876</v>
      </c>
      <c r="D866" s="98"/>
      <c r="E866" s="98"/>
      <c r="F866" s="98"/>
      <c r="G866" s="98"/>
      <c r="H866" s="98"/>
      <c r="I866" s="98"/>
      <c r="J866" s="107">
        <v>0</v>
      </c>
      <c r="K866" s="141"/>
    </row>
    <row r="867" spans="3:11">
      <c r="C867" s="138" t="s">
        <v>991</v>
      </c>
      <c r="D867" s="98"/>
      <c r="E867" s="98"/>
      <c r="F867" s="98"/>
      <c r="G867" s="98"/>
      <c r="H867" s="98"/>
      <c r="I867" s="98"/>
      <c r="J867" s="107">
        <v>0</v>
      </c>
      <c r="K867" s="141"/>
    </row>
    <row r="868" spans="3:11">
      <c r="C868" s="138" t="s">
        <v>634</v>
      </c>
      <c r="D868" s="98"/>
      <c r="E868" s="98"/>
      <c r="F868" s="98"/>
      <c r="G868" s="98"/>
      <c r="H868" s="98"/>
      <c r="I868" s="98"/>
      <c r="J868" s="107">
        <v>0</v>
      </c>
      <c r="K868" s="141"/>
    </row>
    <row r="869" spans="3:11">
      <c r="C869" s="138" t="s">
        <v>1021</v>
      </c>
      <c r="D869" s="98"/>
      <c r="E869" s="98"/>
      <c r="F869" s="98"/>
      <c r="G869" s="98"/>
      <c r="H869" s="98"/>
      <c r="I869" s="98"/>
      <c r="J869" s="107">
        <v>0</v>
      </c>
      <c r="K869" s="141"/>
    </row>
    <row r="870" spans="3:11">
      <c r="C870" s="138" t="s">
        <v>378</v>
      </c>
      <c r="D870" s="98"/>
      <c r="E870" s="98"/>
      <c r="F870" s="98"/>
      <c r="G870" s="98"/>
      <c r="H870" s="98"/>
      <c r="I870" s="98"/>
      <c r="J870" s="107">
        <v>0</v>
      </c>
      <c r="K870" s="141"/>
    </row>
    <row r="871" spans="3:11">
      <c r="C871" s="138" t="s">
        <v>1107</v>
      </c>
      <c r="D871" s="98"/>
      <c r="E871" s="98"/>
      <c r="F871" s="98"/>
      <c r="G871" s="98"/>
      <c r="H871" s="98"/>
      <c r="I871" s="98"/>
      <c r="J871" s="107">
        <v>0</v>
      </c>
      <c r="K871" s="141"/>
    </row>
    <row r="872" spans="3:11">
      <c r="C872" s="138" t="s">
        <v>717</v>
      </c>
      <c r="D872" s="98"/>
      <c r="E872" s="98"/>
      <c r="F872" s="98"/>
      <c r="G872" s="98"/>
      <c r="H872" s="98"/>
      <c r="I872" s="98"/>
      <c r="J872" s="107">
        <v>0</v>
      </c>
      <c r="K872" s="141"/>
    </row>
    <row r="873" spans="3:11">
      <c r="C873" s="138" t="s">
        <v>222</v>
      </c>
      <c r="D873" s="98"/>
      <c r="E873" s="98"/>
      <c r="F873" s="98"/>
      <c r="G873" s="98"/>
      <c r="H873" s="98"/>
      <c r="I873" s="98"/>
      <c r="J873" s="107">
        <v>0</v>
      </c>
      <c r="K873" s="141"/>
    </row>
    <row r="874" spans="3:11">
      <c r="C874" s="138" t="s">
        <v>271</v>
      </c>
      <c r="D874" s="98"/>
      <c r="E874" s="98"/>
      <c r="F874" s="98"/>
      <c r="G874" s="98"/>
      <c r="H874" s="98"/>
      <c r="I874" s="98"/>
      <c r="J874" s="107">
        <v>0</v>
      </c>
      <c r="K874" s="141"/>
    </row>
    <row r="875" spans="3:11">
      <c r="C875" s="138" t="s">
        <v>881</v>
      </c>
      <c r="D875" s="98"/>
      <c r="E875" s="98"/>
      <c r="F875" s="98"/>
      <c r="G875" s="98"/>
      <c r="H875" s="98"/>
      <c r="I875" s="98"/>
      <c r="J875" s="107">
        <v>0</v>
      </c>
      <c r="K875" s="141"/>
    </row>
    <row r="876" spans="3:11">
      <c r="C876" s="138" t="s">
        <v>979</v>
      </c>
      <c r="D876" s="98"/>
      <c r="E876" s="98"/>
      <c r="F876" s="98"/>
      <c r="G876" s="98"/>
      <c r="H876" s="98"/>
      <c r="I876" s="98"/>
      <c r="J876" s="107">
        <v>0</v>
      </c>
      <c r="K876" s="141"/>
    </row>
    <row r="877" spans="3:11">
      <c r="C877" s="138" t="s">
        <v>1067</v>
      </c>
      <c r="D877" s="98"/>
      <c r="E877" s="98"/>
      <c r="F877" s="98"/>
      <c r="G877" s="98"/>
      <c r="H877" s="98"/>
      <c r="I877" s="98"/>
      <c r="J877" s="107">
        <v>0</v>
      </c>
      <c r="K877" s="141"/>
    </row>
    <row r="878" spans="3:11">
      <c r="C878" s="138" t="s">
        <v>578</v>
      </c>
      <c r="D878" s="98"/>
      <c r="E878" s="98"/>
      <c r="F878" s="98"/>
      <c r="G878" s="98"/>
      <c r="H878" s="98"/>
      <c r="I878" s="98"/>
      <c r="J878" s="107">
        <v>0</v>
      </c>
      <c r="K878" s="141"/>
    </row>
    <row r="879" spans="3:11">
      <c r="C879" s="138" t="s">
        <v>903</v>
      </c>
      <c r="D879" s="98"/>
      <c r="E879" s="98"/>
      <c r="F879" s="98"/>
      <c r="G879" s="98"/>
      <c r="H879" s="98"/>
      <c r="I879" s="98"/>
      <c r="J879" s="107">
        <v>0</v>
      </c>
      <c r="K879" s="141"/>
    </row>
    <row r="880" spans="3:11">
      <c r="C880" s="138" t="s">
        <v>621</v>
      </c>
      <c r="D880" s="98"/>
      <c r="E880" s="98"/>
      <c r="F880" s="98"/>
      <c r="G880" s="98"/>
      <c r="H880" s="98"/>
      <c r="I880" s="98"/>
      <c r="J880" s="107">
        <v>0</v>
      </c>
      <c r="K880" s="141"/>
    </row>
    <row r="881" spans="3:11">
      <c r="C881" s="138" t="s">
        <v>431</v>
      </c>
      <c r="D881" s="98"/>
      <c r="E881" s="98"/>
      <c r="F881" s="98"/>
      <c r="G881" s="98"/>
      <c r="H881" s="98"/>
      <c r="I881" s="98"/>
      <c r="J881" s="107">
        <v>0</v>
      </c>
      <c r="K881" s="141"/>
    </row>
    <row r="882" spans="3:11">
      <c r="C882" s="138" t="s">
        <v>761</v>
      </c>
      <c r="D882" s="98"/>
      <c r="E882" s="98"/>
      <c r="F882" s="98"/>
      <c r="G882" s="98"/>
      <c r="H882" s="98"/>
      <c r="I882" s="98"/>
      <c r="J882" s="107">
        <v>0</v>
      </c>
      <c r="K882" s="141"/>
    </row>
    <row r="883" spans="3:11">
      <c r="C883" s="138" t="s">
        <v>744</v>
      </c>
      <c r="D883" s="98"/>
      <c r="E883" s="98"/>
      <c r="F883" s="98"/>
      <c r="G883" s="98"/>
      <c r="H883" s="98"/>
      <c r="I883" s="98"/>
      <c r="J883" s="107">
        <v>0</v>
      </c>
      <c r="K883" s="141"/>
    </row>
    <row r="884" spans="3:11">
      <c r="C884" s="138" t="s">
        <v>124</v>
      </c>
      <c r="D884" s="98"/>
      <c r="E884" s="98"/>
      <c r="F884" s="98"/>
      <c r="G884" s="98"/>
      <c r="H884" s="98"/>
      <c r="I884" s="98"/>
      <c r="J884" s="107">
        <v>0</v>
      </c>
      <c r="K884" s="141"/>
    </row>
    <row r="885" spans="3:11">
      <c r="C885" s="138" t="s">
        <v>607</v>
      </c>
      <c r="D885" s="98"/>
      <c r="E885" s="98"/>
      <c r="F885" s="98"/>
      <c r="G885" s="98"/>
      <c r="H885" s="98"/>
      <c r="I885" s="98"/>
      <c r="J885" s="107">
        <v>0</v>
      </c>
      <c r="K885" s="141"/>
    </row>
    <row r="886" spans="3:11">
      <c r="C886" s="138" t="s">
        <v>1015</v>
      </c>
      <c r="D886" s="98"/>
      <c r="E886" s="98"/>
      <c r="F886" s="98"/>
      <c r="G886" s="98"/>
      <c r="H886" s="98"/>
      <c r="I886" s="98"/>
      <c r="J886" s="107">
        <v>0</v>
      </c>
      <c r="K886" s="141"/>
    </row>
    <row r="887" spans="3:11">
      <c r="C887" s="138" t="s">
        <v>989</v>
      </c>
      <c r="D887" s="98"/>
      <c r="E887" s="98"/>
      <c r="F887" s="98"/>
      <c r="G887" s="98"/>
      <c r="H887" s="98"/>
      <c r="I887" s="98"/>
      <c r="J887" s="107">
        <v>0</v>
      </c>
      <c r="K887" s="141"/>
    </row>
    <row r="888" spans="3:11">
      <c r="C888" s="138" t="s">
        <v>1045</v>
      </c>
      <c r="D888" s="98"/>
      <c r="E888" s="98"/>
      <c r="F888" s="98"/>
      <c r="G888" s="98"/>
      <c r="H888" s="98"/>
      <c r="I888" s="98"/>
      <c r="J888" s="107">
        <v>0</v>
      </c>
      <c r="K888" s="141"/>
    </row>
    <row r="889" spans="3:11">
      <c r="C889" s="138" t="s">
        <v>475</v>
      </c>
      <c r="D889" s="98"/>
      <c r="E889" s="98"/>
      <c r="F889" s="98"/>
      <c r="G889" s="98"/>
      <c r="H889" s="98"/>
      <c r="I889" s="98"/>
      <c r="J889" s="107">
        <v>0</v>
      </c>
      <c r="K889" s="141"/>
    </row>
    <row r="890" spans="3:11">
      <c r="C890" s="138" t="s">
        <v>1009</v>
      </c>
      <c r="D890" s="98"/>
      <c r="E890" s="98"/>
      <c r="F890" s="98"/>
      <c r="G890" s="98"/>
      <c r="H890" s="98"/>
      <c r="I890" s="98"/>
      <c r="J890" s="107">
        <v>0</v>
      </c>
      <c r="K890" s="141"/>
    </row>
    <row r="891" spans="3:11">
      <c r="C891" s="138" t="s">
        <v>180</v>
      </c>
      <c r="D891" s="98"/>
      <c r="E891" s="98"/>
      <c r="F891" s="98"/>
      <c r="G891" s="98"/>
      <c r="H891" s="98"/>
      <c r="I891" s="98"/>
      <c r="J891" s="107">
        <v>0</v>
      </c>
      <c r="K891" s="141"/>
    </row>
    <row r="892" spans="3:11">
      <c r="C892" s="138" t="s">
        <v>554</v>
      </c>
      <c r="D892" s="98"/>
      <c r="E892" s="98"/>
      <c r="F892" s="98"/>
      <c r="G892" s="98"/>
      <c r="H892" s="98"/>
      <c r="I892" s="98"/>
      <c r="J892" s="107">
        <v>0</v>
      </c>
      <c r="K892" s="141"/>
    </row>
    <row r="893" spans="3:11">
      <c r="C893" s="138" t="s">
        <v>967</v>
      </c>
      <c r="D893" s="98"/>
      <c r="E893" s="98"/>
      <c r="F893" s="98"/>
      <c r="G893" s="98"/>
      <c r="H893" s="98"/>
      <c r="I893" s="98"/>
      <c r="J893" s="107">
        <v>0</v>
      </c>
      <c r="K893" s="141"/>
    </row>
    <row r="894" spans="3:11">
      <c r="C894" s="138" t="s">
        <v>427</v>
      </c>
      <c r="D894" s="98"/>
      <c r="E894" s="98"/>
      <c r="F894" s="98"/>
      <c r="G894" s="98"/>
      <c r="H894" s="98"/>
      <c r="I894" s="98"/>
      <c r="J894" s="107">
        <v>0</v>
      </c>
      <c r="K894" s="141"/>
    </row>
    <row r="895" spans="3:11">
      <c r="C895" s="138" t="s">
        <v>520</v>
      </c>
      <c r="D895" s="98"/>
      <c r="E895" s="98"/>
      <c r="F895" s="98"/>
      <c r="G895" s="98"/>
      <c r="H895" s="98"/>
      <c r="I895" s="98"/>
      <c r="J895" s="107">
        <v>0</v>
      </c>
      <c r="K895" s="141"/>
    </row>
    <row r="896" spans="3:11">
      <c r="C896" s="138" t="s">
        <v>286</v>
      </c>
      <c r="D896" s="98"/>
      <c r="E896" s="98"/>
      <c r="F896" s="98"/>
      <c r="G896" s="98"/>
      <c r="H896" s="98"/>
      <c r="I896" s="98"/>
      <c r="J896" s="107">
        <v>0</v>
      </c>
      <c r="K896" s="141"/>
    </row>
    <row r="897" spans="3:11">
      <c r="C897" s="138" t="s">
        <v>447</v>
      </c>
      <c r="D897" s="98"/>
      <c r="E897" s="98"/>
      <c r="F897" s="98"/>
      <c r="G897" s="98"/>
      <c r="H897" s="98"/>
      <c r="I897" s="98"/>
      <c r="J897" s="107">
        <v>0</v>
      </c>
      <c r="K897" s="141"/>
    </row>
    <row r="898" spans="3:11">
      <c r="C898" s="138" t="s">
        <v>632</v>
      </c>
      <c r="D898" s="98"/>
      <c r="E898" s="98"/>
      <c r="F898" s="98"/>
      <c r="G898" s="98"/>
      <c r="H898" s="98"/>
      <c r="I898" s="98"/>
      <c r="J898" s="107">
        <v>0</v>
      </c>
      <c r="K898" s="141"/>
    </row>
    <row r="899" spans="3:11">
      <c r="C899" s="138" t="s">
        <v>497</v>
      </c>
      <c r="D899" s="98"/>
      <c r="E899" s="98"/>
      <c r="F899" s="98"/>
      <c r="G899" s="98"/>
      <c r="H899" s="98"/>
      <c r="I899" s="98"/>
      <c r="J899" s="107">
        <v>0</v>
      </c>
      <c r="K899" s="141"/>
    </row>
    <row r="900" spans="3:11">
      <c r="C900" s="138" t="s">
        <v>648</v>
      </c>
      <c r="D900" s="98"/>
      <c r="E900" s="98"/>
      <c r="F900" s="98"/>
      <c r="G900" s="98"/>
      <c r="H900" s="98"/>
      <c r="I900" s="98"/>
      <c r="J900" s="107">
        <v>0</v>
      </c>
      <c r="K900" s="141"/>
    </row>
    <row r="901" spans="3:11">
      <c r="C901" s="138" t="s">
        <v>703</v>
      </c>
      <c r="D901" s="98"/>
      <c r="E901" s="98"/>
      <c r="F901" s="98"/>
      <c r="G901" s="98"/>
      <c r="H901" s="98"/>
      <c r="I901" s="98"/>
      <c r="J901" s="107">
        <v>0</v>
      </c>
      <c r="K901" s="141"/>
    </row>
    <row r="902" spans="3:11">
      <c r="C902" s="138" t="s">
        <v>410</v>
      </c>
      <c r="D902" s="98"/>
      <c r="E902" s="98"/>
      <c r="F902" s="98"/>
      <c r="G902" s="98"/>
      <c r="H902" s="98"/>
      <c r="I902" s="98"/>
      <c r="J902" s="107">
        <v>0</v>
      </c>
      <c r="K902" s="141"/>
    </row>
    <row r="903" spans="3:11">
      <c r="C903" s="138" t="s">
        <v>969</v>
      </c>
      <c r="D903" s="98"/>
      <c r="E903" s="98"/>
      <c r="F903" s="98"/>
      <c r="G903" s="98"/>
      <c r="H903" s="98"/>
      <c r="I903" s="98"/>
      <c r="J903" s="107">
        <v>0</v>
      </c>
      <c r="K903" s="141"/>
    </row>
    <row r="904" spans="3:11">
      <c r="C904" s="138" t="s">
        <v>895</v>
      </c>
      <c r="D904" s="98"/>
      <c r="E904" s="98"/>
      <c r="F904" s="98"/>
      <c r="G904" s="98"/>
      <c r="H904" s="98"/>
      <c r="I904" s="98"/>
      <c r="J904" s="107">
        <v>0</v>
      </c>
      <c r="K904" s="141"/>
    </row>
    <row r="905" spans="3:11">
      <c r="C905" s="138" t="s">
        <v>605</v>
      </c>
      <c r="D905" s="98"/>
      <c r="E905" s="98"/>
      <c r="F905" s="98"/>
      <c r="G905" s="98"/>
      <c r="H905" s="98"/>
      <c r="I905" s="98"/>
      <c r="J905" s="107">
        <v>0</v>
      </c>
      <c r="K905" s="141"/>
    </row>
    <row r="906" spans="3:11">
      <c r="C906" s="138" t="s">
        <v>1081</v>
      </c>
      <c r="D906" s="98"/>
      <c r="E906" s="98"/>
      <c r="F906" s="98"/>
      <c r="G906" s="98"/>
      <c r="H906" s="98"/>
      <c r="I906" s="98"/>
      <c r="J906" s="107">
        <v>0</v>
      </c>
      <c r="K906" s="141"/>
    </row>
    <row r="907" spans="3:11">
      <c r="C907" s="138" t="s">
        <v>683</v>
      </c>
      <c r="D907" s="98"/>
      <c r="E907" s="98"/>
      <c r="F907" s="98"/>
      <c r="G907" s="98"/>
      <c r="H907" s="98"/>
      <c r="I907" s="98"/>
      <c r="J907" s="107">
        <v>0</v>
      </c>
      <c r="K907" s="141"/>
    </row>
    <row r="908" spans="3:11">
      <c r="C908" s="138" t="s">
        <v>128</v>
      </c>
      <c r="D908" s="98"/>
      <c r="E908" s="98"/>
      <c r="F908" s="98"/>
      <c r="G908" s="98"/>
      <c r="H908" s="98"/>
      <c r="I908" s="98"/>
      <c r="J908" s="107">
        <v>0</v>
      </c>
      <c r="K908" s="141"/>
    </row>
    <row r="909" spans="3:11">
      <c r="C909" s="138" t="s">
        <v>314</v>
      </c>
      <c r="D909" s="98"/>
      <c r="E909" s="98"/>
      <c r="F909" s="98"/>
      <c r="G909" s="98"/>
      <c r="H909" s="98"/>
      <c r="I909" s="98"/>
      <c r="J909" s="107">
        <v>0</v>
      </c>
      <c r="K909" s="141"/>
    </row>
    <row r="910" spans="3:11">
      <c r="C910" s="138" t="s">
        <v>1096</v>
      </c>
      <c r="D910" s="98"/>
      <c r="E910" s="98"/>
      <c r="F910" s="98"/>
      <c r="G910" s="98"/>
      <c r="H910" s="98"/>
      <c r="I910" s="98"/>
      <c r="J910" s="107">
        <v>0</v>
      </c>
      <c r="K910" s="141"/>
    </row>
    <row r="911" spans="3:11">
      <c r="C911" s="138" t="s">
        <v>803</v>
      </c>
      <c r="D911" s="98"/>
      <c r="E911" s="98"/>
      <c r="F911" s="98"/>
      <c r="G911" s="98"/>
      <c r="H911" s="98"/>
      <c r="I911" s="98"/>
      <c r="J911" s="107">
        <v>0</v>
      </c>
      <c r="K911" s="141"/>
    </row>
    <row r="912" spans="3:11">
      <c r="C912" s="138" t="s">
        <v>1097</v>
      </c>
      <c r="D912" s="98"/>
      <c r="E912" s="98"/>
      <c r="F912" s="98"/>
      <c r="G912" s="98"/>
      <c r="H912" s="98"/>
      <c r="I912" s="98"/>
      <c r="J912" s="107">
        <v>0</v>
      </c>
      <c r="K912" s="141"/>
    </row>
    <row r="913" spans="3:11">
      <c r="C913" s="138" t="s">
        <v>968</v>
      </c>
      <c r="D913" s="98"/>
      <c r="E913" s="98"/>
      <c r="F913" s="98"/>
      <c r="G913" s="98"/>
      <c r="H913" s="98"/>
      <c r="I913" s="98"/>
      <c r="J913" s="107">
        <v>0</v>
      </c>
      <c r="K913" s="141"/>
    </row>
    <row r="914" spans="3:11">
      <c r="C914" s="138" t="s">
        <v>579</v>
      </c>
      <c r="D914" s="98"/>
      <c r="E914" s="98"/>
      <c r="F914" s="98"/>
      <c r="G914" s="98"/>
      <c r="H914" s="98"/>
      <c r="I914" s="98"/>
      <c r="J914" s="107">
        <v>0</v>
      </c>
      <c r="K914" s="141"/>
    </row>
    <row r="915" spans="3:11">
      <c r="C915" s="138" t="s">
        <v>104</v>
      </c>
      <c r="D915" s="98"/>
      <c r="E915" s="98"/>
      <c r="F915" s="98"/>
      <c r="G915" s="98"/>
      <c r="H915" s="98"/>
      <c r="I915" s="98"/>
      <c r="J915" s="107">
        <v>0</v>
      </c>
      <c r="K915" s="141"/>
    </row>
    <row r="916" spans="3:11">
      <c r="C916" s="138" t="s">
        <v>1042</v>
      </c>
      <c r="D916" s="98"/>
      <c r="E916" s="98"/>
      <c r="F916" s="98"/>
      <c r="G916" s="98"/>
      <c r="H916" s="98"/>
      <c r="I916" s="98"/>
      <c r="J916" s="107">
        <v>0</v>
      </c>
      <c r="K916" s="141"/>
    </row>
    <row r="917" spans="3:11">
      <c r="C917" s="138" t="s">
        <v>326</v>
      </c>
      <c r="D917" s="98"/>
      <c r="E917" s="98"/>
      <c r="F917" s="98"/>
      <c r="G917" s="98"/>
      <c r="H917" s="98"/>
      <c r="I917" s="98"/>
      <c r="J917" s="107">
        <v>0</v>
      </c>
      <c r="K917" s="141"/>
    </row>
    <row r="918" spans="3:11">
      <c r="C918" s="138" t="s">
        <v>393</v>
      </c>
      <c r="D918" s="98"/>
      <c r="E918" s="98"/>
      <c r="F918" s="98"/>
      <c r="G918" s="98"/>
      <c r="H918" s="98"/>
      <c r="I918" s="98"/>
      <c r="J918" s="107">
        <v>0</v>
      </c>
      <c r="K918" s="141"/>
    </row>
    <row r="919" spans="3:11">
      <c r="C919" s="138" t="s">
        <v>313</v>
      </c>
      <c r="D919" s="98"/>
      <c r="E919" s="98"/>
      <c r="F919" s="98"/>
      <c r="G919" s="98"/>
      <c r="H919" s="98"/>
      <c r="I919" s="98"/>
      <c r="J919" s="107">
        <v>0</v>
      </c>
      <c r="K919" s="141"/>
    </row>
    <row r="920" spans="3:11">
      <c r="C920" s="138" t="s">
        <v>619</v>
      </c>
      <c r="D920" s="98"/>
      <c r="E920" s="98"/>
      <c r="F920" s="98"/>
      <c r="G920" s="98"/>
      <c r="H920" s="98"/>
      <c r="I920" s="98"/>
      <c r="J920" s="107">
        <v>0</v>
      </c>
      <c r="K920" s="141"/>
    </row>
    <row r="921" spans="3:11">
      <c r="C921" s="138" t="s">
        <v>145</v>
      </c>
      <c r="D921" s="98"/>
      <c r="E921" s="98"/>
      <c r="F921" s="98"/>
      <c r="G921" s="98"/>
      <c r="H921" s="98"/>
      <c r="I921" s="98"/>
      <c r="J921" s="107">
        <v>0</v>
      </c>
      <c r="K921" s="141"/>
    </row>
    <row r="922" spans="3:11">
      <c r="C922" s="138" t="s">
        <v>379</v>
      </c>
      <c r="D922" s="98"/>
      <c r="E922" s="98"/>
      <c r="F922" s="98"/>
      <c r="G922" s="98"/>
      <c r="H922" s="98"/>
      <c r="I922" s="98"/>
      <c r="J922" s="107">
        <v>0</v>
      </c>
      <c r="K922" s="141"/>
    </row>
    <row r="923" spans="3:11">
      <c r="C923" s="138" t="s">
        <v>112</v>
      </c>
      <c r="D923" s="98"/>
      <c r="E923" s="98"/>
      <c r="F923" s="98"/>
      <c r="G923" s="98"/>
      <c r="H923" s="98"/>
      <c r="I923" s="98"/>
      <c r="J923" s="107">
        <v>0</v>
      </c>
      <c r="K923" s="141"/>
    </row>
    <row r="924" spans="3:11">
      <c r="C924" s="138" t="s">
        <v>687</v>
      </c>
      <c r="D924" s="98"/>
      <c r="E924" s="98"/>
      <c r="F924" s="98"/>
      <c r="G924" s="98"/>
      <c r="H924" s="98"/>
      <c r="I924" s="98"/>
      <c r="J924" s="107">
        <v>0</v>
      </c>
      <c r="K924" s="141"/>
    </row>
    <row r="925" spans="3:11">
      <c r="C925" s="138" t="s">
        <v>424</v>
      </c>
      <c r="D925" s="98"/>
      <c r="E925" s="98"/>
      <c r="F925" s="98"/>
      <c r="G925" s="98"/>
      <c r="H925" s="98"/>
      <c r="I925" s="98"/>
      <c r="J925" s="107">
        <v>0</v>
      </c>
      <c r="K925" s="141"/>
    </row>
    <row r="926" spans="3:11">
      <c r="C926" s="138" t="s">
        <v>441</v>
      </c>
      <c r="D926" s="98"/>
      <c r="E926" s="98"/>
      <c r="F926" s="98"/>
      <c r="G926" s="98"/>
      <c r="H926" s="98"/>
      <c r="I926" s="98"/>
      <c r="J926" s="107">
        <v>0</v>
      </c>
      <c r="K926" s="141"/>
    </row>
    <row r="927" spans="3:11">
      <c r="C927" s="138" t="s">
        <v>890</v>
      </c>
      <c r="D927" s="98"/>
      <c r="E927" s="98"/>
      <c r="F927" s="98"/>
      <c r="G927" s="98"/>
      <c r="H927" s="98"/>
      <c r="I927" s="98"/>
      <c r="J927" s="107">
        <v>0</v>
      </c>
      <c r="K927" s="141"/>
    </row>
    <row r="928" spans="3:11">
      <c r="C928" s="138" t="s">
        <v>1033</v>
      </c>
      <c r="D928" s="98"/>
      <c r="E928" s="98"/>
      <c r="F928" s="98"/>
      <c r="G928" s="98"/>
      <c r="H928" s="98"/>
      <c r="I928" s="98"/>
      <c r="J928" s="107">
        <v>0</v>
      </c>
      <c r="K928" s="141"/>
    </row>
    <row r="929" spans="3:11">
      <c r="C929" s="138" t="s">
        <v>268</v>
      </c>
      <c r="D929" s="98"/>
      <c r="E929" s="98"/>
      <c r="F929" s="98"/>
      <c r="G929" s="98"/>
      <c r="H929" s="98"/>
      <c r="I929" s="98"/>
      <c r="J929" s="107">
        <v>0</v>
      </c>
      <c r="K929" s="141"/>
    </row>
    <row r="930" spans="3:11">
      <c r="C930" s="138" t="s">
        <v>512</v>
      </c>
      <c r="D930" s="98"/>
      <c r="E930" s="98"/>
      <c r="F930" s="98"/>
      <c r="G930" s="98"/>
      <c r="H930" s="98"/>
      <c r="I930" s="98"/>
      <c r="J930" s="107">
        <v>0</v>
      </c>
      <c r="K930" s="141"/>
    </row>
    <row r="931" spans="3:11">
      <c r="C931" s="138" t="s">
        <v>426</v>
      </c>
      <c r="D931" s="98"/>
      <c r="E931" s="98"/>
      <c r="F931" s="98"/>
      <c r="G931" s="98"/>
      <c r="H931" s="98"/>
      <c r="I931" s="98"/>
      <c r="J931" s="107">
        <v>0</v>
      </c>
      <c r="K931" s="141"/>
    </row>
    <row r="932" spans="3:11">
      <c r="C932" s="138" t="s">
        <v>1039</v>
      </c>
      <c r="D932" s="98"/>
      <c r="E932" s="98"/>
      <c r="F932" s="98"/>
      <c r="G932" s="98"/>
      <c r="H932" s="98"/>
      <c r="I932" s="98"/>
      <c r="J932" s="107">
        <v>0</v>
      </c>
      <c r="K932" s="141"/>
    </row>
    <row r="933" spans="3:11">
      <c r="C933" s="138" t="s">
        <v>782</v>
      </c>
      <c r="D933" s="98"/>
      <c r="E933" s="98"/>
      <c r="F933" s="98"/>
      <c r="G933" s="98"/>
      <c r="H933" s="98"/>
      <c r="I933" s="98"/>
      <c r="J933" s="107">
        <v>0</v>
      </c>
      <c r="K933" s="141"/>
    </row>
    <row r="934" spans="3:11">
      <c r="C934" s="138" t="s">
        <v>1000</v>
      </c>
      <c r="D934" s="98"/>
      <c r="E934" s="98"/>
      <c r="F934" s="98"/>
      <c r="G934" s="98"/>
      <c r="H934" s="98"/>
      <c r="I934" s="98"/>
      <c r="J934" s="107">
        <v>0</v>
      </c>
      <c r="K934" s="141"/>
    </row>
    <row r="935" spans="3:11">
      <c r="C935" s="138" t="s">
        <v>398</v>
      </c>
      <c r="D935" s="98"/>
      <c r="E935" s="98"/>
      <c r="F935" s="98"/>
      <c r="G935" s="98"/>
      <c r="H935" s="98"/>
      <c r="I935" s="98"/>
      <c r="J935" s="107">
        <v>0</v>
      </c>
      <c r="K935" s="141"/>
    </row>
    <row r="936" spans="3:11">
      <c r="C936" s="138" t="s">
        <v>153</v>
      </c>
      <c r="D936" s="98"/>
      <c r="E936" s="98"/>
      <c r="F936" s="98"/>
      <c r="G936" s="98"/>
      <c r="H936" s="98"/>
      <c r="I936" s="98"/>
      <c r="J936" s="107">
        <v>0</v>
      </c>
      <c r="K936" s="141"/>
    </row>
    <row r="937" spans="3:11">
      <c r="C937" s="138" t="s">
        <v>229</v>
      </c>
      <c r="D937" s="98"/>
      <c r="E937" s="98"/>
      <c r="F937" s="98"/>
      <c r="G937" s="98"/>
      <c r="H937" s="98"/>
      <c r="I937" s="98"/>
      <c r="J937" s="107">
        <v>0</v>
      </c>
      <c r="K937" s="141"/>
    </row>
    <row r="938" spans="3:11">
      <c r="C938" s="138" t="s">
        <v>1101</v>
      </c>
      <c r="D938" s="98"/>
      <c r="E938" s="98"/>
      <c r="F938" s="98"/>
      <c r="G938" s="98"/>
      <c r="H938" s="98"/>
      <c r="I938" s="98"/>
      <c r="J938" s="107">
        <v>0</v>
      </c>
      <c r="K938" s="141"/>
    </row>
    <row r="939" spans="3:11">
      <c r="C939" s="138" t="s">
        <v>1099</v>
      </c>
      <c r="D939" s="98"/>
      <c r="E939" s="98"/>
      <c r="F939" s="98"/>
      <c r="G939" s="98"/>
      <c r="H939" s="98"/>
      <c r="I939" s="98"/>
      <c r="J939" s="107">
        <v>0</v>
      </c>
      <c r="K939" s="141"/>
    </row>
    <row r="940" spans="3:11">
      <c r="C940" s="138" t="s">
        <v>645</v>
      </c>
      <c r="D940" s="98"/>
      <c r="E940" s="98"/>
      <c r="F940" s="98"/>
      <c r="G940" s="98"/>
      <c r="H940" s="98"/>
      <c r="I940" s="98"/>
      <c r="J940" s="107">
        <v>0</v>
      </c>
      <c r="K940" s="141"/>
    </row>
    <row r="941" spans="3:11">
      <c r="C941" s="138" t="s">
        <v>1079</v>
      </c>
      <c r="D941" s="98"/>
      <c r="E941" s="98"/>
      <c r="F941" s="98"/>
      <c r="G941" s="98"/>
      <c r="H941" s="98"/>
      <c r="I941" s="98"/>
      <c r="J941" s="107">
        <v>0</v>
      </c>
      <c r="K941" s="141"/>
    </row>
    <row r="942" spans="3:11">
      <c r="C942" s="138" t="s">
        <v>101</v>
      </c>
      <c r="D942" s="98"/>
      <c r="E942" s="98"/>
      <c r="F942" s="98"/>
      <c r="G942" s="98"/>
      <c r="H942" s="98"/>
      <c r="I942" s="98"/>
      <c r="J942" s="107">
        <v>0</v>
      </c>
      <c r="K942" s="141"/>
    </row>
    <row r="943" spans="3:11">
      <c r="C943" s="138" t="s">
        <v>317</v>
      </c>
      <c r="D943" s="98"/>
      <c r="E943" s="98"/>
      <c r="F943" s="98"/>
      <c r="G943" s="98"/>
      <c r="H943" s="98"/>
      <c r="I943" s="98"/>
      <c r="J943" s="107">
        <v>0</v>
      </c>
      <c r="K943" s="141"/>
    </row>
    <row r="944" spans="3:11">
      <c r="C944" s="138" t="s">
        <v>580</v>
      </c>
      <c r="D944" s="98"/>
      <c r="E944" s="98"/>
      <c r="F944" s="98"/>
      <c r="G944" s="98"/>
      <c r="H944" s="98"/>
      <c r="I944" s="98"/>
      <c r="J944" s="107">
        <v>0</v>
      </c>
      <c r="K944" s="141"/>
    </row>
    <row r="945" spans="3:11">
      <c r="C945" s="138" t="s">
        <v>119</v>
      </c>
      <c r="D945" s="98"/>
      <c r="E945" s="98"/>
      <c r="F945" s="98"/>
      <c r="G945" s="98"/>
      <c r="H945" s="98"/>
      <c r="I945" s="98"/>
      <c r="J945" s="107">
        <v>0</v>
      </c>
      <c r="K945" s="141"/>
    </row>
    <row r="946" spans="3:11">
      <c r="C946" s="138" t="s">
        <v>866</v>
      </c>
      <c r="D946" s="98"/>
      <c r="E946" s="98"/>
      <c r="F946" s="98"/>
      <c r="G946" s="98"/>
      <c r="H946" s="98"/>
      <c r="I946" s="98"/>
      <c r="J946" s="107">
        <v>0</v>
      </c>
      <c r="K946" s="141"/>
    </row>
    <row r="947" spans="3:11">
      <c r="C947" s="138" t="s">
        <v>596</v>
      </c>
      <c r="D947" s="98"/>
      <c r="E947" s="98"/>
      <c r="F947" s="98"/>
      <c r="G947" s="98"/>
      <c r="H947" s="98"/>
      <c r="I947" s="98"/>
      <c r="J947" s="107">
        <v>0</v>
      </c>
      <c r="K947" s="141"/>
    </row>
    <row r="948" spans="3:11">
      <c r="C948" s="138" t="s">
        <v>760</v>
      </c>
      <c r="D948" s="98"/>
      <c r="E948" s="98"/>
      <c r="F948" s="98"/>
      <c r="G948" s="98"/>
      <c r="H948" s="98"/>
      <c r="I948" s="98"/>
      <c r="J948" s="107">
        <v>0</v>
      </c>
      <c r="K948" s="141"/>
    </row>
    <row r="949" spans="3:11">
      <c r="C949" s="138" t="s">
        <v>694</v>
      </c>
      <c r="D949" s="98"/>
      <c r="E949" s="98"/>
      <c r="F949" s="98"/>
      <c r="G949" s="98"/>
      <c r="H949" s="98"/>
      <c r="I949" s="98"/>
      <c r="J949" s="107">
        <v>0</v>
      </c>
      <c r="K949" s="141"/>
    </row>
    <row r="950" spans="3:11">
      <c r="C950" s="138" t="s">
        <v>628</v>
      </c>
      <c r="D950" s="98"/>
      <c r="E950" s="98"/>
      <c r="F950" s="98"/>
      <c r="G950" s="98"/>
      <c r="H950" s="98"/>
      <c r="I950" s="98"/>
      <c r="J950" s="107">
        <v>0</v>
      </c>
      <c r="K950" s="141"/>
    </row>
    <row r="951" spans="3:11">
      <c r="C951" s="138" t="s">
        <v>957</v>
      </c>
      <c r="D951" s="98"/>
      <c r="E951" s="98"/>
      <c r="F951" s="98"/>
      <c r="G951" s="98"/>
      <c r="H951" s="98"/>
      <c r="I951" s="98"/>
      <c r="J951" s="107">
        <v>0</v>
      </c>
      <c r="K951" s="141"/>
    </row>
    <row r="952" spans="3:11">
      <c r="C952" s="138" t="s">
        <v>162</v>
      </c>
      <c r="D952" s="98"/>
      <c r="E952" s="98"/>
      <c r="F952" s="98"/>
      <c r="G952" s="98"/>
      <c r="H952" s="98"/>
      <c r="I952" s="98"/>
      <c r="J952" s="107">
        <v>0</v>
      </c>
      <c r="K952" s="141"/>
    </row>
    <row r="953" spans="3:11">
      <c r="C953" s="138" t="s">
        <v>414</v>
      </c>
      <c r="D953" s="98"/>
      <c r="E953" s="98"/>
      <c r="F953" s="98"/>
      <c r="G953" s="98"/>
      <c r="H953" s="98"/>
      <c r="I953" s="98"/>
      <c r="J953" s="107">
        <v>0</v>
      </c>
      <c r="K953" s="141"/>
    </row>
    <row r="954" spans="3:11">
      <c r="C954" s="138" t="s">
        <v>871</v>
      </c>
      <c r="D954" s="98"/>
      <c r="E954" s="98"/>
      <c r="F954" s="98"/>
      <c r="G954" s="98"/>
      <c r="H954" s="98"/>
      <c r="I954" s="98"/>
      <c r="J954" s="107">
        <v>0</v>
      </c>
      <c r="K954" s="141"/>
    </row>
    <row r="955" spans="3:11">
      <c r="C955" s="138" t="s">
        <v>581</v>
      </c>
      <c r="D955" s="98"/>
      <c r="E955" s="98"/>
      <c r="F955" s="98"/>
      <c r="G955" s="98"/>
      <c r="H955" s="98"/>
      <c r="I955" s="98"/>
      <c r="J955" s="107">
        <v>0</v>
      </c>
      <c r="K955" s="141"/>
    </row>
    <row r="956" spans="3:11">
      <c r="C956" s="138" t="s">
        <v>998</v>
      </c>
      <c r="D956" s="98"/>
      <c r="E956" s="98"/>
      <c r="F956" s="98"/>
      <c r="G956" s="98"/>
      <c r="H956" s="98"/>
      <c r="I956" s="98"/>
      <c r="J956" s="107">
        <v>0</v>
      </c>
      <c r="K956" s="141"/>
    </row>
    <row r="957" spans="3:11">
      <c r="C957" s="138" t="s">
        <v>200</v>
      </c>
      <c r="D957" s="98"/>
      <c r="E957" s="98"/>
      <c r="F957" s="98"/>
      <c r="G957" s="98"/>
      <c r="H957" s="98"/>
      <c r="I957" s="98"/>
      <c r="J957" s="107">
        <v>0</v>
      </c>
      <c r="K957" s="141"/>
    </row>
    <row r="958" spans="3:11">
      <c r="C958" s="138" t="s">
        <v>117</v>
      </c>
      <c r="D958" s="98"/>
      <c r="E958" s="98"/>
      <c r="F958" s="98"/>
      <c r="G958" s="98"/>
      <c r="H958" s="98"/>
      <c r="I958" s="98"/>
      <c r="J958" s="107">
        <v>0</v>
      </c>
      <c r="K958" s="141"/>
    </row>
    <row r="959" spans="3:11">
      <c r="C959" s="138" t="s">
        <v>723</v>
      </c>
      <c r="D959" s="98"/>
      <c r="E959" s="98"/>
      <c r="F959" s="98"/>
      <c r="G959" s="98"/>
      <c r="H959" s="98"/>
      <c r="I959" s="98"/>
      <c r="J959" s="107">
        <v>0</v>
      </c>
      <c r="K959" s="141"/>
    </row>
    <row r="960" spans="3:11">
      <c r="C960" s="138" t="s">
        <v>738</v>
      </c>
      <c r="D960" s="98"/>
      <c r="E960" s="98"/>
      <c r="F960" s="98"/>
      <c r="G960" s="98"/>
      <c r="H960" s="98"/>
      <c r="I960" s="98"/>
      <c r="J960" s="107">
        <v>0</v>
      </c>
      <c r="K960" s="141"/>
    </row>
    <row r="961" spans="3:11">
      <c r="C961" s="138" t="s">
        <v>352</v>
      </c>
      <c r="D961" s="98"/>
      <c r="E961" s="98"/>
      <c r="F961" s="98"/>
      <c r="G961" s="98"/>
      <c r="H961" s="98"/>
      <c r="I961" s="98"/>
      <c r="J961" s="107">
        <v>0</v>
      </c>
      <c r="K961" s="141"/>
    </row>
    <row r="962" spans="3:11">
      <c r="C962" s="138" t="s">
        <v>1063</v>
      </c>
      <c r="D962" s="98"/>
      <c r="E962" s="98"/>
      <c r="F962" s="98"/>
      <c r="G962" s="98"/>
      <c r="H962" s="98"/>
      <c r="I962" s="98"/>
      <c r="J962" s="107">
        <v>0</v>
      </c>
      <c r="K962" s="141"/>
    </row>
    <row r="963" spans="3:11">
      <c r="C963" s="138" t="s">
        <v>953</v>
      </c>
      <c r="D963" s="98"/>
      <c r="E963" s="98"/>
      <c r="F963" s="98"/>
      <c r="G963" s="98"/>
      <c r="H963" s="98"/>
      <c r="I963" s="98"/>
      <c r="J963" s="107">
        <v>0</v>
      </c>
      <c r="K963" s="141"/>
    </row>
    <row r="964" spans="3:11">
      <c r="C964" s="138" t="s">
        <v>454</v>
      </c>
      <c r="D964" s="98"/>
      <c r="E964" s="98"/>
      <c r="F964" s="98"/>
      <c r="G964" s="98"/>
      <c r="H964" s="98"/>
      <c r="I964" s="98"/>
      <c r="J964" s="107">
        <v>0</v>
      </c>
      <c r="K964" s="141"/>
    </row>
    <row r="965" spans="3:11">
      <c r="C965" s="138" t="s">
        <v>788</v>
      </c>
      <c r="D965" s="98"/>
      <c r="E965" s="98"/>
      <c r="F965" s="98"/>
      <c r="G965" s="98"/>
      <c r="H965" s="98"/>
      <c r="I965" s="98"/>
      <c r="J965" s="107">
        <v>0</v>
      </c>
      <c r="K965" s="141"/>
    </row>
    <row r="966" spans="3:11">
      <c r="C966" s="138" t="s">
        <v>905</v>
      </c>
      <c r="D966" s="98"/>
      <c r="E966" s="98"/>
      <c r="F966" s="98"/>
      <c r="G966" s="98"/>
      <c r="H966" s="98"/>
      <c r="I966" s="98"/>
      <c r="J966" s="107">
        <v>0</v>
      </c>
      <c r="K966" s="141"/>
    </row>
    <row r="967" spans="3:11">
      <c r="C967" s="138" t="s">
        <v>1038</v>
      </c>
      <c r="D967" s="98"/>
      <c r="E967" s="98"/>
      <c r="F967" s="98"/>
      <c r="G967" s="98"/>
      <c r="H967" s="98"/>
      <c r="I967" s="98"/>
      <c r="J967" s="107">
        <v>0</v>
      </c>
      <c r="K967" s="141"/>
    </row>
    <row r="968" spans="3:11">
      <c r="C968" s="138" t="s">
        <v>767</v>
      </c>
      <c r="D968" s="98"/>
      <c r="E968" s="98"/>
      <c r="F968" s="98"/>
      <c r="G968" s="98"/>
      <c r="H968" s="98"/>
      <c r="I968" s="98"/>
      <c r="J968" s="107">
        <v>0</v>
      </c>
      <c r="K968" s="141"/>
    </row>
    <row r="969" spans="3:11">
      <c r="C969" s="138" t="s">
        <v>245</v>
      </c>
      <c r="D969" s="98"/>
      <c r="E969" s="98"/>
      <c r="F969" s="98"/>
      <c r="G969" s="98"/>
      <c r="H969" s="98"/>
      <c r="I969" s="98"/>
      <c r="J969" s="107">
        <v>0</v>
      </c>
      <c r="K969" s="141"/>
    </row>
    <row r="970" spans="3:11">
      <c r="C970" s="138" t="s">
        <v>161</v>
      </c>
      <c r="D970" s="98"/>
      <c r="E970" s="98"/>
      <c r="F970" s="98"/>
      <c r="G970" s="98"/>
      <c r="H970" s="98"/>
      <c r="I970" s="98"/>
      <c r="J970" s="107">
        <v>0</v>
      </c>
      <c r="K970" s="141"/>
    </row>
    <row r="971" spans="3:11">
      <c r="C971" s="138" t="s">
        <v>518</v>
      </c>
      <c r="D971" s="98"/>
      <c r="E971" s="98"/>
      <c r="F971" s="98"/>
      <c r="G971" s="98"/>
      <c r="H971" s="98"/>
      <c r="I971" s="98"/>
      <c r="J971" s="107">
        <v>0</v>
      </c>
      <c r="K971" s="141"/>
    </row>
    <row r="972" spans="3:11">
      <c r="C972" s="138" t="s">
        <v>1040</v>
      </c>
      <c r="D972" s="98"/>
      <c r="E972" s="98"/>
      <c r="F972" s="98"/>
      <c r="G972" s="98"/>
      <c r="H972" s="98"/>
      <c r="I972" s="98"/>
      <c r="J972" s="107">
        <v>0</v>
      </c>
      <c r="K972" s="141"/>
    </row>
    <row r="973" spans="3:11">
      <c r="C973" s="138" t="s">
        <v>643</v>
      </c>
      <c r="D973" s="98"/>
      <c r="E973" s="98"/>
      <c r="F973" s="98"/>
      <c r="G973" s="98"/>
      <c r="H973" s="98"/>
      <c r="I973" s="98"/>
      <c r="J973" s="107">
        <v>0</v>
      </c>
      <c r="K973" s="141"/>
    </row>
    <row r="974" spans="3:11">
      <c r="C974" s="138" t="s">
        <v>333</v>
      </c>
      <c r="D974" s="98"/>
      <c r="E974" s="98"/>
      <c r="F974" s="98"/>
      <c r="G974" s="98"/>
      <c r="H974" s="98"/>
      <c r="I974" s="98"/>
      <c r="J974" s="107">
        <v>0</v>
      </c>
      <c r="K974" s="141"/>
    </row>
    <row r="975" spans="3:11">
      <c r="C975" s="138" t="s">
        <v>919</v>
      </c>
      <c r="D975" s="98"/>
      <c r="E975" s="98"/>
      <c r="F975" s="98"/>
      <c r="G975" s="98"/>
      <c r="H975" s="98"/>
      <c r="I975" s="98"/>
      <c r="J975" s="107">
        <v>0</v>
      </c>
      <c r="K975" s="141"/>
    </row>
    <row r="976" spans="3:11">
      <c r="C976" s="138" t="s">
        <v>928</v>
      </c>
      <c r="D976" s="98"/>
      <c r="E976" s="98"/>
      <c r="F976" s="98"/>
      <c r="G976" s="98"/>
      <c r="H976" s="98"/>
      <c r="I976" s="98"/>
      <c r="J976" s="107">
        <v>0</v>
      </c>
      <c r="K976" s="141"/>
    </row>
    <row r="977" spans="3:11">
      <c r="C977" s="138" t="s">
        <v>570</v>
      </c>
      <c r="D977" s="98"/>
      <c r="E977" s="98"/>
      <c r="F977" s="98"/>
      <c r="G977" s="98"/>
      <c r="H977" s="98"/>
      <c r="I977" s="98"/>
      <c r="J977" s="107">
        <v>0</v>
      </c>
      <c r="K977" s="141"/>
    </row>
    <row r="978" spans="3:11">
      <c r="C978" s="138" t="s">
        <v>545</v>
      </c>
      <c r="D978" s="98"/>
      <c r="E978" s="98"/>
      <c r="F978" s="98"/>
      <c r="G978" s="98"/>
      <c r="H978" s="98"/>
      <c r="I978" s="98"/>
      <c r="J978" s="107">
        <v>0</v>
      </c>
      <c r="K978" s="141"/>
    </row>
    <row r="979" spans="3:11">
      <c r="C979" s="138" t="s">
        <v>523</v>
      </c>
      <c r="D979" s="98"/>
      <c r="E979" s="98"/>
      <c r="F979" s="98"/>
      <c r="G979" s="98"/>
      <c r="H979" s="98"/>
      <c r="I979" s="98"/>
      <c r="J979" s="107">
        <v>0</v>
      </c>
      <c r="K979" s="141"/>
    </row>
    <row r="980" spans="3:11">
      <c r="C980" s="138" t="s">
        <v>689</v>
      </c>
      <c r="D980" s="98"/>
      <c r="E980" s="98"/>
      <c r="F980" s="98"/>
      <c r="G980" s="98"/>
      <c r="H980" s="98"/>
      <c r="I980" s="98"/>
      <c r="J980" s="107">
        <v>0</v>
      </c>
      <c r="K980" s="141"/>
    </row>
    <row r="981" spans="3:11">
      <c r="C981" s="138" t="s">
        <v>834</v>
      </c>
      <c r="D981" s="98"/>
      <c r="E981" s="98"/>
      <c r="F981" s="98"/>
      <c r="G981" s="98"/>
      <c r="H981" s="98"/>
      <c r="I981" s="98"/>
      <c r="J981" s="107">
        <v>0</v>
      </c>
      <c r="K981" s="141"/>
    </row>
    <row r="982" spans="3:11">
      <c r="C982" s="138" t="s">
        <v>971</v>
      </c>
      <c r="D982" s="98"/>
      <c r="E982" s="98"/>
      <c r="F982" s="98"/>
      <c r="G982" s="98"/>
      <c r="H982" s="98"/>
      <c r="I982" s="98"/>
      <c r="J982" s="107">
        <v>0</v>
      </c>
      <c r="K982" s="141"/>
    </row>
    <row r="983" spans="3:11">
      <c r="C983" s="138" t="s">
        <v>233</v>
      </c>
      <c r="D983" s="98"/>
      <c r="E983" s="98"/>
      <c r="F983" s="98"/>
      <c r="G983" s="98"/>
      <c r="H983" s="98"/>
      <c r="I983" s="98"/>
      <c r="J983" s="107">
        <v>0</v>
      </c>
      <c r="K983" s="141"/>
    </row>
    <row r="984" spans="3:11">
      <c r="C984" s="138" t="s">
        <v>507</v>
      </c>
      <c r="D984" s="98"/>
      <c r="E984" s="98"/>
      <c r="F984" s="98"/>
      <c r="G984" s="98"/>
      <c r="H984" s="98"/>
      <c r="I984" s="98"/>
      <c r="J984" s="107">
        <v>0</v>
      </c>
      <c r="K984" s="141"/>
    </row>
    <row r="985" spans="3:11">
      <c r="C985" s="138" t="s">
        <v>741</v>
      </c>
      <c r="D985" s="98"/>
      <c r="E985" s="98"/>
      <c r="F985" s="98"/>
      <c r="G985" s="98"/>
      <c r="H985" s="98"/>
      <c r="I985" s="98"/>
      <c r="J985" s="107">
        <v>0</v>
      </c>
      <c r="K985" s="141"/>
    </row>
    <row r="986" spans="3:11">
      <c r="C986" s="138" t="s">
        <v>399</v>
      </c>
      <c r="D986" s="98"/>
      <c r="E986" s="98"/>
      <c r="F986" s="98"/>
      <c r="G986" s="98"/>
      <c r="H986" s="98"/>
      <c r="I986" s="98"/>
      <c r="J986" s="107">
        <v>0</v>
      </c>
      <c r="K986" s="141"/>
    </row>
    <row r="987" spans="3:11">
      <c r="C987" s="138" t="s">
        <v>1117</v>
      </c>
      <c r="D987" s="98"/>
      <c r="E987" s="98"/>
      <c r="F987" s="98"/>
      <c r="G987" s="98"/>
      <c r="H987" s="98"/>
      <c r="I987" s="98"/>
      <c r="J987" s="107">
        <v>0</v>
      </c>
      <c r="K987" s="141"/>
    </row>
    <row r="988" spans="3:11">
      <c r="C988" s="138" t="s">
        <v>600</v>
      </c>
      <c r="D988" s="98"/>
      <c r="E988" s="98"/>
      <c r="F988" s="98"/>
      <c r="G988" s="98"/>
      <c r="H988" s="98"/>
      <c r="I988" s="98"/>
      <c r="J988" s="107">
        <v>0</v>
      </c>
      <c r="K988" s="141"/>
    </row>
    <row r="989" spans="3:11">
      <c r="C989" s="138" t="s">
        <v>757</v>
      </c>
      <c r="D989" s="98"/>
      <c r="E989" s="98"/>
      <c r="F989" s="98"/>
      <c r="G989" s="98"/>
      <c r="H989" s="98"/>
      <c r="I989" s="98"/>
      <c r="J989" s="107">
        <v>0</v>
      </c>
      <c r="K989" s="141"/>
    </row>
    <row r="990" spans="3:11">
      <c r="C990" s="138" t="s">
        <v>325</v>
      </c>
      <c r="D990" s="98"/>
      <c r="E990" s="98"/>
      <c r="F990" s="98"/>
      <c r="G990" s="98"/>
      <c r="H990" s="98"/>
      <c r="I990" s="98"/>
      <c r="J990" s="107">
        <v>0</v>
      </c>
      <c r="K990" s="141"/>
    </row>
    <row r="991" spans="3:11">
      <c r="C991" s="138" t="s">
        <v>511</v>
      </c>
      <c r="D991" s="98"/>
      <c r="E991" s="98"/>
      <c r="F991" s="98"/>
      <c r="G991" s="98"/>
      <c r="H991" s="98"/>
      <c r="I991" s="98"/>
      <c r="J991" s="107">
        <v>0</v>
      </c>
      <c r="K991" s="141"/>
    </row>
    <row r="992" spans="3:11">
      <c r="C992" s="138" t="s">
        <v>484</v>
      </c>
      <c r="D992" s="98"/>
      <c r="E992" s="98"/>
      <c r="F992" s="98"/>
      <c r="G992" s="98"/>
      <c r="H992" s="98"/>
      <c r="I992" s="98"/>
      <c r="J992" s="107">
        <v>0</v>
      </c>
      <c r="K992" s="141"/>
    </row>
    <row r="993" spans="3:11">
      <c r="C993" s="138" t="s">
        <v>219</v>
      </c>
      <c r="D993" s="98"/>
      <c r="E993" s="98"/>
      <c r="F993" s="98"/>
      <c r="G993" s="98"/>
      <c r="H993" s="98"/>
      <c r="I993" s="98"/>
      <c r="J993" s="107">
        <v>0</v>
      </c>
      <c r="K993" s="141"/>
    </row>
    <row r="994" spans="3:11">
      <c r="C994" s="138" t="s">
        <v>1077</v>
      </c>
      <c r="D994" s="98"/>
      <c r="E994" s="98"/>
      <c r="F994" s="98"/>
      <c r="G994" s="98"/>
      <c r="H994" s="98"/>
      <c r="I994" s="98"/>
      <c r="J994" s="107">
        <v>0</v>
      </c>
      <c r="K994" s="141"/>
    </row>
    <row r="995" spans="3:11">
      <c r="C995" s="138" t="s">
        <v>923</v>
      </c>
      <c r="D995" s="98"/>
      <c r="E995" s="98"/>
      <c r="F995" s="98"/>
      <c r="G995" s="98"/>
      <c r="H995" s="98"/>
      <c r="I995" s="98"/>
      <c r="J995" s="107">
        <v>0</v>
      </c>
      <c r="K995" s="141"/>
    </row>
    <row r="996" spans="3:11">
      <c r="C996" s="138" t="s">
        <v>345</v>
      </c>
      <c r="D996" s="98"/>
      <c r="E996" s="98"/>
      <c r="F996" s="98"/>
      <c r="G996" s="98"/>
      <c r="H996" s="98"/>
      <c r="I996" s="98"/>
      <c r="J996" s="107">
        <v>0</v>
      </c>
      <c r="K996" s="141"/>
    </row>
    <row r="997" spans="3:11">
      <c r="C997" s="138" t="s">
        <v>165</v>
      </c>
      <c r="D997" s="98"/>
      <c r="E997" s="98"/>
      <c r="F997" s="98"/>
      <c r="G997" s="98"/>
      <c r="H997" s="98"/>
      <c r="I997" s="98"/>
      <c r="J997" s="107">
        <v>0</v>
      </c>
      <c r="K997" s="141"/>
    </row>
    <row r="998" spans="3:11">
      <c r="C998" s="138" t="s">
        <v>625</v>
      </c>
      <c r="D998" s="98"/>
      <c r="E998" s="98"/>
      <c r="F998" s="98"/>
      <c r="G998" s="98"/>
      <c r="H998" s="98"/>
      <c r="I998" s="98"/>
      <c r="J998" s="107">
        <v>0</v>
      </c>
      <c r="K998" s="141"/>
    </row>
    <row r="999" spans="3:11">
      <c r="C999" s="138" t="s">
        <v>826</v>
      </c>
      <c r="D999" s="98"/>
      <c r="E999" s="98"/>
      <c r="F999" s="98"/>
      <c r="G999" s="98"/>
      <c r="H999" s="98"/>
      <c r="I999" s="98"/>
      <c r="J999" s="107">
        <v>0</v>
      </c>
      <c r="K999" s="141"/>
    </row>
    <row r="1000" spans="3:11">
      <c r="C1000" s="138" t="s">
        <v>882</v>
      </c>
      <c r="D1000" s="98"/>
      <c r="E1000" s="98"/>
      <c r="F1000" s="98"/>
      <c r="G1000" s="98"/>
      <c r="H1000" s="98"/>
      <c r="I1000" s="98"/>
      <c r="J1000" s="107">
        <v>0</v>
      </c>
      <c r="K1000" s="141"/>
    </row>
    <row r="1001" spans="3:11">
      <c r="C1001" s="138" t="s">
        <v>495</v>
      </c>
      <c r="D1001" s="98"/>
      <c r="E1001" s="98"/>
      <c r="F1001" s="98"/>
      <c r="G1001" s="98"/>
      <c r="H1001" s="98"/>
      <c r="I1001" s="98"/>
      <c r="J1001" s="107">
        <v>0</v>
      </c>
      <c r="K1001" s="141"/>
    </row>
    <row r="1002" spans="3:11">
      <c r="C1002" s="138" t="s">
        <v>293</v>
      </c>
      <c r="D1002" s="98"/>
      <c r="E1002" s="98"/>
      <c r="F1002" s="98"/>
      <c r="G1002" s="98"/>
      <c r="H1002" s="98"/>
      <c r="I1002" s="98"/>
      <c r="J1002" s="107">
        <v>0</v>
      </c>
      <c r="K1002" s="141"/>
    </row>
    <row r="1003" spans="3:11">
      <c r="C1003" s="138" t="s">
        <v>357</v>
      </c>
      <c r="D1003" s="98"/>
      <c r="E1003" s="98"/>
      <c r="F1003" s="98"/>
      <c r="G1003" s="98"/>
      <c r="H1003" s="98"/>
      <c r="I1003" s="98"/>
      <c r="J1003" s="107">
        <v>0</v>
      </c>
      <c r="K1003" s="141"/>
    </row>
    <row r="1004" spans="3:11">
      <c r="C1004" s="138" t="s">
        <v>631</v>
      </c>
      <c r="D1004" s="98"/>
      <c r="E1004" s="98"/>
      <c r="F1004" s="98"/>
      <c r="G1004" s="98"/>
      <c r="H1004" s="98"/>
      <c r="I1004" s="98"/>
      <c r="J1004" s="107">
        <v>0</v>
      </c>
      <c r="K1004" s="141"/>
    </row>
    <row r="1005" spans="3:11">
      <c r="C1005" s="138" t="s">
        <v>373</v>
      </c>
      <c r="D1005" s="98"/>
      <c r="E1005" s="98"/>
      <c r="F1005" s="98"/>
      <c r="G1005" s="98"/>
      <c r="H1005" s="98"/>
      <c r="I1005" s="98"/>
      <c r="J1005" s="107">
        <v>0</v>
      </c>
      <c r="K1005" s="141"/>
    </row>
    <row r="1006" spans="3:11">
      <c r="C1006" s="138" t="s">
        <v>573</v>
      </c>
      <c r="D1006" s="98"/>
      <c r="E1006" s="98"/>
      <c r="F1006" s="98"/>
      <c r="G1006" s="98"/>
      <c r="H1006" s="98"/>
      <c r="I1006" s="98"/>
      <c r="J1006" s="107">
        <v>0</v>
      </c>
      <c r="K1006" s="141"/>
    </row>
    <row r="1007" spans="3:11">
      <c r="C1007" s="138" t="s">
        <v>747</v>
      </c>
      <c r="D1007" s="98"/>
      <c r="E1007" s="98"/>
      <c r="F1007" s="98"/>
      <c r="G1007" s="98"/>
      <c r="H1007" s="98"/>
      <c r="I1007" s="98"/>
      <c r="J1007" s="107">
        <v>0</v>
      </c>
      <c r="K1007" s="141"/>
    </row>
    <row r="1008" spans="3:11">
      <c r="C1008" s="138" t="s">
        <v>852</v>
      </c>
      <c r="D1008" s="98"/>
      <c r="E1008" s="98"/>
      <c r="F1008" s="98"/>
      <c r="G1008" s="98"/>
      <c r="H1008" s="98"/>
      <c r="I1008" s="98"/>
      <c r="J1008" s="107">
        <v>0</v>
      </c>
      <c r="K1008" s="141"/>
    </row>
    <row r="1009" spans="3:11">
      <c r="C1009" s="138" t="s">
        <v>192</v>
      </c>
      <c r="D1009" s="98"/>
      <c r="E1009" s="98"/>
      <c r="F1009" s="98"/>
      <c r="G1009" s="98"/>
      <c r="H1009" s="98"/>
      <c r="I1009" s="98"/>
      <c r="J1009" s="107">
        <v>0</v>
      </c>
      <c r="K1009" s="141"/>
    </row>
    <row r="1010" spans="3:11">
      <c r="C1010" s="138" t="s">
        <v>829</v>
      </c>
      <c r="D1010" s="98"/>
      <c r="E1010" s="98"/>
      <c r="F1010" s="98"/>
      <c r="G1010" s="98"/>
      <c r="H1010" s="98"/>
      <c r="I1010" s="98"/>
      <c r="J1010" s="107">
        <v>0</v>
      </c>
      <c r="K1010" s="141"/>
    </row>
    <row r="1011" spans="3:11">
      <c r="C1011" s="138" t="s">
        <v>1028</v>
      </c>
      <c r="D1011" s="98"/>
      <c r="E1011" s="98"/>
      <c r="F1011" s="98"/>
      <c r="G1011" s="98"/>
      <c r="H1011" s="98"/>
      <c r="I1011" s="98"/>
      <c r="J1011" s="107">
        <v>0</v>
      </c>
      <c r="K1011" s="141"/>
    </row>
    <row r="1012" spans="3:11">
      <c r="C1012" s="138" t="s">
        <v>1090</v>
      </c>
      <c r="D1012" s="98"/>
      <c r="E1012" s="98"/>
      <c r="F1012" s="98"/>
      <c r="G1012" s="98"/>
      <c r="H1012" s="98"/>
      <c r="I1012" s="98"/>
      <c r="J1012" s="107">
        <v>0</v>
      </c>
      <c r="K1012" s="141"/>
    </row>
    <row r="1013" spans="3:11">
      <c r="C1013" s="138" t="s">
        <v>872</v>
      </c>
      <c r="D1013" s="98"/>
      <c r="E1013" s="98"/>
      <c r="F1013" s="98"/>
      <c r="G1013" s="98"/>
      <c r="H1013" s="98"/>
      <c r="I1013" s="98"/>
      <c r="J1013" s="107">
        <v>0</v>
      </c>
      <c r="K1013" s="141"/>
    </row>
    <row r="1014" spans="3:11">
      <c r="C1014" s="138" t="s">
        <v>356</v>
      </c>
      <c r="D1014" s="98"/>
      <c r="E1014" s="98"/>
      <c r="F1014" s="98"/>
      <c r="G1014" s="98"/>
      <c r="H1014" s="98"/>
      <c r="I1014" s="98"/>
      <c r="J1014" s="107">
        <v>0</v>
      </c>
      <c r="K1014" s="141"/>
    </row>
    <row r="1015" spans="3:11">
      <c r="C1015" s="138" t="s">
        <v>734</v>
      </c>
      <c r="D1015" s="98"/>
      <c r="E1015" s="98"/>
      <c r="F1015" s="98"/>
      <c r="G1015" s="98"/>
      <c r="H1015" s="98"/>
      <c r="I1015" s="98"/>
      <c r="J1015" s="107">
        <v>0</v>
      </c>
      <c r="K1015" s="141"/>
    </row>
    <row r="1016" spans="3:11">
      <c r="C1016" s="138" t="s">
        <v>1034</v>
      </c>
      <c r="D1016" s="98"/>
      <c r="E1016" s="98"/>
      <c r="F1016" s="98"/>
      <c r="G1016" s="98"/>
      <c r="H1016" s="98"/>
      <c r="I1016" s="98"/>
      <c r="J1016" s="107">
        <v>0</v>
      </c>
      <c r="K1016" s="141"/>
    </row>
    <row r="1017" spans="3:11">
      <c r="C1017" s="138" t="s">
        <v>367</v>
      </c>
      <c r="D1017" s="98"/>
      <c r="E1017" s="98"/>
      <c r="F1017" s="98"/>
      <c r="G1017" s="98"/>
      <c r="H1017" s="98"/>
      <c r="I1017" s="98"/>
      <c r="J1017" s="107">
        <v>0</v>
      </c>
      <c r="K1017" s="141"/>
    </row>
    <row r="1018" spans="3:11">
      <c r="C1018" s="138" t="s">
        <v>692</v>
      </c>
      <c r="D1018" s="98"/>
      <c r="E1018" s="98"/>
      <c r="F1018" s="98"/>
      <c r="G1018" s="98"/>
      <c r="H1018" s="98"/>
      <c r="I1018" s="98"/>
      <c r="J1018" s="107">
        <v>0</v>
      </c>
      <c r="K1018" s="141"/>
    </row>
    <row r="1019" spans="3:11">
      <c r="C1019" s="138" t="s">
        <v>1036</v>
      </c>
      <c r="D1019" s="98"/>
      <c r="E1019" s="98"/>
      <c r="F1019" s="98"/>
      <c r="G1019" s="98"/>
      <c r="H1019" s="98"/>
      <c r="I1019" s="98"/>
      <c r="J1019" s="107">
        <v>0</v>
      </c>
      <c r="K1019" s="141"/>
    </row>
    <row r="1020" spans="3:11">
      <c r="C1020" s="138" t="s">
        <v>341</v>
      </c>
      <c r="D1020" s="98"/>
      <c r="E1020" s="98"/>
      <c r="F1020" s="98"/>
      <c r="G1020" s="98"/>
      <c r="H1020" s="98"/>
      <c r="I1020" s="98"/>
      <c r="J1020" s="107">
        <v>0</v>
      </c>
      <c r="K1020" s="141"/>
    </row>
    <row r="1021" spans="3:11">
      <c r="C1021" s="138" t="s">
        <v>452</v>
      </c>
      <c r="D1021" s="98"/>
      <c r="E1021" s="98"/>
      <c r="F1021" s="98"/>
      <c r="G1021" s="98"/>
      <c r="H1021" s="98"/>
      <c r="I1021" s="98"/>
      <c r="J1021" s="107">
        <v>0</v>
      </c>
      <c r="K1021" s="141"/>
    </row>
    <row r="1022" spans="3:11">
      <c r="C1022" s="138" t="s">
        <v>1121</v>
      </c>
      <c r="D1022" s="98"/>
      <c r="E1022" s="98"/>
      <c r="F1022" s="98"/>
      <c r="G1022" s="98"/>
      <c r="H1022" s="98"/>
      <c r="I1022" s="98"/>
      <c r="J1022" s="107">
        <v>0</v>
      </c>
      <c r="K1022" s="141"/>
    </row>
  </sheetData>
  <conditionalFormatting pivot="1" sqref="J9:J1022">
    <cfRule type="colorScale" priority="9">
      <colorScale>
        <cfvo type="num" val="0"/>
        <cfvo type="num" val="0.2"/>
        <color theme="1"/>
        <color rgb="FF7A0000"/>
      </colorScale>
    </cfRule>
  </conditionalFormatting>
  <conditionalFormatting pivot="1" sqref="K9:K1022">
    <cfRule type="colorScale" priority="8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5004ED-7328-4958-9243-BB98966E137D}">
  <sheetPr codeName="Sheet8"/>
  <dimension ref="B1:Q1022"/>
  <sheetViews>
    <sheetView workbookViewId="0">
      <selection activeCell="C8" sqref="C8"/>
    </sheetView>
  </sheetViews>
  <sheetFormatPr defaultRowHeight="14.4"/>
  <cols>
    <col min="1" max="2" width="2.77734375" customWidth="1"/>
    <col min="3" max="3" width="20.5546875" bestFit="1" customWidth="1"/>
    <col min="4" max="4" width="10.109375" bestFit="1" customWidth="1"/>
    <col min="5" max="5" width="12.21875" bestFit="1" customWidth="1"/>
    <col min="6" max="6" width="10.88671875" bestFit="1" customWidth="1"/>
    <col min="7" max="7" width="11.44140625" bestFit="1" customWidth="1"/>
    <col min="8" max="8" width="8.6640625" bestFit="1" customWidth="1"/>
    <col min="9" max="9" width="16" bestFit="1" customWidth="1"/>
    <col min="10" max="10" width="10.77734375" customWidth="1"/>
    <col min="11" max="16" width="15.44140625" customWidth="1"/>
  </cols>
  <sheetData>
    <row r="1" spans="2:17">
      <c r="C1" s="2"/>
      <c r="D1" s="6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2:17" s="44" customFormat="1" ht="36.6">
      <c r="C2" s="108" t="str">
        <f>Name</f>
        <v>MLB</v>
      </c>
      <c r="E2" s="109"/>
      <c r="F2" s="109"/>
      <c r="G2" s="109"/>
      <c r="H2" s="109"/>
      <c r="I2" s="109"/>
      <c r="J2" s="109"/>
      <c r="K2" s="109"/>
      <c r="L2" s="109"/>
      <c r="M2" s="109"/>
      <c r="N2" s="109"/>
      <c r="O2" s="109"/>
      <c r="P2" s="110"/>
    </row>
    <row r="3" spans="2:17" ht="10.050000000000001" customHeight="1">
      <c r="C3" s="1"/>
      <c r="D3" s="4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2:17" ht="15" customHeight="1">
      <c r="B4" s="121"/>
      <c r="C4" s="121"/>
      <c r="D4" s="121"/>
      <c r="E4" s="121"/>
      <c r="F4" s="121"/>
      <c r="G4" s="121"/>
      <c r="H4" s="121"/>
      <c r="I4" s="121"/>
      <c r="J4" s="121"/>
      <c r="K4" s="121"/>
      <c r="L4" s="121"/>
      <c r="M4" s="121"/>
      <c r="N4" s="121"/>
      <c r="O4" s="121"/>
      <c r="P4" s="121"/>
      <c r="Q4" s="121"/>
    </row>
    <row r="5" spans="2:17" ht="15" customHeight="1"/>
    <row r="6" spans="2:17" ht="15" customHeight="1"/>
    <row r="7" spans="2:17" ht="15" customHeight="1">
      <c r="C7" s="105"/>
    </row>
    <row r="8" spans="2:17" ht="36.6" customHeight="1">
      <c r="C8" s="140" t="s">
        <v>45</v>
      </c>
      <c r="D8" s="139" t="s">
        <v>57</v>
      </c>
      <c r="E8" s="139" t="s">
        <v>58</v>
      </c>
      <c r="F8" s="139" t="s">
        <v>59</v>
      </c>
      <c r="G8" s="139" t="s">
        <v>60</v>
      </c>
      <c r="H8" s="139" t="s">
        <v>61</v>
      </c>
      <c r="I8" s="139" t="s">
        <v>62</v>
      </c>
    </row>
    <row r="9" spans="2:17" ht="15" customHeight="1">
      <c r="C9" s="138" t="s">
        <v>515</v>
      </c>
      <c r="D9" s="98"/>
      <c r="E9" s="98"/>
      <c r="F9" s="98"/>
      <c r="G9" s="98"/>
      <c r="H9" s="98"/>
      <c r="I9" s="98"/>
    </row>
    <row r="10" spans="2:17" ht="15" customHeight="1">
      <c r="C10" s="138" t="s">
        <v>482</v>
      </c>
      <c r="D10" s="98"/>
      <c r="E10" s="98"/>
      <c r="F10" s="98"/>
      <c r="G10" s="98"/>
      <c r="H10" s="98"/>
      <c r="I10" s="98"/>
    </row>
    <row r="11" spans="2:17" ht="15" customHeight="1">
      <c r="C11" s="138" t="s">
        <v>115</v>
      </c>
      <c r="D11" s="98"/>
      <c r="E11" s="98"/>
      <c r="F11" s="98"/>
      <c r="G11" s="98"/>
      <c r="H11" s="98"/>
      <c r="I11" s="98"/>
    </row>
    <row r="12" spans="2:17" ht="15" customHeight="1">
      <c r="C12" s="138" t="s">
        <v>673</v>
      </c>
      <c r="D12" s="98"/>
      <c r="E12" s="98"/>
      <c r="F12" s="98"/>
      <c r="G12" s="98"/>
      <c r="H12" s="98"/>
      <c r="I12" s="98"/>
    </row>
    <row r="13" spans="2:17" ht="15" customHeight="1">
      <c r="C13" s="138" t="s">
        <v>755</v>
      </c>
      <c r="D13" s="98"/>
      <c r="E13" s="98"/>
      <c r="F13" s="98"/>
      <c r="G13" s="98"/>
      <c r="H13" s="98"/>
      <c r="I13" s="98"/>
    </row>
    <row r="14" spans="2:17">
      <c r="C14" s="138" t="s">
        <v>248</v>
      </c>
      <c r="D14" s="98"/>
      <c r="E14" s="98"/>
      <c r="F14" s="98"/>
      <c r="G14" s="98"/>
      <c r="H14" s="98"/>
      <c r="I14" s="98"/>
    </row>
    <row r="15" spans="2:17">
      <c r="C15" s="138" t="s">
        <v>721</v>
      </c>
      <c r="D15" s="98"/>
      <c r="E15" s="98"/>
      <c r="F15" s="98"/>
      <c r="G15" s="98"/>
      <c r="H15" s="98"/>
      <c r="I15" s="98"/>
    </row>
    <row r="16" spans="2:17">
      <c r="C16" s="138" t="s">
        <v>801</v>
      </c>
      <c r="D16" s="98"/>
      <c r="E16" s="98"/>
      <c r="F16" s="98"/>
      <c r="G16" s="98"/>
      <c r="H16" s="98"/>
      <c r="I16" s="98"/>
    </row>
    <row r="17" spans="3:9">
      <c r="C17" s="138" t="s">
        <v>503</v>
      </c>
      <c r="D17" s="98"/>
      <c r="E17" s="98"/>
      <c r="F17" s="98"/>
      <c r="G17" s="98"/>
      <c r="H17" s="98"/>
      <c r="I17" s="98"/>
    </row>
    <row r="18" spans="3:9">
      <c r="C18" s="138" t="s">
        <v>1094</v>
      </c>
      <c r="D18" s="98"/>
      <c r="E18" s="98"/>
      <c r="F18" s="98"/>
      <c r="G18" s="98"/>
      <c r="H18" s="98"/>
      <c r="I18" s="98"/>
    </row>
    <row r="19" spans="3:9">
      <c r="C19" s="138" t="s">
        <v>891</v>
      </c>
      <c r="D19" s="98"/>
      <c r="E19" s="98"/>
      <c r="F19" s="98"/>
      <c r="G19" s="98"/>
      <c r="H19" s="98"/>
      <c r="I19" s="98"/>
    </row>
    <row r="20" spans="3:9">
      <c r="C20" s="138" t="s">
        <v>886</v>
      </c>
      <c r="D20" s="98"/>
      <c r="E20" s="98"/>
      <c r="F20" s="98"/>
      <c r="G20" s="98"/>
      <c r="H20" s="98"/>
      <c r="I20" s="98"/>
    </row>
    <row r="21" spans="3:9">
      <c r="C21" s="138" t="s">
        <v>72</v>
      </c>
      <c r="D21" s="98"/>
      <c r="E21" s="98"/>
      <c r="F21" s="98"/>
      <c r="G21" s="98"/>
      <c r="H21" s="98"/>
      <c r="I21" s="98"/>
    </row>
    <row r="22" spans="3:9">
      <c r="C22" s="138" t="s">
        <v>712</v>
      </c>
      <c r="D22" s="98"/>
      <c r="E22" s="98"/>
      <c r="F22" s="98"/>
      <c r="G22" s="98"/>
      <c r="H22" s="98"/>
      <c r="I22" s="98"/>
    </row>
    <row r="23" spans="3:9">
      <c r="C23" s="138" t="s">
        <v>900</v>
      </c>
      <c r="D23" s="98"/>
      <c r="E23" s="98"/>
      <c r="F23" s="98"/>
      <c r="G23" s="98"/>
      <c r="H23" s="98"/>
      <c r="I23" s="98"/>
    </row>
    <row r="24" spans="3:9">
      <c r="C24" s="138" t="s">
        <v>818</v>
      </c>
      <c r="D24" s="98"/>
      <c r="E24" s="98"/>
      <c r="F24" s="98"/>
      <c r="G24" s="98"/>
      <c r="H24" s="98"/>
      <c r="I24" s="98"/>
    </row>
    <row r="25" spans="3:9">
      <c r="C25" s="138" t="s">
        <v>374</v>
      </c>
      <c r="D25" s="98"/>
      <c r="E25" s="98"/>
      <c r="F25" s="98"/>
      <c r="G25" s="98"/>
      <c r="H25" s="98"/>
      <c r="I25" s="98"/>
    </row>
    <row r="26" spans="3:9">
      <c r="C26" s="138" t="s">
        <v>1093</v>
      </c>
      <c r="D26" s="98"/>
      <c r="E26" s="98"/>
      <c r="F26" s="98"/>
      <c r="G26" s="98"/>
      <c r="H26" s="98"/>
      <c r="I26" s="98"/>
    </row>
    <row r="27" spans="3:9">
      <c r="C27" s="138" t="s">
        <v>1020</v>
      </c>
      <c r="D27" s="98"/>
      <c r="E27" s="98"/>
      <c r="F27" s="98"/>
      <c r="G27" s="98"/>
      <c r="H27" s="98"/>
      <c r="I27" s="98"/>
    </row>
    <row r="28" spans="3:9">
      <c r="C28" s="138" t="s">
        <v>99</v>
      </c>
      <c r="D28" s="98"/>
      <c r="E28" s="98"/>
      <c r="F28" s="98"/>
      <c r="G28" s="98"/>
      <c r="H28" s="98"/>
      <c r="I28" s="98"/>
    </row>
    <row r="29" spans="3:9">
      <c r="C29" s="138" t="s">
        <v>257</v>
      </c>
      <c r="D29" s="98"/>
      <c r="E29" s="98"/>
      <c r="F29" s="98"/>
      <c r="G29" s="98"/>
      <c r="H29" s="98"/>
      <c r="I29" s="98"/>
    </row>
    <row r="30" spans="3:9">
      <c r="C30" s="138" t="s">
        <v>88</v>
      </c>
      <c r="D30" s="98"/>
      <c r="E30" s="98"/>
      <c r="F30" s="98"/>
      <c r="G30" s="98"/>
      <c r="H30" s="98"/>
      <c r="I30" s="98"/>
    </row>
    <row r="31" spans="3:9">
      <c r="C31" s="138" t="s">
        <v>1104</v>
      </c>
      <c r="D31" s="98"/>
      <c r="E31" s="98"/>
      <c r="F31" s="98"/>
      <c r="G31" s="98"/>
      <c r="H31" s="98"/>
      <c r="I31" s="98"/>
    </row>
    <row r="32" spans="3:9">
      <c r="C32" s="138" t="s">
        <v>369</v>
      </c>
      <c r="D32" s="98"/>
      <c r="E32" s="98"/>
      <c r="F32" s="98"/>
      <c r="G32" s="98"/>
      <c r="H32" s="98"/>
      <c r="I32" s="98"/>
    </row>
    <row r="33" spans="3:9">
      <c r="C33" s="138" t="s">
        <v>951</v>
      </c>
      <c r="D33" s="98"/>
      <c r="E33" s="98"/>
      <c r="F33" s="98"/>
      <c r="G33" s="98"/>
      <c r="H33" s="98"/>
      <c r="I33" s="98"/>
    </row>
    <row r="34" spans="3:9">
      <c r="C34" s="138" t="s">
        <v>489</v>
      </c>
      <c r="D34" s="98"/>
      <c r="E34" s="98"/>
      <c r="F34" s="98"/>
      <c r="G34" s="98"/>
      <c r="H34" s="98"/>
      <c r="I34" s="98"/>
    </row>
    <row r="35" spans="3:9">
      <c r="C35" s="138" t="s">
        <v>280</v>
      </c>
      <c r="D35" s="98"/>
      <c r="E35" s="98"/>
      <c r="F35" s="98"/>
      <c r="G35" s="98"/>
      <c r="H35" s="98"/>
      <c r="I35" s="98"/>
    </row>
    <row r="36" spans="3:9">
      <c r="C36" s="138" t="s">
        <v>785</v>
      </c>
      <c r="D36" s="98"/>
      <c r="E36" s="98"/>
      <c r="F36" s="98"/>
      <c r="G36" s="98"/>
      <c r="H36" s="98"/>
      <c r="I36" s="98"/>
    </row>
    <row r="37" spans="3:9">
      <c r="C37" s="138" t="s">
        <v>1092</v>
      </c>
      <c r="D37" s="98"/>
      <c r="E37" s="98"/>
      <c r="F37" s="98"/>
      <c r="G37" s="98"/>
      <c r="H37" s="98"/>
      <c r="I37" s="98"/>
    </row>
    <row r="38" spans="3:9">
      <c r="C38" s="138" t="s">
        <v>646</v>
      </c>
      <c r="D38" s="98"/>
      <c r="E38" s="98"/>
      <c r="F38" s="98"/>
      <c r="G38" s="98"/>
      <c r="H38" s="98"/>
      <c r="I38" s="98"/>
    </row>
    <row r="39" spans="3:9">
      <c r="C39" s="138" t="s">
        <v>538</v>
      </c>
      <c r="D39" s="98"/>
      <c r="E39" s="98"/>
      <c r="F39" s="98"/>
      <c r="G39" s="98"/>
      <c r="H39" s="98"/>
      <c r="I39" s="98"/>
    </row>
    <row r="40" spans="3:9">
      <c r="C40" s="138" t="s">
        <v>121</v>
      </c>
      <c r="D40" s="98"/>
      <c r="E40" s="98"/>
      <c r="F40" s="98"/>
      <c r="G40" s="98"/>
      <c r="H40" s="98"/>
      <c r="I40" s="98"/>
    </row>
    <row r="41" spans="3:9">
      <c r="C41" s="138" t="s">
        <v>189</v>
      </c>
      <c r="D41" s="98"/>
      <c r="E41" s="98"/>
      <c r="F41" s="98"/>
      <c r="G41" s="98"/>
      <c r="H41" s="98"/>
      <c r="I41" s="98"/>
    </row>
    <row r="42" spans="3:9">
      <c r="C42" s="138" t="s">
        <v>994</v>
      </c>
      <c r="D42" s="98"/>
      <c r="E42" s="98"/>
      <c r="F42" s="98"/>
      <c r="G42" s="98"/>
      <c r="H42" s="98"/>
      <c r="I42" s="98"/>
    </row>
    <row r="43" spans="3:9">
      <c r="C43" s="138" t="s">
        <v>706</v>
      </c>
      <c r="D43" s="98"/>
      <c r="E43" s="98"/>
      <c r="F43" s="98"/>
      <c r="G43" s="98"/>
      <c r="H43" s="98"/>
      <c r="I43" s="98"/>
    </row>
    <row r="44" spans="3:9">
      <c r="C44" s="138" t="s">
        <v>510</v>
      </c>
      <c r="D44" s="98"/>
      <c r="E44" s="98"/>
      <c r="F44" s="98"/>
      <c r="G44" s="98"/>
      <c r="H44" s="98"/>
      <c r="I44" s="98"/>
    </row>
    <row r="45" spans="3:9">
      <c r="C45" s="138" t="s">
        <v>300</v>
      </c>
      <c r="D45" s="98"/>
      <c r="E45" s="98"/>
      <c r="F45" s="98"/>
      <c r="G45" s="98"/>
      <c r="H45" s="98"/>
      <c r="I45" s="98"/>
    </row>
    <row r="46" spans="3:9">
      <c r="C46" s="138" t="s">
        <v>537</v>
      </c>
      <c r="D46" s="98"/>
      <c r="E46" s="98"/>
      <c r="F46" s="98"/>
      <c r="G46" s="98"/>
      <c r="H46" s="98"/>
      <c r="I46" s="98"/>
    </row>
    <row r="47" spans="3:9">
      <c r="C47" s="138" t="s">
        <v>611</v>
      </c>
      <c r="D47" s="98"/>
      <c r="E47" s="98"/>
      <c r="F47" s="98"/>
      <c r="G47" s="98"/>
      <c r="H47" s="98"/>
      <c r="I47" s="98"/>
    </row>
    <row r="48" spans="3:9">
      <c r="C48" s="138" t="s">
        <v>675</v>
      </c>
      <c r="D48" s="98"/>
      <c r="E48" s="98"/>
      <c r="F48" s="98"/>
      <c r="G48" s="98"/>
      <c r="H48" s="98"/>
      <c r="I48" s="98"/>
    </row>
    <row r="49" spans="3:9">
      <c r="C49" s="138" t="s">
        <v>894</v>
      </c>
      <c r="D49" s="98"/>
      <c r="E49" s="98"/>
      <c r="F49" s="98"/>
      <c r="G49" s="98"/>
      <c r="H49" s="98"/>
      <c r="I49" s="98"/>
    </row>
    <row r="50" spans="3:9">
      <c r="C50" s="138" t="s">
        <v>737</v>
      </c>
      <c r="D50" s="98"/>
      <c r="E50" s="98"/>
      <c r="F50" s="98"/>
      <c r="G50" s="98"/>
      <c r="H50" s="98"/>
      <c r="I50" s="98"/>
    </row>
    <row r="51" spans="3:9">
      <c r="C51" s="138" t="s">
        <v>795</v>
      </c>
      <c r="D51" s="98"/>
      <c r="E51" s="98"/>
      <c r="F51" s="98"/>
      <c r="G51" s="98"/>
      <c r="H51" s="98"/>
      <c r="I51" s="98"/>
    </row>
    <row r="52" spans="3:9">
      <c r="C52" s="138" t="s">
        <v>908</v>
      </c>
      <c r="D52" s="98"/>
      <c r="E52" s="98"/>
      <c r="F52" s="98"/>
      <c r="G52" s="98"/>
      <c r="H52" s="98"/>
      <c r="I52" s="98"/>
    </row>
    <row r="53" spans="3:9">
      <c r="C53" s="138" t="s">
        <v>774</v>
      </c>
      <c r="D53" s="98"/>
      <c r="E53" s="98"/>
      <c r="F53" s="98"/>
      <c r="G53" s="98"/>
      <c r="H53" s="98"/>
      <c r="I53" s="98"/>
    </row>
    <row r="54" spans="3:9">
      <c r="C54" s="138" t="s">
        <v>855</v>
      </c>
      <c r="D54" s="98"/>
      <c r="E54" s="98"/>
      <c r="F54" s="98"/>
      <c r="G54" s="98"/>
      <c r="H54" s="98"/>
      <c r="I54" s="98"/>
    </row>
    <row r="55" spans="3:9">
      <c r="C55" s="138" t="s">
        <v>437</v>
      </c>
      <c r="D55" s="98"/>
      <c r="E55" s="98"/>
      <c r="F55" s="98"/>
      <c r="G55" s="98"/>
      <c r="H55" s="98"/>
      <c r="I55" s="98"/>
    </row>
    <row r="56" spans="3:9">
      <c r="C56" s="138" t="s">
        <v>975</v>
      </c>
      <c r="D56" s="98"/>
      <c r="E56" s="98"/>
      <c r="F56" s="98"/>
      <c r="G56" s="98"/>
      <c r="H56" s="98"/>
      <c r="I56" s="98"/>
    </row>
    <row r="57" spans="3:9">
      <c r="C57" s="138" t="s">
        <v>355</v>
      </c>
      <c r="D57" s="98"/>
      <c r="E57" s="98"/>
      <c r="F57" s="98"/>
      <c r="G57" s="98"/>
      <c r="H57" s="98"/>
      <c r="I57" s="98"/>
    </row>
    <row r="58" spans="3:9">
      <c r="C58" s="138" t="s">
        <v>141</v>
      </c>
      <c r="D58" s="98"/>
      <c r="E58" s="98"/>
      <c r="F58" s="98"/>
      <c r="G58" s="98"/>
      <c r="H58" s="98"/>
      <c r="I58" s="98"/>
    </row>
    <row r="59" spans="3:9">
      <c r="C59" s="138" t="s">
        <v>577</v>
      </c>
      <c r="D59" s="98"/>
      <c r="E59" s="98"/>
      <c r="F59" s="98"/>
      <c r="G59" s="98"/>
      <c r="H59" s="98"/>
      <c r="I59" s="98"/>
    </row>
    <row r="60" spans="3:9">
      <c r="C60" s="138" t="s">
        <v>853</v>
      </c>
      <c r="D60" s="98"/>
      <c r="E60" s="98"/>
      <c r="F60" s="98"/>
      <c r="G60" s="98"/>
      <c r="H60" s="98"/>
      <c r="I60" s="98"/>
    </row>
    <row r="61" spans="3:9">
      <c r="C61" s="138" t="s">
        <v>227</v>
      </c>
      <c r="D61" s="98"/>
      <c r="E61" s="98"/>
      <c r="F61" s="98"/>
      <c r="G61" s="98"/>
      <c r="H61" s="98"/>
      <c r="I61" s="98"/>
    </row>
    <row r="62" spans="3:9">
      <c r="C62" s="138" t="s">
        <v>308</v>
      </c>
      <c r="D62" s="98"/>
      <c r="E62" s="98"/>
      <c r="F62" s="98"/>
      <c r="G62" s="98"/>
      <c r="H62" s="98"/>
      <c r="I62" s="98"/>
    </row>
    <row r="63" spans="3:9">
      <c r="C63" s="138" t="s">
        <v>294</v>
      </c>
      <c r="D63" s="98"/>
      <c r="E63" s="98"/>
      <c r="F63" s="98"/>
      <c r="G63" s="98"/>
      <c r="H63" s="98"/>
      <c r="I63" s="98"/>
    </row>
    <row r="64" spans="3:9">
      <c r="C64" s="138" t="s">
        <v>436</v>
      </c>
      <c r="D64" s="98"/>
      <c r="E64" s="98"/>
      <c r="F64" s="98"/>
      <c r="G64" s="98"/>
      <c r="H64" s="98"/>
      <c r="I64" s="98"/>
    </row>
    <row r="65" spans="3:9">
      <c r="C65" s="138" t="s">
        <v>624</v>
      </c>
      <c r="D65" s="98"/>
      <c r="E65" s="98"/>
      <c r="F65" s="98"/>
      <c r="G65" s="98"/>
      <c r="H65" s="98"/>
      <c r="I65" s="98"/>
    </row>
    <row r="66" spans="3:9">
      <c r="C66" s="138" t="s">
        <v>618</v>
      </c>
      <c r="D66" s="98"/>
      <c r="E66" s="98"/>
      <c r="F66" s="98"/>
      <c r="G66" s="98"/>
      <c r="H66" s="98"/>
      <c r="I66" s="98"/>
    </row>
    <row r="67" spans="3:9">
      <c r="C67" s="138" t="s">
        <v>435</v>
      </c>
      <c r="D67" s="98"/>
      <c r="E67" s="98"/>
      <c r="F67" s="98"/>
      <c r="G67" s="98"/>
      <c r="H67" s="98"/>
      <c r="I67" s="98"/>
    </row>
    <row r="68" spans="3:9">
      <c r="C68" s="138" t="s">
        <v>682</v>
      </c>
      <c r="D68" s="98"/>
      <c r="E68" s="98"/>
      <c r="F68" s="98"/>
      <c r="G68" s="98"/>
      <c r="H68" s="98"/>
      <c r="I68" s="98"/>
    </row>
    <row r="69" spans="3:9">
      <c r="C69" s="138" t="s">
        <v>1106</v>
      </c>
      <c r="D69" s="98"/>
      <c r="E69" s="98"/>
      <c r="F69" s="98"/>
      <c r="G69" s="98"/>
      <c r="H69" s="98"/>
      <c r="I69" s="98"/>
    </row>
    <row r="70" spans="3:9">
      <c r="C70" s="138" t="s">
        <v>904</v>
      </c>
      <c r="D70" s="98"/>
      <c r="E70" s="98"/>
      <c r="F70" s="98"/>
      <c r="G70" s="98"/>
      <c r="H70" s="98"/>
      <c r="I70" s="98"/>
    </row>
    <row r="71" spans="3:9">
      <c r="C71" s="138" t="s">
        <v>265</v>
      </c>
      <c r="D71" s="98"/>
      <c r="E71" s="98"/>
      <c r="F71" s="98"/>
      <c r="G71" s="98"/>
      <c r="H71" s="98"/>
      <c r="I71" s="98"/>
    </row>
    <row r="72" spans="3:9">
      <c r="C72" s="138" t="s">
        <v>609</v>
      </c>
      <c r="D72" s="98"/>
      <c r="E72" s="98"/>
      <c r="F72" s="98"/>
      <c r="G72" s="98"/>
      <c r="H72" s="98"/>
      <c r="I72" s="98"/>
    </row>
    <row r="73" spans="3:9">
      <c r="C73" s="138" t="s">
        <v>1080</v>
      </c>
      <c r="D73" s="98"/>
      <c r="E73" s="98"/>
      <c r="F73" s="98"/>
      <c r="G73" s="98"/>
      <c r="H73" s="98"/>
      <c r="I73" s="98"/>
    </row>
    <row r="74" spans="3:9">
      <c r="C74" s="138" t="s">
        <v>87</v>
      </c>
      <c r="D74" s="98"/>
      <c r="E74" s="98"/>
      <c r="F74" s="98"/>
      <c r="G74" s="98"/>
      <c r="H74" s="98"/>
      <c r="I74" s="98"/>
    </row>
    <row r="75" spans="3:9">
      <c r="C75" s="138" t="s">
        <v>995</v>
      </c>
      <c r="D75" s="98"/>
      <c r="E75" s="98"/>
      <c r="F75" s="98"/>
      <c r="G75" s="98"/>
      <c r="H75" s="98"/>
      <c r="I75" s="98"/>
    </row>
    <row r="76" spans="3:9">
      <c r="C76" s="138" t="s">
        <v>519</v>
      </c>
      <c r="D76" s="98"/>
      <c r="E76" s="98"/>
      <c r="F76" s="98"/>
      <c r="G76" s="98"/>
      <c r="H76" s="98"/>
      <c r="I76" s="98"/>
    </row>
    <row r="77" spans="3:9">
      <c r="C77" s="138" t="s">
        <v>403</v>
      </c>
      <c r="D77" s="98"/>
      <c r="E77" s="98"/>
      <c r="F77" s="98"/>
      <c r="G77" s="98"/>
      <c r="H77" s="98"/>
      <c r="I77" s="98"/>
    </row>
    <row r="78" spans="3:9">
      <c r="C78" s="138" t="s">
        <v>1068</v>
      </c>
      <c r="D78" s="98"/>
      <c r="E78" s="98"/>
      <c r="F78" s="98"/>
      <c r="G78" s="98"/>
      <c r="H78" s="98"/>
      <c r="I78" s="98"/>
    </row>
    <row r="79" spans="3:9">
      <c r="C79" s="138" t="s">
        <v>1076</v>
      </c>
      <c r="D79" s="98"/>
      <c r="E79" s="98"/>
      <c r="F79" s="98"/>
      <c r="G79" s="98"/>
      <c r="H79" s="98"/>
      <c r="I79" s="98"/>
    </row>
    <row r="80" spans="3:9">
      <c r="C80" s="138" t="s">
        <v>169</v>
      </c>
      <c r="D80" s="98"/>
      <c r="E80" s="98"/>
      <c r="F80" s="98"/>
      <c r="G80" s="98"/>
      <c r="H80" s="98"/>
      <c r="I80" s="98"/>
    </row>
    <row r="81" spans="3:9">
      <c r="C81" s="138" t="s">
        <v>1006</v>
      </c>
      <c r="D81" s="98"/>
      <c r="E81" s="98"/>
      <c r="F81" s="98"/>
      <c r="G81" s="98"/>
      <c r="H81" s="98"/>
      <c r="I81" s="98"/>
    </row>
    <row r="82" spans="3:9">
      <c r="C82" s="138" t="s">
        <v>364</v>
      </c>
      <c r="D82" s="98"/>
      <c r="E82" s="98"/>
      <c r="F82" s="98"/>
      <c r="G82" s="98"/>
      <c r="H82" s="98"/>
      <c r="I82" s="98"/>
    </row>
    <row r="83" spans="3:9">
      <c r="C83" s="138" t="s">
        <v>228</v>
      </c>
      <c r="D83" s="98"/>
      <c r="E83" s="98"/>
      <c r="F83" s="98"/>
      <c r="G83" s="98"/>
      <c r="H83" s="98"/>
      <c r="I83" s="98"/>
    </row>
    <row r="84" spans="3:9">
      <c r="C84" s="138" t="s">
        <v>935</v>
      </c>
      <c r="D84" s="98"/>
      <c r="E84" s="98"/>
      <c r="F84" s="98"/>
      <c r="G84" s="98"/>
      <c r="H84" s="98"/>
      <c r="I84" s="98"/>
    </row>
    <row r="85" spans="3:9">
      <c r="C85" s="138" t="s">
        <v>778</v>
      </c>
      <c r="D85" s="98"/>
      <c r="E85" s="98"/>
      <c r="F85" s="98"/>
      <c r="G85" s="98"/>
      <c r="H85" s="98"/>
      <c r="I85" s="98"/>
    </row>
    <row r="86" spans="3:9">
      <c r="C86" s="138" t="s">
        <v>938</v>
      </c>
      <c r="D86" s="98"/>
      <c r="E86" s="98"/>
      <c r="F86" s="98"/>
      <c r="G86" s="98"/>
      <c r="H86" s="98"/>
      <c r="I86" s="98"/>
    </row>
    <row r="87" spans="3:9">
      <c r="C87" s="138" t="s">
        <v>402</v>
      </c>
      <c r="D87" s="98"/>
      <c r="E87" s="98"/>
      <c r="F87" s="98"/>
      <c r="G87" s="98"/>
      <c r="H87" s="98"/>
      <c r="I87" s="98"/>
    </row>
    <row r="88" spans="3:9">
      <c r="C88" s="138" t="s">
        <v>1053</v>
      </c>
      <c r="D88" s="98"/>
      <c r="E88" s="98"/>
      <c r="F88" s="98"/>
      <c r="G88" s="98"/>
      <c r="H88" s="98"/>
      <c r="I88" s="98"/>
    </row>
    <row r="89" spans="3:9">
      <c r="C89" s="138" t="s">
        <v>985</v>
      </c>
      <c r="D89" s="98"/>
      <c r="E89" s="98"/>
      <c r="F89" s="98"/>
      <c r="G89" s="98"/>
      <c r="H89" s="98"/>
      <c r="I89" s="98"/>
    </row>
    <row r="90" spans="3:9">
      <c r="C90" s="138" t="s">
        <v>725</v>
      </c>
      <c r="D90" s="98"/>
      <c r="E90" s="98"/>
      <c r="F90" s="98"/>
      <c r="G90" s="98"/>
      <c r="H90" s="98"/>
      <c r="I90" s="98"/>
    </row>
    <row r="91" spans="3:9">
      <c r="C91" s="138" t="s">
        <v>922</v>
      </c>
      <c r="D91" s="98"/>
      <c r="E91" s="98"/>
      <c r="F91" s="98"/>
      <c r="G91" s="98"/>
      <c r="H91" s="98"/>
      <c r="I91" s="98"/>
    </row>
    <row r="92" spans="3:9">
      <c r="C92" s="138" t="s">
        <v>1086</v>
      </c>
      <c r="D92" s="98"/>
      <c r="E92" s="98"/>
      <c r="F92" s="98"/>
      <c r="G92" s="98"/>
      <c r="H92" s="98"/>
      <c r="I92" s="98"/>
    </row>
    <row r="93" spans="3:9">
      <c r="C93" s="138" t="s">
        <v>997</v>
      </c>
      <c r="D93" s="98"/>
      <c r="E93" s="98"/>
      <c r="F93" s="98"/>
      <c r="G93" s="98"/>
      <c r="H93" s="98"/>
      <c r="I93" s="98"/>
    </row>
    <row r="94" spans="3:9">
      <c r="C94" s="138" t="s">
        <v>805</v>
      </c>
      <c r="D94" s="98"/>
      <c r="E94" s="98"/>
      <c r="F94" s="98"/>
      <c r="G94" s="98"/>
      <c r="H94" s="98"/>
      <c r="I94" s="98"/>
    </row>
    <row r="95" spans="3:9">
      <c r="C95" s="138" t="s">
        <v>593</v>
      </c>
      <c r="D95" s="98"/>
      <c r="E95" s="98"/>
      <c r="F95" s="98"/>
      <c r="G95" s="98"/>
      <c r="H95" s="98"/>
      <c r="I95" s="98"/>
    </row>
    <row r="96" spans="3:9">
      <c r="C96" s="138" t="s">
        <v>635</v>
      </c>
      <c r="D96" s="98"/>
      <c r="E96" s="98"/>
      <c r="F96" s="98"/>
      <c r="G96" s="98"/>
      <c r="H96" s="98"/>
      <c r="I96" s="98"/>
    </row>
    <row r="97" spans="3:9">
      <c r="C97" s="138" t="s">
        <v>595</v>
      </c>
      <c r="D97" s="98"/>
      <c r="E97" s="98"/>
      <c r="F97" s="98"/>
      <c r="G97" s="98"/>
      <c r="H97" s="98"/>
      <c r="I97" s="98"/>
    </row>
    <row r="98" spans="3:9">
      <c r="C98" s="138" t="s">
        <v>302</v>
      </c>
      <c r="D98" s="98"/>
      <c r="E98" s="98"/>
      <c r="F98" s="98"/>
      <c r="G98" s="98"/>
      <c r="H98" s="98"/>
      <c r="I98" s="98"/>
    </row>
    <row r="99" spans="3:9">
      <c r="C99" s="138" t="s">
        <v>263</v>
      </c>
      <c r="D99" s="98"/>
      <c r="E99" s="98"/>
      <c r="F99" s="98"/>
      <c r="G99" s="98"/>
      <c r="H99" s="98"/>
      <c r="I99" s="98"/>
    </row>
    <row r="100" spans="3:9">
      <c r="C100" s="138" t="s">
        <v>143</v>
      </c>
      <c r="D100" s="98"/>
      <c r="E100" s="98"/>
      <c r="F100" s="98"/>
      <c r="G100" s="98"/>
      <c r="H100" s="98"/>
      <c r="I100" s="98"/>
    </row>
    <row r="101" spans="3:9">
      <c r="C101" s="138" t="s">
        <v>269</v>
      </c>
      <c r="D101" s="98"/>
      <c r="E101" s="98"/>
      <c r="F101" s="98"/>
      <c r="G101" s="98"/>
      <c r="H101" s="98"/>
      <c r="I101" s="98"/>
    </row>
    <row r="102" spans="3:9">
      <c r="C102" s="138" t="s">
        <v>726</v>
      </c>
      <c r="D102" s="98"/>
      <c r="E102" s="98"/>
      <c r="F102" s="98"/>
      <c r="G102" s="98"/>
      <c r="H102" s="98"/>
      <c r="I102" s="98"/>
    </row>
    <row r="103" spans="3:9">
      <c r="C103" s="138" t="s">
        <v>552</v>
      </c>
      <c r="D103" s="98"/>
      <c r="E103" s="98"/>
      <c r="F103" s="98"/>
      <c r="G103" s="98"/>
      <c r="H103" s="98"/>
      <c r="I103" s="98"/>
    </row>
    <row r="104" spans="3:9">
      <c r="C104" s="138" t="s">
        <v>144</v>
      </c>
      <c r="D104" s="98"/>
      <c r="E104" s="98"/>
      <c r="F104" s="98"/>
      <c r="G104" s="98"/>
      <c r="H104" s="98"/>
      <c r="I104" s="98"/>
    </row>
    <row r="105" spans="3:9">
      <c r="C105" s="138" t="s">
        <v>807</v>
      </c>
      <c r="D105" s="98"/>
      <c r="E105" s="98"/>
      <c r="F105" s="98"/>
      <c r="G105" s="98"/>
      <c r="H105" s="98"/>
      <c r="I105" s="98"/>
    </row>
    <row r="106" spans="3:9">
      <c r="C106" s="138" t="s">
        <v>1022</v>
      </c>
      <c r="D106" s="98"/>
      <c r="E106" s="98"/>
      <c r="F106" s="98"/>
      <c r="G106" s="98"/>
      <c r="H106" s="98"/>
      <c r="I106" s="98"/>
    </row>
    <row r="107" spans="3:9">
      <c r="C107" s="138" t="s">
        <v>275</v>
      </c>
      <c r="D107" s="98"/>
      <c r="E107" s="98"/>
      <c r="F107" s="98"/>
      <c r="G107" s="98"/>
      <c r="H107" s="98"/>
      <c r="I107" s="98"/>
    </row>
    <row r="108" spans="3:9">
      <c r="C108" s="138" t="s">
        <v>749</v>
      </c>
      <c r="D108" s="98"/>
      <c r="E108" s="98"/>
      <c r="F108" s="98"/>
      <c r="G108" s="98"/>
      <c r="H108" s="98"/>
      <c r="I108" s="98"/>
    </row>
    <row r="109" spans="3:9">
      <c r="C109" s="138" t="s">
        <v>1085</v>
      </c>
      <c r="D109" s="98"/>
      <c r="E109" s="98"/>
      <c r="F109" s="98"/>
      <c r="G109" s="98"/>
      <c r="H109" s="98"/>
      <c r="I109" s="98"/>
    </row>
    <row r="110" spans="3:9">
      <c r="C110" s="138" t="s">
        <v>833</v>
      </c>
      <c r="D110" s="98"/>
      <c r="E110" s="98"/>
      <c r="F110" s="98"/>
      <c r="G110" s="98"/>
      <c r="H110" s="98"/>
      <c r="I110" s="98"/>
    </row>
    <row r="111" spans="3:9">
      <c r="C111" s="138" t="s">
        <v>862</v>
      </c>
      <c r="D111" s="98"/>
      <c r="E111" s="98"/>
      <c r="F111" s="98"/>
      <c r="G111" s="98"/>
      <c r="H111" s="98"/>
      <c r="I111" s="98"/>
    </row>
    <row r="112" spans="3:9">
      <c r="C112" s="138" t="s">
        <v>730</v>
      </c>
      <c r="D112" s="98"/>
      <c r="E112" s="98"/>
      <c r="F112" s="98"/>
      <c r="G112" s="98"/>
      <c r="H112" s="98"/>
      <c r="I112" s="98"/>
    </row>
    <row r="113" spans="3:9">
      <c r="C113" s="138" t="s">
        <v>1116</v>
      </c>
      <c r="D113" s="98"/>
      <c r="E113" s="98"/>
      <c r="F113" s="98"/>
      <c r="G113" s="98"/>
      <c r="H113" s="98"/>
      <c r="I113" s="98"/>
    </row>
    <row r="114" spans="3:9">
      <c r="C114" s="138" t="s">
        <v>474</v>
      </c>
      <c r="D114" s="98"/>
      <c r="E114" s="98"/>
      <c r="F114" s="98"/>
      <c r="G114" s="98"/>
      <c r="H114" s="98"/>
      <c r="I114" s="98"/>
    </row>
    <row r="115" spans="3:9">
      <c r="C115" s="138" t="s">
        <v>1113</v>
      </c>
      <c r="D115" s="98"/>
      <c r="E115" s="98"/>
      <c r="F115" s="98"/>
      <c r="G115" s="98"/>
      <c r="H115" s="98"/>
      <c r="I115" s="98"/>
    </row>
    <row r="116" spans="3:9">
      <c r="C116" s="138" t="s">
        <v>927</v>
      </c>
      <c r="D116" s="98"/>
      <c r="E116" s="98"/>
      <c r="F116" s="98"/>
      <c r="G116" s="98"/>
      <c r="H116" s="98"/>
      <c r="I116" s="98"/>
    </row>
    <row r="117" spans="3:9">
      <c r="C117" s="138" t="s">
        <v>827</v>
      </c>
      <c r="D117" s="98"/>
      <c r="E117" s="98"/>
      <c r="F117" s="98"/>
      <c r="G117" s="98"/>
      <c r="H117" s="98"/>
      <c r="I117" s="98"/>
    </row>
    <row r="118" spans="3:9">
      <c r="C118" s="138" t="s">
        <v>93</v>
      </c>
      <c r="D118" s="98"/>
      <c r="E118" s="98"/>
      <c r="F118" s="98"/>
      <c r="G118" s="98"/>
      <c r="H118" s="98"/>
      <c r="I118" s="98"/>
    </row>
    <row r="119" spans="3:9">
      <c r="C119" s="138" t="s">
        <v>334</v>
      </c>
      <c r="D119" s="98"/>
      <c r="E119" s="98"/>
      <c r="F119" s="98"/>
      <c r="G119" s="98"/>
      <c r="H119" s="98"/>
      <c r="I119" s="98"/>
    </row>
    <row r="120" spans="3:9">
      <c r="C120" s="138" t="s">
        <v>525</v>
      </c>
      <c r="D120" s="98"/>
      <c r="E120" s="98"/>
      <c r="F120" s="98"/>
      <c r="G120" s="98"/>
      <c r="H120" s="98"/>
      <c r="I120" s="98"/>
    </row>
    <row r="121" spans="3:9">
      <c r="C121" s="138" t="s">
        <v>664</v>
      </c>
      <c r="D121" s="98"/>
      <c r="E121" s="98"/>
      <c r="F121" s="98"/>
      <c r="G121" s="98"/>
      <c r="H121" s="98"/>
      <c r="I121" s="98"/>
    </row>
    <row r="122" spans="3:9">
      <c r="C122" s="138" t="s">
        <v>483</v>
      </c>
      <c r="D122" s="98"/>
      <c r="E122" s="98"/>
      <c r="F122" s="98"/>
      <c r="G122" s="98"/>
      <c r="H122" s="98"/>
      <c r="I122" s="98"/>
    </row>
    <row r="123" spans="3:9">
      <c r="C123" s="138" t="s">
        <v>659</v>
      </c>
      <c r="D123" s="98"/>
      <c r="E123" s="98"/>
      <c r="F123" s="98"/>
      <c r="G123" s="98"/>
      <c r="H123" s="98"/>
      <c r="I123" s="98"/>
    </row>
    <row r="124" spans="3:9">
      <c r="C124" s="138" t="s">
        <v>195</v>
      </c>
      <c r="D124" s="98"/>
      <c r="E124" s="98"/>
      <c r="F124" s="98"/>
      <c r="G124" s="98"/>
      <c r="H124" s="98"/>
      <c r="I124" s="98"/>
    </row>
    <row r="125" spans="3:9">
      <c r="C125" s="138" t="s">
        <v>704</v>
      </c>
      <c r="D125" s="98"/>
      <c r="E125" s="98"/>
      <c r="F125" s="98"/>
      <c r="G125" s="98"/>
      <c r="H125" s="98"/>
      <c r="I125" s="98"/>
    </row>
    <row r="126" spans="3:9">
      <c r="C126" s="138" t="s">
        <v>656</v>
      </c>
      <c r="D126" s="98"/>
      <c r="E126" s="98"/>
      <c r="F126" s="98"/>
      <c r="G126" s="98"/>
      <c r="H126" s="98"/>
      <c r="I126" s="98"/>
    </row>
    <row r="127" spans="3:9">
      <c r="C127" s="138" t="s">
        <v>563</v>
      </c>
      <c r="D127" s="98"/>
      <c r="E127" s="98"/>
      <c r="F127" s="98"/>
      <c r="G127" s="98"/>
      <c r="H127" s="98"/>
      <c r="I127" s="98"/>
    </row>
    <row r="128" spans="3:9">
      <c r="C128" s="138" t="s">
        <v>212</v>
      </c>
      <c r="D128" s="98"/>
      <c r="E128" s="98"/>
      <c r="F128" s="98"/>
      <c r="G128" s="98"/>
      <c r="H128" s="98"/>
      <c r="I128" s="98"/>
    </row>
    <row r="129" spans="3:9">
      <c r="C129" s="138" t="s">
        <v>400</v>
      </c>
      <c r="D129" s="98"/>
      <c r="E129" s="98"/>
      <c r="F129" s="98"/>
      <c r="G129" s="98"/>
      <c r="H129" s="98"/>
      <c r="I129" s="98"/>
    </row>
    <row r="130" spans="3:9">
      <c r="C130" s="138" t="s">
        <v>338</v>
      </c>
      <c r="D130" s="98"/>
      <c r="E130" s="98"/>
      <c r="F130" s="98"/>
      <c r="G130" s="98"/>
      <c r="H130" s="98"/>
      <c r="I130" s="98"/>
    </row>
    <row r="131" spans="3:9">
      <c r="C131" s="138" t="s">
        <v>1005</v>
      </c>
      <c r="D131" s="98"/>
      <c r="E131" s="98"/>
      <c r="F131" s="98"/>
      <c r="G131" s="98"/>
      <c r="H131" s="98"/>
      <c r="I131" s="98"/>
    </row>
    <row r="132" spans="3:9">
      <c r="C132" s="138" t="s">
        <v>899</v>
      </c>
      <c r="D132" s="98"/>
      <c r="E132" s="98"/>
      <c r="F132" s="98"/>
      <c r="G132" s="98"/>
      <c r="H132" s="98"/>
      <c r="I132" s="98"/>
    </row>
    <row r="133" spans="3:9">
      <c r="C133" s="138" t="s">
        <v>873</v>
      </c>
      <c r="D133" s="98"/>
      <c r="E133" s="98"/>
      <c r="F133" s="98"/>
      <c r="G133" s="98"/>
      <c r="H133" s="98"/>
      <c r="I133" s="98"/>
    </row>
    <row r="134" spans="3:9">
      <c r="C134" s="138" t="s">
        <v>451</v>
      </c>
      <c r="D134" s="98"/>
      <c r="E134" s="98"/>
      <c r="F134" s="98"/>
      <c r="G134" s="98"/>
      <c r="H134" s="98"/>
      <c r="I134" s="98"/>
    </row>
    <row r="135" spans="3:9">
      <c r="C135" s="138" t="s">
        <v>315</v>
      </c>
      <c r="D135" s="98"/>
      <c r="E135" s="98"/>
      <c r="F135" s="98"/>
      <c r="G135" s="98"/>
      <c r="H135" s="98"/>
      <c r="I135" s="98"/>
    </row>
    <row r="136" spans="3:9">
      <c r="C136" s="138" t="s">
        <v>109</v>
      </c>
      <c r="D136" s="98"/>
      <c r="E136" s="98"/>
      <c r="F136" s="98"/>
      <c r="G136" s="98"/>
      <c r="H136" s="98"/>
      <c r="I136" s="98"/>
    </row>
    <row r="137" spans="3:9">
      <c r="C137" s="138" t="s">
        <v>765</v>
      </c>
      <c r="D137" s="98"/>
      <c r="E137" s="98"/>
      <c r="F137" s="98"/>
      <c r="G137" s="98"/>
      <c r="H137" s="98"/>
      <c r="I137" s="98"/>
    </row>
    <row r="138" spans="3:9">
      <c r="C138" s="138" t="s">
        <v>962</v>
      </c>
      <c r="D138" s="98"/>
      <c r="E138" s="98"/>
      <c r="F138" s="98"/>
      <c r="G138" s="98"/>
      <c r="H138" s="98"/>
      <c r="I138" s="98"/>
    </row>
    <row r="139" spans="3:9">
      <c r="C139" s="138" t="s">
        <v>753</v>
      </c>
      <c r="D139" s="98"/>
      <c r="E139" s="98"/>
      <c r="F139" s="98"/>
      <c r="G139" s="98"/>
      <c r="H139" s="98"/>
      <c r="I139" s="98"/>
    </row>
    <row r="140" spans="3:9">
      <c r="C140" s="138" t="s">
        <v>565</v>
      </c>
      <c r="D140" s="98"/>
      <c r="E140" s="98"/>
      <c r="F140" s="98"/>
      <c r="G140" s="98"/>
      <c r="H140" s="98"/>
      <c r="I140" s="98"/>
    </row>
    <row r="141" spans="3:9">
      <c r="C141" s="138" t="s">
        <v>125</v>
      </c>
      <c r="D141" s="98"/>
      <c r="E141" s="98"/>
      <c r="F141" s="98"/>
      <c r="G141" s="98"/>
      <c r="H141" s="98"/>
      <c r="I141" s="98"/>
    </row>
    <row r="142" spans="3:9">
      <c r="C142" s="138" t="s">
        <v>81</v>
      </c>
      <c r="D142" s="98"/>
      <c r="E142" s="98"/>
      <c r="F142" s="98"/>
      <c r="G142" s="98"/>
      <c r="H142" s="98"/>
      <c r="I142" s="98"/>
    </row>
    <row r="143" spans="3:9">
      <c r="C143" s="138" t="s">
        <v>1051</v>
      </c>
      <c r="D143" s="98"/>
      <c r="E143" s="98"/>
      <c r="F143" s="98"/>
      <c r="G143" s="98"/>
      <c r="H143" s="98"/>
      <c r="I143" s="98"/>
    </row>
    <row r="144" spans="3:9">
      <c r="C144" s="138" t="s">
        <v>906</v>
      </c>
      <c r="D144" s="98"/>
      <c r="E144" s="98"/>
      <c r="F144" s="98"/>
      <c r="G144" s="98"/>
      <c r="H144" s="98"/>
      <c r="I144" s="98"/>
    </row>
    <row r="145" spans="3:9">
      <c r="C145" s="138" t="s">
        <v>980</v>
      </c>
      <c r="D145" s="98"/>
      <c r="E145" s="98"/>
      <c r="F145" s="98"/>
      <c r="G145" s="98"/>
      <c r="H145" s="98"/>
      <c r="I145" s="98"/>
    </row>
    <row r="146" spans="3:9">
      <c r="C146" s="138" t="s">
        <v>724</v>
      </c>
      <c r="D146" s="98"/>
      <c r="E146" s="98"/>
      <c r="F146" s="98"/>
      <c r="G146" s="98"/>
      <c r="H146" s="98"/>
      <c r="I146" s="98"/>
    </row>
    <row r="147" spans="3:9">
      <c r="C147" s="138" t="s">
        <v>940</v>
      </c>
      <c r="D147" s="98"/>
      <c r="E147" s="98"/>
      <c r="F147" s="98"/>
      <c r="G147" s="98"/>
      <c r="H147" s="98"/>
      <c r="I147" s="98"/>
    </row>
    <row r="148" spans="3:9">
      <c r="C148" s="138" t="s">
        <v>242</v>
      </c>
      <c r="D148" s="98"/>
      <c r="E148" s="98"/>
      <c r="F148" s="98"/>
      <c r="G148" s="98"/>
      <c r="H148" s="98"/>
      <c r="I148" s="98"/>
    </row>
    <row r="149" spans="3:9">
      <c r="C149" s="138" t="s">
        <v>417</v>
      </c>
      <c r="D149" s="98"/>
      <c r="E149" s="98"/>
      <c r="F149" s="98"/>
      <c r="G149" s="98"/>
      <c r="H149" s="98"/>
      <c r="I149" s="98"/>
    </row>
    <row r="150" spans="3:9">
      <c r="C150" s="138" t="s">
        <v>521</v>
      </c>
      <c r="D150" s="98"/>
      <c r="E150" s="98"/>
      <c r="F150" s="98"/>
      <c r="G150" s="98"/>
      <c r="H150" s="98"/>
      <c r="I150" s="98"/>
    </row>
    <row r="151" spans="3:9">
      <c r="C151" s="138" t="s">
        <v>1083</v>
      </c>
      <c r="D151" s="98"/>
      <c r="E151" s="98"/>
      <c r="F151" s="98"/>
      <c r="G151" s="98"/>
      <c r="H151" s="98"/>
      <c r="I151" s="98"/>
    </row>
    <row r="152" spans="3:9">
      <c r="C152" s="138" t="s">
        <v>719</v>
      </c>
      <c r="D152" s="98"/>
      <c r="E152" s="98"/>
      <c r="F152" s="98"/>
      <c r="G152" s="98"/>
      <c r="H152" s="98"/>
      <c r="I152" s="98"/>
    </row>
    <row r="153" spans="3:9">
      <c r="C153" s="138" t="s">
        <v>815</v>
      </c>
      <c r="D153" s="98"/>
      <c r="E153" s="98"/>
      <c r="F153" s="98"/>
      <c r="G153" s="98"/>
      <c r="H153" s="98"/>
      <c r="I153" s="98"/>
    </row>
    <row r="154" spans="3:9">
      <c r="C154" s="138" t="s">
        <v>1049</v>
      </c>
      <c r="D154" s="98"/>
      <c r="E154" s="98"/>
      <c r="F154" s="98"/>
      <c r="G154" s="98"/>
      <c r="H154" s="98"/>
      <c r="I154" s="98"/>
    </row>
    <row r="155" spans="3:9">
      <c r="C155" s="138" t="s">
        <v>713</v>
      </c>
      <c r="D155" s="98"/>
      <c r="E155" s="98"/>
      <c r="F155" s="98"/>
      <c r="G155" s="98"/>
      <c r="H155" s="98"/>
      <c r="I155" s="98"/>
    </row>
    <row r="156" spans="3:9">
      <c r="C156" s="138" t="s">
        <v>617</v>
      </c>
      <c r="D156" s="98"/>
      <c r="E156" s="98"/>
      <c r="F156" s="98"/>
      <c r="G156" s="98"/>
      <c r="H156" s="98"/>
      <c r="I156" s="98"/>
    </row>
    <row r="157" spans="3:9">
      <c r="C157" s="138" t="s">
        <v>751</v>
      </c>
      <c r="D157" s="98"/>
      <c r="E157" s="98"/>
      <c r="F157" s="98"/>
      <c r="G157" s="98"/>
      <c r="H157" s="98"/>
      <c r="I157" s="98"/>
    </row>
    <row r="158" spans="3:9">
      <c r="C158" s="138" t="s">
        <v>239</v>
      </c>
      <c r="D158" s="98"/>
      <c r="E158" s="98"/>
      <c r="F158" s="98"/>
      <c r="G158" s="98"/>
      <c r="H158" s="98"/>
      <c r="I158" s="98"/>
    </row>
    <row r="159" spans="3:9">
      <c r="C159" s="138" t="s">
        <v>496</v>
      </c>
      <c r="D159" s="98"/>
      <c r="E159" s="98"/>
      <c r="F159" s="98"/>
      <c r="G159" s="98"/>
      <c r="H159" s="98"/>
      <c r="I159" s="98"/>
    </row>
    <row r="160" spans="3:9">
      <c r="C160" s="138" t="s">
        <v>404</v>
      </c>
      <c r="D160" s="98"/>
      <c r="E160" s="98"/>
      <c r="F160" s="98"/>
      <c r="G160" s="98"/>
      <c r="H160" s="98"/>
      <c r="I160" s="98"/>
    </row>
    <row r="161" spans="3:9">
      <c r="C161" s="138" t="s">
        <v>307</v>
      </c>
      <c r="D161" s="98"/>
      <c r="E161" s="98"/>
      <c r="F161" s="98"/>
      <c r="G161" s="98"/>
      <c r="H161" s="98"/>
      <c r="I161" s="98"/>
    </row>
    <row r="162" spans="3:9">
      <c r="C162" s="138" t="s">
        <v>781</v>
      </c>
      <c r="D162" s="98"/>
      <c r="E162" s="98"/>
      <c r="F162" s="98"/>
      <c r="G162" s="98"/>
      <c r="H162" s="98"/>
      <c r="I162" s="98"/>
    </row>
    <row r="163" spans="3:9">
      <c r="C163" s="138" t="s">
        <v>772</v>
      </c>
      <c r="D163" s="98"/>
      <c r="E163" s="98"/>
      <c r="F163" s="98"/>
      <c r="G163" s="98"/>
      <c r="H163" s="98"/>
      <c r="I163" s="98"/>
    </row>
    <row r="164" spans="3:9">
      <c r="C164" s="138" t="s">
        <v>331</v>
      </c>
      <c r="D164" s="98"/>
      <c r="E164" s="98"/>
      <c r="F164" s="98"/>
      <c r="G164" s="98"/>
      <c r="H164" s="98"/>
      <c r="I164" s="98"/>
    </row>
    <row r="165" spans="3:9">
      <c r="C165" s="138" t="s">
        <v>820</v>
      </c>
      <c r="D165" s="98"/>
      <c r="E165" s="98"/>
      <c r="F165" s="98"/>
      <c r="G165" s="98"/>
      <c r="H165" s="98"/>
      <c r="I165" s="98"/>
    </row>
    <row r="166" spans="3:9">
      <c r="C166" s="138" t="s">
        <v>620</v>
      </c>
      <c r="D166" s="98"/>
      <c r="E166" s="98"/>
      <c r="F166" s="98"/>
      <c r="G166" s="98"/>
      <c r="H166" s="98"/>
      <c r="I166" s="98"/>
    </row>
    <row r="167" spans="3:9">
      <c r="C167" s="138" t="s">
        <v>693</v>
      </c>
      <c r="D167" s="98"/>
      <c r="E167" s="98"/>
      <c r="F167" s="98"/>
      <c r="G167" s="98"/>
      <c r="H167" s="98"/>
      <c r="I167" s="98"/>
    </row>
    <row r="168" spans="3:9">
      <c r="C168" s="138" t="s">
        <v>649</v>
      </c>
      <c r="D168" s="98"/>
      <c r="E168" s="98"/>
      <c r="F168" s="98"/>
      <c r="G168" s="98"/>
      <c r="H168" s="98"/>
      <c r="I168" s="98"/>
    </row>
    <row r="169" spans="3:9">
      <c r="C169" s="138" t="s">
        <v>879</v>
      </c>
      <c r="D169" s="98"/>
      <c r="E169" s="98"/>
      <c r="F169" s="98"/>
      <c r="G169" s="98"/>
      <c r="H169" s="98"/>
      <c r="I169" s="98"/>
    </row>
    <row r="170" spans="3:9">
      <c r="C170" s="138" t="s">
        <v>550</v>
      </c>
      <c r="D170" s="98"/>
      <c r="E170" s="98"/>
      <c r="F170" s="98"/>
      <c r="G170" s="98"/>
      <c r="H170" s="98"/>
      <c r="I170" s="98"/>
    </row>
    <row r="171" spans="3:9">
      <c r="C171" s="138" t="s">
        <v>937</v>
      </c>
      <c r="D171" s="98"/>
      <c r="E171" s="98"/>
      <c r="F171" s="98"/>
      <c r="G171" s="98"/>
      <c r="H171" s="98"/>
      <c r="I171" s="98"/>
    </row>
    <row r="172" spans="3:9">
      <c r="C172" s="138" t="s">
        <v>627</v>
      </c>
      <c r="D172" s="98"/>
      <c r="E172" s="98"/>
      <c r="F172" s="98"/>
      <c r="G172" s="98"/>
      <c r="H172" s="98"/>
      <c r="I172" s="98"/>
    </row>
    <row r="173" spans="3:9">
      <c r="C173" s="138" t="s">
        <v>235</v>
      </c>
      <c r="D173" s="98"/>
      <c r="E173" s="98"/>
      <c r="F173" s="98"/>
      <c r="G173" s="98"/>
      <c r="H173" s="98"/>
      <c r="I173" s="98"/>
    </row>
    <row r="174" spans="3:9">
      <c r="C174" s="138" t="s">
        <v>411</v>
      </c>
      <c r="D174" s="98"/>
      <c r="E174" s="98"/>
      <c r="F174" s="98"/>
      <c r="G174" s="98"/>
      <c r="H174" s="98"/>
      <c r="I174" s="98"/>
    </row>
    <row r="175" spans="3:9">
      <c r="C175" s="138" t="s">
        <v>513</v>
      </c>
      <c r="D175" s="98"/>
      <c r="E175" s="98"/>
      <c r="F175" s="98"/>
      <c r="G175" s="98"/>
      <c r="H175" s="98"/>
      <c r="I175" s="98"/>
    </row>
    <row r="176" spans="3:9">
      <c r="C176" s="138" t="s">
        <v>151</v>
      </c>
      <c r="D176" s="98"/>
      <c r="E176" s="98"/>
      <c r="F176" s="98"/>
      <c r="G176" s="98"/>
      <c r="H176" s="98"/>
      <c r="I176" s="98"/>
    </row>
    <row r="177" spans="3:9">
      <c r="C177" s="138" t="s">
        <v>610</v>
      </c>
      <c r="D177" s="98"/>
      <c r="E177" s="98"/>
      <c r="F177" s="98"/>
      <c r="G177" s="98"/>
      <c r="H177" s="98"/>
      <c r="I177" s="98"/>
    </row>
    <row r="178" spans="3:9">
      <c r="C178" s="138" t="s">
        <v>389</v>
      </c>
      <c r="D178" s="98"/>
      <c r="E178" s="98"/>
      <c r="F178" s="98"/>
      <c r="G178" s="98"/>
      <c r="H178" s="98"/>
      <c r="I178" s="98"/>
    </row>
    <row r="179" spans="3:9">
      <c r="C179" s="138" t="s">
        <v>381</v>
      </c>
      <c r="D179" s="98"/>
      <c r="E179" s="98"/>
      <c r="F179" s="98"/>
      <c r="G179" s="98"/>
      <c r="H179" s="98"/>
      <c r="I179" s="98"/>
    </row>
    <row r="180" spans="3:9">
      <c r="C180" s="138" t="s">
        <v>865</v>
      </c>
      <c r="D180" s="98"/>
      <c r="E180" s="98"/>
      <c r="F180" s="98"/>
      <c r="G180" s="98"/>
      <c r="H180" s="98"/>
      <c r="I180" s="98"/>
    </row>
    <row r="181" spans="3:9">
      <c r="C181" s="138" t="s">
        <v>107</v>
      </c>
      <c r="D181" s="98"/>
      <c r="E181" s="98"/>
      <c r="F181" s="98"/>
      <c r="G181" s="98"/>
      <c r="H181" s="98"/>
      <c r="I181" s="98"/>
    </row>
    <row r="182" spans="3:9">
      <c r="C182" s="138" t="s">
        <v>1016</v>
      </c>
      <c r="D182" s="98"/>
      <c r="E182" s="98"/>
      <c r="F182" s="98"/>
      <c r="G182" s="98"/>
      <c r="H182" s="98"/>
      <c r="I182" s="98"/>
    </row>
    <row r="183" spans="3:9">
      <c r="C183" s="138" t="s">
        <v>349</v>
      </c>
      <c r="D183" s="98"/>
      <c r="E183" s="98"/>
      <c r="F183" s="98"/>
      <c r="G183" s="98"/>
      <c r="H183" s="98"/>
      <c r="I183" s="98"/>
    </row>
    <row r="184" spans="3:9">
      <c r="C184" s="138" t="s">
        <v>284</v>
      </c>
      <c r="D184" s="98"/>
      <c r="E184" s="98"/>
      <c r="F184" s="98"/>
      <c r="G184" s="98"/>
      <c r="H184" s="98"/>
      <c r="I184" s="98"/>
    </row>
    <row r="185" spans="3:9">
      <c r="C185" s="138" t="s">
        <v>700</v>
      </c>
      <c r="D185" s="98"/>
      <c r="E185" s="98"/>
      <c r="F185" s="98"/>
      <c r="G185" s="98"/>
      <c r="H185" s="98"/>
      <c r="I185" s="98"/>
    </row>
    <row r="186" spans="3:9">
      <c r="C186" s="138" t="s">
        <v>422</v>
      </c>
      <c r="D186" s="98"/>
      <c r="E186" s="98"/>
      <c r="F186" s="98"/>
      <c r="G186" s="98"/>
      <c r="H186" s="98"/>
      <c r="I186" s="98"/>
    </row>
    <row r="187" spans="3:9">
      <c r="C187" s="138" t="s">
        <v>599</v>
      </c>
      <c r="D187" s="98"/>
      <c r="E187" s="98"/>
      <c r="F187" s="98"/>
      <c r="G187" s="98"/>
      <c r="H187" s="98"/>
      <c r="I187" s="98"/>
    </row>
    <row r="188" spans="3:9">
      <c r="C188" s="138" t="s">
        <v>840</v>
      </c>
      <c r="D188" s="98"/>
      <c r="E188" s="98"/>
      <c r="F188" s="98"/>
      <c r="G188" s="98"/>
      <c r="H188" s="98"/>
      <c r="I188" s="98"/>
    </row>
    <row r="189" spans="3:9">
      <c r="C189" s="138" t="s">
        <v>647</v>
      </c>
      <c r="D189" s="98"/>
      <c r="E189" s="98"/>
      <c r="F189" s="98"/>
      <c r="G189" s="98"/>
      <c r="H189" s="98"/>
      <c r="I189" s="98"/>
    </row>
    <row r="190" spans="3:9">
      <c r="C190" s="138" t="s">
        <v>789</v>
      </c>
      <c r="D190" s="98"/>
      <c r="E190" s="98"/>
      <c r="F190" s="98"/>
      <c r="G190" s="98"/>
      <c r="H190" s="98"/>
      <c r="I190" s="98"/>
    </row>
    <row r="191" spans="3:9">
      <c r="C191" s="138" t="s">
        <v>132</v>
      </c>
      <c r="D191" s="98"/>
      <c r="E191" s="98"/>
      <c r="F191" s="98"/>
      <c r="G191" s="98"/>
      <c r="H191" s="98"/>
      <c r="I191" s="98"/>
    </row>
    <row r="192" spans="3:9">
      <c r="C192" s="138" t="s">
        <v>824</v>
      </c>
      <c r="D192" s="98"/>
      <c r="E192" s="98"/>
      <c r="F192" s="98"/>
      <c r="G192" s="98"/>
      <c r="H192" s="98"/>
      <c r="I192" s="98"/>
    </row>
    <row r="193" spans="3:9">
      <c r="C193" s="138" t="s">
        <v>883</v>
      </c>
      <c r="D193" s="98"/>
      <c r="E193" s="98"/>
      <c r="F193" s="98"/>
      <c r="G193" s="98"/>
      <c r="H193" s="98"/>
      <c r="I193" s="98"/>
    </row>
    <row r="194" spans="3:9">
      <c r="C194" s="138" t="s">
        <v>312</v>
      </c>
      <c r="D194" s="98"/>
      <c r="E194" s="98"/>
      <c r="F194" s="98"/>
      <c r="G194" s="98"/>
      <c r="H194" s="98"/>
      <c r="I194" s="98"/>
    </row>
    <row r="195" spans="3:9">
      <c r="C195" s="138" t="s">
        <v>870</v>
      </c>
      <c r="D195" s="98"/>
      <c r="E195" s="98"/>
      <c r="F195" s="98"/>
      <c r="G195" s="98"/>
      <c r="H195" s="98"/>
      <c r="I195" s="98"/>
    </row>
    <row r="196" spans="3:9">
      <c r="C196" s="138" t="s">
        <v>572</v>
      </c>
      <c r="D196" s="98"/>
      <c r="E196" s="98"/>
      <c r="F196" s="98"/>
      <c r="G196" s="98"/>
      <c r="H196" s="98"/>
      <c r="I196" s="98"/>
    </row>
    <row r="197" spans="3:9">
      <c r="C197" s="138" t="s">
        <v>166</v>
      </c>
      <c r="D197" s="98"/>
      <c r="E197" s="98"/>
      <c r="F197" s="98"/>
      <c r="G197" s="98"/>
      <c r="H197" s="98"/>
      <c r="I197" s="98"/>
    </row>
    <row r="198" spans="3:9">
      <c r="C198" s="138" t="s">
        <v>1010</v>
      </c>
      <c r="D198" s="98"/>
      <c r="E198" s="98"/>
      <c r="F198" s="98"/>
      <c r="G198" s="98"/>
      <c r="H198" s="98"/>
      <c r="I198" s="98"/>
    </row>
    <row r="199" spans="3:9">
      <c r="C199" s="138" t="s">
        <v>316</v>
      </c>
      <c r="D199" s="98"/>
      <c r="E199" s="98"/>
      <c r="F199" s="98"/>
      <c r="G199" s="98"/>
      <c r="H199" s="98"/>
      <c r="I199" s="98"/>
    </row>
    <row r="200" spans="3:9">
      <c r="C200" s="138" t="s">
        <v>816</v>
      </c>
      <c r="D200" s="98"/>
      <c r="E200" s="98"/>
      <c r="F200" s="98"/>
      <c r="G200" s="98"/>
      <c r="H200" s="98"/>
      <c r="I200" s="98"/>
    </row>
    <row r="201" spans="3:9">
      <c r="C201" s="138" t="s">
        <v>934</v>
      </c>
      <c r="D201" s="98"/>
      <c r="E201" s="98"/>
      <c r="F201" s="98"/>
      <c r="G201" s="98"/>
      <c r="H201" s="98"/>
      <c r="I201" s="98"/>
    </row>
    <row r="202" spans="3:9">
      <c r="C202" s="138" t="s">
        <v>1109</v>
      </c>
      <c r="D202" s="98"/>
      <c r="E202" s="98"/>
      <c r="F202" s="98"/>
      <c r="G202" s="98"/>
      <c r="H202" s="98"/>
      <c r="I202" s="98"/>
    </row>
    <row r="203" spans="3:9">
      <c r="C203" s="138" t="s">
        <v>880</v>
      </c>
      <c r="D203" s="98"/>
      <c r="E203" s="98"/>
      <c r="F203" s="98"/>
      <c r="G203" s="98"/>
      <c r="H203" s="98"/>
      <c r="I203" s="98"/>
    </row>
    <row r="204" spans="3:9">
      <c r="C204" s="138" t="s">
        <v>711</v>
      </c>
      <c r="D204" s="98"/>
      <c r="E204" s="98"/>
      <c r="F204" s="98"/>
      <c r="G204" s="98"/>
      <c r="H204" s="98"/>
      <c r="I204" s="98"/>
    </row>
    <row r="205" spans="3:9">
      <c r="C205" s="138" t="s">
        <v>1031</v>
      </c>
      <c r="D205" s="98"/>
      <c r="E205" s="98"/>
      <c r="F205" s="98"/>
      <c r="G205" s="98"/>
      <c r="H205" s="98"/>
      <c r="I205" s="98"/>
    </row>
    <row r="206" spans="3:9">
      <c r="C206" s="138" t="s">
        <v>1103</v>
      </c>
      <c r="D206" s="98"/>
      <c r="E206" s="98"/>
      <c r="F206" s="98"/>
      <c r="G206" s="98"/>
      <c r="H206" s="98"/>
      <c r="I206" s="98"/>
    </row>
    <row r="207" spans="3:9">
      <c r="C207" s="138" t="s">
        <v>80</v>
      </c>
      <c r="D207" s="98"/>
      <c r="E207" s="98"/>
      <c r="F207" s="98"/>
      <c r="G207" s="98"/>
      <c r="H207" s="98"/>
      <c r="I207" s="98"/>
    </row>
    <row r="208" spans="3:9">
      <c r="C208" s="138" t="s">
        <v>534</v>
      </c>
      <c r="D208" s="98"/>
      <c r="E208" s="98"/>
      <c r="F208" s="98"/>
      <c r="G208" s="98"/>
      <c r="H208" s="98"/>
      <c r="I208" s="98"/>
    </row>
    <row r="209" spans="3:9">
      <c r="C209" s="138" t="s">
        <v>736</v>
      </c>
      <c r="D209" s="98"/>
      <c r="E209" s="98"/>
      <c r="F209" s="98"/>
      <c r="G209" s="98"/>
      <c r="H209" s="98"/>
      <c r="I209" s="98"/>
    </row>
    <row r="210" spans="3:9">
      <c r="C210" s="138" t="s">
        <v>1118</v>
      </c>
      <c r="D210" s="98"/>
      <c r="E210" s="98"/>
      <c r="F210" s="98"/>
      <c r="G210" s="98"/>
      <c r="H210" s="98"/>
      <c r="I210" s="98"/>
    </row>
    <row r="211" spans="3:9">
      <c r="C211" s="138" t="s">
        <v>113</v>
      </c>
      <c r="D211" s="98"/>
      <c r="E211" s="98"/>
      <c r="F211" s="98"/>
      <c r="G211" s="98"/>
      <c r="H211" s="98"/>
      <c r="I211" s="98"/>
    </row>
    <row r="212" spans="3:9">
      <c r="C212" s="138" t="s">
        <v>388</v>
      </c>
      <c r="D212" s="98"/>
      <c r="E212" s="98"/>
      <c r="F212" s="98"/>
      <c r="G212" s="98"/>
      <c r="H212" s="98"/>
      <c r="I212" s="98"/>
    </row>
    <row r="213" spans="3:9">
      <c r="C213" s="138" t="s">
        <v>175</v>
      </c>
      <c r="D213" s="98"/>
      <c r="E213" s="98"/>
      <c r="F213" s="98"/>
      <c r="G213" s="98"/>
      <c r="H213" s="98"/>
      <c r="I213" s="98"/>
    </row>
    <row r="214" spans="3:9">
      <c r="C214" s="138" t="s">
        <v>888</v>
      </c>
      <c r="D214" s="98"/>
      <c r="E214" s="98"/>
      <c r="F214" s="98"/>
      <c r="G214" s="98"/>
      <c r="H214" s="98"/>
      <c r="I214" s="98"/>
    </row>
    <row r="215" spans="3:9">
      <c r="C215" s="138" t="s">
        <v>839</v>
      </c>
      <c r="D215" s="98"/>
      <c r="E215" s="98"/>
      <c r="F215" s="98"/>
      <c r="G215" s="98"/>
      <c r="H215" s="98"/>
      <c r="I215" s="98"/>
    </row>
    <row r="216" spans="3:9">
      <c r="C216" s="138" t="s">
        <v>1004</v>
      </c>
      <c r="D216" s="98"/>
      <c r="E216" s="98"/>
      <c r="F216" s="98"/>
      <c r="G216" s="98"/>
      <c r="H216" s="98"/>
      <c r="I216" s="98"/>
    </row>
    <row r="217" spans="3:9">
      <c r="C217" s="138" t="s">
        <v>327</v>
      </c>
      <c r="D217" s="98"/>
      <c r="E217" s="98"/>
      <c r="F217" s="98"/>
      <c r="G217" s="98"/>
      <c r="H217" s="98"/>
      <c r="I217" s="98"/>
    </row>
    <row r="218" spans="3:9">
      <c r="C218" s="138" t="s">
        <v>996</v>
      </c>
      <c r="D218" s="98"/>
      <c r="E218" s="98"/>
      <c r="F218" s="98"/>
      <c r="G218" s="98"/>
      <c r="H218" s="98"/>
      <c r="I218" s="98"/>
    </row>
    <row r="219" spans="3:9">
      <c r="C219" s="138" t="s">
        <v>638</v>
      </c>
      <c r="D219" s="98"/>
      <c r="E219" s="98"/>
      <c r="F219" s="98"/>
      <c r="G219" s="98"/>
      <c r="H219" s="98"/>
      <c r="I219" s="98"/>
    </row>
    <row r="220" spans="3:9">
      <c r="C220" s="138" t="s">
        <v>467</v>
      </c>
      <c r="D220" s="98"/>
      <c r="E220" s="98"/>
      <c r="F220" s="98"/>
      <c r="G220" s="98"/>
      <c r="H220" s="98"/>
      <c r="I220" s="98"/>
    </row>
    <row r="221" spans="3:9">
      <c r="C221" s="138" t="s">
        <v>567</v>
      </c>
      <c r="D221" s="98"/>
      <c r="E221" s="98"/>
      <c r="F221" s="98"/>
      <c r="G221" s="98"/>
      <c r="H221" s="98"/>
      <c r="I221" s="98"/>
    </row>
    <row r="222" spans="3:9">
      <c r="C222" s="138" t="s">
        <v>66</v>
      </c>
      <c r="D222" s="98"/>
      <c r="E222" s="98"/>
      <c r="F222" s="98"/>
      <c r="G222" s="98"/>
      <c r="H222" s="98"/>
      <c r="I222" s="98"/>
    </row>
    <row r="223" spans="3:9">
      <c r="C223" s="138" t="s">
        <v>586</v>
      </c>
      <c r="D223" s="98"/>
      <c r="E223" s="98"/>
      <c r="F223" s="98"/>
      <c r="G223" s="98"/>
      <c r="H223" s="98"/>
      <c r="I223" s="98"/>
    </row>
    <row r="224" spans="3:9">
      <c r="C224" s="138" t="s">
        <v>974</v>
      </c>
      <c r="D224" s="98"/>
      <c r="E224" s="98"/>
      <c r="F224" s="98"/>
      <c r="G224" s="98"/>
      <c r="H224" s="98"/>
      <c r="I224" s="98"/>
    </row>
    <row r="225" spans="3:9">
      <c r="C225" s="138" t="s">
        <v>933</v>
      </c>
      <c r="D225" s="98"/>
      <c r="E225" s="98"/>
      <c r="F225" s="98"/>
      <c r="G225" s="98"/>
      <c r="H225" s="98"/>
      <c r="I225" s="98"/>
    </row>
    <row r="226" spans="3:9">
      <c r="C226" s="138" t="s">
        <v>902</v>
      </c>
      <c r="D226" s="98"/>
      <c r="E226" s="98"/>
      <c r="F226" s="98"/>
      <c r="G226" s="98"/>
      <c r="H226" s="98"/>
      <c r="I226" s="98"/>
    </row>
    <row r="227" spans="3:9">
      <c r="C227" s="138" t="s">
        <v>964</v>
      </c>
      <c r="D227" s="98"/>
      <c r="E227" s="98"/>
      <c r="F227" s="98"/>
      <c r="G227" s="98"/>
      <c r="H227" s="98"/>
      <c r="I227" s="98"/>
    </row>
    <row r="228" spans="3:9">
      <c r="C228" s="138" t="s">
        <v>614</v>
      </c>
      <c r="D228" s="98"/>
      <c r="E228" s="98"/>
      <c r="F228" s="98"/>
      <c r="G228" s="98"/>
      <c r="H228" s="98"/>
      <c r="I228" s="98"/>
    </row>
    <row r="229" spans="3:9">
      <c r="C229" s="138" t="s">
        <v>237</v>
      </c>
      <c r="D229" s="98"/>
      <c r="E229" s="98"/>
      <c r="F229" s="98"/>
      <c r="G229" s="98"/>
      <c r="H229" s="98"/>
      <c r="I229" s="98"/>
    </row>
    <row r="230" spans="3:9">
      <c r="C230" s="138" t="s">
        <v>742</v>
      </c>
      <c r="D230" s="98"/>
      <c r="E230" s="98"/>
      <c r="F230" s="98"/>
      <c r="G230" s="98"/>
      <c r="H230" s="98"/>
      <c r="I230" s="98"/>
    </row>
    <row r="231" spans="3:9">
      <c r="C231" s="138" t="s">
        <v>198</v>
      </c>
      <c r="D231" s="98"/>
      <c r="E231" s="98"/>
      <c r="F231" s="98"/>
      <c r="G231" s="98"/>
      <c r="H231" s="98"/>
      <c r="I231" s="98"/>
    </row>
    <row r="232" spans="3:9">
      <c r="C232" s="138" t="s">
        <v>676</v>
      </c>
      <c r="D232" s="98"/>
      <c r="E232" s="98"/>
      <c r="F232" s="98"/>
      <c r="G232" s="98"/>
      <c r="H232" s="98"/>
      <c r="I232" s="98"/>
    </row>
    <row r="233" spans="3:9">
      <c r="C233" s="138" t="s">
        <v>893</v>
      </c>
      <c r="D233" s="98"/>
      <c r="E233" s="98"/>
      <c r="F233" s="98"/>
      <c r="G233" s="98"/>
      <c r="H233" s="98"/>
      <c r="I233" s="98"/>
    </row>
    <row r="234" spans="3:9">
      <c r="C234" s="138" t="s">
        <v>641</v>
      </c>
      <c r="D234" s="98"/>
      <c r="E234" s="98"/>
      <c r="F234" s="98"/>
      <c r="G234" s="98"/>
      <c r="H234" s="98"/>
      <c r="I234" s="98"/>
    </row>
    <row r="235" spans="3:9">
      <c r="C235" s="138" t="s">
        <v>929</v>
      </c>
      <c r="D235" s="98"/>
      <c r="E235" s="98"/>
      <c r="F235" s="98"/>
      <c r="G235" s="98"/>
      <c r="H235" s="98"/>
      <c r="I235" s="98"/>
    </row>
    <row r="236" spans="3:9">
      <c r="C236" s="138" t="s">
        <v>924</v>
      </c>
      <c r="D236" s="98"/>
      <c r="E236" s="98"/>
      <c r="F236" s="98"/>
      <c r="G236" s="98"/>
      <c r="H236" s="98"/>
      <c r="I236" s="98"/>
    </row>
    <row r="237" spans="3:9">
      <c r="C237" s="138" t="s">
        <v>94</v>
      </c>
      <c r="D237" s="98"/>
      <c r="E237" s="98"/>
      <c r="F237" s="98"/>
      <c r="G237" s="98"/>
      <c r="H237" s="98"/>
      <c r="I237" s="98"/>
    </row>
    <row r="238" spans="3:9">
      <c r="C238" s="138" t="s">
        <v>745</v>
      </c>
      <c r="D238" s="98"/>
      <c r="E238" s="98"/>
      <c r="F238" s="98"/>
      <c r="G238" s="98"/>
      <c r="H238" s="98"/>
      <c r="I238" s="98"/>
    </row>
    <row r="239" spans="3:9">
      <c r="C239" s="138" t="s">
        <v>814</v>
      </c>
      <c r="D239" s="98"/>
      <c r="E239" s="98"/>
      <c r="F239" s="98"/>
      <c r="G239" s="98"/>
      <c r="H239" s="98"/>
      <c r="I239" s="98"/>
    </row>
    <row r="240" spans="3:9">
      <c r="C240" s="138" t="s">
        <v>210</v>
      </c>
      <c r="D240" s="98"/>
      <c r="E240" s="98"/>
      <c r="F240" s="98"/>
      <c r="G240" s="98"/>
      <c r="H240" s="98"/>
      <c r="I240" s="98"/>
    </row>
    <row r="241" spans="3:9">
      <c r="C241" s="138" t="s">
        <v>920</v>
      </c>
      <c r="D241" s="98"/>
      <c r="E241" s="98"/>
      <c r="F241" s="98"/>
      <c r="G241" s="98"/>
      <c r="H241" s="98"/>
      <c r="I241" s="98"/>
    </row>
    <row r="242" spans="3:9">
      <c r="C242" s="138" t="s">
        <v>208</v>
      </c>
      <c r="D242" s="98"/>
      <c r="E242" s="98"/>
      <c r="F242" s="98"/>
      <c r="G242" s="98"/>
      <c r="H242" s="98"/>
      <c r="I242" s="98"/>
    </row>
    <row r="243" spans="3:9">
      <c r="C243" s="138" t="s">
        <v>335</v>
      </c>
      <c r="D243" s="98"/>
      <c r="E243" s="98"/>
      <c r="F243" s="98"/>
      <c r="G243" s="98"/>
      <c r="H243" s="98"/>
      <c r="I243" s="98"/>
    </row>
    <row r="244" spans="3:9">
      <c r="C244" s="138" t="s">
        <v>566</v>
      </c>
      <c r="D244" s="98"/>
      <c r="E244" s="98"/>
      <c r="F244" s="98"/>
      <c r="G244" s="98"/>
      <c r="H244" s="98"/>
      <c r="I244" s="98"/>
    </row>
    <row r="245" spans="3:9">
      <c r="C245" s="138" t="s">
        <v>987</v>
      </c>
      <c r="D245" s="98"/>
      <c r="E245" s="98"/>
      <c r="F245" s="98"/>
      <c r="G245" s="98"/>
      <c r="H245" s="98"/>
      <c r="I245" s="98"/>
    </row>
    <row r="246" spans="3:9">
      <c r="C246" s="138" t="s">
        <v>199</v>
      </c>
      <c r="D246" s="98"/>
      <c r="E246" s="98"/>
      <c r="F246" s="98"/>
      <c r="G246" s="98"/>
      <c r="H246" s="98"/>
      <c r="I246" s="98"/>
    </row>
    <row r="247" spans="3:9">
      <c r="C247" s="138" t="s">
        <v>337</v>
      </c>
      <c r="D247" s="98"/>
      <c r="E247" s="98"/>
      <c r="F247" s="98"/>
      <c r="G247" s="98"/>
      <c r="H247" s="98"/>
      <c r="I247" s="98"/>
    </row>
    <row r="248" spans="3:9">
      <c r="C248" s="138" t="s">
        <v>158</v>
      </c>
      <c r="D248" s="98"/>
      <c r="E248" s="98"/>
      <c r="F248" s="98"/>
      <c r="G248" s="98"/>
      <c r="H248" s="98"/>
      <c r="I248" s="98"/>
    </row>
    <row r="249" spans="3:9">
      <c r="C249" s="138" t="s">
        <v>1046</v>
      </c>
      <c r="D249" s="98"/>
      <c r="E249" s="98"/>
      <c r="F249" s="98"/>
      <c r="G249" s="98"/>
      <c r="H249" s="98"/>
      <c r="I249" s="98"/>
    </row>
    <row r="250" spans="3:9">
      <c r="C250" s="138" t="s">
        <v>912</v>
      </c>
      <c r="D250" s="98"/>
      <c r="E250" s="98"/>
      <c r="F250" s="98"/>
      <c r="G250" s="98"/>
      <c r="H250" s="98"/>
      <c r="I250" s="98"/>
    </row>
    <row r="251" spans="3:9">
      <c r="C251" s="138" t="s">
        <v>775</v>
      </c>
      <c r="D251" s="98"/>
      <c r="E251" s="98"/>
      <c r="F251" s="98"/>
      <c r="G251" s="98"/>
      <c r="H251" s="98"/>
      <c r="I251" s="98"/>
    </row>
    <row r="252" spans="3:9">
      <c r="C252" s="138" t="s">
        <v>276</v>
      </c>
      <c r="D252" s="98"/>
      <c r="E252" s="98"/>
      <c r="F252" s="98"/>
      <c r="G252" s="98"/>
      <c r="H252" s="98"/>
      <c r="I252" s="98"/>
    </row>
    <row r="253" spans="3:9">
      <c r="C253" s="138" t="s">
        <v>259</v>
      </c>
      <c r="D253" s="98"/>
      <c r="E253" s="98"/>
      <c r="F253" s="98"/>
      <c r="G253" s="98"/>
      <c r="H253" s="98"/>
      <c r="I253" s="98"/>
    </row>
    <row r="254" spans="3:9">
      <c r="C254" s="138" t="s">
        <v>423</v>
      </c>
      <c r="D254" s="98"/>
      <c r="E254" s="98"/>
      <c r="F254" s="98"/>
      <c r="G254" s="98"/>
      <c r="H254" s="98"/>
      <c r="I254" s="98"/>
    </row>
    <row r="255" spans="3:9">
      <c r="C255" s="138" t="s">
        <v>669</v>
      </c>
      <c r="D255" s="98"/>
      <c r="E255" s="98"/>
      <c r="F255" s="98"/>
      <c r="G255" s="98"/>
      <c r="H255" s="98"/>
      <c r="I255" s="98"/>
    </row>
    <row r="256" spans="3:9">
      <c r="C256" s="138" t="s">
        <v>836</v>
      </c>
      <c r="D256" s="98"/>
      <c r="E256" s="98"/>
      <c r="F256" s="98"/>
      <c r="G256" s="98"/>
      <c r="H256" s="98"/>
      <c r="I256" s="98"/>
    </row>
    <row r="257" spans="3:9">
      <c r="C257" s="138" t="s">
        <v>658</v>
      </c>
      <c r="D257" s="98"/>
      <c r="E257" s="98"/>
      <c r="F257" s="98"/>
      <c r="G257" s="98"/>
      <c r="H257" s="98"/>
      <c r="I257" s="98"/>
    </row>
    <row r="258" spans="3:9">
      <c r="C258" s="138" t="s">
        <v>100</v>
      </c>
      <c r="D258" s="98"/>
      <c r="E258" s="98"/>
      <c r="F258" s="98"/>
      <c r="G258" s="98"/>
      <c r="H258" s="98"/>
      <c r="I258" s="98"/>
    </row>
    <row r="259" spans="3:9">
      <c r="C259" s="138" t="s">
        <v>884</v>
      </c>
      <c r="D259" s="98"/>
      <c r="E259" s="98"/>
      <c r="F259" s="98"/>
      <c r="G259" s="98"/>
      <c r="H259" s="98"/>
      <c r="I259" s="98"/>
    </row>
    <row r="260" spans="3:9">
      <c r="C260" s="138" t="s">
        <v>106</v>
      </c>
      <c r="D260" s="98"/>
      <c r="E260" s="98"/>
      <c r="F260" s="98"/>
      <c r="G260" s="98"/>
      <c r="H260" s="98"/>
      <c r="I260" s="98"/>
    </row>
    <row r="261" spans="3:9">
      <c r="C261" s="138" t="s">
        <v>130</v>
      </c>
      <c r="D261" s="98"/>
      <c r="E261" s="98"/>
      <c r="F261" s="98"/>
      <c r="G261" s="98"/>
      <c r="H261" s="98"/>
      <c r="I261" s="98"/>
    </row>
    <row r="262" spans="3:9">
      <c r="C262" s="138" t="s">
        <v>309</v>
      </c>
      <c r="D262" s="98"/>
      <c r="E262" s="98"/>
      <c r="F262" s="98"/>
      <c r="G262" s="98"/>
      <c r="H262" s="98"/>
      <c r="I262" s="98"/>
    </row>
    <row r="263" spans="3:9">
      <c r="C263" s="138" t="s">
        <v>178</v>
      </c>
      <c r="D263" s="98"/>
      <c r="E263" s="98"/>
      <c r="F263" s="98"/>
      <c r="G263" s="98"/>
      <c r="H263" s="98"/>
      <c r="I263" s="98"/>
    </row>
    <row r="264" spans="3:9">
      <c r="C264" s="138" t="s">
        <v>613</v>
      </c>
      <c r="D264" s="98"/>
      <c r="E264" s="98"/>
      <c r="F264" s="98"/>
      <c r="G264" s="98"/>
      <c r="H264" s="98"/>
      <c r="I264" s="98"/>
    </row>
    <row r="265" spans="3:9">
      <c r="C265" s="138" t="s">
        <v>936</v>
      </c>
      <c r="D265" s="98"/>
      <c r="E265" s="98"/>
      <c r="F265" s="98"/>
      <c r="G265" s="98"/>
      <c r="H265" s="98"/>
      <c r="I265" s="98"/>
    </row>
    <row r="266" spans="3:9">
      <c r="C266" s="138" t="s">
        <v>1064</v>
      </c>
      <c r="D266" s="98"/>
      <c r="E266" s="98"/>
      <c r="F266" s="98"/>
      <c r="G266" s="98"/>
      <c r="H266" s="98"/>
      <c r="I266" s="98"/>
    </row>
    <row r="267" spans="3:9">
      <c r="C267" s="138" t="s">
        <v>791</v>
      </c>
      <c r="D267" s="98"/>
      <c r="E267" s="98"/>
      <c r="F267" s="98"/>
      <c r="G267" s="98"/>
      <c r="H267" s="98"/>
      <c r="I267" s="98"/>
    </row>
    <row r="268" spans="3:9">
      <c r="C268" s="138" t="s">
        <v>140</v>
      </c>
      <c r="D268" s="98"/>
      <c r="E268" s="98"/>
      <c r="F268" s="98"/>
      <c r="G268" s="98"/>
      <c r="H268" s="98"/>
      <c r="I268" s="98"/>
    </row>
    <row r="269" spans="3:9">
      <c r="C269" s="138" t="s">
        <v>835</v>
      </c>
      <c r="D269" s="98"/>
      <c r="E269" s="98"/>
      <c r="F269" s="98"/>
      <c r="G269" s="98"/>
      <c r="H269" s="98"/>
      <c r="I269" s="98"/>
    </row>
    <row r="270" spans="3:9">
      <c r="C270" s="138" t="s">
        <v>440</v>
      </c>
      <c r="D270" s="98"/>
      <c r="E270" s="98"/>
      <c r="F270" s="98"/>
      <c r="G270" s="98"/>
      <c r="H270" s="98"/>
      <c r="I270" s="98"/>
    </row>
    <row r="271" spans="3:9">
      <c r="C271" s="138" t="s">
        <v>234</v>
      </c>
      <c r="D271" s="98"/>
      <c r="E271" s="98"/>
      <c r="F271" s="98"/>
      <c r="G271" s="98"/>
      <c r="H271" s="98"/>
      <c r="I271" s="98"/>
    </row>
    <row r="272" spans="3:9">
      <c r="C272" s="138" t="s">
        <v>1095</v>
      </c>
      <c r="D272" s="98"/>
      <c r="E272" s="98"/>
      <c r="F272" s="98"/>
      <c r="G272" s="98"/>
      <c r="H272" s="98"/>
      <c r="I272" s="98"/>
    </row>
    <row r="273" spans="3:9">
      <c r="C273" s="138" t="s">
        <v>196</v>
      </c>
      <c r="D273" s="98"/>
      <c r="E273" s="98"/>
      <c r="F273" s="98"/>
      <c r="G273" s="98"/>
      <c r="H273" s="98"/>
      <c r="I273" s="98"/>
    </row>
    <row r="274" spans="3:9">
      <c r="C274" s="138" t="s">
        <v>780</v>
      </c>
      <c r="D274" s="98"/>
      <c r="E274" s="98"/>
      <c r="F274" s="98"/>
      <c r="G274" s="98"/>
      <c r="H274" s="98"/>
      <c r="I274" s="98"/>
    </row>
    <row r="275" spans="3:9">
      <c r="C275" s="138" t="s">
        <v>460</v>
      </c>
      <c r="D275" s="98"/>
      <c r="E275" s="98"/>
      <c r="F275" s="98"/>
      <c r="G275" s="98"/>
      <c r="H275" s="98"/>
      <c r="I275" s="98"/>
    </row>
    <row r="276" spans="3:9">
      <c r="C276" s="138" t="s">
        <v>701</v>
      </c>
      <c r="D276" s="98"/>
      <c r="E276" s="98"/>
      <c r="F276" s="98"/>
      <c r="G276" s="98"/>
      <c r="H276" s="98"/>
      <c r="I276" s="98"/>
    </row>
    <row r="277" spans="3:9">
      <c r="C277" s="138" t="s">
        <v>273</v>
      </c>
      <c r="D277" s="98"/>
      <c r="E277" s="98"/>
      <c r="F277" s="98"/>
      <c r="G277" s="98"/>
      <c r="H277" s="98"/>
      <c r="I277" s="98"/>
    </row>
    <row r="278" spans="3:9">
      <c r="C278" s="138" t="s">
        <v>732</v>
      </c>
      <c r="D278" s="98"/>
      <c r="E278" s="98"/>
      <c r="F278" s="98"/>
      <c r="G278" s="98"/>
      <c r="H278" s="98"/>
      <c r="I278" s="98"/>
    </row>
    <row r="279" spans="3:9">
      <c r="C279" s="138" t="s">
        <v>777</v>
      </c>
      <c r="D279" s="98"/>
      <c r="E279" s="98"/>
      <c r="F279" s="98"/>
      <c r="G279" s="98"/>
      <c r="H279" s="98"/>
      <c r="I279" s="98"/>
    </row>
    <row r="280" spans="3:9">
      <c r="C280" s="138" t="s">
        <v>529</v>
      </c>
      <c r="D280" s="98"/>
      <c r="E280" s="98"/>
      <c r="F280" s="98"/>
      <c r="G280" s="98"/>
      <c r="H280" s="98"/>
      <c r="I280" s="98"/>
    </row>
    <row r="281" spans="3:9">
      <c r="C281" s="138" t="s">
        <v>408</v>
      </c>
      <c r="D281" s="98"/>
      <c r="E281" s="98"/>
      <c r="F281" s="98"/>
      <c r="G281" s="98"/>
      <c r="H281" s="98"/>
      <c r="I281" s="98"/>
    </row>
    <row r="282" spans="3:9">
      <c r="C282" s="138" t="s">
        <v>856</v>
      </c>
      <c r="D282" s="98"/>
      <c r="E282" s="98"/>
      <c r="F282" s="98"/>
      <c r="G282" s="98"/>
      <c r="H282" s="98"/>
      <c r="I282" s="98"/>
    </row>
    <row r="283" spans="3:9">
      <c r="C283" s="138" t="s">
        <v>945</v>
      </c>
      <c r="D283" s="98"/>
      <c r="E283" s="98"/>
      <c r="F283" s="98"/>
      <c r="G283" s="98"/>
      <c r="H283" s="98"/>
      <c r="I283" s="98"/>
    </row>
    <row r="284" spans="3:9">
      <c r="C284" s="138" t="s">
        <v>756</v>
      </c>
      <c r="D284" s="98"/>
      <c r="E284" s="98"/>
      <c r="F284" s="98"/>
      <c r="G284" s="98"/>
      <c r="H284" s="98"/>
      <c r="I284" s="98"/>
    </row>
    <row r="285" spans="3:9">
      <c r="C285" s="138" t="s">
        <v>562</v>
      </c>
      <c r="D285" s="98"/>
      <c r="E285" s="98"/>
      <c r="F285" s="98"/>
      <c r="G285" s="98"/>
      <c r="H285" s="98"/>
      <c r="I285" s="98"/>
    </row>
    <row r="286" spans="3:9">
      <c r="C286" s="138" t="s">
        <v>299</v>
      </c>
      <c r="D286" s="98"/>
      <c r="E286" s="98"/>
      <c r="F286" s="98"/>
      <c r="G286" s="98"/>
      <c r="H286" s="98"/>
      <c r="I286" s="98"/>
    </row>
    <row r="287" spans="3:9">
      <c r="C287" s="138" t="s">
        <v>863</v>
      </c>
      <c r="D287" s="98"/>
      <c r="E287" s="98"/>
      <c r="F287" s="98"/>
      <c r="G287" s="98"/>
      <c r="H287" s="98"/>
      <c r="I287" s="98"/>
    </row>
    <row r="288" spans="3:9">
      <c r="C288" s="138" t="s">
        <v>606</v>
      </c>
      <c r="D288" s="98"/>
      <c r="E288" s="98"/>
      <c r="F288" s="98"/>
      <c r="G288" s="98"/>
      <c r="H288" s="98"/>
      <c r="I288" s="98"/>
    </row>
    <row r="289" spans="3:9">
      <c r="C289" s="138" t="s">
        <v>942</v>
      </c>
      <c r="D289" s="98"/>
      <c r="E289" s="98"/>
      <c r="F289" s="98"/>
      <c r="G289" s="98"/>
      <c r="H289" s="98"/>
      <c r="I289" s="98"/>
    </row>
    <row r="290" spans="3:9">
      <c r="C290" s="138" t="s">
        <v>205</v>
      </c>
      <c r="D290" s="98"/>
      <c r="E290" s="98"/>
      <c r="F290" s="98"/>
      <c r="G290" s="98"/>
      <c r="H290" s="98"/>
      <c r="I290" s="98"/>
    </row>
    <row r="291" spans="3:9">
      <c r="C291" s="138" t="s">
        <v>397</v>
      </c>
      <c r="D291" s="98"/>
      <c r="E291" s="98"/>
      <c r="F291" s="98"/>
      <c r="G291" s="98"/>
      <c r="H291" s="98"/>
      <c r="I291" s="98"/>
    </row>
    <row r="292" spans="3:9">
      <c r="C292" s="138" t="s">
        <v>260</v>
      </c>
      <c r="D292" s="98"/>
      <c r="E292" s="98"/>
      <c r="F292" s="98"/>
      <c r="G292" s="98"/>
      <c r="H292" s="98"/>
      <c r="I292" s="98"/>
    </row>
    <row r="293" spans="3:9">
      <c r="C293" s="138" t="s">
        <v>685</v>
      </c>
      <c r="D293" s="98"/>
      <c r="E293" s="98"/>
      <c r="F293" s="98"/>
      <c r="G293" s="98"/>
      <c r="H293" s="98"/>
      <c r="I293" s="98"/>
    </row>
    <row r="294" spans="3:9">
      <c r="C294" s="138" t="s">
        <v>970</v>
      </c>
      <c r="D294" s="98"/>
      <c r="E294" s="98"/>
      <c r="F294" s="98"/>
      <c r="G294" s="98"/>
      <c r="H294" s="98"/>
      <c r="I294" s="98"/>
    </row>
    <row r="295" spans="3:9">
      <c r="C295" s="138" t="s">
        <v>653</v>
      </c>
      <c r="D295" s="98"/>
      <c r="E295" s="98"/>
      <c r="F295" s="98"/>
      <c r="G295" s="98"/>
      <c r="H295" s="98"/>
      <c r="I295" s="98"/>
    </row>
    <row r="296" spans="3:9">
      <c r="C296" s="138" t="s">
        <v>295</v>
      </c>
      <c r="D296" s="98"/>
      <c r="E296" s="98"/>
      <c r="F296" s="98"/>
      <c r="G296" s="98"/>
      <c r="H296" s="98"/>
      <c r="I296" s="98"/>
    </row>
    <row r="297" spans="3:9">
      <c r="C297" s="138" t="s">
        <v>183</v>
      </c>
      <c r="D297" s="98"/>
      <c r="E297" s="98"/>
      <c r="F297" s="98"/>
      <c r="G297" s="98"/>
      <c r="H297" s="98"/>
      <c r="I297" s="98"/>
    </row>
    <row r="298" spans="3:9">
      <c r="C298" s="138" t="s">
        <v>660</v>
      </c>
      <c r="D298" s="98"/>
      <c r="E298" s="98"/>
      <c r="F298" s="98"/>
      <c r="G298" s="98"/>
      <c r="H298" s="98"/>
      <c r="I298" s="98"/>
    </row>
    <row r="299" spans="3:9">
      <c r="C299" s="138" t="s">
        <v>932</v>
      </c>
      <c r="D299" s="98"/>
      <c r="E299" s="98"/>
      <c r="F299" s="98"/>
      <c r="G299" s="98"/>
      <c r="H299" s="98"/>
      <c r="I299" s="98"/>
    </row>
    <row r="300" spans="3:9">
      <c r="C300" s="138" t="s">
        <v>799</v>
      </c>
      <c r="D300" s="98"/>
      <c r="E300" s="98"/>
      <c r="F300" s="98"/>
      <c r="G300" s="98"/>
      <c r="H300" s="98"/>
      <c r="I300" s="98"/>
    </row>
    <row r="301" spans="3:9">
      <c r="C301" s="138" t="s">
        <v>526</v>
      </c>
      <c r="D301" s="98"/>
      <c r="E301" s="98"/>
      <c r="F301" s="98"/>
      <c r="G301" s="98"/>
      <c r="H301" s="98"/>
      <c r="I301" s="98"/>
    </row>
    <row r="302" spans="3:9">
      <c r="C302" s="138" t="s">
        <v>171</v>
      </c>
      <c r="D302" s="98"/>
      <c r="E302" s="98"/>
      <c r="F302" s="98"/>
      <c r="G302" s="98"/>
      <c r="H302" s="98"/>
      <c r="I302" s="98"/>
    </row>
    <row r="303" spans="3:9">
      <c r="C303" s="138" t="s">
        <v>188</v>
      </c>
      <c r="D303" s="98"/>
      <c r="E303" s="98"/>
      <c r="F303" s="98"/>
      <c r="G303" s="98"/>
      <c r="H303" s="98"/>
      <c r="I303" s="98"/>
    </row>
    <row r="304" spans="3:9">
      <c r="C304" s="138" t="s">
        <v>661</v>
      </c>
      <c r="D304" s="98"/>
      <c r="E304" s="98"/>
      <c r="F304" s="98"/>
      <c r="G304" s="98"/>
      <c r="H304" s="98"/>
      <c r="I304" s="98"/>
    </row>
    <row r="305" spans="3:9">
      <c r="C305" s="138" t="s">
        <v>571</v>
      </c>
      <c r="D305" s="98"/>
      <c r="E305" s="98"/>
      <c r="F305" s="98"/>
      <c r="G305" s="98"/>
      <c r="H305" s="98"/>
      <c r="I305" s="98"/>
    </row>
    <row r="306" spans="3:9">
      <c r="C306" s="138" t="s">
        <v>481</v>
      </c>
      <c r="D306" s="98"/>
      <c r="E306" s="98"/>
      <c r="F306" s="98"/>
      <c r="G306" s="98"/>
      <c r="H306" s="98"/>
      <c r="I306" s="98"/>
    </row>
    <row r="307" spans="3:9">
      <c r="C307" s="138" t="s">
        <v>359</v>
      </c>
      <c r="D307" s="98"/>
      <c r="E307" s="98"/>
      <c r="F307" s="98"/>
      <c r="G307" s="98"/>
      <c r="H307" s="98"/>
      <c r="I307" s="98"/>
    </row>
    <row r="308" spans="3:9">
      <c r="C308" s="138" t="s">
        <v>243</v>
      </c>
      <c r="D308" s="98"/>
      <c r="E308" s="98"/>
      <c r="F308" s="98"/>
      <c r="G308" s="98"/>
      <c r="H308" s="98"/>
      <c r="I308" s="98"/>
    </row>
    <row r="309" spans="3:9">
      <c r="C309" s="138" t="s">
        <v>708</v>
      </c>
      <c r="D309" s="98"/>
      <c r="E309" s="98"/>
      <c r="F309" s="98"/>
      <c r="G309" s="98"/>
      <c r="H309" s="98"/>
      <c r="I309" s="98"/>
    </row>
    <row r="310" spans="3:9">
      <c r="C310" s="138" t="s">
        <v>409</v>
      </c>
      <c r="D310" s="98"/>
      <c r="E310" s="98"/>
      <c r="F310" s="98"/>
      <c r="G310" s="98"/>
      <c r="H310" s="98"/>
      <c r="I310" s="98"/>
    </row>
    <row r="311" spans="3:9">
      <c r="C311" s="138" t="s">
        <v>1055</v>
      </c>
      <c r="D311" s="98"/>
      <c r="E311" s="98"/>
      <c r="F311" s="98"/>
      <c r="G311" s="98"/>
      <c r="H311" s="98"/>
      <c r="I311" s="98"/>
    </row>
    <row r="312" spans="3:9">
      <c r="C312" s="138" t="s">
        <v>407</v>
      </c>
      <c r="D312" s="98"/>
      <c r="E312" s="98"/>
      <c r="F312" s="98"/>
      <c r="G312" s="98"/>
      <c r="H312" s="98"/>
      <c r="I312" s="98"/>
    </row>
    <row r="313" spans="3:9">
      <c r="C313" s="138" t="s">
        <v>722</v>
      </c>
      <c r="D313" s="98"/>
      <c r="E313" s="98"/>
      <c r="F313" s="98"/>
      <c r="G313" s="98"/>
      <c r="H313" s="98"/>
      <c r="I313" s="98"/>
    </row>
    <row r="314" spans="3:9">
      <c r="C314" s="138" t="s">
        <v>875</v>
      </c>
      <c r="D314" s="98"/>
      <c r="E314" s="98"/>
      <c r="F314" s="98"/>
      <c r="G314" s="98"/>
      <c r="H314" s="98"/>
      <c r="I314" s="98"/>
    </row>
    <row r="315" spans="3:9">
      <c r="C315" s="138" t="s">
        <v>444</v>
      </c>
      <c r="D315" s="98"/>
      <c r="E315" s="98"/>
      <c r="F315" s="98"/>
      <c r="G315" s="98"/>
      <c r="H315" s="98"/>
      <c r="I315" s="98"/>
    </row>
    <row r="316" spans="3:9">
      <c r="C316" s="138" t="s">
        <v>1003</v>
      </c>
      <c r="D316" s="98"/>
      <c r="E316" s="98"/>
      <c r="F316" s="98"/>
      <c r="G316" s="98"/>
      <c r="H316" s="98"/>
      <c r="I316" s="98"/>
    </row>
    <row r="317" spans="3:9">
      <c r="C317" s="138" t="s">
        <v>779</v>
      </c>
      <c r="D317" s="98"/>
      <c r="E317" s="98"/>
      <c r="F317" s="98"/>
      <c r="G317" s="98"/>
      <c r="H317" s="98"/>
      <c r="I317" s="98"/>
    </row>
    <row r="318" spans="3:9">
      <c r="C318" s="138" t="s">
        <v>657</v>
      </c>
      <c r="D318" s="98"/>
      <c r="E318" s="98"/>
      <c r="F318" s="98"/>
      <c r="G318" s="98"/>
      <c r="H318" s="98"/>
      <c r="I318" s="98"/>
    </row>
    <row r="319" spans="3:9">
      <c r="C319" s="138" t="s">
        <v>817</v>
      </c>
      <c r="D319" s="98"/>
      <c r="E319" s="98"/>
      <c r="F319" s="98"/>
      <c r="G319" s="98"/>
      <c r="H319" s="98"/>
      <c r="I319" s="98"/>
    </row>
    <row r="320" spans="3:9">
      <c r="C320" s="138" t="s">
        <v>651</v>
      </c>
      <c r="D320" s="98"/>
      <c r="E320" s="98"/>
      <c r="F320" s="98"/>
      <c r="G320" s="98"/>
      <c r="H320" s="98"/>
      <c r="I320" s="98"/>
    </row>
    <row r="321" spans="3:9">
      <c r="C321" s="138" t="s">
        <v>266</v>
      </c>
      <c r="D321" s="98"/>
      <c r="E321" s="98"/>
      <c r="F321" s="98"/>
      <c r="G321" s="98"/>
      <c r="H321" s="98"/>
      <c r="I321" s="98"/>
    </row>
    <row r="322" spans="3:9">
      <c r="C322" s="138" t="s">
        <v>490</v>
      </c>
      <c r="D322" s="98"/>
      <c r="E322" s="98"/>
      <c r="F322" s="98"/>
      <c r="G322" s="98"/>
      <c r="H322" s="98"/>
      <c r="I322" s="98"/>
    </row>
    <row r="323" spans="3:9">
      <c r="C323" s="138" t="s">
        <v>197</v>
      </c>
      <c r="D323" s="98"/>
      <c r="E323" s="98"/>
      <c r="F323" s="98"/>
      <c r="G323" s="98"/>
      <c r="H323" s="98"/>
      <c r="I323" s="98"/>
    </row>
    <row r="324" spans="3:9">
      <c r="C324" s="138" t="s">
        <v>720</v>
      </c>
      <c r="D324" s="98"/>
      <c r="E324" s="98"/>
      <c r="F324" s="98"/>
      <c r="G324" s="98"/>
      <c r="H324" s="98"/>
      <c r="I324" s="98"/>
    </row>
    <row r="325" spans="3:9">
      <c r="C325" s="138" t="s">
        <v>390</v>
      </c>
      <c r="D325" s="98"/>
      <c r="E325" s="98"/>
      <c r="F325" s="98"/>
      <c r="G325" s="98"/>
      <c r="H325" s="98"/>
      <c r="I325" s="98"/>
    </row>
    <row r="326" spans="3:9">
      <c r="C326" s="138" t="s">
        <v>679</v>
      </c>
      <c r="D326" s="98"/>
      <c r="E326" s="98"/>
      <c r="F326" s="98"/>
      <c r="G326" s="98"/>
      <c r="H326" s="98"/>
      <c r="I326" s="98"/>
    </row>
    <row r="327" spans="3:9">
      <c r="C327" s="138" t="s">
        <v>869</v>
      </c>
      <c r="D327" s="98"/>
      <c r="E327" s="98"/>
      <c r="F327" s="98"/>
      <c r="G327" s="98"/>
      <c r="H327" s="98"/>
      <c r="I327" s="98"/>
    </row>
    <row r="328" spans="3:9">
      <c r="C328" s="138" t="s">
        <v>157</v>
      </c>
      <c r="D328" s="98"/>
      <c r="E328" s="98"/>
      <c r="F328" s="98"/>
      <c r="G328" s="98"/>
      <c r="H328" s="98"/>
      <c r="I328" s="98"/>
    </row>
    <row r="329" spans="3:9">
      <c r="C329" s="138" t="s">
        <v>96</v>
      </c>
      <c r="D329" s="98"/>
      <c r="E329" s="98"/>
      <c r="F329" s="98"/>
      <c r="G329" s="98"/>
      <c r="H329" s="98"/>
      <c r="I329" s="98"/>
    </row>
    <row r="330" spans="3:9">
      <c r="C330" s="138" t="s">
        <v>172</v>
      </c>
      <c r="D330" s="98"/>
      <c r="E330" s="98"/>
      <c r="F330" s="98"/>
      <c r="G330" s="98"/>
      <c r="H330" s="98"/>
      <c r="I330" s="98"/>
    </row>
    <row r="331" spans="3:9">
      <c r="C331" s="138" t="s">
        <v>433</v>
      </c>
      <c r="D331" s="98"/>
      <c r="E331" s="98"/>
      <c r="F331" s="98"/>
      <c r="G331" s="98"/>
      <c r="H331" s="98"/>
      <c r="I331" s="98"/>
    </row>
    <row r="332" spans="3:9">
      <c r="C332" s="138" t="s">
        <v>279</v>
      </c>
      <c r="D332" s="98"/>
      <c r="E332" s="98"/>
      <c r="F332" s="98"/>
      <c r="G332" s="98"/>
      <c r="H332" s="98"/>
      <c r="I332" s="98"/>
    </row>
    <row r="333" spans="3:9">
      <c r="C333" s="138" t="s">
        <v>909</v>
      </c>
      <c r="D333" s="98"/>
      <c r="E333" s="98"/>
      <c r="F333" s="98"/>
      <c r="G333" s="98"/>
      <c r="H333" s="98"/>
      <c r="I333" s="98"/>
    </row>
    <row r="334" spans="3:9">
      <c r="C334" s="138" t="s">
        <v>841</v>
      </c>
      <c r="D334" s="98"/>
      <c r="E334" s="98"/>
      <c r="F334" s="98"/>
      <c r="G334" s="98"/>
      <c r="H334" s="98"/>
      <c r="I334" s="98"/>
    </row>
    <row r="335" spans="3:9">
      <c r="C335" s="138" t="s">
        <v>910</v>
      </c>
      <c r="D335" s="98"/>
      <c r="E335" s="98"/>
      <c r="F335" s="98"/>
      <c r="G335" s="98"/>
      <c r="H335" s="98"/>
      <c r="I335" s="98"/>
    </row>
    <row r="336" spans="3:9">
      <c r="C336" s="138" t="s">
        <v>247</v>
      </c>
      <c r="D336" s="98"/>
      <c r="E336" s="98"/>
      <c r="F336" s="98"/>
      <c r="G336" s="98"/>
      <c r="H336" s="98"/>
      <c r="I336" s="98"/>
    </row>
    <row r="337" spans="3:9">
      <c r="C337" s="138" t="s">
        <v>988</v>
      </c>
      <c r="D337" s="98"/>
      <c r="E337" s="98"/>
      <c r="F337" s="98"/>
      <c r="G337" s="98"/>
      <c r="H337" s="98"/>
      <c r="I337" s="98"/>
    </row>
    <row r="338" spans="3:9">
      <c r="C338" s="138" t="s">
        <v>377</v>
      </c>
      <c r="D338" s="98"/>
      <c r="E338" s="98"/>
      <c r="F338" s="98"/>
      <c r="G338" s="98"/>
      <c r="H338" s="98"/>
      <c r="I338" s="98"/>
    </row>
    <row r="339" spans="3:9">
      <c r="C339" s="138" t="s">
        <v>244</v>
      </c>
      <c r="D339" s="98"/>
      <c r="E339" s="98"/>
      <c r="F339" s="98"/>
      <c r="G339" s="98"/>
      <c r="H339" s="98"/>
      <c r="I339" s="98"/>
    </row>
    <row r="340" spans="3:9">
      <c r="C340" s="138" t="s">
        <v>825</v>
      </c>
      <c r="D340" s="98"/>
      <c r="E340" s="98"/>
      <c r="F340" s="98"/>
      <c r="G340" s="98"/>
      <c r="H340" s="98"/>
      <c r="I340" s="98"/>
    </row>
    <row r="341" spans="3:9">
      <c r="C341" s="138" t="s">
        <v>348</v>
      </c>
      <c r="D341" s="98"/>
      <c r="E341" s="98"/>
      <c r="F341" s="98"/>
      <c r="G341" s="98"/>
      <c r="H341" s="98"/>
      <c r="I341" s="98"/>
    </row>
    <row r="342" spans="3:9">
      <c r="C342" s="138" t="s">
        <v>941</v>
      </c>
      <c r="D342" s="98"/>
      <c r="E342" s="98"/>
      <c r="F342" s="98"/>
      <c r="G342" s="98"/>
      <c r="H342" s="98"/>
      <c r="I342" s="98"/>
    </row>
    <row r="343" spans="3:9">
      <c r="C343" s="138" t="s">
        <v>488</v>
      </c>
      <c r="D343" s="98"/>
      <c r="E343" s="98"/>
      <c r="F343" s="98"/>
      <c r="G343" s="98"/>
      <c r="H343" s="98"/>
      <c r="I343" s="98"/>
    </row>
    <row r="344" spans="3:9">
      <c r="C344" s="138" t="s">
        <v>553</v>
      </c>
      <c r="D344" s="98"/>
      <c r="E344" s="98"/>
      <c r="F344" s="98"/>
      <c r="G344" s="98"/>
      <c r="H344" s="98"/>
      <c r="I344" s="98"/>
    </row>
    <row r="345" spans="3:9">
      <c r="C345" s="138" t="s">
        <v>181</v>
      </c>
      <c r="D345" s="98"/>
      <c r="E345" s="98"/>
      <c r="F345" s="98"/>
      <c r="G345" s="98"/>
      <c r="H345" s="98"/>
      <c r="I345" s="98"/>
    </row>
    <row r="346" spans="3:9">
      <c r="C346" s="138" t="s">
        <v>528</v>
      </c>
      <c r="D346" s="98"/>
      <c r="E346" s="98"/>
      <c r="F346" s="98"/>
      <c r="G346" s="98"/>
      <c r="H346" s="98"/>
      <c r="I346" s="98"/>
    </row>
    <row r="347" spans="3:9">
      <c r="C347" s="138" t="s">
        <v>477</v>
      </c>
      <c r="D347" s="98"/>
      <c r="E347" s="98"/>
      <c r="F347" s="98"/>
      <c r="G347" s="98"/>
      <c r="H347" s="98"/>
      <c r="I347" s="98"/>
    </row>
    <row r="348" spans="3:9">
      <c r="C348" s="138" t="s">
        <v>487</v>
      </c>
      <c r="D348" s="98"/>
      <c r="E348" s="98"/>
      <c r="F348" s="98"/>
      <c r="G348" s="98"/>
      <c r="H348" s="98"/>
      <c r="I348" s="98"/>
    </row>
    <row r="349" spans="3:9">
      <c r="C349" s="138" t="s">
        <v>230</v>
      </c>
      <c r="D349" s="98"/>
      <c r="E349" s="98"/>
      <c r="F349" s="98"/>
      <c r="G349" s="98"/>
      <c r="H349" s="98"/>
      <c r="I349" s="98"/>
    </row>
    <row r="350" spans="3:9">
      <c r="C350" s="138" t="s">
        <v>1069</v>
      </c>
      <c r="D350" s="98"/>
      <c r="E350" s="98"/>
      <c r="F350" s="98"/>
      <c r="G350" s="98"/>
      <c r="H350" s="98"/>
      <c r="I350" s="98"/>
    </row>
    <row r="351" spans="3:9">
      <c r="C351" s="138" t="s">
        <v>91</v>
      </c>
      <c r="D351" s="98"/>
      <c r="E351" s="98"/>
      <c r="F351" s="98"/>
      <c r="G351" s="98"/>
      <c r="H351" s="98"/>
      <c r="I351" s="98"/>
    </row>
    <row r="352" spans="3:9">
      <c r="C352" s="138" t="s">
        <v>896</v>
      </c>
      <c r="D352" s="98"/>
      <c r="E352" s="98"/>
      <c r="F352" s="98"/>
      <c r="G352" s="98"/>
      <c r="H352" s="98"/>
      <c r="I352" s="98"/>
    </row>
    <row r="353" spans="3:9">
      <c r="C353" s="138" t="s">
        <v>1025</v>
      </c>
      <c r="D353" s="98"/>
      <c r="E353" s="98"/>
      <c r="F353" s="98"/>
      <c r="G353" s="98"/>
      <c r="H353" s="98"/>
      <c r="I353" s="98"/>
    </row>
    <row r="354" spans="3:9">
      <c r="C354" s="138" t="s">
        <v>930</v>
      </c>
      <c r="D354" s="98"/>
      <c r="E354" s="98"/>
      <c r="F354" s="98"/>
      <c r="G354" s="98"/>
      <c r="H354" s="98"/>
      <c r="I354" s="98"/>
    </row>
    <row r="355" spans="3:9">
      <c r="C355" s="138" t="s">
        <v>164</v>
      </c>
      <c r="D355" s="98"/>
      <c r="E355" s="98"/>
      <c r="F355" s="98"/>
      <c r="G355" s="98"/>
      <c r="H355" s="98"/>
      <c r="I355" s="98"/>
    </row>
    <row r="356" spans="3:9">
      <c r="C356" s="138" t="s">
        <v>743</v>
      </c>
      <c r="D356" s="98"/>
      <c r="E356" s="98"/>
      <c r="F356" s="98"/>
      <c r="G356" s="98"/>
      <c r="H356" s="98"/>
      <c r="I356" s="98"/>
    </row>
    <row r="357" spans="3:9">
      <c r="C357" s="138" t="s">
        <v>1088</v>
      </c>
      <c r="D357" s="98"/>
      <c r="E357" s="98"/>
      <c r="F357" s="98"/>
      <c r="G357" s="98"/>
      <c r="H357" s="98"/>
      <c r="I357" s="98"/>
    </row>
    <row r="358" spans="3:9">
      <c r="C358" s="138" t="s">
        <v>728</v>
      </c>
      <c r="D358" s="98"/>
      <c r="E358" s="98"/>
      <c r="F358" s="98"/>
      <c r="G358" s="98"/>
      <c r="H358" s="98"/>
      <c r="I358" s="98"/>
    </row>
    <row r="359" spans="3:9">
      <c r="C359" s="138" t="s">
        <v>163</v>
      </c>
      <c r="D359" s="98"/>
      <c r="E359" s="98"/>
      <c r="F359" s="98"/>
      <c r="G359" s="98"/>
      <c r="H359" s="98"/>
      <c r="I359" s="98"/>
    </row>
    <row r="360" spans="3:9">
      <c r="C360" s="138" t="s">
        <v>340</v>
      </c>
      <c r="D360" s="98"/>
      <c r="E360" s="98"/>
      <c r="F360" s="98"/>
      <c r="G360" s="98"/>
      <c r="H360" s="98"/>
      <c r="I360" s="98"/>
    </row>
    <row r="361" spans="3:9">
      <c r="C361" s="138" t="s">
        <v>134</v>
      </c>
      <c r="D361" s="98"/>
      <c r="E361" s="98"/>
      <c r="F361" s="98"/>
      <c r="G361" s="98"/>
      <c r="H361" s="98"/>
      <c r="I361" s="98"/>
    </row>
    <row r="362" spans="3:9">
      <c r="C362" s="138" t="s">
        <v>954</v>
      </c>
      <c r="D362" s="98"/>
      <c r="E362" s="98"/>
      <c r="F362" s="98"/>
      <c r="G362" s="98"/>
      <c r="H362" s="98"/>
      <c r="I362" s="98"/>
    </row>
    <row r="363" spans="3:9">
      <c r="C363" s="138" t="s">
        <v>901</v>
      </c>
      <c r="D363" s="98"/>
      <c r="E363" s="98"/>
      <c r="F363" s="98"/>
      <c r="G363" s="98"/>
      <c r="H363" s="98"/>
      <c r="I363" s="98"/>
    </row>
    <row r="364" spans="3:9">
      <c r="C364" s="138" t="s">
        <v>926</v>
      </c>
      <c r="D364" s="98"/>
      <c r="E364" s="98"/>
      <c r="F364" s="98"/>
      <c r="G364" s="98"/>
      <c r="H364" s="98"/>
      <c r="I364" s="98"/>
    </row>
    <row r="365" spans="3:9">
      <c r="C365" s="138" t="s">
        <v>186</v>
      </c>
      <c r="D365" s="98"/>
      <c r="E365" s="98"/>
      <c r="F365" s="98"/>
      <c r="G365" s="98"/>
      <c r="H365" s="98"/>
      <c r="I365" s="98"/>
    </row>
    <row r="366" spans="3:9">
      <c r="C366" s="138" t="s">
        <v>385</v>
      </c>
      <c r="D366" s="98"/>
      <c r="E366" s="98"/>
      <c r="F366" s="98"/>
      <c r="G366" s="98"/>
      <c r="H366" s="98"/>
      <c r="I366" s="98"/>
    </row>
    <row r="367" spans="3:9">
      <c r="C367" s="138" t="s">
        <v>604</v>
      </c>
      <c r="D367" s="98"/>
      <c r="E367" s="98"/>
      <c r="F367" s="98"/>
      <c r="G367" s="98"/>
      <c r="H367" s="98"/>
      <c r="I367" s="98"/>
    </row>
    <row r="368" spans="3:9">
      <c r="C368" s="138" t="s">
        <v>463</v>
      </c>
      <c r="D368" s="98"/>
      <c r="E368" s="98"/>
      <c r="F368" s="98"/>
      <c r="G368" s="98"/>
      <c r="H368" s="98"/>
      <c r="I368" s="98"/>
    </row>
    <row r="369" spans="3:9">
      <c r="C369" s="138" t="s">
        <v>449</v>
      </c>
      <c r="D369" s="98"/>
      <c r="E369" s="98"/>
      <c r="F369" s="98"/>
      <c r="G369" s="98"/>
      <c r="H369" s="98"/>
      <c r="I369" s="98"/>
    </row>
    <row r="370" spans="3:9">
      <c r="C370" s="138" t="s">
        <v>556</v>
      </c>
      <c r="D370" s="98"/>
      <c r="E370" s="98"/>
      <c r="F370" s="98"/>
      <c r="G370" s="98"/>
      <c r="H370" s="98"/>
      <c r="I370" s="98"/>
    </row>
    <row r="371" spans="3:9">
      <c r="C371" s="138" t="s">
        <v>231</v>
      </c>
      <c r="D371" s="98"/>
      <c r="E371" s="98"/>
      <c r="F371" s="98"/>
      <c r="G371" s="98"/>
      <c r="H371" s="98"/>
      <c r="I371" s="98"/>
    </row>
    <row r="372" spans="3:9">
      <c r="C372" s="138" t="s">
        <v>944</v>
      </c>
      <c r="D372" s="98"/>
      <c r="E372" s="98"/>
      <c r="F372" s="98"/>
      <c r="G372" s="98"/>
      <c r="H372" s="98"/>
      <c r="I372" s="98"/>
    </row>
    <row r="373" spans="3:9">
      <c r="C373" s="138" t="s">
        <v>947</v>
      </c>
      <c r="D373" s="98"/>
      <c r="E373" s="98"/>
      <c r="F373" s="98"/>
      <c r="G373" s="98"/>
      <c r="H373" s="98"/>
      <c r="I373" s="98"/>
    </row>
    <row r="374" spans="3:9">
      <c r="C374" s="138" t="s">
        <v>182</v>
      </c>
      <c r="D374" s="98"/>
      <c r="E374" s="98"/>
      <c r="F374" s="98"/>
      <c r="G374" s="98"/>
      <c r="H374" s="98"/>
      <c r="I374" s="98"/>
    </row>
    <row r="375" spans="3:9">
      <c r="C375" s="138" t="s">
        <v>965</v>
      </c>
      <c r="D375" s="98"/>
      <c r="E375" s="98"/>
      <c r="F375" s="98"/>
      <c r="G375" s="98"/>
      <c r="H375" s="98"/>
      <c r="I375" s="98"/>
    </row>
    <row r="376" spans="3:9">
      <c r="C376" s="138" t="s">
        <v>406</v>
      </c>
      <c r="D376" s="98"/>
      <c r="E376" s="98"/>
      <c r="F376" s="98"/>
      <c r="G376" s="98"/>
      <c r="H376" s="98"/>
      <c r="I376" s="98"/>
    </row>
    <row r="377" spans="3:9">
      <c r="C377" s="138" t="s">
        <v>498</v>
      </c>
      <c r="D377" s="98"/>
      <c r="E377" s="98"/>
      <c r="F377" s="98"/>
      <c r="G377" s="98"/>
      <c r="H377" s="98"/>
      <c r="I377" s="98"/>
    </row>
    <row r="378" spans="3:9">
      <c r="C378" s="138" t="s">
        <v>804</v>
      </c>
      <c r="D378" s="98"/>
      <c r="E378" s="98"/>
      <c r="F378" s="98"/>
      <c r="G378" s="98"/>
      <c r="H378" s="98"/>
      <c r="I378" s="98"/>
    </row>
    <row r="379" spans="3:9">
      <c r="C379" s="138" t="s">
        <v>466</v>
      </c>
      <c r="D379" s="98"/>
      <c r="E379" s="98"/>
      <c r="F379" s="98"/>
      <c r="G379" s="98"/>
      <c r="H379" s="98"/>
      <c r="I379" s="98"/>
    </row>
    <row r="380" spans="3:9">
      <c r="C380" s="138" t="s">
        <v>514</v>
      </c>
      <c r="D380" s="98"/>
      <c r="E380" s="98"/>
      <c r="F380" s="98"/>
      <c r="G380" s="98"/>
      <c r="H380" s="98"/>
      <c r="I380" s="98"/>
    </row>
    <row r="381" spans="3:9">
      <c r="C381" s="138" t="s">
        <v>472</v>
      </c>
      <c r="D381" s="98"/>
      <c r="E381" s="98"/>
      <c r="F381" s="98"/>
      <c r="G381" s="98"/>
      <c r="H381" s="98"/>
      <c r="I381" s="98"/>
    </row>
    <row r="382" spans="3:9">
      <c r="C382" s="138" t="s">
        <v>671</v>
      </c>
      <c r="D382" s="98"/>
      <c r="E382" s="98"/>
      <c r="F382" s="98"/>
      <c r="G382" s="98"/>
      <c r="H382" s="98"/>
      <c r="I382" s="98"/>
    </row>
    <row r="383" spans="3:9">
      <c r="C383" s="138" t="s">
        <v>98</v>
      </c>
      <c r="D383" s="98"/>
      <c r="E383" s="98"/>
      <c r="F383" s="98"/>
      <c r="G383" s="98"/>
      <c r="H383" s="98"/>
      <c r="I383" s="98"/>
    </row>
    <row r="384" spans="3:9">
      <c r="C384" s="138" t="s">
        <v>972</v>
      </c>
      <c r="D384" s="98"/>
      <c r="E384" s="98"/>
      <c r="F384" s="98"/>
      <c r="G384" s="98"/>
      <c r="H384" s="98"/>
      <c r="I384" s="98"/>
    </row>
    <row r="385" spans="3:9">
      <c r="C385" s="138" t="s">
        <v>133</v>
      </c>
      <c r="D385" s="98"/>
      <c r="E385" s="98"/>
      <c r="F385" s="98"/>
      <c r="G385" s="98"/>
      <c r="H385" s="98"/>
      <c r="I385" s="98"/>
    </row>
    <row r="386" spans="3:9">
      <c r="C386" s="138" t="s">
        <v>179</v>
      </c>
      <c r="D386" s="98"/>
      <c r="E386" s="98"/>
      <c r="F386" s="98"/>
      <c r="G386" s="98"/>
      <c r="H386" s="98"/>
      <c r="I386" s="98"/>
    </row>
    <row r="387" spans="3:9">
      <c r="C387" s="138" t="s">
        <v>810</v>
      </c>
      <c r="D387" s="98"/>
      <c r="E387" s="98"/>
      <c r="F387" s="98"/>
      <c r="G387" s="98"/>
      <c r="H387" s="98"/>
      <c r="I387" s="98"/>
    </row>
    <row r="388" spans="3:9">
      <c r="C388" s="138" t="s">
        <v>225</v>
      </c>
      <c r="D388" s="98"/>
      <c r="E388" s="98"/>
      <c r="F388" s="98"/>
      <c r="G388" s="98"/>
      <c r="H388" s="98"/>
      <c r="I388" s="98"/>
    </row>
    <row r="389" spans="3:9">
      <c r="C389" s="138" t="s">
        <v>601</v>
      </c>
      <c r="D389" s="98"/>
      <c r="E389" s="98"/>
      <c r="F389" s="98"/>
      <c r="G389" s="98"/>
      <c r="H389" s="98"/>
      <c r="I389" s="98"/>
    </row>
    <row r="390" spans="3:9">
      <c r="C390" s="138" t="s">
        <v>695</v>
      </c>
      <c r="D390" s="98"/>
      <c r="E390" s="98"/>
      <c r="F390" s="98"/>
      <c r="G390" s="98"/>
      <c r="H390" s="98"/>
      <c r="I390" s="98"/>
    </row>
    <row r="391" spans="3:9">
      <c r="C391" s="138" t="s">
        <v>303</v>
      </c>
      <c r="D391" s="98"/>
      <c r="E391" s="98"/>
      <c r="F391" s="98"/>
      <c r="G391" s="98"/>
      <c r="H391" s="98"/>
      <c r="I391" s="98"/>
    </row>
    <row r="392" spans="3:9">
      <c r="C392" s="138" t="s">
        <v>209</v>
      </c>
      <c r="D392" s="98"/>
      <c r="E392" s="98"/>
      <c r="F392" s="98"/>
      <c r="G392" s="98"/>
      <c r="H392" s="98"/>
      <c r="I392" s="98"/>
    </row>
    <row r="393" spans="3:9">
      <c r="C393" s="138" t="s">
        <v>868</v>
      </c>
      <c r="D393" s="98"/>
      <c r="E393" s="98"/>
      <c r="F393" s="98"/>
      <c r="G393" s="98"/>
      <c r="H393" s="98"/>
      <c r="I393" s="98"/>
    </row>
    <row r="394" spans="3:9">
      <c r="C394" s="138" t="s">
        <v>380</v>
      </c>
      <c r="D394" s="98"/>
      <c r="E394" s="98"/>
      <c r="F394" s="98"/>
      <c r="G394" s="98"/>
      <c r="H394" s="98"/>
      <c r="I394" s="98"/>
    </row>
    <row r="395" spans="3:9">
      <c r="C395" s="138" t="s">
        <v>155</v>
      </c>
      <c r="D395" s="98"/>
      <c r="E395" s="98"/>
      <c r="F395" s="98"/>
      <c r="G395" s="98"/>
      <c r="H395" s="98"/>
      <c r="I395" s="98"/>
    </row>
    <row r="396" spans="3:9">
      <c r="C396" s="138" t="s">
        <v>1017</v>
      </c>
      <c r="D396" s="98"/>
      <c r="E396" s="98"/>
      <c r="F396" s="98"/>
      <c r="G396" s="98"/>
      <c r="H396" s="98"/>
      <c r="I396" s="98"/>
    </row>
    <row r="397" spans="3:9">
      <c r="C397" s="138" t="s">
        <v>809</v>
      </c>
      <c r="D397" s="98"/>
      <c r="E397" s="98"/>
      <c r="F397" s="98"/>
      <c r="G397" s="98"/>
      <c r="H397" s="98"/>
      <c r="I397" s="98"/>
    </row>
    <row r="398" spans="3:9">
      <c r="C398" s="138" t="s">
        <v>311</v>
      </c>
      <c r="D398" s="98"/>
      <c r="E398" s="98"/>
      <c r="F398" s="98"/>
      <c r="G398" s="98"/>
      <c r="H398" s="98"/>
      <c r="I398" s="98"/>
    </row>
    <row r="399" spans="3:9">
      <c r="C399" s="138" t="s">
        <v>287</v>
      </c>
      <c r="D399" s="98"/>
      <c r="E399" s="98"/>
      <c r="F399" s="98"/>
      <c r="G399" s="98"/>
      <c r="H399" s="98"/>
      <c r="I399" s="98"/>
    </row>
    <row r="400" spans="3:9">
      <c r="C400" s="138" t="s">
        <v>469</v>
      </c>
      <c r="D400" s="98"/>
      <c r="E400" s="98"/>
      <c r="F400" s="98"/>
      <c r="G400" s="98"/>
      <c r="H400" s="98"/>
      <c r="I400" s="98"/>
    </row>
    <row r="401" spans="3:9">
      <c r="C401" s="138" t="s">
        <v>1041</v>
      </c>
      <c r="D401" s="98"/>
      <c r="E401" s="98"/>
      <c r="F401" s="98"/>
      <c r="G401" s="98"/>
      <c r="H401" s="98"/>
      <c r="I401" s="98"/>
    </row>
    <row r="402" spans="3:9">
      <c r="C402" s="138" t="s">
        <v>375</v>
      </c>
      <c r="D402" s="98"/>
      <c r="E402" s="98"/>
      <c r="F402" s="98"/>
      <c r="G402" s="98"/>
      <c r="H402" s="98"/>
      <c r="I402" s="98"/>
    </row>
    <row r="403" spans="3:9">
      <c r="C403" s="138" t="s">
        <v>323</v>
      </c>
      <c r="D403" s="98"/>
      <c r="E403" s="98"/>
      <c r="F403" s="98"/>
      <c r="G403" s="98"/>
      <c r="H403" s="98"/>
      <c r="I403" s="98"/>
    </row>
    <row r="404" spans="3:9">
      <c r="C404" s="138" t="s">
        <v>214</v>
      </c>
      <c r="D404" s="98"/>
      <c r="E404" s="98"/>
      <c r="F404" s="98"/>
      <c r="G404" s="98"/>
      <c r="H404" s="98"/>
      <c r="I404" s="98"/>
    </row>
    <row r="405" spans="3:9">
      <c r="C405" s="138" t="s">
        <v>916</v>
      </c>
      <c r="D405" s="98"/>
      <c r="E405" s="98"/>
      <c r="F405" s="98"/>
      <c r="G405" s="98"/>
      <c r="H405" s="98"/>
      <c r="I405" s="98"/>
    </row>
    <row r="406" spans="3:9">
      <c r="C406" s="138" t="s">
        <v>193</v>
      </c>
      <c r="D406" s="98"/>
      <c r="E406" s="98"/>
      <c r="F406" s="98"/>
      <c r="G406" s="98"/>
      <c r="H406" s="98"/>
      <c r="I406" s="98"/>
    </row>
    <row r="407" spans="3:9">
      <c r="C407" s="138" t="s">
        <v>921</v>
      </c>
      <c r="D407" s="98"/>
      <c r="E407" s="98"/>
      <c r="F407" s="98"/>
      <c r="G407" s="98"/>
      <c r="H407" s="98"/>
      <c r="I407" s="98"/>
    </row>
    <row r="408" spans="3:9">
      <c r="C408" s="138" t="s">
        <v>387</v>
      </c>
      <c r="D408" s="98"/>
      <c r="E408" s="98"/>
      <c r="F408" s="98"/>
      <c r="G408" s="98"/>
      <c r="H408" s="98"/>
      <c r="I408" s="98"/>
    </row>
    <row r="409" spans="3:9">
      <c r="C409" s="138" t="s">
        <v>413</v>
      </c>
      <c r="D409" s="98"/>
      <c r="E409" s="98"/>
      <c r="F409" s="98"/>
      <c r="G409" s="98"/>
      <c r="H409" s="98"/>
      <c r="I409" s="98"/>
    </row>
    <row r="410" spans="3:9">
      <c r="C410" s="138" t="s">
        <v>958</v>
      </c>
      <c r="D410" s="98"/>
      <c r="E410" s="98"/>
      <c r="F410" s="98"/>
      <c r="G410" s="98"/>
      <c r="H410" s="98"/>
      <c r="I410" s="98"/>
    </row>
    <row r="411" spans="3:9">
      <c r="C411" s="138" t="s">
        <v>1082</v>
      </c>
      <c r="D411" s="98"/>
      <c r="E411" s="98"/>
      <c r="F411" s="98"/>
      <c r="G411" s="98"/>
      <c r="H411" s="98"/>
      <c r="I411" s="98"/>
    </row>
    <row r="412" spans="3:9">
      <c r="C412" s="138" t="s">
        <v>1024</v>
      </c>
      <c r="D412" s="98"/>
      <c r="E412" s="98"/>
      <c r="F412" s="98"/>
      <c r="G412" s="98"/>
      <c r="H412" s="98"/>
      <c r="I412" s="98"/>
    </row>
    <row r="413" spans="3:9">
      <c r="C413" s="138" t="s">
        <v>612</v>
      </c>
      <c r="D413" s="98"/>
      <c r="E413" s="98"/>
      <c r="F413" s="98"/>
      <c r="G413" s="98"/>
      <c r="H413" s="98"/>
      <c r="I413" s="98"/>
    </row>
    <row r="414" spans="3:9">
      <c r="C414" s="138" t="s">
        <v>412</v>
      </c>
      <c r="D414" s="98"/>
      <c r="E414" s="98"/>
      <c r="F414" s="98"/>
      <c r="G414" s="98"/>
      <c r="H414" s="98"/>
      <c r="I414" s="98"/>
    </row>
    <row r="415" spans="3:9">
      <c r="C415" s="138" t="s">
        <v>421</v>
      </c>
      <c r="D415" s="98"/>
      <c r="E415" s="98"/>
      <c r="F415" s="98"/>
      <c r="G415" s="98"/>
      <c r="H415" s="98"/>
      <c r="I415" s="98"/>
    </row>
    <row r="416" spans="3:9">
      <c r="C416" s="138" t="s">
        <v>966</v>
      </c>
      <c r="D416" s="98"/>
      <c r="E416" s="98"/>
      <c r="F416" s="98"/>
      <c r="G416" s="98"/>
      <c r="H416" s="98"/>
      <c r="I416" s="98"/>
    </row>
    <row r="417" spans="3:9">
      <c r="C417" s="138" t="s">
        <v>238</v>
      </c>
      <c r="D417" s="98"/>
      <c r="E417" s="98"/>
      <c r="F417" s="98"/>
      <c r="G417" s="98"/>
      <c r="H417" s="98"/>
      <c r="I417" s="98"/>
    </row>
    <row r="418" spans="3:9">
      <c r="C418" s="138" t="s">
        <v>392</v>
      </c>
      <c r="D418" s="98"/>
      <c r="E418" s="98"/>
      <c r="F418" s="98"/>
      <c r="G418" s="98"/>
      <c r="H418" s="98"/>
      <c r="I418" s="98"/>
    </row>
    <row r="419" spans="3:9">
      <c r="C419" s="138" t="s">
        <v>111</v>
      </c>
      <c r="D419" s="98"/>
      <c r="E419" s="98"/>
      <c r="F419" s="98"/>
      <c r="G419" s="98"/>
      <c r="H419" s="98"/>
      <c r="I419" s="98"/>
    </row>
    <row r="420" spans="3:9">
      <c r="C420" s="138" t="s">
        <v>846</v>
      </c>
      <c r="D420" s="98"/>
      <c r="E420" s="98"/>
      <c r="F420" s="98"/>
      <c r="G420" s="98"/>
      <c r="H420" s="98"/>
      <c r="I420" s="98"/>
    </row>
    <row r="421" spans="3:9">
      <c r="C421" s="138" t="s">
        <v>416</v>
      </c>
      <c r="D421" s="98"/>
      <c r="E421" s="98"/>
      <c r="F421" s="98"/>
      <c r="G421" s="98"/>
      <c r="H421" s="98"/>
      <c r="I421" s="98"/>
    </row>
    <row r="422" spans="3:9">
      <c r="C422" s="138" t="s">
        <v>739</v>
      </c>
      <c r="D422" s="98"/>
      <c r="E422" s="98"/>
      <c r="F422" s="98"/>
      <c r="G422" s="98"/>
      <c r="H422" s="98"/>
      <c r="I422" s="98"/>
    </row>
    <row r="423" spans="3:9">
      <c r="C423" s="138" t="s">
        <v>897</v>
      </c>
      <c r="D423" s="98"/>
      <c r="E423" s="98"/>
      <c r="F423" s="98"/>
      <c r="G423" s="98"/>
      <c r="H423" s="98"/>
      <c r="I423" s="98"/>
    </row>
    <row r="424" spans="3:9">
      <c r="C424" s="138" t="s">
        <v>108</v>
      </c>
      <c r="D424" s="98"/>
      <c r="E424" s="98"/>
      <c r="F424" s="98"/>
      <c r="G424" s="98"/>
      <c r="H424" s="98"/>
      <c r="I424" s="98"/>
    </row>
    <row r="425" spans="3:9">
      <c r="C425" s="138" t="s">
        <v>731</v>
      </c>
      <c r="D425" s="98"/>
      <c r="E425" s="98"/>
      <c r="F425" s="98"/>
      <c r="G425" s="98"/>
      <c r="H425" s="98"/>
      <c r="I425" s="98"/>
    </row>
    <row r="426" spans="3:9">
      <c r="C426" s="138" t="s">
        <v>102</v>
      </c>
      <c r="D426" s="98"/>
      <c r="E426" s="98"/>
      <c r="F426" s="98"/>
      <c r="G426" s="98"/>
      <c r="H426" s="98"/>
      <c r="I426" s="98"/>
    </row>
    <row r="427" spans="3:9">
      <c r="C427" s="138" t="s">
        <v>384</v>
      </c>
      <c r="D427" s="98"/>
      <c r="E427" s="98"/>
      <c r="F427" s="98"/>
      <c r="G427" s="98"/>
      <c r="H427" s="98"/>
      <c r="I427" s="98"/>
    </row>
    <row r="428" spans="3:9">
      <c r="C428" s="138" t="s">
        <v>539</v>
      </c>
      <c r="D428" s="98"/>
      <c r="E428" s="98"/>
      <c r="F428" s="98"/>
      <c r="G428" s="98"/>
      <c r="H428" s="98"/>
      <c r="I428" s="98"/>
    </row>
    <row r="429" spans="3:9">
      <c r="C429" s="138" t="s">
        <v>1026</v>
      </c>
      <c r="D429" s="98"/>
      <c r="E429" s="98"/>
      <c r="F429" s="98"/>
      <c r="G429" s="98"/>
      <c r="H429" s="98"/>
      <c r="I429" s="98"/>
    </row>
    <row r="430" spans="3:9">
      <c r="C430" s="138" t="s">
        <v>1008</v>
      </c>
      <c r="D430" s="98"/>
      <c r="E430" s="98"/>
      <c r="F430" s="98"/>
      <c r="G430" s="98"/>
      <c r="H430" s="98"/>
      <c r="I430" s="98"/>
    </row>
    <row r="431" spans="3:9">
      <c r="C431" s="138" t="s">
        <v>253</v>
      </c>
      <c r="D431" s="98"/>
      <c r="E431" s="98"/>
      <c r="F431" s="98"/>
      <c r="G431" s="98"/>
      <c r="H431" s="98"/>
      <c r="I431" s="98"/>
    </row>
    <row r="432" spans="3:9">
      <c r="C432" s="138" t="s">
        <v>1065</v>
      </c>
      <c r="D432" s="98"/>
      <c r="E432" s="98"/>
      <c r="F432" s="98"/>
      <c r="G432" s="98"/>
      <c r="H432" s="98"/>
      <c r="I432" s="98"/>
    </row>
    <row r="433" spans="3:9">
      <c r="C433" s="138" t="s">
        <v>527</v>
      </c>
      <c r="D433" s="98"/>
      <c r="E433" s="98"/>
      <c r="F433" s="98"/>
      <c r="G433" s="98"/>
      <c r="H433" s="98"/>
      <c r="I433" s="98"/>
    </row>
    <row r="434" spans="3:9">
      <c r="C434" s="138" t="s">
        <v>350</v>
      </c>
      <c r="D434" s="98"/>
      <c r="E434" s="98"/>
      <c r="F434" s="98"/>
      <c r="G434" s="98"/>
      <c r="H434" s="98"/>
      <c r="I434" s="98"/>
    </row>
    <row r="435" spans="3:9">
      <c r="C435" s="138" t="s">
        <v>415</v>
      </c>
      <c r="D435" s="98"/>
      <c r="E435" s="98"/>
      <c r="F435" s="98"/>
      <c r="G435" s="98"/>
      <c r="H435" s="98"/>
      <c r="I435" s="98"/>
    </row>
    <row r="436" spans="3:9">
      <c r="C436" s="138" t="s">
        <v>758</v>
      </c>
      <c r="D436" s="98"/>
      <c r="E436" s="98"/>
      <c r="F436" s="98"/>
      <c r="G436" s="98"/>
      <c r="H436" s="98"/>
      <c r="I436" s="98"/>
    </row>
    <row r="437" spans="3:9">
      <c r="C437" s="138" t="s">
        <v>1111</v>
      </c>
      <c r="D437" s="98"/>
      <c r="E437" s="98"/>
      <c r="F437" s="98"/>
      <c r="G437" s="98"/>
      <c r="H437" s="98"/>
      <c r="I437" s="98"/>
    </row>
    <row r="438" spans="3:9">
      <c r="C438" s="138" t="s">
        <v>831</v>
      </c>
      <c r="D438" s="98"/>
      <c r="E438" s="98"/>
      <c r="F438" s="98"/>
      <c r="G438" s="98"/>
      <c r="H438" s="98"/>
      <c r="I438" s="98"/>
    </row>
    <row r="439" spans="3:9">
      <c r="C439" s="138" t="s">
        <v>256</v>
      </c>
      <c r="D439" s="98"/>
      <c r="E439" s="98"/>
      <c r="F439" s="98"/>
      <c r="G439" s="98"/>
      <c r="H439" s="98"/>
      <c r="I439" s="98"/>
    </row>
    <row r="440" spans="3:9">
      <c r="C440" s="138" t="s">
        <v>547</v>
      </c>
      <c r="D440" s="98"/>
      <c r="E440" s="98"/>
      <c r="F440" s="98"/>
      <c r="G440" s="98"/>
      <c r="H440" s="98"/>
      <c r="I440" s="98"/>
    </row>
    <row r="441" spans="3:9">
      <c r="C441" s="138" t="s">
        <v>821</v>
      </c>
      <c r="D441" s="98"/>
      <c r="E441" s="98"/>
      <c r="F441" s="98"/>
      <c r="G441" s="98"/>
      <c r="H441" s="98"/>
      <c r="I441" s="98"/>
    </row>
    <row r="442" spans="3:9">
      <c r="C442" s="138" t="s">
        <v>428</v>
      </c>
      <c r="D442" s="98"/>
      <c r="E442" s="98"/>
      <c r="F442" s="98"/>
      <c r="G442" s="98"/>
      <c r="H442" s="98"/>
      <c r="I442" s="98"/>
    </row>
    <row r="443" spans="3:9">
      <c r="C443" s="138" t="s">
        <v>626</v>
      </c>
      <c r="D443" s="98"/>
      <c r="E443" s="98"/>
      <c r="F443" s="98"/>
      <c r="G443" s="98"/>
      <c r="H443" s="98"/>
      <c r="I443" s="98"/>
    </row>
    <row r="444" spans="3:9">
      <c r="C444" s="138" t="s">
        <v>232</v>
      </c>
      <c r="D444" s="98"/>
      <c r="E444" s="98"/>
      <c r="F444" s="98"/>
      <c r="G444" s="98"/>
      <c r="H444" s="98"/>
      <c r="I444" s="98"/>
    </row>
    <row r="445" spans="3:9">
      <c r="C445" s="138" t="s">
        <v>500</v>
      </c>
      <c r="D445" s="98"/>
      <c r="E445" s="98"/>
      <c r="F445" s="98"/>
      <c r="G445" s="98"/>
      <c r="H445" s="98"/>
      <c r="I445" s="98"/>
    </row>
    <row r="446" spans="3:9">
      <c r="C446" s="138" t="s">
        <v>857</v>
      </c>
      <c r="D446" s="98"/>
      <c r="E446" s="98"/>
      <c r="F446" s="98"/>
      <c r="G446" s="98"/>
      <c r="H446" s="98"/>
      <c r="I446" s="98"/>
    </row>
    <row r="447" spans="3:9">
      <c r="C447" s="138" t="s">
        <v>860</v>
      </c>
      <c r="D447" s="98"/>
      <c r="E447" s="98"/>
      <c r="F447" s="98"/>
      <c r="G447" s="98"/>
      <c r="H447" s="98"/>
      <c r="I447" s="98"/>
    </row>
    <row r="448" spans="3:9">
      <c r="C448" s="138" t="s">
        <v>504</v>
      </c>
      <c r="D448" s="98"/>
      <c r="E448" s="98"/>
      <c r="F448" s="98"/>
      <c r="G448" s="98"/>
      <c r="H448" s="98"/>
      <c r="I448" s="98"/>
    </row>
    <row r="449" spans="3:9">
      <c r="C449" s="138" t="s">
        <v>543</v>
      </c>
      <c r="D449" s="98"/>
      <c r="E449" s="98"/>
      <c r="F449" s="98"/>
      <c r="G449" s="98"/>
      <c r="H449" s="98"/>
      <c r="I449" s="98"/>
    </row>
    <row r="450" spans="3:9">
      <c r="C450" s="138" t="s">
        <v>796</v>
      </c>
      <c r="D450" s="98"/>
      <c r="E450" s="98"/>
      <c r="F450" s="98"/>
      <c r="G450" s="98"/>
      <c r="H450" s="98"/>
      <c r="I450" s="98"/>
    </row>
    <row r="451" spans="3:9">
      <c r="C451" s="138" t="s">
        <v>185</v>
      </c>
      <c r="D451" s="98"/>
      <c r="E451" s="98"/>
      <c r="F451" s="98"/>
      <c r="G451" s="98"/>
      <c r="H451" s="98"/>
      <c r="I451" s="98"/>
    </row>
    <row r="452" spans="3:9">
      <c r="C452" s="138" t="s">
        <v>272</v>
      </c>
      <c r="D452" s="98"/>
      <c r="E452" s="98"/>
      <c r="F452" s="98"/>
      <c r="G452" s="98"/>
      <c r="H452" s="98"/>
      <c r="I452" s="98"/>
    </row>
    <row r="453" spans="3:9">
      <c r="C453" s="138" t="s">
        <v>213</v>
      </c>
      <c r="D453" s="98"/>
      <c r="E453" s="98"/>
      <c r="F453" s="98"/>
      <c r="G453" s="98"/>
      <c r="H453" s="98"/>
      <c r="I453" s="98"/>
    </row>
    <row r="454" spans="3:9">
      <c r="C454" s="138" t="s">
        <v>698</v>
      </c>
      <c r="D454" s="98"/>
      <c r="E454" s="98"/>
      <c r="F454" s="98"/>
      <c r="G454" s="98"/>
      <c r="H454" s="98"/>
      <c r="I454" s="98"/>
    </row>
    <row r="455" spans="3:9">
      <c r="C455" s="138" t="s">
        <v>137</v>
      </c>
      <c r="D455" s="98"/>
      <c r="E455" s="98"/>
      <c r="F455" s="98"/>
      <c r="G455" s="98"/>
      <c r="H455" s="98"/>
      <c r="I455" s="98"/>
    </row>
    <row r="456" spans="3:9">
      <c r="C456" s="138" t="s">
        <v>289</v>
      </c>
      <c r="D456" s="98"/>
      <c r="E456" s="98"/>
      <c r="F456" s="98"/>
      <c r="G456" s="98"/>
      <c r="H456" s="98"/>
      <c r="I456" s="98"/>
    </row>
    <row r="457" spans="3:9">
      <c r="C457" s="138" t="s">
        <v>95</v>
      </c>
      <c r="D457" s="98"/>
      <c r="E457" s="98"/>
      <c r="F457" s="98"/>
      <c r="G457" s="98"/>
      <c r="H457" s="98"/>
      <c r="I457" s="98"/>
    </row>
    <row r="458" spans="3:9">
      <c r="C458" s="138" t="s">
        <v>281</v>
      </c>
      <c r="D458" s="98"/>
      <c r="E458" s="98"/>
      <c r="F458" s="98"/>
      <c r="G458" s="98"/>
      <c r="H458" s="98"/>
      <c r="I458" s="98"/>
    </row>
    <row r="459" spans="3:9">
      <c r="C459" s="138" t="s">
        <v>889</v>
      </c>
      <c r="D459" s="98"/>
      <c r="E459" s="98"/>
      <c r="F459" s="98"/>
      <c r="G459" s="98"/>
      <c r="H459" s="98"/>
      <c r="I459" s="98"/>
    </row>
    <row r="460" spans="3:9">
      <c r="C460" s="138" t="s">
        <v>524</v>
      </c>
      <c r="D460" s="98"/>
      <c r="E460" s="98"/>
      <c r="F460" s="98"/>
      <c r="G460" s="98"/>
      <c r="H460" s="98"/>
      <c r="I460" s="98"/>
    </row>
    <row r="461" spans="3:9">
      <c r="C461" s="138" t="s">
        <v>750</v>
      </c>
      <c r="D461" s="98"/>
      <c r="E461" s="98"/>
      <c r="F461" s="98"/>
      <c r="G461" s="98"/>
      <c r="H461" s="98"/>
      <c r="I461" s="98"/>
    </row>
    <row r="462" spans="3:9">
      <c r="C462" s="138" t="s">
        <v>541</v>
      </c>
      <c r="D462" s="98"/>
      <c r="E462" s="98"/>
      <c r="F462" s="98"/>
      <c r="G462" s="98"/>
      <c r="H462" s="98"/>
      <c r="I462" s="98"/>
    </row>
    <row r="463" spans="3:9">
      <c r="C463" s="138" t="s">
        <v>714</v>
      </c>
      <c r="D463" s="98"/>
      <c r="E463" s="98"/>
      <c r="F463" s="98"/>
      <c r="G463" s="98"/>
      <c r="H463" s="98"/>
      <c r="I463" s="98"/>
    </row>
    <row r="464" spans="3:9">
      <c r="C464" s="138" t="s">
        <v>650</v>
      </c>
      <c r="D464" s="98"/>
      <c r="E464" s="98"/>
      <c r="F464" s="98"/>
      <c r="G464" s="98"/>
      <c r="H464" s="98"/>
      <c r="I464" s="98"/>
    </row>
    <row r="465" spans="3:9">
      <c r="C465" s="138" t="s">
        <v>90</v>
      </c>
      <c r="D465" s="98"/>
      <c r="E465" s="98"/>
      <c r="F465" s="98"/>
      <c r="G465" s="98"/>
      <c r="H465" s="98"/>
      <c r="I465" s="98"/>
    </row>
    <row r="466" spans="3:9">
      <c r="C466" s="138" t="s">
        <v>759</v>
      </c>
      <c r="D466" s="98"/>
      <c r="E466" s="98"/>
      <c r="F466" s="98"/>
      <c r="G466" s="98"/>
      <c r="H466" s="98"/>
      <c r="I466" s="98"/>
    </row>
    <row r="467" spans="3:9">
      <c r="C467" s="138" t="s">
        <v>574</v>
      </c>
      <c r="D467" s="98"/>
      <c r="E467" s="98"/>
      <c r="F467" s="98"/>
      <c r="G467" s="98"/>
      <c r="H467" s="98"/>
      <c r="I467" s="98"/>
    </row>
    <row r="468" spans="3:9">
      <c r="C468" s="138" t="s">
        <v>310</v>
      </c>
      <c r="D468" s="98"/>
      <c r="E468" s="98"/>
      <c r="F468" s="98"/>
      <c r="G468" s="98"/>
      <c r="H468" s="98"/>
      <c r="I468" s="98"/>
    </row>
    <row r="469" spans="3:9">
      <c r="C469" s="138" t="s">
        <v>848</v>
      </c>
      <c r="D469" s="98"/>
      <c r="E469" s="98"/>
      <c r="F469" s="98"/>
      <c r="G469" s="98"/>
      <c r="H469" s="98"/>
      <c r="I469" s="98"/>
    </row>
    <row r="470" spans="3:9">
      <c r="C470" s="138" t="s">
        <v>709</v>
      </c>
      <c r="D470" s="98"/>
      <c r="E470" s="98"/>
      <c r="F470" s="98"/>
      <c r="G470" s="98"/>
      <c r="H470" s="98"/>
      <c r="I470" s="98"/>
    </row>
    <row r="471" spans="3:9">
      <c r="C471" s="138" t="s">
        <v>149</v>
      </c>
      <c r="D471" s="98"/>
      <c r="E471" s="98"/>
      <c r="F471" s="98"/>
      <c r="G471" s="98"/>
      <c r="H471" s="98"/>
      <c r="I471" s="98"/>
    </row>
    <row r="472" spans="3:9">
      <c r="C472" s="138" t="s">
        <v>419</v>
      </c>
      <c r="D472" s="98"/>
      <c r="E472" s="98"/>
      <c r="F472" s="98"/>
      <c r="G472" s="98"/>
      <c r="H472" s="98"/>
      <c r="I472" s="98"/>
    </row>
    <row r="473" spans="3:9">
      <c r="C473" s="138" t="s">
        <v>746</v>
      </c>
      <c r="D473" s="98"/>
      <c r="E473" s="98"/>
      <c r="F473" s="98"/>
      <c r="G473" s="98"/>
      <c r="H473" s="98"/>
      <c r="I473" s="98"/>
    </row>
    <row r="474" spans="3:9">
      <c r="C474" s="138" t="s">
        <v>939</v>
      </c>
      <c r="D474" s="98"/>
      <c r="E474" s="98"/>
      <c r="F474" s="98"/>
      <c r="G474" s="98"/>
      <c r="H474" s="98"/>
      <c r="I474" s="98"/>
    </row>
    <row r="475" spans="3:9">
      <c r="C475" s="138" t="s">
        <v>383</v>
      </c>
      <c r="D475" s="98"/>
      <c r="E475" s="98"/>
      <c r="F475" s="98"/>
      <c r="G475" s="98"/>
      <c r="H475" s="98"/>
      <c r="I475" s="98"/>
    </row>
    <row r="476" spans="3:9">
      <c r="C476" s="138" t="s">
        <v>174</v>
      </c>
      <c r="D476" s="98"/>
      <c r="E476" s="98"/>
      <c r="F476" s="98"/>
      <c r="G476" s="98"/>
      <c r="H476" s="98"/>
      <c r="I476" s="98"/>
    </row>
    <row r="477" spans="3:9">
      <c r="C477" s="138" t="s">
        <v>530</v>
      </c>
      <c r="D477" s="98"/>
      <c r="E477" s="98"/>
      <c r="F477" s="98"/>
      <c r="G477" s="98"/>
      <c r="H477" s="98"/>
      <c r="I477" s="98"/>
    </row>
    <row r="478" spans="3:9">
      <c r="C478" s="138" t="s">
        <v>768</v>
      </c>
      <c r="D478" s="98"/>
      <c r="E478" s="98"/>
      <c r="F478" s="98"/>
      <c r="G478" s="98"/>
      <c r="H478" s="98"/>
      <c r="I478" s="98"/>
    </row>
    <row r="479" spans="3:9">
      <c r="C479" s="138" t="s">
        <v>342</v>
      </c>
      <c r="D479" s="98"/>
      <c r="E479" s="98"/>
      <c r="F479" s="98"/>
      <c r="G479" s="98"/>
      <c r="H479" s="98"/>
      <c r="I479" s="98"/>
    </row>
    <row r="480" spans="3:9">
      <c r="C480" s="138" t="s">
        <v>114</v>
      </c>
      <c r="D480" s="98"/>
      <c r="E480" s="98"/>
      <c r="F480" s="98"/>
      <c r="G480" s="98"/>
      <c r="H480" s="98"/>
      <c r="I480" s="98"/>
    </row>
    <row r="481" spans="3:9">
      <c r="C481" s="138" t="s">
        <v>678</v>
      </c>
      <c r="D481" s="98"/>
      <c r="E481" s="98"/>
      <c r="F481" s="98"/>
      <c r="G481" s="98"/>
      <c r="H481" s="98"/>
      <c r="I481" s="98"/>
    </row>
    <row r="482" spans="3:9">
      <c r="C482" s="138" t="s">
        <v>372</v>
      </c>
      <c r="D482" s="98"/>
      <c r="E482" s="98"/>
      <c r="F482" s="98"/>
      <c r="G482" s="98"/>
      <c r="H482" s="98"/>
      <c r="I482" s="98"/>
    </row>
    <row r="483" spans="3:9">
      <c r="C483" s="138" t="s">
        <v>240</v>
      </c>
      <c r="D483" s="98"/>
      <c r="E483" s="98"/>
      <c r="F483" s="98"/>
      <c r="G483" s="98"/>
      <c r="H483" s="98"/>
      <c r="I483" s="98"/>
    </row>
    <row r="484" spans="3:9">
      <c r="C484" s="138" t="s">
        <v>129</v>
      </c>
      <c r="D484" s="98"/>
      <c r="E484" s="98"/>
      <c r="F484" s="98"/>
      <c r="G484" s="98"/>
      <c r="H484" s="98"/>
      <c r="I484" s="98"/>
    </row>
    <row r="485" spans="3:9">
      <c r="C485" s="138" t="s">
        <v>1013</v>
      </c>
      <c r="D485" s="98"/>
      <c r="E485" s="98"/>
      <c r="F485" s="98"/>
      <c r="G485" s="98"/>
      <c r="H485" s="98"/>
      <c r="I485" s="98"/>
    </row>
    <row r="486" spans="3:9">
      <c r="C486" s="138" t="s">
        <v>559</v>
      </c>
      <c r="D486" s="98"/>
      <c r="E486" s="98"/>
      <c r="F486" s="98"/>
      <c r="G486" s="98"/>
      <c r="H486" s="98"/>
      <c r="I486" s="98"/>
    </row>
    <row r="487" spans="3:9">
      <c r="C487" s="138" t="s">
        <v>982</v>
      </c>
      <c r="D487" s="98"/>
      <c r="E487" s="98"/>
      <c r="F487" s="98"/>
      <c r="G487" s="98"/>
      <c r="H487" s="98"/>
      <c r="I487" s="98"/>
    </row>
    <row r="488" spans="3:9">
      <c r="C488" s="138" t="s">
        <v>226</v>
      </c>
      <c r="D488" s="98"/>
      <c r="E488" s="98"/>
      <c r="F488" s="98"/>
      <c r="G488" s="98"/>
      <c r="H488" s="98"/>
      <c r="I488" s="98"/>
    </row>
    <row r="489" spans="3:9">
      <c r="C489" s="138" t="s">
        <v>907</v>
      </c>
      <c r="D489" s="98"/>
      <c r="E489" s="98"/>
      <c r="F489" s="98"/>
      <c r="G489" s="98"/>
      <c r="H489" s="98"/>
      <c r="I489" s="98"/>
    </row>
    <row r="490" spans="3:9">
      <c r="C490" s="138" t="s">
        <v>1098</v>
      </c>
      <c r="D490" s="98"/>
      <c r="E490" s="98"/>
      <c r="F490" s="98"/>
      <c r="G490" s="98"/>
      <c r="H490" s="98"/>
      <c r="I490" s="98"/>
    </row>
    <row r="491" spans="3:9">
      <c r="C491" s="138" t="s">
        <v>455</v>
      </c>
      <c r="D491" s="98"/>
      <c r="E491" s="98"/>
      <c r="F491" s="98"/>
      <c r="G491" s="98"/>
      <c r="H491" s="98"/>
      <c r="I491" s="98"/>
    </row>
    <row r="492" spans="3:9">
      <c r="C492" s="138" t="s">
        <v>885</v>
      </c>
      <c r="D492" s="98"/>
      <c r="E492" s="98"/>
      <c r="F492" s="98"/>
      <c r="G492" s="98"/>
      <c r="H492" s="98"/>
      <c r="I492" s="98"/>
    </row>
    <row r="493" spans="3:9">
      <c r="C493" s="138" t="s">
        <v>458</v>
      </c>
      <c r="D493" s="98"/>
      <c r="E493" s="98"/>
      <c r="F493" s="98"/>
      <c r="G493" s="98"/>
      <c r="H493" s="98"/>
      <c r="I493" s="98"/>
    </row>
    <row r="494" spans="3:9">
      <c r="C494" s="138" t="s">
        <v>470</v>
      </c>
      <c r="D494" s="98"/>
      <c r="E494" s="98"/>
      <c r="F494" s="98"/>
      <c r="G494" s="98"/>
      <c r="H494" s="98"/>
      <c r="I494" s="98"/>
    </row>
    <row r="495" spans="3:9">
      <c r="C495" s="138" t="s">
        <v>492</v>
      </c>
      <c r="D495" s="98"/>
      <c r="E495" s="98"/>
      <c r="F495" s="98"/>
      <c r="G495" s="98"/>
      <c r="H495" s="98"/>
      <c r="I495" s="98"/>
    </row>
    <row r="496" spans="3:9">
      <c r="C496" s="138" t="s">
        <v>1029</v>
      </c>
      <c r="D496" s="98"/>
      <c r="E496" s="98"/>
      <c r="F496" s="98"/>
      <c r="G496" s="98"/>
      <c r="H496" s="98"/>
      <c r="I496" s="98"/>
    </row>
    <row r="497" spans="3:9">
      <c r="C497" s="138" t="s">
        <v>874</v>
      </c>
      <c r="D497" s="98"/>
      <c r="E497" s="98"/>
      <c r="F497" s="98"/>
      <c r="G497" s="98"/>
      <c r="H497" s="98"/>
      <c r="I497" s="98"/>
    </row>
    <row r="498" spans="3:9">
      <c r="C498" s="138" t="s">
        <v>274</v>
      </c>
      <c r="D498" s="98"/>
      <c r="E498" s="98"/>
      <c r="F498" s="98"/>
      <c r="G498" s="98"/>
      <c r="H498" s="98"/>
      <c r="I498" s="98"/>
    </row>
    <row r="499" spans="3:9">
      <c r="C499" s="138" t="s">
        <v>674</v>
      </c>
      <c r="D499" s="98"/>
      <c r="E499" s="98"/>
      <c r="F499" s="98"/>
      <c r="G499" s="98"/>
      <c r="H499" s="98"/>
      <c r="I499" s="98"/>
    </row>
    <row r="500" spans="3:9">
      <c r="C500" s="138" t="s">
        <v>251</v>
      </c>
      <c r="D500" s="98"/>
      <c r="E500" s="98"/>
      <c r="F500" s="98"/>
      <c r="G500" s="98"/>
      <c r="H500" s="98"/>
      <c r="I500" s="98"/>
    </row>
    <row r="501" spans="3:9">
      <c r="C501" s="138" t="s">
        <v>122</v>
      </c>
      <c r="D501" s="98"/>
      <c r="E501" s="98"/>
      <c r="F501" s="98"/>
      <c r="G501" s="98"/>
      <c r="H501" s="98"/>
      <c r="I501" s="98"/>
    </row>
    <row r="502" spans="3:9">
      <c r="C502" s="138" t="s">
        <v>223</v>
      </c>
      <c r="D502" s="98"/>
      <c r="E502" s="98"/>
      <c r="F502" s="98"/>
      <c r="G502" s="98"/>
      <c r="H502" s="98"/>
      <c r="I502" s="98"/>
    </row>
    <row r="503" spans="3:9">
      <c r="C503" s="138" t="s">
        <v>278</v>
      </c>
      <c r="D503" s="98"/>
      <c r="E503" s="98"/>
      <c r="F503" s="98"/>
      <c r="G503" s="98"/>
      <c r="H503" s="98"/>
      <c r="I503" s="98"/>
    </row>
    <row r="504" spans="3:9">
      <c r="C504" s="138" t="s">
        <v>533</v>
      </c>
      <c r="D504" s="98"/>
      <c r="E504" s="98"/>
      <c r="F504" s="98"/>
      <c r="G504" s="98"/>
      <c r="H504" s="98"/>
      <c r="I504" s="98"/>
    </row>
    <row r="505" spans="3:9">
      <c r="C505" s="138" t="s">
        <v>561</v>
      </c>
      <c r="D505" s="98"/>
      <c r="E505" s="98"/>
      <c r="F505" s="98"/>
      <c r="G505" s="98"/>
      <c r="H505" s="98"/>
      <c r="I505" s="98"/>
    </row>
    <row r="506" spans="3:9">
      <c r="C506" s="138" t="s">
        <v>462</v>
      </c>
      <c r="D506" s="98"/>
      <c r="E506" s="98"/>
      <c r="F506" s="98"/>
      <c r="G506" s="98"/>
      <c r="H506" s="98"/>
      <c r="I506" s="98"/>
    </row>
    <row r="507" spans="3:9">
      <c r="C507" s="138" t="s">
        <v>173</v>
      </c>
      <c r="D507" s="98"/>
      <c r="E507" s="98"/>
      <c r="F507" s="98"/>
      <c r="G507" s="98"/>
      <c r="H507" s="98"/>
      <c r="I507" s="98"/>
    </row>
    <row r="508" spans="3:9">
      <c r="C508" s="138" t="s">
        <v>1001</v>
      </c>
      <c r="D508" s="98"/>
      <c r="E508" s="98"/>
      <c r="F508" s="98"/>
      <c r="G508" s="98"/>
      <c r="H508" s="98"/>
      <c r="I508" s="98"/>
    </row>
    <row r="509" spans="3:9">
      <c r="C509" s="138" t="s">
        <v>456</v>
      </c>
      <c r="D509" s="98"/>
      <c r="E509" s="98"/>
      <c r="F509" s="98"/>
      <c r="G509" s="98"/>
      <c r="H509" s="98"/>
      <c r="I509" s="98"/>
    </row>
    <row r="510" spans="3:9">
      <c r="C510" s="138" t="s">
        <v>215</v>
      </c>
      <c r="D510" s="98"/>
      <c r="E510" s="98"/>
      <c r="F510" s="98"/>
      <c r="G510" s="98"/>
      <c r="H510" s="98"/>
      <c r="I510" s="98"/>
    </row>
    <row r="511" spans="3:9">
      <c r="C511" s="138" t="s">
        <v>353</v>
      </c>
      <c r="D511" s="98"/>
      <c r="E511" s="98"/>
      <c r="F511" s="98"/>
      <c r="G511" s="98"/>
      <c r="H511" s="98"/>
      <c r="I511" s="98"/>
    </row>
    <row r="512" spans="3:9">
      <c r="C512" s="138" t="s">
        <v>589</v>
      </c>
      <c r="D512" s="98"/>
      <c r="E512" s="98"/>
      <c r="F512" s="98"/>
      <c r="G512" s="98"/>
      <c r="H512" s="98"/>
      <c r="I512" s="98"/>
    </row>
    <row r="513" spans="3:9">
      <c r="C513" s="138" t="s">
        <v>439</v>
      </c>
      <c r="D513" s="98"/>
      <c r="E513" s="98"/>
      <c r="F513" s="98"/>
      <c r="G513" s="98"/>
      <c r="H513" s="98"/>
      <c r="I513" s="98"/>
    </row>
    <row r="514" spans="3:9">
      <c r="C514" s="138" t="s">
        <v>702</v>
      </c>
      <c r="D514" s="98"/>
      <c r="E514" s="98"/>
      <c r="F514" s="98"/>
      <c r="G514" s="98"/>
      <c r="H514" s="98"/>
      <c r="I514" s="98"/>
    </row>
    <row r="515" spans="3:9">
      <c r="C515" s="138" t="s">
        <v>549</v>
      </c>
      <c r="D515" s="98"/>
      <c r="E515" s="98"/>
      <c r="F515" s="98"/>
      <c r="G515" s="98"/>
      <c r="H515" s="98"/>
      <c r="I515" s="98"/>
    </row>
    <row r="516" spans="3:9">
      <c r="C516" s="138" t="s">
        <v>445</v>
      </c>
      <c r="D516" s="98"/>
      <c r="E516" s="98"/>
      <c r="F516" s="98"/>
      <c r="G516" s="98"/>
      <c r="H516" s="98"/>
      <c r="I516" s="98"/>
    </row>
    <row r="517" spans="3:9">
      <c r="C517" s="138" t="s">
        <v>430</v>
      </c>
      <c r="D517" s="98"/>
      <c r="E517" s="98"/>
      <c r="F517" s="98"/>
      <c r="G517" s="98"/>
      <c r="H517" s="98"/>
      <c r="I517" s="98"/>
    </row>
    <row r="518" spans="3:9">
      <c r="C518" s="138" t="s">
        <v>1043</v>
      </c>
      <c r="D518" s="98"/>
      <c r="E518" s="98"/>
      <c r="F518" s="98"/>
      <c r="G518" s="98"/>
      <c r="H518" s="98"/>
      <c r="I518" s="98"/>
    </row>
    <row r="519" spans="3:9">
      <c r="C519" s="138" t="s">
        <v>508</v>
      </c>
      <c r="D519" s="98"/>
      <c r="E519" s="98"/>
      <c r="F519" s="98"/>
      <c r="G519" s="98"/>
      <c r="H519" s="98"/>
      <c r="I519" s="98"/>
    </row>
    <row r="520" spans="3:9">
      <c r="C520" s="138" t="s">
        <v>486</v>
      </c>
      <c r="D520" s="98"/>
      <c r="E520" s="98"/>
      <c r="F520" s="98"/>
      <c r="G520" s="98"/>
      <c r="H520" s="98"/>
      <c r="I520" s="98"/>
    </row>
    <row r="521" spans="3:9">
      <c r="C521" s="138" t="s">
        <v>168</v>
      </c>
      <c r="D521" s="98"/>
      <c r="E521" s="98"/>
      <c r="F521" s="98"/>
      <c r="G521" s="98"/>
      <c r="H521" s="98"/>
      <c r="I521" s="98"/>
    </row>
    <row r="522" spans="3:9">
      <c r="C522" s="138" t="s">
        <v>793</v>
      </c>
      <c r="D522" s="98"/>
      <c r="E522" s="98"/>
      <c r="F522" s="98"/>
      <c r="G522" s="98"/>
      <c r="H522" s="98"/>
      <c r="I522" s="98"/>
    </row>
    <row r="523" spans="3:9">
      <c r="C523" s="138" t="s">
        <v>505</v>
      </c>
      <c r="D523" s="98"/>
      <c r="E523" s="98"/>
      <c r="F523" s="98"/>
      <c r="G523" s="98"/>
      <c r="H523" s="98"/>
      <c r="I523" s="98"/>
    </row>
    <row r="524" spans="3:9">
      <c r="C524" s="138" t="s">
        <v>1091</v>
      </c>
      <c r="D524" s="98"/>
      <c r="E524" s="98"/>
      <c r="F524" s="98"/>
      <c r="G524" s="98"/>
      <c r="H524" s="98"/>
      <c r="I524" s="98"/>
    </row>
    <row r="525" spans="3:9">
      <c r="C525" s="138" t="s">
        <v>105</v>
      </c>
      <c r="D525" s="98"/>
      <c r="E525" s="98"/>
      <c r="F525" s="98"/>
      <c r="G525" s="98"/>
      <c r="H525" s="98"/>
      <c r="I525" s="98"/>
    </row>
    <row r="526" spans="3:9">
      <c r="C526" s="138" t="s">
        <v>999</v>
      </c>
      <c r="D526" s="98"/>
      <c r="E526" s="98"/>
      <c r="F526" s="98"/>
      <c r="G526" s="98"/>
      <c r="H526" s="98"/>
      <c r="I526" s="98"/>
    </row>
    <row r="527" spans="3:9">
      <c r="C527" s="138" t="s">
        <v>480</v>
      </c>
      <c r="D527" s="98"/>
      <c r="E527" s="98"/>
      <c r="F527" s="98"/>
      <c r="G527" s="98"/>
      <c r="H527" s="98"/>
      <c r="I527" s="98"/>
    </row>
    <row r="528" spans="3:9">
      <c r="C528" s="138" t="s">
        <v>1102</v>
      </c>
      <c r="D528" s="98"/>
      <c r="E528" s="98"/>
      <c r="F528" s="98"/>
      <c r="G528" s="98"/>
      <c r="H528" s="98"/>
      <c r="I528" s="98"/>
    </row>
    <row r="529" spans="3:9">
      <c r="C529" s="138" t="s">
        <v>583</v>
      </c>
      <c r="D529" s="98"/>
      <c r="E529" s="98"/>
      <c r="F529" s="98"/>
      <c r="G529" s="98"/>
      <c r="H529" s="98"/>
      <c r="I529" s="98"/>
    </row>
    <row r="530" spans="3:9">
      <c r="C530" s="138" t="s">
        <v>517</v>
      </c>
      <c r="D530" s="98"/>
      <c r="E530" s="98"/>
      <c r="F530" s="98"/>
      <c r="G530" s="98"/>
      <c r="H530" s="98"/>
      <c r="I530" s="98"/>
    </row>
    <row r="531" spans="3:9">
      <c r="C531" s="138" t="s">
        <v>301</v>
      </c>
      <c r="D531" s="98"/>
      <c r="E531" s="98"/>
      <c r="F531" s="98"/>
      <c r="G531" s="98"/>
      <c r="H531" s="98"/>
      <c r="I531" s="98"/>
    </row>
    <row r="532" spans="3:9">
      <c r="C532" s="138" t="s">
        <v>914</v>
      </c>
      <c r="D532" s="98"/>
      <c r="E532" s="98"/>
      <c r="F532" s="98"/>
      <c r="G532" s="98"/>
      <c r="H532" s="98"/>
      <c r="I532" s="98"/>
    </row>
    <row r="533" spans="3:9">
      <c r="C533" s="138" t="s">
        <v>797</v>
      </c>
      <c r="D533" s="98"/>
      <c r="E533" s="98"/>
      <c r="F533" s="98"/>
      <c r="G533" s="98"/>
      <c r="H533" s="98"/>
      <c r="I533" s="98"/>
    </row>
    <row r="534" spans="3:9">
      <c r="C534" s="138" t="s">
        <v>136</v>
      </c>
      <c r="D534" s="98"/>
      <c r="E534" s="98"/>
      <c r="F534" s="98"/>
      <c r="G534" s="98"/>
      <c r="H534" s="98"/>
      <c r="I534" s="98"/>
    </row>
    <row r="535" spans="3:9">
      <c r="C535" s="138" t="s">
        <v>391</v>
      </c>
      <c r="D535" s="98"/>
      <c r="E535" s="98"/>
      <c r="F535" s="98"/>
      <c r="G535" s="98"/>
      <c r="H535" s="98"/>
      <c r="I535" s="98"/>
    </row>
    <row r="536" spans="3:9">
      <c r="C536" s="138" t="s">
        <v>206</v>
      </c>
      <c r="D536" s="98"/>
      <c r="E536" s="98"/>
      <c r="F536" s="98"/>
      <c r="G536" s="98"/>
      <c r="H536" s="98"/>
      <c r="I536" s="98"/>
    </row>
    <row r="537" spans="3:9">
      <c r="C537" s="138" t="s">
        <v>898</v>
      </c>
      <c r="D537" s="98"/>
      <c r="E537" s="98"/>
      <c r="F537" s="98"/>
      <c r="G537" s="98"/>
      <c r="H537" s="98"/>
      <c r="I537" s="98"/>
    </row>
    <row r="538" spans="3:9">
      <c r="C538" s="138" t="s">
        <v>1012</v>
      </c>
      <c r="D538" s="98"/>
      <c r="E538" s="98"/>
      <c r="F538" s="98"/>
      <c r="G538" s="98"/>
      <c r="H538" s="98"/>
      <c r="I538" s="98"/>
    </row>
    <row r="539" spans="3:9">
      <c r="C539" s="138" t="s">
        <v>425</v>
      </c>
      <c r="D539" s="98"/>
      <c r="E539" s="98"/>
      <c r="F539" s="98"/>
      <c r="G539" s="98"/>
      <c r="H539" s="98"/>
      <c r="I539" s="98"/>
    </row>
    <row r="540" spans="3:9">
      <c r="C540" s="138" t="s">
        <v>1050</v>
      </c>
      <c r="D540" s="98"/>
      <c r="E540" s="98"/>
      <c r="F540" s="98"/>
      <c r="G540" s="98"/>
      <c r="H540" s="98"/>
      <c r="I540" s="98"/>
    </row>
    <row r="541" spans="3:9">
      <c r="C541" s="138" t="s">
        <v>867</v>
      </c>
      <c r="D541" s="98"/>
      <c r="E541" s="98"/>
      <c r="F541" s="98"/>
      <c r="G541" s="98"/>
      <c r="H541" s="98"/>
      <c r="I541" s="98"/>
    </row>
    <row r="542" spans="3:9">
      <c r="C542" s="138" t="s">
        <v>582</v>
      </c>
      <c r="D542" s="98"/>
      <c r="E542" s="98"/>
      <c r="F542" s="98"/>
      <c r="G542" s="98"/>
      <c r="H542" s="98"/>
      <c r="I542" s="98"/>
    </row>
    <row r="543" spans="3:9">
      <c r="C543" s="138" t="s">
        <v>203</v>
      </c>
      <c r="D543" s="98"/>
      <c r="E543" s="98"/>
      <c r="F543" s="98"/>
      <c r="G543" s="98"/>
      <c r="H543" s="98"/>
      <c r="I543" s="98"/>
    </row>
    <row r="544" spans="3:9">
      <c r="C544" s="138" t="s">
        <v>1071</v>
      </c>
      <c r="D544" s="98"/>
      <c r="E544" s="98"/>
      <c r="F544" s="98"/>
      <c r="G544" s="98"/>
      <c r="H544" s="98"/>
      <c r="I544" s="98"/>
    </row>
    <row r="545" spans="3:9">
      <c r="C545" s="138" t="s">
        <v>354</v>
      </c>
      <c r="D545" s="98"/>
      <c r="E545" s="98"/>
      <c r="F545" s="98"/>
      <c r="G545" s="98"/>
      <c r="H545" s="98"/>
      <c r="I545" s="98"/>
    </row>
    <row r="546" spans="3:9">
      <c r="C546" s="138" t="s">
        <v>401</v>
      </c>
      <c r="D546" s="98"/>
      <c r="E546" s="98"/>
      <c r="F546" s="98"/>
      <c r="G546" s="98"/>
      <c r="H546" s="98"/>
      <c r="I546" s="98"/>
    </row>
    <row r="547" spans="3:9">
      <c r="C547" s="138" t="s">
        <v>453</v>
      </c>
      <c r="D547" s="98"/>
      <c r="E547" s="98"/>
      <c r="F547" s="98"/>
      <c r="G547" s="98"/>
      <c r="H547" s="98"/>
      <c r="I547" s="98"/>
    </row>
    <row r="548" spans="3:9">
      <c r="C548" s="138" t="s">
        <v>663</v>
      </c>
      <c r="D548" s="98"/>
      <c r="E548" s="98"/>
      <c r="F548" s="98"/>
      <c r="G548" s="98"/>
      <c r="H548" s="98"/>
      <c r="I548" s="98"/>
    </row>
    <row r="549" spans="3:9">
      <c r="C549" s="138" t="s">
        <v>291</v>
      </c>
      <c r="D549" s="98"/>
      <c r="E549" s="98"/>
      <c r="F549" s="98"/>
      <c r="G549" s="98"/>
      <c r="H549" s="98"/>
      <c r="I549" s="98"/>
    </row>
    <row r="550" spans="3:9">
      <c r="C550" s="138" t="s">
        <v>802</v>
      </c>
      <c r="D550" s="98"/>
      <c r="E550" s="98"/>
      <c r="F550" s="98"/>
      <c r="G550" s="98"/>
      <c r="H550" s="98"/>
      <c r="I550" s="98"/>
    </row>
    <row r="551" spans="3:9">
      <c r="C551" s="138" t="s">
        <v>1027</v>
      </c>
      <c r="D551" s="98"/>
      <c r="E551" s="98"/>
      <c r="F551" s="98"/>
      <c r="G551" s="98"/>
      <c r="H551" s="98"/>
      <c r="I551" s="98"/>
    </row>
    <row r="552" spans="3:9">
      <c r="C552" s="138" t="s">
        <v>946</v>
      </c>
      <c r="D552" s="98"/>
      <c r="E552" s="98"/>
      <c r="F552" s="98"/>
      <c r="G552" s="98"/>
      <c r="H552" s="98"/>
      <c r="I552" s="98"/>
    </row>
    <row r="553" spans="3:9">
      <c r="C553" s="138" t="s">
        <v>1023</v>
      </c>
      <c r="D553" s="98"/>
      <c r="E553" s="98"/>
      <c r="F553" s="98"/>
      <c r="G553" s="98"/>
      <c r="H553" s="98"/>
      <c r="I553" s="98"/>
    </row>
    <row r="554" spans="3:9">
      <c r="C554" s="138" t="s">
        <v>135</v>
      </c>
      <c r="D554" s="98"/>
      <c r="E554" s="98"/>
      <c r="F554" s="98"/>
      <c r="G554" s="98"/>
      <c r="H554" s="98"/>
      <c r="I554" s="98"/>
    </row>
    <row r="555" spans="3:9">
      <c r="C555" s="138" t="s">
        <v>959</v>
      </c>
      <c r="D555" s="98"/>
      <c r="E555" s="98"/>
      <c r="F555" s="98"/>
      <c r="G555" s="98"/>
      <c r="H555" s="98"/>
      <c r="I555" s="98"/>
    </row>
    <row r="556" spans="3:9">
      <c r="C556" s="138" t="s">
        <v>696</v>
      </c>
      <c r="D556" s="98"/>
      <c r="E556" s="98"/>
      <c r="F556" s="98"/>
      <c r="G556" s="98"/>
      <c r="H556" s="98"/>
      <c r="I556" s="98"/>
    </row>
    <row r="557" spans="3:9">
      <c r="C557" s="138" t="s">
        <v>371</v>
      </c>
      <c r="D557" s="98"/>
      <c r="E557" s="98"/>
      <c r="F557" s="98"/>
      <c r="G557" s="98"/>
      <c r="H557" s="98"/>
      <c r="I557" s="98"/>
    </row>
    <row r="558" spans="3:9">
      <c r="C558" s="138" t="s">
        <v>365</v>
      </c>
      <c r="D558" s="98"/>
      <c r="E558" s="98"/>
      <c r="F558" s="98"/>
      <c r="G558" s="98"/>
      <c r="H558" s="98"/>
      <c r="I558" s="98"/>
    </row>
    <row r="559" spans="3:9">
      <c r="C559" s="138" t="s">
        <v>351</v>
      </c>
      <c r="D559" s="98"/>
      <c r="E559" s="98"/>
      <c r="F559" s="98"/>
      <c r="G559" s="98"/>
      <c r="H559" s="98"/>
      <c r="I559" s="98"/>
    </row>
    <row r="560" spans="3:9">
      <c r="C560" s="138" t="s">
        <v>147</v>
      </c>
      <c r="D560" s="98"/>
      <c r="E560" s="98"/>
      <c r="F560" s="98"/>
      <c r="G560" s="98"/>
      <c r="H560" s="98"/>
      <c r="I560" s="98"/>
    </row>
    <row r="561" spans="3:9">
      <c r="C561" s="138" t="s">
        <v>776</v>
      </c>
      <c r="D561" s="98"/>
      <c r="E561" s="98"/>
      <c r="F561" s="98"/>
      <c r="G561" s="98"/>
      <c r="H561" s="98"/>
      <c r="I561" s="98"/>
    </row>
    <row r="562" spans="3:9">
      <c r="C562" s="138" t="s">
        <v>773</v>
      </c>
      <c r="D562" s="98"/>
      <c r="E562" s="98"/>
      <c r="F562" s="98"/>
      <c r="G562" s="98"/>
      <c r="H562" s="98"/>
      <c r="I562" s="98"/>
    </row>
    <row r="563" spans="3:9">
      <c r="C563" s="138" t="s">
        <v>662</v>
      </c>
      <c r="D563" s="98"/>
      <c r="E563" s="98"/>
      <c r="F563" s="98"/>
      <c r="G563" s="98"/>
      <c r="H563" s="98"/>
      <c r="I563" s="98"/>
    </row>
    <row r="564" spans="3:9">
      <c r="C564" s="138" t="s">
        <v>318</v>
      </c>
      <c r="D564" s="98"/>
      <c r="E564" s="98"/>
      <c r="F564" s="98"/>
      <c r="G564" s="98"/>
      <c r="H564" s="98"/>
      <c r="I564" s="98"/>
    </row>
    <row r="565" spans="3:9">
      <c r="C565" s="138" t="s">
        <v>366</v>
      </c>
      <c r="D565" s="98"/>
      <c r="E565" s="98"/>
      <c r="F565" s="98"/>
      <c r="G565" s="98"/>
      <c r="H565" s="98"/>
      <c r="I565" s="98"/>
    </row>
    <row r="566" spans="3:9">
      <c r="C566" s="138" t="s">
        <v>948</v>
      </c>
      <c r="D566" s="98"/>
      <c r="E566" s="98"/>
      <c r="F566" s="98"/>
      <c r="G566" s="98"/>
      <c r="H566" s="98"/>
      <c r="I566" s="98"/>
    </row>
    <row r="567" spans="3:9">
      <c r="C567" s="138" t="s">
        <v>224</v>
      </c>
      <c r="D567" s="98"/>
      <c r="E567" s="98"/>
      <c r="F567" s="98"/>
      <c r="G567" s="98"/>
      <c r="H567" s="98"/>
      <c r="I567" s="98"/>
    </row>
    <row r="568" spans="3:9">
      <c r="C568" s="138" t="s">
        <v>201</v>
      </c>
      <c r="D568" s="98"/>
      <c r="E568" s="98"/>
      <c r="F568" s="98"/>
      <c r="G568" s="98"/>
      <c r="H568" s="98"/>
      <c r="I568" s="98"/>
    </row>
    <row r="569" spans="3:9">
      <c r="C569" s="138" t="s">
        <v>123</v>
      </c>
      <c r="D569" s="98"/>
      <c r="E569" s="98"/>
      <c r="F569" s="98"/>
      <c r="G569" s="98"/>
      <c r="H569" s="98"/>
      <c r="I569" s="98"/>
    </row>
    <row r="570" spans="3:9">
      <c r="C570" s="138" t="s">
        <v>754</v>
      </c>
      <c r="D570" s="98"/>
      <c r="E570" s="98"/>
      <c r="F570" s="98"/>
      <c r="G570" s="98"/>
      <c r="H570" s="98"/>
      <c r="I570" s="98"/>
    </row>
    <row r="571" spans="3:9">
      <c r="C571" s="138" t="s">
        <v>716</v>
      </c>
      <c r="D571" s="98"/>
      <c r="E571" s="98"/>
      <c r="F571" s="98"/>
      <c r="G571" s="98"/>
      <c r="H571" s="98"/>
      <c r="I571" s="98"/>
    </row>
    <row r="572" spans="3:9">
      <c r="C572" s="138" t="s">
        <v>1115</v>
      </c>
      <c r="D572" s="98"/>
      <c r="E572" s="98"/>
      <c r="F572" s="98"/>
      <c r="G572" s="98"/>
      <c r="H572" s="98"/>
      <c r="I572" s="98"/>
    </row>
    <row r="573" spans="3:9">
      <c r="C573" s="138" t="s">
        <v>684</v>
      </c>
      <c r="D573" s="98"/>
      <c r="E573" s="98"/>
      <c r="F573" s="98"/>
      <c r="G573" s="98"/>
      <c r="H573" s="98"/>
      <c r="I573" s="98"/>
    </row>
    <row r="574" spans="3:9">
      <c r="C574" s="138" t="s">
        <v>1120</v>
      </c>
      <c r="D574" s="98"/>
      <c r="E574" s="98"/>
      <c r="F574" s="98"/>
      <c r="G574" s="98"/>
      <c r="H574" s="98"/>
      <c r="I574" s="98"/>
    </row>
    <row r="575" spans="3:9">
      <c r="C575" s="138" t="s">
        <v>395</v>
      </c>
      <c r="D575" s="98"/>
      <c r="E575" s="98"/>
      <c r="F575" s="98"/>
      <c r="G575" s="98"/>
      <c r="H575" s="98"/>
      <c r="I575" s="98"/>
    </row>
    <row r="576" spans="3:9">
      <c r="C576" s="138" t="s">
        <v>296</v>
      </c>
      <c r="D576" s="98"/>
      <c r="E576" s="98"/>
      <c r="F576" s="98"/>
      <c r="G576" s="98"/>
      <c r="H576" s="98"/>
      <c r="I576" s="98"/>
    </row>
    <row r="577" spans="3:9">
      <c r="C577" s="138" t="s">
        <v>494</v>
      </c>
      <c r="D577" s="98"/>
      <c r="E577" s="98"/>
      <c r="F577" s="98"/>
      <c r="G577" s="98"/>
      <c r="H577" s="98"/>
      <c r="I577" s="98"/>
    </row>
    <row r="578" spans="3:9">
      <c r="C578" s="138" t="s">
        <v>1048</v>
      </c>
      <c r="D578" s="98"/>
      <c r="E578" s="98"/>
      <c r="F578" s="98"/>
      <c r="G578" s="98"/>
      <c r="H578" s="98"/>
      <c r="I578" s="98"/>
    </row>
    <row r="579" spans="3:9">
      <c r="C579" s="138" t="s">
        <v>1035</v>
      </c>
      <c r="D579" s="98"/>
      <c r="E579" s="98"/>
      <c r="F579" s="98"/>
      <c r="G579" s="98"/>
      <c r="H579" s="98"/>
      <c r="I579" s="98"/>
    </row>
    <row r="580" spans="3:9">
      <c r="C580" s="138" t="s">
        <v>677</v>
      </c>
      <c r="D580" s="98"/>
      <c r="E580" s="98"/>
      <c r="F580" s="98"/>
      <c r="G580" s="98"/>
      <c r="H580" s="98"/>
      <c r="I580" s="98"/>
    </row>
    <row r="581" spans="3:9">
      <c r="C581" s="138" t="s">
        <v>986</v>
      </c>
      <c r="D581" s="98"/>
      <c r="E581" s="98"/>
      <c r="F581" s="98"/>
      <c r="G581" s="98"/>
      <c r="H581" s="98"/>
      <c r="I581" s="98"/>
    </row>
    <row r="582" spans="3:9">
      <c r="C582" s="138" t="s">
        <v>705</v>
      </c>
      <c r="D582" s="98"/>
      <c r="E582" s="98"/>
      <c r="F582" s="98"/>
      <c r="G582" s="98"/>
      <c r="H582" s="98"/>
      <c r="I582" s="98"/>
    </row>
    <row r="583" spans="3:9">
      <c r="C583" s="138" t="s">
        <v>655</v>
      </c>
      <c r="D583" s="98"/>
      <c r="E583" s="98"/>
      <c r="F583" s="98"/>
      <c r="G583" s="98"/>
      <c r="H583" s="98"/>
      <c r="I583" s="98"/>
    </row>
    <row r="584" spans="3:9">
      <c r="C584" s="138" t="s">
        <v>1100</v>
      </c>
      <c r="D584" s="98"/>
      <c r="E584" s="98"/>
      <c r="F584" s="98"/>
      <c r="G584" s="98"/>
      <c r="H584" s="98"/>
      <c r="I584" s="98"/>
    </row>
    <row r="585" spans="3:9">
      <c r="C585" s="138" t="s">
        <v>246</v>
      </c>
      <c r="D585" s="98"/>
      <c r="E585" s="98"/>
      <c r="F585" s="98"/>
      <c r="G585" s="98"/>
      <c r="H585" s="98"/>
      <c r="I585" s="98"/>
    </row>
    <row r="586" spans="3:9">
      <c r="C586" s="138" t="s">
        <v>622</v>
      </c>
      <c r="D586" s="98"/>
      <c r="E586" s="98"/>
      <c r="F586" s="98"/>
      <c r="G586" s="98"/>
      <c r="H586" s="98"/>
      <c r="I586" s="98"/>
    </row>
    <row r="587" spans="3:9">
      <c r="C587" s="138" t="s">
        <v>764</v>
      </c>
      <c r="D587" s="98"/>
      <c r="E587" s="98"/>
      <c r="F587" s="98"/>
      <c r="G587" s="98"/>
      <c r="H587" s="98"/>
      <c r="I587" s="98"/>
    </row>
    <row r="588" spans="3:9">
      <c r="C588" s="138" t="s">
        <v>798</v>
      </c>
      <c r="D588" s="98"/>
      <c r="E588" s="98"/>
      <c r="F588" s="98"/>
      <c r="G588" s="98"/>
      <c r="H588" s="98"/>
      <c r="I588" s="98"/>
    </row>
    <row r="589" spans="3:9">
      <c r="C589" s="138" t="s">
        <v>1052</v>
      </c>
      <c r="D589" s="98"/>
      <c r="E589" s="98"/>
      <c r="F589" s="98"/>
      <c r="G589" s="98"/>
      <c r="H589" s="98"/>
      <c r="I589" s="98"/>
    </row>
    <row r="590" spans="3:9">
      <c r="C590" s="138" t="s">
        <v>858</v>
      </c>
      <c r="D590" s="98"/>
      <c r="E590" s="98"/>
      <c r="F590" s="98"/>
      <c r="G590" s="98"/>
      <c r="H590" s="98"/>
      <c r="I590" s="98"/>
    </row>
    <row r="591" spans="3:9">
      <c r="C591" s="138" t="s">
        <v>558</v>
      </c>
      <c r="D591" s="98"/>
      <c r="E591" s="98"/>
      <c r="F591" s="98"/>
      <c r="G591" s="98"/>
      <c r="H591" s="98"/>
      <c r="I591" s="98"/>
    </row>
    <row r="592" spans="3:9">
      <c r="C592" s="138" t="s">
        <v>167</v>
      </c>
      <c r="D592" s="98"/>
      <c r="E592" s="98"/>
      <c r="F592" s="98"/>
      <c r="G592" s="98"/>
      <c r="H592" s="98"/>
      <c r="I592" s="98"/>
    </row>
    <row r="593" spans="3:9">
      <c r="C593" s="138" t="s">
        <v>418</v>
      </c>
      <c r="D593" s="98"/>
      <c r="E593" s="98"/>
      <c r="F593" s="98"/>
      <c r="G593" s="98"/>
      <c r="H593" s="98"/>
      <c r="I593" s="98"/>
    </row>
    <row r="594" spans="3:9">
      <c r="C594" s="138" t="s">
        <v>120</v>
      </c>
      <c r="D594" s="98"/>
      <c r="E594" s="98"/>
      <c r="F594" s="98"/>
      <c r="G594" s="98"/>
      <c r="H594" s="98"/>
      <c r="I594" s="98"/>
    </row>
    <row r="595" spans="3:9">
      <c r="C595" s="138" t="s">
        <v>216</v>
      </c>
      <c r="D595" s="98"/>
      <c r="E595" s="98"/>
      <c r="F595" s="98"/>
      <c r="G595" s="98"/>
      <c r="H595" s="98"/>
      <c r="I595" s="98"/>
    </row>
    <row r="596" spans="3:9">
      <c r="C596" s="138" t="s">
        <v>557</v>
      </c>
      <c r="D596" s="98"/>
      <c r="E596" s="98"/>
      <c r="F596" s="98"/>
      <c r="G596" s="98"/>
      <c r="H596" s="98"/>
      <c r="I596" s="98"/>
    </row>
    <row r="597" spans="3:9">
      <c r="C597" s="138" t="s">
        <v>771</v>
      </c>
      <c r="D597" s="98"/>
      <c r="E597" s="98"/>
      <c r="F597" s="98"/>
      <c r="G597" s="98"/>
      <c r="H597" s="98"/>
      <c r="I597" s="98"/>
    </row>
    <row r="598" spans="3:9">
      <c r="C598" s="138" t="s">
        <v>190</v>
      </c>
      <c r="D598" s="98"/>
      <c r="E598" s="98"/>
      <c r="F598" s="98"/>
      <c r="G598" s="98"/>
      <c r="H598" s="98"/>
      <c r="I598" s="98"/>
    </row>
    <row r="599" spans="3:9">
      <c r="C599" s="138" t="s">
        <v>386</v>
      </c>
      <c r="D599" s="98"/>
      <c r="E599" s="98"/>
      <c r="F599" s="98"/>
      <c r="G599" s="98"/>
      <c r="H599" s="98"/>
      <c r="I599" s="98"/>
    </row>
    <row r="600" spans="3:9">
      <c r="C600" s="138" t="s">
        <v>282</v>
      </c>
      <c r="D600" s="98"/>
      <c r="E600" s="98"/>
      <c r="F600" s="98"/>
      <c r="G600" s="98"/>
      <c r="H600" s="98"/>
      <c r="I600" s="98"/>
    </row>
    <row r="601" spans="3:9">
      <c r="C601" s="138" t="s">
        <v>977</v>
      </c>
      <c r="D601" s="98"/>
      <c r="E601" s="98"/>
      <c r="F601" s="98"/>
      <c r="G601" s="98"/>
      <c r="H601" s="98"/>
      <c r="I601" s="98"/>
    </row>
    <row r="602" spans="3:9">
      <c r="C602" s="138" t="s">
        <v>535</v>
      </c>
      <c r="D602" s="98"/>
      <c r="E602" s="98"/>
      <c r="F602" s="98"/>
      <c r="G602" s="98"/>
      <c r="H602" s="98"/>
      <c r="I602" s="98"/>
    </row>
    <row r="603" spans="3:9">
      <c r="C603" s="138" t="s">
        <v>177</v>
      </c>
      <c r="D603" s="98"/>
      <c r="E603" s="98"/>
      <c r="F603" s="98"/>
      <c r="G603" s="98"/>
      <c r="H603" s="98"/>
      <c r="I603" s="98"/>
    </row>
    <row r="604" spans="3:9">
      <c r="C604" s="138" t="s">
        <v>344</v>
      </c>
      <c r="D604" s="98"/>
      <c r="E604" s="98"/>
      <c r="F604" s="98"/>
      <c r="G604" s="98"/>
      <c r="H604" s="98"/>
      <c r="I604" s="98"/>
    </row>
    <row r="605" spans="3:9">
      <c r="C605" s="138" t="s">
        <v>207</v>
      </c>
      <c r="D605" s="98"/>
      <c r="E605" s="98"/>
      <c r="F605" s="98"/>
      <c r="G605" s="98"/>
      <c r="H605" s="98"/>
      <c r="I605" s="98"/>
    </row>
    <row r="606" spans="3:9">
      <c r="C606" s="138" t="s">
        <v>740</v>
      </c>
      <c r="D606" s="98"/>
      <c r="E606" s="98"/>
      <c r="F606" s="98"/>
      <c r="G606" s="98"/>
      <c r="H606" s="98"/>
      <c r="I606" s="98"/>
    </row>
    <row r="607" spans="3:9">
      <c r="C607" s="138" t="s">
        <v>576</v>
      </c>
      <c r="D607" s="98"/>
      <c r="E607" s="98"/>
      <c r="F607" s="98"/>
      <c r="G607" s="98"/>
      <c r="H607" s="98"/>
      <c r="I607" s="98"/>
    </row>
    <row r="608" spans="3:9">
      <c r="C608" s="138" t="s">
        <v>221</v>
      </c>
      <c r="D608" s="98"/>
      <c r="E608" s="98"/>
      <c r="F608" s="98"/>
      <c r="G608" s="98"/>
      <c r="H608" s="98"/>
      <c r="I608" s="98"/>
    </row>
    <row r="609" spans="3:9">
      <c r="C609" s="138" t="s">
        <v>170</v>
      </c>
      <c r="D609" s="98"/>
      <c r="E609" s="98"/>
      <c r="F609" s="98"/>
      <c r="G609" s="98"/>
      <c r="H609" s="98"/>
      <c r="I609" s="98"/>
    </row>
    <row r="610" spans="3:9">
      <c r="C610" s="138" t="s">
        <v>1070</v>
      </c>
      <c r="D610" s="98"/>
      <c r="E610" s="98"/>
      <c r="F610" s="98"/>
      <c r="G610" s="98"/>
      <c r="H610" s="98"/>
      <c r="I610" s="98"/>
    </row>
    <row r="611" spans="3:9">
      <c r="C611" s="138" t="s">
        <v>715</v>
      </c>
      <c r="D611" s="98"/>
      <c r="E611" s="98"/>
      <c r="F611" s="98"/>
      <c r="G611" s="98"/>
      <c r="H611" s="98"/>
      <c r="I611" s="98"/>
    </row>
    <row r="612" spans="3:9">
      <c r="C612" s="138" t="s">
        <v>459</v>
      </c>
      <c r="D612" s="98"/>
      <c r="E612" s="98"/>
      <c r="F612" s="98"/>
      <c r="G612" s="98"/>
      <c r="H612" s="98"/>
      <c r="I612" s="98"/>
    </row>
    <row r="613" spans="3:9">
      <c r="C613" s="138" t="s">
        <v>152</v>
      </c>
      <c r="D613" s="98"/>
      <c r="E613" s="98"/>
      <c r="F613" s="98"/>
      <c r="G613" s="98"/>
      <c r="H613" s="98"/>
      <c r="I613" s="98"/>
    </row>
    <row r="614" spans="3:9">
      <c r="C614" s="138" t="s">
        <v>362</v>
      </c>
      <c r="D614" s="98"/>
      <c r="E614" s="98"/>
      <c r="F614" s="98"/>
      <c r="G614" s="98"/>
      <c r="H614" s="98"/>
      <c r="I614" s="98"/>
    </row>
    <row r="615" spans="3:9">
      <c r="C615" s="138" t="s">
        <v>476</v>
      </c>
      <c r="D615" s="98"/>
      <c r="E615" s="98"/>
      <c r="F615" s="98"/>
      <c r="G615" s="98"/>
      <c r="H615" s="98"/>
      <c r="I615" s="98"/>
    </row>
    <row r="616" spans="3:9">
      <c r="C616" s="138" t="s">
        <v>346</v>
      </c>
      <c r="D616" s="98"/>
      <c r="E616" s="98"/>
      <c r="F616" s="98"/>
      <c r="G616" s="98"/>
      <c r="H616" s="98"/>
      <c r="I616" s="98"/>
    </row>
    <row r="617" spans="3:9">
      <c r="C617" s="138" t="s">
        <v>633</v>
      </c>
      <c r="D617" s="98"/>
      <c r="E617" s="98"/>
      <c r="F617" s="98"/>
      <c r="G617" s="98"/>
      <c r="H617" s="98"/>
      <c r="I617" s="98"/>
    </row>
    <row r="618" spans="3:9">
      <c r="C618" s="138" t="s">
        <v>978</v>
      </c>
      <c r="D618" s="98"/>
      <c r="E618" s="98"/>
      <c r="F618" s="98"/>
      <c r="G618" s="98"/>
      <c r="H618" s="98"/>
      <c r="I618" s="98"/>
    </row>
    <row r="619" spans="3:9">
      <c r="C619" s="138" t="s">
        <v>1078</v>
      </c>
      <c r="D619" s="98"/>
      <c r="E619" s="98"/>
      <c r="F619" s="98"/>
      <c r="G619" s="98"/>
      <c r="H619" s="98"/>
      <c r="I619" s="98"/>
    </row>
    <row r="620" spans="3:9">
      <c r="C620" s="138" t="s">
        <v>1059</v>
      </c>
      <c r="D620" s="98"/>
      <c r="E620" s="98"/>
      <c r="F620" s="98"/>
      <c r="G620" s="98"/>
      <c r="H620" s="98"/>
      <c r="I620" s="98"/>
    </row>
    <row r="621" spans="3:9">
      <c r="C621" s="138" t="s">
        <v>688</v>
      </c>
      <c r="D621" s="98"/>
      <c r="E621" s="98"/>
      <c r="F621" s="98"/>
      <c r="G621" s="98"/>
      <c r="H621" s="98"/>
      <c r="I621" s="98"/>
    </row>
    <row r="622" spans="3:9">
      <c r="C622" s="138" t="s">
        <v>925</v>
      </c>
      <c r="D622" s="98"/>
      <c r="E622" s="98"/>
      <c r="F622" s="98"/>
      <c r="G622" s="98"/>
      <c r="H622" s="98"/>
      <c r="I622" s="98"/>
    </row>
    <row r="623" spans="3:9">
      <c r="C623" s="138" t="s">
        <v>77</v>
      </c>
      <c r="D623" s="98"/>
      <c r="E623" s="98"/>
      <c r="F623" s="98"/>
      <c r="G623" s="98"/>
      <c r="H623" s="98"/>
      <c r="I623" s="98"/>
    </row>
    <row r="624" spans="3:9">
      <c r="C624" s="138" t="s">
        <v>485</v>
      </c>
      <c r="D624" s="98"/>
      <c r="E624" s="98"/>
      <c r="F624" s="98"/>
      <c r="G624" s="98"/>
      <c r="H624" s="98"/>
      <c r="I624" s="98"/>
    </row>
    <row r="625" spans="3:9">
      <c r="C625" s="138" t="s">
        <v>305</v>
      </c>
      <c r="D625" s="98"/>
      <c r="E625" s="98"/>
      <c r="F625" s="98"/>
      <c r="G625" s="98"/>
      <c r="H625" s="98"/>
      <c r="I625" s="98"/>
    </row>
    <row r="626" spans="3:9">
      <c r="C626" s="138" t="s">
        <v>187</v>
      </c>
      <c r="D626" s="98"/>
      <c r="E626" s="98"/>
      <c r="F626" s="98"/>
      <c r="G626" s="98"/>
      <c r="H626" s="98"/>
      <c r="I626" s="98"/>
    </row>
    <row r="627" spans="3:9">
      <c r="C627" s="138" t="s">
        <v>955</v>
      </c>
      <c r="D627" s="98"/>
      <c r="E627" s="98"/>
      <c r="F627" s="98"/>
      <c r="G627" s="98"/>
      <c r="H627" s="98"/>
      <c r="I627" s="98"/>
    </row>
    <row r="628" spans="3:9">
      <c r="C628" s="138" t="s">
        <v>283</v>
      </c>
      <c r="D628" s="98"/>
      <c r="E628" s="98"/>
      <c r="F628" s="98"/>
      <c r="G628" s="98"/>
      <c r="H628" s="98"/>
      <c r="I628" s="98"/>
    </row>
    <row r="629" spans="3:9">
      <c r="C629" s="138" t="s">
        <v>1108</v>
      </c>
      <c r="D629" s="98"/>
      <c r="E629" s="98"/>
      <c r="F629" s="98"/>
      <c r="G629" s="98"/>
      <c r="H629" s="98"/>
      <c r="I629" s="98"/>
    </row>
    <row r="630" spans="3:9">
      <c r="C630" s="138" t="s">
        <v>992</v>
      </c>
      <c r="D630" s="98"/>
      <c r="E630" s="98"/>
      <c r="F630" s="98"/>
      <c r="G630" s="98"/>
      <c r="H630" s="98"/>
      <c r="I630" s="98"/>
    </row>
    <row r="631" spans="3:9">
      <c r="C631" s="138" t="s">
        <v>103</v>
      </c>
      <c r="D631" s="98"/>
      <c r="E631" s="98"/>
      <c r="F631" s="98"/>
      <c r="G631" s="98"/>
      <c r="H631" s="98"/>
      <c r="I631" s="98"/>
    </row>
    <row r="632" spans="3:9">
      <c r="C632" s="138" t="s">
        <v>110</v>
      </c>
      <c r="D632" s="98"/>
      <c r="E632" s="98"/>
      <c r="F632" s="98"/>
      <c r="G632" s="98"/>
      <c r="H632" s="98"/>
      <c r="I632" s="98"/>
    </row>
    <row r="633" spans="3:9">
      <c r="C633" s="138" t="s">
        <v>585</v>
      </c>
      <c r="D633" s="98"/>
      <c r="E633" s="98"/>
      <c r="F633" s="98"/>
      <c r="G633" s="98"/>
      <c r="H633" s="98"/>
      <c r="I633" s="98"/>
    </row>
    <row r="634" spans="3:9">
      <c r="C634" s="138" t="s">
        <v>319</v>
      </c>
      <c r="D634" s="98"/>
      <c r="E634" s="98"/>
      <c r="F634" s="98"/>
      <c r="G634" s="98"/>
      <c r="H634" s="98"/>
      <c r="I634" s="98"/>
    </row>
    <row r="635" spans="3:9">
      <c r="C635" s="138" t="s">
        <v>718</v>
      </c>
      <c r="D635" s="98"/>
      <c r="E635" s="98"/>
      <c r="F635" s="98"/>
      <c r="G635" s="98"/>
      <c r="H635" s="98"/>
      <c r="I635" s="98"/>
    </row>
    <row r="636" spans="3:9">
      <c r="C636" s="138" t="s">
        <v>204</v>
      </c>
      <c r="D636" s="98"/>
      <c r="E636" s="98"/>
      <c r="F636" s="98"/>
      <c r="G636" s="98"/>
      <c r="H636" s="98"/>
      <c r="I636" s="98"/>
    </row>
    <row r="637" spans="3:9">
      <c r="C637" s="138" t="s">
        <v>811</v>
      </c>
      <c r="D637" s="98"/>
      <c r="E637" s="98"/>
      <c r="F637" s="98"/>
      <c r="G637" s="98"/>
      <c r="H637" s="98"/>
      <c r="I637" s="98"/>
    </row>
    <row r="638" spans="3:9">
      <c r="C638" s="138" t="s">
        <v>592</v>
      </c>
      <c r="D638" s="98"/>
      <c r="E638" s="98"/>
      <c r="F638" s="98"/>
      <c r="G638" s="98"/>
      <c r="H638" s="98"/>
      <c r="I638" s="98"/>
    </row>
    <row r="639" spans="3:9">
      <c r="C639" s="138" t="s">
        <v>1056</v>
      </c>
      <c r="D639" s="98"/>
      <c r="E639" s="98"/>
      <c r="F639" s="98"/>
      <c r="G639" s="98"/>
      <c r="H639" s="98"/>
      <c r="I639" s="98"/>
    </row>
    <row r="640" spans="3:9">
      <c r="C640" s="138" t="s">
        <v>983</v>
      </c>
      <c r="D640" s="98"/>
      <c r="E640" s="98"/>
      <c r="F640" s="98"/>
      <c r="G640" s="98"/>
      <c r="H640" s="98"/>
      <c r="I640" s="98"/>
    </row>
    <row r="641" spans="3:9">
      <c r="C641" s="138" t="s">
        <v>784</v>
      </c>
      <c r="D641" s="98"/>
      <c r="E641" s="98"/>
      <c r="F641" s="98"/>
      <c r="G641" s="98"/>
      <c r="H641" s="98"/>
      <c r="I641" s="98"/>
    </row>
    <row r="642" spans="3:9">
      <c r="C642" s="138" t="s">
        <v>766</v>
      </c>
      <c r="D642" s="98"/>
      <c r="E642" s="98"/>
      <c r="F642" s="98"/>
      <c r="G642" s="98"/>
      <c r="H642" s="98"/>
      <c r="I642" s="98"/>
    </row>
    <row r="643" spans="3:9">
      <c r="C643" s="138" t="s">
        <v>931</v>
      </c>
      <c r="D643" s="98"/>
      <c r="E643" s="98"/>
      <c r="F643" s="98"/>
      <c r="G643" s="98"/>
      <c r="H643" s="98"/>
      <c r="I643" s="98"/>
    </row>
    <row r="644" spans="3:9">
      <c r="C644" s="138" t="s">
        <v>285</v>
      </c>
      <c r="D644" s="98"/>
      <c r="E644" s="98"/>
      <c r="F644" s="98"/>
      <c r="G644" s="98"/>
      <c r="H644" s="98"/>
      <c r="I644" s="98"/>
    </row>
    <row r="645" spans="3:9">
      <c r="C645" s="138" t="s">
        <v>1007</v>
      </c>
      <c r="D645" s="98"/>
      <c r="E645" s="98"/>
      <c r="F645" s="98"/>
      <c r="G645" s="98"/>
      <c r="H645" s="98"/>
      <c r="I645" s="98"/>
    </row>
    <row r="646" spans="3:9">
      <c r="C646" s="138" t="s">
        <v>546</v>
      </c>
      <c r="D646" s="98"/>
      <c r="E646" s="98"/>
      <c r="F646" s="98"/>
      <c r="G646" s="98"/>
      <c r="H646" s="98"/>
      <c r="I646" s="98"/>
    </row>
    <row r="647" spans="3:9">
      <c r="C647" s="138" t="s">
        <v>838</v>
      </c>
      <c r="D647" s="98"/>
      <c r="E647" s="98"/>
      <c r="F647" s="98"/>
      <c r="G647" s="98"/>
      <c r="H647" s="98"/>
      <c r="I647" s="98"/>
    </row>
    <row r="648" spans="3:9">
      <c r="C648" s="138" t="s">
        <v>652</v>
      </c>
      <c r="D648" s="98"/>
      <c r="E648" s="98"/>
      <c r="F648" s="98"/>
      <c r="G648" s="98"/>
      <c r="H648" s="98"/>
      <c r="I648" s="98"/>
    </row>
    <row r="649" spans="3:9">
      <c r="C649" s="138" t="s">
        <v>686</v>
      </c>
      <c r="D649" s="98"/>
      <c r="E649" s="98"/>
      <c r="F649" s="98"/>
      <c r="G649" s="98"/>
      <c r="H649" s="98"/>
      <c r="I649" s="98"/>
    </row>
    <row r="650" spans="3:9">
      <c r="C650" s="138" t="s">
        <v>1014</v>
      </c>
      <c r="D650" s="98"/>
      <c r="E650" s="98"/>
      <c r="F650" s="98"/>
      <c r="G650" s="98"/>
      <c r="H650" s="98"/>
      <c r="I650" s="98"/>
    </row>
    <row r="651" spans="3:9">
      <c r="C651" s="138" t="s">
        <v>536</v>
      </c>
      <c r="D651" s="98"/>
      <c r="E651" s="98"/>
      <c r="F651" s="98"/>
      <c r="G651" s="98"/>
      <c r="H651" s="98"/>
      <c r="I651" s="98"/>
    </row>
    <row r="652" spans="3:9">
      <c r="C652" s="138" t="s">
        <v>859</v>
      </c>
      <c r="D652" s="98"/>
      <c r="E652" s="98"/>
      <c r="F652" s="98"/>
      <c r="G652" s="98"/>
      <c r="H652" s="98"/>
      <c r="I652" s="98"/>
    </row>
    <row r="653" spans="3:9">
      <c r="C653" s="138" t="s">
        <v>540</v>
      </c>
      <c r="D653" s="98"/>
      <c r="E653" s="98"/>
      <c r="F653" s="98"/>
      <c r="G653" s="98"/>
      <c r="H653" s="98"/>
      <c r="I653" s="98"/>
    </row>
    <row r="654" spans="3:9">
      <c r="C654" s="138" t="s">
        <v>126</v>
      </c>
      <c r="D654" s="98"/>
      <c r="E654" s="98"/>
      <c r="F654" s="98"/>
      <c r="G654" s="98"/>
      <c r="H654" s="98"/>
      <c r="I654" s="98"/>
    </row>
    <row r="655" spans="3:9">
      <c r="C655" s="138" t="s">
        <v>320</v>
      </c>
      <c r="D655" s="98"/>
      <c r="E655" s="98"/>
      <c r="F655" s="98"/>
      <c r="G655" s="98"/>
      <c r="H655" s="98"/>
      <c r="I655" s="98"/>
    </row>
    <row r="656" spans="3:9">
      <c r="C656" s="138" t="s">
        <v>446</v>
      </c>
      <c r="D656" s="98"/>
      <c r="E656" s="98"/>
      <c r="F656" s="98"/>
      <c r="G656" s="98"/>
      <c r="H656" s="98"/>
      <c r="I656" s="98"/>
    </row>
    <row r="657" spans="3:9">
      <c r="C657" s="138" t="s">
        <v>823</v>
      </c>
      <c r="D657" s="98"/>
      <c r="E657" s="98"/>
      <c r="F657" s="98"/>
      <c r="G657" s="98"/>
      <c r="H657" s="98"/>
      <c r="I657" s="98"/>
    </row>
    <row r="658" spans="3:9">
      <c r="C658" s="138" t="s">
        <v>501</v>
      </c>
      <c r="D658" s="98"/>
      <c r="E658" s="98"/>
      <c r="F658" s="98"/>
      <c r="G658" s="98"/>
      <c r="H658" s="98"/>
      <c r="I658" s="98"/>
    </row>
    <row r="659" spans="3:9">
      <c r="C659" s="138" t="s">
        <v>588</v>
      </c>
      <c r="D659" s="98"/>
      <c r="E659" s="98"/>
      <c r="F659" s="98"/>
      <c r="G659" s="98"/>
      <c r="H659" s="98"/>
      <c r="I659" s="98"/>
    </row>
    <row r="660" spans="3:9">
      <c r="C660" s="138" t="s">
        <v>336</v>
      </c>
      <c r="D660" s="98"/>
      <c r="E660" s="98"/>
      <c r="F660" s="98"/>
      <c r="G660" s="98"/>
      <c r="H660" s="98"/>
      <c r="I660" s="98"/>
    </row>
    <row r="661" spans="3:9">
      <c r="C661" s="138" t="s">
        <v>159</v>
      </c>
      <c r="D661" s="98"/>
      <c r="E661" s="98"/>
      <c r="F661" s="98"/>
      <c r="G661" s="98"/>
      <c r="H661" s="98"/>
      <c r="I661" s="98"/>
    </row>
    <row r="662" spans="3:9">
      <c r="C662" s="138" t="s">
        <v>594</v>
      </c>
      <c r="D662" s="98"/>
      <c r="E662" s="98"/>
      <c r="F662" s="98"/>
      <c r="G662" s="98"/>
      <c r="H662" s="98"/>
      <c r="I662" s="98"/>
    </row>
    <row r="663" spans="3:9">
      <c r="C663" s="138" t="s">
        <v>763</v>
      </c>
      <c r="D663" s="98"/>
      <c r="E663" s="98"/>
      <c r="F663" s="98"/>
      <c r="G663" s="98"/>
      <c r="H663" s="98"/>
      <c r="I663" s="98"/>
    </row>
    <row r="664" spans="3:9">
      <c r="C664" s="138" t="s">
        <v>211</v>
      </c>
      <c r="D664" s="98"/>
      <c r="E664" s="98"/>
      <c r="F664" s="98"/>
      <c r="G664" s="98"/>
      <c r="H664" s="98"/>
      <c r="I664" s="98"/>
    </row>
    <row r="665" spans="3:9">
      <c r="C665" s="138" t="s">
        <v>194</v>
      </c>
      <c r="D665" s="98"/>
      <c r="E665" s="98"/>
      <c r="F665" s="98"/>
      <c r="G665" s="98"/>
      <c r="H665" s="98"/>
      <c r="I665" s="98"/>
    </row>
    <row r="666" spans="3:9">
      <c r="C666" s="138" t="s">
        <v>262</v>
      </c>
      <c r="D666" s="98"/>
      <c r="E666" s="98"/>
      <c r="F666" s="98"/>
      <c r="G666" s="98"/>
      <c r="H666" s="98"/>
      <c r="I666" s="98"/>
    </row>
    <row r="667" spans="3:9">
      <c r="C667" s="138" t="s">
        <v>794</v>
      </c>
      <c r="D667" s="98"/>
      <c r="E667" s="98"/>
      <c r="F667" s="98"/>
      <c r="G667" s="98"/>
      <c r="H667" s="98"/>
      <c r="I667" s="98"/>
    </row>
    <row r="668" spans="3:9">
      <c r="C668" s="138" t="s">
        <v>952</v>
      </c>
      <c r="D668" s="98"/>
      <c r="E668" s="98"/>
      <c r="F668" s="98"/>
      <c r="G668" s="98"/>
      <c r="H668" s="98"/>
      <c r="I668" s="98"/>
    </row>
    <row r="669" spans="3:9">
      <c r="C669" s="138" t="s">
        <v>290</v>
      </c>
      <c r="D669" s="98"/>
      <c r="E669" s="98"/>
      <c r="F669" s="98"/>
      <c r="G669" s="98"/>
      <c r="H669" s="98"/>
      <c r="I669" s="98"/>
    </row>
    <row r="670" spans="3:9">
      <c r="C670" s="138" t="s">
        <v>339</v>
      </c>
      <c r="D670" s="98"/>
      <c r="E670" s="98"/>
      <c r="F670" s="98"/>
      <c r="G670" s="98"/>
      <c r="H670" s="98"/>
      <c r="I670" s="98"/>
    </row>
    <row r="671" spans="3:9">
      <c r="C671" s="138" t="s">
        <v>322</v>
      </c>
      <c r="D671" s="98"/>
      <c r="E671" s="98"/>
      <c r="F671" s="98"/>
      <c r="G671" s="98"/>
      <c r="H671" s="98"/>
      <c r="I671" s="98"/>
    </row>
    <row r="672" spans="3:9">
      <c r="C672" s="138" t="s">
        <v>707</v>
      </c>
      <c r="D672" s="98"/>
      <c r="E672" s="98"/>
      <c r="F672" s="98"/>
      <c r="G672" s="98"/>
      <c r="H672" s="98"/>
      <c r="I672" s="98"/>
    </row>
    <row r="673" spans="3:9">
      <c r="C673" s="138" t="s">
        <v>138</v>
      </c>
      <c r="D673" s="98"/>
      <c r="E673" s="98"/>
      <c r="F673" s="98"/>
      <c r="G673" s="98"/>
      <c r="H673" s="98"/>
      <c r="I673" s="98"/>
    </row>
    <row r="674" spans="3:9">
      <c r="C674" s="138" t="s">
        <v>615</v>
      </c>
      <c r="D674" s="98"/>
      <c r="E674" s="98"/>
      <c r="F674" s="98"/>
      <c r="G674" s="98"/>
      <c r="H674" s="98"/>
      <c r="I674" s="98"/>
    </row>
    <row r="675" spans="3:9">
      <c r="C675" s="138" t="s">
        <v>261</v>
      </c>
      <c r="D675" s="98"/>
      <c r="E675" s="98"/>
      <c r="F675" s="98"/>
      <c r="G675" s="98"/>
      <c r="H675" s="98"/>
      <c r="I675" s="98"/>
    </row>
    <row r="676" spans="3:9">
      <c r="C676" s="138" t="s">
        <v>434</v>
      </c>
      <c r="D676" s="98"/>
      <c r="E676" s="98"/>
      <c r="F676" s="98"/>
      <c r="G676" s="98"/>
      <c r="H676" s="98"/>
      <c r="I676" s="98"/>
    </row>
    <row r="677" spans="3:9">
      <c r="C677" s="138" t="s">
        <v>864</v>
      </c>
      <c r="D677" s="98"/>
      <c r="E677" s="98"/>
      <c r="F677" s="98"/>
      <c r="G677" s="98"/>
      <c r="H677" s="98"/>
      <c r="I677" s="98"/>
    </row>
    <row r="678" spans="3:9">
      <c r="C678" s="138" t="s">
        <v>264</v>
      </c>
      <c r="D678" s="98"/>
      <c r="E678" s="98"/>
      <c r="F678" s="98"/>
      <c r="G678" s="98"/>
      <c r="H678" s="98"/>
      <c r="I678" s="98"/>
    </row>
    <row r="679" spans="3:9">
      <c r="C679" s="138" t="s">
        <v>270</v>
      </c>
      <c r="D679" s="98"/>
      <c r="E679" s="98"/>
      <c r="F679" s="98"/>
      <c r="G679" s="98"/>
      <c r="H679" s="98"/>
      <c r="I679" s="98"/>
    </row>
    <row r="680" spans="3:9">
      <c r="C680" s="138" t="s">
        <v>813</v>
      </c>
      <c r="D680" s="98"/>
      <c r="E680" s="98"/>
      <c r="F680" s="98"/>
      <c r="G680" s="98"/>
      <c r="H680" s="98"/>
      <c r="I680" s="98"/>
    </row>
    <row r="681" spans="3:9">
      <c r="C681" s="138" t="s">
        <v>394</v>
      </c>
      <c r="D681" s="98"/>
      <c r="E681" s="98"/>
      <c r="F681" s="98"/>
      <c r="G681" s="98"/>
      <c r="H681" s="98"/>
      <c r="I681" s="98"/>
    </row>
    <row r="682" spans="3:9">
      <c r="C682" s="138" t="s">
        <v>1105</v>
      </c>
      <c r="D682" s="98"/>
      <c r="E682" s="98"/>
      <c r="F682" s="98"/>
      <c r="G682" s="98"/>
      <c r="H682" s="98"/>
      <c r="I682" s="98"/>
    </row>
    <row r="683" spans="3:9">
      <c r="C683" s="138" t="s">
        <v>629</v>
      </c>
      <c r="D683" s="98"/>
      <c r="E683" s="98"/>
      <c r="F683" s="98"/>
      <c r="G683" s="98"/>
      <c r="H683" s="98"/>
      <c r="I683" s="98"/>
    </row>
    <row r="684" spans="3:9">
      <c r="C684" s="138" t="s">
        <v>1057</v>
      </c>
      <c r="D684" s="98"/>
      <c r="E684" s="98"/>
      <c r="F684" s="98"/>
      <c r="G684" s="98"/>
      <c r="H684" s="98"/>
      <c r="I684" s="98"/>
    </row>
    <row r="685" spans="3:9">
      <c r="C685" s="138" t="s">
        <v>438</v>
      </c>
      <c r="D685" s="98"/>
      <c r="E685" s="98"/>
      <c r="F685" s="98"/>
      <c r="G685" s="98"/>
      <c r="H685" s="98"/>
      <c r="I685" s="98"/>
    </row>
    <row r="686" spans="3:9">
      <c r="C686" s="138" t="s">
        <v>468</v>
      </c>
      <c r="D686" s="98"/>
      <c r="E686" s="98"/>
      <c r="F686" s="98"/>
      <c r="G686" s="98"/>
      <c r="H686" s="98"/>
      <c r="I686" s="98"/>
    </row>
    <row r="687" spans="3:9">
      <c r="C687" s="138" t="s">
        <v>850</v>
      </c>
      <c r="D687" s="98"/>
      <c r="E687" s="98"/>
      <c r="F687" s="98"/>
      <c r="G687" s="98"/>
      <c r="H687" s="98"/>
      <c r="I687" s="98"/>
    </row>
    <row r="688" spans="3:9">
      <c r="C688" s="138" t="s">
        <v>473</v>
      </c>
      <c r="D688" s="98"/>
      <c r="E688" s="98"/>
      <c r="F688" s="98"/>
      <c r="G688" s="98"/>
      <c r="H688" s="98"/>
      <c r="I688" s="98"/>
    </row>
    <row r="689" spans="3:9">
      <c r="C689" s="138" t="s">
        <v>569</v>
      </c>
      <c r="D689" s="98"/>
      <c r="E689" s="98"/>
      <c r="F689" s="98"/>
      <c r="G689" s="98"/>
      <c r="H689" s="98"/>
      <c r="I689" s="98"/>
    </row>
    <row r="690" spans="3:9">
      <c r="C690" s="138" t="s">
        <v>1044</v>
      </c>
      <c r="D690" s="98"/>
      <c r="E690" s="98"/>
      <c r="F690" s="98"/>
      <c r="G690" s="98"/>
      <c r="H690" s="98"/>
      <c r="I690" s="98"/>
    </row>
    <row r="691" spans="3:9">
      <c r="C691" s="138" t="s">
        <v>828</v>
      </c>
      <c r="D691" s="98"/>
      <c r="E691" s="98"/>
      <c r="F691" s="98"/>
      <c r="G691" s="98"/>
      <c r="H691" s="98"/>
      <c r="I691" s="98"/>
    </row>
    <row r="692" spans="3:9">
      <c r="C692" s="138" t="s">
        <v>727</v>
      </c>
      <c r="D692" s="98"/>
      <c r="E692" s="98"/>
      <c r="F692" s="98"/>
      <c r="G692" s="98"/>
      <c r="H692" s="98"/>
      <c r="I692" s="98"/>
    </row>
    <row r="693" spans="3:9">
      <c r="C693" s="138" t="s">
        <v>1072</v>
      </c>
      <c r="D693" s="98"/>
      <c r="E693" s="98"/>
      <c r="F693" s="98"/>
      <c r="G693" s="98"/>
      <c r="H693" s="98"/>
      <c r="I693" s="98"/>
    </row>
    <row r="694" spans="3:9">
      <c r="C694" s="138" t="s">
        <v>1047</v>
      </c>
      <c r="D694" s="98"/>
      <c r="E694" s="98"/>
      <c r="F694" s="98"/>
      <c r="G694" s="98"/>
      <c r="H694" s="98"/>
      <c r="I694" s="98"/>
    </row>
    <row r="695" spans="3:9">
      <c r="C695" s="138" t="s">
        <v>202</v>
      </c>
      <c r="D695" s="98"/>
      <c r="E695" s="98"/>
      <c r="F695" s="98"/>
      <c r="G695" s="98"/>
      <c r="H695" s="98"/>
      <c r="I695" s="98"/>
    </row>
    <row r="696" spans="3:9">
      <c r="C696" s="138" t="s">
        <v>575</v>
      </c>
      <c r="D696" s="98"/>
      <c r="E696" s="98"/>
      <c r="F696" s="98"/>
      <c r="G696" s="98"/>
      <c r="H696" s="98"/>
      <c r="I696" s="98"/>
    </row>
    <row r="697" spans="3:9">
      <c r="C697" s="138" t="s">
        <v>551</v>
      </c>
      <c r="D697" s="98"/>
      <c r="E697" s="98"/>
      <c r="F697" s="98"/>
      <c r="G697" s="98"/>
      <c r="H697" s="98"/>
      <c r="I697" s="98"/>
    </row>
    <row r="698" spans="3:9">
      <c r="C698" s="138" t="s">
        <v>560</v>
      </c>
      <c r="D698" s="98"/>
      <c r="E698" s="98"/>
      <c r="F698" s="98"/>
      <c r="G698" s="98"/>
      <c r="H698" s="98"/>
      <c r="I698" s="98"/>
    </row>
    <row r="699" spans="3:9">
      <c r="C699" s="138" t="s">
        <v>748</v>
      </c>
      <c r="D699" s="98"/>
      <c r="E699" s="98"/>
      <c r="F699" s="98"/>
      <c r="G699" s="98"/>
      <c r="H699" s="98"/>
      <c r="I699" s="98"/>
    </row>
    <row r="700" spans="3:9">
      <c r="C700" s="138" t="s">
        <v>854</v>
      </c>
      <c r="D700" s="98"/>
      <c r="E700" s="98"/>
      <c r="F700" s="98"/>
      <c r="G700" s="98"/>
      <c r="H700" s="98"/>
      <c r="I700" s="98"/>
    </row>
    <row r="701" spans="3:9">
      <c r="C701" s="138" t="s">
        <v>697</v>
      </c>
      <c r="D701" s="98"/>
      <c r="E701" s="98"/>
      <c r="F701" s="98"/>
      <c r="G701" s="98"/>
      <c r="H701" s="98"/>
      <c r="I701" s="98"/>
    </row>
    <row r="702" spans="3:9">
      <c r="C702" s="138" t="s">
        <v>252</v>
      </c>
      <c r="D702" s="98"/>
      <c r="E702" s="98"/>
      <c r="F702" s="98"/>
      <c r="G702" s="98"/>
      <c r="H702" s="98"/>
      <c r="I702" s="98"/>
    </row>
    <row r="703" spans="3:9">
      <c r="C703" s="138" t="s">
        <v>1073</v>
      </c>
      <c r="D703" s="98"/>
      <c r="E703" s="98"/>
      <c r="F703" s="98"/>
      <c r="G703" s="98"/>
      <c r="H703" s="98"/>
      <c r="I703" s="98"/>
    </row>
    <row r="704" spans="3:9">
      <c r="C704" s="138" t="s">
        <v>616</v>
      </c>
      <c r="D704" s="98"/>
      <c r="E704" s="98"/>
      <c r="F704" s="98"/>
      <c r="G704" s="98"/>
      <c r="H704" s="98"/>
      <c r="I704" s="98"/>
    </row>
    <row r="705" spans="3:9">
      <c r="C705" s="138" t="s">
        <v>522</v>
      </c>
      <c r="D705" s="98"/>
      <c r="E705" s="98"/>
      <c r="F705" s="98"/>
      <c r="G705" s="98"/>
      <c r="H705" s="98"/>
      <c r="I705" s="98"/>
    </row>
    <row r="706" spans="3:9">
      <c r="C706" s="138" t="s">
        <v>911</v>
      </c>
      <c r="D706" s="98"/>
      <c r="E706" s="98"/>
      <c r="F706" s="98"/>
      <c r="G706" s="98"/>
      <c r="H706" s="98"/>
      <c r="I706" s="98"/>
    </row>
    <row r="707" spans="3:9">
      <c r="C707" s="138" t="s">
        <v>142</v>
      </c>
      <c r="D707" s="98"/>
      <c r="E707" s="98"/>
      <c r="F707" s="98"/>
      <c r="G707" s="98"/>
      <c r="H707" s="98"/>
      <c r="I707" s="98"/>
    </row>
    <row r="708" spans="3:9">
      <c r="C708" s="138" t="s">
        <v>667</v>
      </c>
      <c r="D708" s="98"/>
      <c r="E708" s="98"/>
      <c r="F708" s="98"/>
      <c r="G708" s="98"/>
      <c r="H708" s="98"/>
      <c r="I708" s="98"/>
    </row>
    <row r="709" spans="3:9">
      <c r="C709" s="138" t="s">
        <v>943</v>
      </c>
      <c r="D709" s="98"/>
      <c r="E709" s="98"/>
      <c r="F709" s="98"/>
      <c r="G709" s="98"/>
      <c r="H709" s="98"/>
      <c r="I709" s="98"/>
    </row>
    <row r="710" spans="3:9">
      <c r="C710" s="138" t="s">
        <v>304</v>
      </c>
      <c r="D710" s="98"/>
      <c r="E710" s="98"/>
      <c r="F710" s="98"/>
      <c r="G710" s="98"/>
      <c r="H710" s="98"/>
      <c r="I710" s="98"/>
    </row>
    <row r="711" spans="3:9">
      <c r="C711" s="138" t="s">
        <v>85</v>
      </c>
      <c r="D711" s="98"/>
      <c r="E711" s="98"/>
      <c r="F711" s="98"/>
      <c r="G711" s="98"/>
      <c r="H711" s="98"/>
      <c r="I711" s="98"/>
    </row>
    <row r="712" spans="3:9">
      <c r="C712" s="138" t="s">
        <v>1084</v>
      </c>
      <c r="D712" s="98"/>
      <c r="E712" s="98"/>
      <c r="F712" s="98"/>
      <c r="G712" s="98"/>
      <c r="H712" s="98"/>
      <c r="I712" s="98"/>
    </row>
    <row r="713" spans="3:9">
      <c r="C713" s="138" t="s">
        <v>1011</v>
      </c>
      <c r="D713" s="98"/>
      <c r="E713" s="98"/>
      <c r="F713" s="98"/>
      <c r="G713" s="98"/>
      <c r="H713" s="98"/>
      <c r="I713" s="98"/>
    </row>
    <row r="714" spans="3:9">
      <c r="C714" s="138" t="s">
        <v>603</v>
      </c>
      <c r="D714" s="98"/>
      <c r="E714" s="98"/>
      <c r="F714" s="98"/>
      <c r="G714" s="98"/>
      <c r="H714" s="98"/>
      <c r="I714" s="98"/>
    </row>
    <row r="715" spans="3:9">
      <c r="C715" s="138" t="s">
        <v>887</v>
      </c>
      <c r="D715" s="98"/>
      <c r="E715" s="98"/>
      <c r="F715" s="98"/>
      <c r="G715" s="98"/>
      <c r="H715" s="98"/>
      <c r="I715" s="98"/>
    </row>
    <row r="716" spans="3:9">
      <c r="C716" s="138" t="s">
        <v>544</v>
      </c>
      <c r="D716" s="98"/>
      <c r="E716" s="98"/>
      <c r="F716" s="98"/>
      <c r="G716" s="98"/>
      <c r="H716" s="98"/>
      <c r="I716" s="98"/>
    </row>
    <row r="717" spans="3:9">
      <c r="C717" s="138" t="s">
        <v>471</v>
      </c>
      <c r="D717" s="98"/>
      <c r="E717" s="98"/>
      <c r="F717" s="98"/>
      <c r="G717" s="98"/>
      <c r="H717" s="98"/>
      <c r="I717" s="98"/>
    </row>
    <row r="718" spans="3:9">
      <c r="C718" s="138" t="s">
        <v>832</v>
      </c>
      <c r="D718" s="98"/>
      <c r="E718" s="98"/>
      <c r="F718" s="98"/>
      <c r="G718" s="98"/>
      <c r="H718" s="98"/>
      <c r="I718" s="98"/>
    </row>
    <row r="719" spans="3:9">
      <c r="C719" s="138" t="s">
        <v>382</v>
      </c>
      <c r="D719" s="98"/>
      <c r="E719" s="98"/>
      <c r="F719" s="98"/>
      <c r="G719" s="98"/>
      <c r="H719" s="98"/>
      <c r="I719" s="98"/>
    </row>
    <row r="720" spans="3:9">
      <c r="C720" s="138" t="s">
        <v>672</v>
      </c>
      <c r="D720" s="98"/>
      <c r="E720" s="98"/>
      <c r="F720" s="98"/>
      <c r="G720" s="98"/>
      <c r="H720" s="98"/>
      <c r="I720" s="98"/>
    </row>
    <row r="721" spans="3:9">
      <c r="C721" s="138" t="s">
        <v>297</v>
      </c>
      <c r="D721" s="98"/>
      <c r="E721" s="98"/>
      <c r="F721" s="98"/>
      <c r="G721" s="98"/>
      <c r="H721" s="98"/>
      <c r="I721" s="98"/>
    </row>
    <row r="722" spans="3:9">
      <c r="C722" s="138" t="s">
        <v>640</v>
      </c>
      <c r="D722" s="98"/>
      <c r="E722" s="98"/>
      <c r="F722" s="98"/>
      <c r="G722" s="98"/>
      <c r="H722" s="98"/>
      <c r="I722" s="98"/>
    </row>
    <row r="723" spans="3:9">
      <c r="C723" s="138" t="s">
        <v>465</v>
      </c>
      <c r="D723" s="98"/>
      <c r="E723" s="98"/>
      <c r="F723" s="98"/>
      <c r="G723" s="98"/>
      <c r="H723" s="98"/>
      <c r="I723" s="98"/>
    </row>
    <row r="724" spans="3:9">
      <c r="C724" s="138" t="s">
        <v>665</v>
      </c>
      <c r="D724" s="98"/>
      <c r="E724" s="98"/>
      <c r="F724" s="98"/>
      <c r="G724" s="98"/>
      <c r="H724" s="98"/>
      <c r="I724" s="98"/>
    </row>
    <row r="725" spans="3:9">
      <c r="C725" s="138" t="s">
        <v>83</v>
      </c>
      <c r="D725" s="98"/>
      <c r="E725" s="98"/>
      <c r="F725" s="98"/>
      <c r="G725" s="98"/>
      <c r="H725" s="98"/>
      <c r="I725" s="98"/>
    </row>
    <row r="726" spans="3:9">
      <c r="C726" s="138" t="s">
        <v>976</v>
      </c>
      <c r="D726" s="98"/>
      <c r="E726" s="98"/>
      <c r="F726" s="98"/>
      <c r="G726" s="98"/>
      <c r="H726" s="98"/>
      <c r="I726" s="98"/>
    </row>
    <row r="727" spans="3:9">
      <c r="C727" s="138" t="s">
        <v>961</v>
      </c>
      <c r="D727" s="98"/>
      <c r="E727" s="98"/>
      <c r="F727" s="98"/>
      <c r="G727" s="98"/>
      <c r="H727" s="98"/>
      <c r="I727" s="98"/>
    </row>
    <row r="728" spans="3:9">
      <c r="C728" s="138" t="s">
        <v>591</v>
      </c>
      <c r="D728" s="98"/>
      <c r="E728" s="98"/>
      <c r="F728" s="98"/>
      <c r="G728" s="98"/>
      <c r="H728" s="98"/>
      <c r="I728" s="98"/>
    </row>
    <row r="729" spans="3:9">
      <c r="C729" s="138" t="s">
        <v>584</v>
      </c>
      <c r="D729" s="98"/>
      <c r="E729" s="98"/>
      <c r="F729" s="98"/>
      <c r="G729" s="98"/>
      <c r="H729" s="98"/>
      <c r="I729" s="98"/>
    </row>
    <row r="730" spans="3:9">
      <c r="C730" s="138" t="s">
        <v>668</v>
      </c>
      <c r="D730" s="98"/>
      <c r="E730" s="98"/>
      <c r="F730" s="98"/>
      <c r="G730" s="98"/>
      <c r="H730" s="98"/>
      <c r="I730" s="98"/>
    </row>
    <row r="731" spans="3:9">
      <c r="C731" s="138" t="s">
        <v>812</v>
      </c>
      <c r="D731" s="98"/>
      <c r="E731" s="98"/>
      <c r="F731" s="98"/>
      <c r="G731" s="98"/>
      <c r="H731" s="98"/>
      <c r="I731" s="98"/>
    </row>
    <row r="732" spans="3:9">
      <c r="C732" s="138" t="s">
        <v>842</v>
      </c>
      <c r="D732" s="98"/>
      <c r="E732" s="98"/>
      <c r="F732" s="98"/>
      <c r="G732" s="98"/>
      <c r="H732" s="98"/>
      <c r="I732" s="98"/>
    </row>
    <row r="733" spans="3:9">
      <c r="C733" s="138" t="s">
        <v>191</v>
      </c>
      <c r="D733" s="98"/>
      <c r="E733" s="98"/>
      <c r="F733" s="98"/>
      <c r="G733" s="98"/>
      <c r="H733" s="98"/>
      <c r="I733" s="98"/>
    </row>
    <row r="734" spans="3:9">
      <c r="C734" s="138" t="s">
        <v>139</v>
      </c>
      <c r="D734" s="98"/>
      <c r="E734" s="98"/>
      <c r="F734" s="98"/>
      <c r="G734" s="98"/>
      <c r="H734" s="98"/>
      <c r="I734" s="98"/>
    </row>
    <row r="735" spans="3:9">
      <c r="C735" s="138" t="s">
        <v>347</v>
      </c>
      <c r="D735" s="98"/>
      <c r="E735" s="98"/>
      <c r="F735" s="98"/>
      <c r="G735" s="98"/>
      <c r="H735" s="98"/>
      <c r="I735" s="98"/>
    </row>
    <row r="736" spans="3:9">
      <c r="C736" s="138" t="s">
        <v>376</v>
      </c>
      <c r="D736" s="98"/>
      <c r="E736" s="98"/>
      <c r="F736" s="98"/>
      <c r="G736" s="98"/>
      <c r="H736" s="98"/>
      <c r="I736" s="98"/>
    </row>
    <row r="737" spans="3:9">
      <c r="C737" s="138" t="s">
        <v>306</v>
      </c>
      <c r="D737" s="98"/>
      <c r="E737" s="98"/>
      <c r="F737" s="98"/>
      <c r="G737" s="98"/>
      <c r="H737" s="98"/>
      <c r="I737" s="98"/>
    </row>
    <row r="738" spans="3:9">
      <c r="C738" s="138" t="s">
        <v>321</v>
      </c>
      <c r="D738" s="98"/>
      <c r="E738" s="98"/>
      <c r="F738" s="98"/>
      <c r="G738" s="98"/>
      <c r="H738" s="98"/>
      <c r="I738" s="98"/>
    </row>
    <row r="739" spans="3:9">
      <c r="C739" s="138" t="s">
        <v>150</v>
      </c>
      <c r="D739" s="98"/>
      <c r="E739" s="98"/>
      <c r="F739" s="98"/>
      <c r="G739" s="98"/>
      <c r="H739" s="98"/>
      <c r="I739" s="98"/>
    </row>
    <row r="740" spans="3:9">
      <c r="C740" s="138" t="s">
        <v>1002</v>
      </c>
      <c r="D740" s="98"/>
      <c r="E740" s="98"/>
      <c r="F740" s="98"/>
      <c r="G740" s="98"/>
      <c r="H740" s="98"/>
      <c r="I740" s="98"/>
    </row>
    <row r="741" spans="3:9">
      <c r="C741" s="138" t="s">
        <v>786</v>
      </c>
      <c r="D741" s="98"/>
      <c r="E741" s="98"/>
      <c r="F741" s="98"/>
      <c r="G741" s="98"/>
      <c r="H741" s="98"/>
      <c r="I741" s="98"/>
    </row>
    <row r="742" spans="3:9">
      <c r="C742" s="138" t="s">
        <v>254</v>
      </c>
      <c r="D742" s="98"/>
      <c r="E742" s="98"/>
      <c r="F742" s="98"/>
      <c r="G742" s="98"/>
      <c r="H742" s="98"/>
      <c r="I742" s="98"/>
    </row>
    <row r="743" spans="3:9">
      <c r="C743" s="138" t="s">
        <v>531</v>
      </c>
      <c r="D743" s="98"/>
      <c r="E743" s="98"/>
      <c r="F743" s="98"/>
      <c r="G743" s="98"/>
      <c r="H743" s="98"/>
      <c r="I743" s="98"/>
    </row>
    <row r="744" spans="3:9">
      <c r="C744" s="138" t="s">
        <v>993</v>
      </c>
      <c r="D744" s="98"/>
      <c r="E744" s="98"/>
      <c r="F744" s="98"/>
      <c r="G744" s="98"/>
      <c r="H744" s="98"/>
      <c r="I744" s="98"/>
    </row>
    <row r="745" spans="3:9">
      <c r="C745" s="138" t="s">
        <v>915</v>
      </c>
      <c r="D745" s="98"/>
      <c r="E745" s="98"/>
      <c r="F745" s="98"/>
      <c r="G745" s="98"/>
      <c r="H745" s="98"/>
      <c r="I745" s="98"/>
    </row>
    <row r="746" spans="3:9">
      <c r="C746" s="138" t="s">
        <v>729</v>
      </c>
      <c r="D746" s="98"/>
      <c r="E746" s="98"/>
      <c r="F746" s="98"/>
      <c r="G746" s="98"/>
      <c r="H746" s="98"/>
      <c r="I746" s="98"/>
    </row>
    <row r="747" spans="3:9">
      <c r="C747" s="138" t="s">
        <v>963</v>
      </c>
      <c r="D747" s="98"/>
      <c r="E747" s="98"/>
      <c r="F747" s="98"/>
      <c r="G747" s="98"/>
      <c r="H747" s="98"/>
      <c r="I747" s="98"/>
    </row>
    <row r="748" spans="3:9">
      <c r="C748" s="138" t="s">
        <v>217</v>
      </c>
      <c r="D748" s="98"/>
      <c r="E748" s="98"/>
      <c r="F748" s="98"/>
      <c r="G748" s="98"/>
      <c r="H748" s="98"/>
      <c r="I748" s="98"/>
    </row>
    <row r="749" spans="3:9">
      <c r="C749" s="138" t="s">
        <v>636</v>
      </c>
      <c r="D749" s="98"/>
      <c r="E749" s="98"/>
      <c r="F749" s="98"/>
      <c r="G749" s="98"/>
      <c r="H749" s="98"/>
      <c r="I749" s="98"/>
    </row>
    <row r="750" spans="3:9">
      <c r="C750" s="138" t="s">
        <v>267</v>
      </c>
      <c r="D750" s="98"/>
      <c r="E750" s="98"/>
      <c r="F750" s="98"/>
      <c r="G750" s="98"/>
      <c r="H750" s="98"/>
      <c r="I750" s="98"/>
    </row>
    <row r="751" spans="3:9">
      <c r="C751" s="138" t="s">
        <v>442</v>
      </c>
      <c r="D751" s="98"/>
      <c r="E751" s="98"/>
      <c r="F751" s="98"/>
      <c r="G751" s="98"/>
      <c r="H751" s="98"/>
      <c r="I751" s="98"/>
    </row>
    <row r="752" spans="3:9">
      <c r="C752" s="138" t="s">
        <v>783</v>
      </c>
      <c r="D752" s="98"/>
      <c r="E752" s="98"/>
      <c r="F752" s="98"/>
      <c r="G752" s="98"/>
      <c r="H752" s="98"/>
      <c r="I752" s="98"/>
    </row>
    <row r="753" spans="3:9">
      <c r="C753" s="138" t="s">
        <v>819</v>
      </c>
      <c r="D753" s="98"/>
      <c r="E753" s="98"/>
      <c r="F753" s="98"/>
      <c r="G753" s="98"/>
      <c r="H753" s="98"/>
      <c r="I753" s="98"/>
    </row>
    <row r="754" spans="3:9">
      <c r="C754" s="138" t="s">
        <v>1030</v>
      </c>
      <c r="D754" s="98"/>
      <c r="E754" s="98"/>
      <c r="F754" s="98"/>
      <c r="G754" s="98"/>
      <c r="H754" s="98"/>
      <c r="I754" s="98"/>
    </row>
    <row r="755" spans="3:9">
      <c r="C755" s="138" t="s">
        <v>343</v>
      </c>
      <c r="D755" s="98"/>
      <c r="E755" s="98"/>
      <c r="F755" s="98"/>
      <c r="G755" s="98"/>
      <c r="H755" s="98"/>
      <c r="I755" s="98"/>
    </row>
    <row r="756" spans="3:9">
      <c r="C756" s="138" t="s">
        <v>630</v>
      </c>
      <c r="D756" s="98"/>
      <c r="E756" s="98"/>
      <c r="F756" s="98"/>
      <c r="G756" s="98"/>
      <c r="H756" s="98"/>
      <c r="I756" s="98"/>
    </row>
    <row r="757" spans="3:9">
      <c r="C757" s="138" t="s">
        <v>450</v>
      </c>
      <c r="D757" s="98"/>
      <c r="E757" s="98"/>
      <c r="F757" s="98"/>
      <c r="G757" s="98"/>
      <c r="H757" s="98"/>
      <c r="I757" s="98"/>
    </row>
    <row r="758" spans="3:9">
      <c r="C758" s="138" t="s">
        <v>330</v>
      </c>
      <c r="D758" s="98"/>
      <c r="E758" s="98"/>
      <c r="F758" s="98"/>
      <c r="G758" s="98"/>
      <c r="H758" s="98"/>
      <c r="I758" s="98"/>
    </row>
    <row r="759" spans="3:9">
      <c r="C759" s="138" t="s">
        <v>478</v>
      </c>
      <c r="D759" s="98"/>
      <c r="E759" s="98"/>
      <c r="F759" s="98"/>
      <c r="G759" s="98"/>
      <c r="H759" s="98"/>
      <c r="I759" s="98"/>
    </row>
    <row r="760" spans="3:9">
      <c r="C760" s="138" t="s">
        <v>218</v>
      </c>
      <c r="D760" s="98"/>
      <c r="E760" s="98"/>
      <c r="F760" s="98"/>
      <c r="G760" s="98"/>
      <c r="H760" s="98"/>
      <c r="I760" s="98"/>
    </row>
    <row r="761" spans="3:9">
      <c r="C761" s="138" t="s">
        <v>984</v>
      </c>
      <c r="D761" s="98"/>
      <c r="E761" s="98"/>
      <c r="F761" s="98"/>
      <c r="G761" s="98"/>
      <c r="H761" s="98"/>
      <c r="I761" s="98"/>
    </row>
    <row r="762" spans="3:9">
      <c r="C762" s="138" t="s">
        <v>92</v>
      </c>
      <c r="D762" s="98"/>
      <c r="E762" s="98"/>
      <c r="F762" s="98"/>
      <c r="G762" s="98"/>
      <c r="H762" s="98"/>
      <c r="I762" s="98"/>
    </row>
    <row r="763" spans="3:9">
      <c r="C763" s="138" t="s">
        <v>146</v>
      </c>
      <c r="D763" s="98"/>
      <c r="E763" s="98"/>
      <c r="F763" s="98"/>
      <c r="G763" s="98"/>
      <c r="H763" s="98"/>
      <c r="I763" s="98"/>
    </row>
    <row r="764" spans="3:9">
      <c r="C764" s="138" t="s">
        <v>542</v>
      </c>
      <c r="D764" s="98"/>
      <c r="E764" s="98"/>
      <c r="F764" s="98"/>
      <c r="G764" s="98"/>
      <c r="H764" s="98"/>
      <c r="I764" s="98"/>
    </row>
    <row r="765" spans="3:9">
      <c r="C765" s="138" t="s">
        <v>258</v>
      </c>
      <c r="D765" s="98"/>
      <c r="E765" s="98"/>
      <c r="F765" s="98"/>
      <c r="G765" s="98"/>
      <c r="H765" s="98"/>
      <c r="I765" s="98"/>
    </row>
    <row r="766" spans="3:9">
      <c r="C766" s="138" t="s">
        <v>1075</v>
      </c>
      <c r="D766" s="98"/>
      <c r="E766" s="98"/>
      <c r="F766" s="98"/>
      <c r="G766" s="98"/>
      <c r="H766" s="98"/>
      <c r="I766" s="98"/>
    </row>
    <row r="767" spans="3:9">
      <c r="C767" s="138" t="s">
        <v>847</v>
      </c>
      <c r="D767" s="98"/>
      <c r="E767" s="98"/>
      <c r="F767" s="98"/>
      <c r="G767" s="98"/>
      <c r="H767" s="98"/>
      <c r="I767" s="98"/>
    </row>
    <row r="768" spans="3:9">
      <c r="C768" s="138" t="s">
        <v>990</v>
      </c>
      <c r="D768" s="98"/>
      <c r="E768" s="98"/>
      <c r="F768" s="98"/>
      <c r="G768" s="98"/>
      <c r="H768" s="98"/>
      <c r="I768" s="98"/>
    </row>
    <row r="769" spans="3:9">
      <c r="C769" s="138" t="s">
        <v>710</v>
      </c>
      <c r="D769" s="98"/>
      <c r="E769" s="98"/>
      <c r="F769" s="98"/>
      <c r="G769" s="98"/>
      <c r="H769" s="98"/>
      <c r="I769" s="98"/>
    </row>
    <row r="770" spans="3:9">
      <c r="C770" s="138" t="s">
        <v>461</v>
      </c>
      <c r="D770" s="98"/>
      <c r="E770" s="98"/>
      <c r="F770" s="98"/>
      <c r="G770" s="98"/>
      <c r="H770" s="98"/>
      <c r="I770" s="98"/>
    </row>
    <row r="771" spans="3:9">
      <c r="C771" s="138" t="s">
        <v>448</v>
      </c>
      <c r="D771" s="98"/>
      <c r="E771" s="98"/>
      <c r="F771" s="98"/>
      <c r="G771" s="98"/>
      <c r="H771" s="98"/>
      <c r="I771" s="98"/>
    </row>
    <row r="772" spans="3:9">
      <c r="C772" s="138" t="s">
        <v>792</v>
      </c>
      <c r="D772" s="98"/>
      <c r="E772" s="98"/>
      <c r="F772" s="98"/>
      <c r="G772" s="98"/>
      <c r="H772" s="98"/>
      <c r="I772" s="98"/>
    </row>
    <row r="773" spans="3:9">
      <c r="C773" s="138" t="s">
        <v>845</v>
      </c>
      <c r="D773" s="98"/>
      <c r="E773" s="98"/>
      <c r="F773" s="98"/>
      <c r="G773" s="98"/>
      <c r="H773" s="98"/>
      <c r="I773" s="98"/>
    </row>
    <row r="774" spans="3:9">
      <c r="C774" s="138" t="s">
        <v>328</v>
      </c>
      <c r="D774" s="98"/>
      <c r="E774" s="98"/>
      <c r="F774" s="98"/>
      <c r="G774" s="98"/>
      <c r="H774" s="98"/>
      <c r="I774" s="98"/>
    </row>
    <row r="775" spans="3:9">
      <c r="C775" s="138" t="s">
        <v>1060</v>
      </c>
      <c r="D775" s="98"/>
      <c r="E775" s="98"/>
      <c r="F775" s="98"/>
      <c r="G775" s="98"/>
      <c r="H775" s="98"/>
      <c r="I775" s="98"/>
    </row>
    <row r="776" spans="3:9">
      <c r="C776" s="138" t="s">
        <v>156</v>
      </c>
      <c r="D776" s="98"/>
      <c r="E776" s="98"/>
      <c r="F776" s="98"/>
      <c r="G776" s="98"/>
      <c r="H776" s="98"/>
      <c r="I776" s="98"/>
    </row>
    <row r="777" spans="3:9">
      <c r="C777" s="138" t="s">
        <v>790</v>
      </c>
      <c r="D777" s="98"/>
      <c r="E777" s="98"/>
      <c r="F777" s="98"/>
      <c r="G777" s="98"/>
      <c r="H777" s="98"/>
      <c r="I777" s="98"/>
    </row>
    <row r="778" spans="3:9">
      <c r="C778" s="138" t="s">
        <v>644</v>
      </c>
      <c r="D778" s="98"/>
      <c r="E778" s="98"/>
      <c r="F778" s="98"/>
      <c r="G778" s="98"/>
      <c r="H778" s="98"/>
      <c r="I778" s="98"/>
    </row>
    <row r="779" spans="3:9">
      <c r="C779" s="138" t="s">
        <v>822</v>
      </c>
      <c r="D779" s="98"/>
      <c r="E779" s="98"/>
      <c r="F779" s="98"/>
      <c r="G779" s="98"/>
      <c r="H779" s="98"/>
      <c r="I779" s="98"/>
    </row>
    <row r="780" spans="3:9">
      <c r="C780" s="138" t="s">
        <v>597</v>
      </c>
      <c r="D780" s="98"/>
      <c r="E780" s="98"/>
      <c r="F780" s="98"/>
      <c r="G780" s="98"/>
      <c r="H780" s="98"/>
      <c r="I780" s="98"/>
    </row>
    <row r="781" spans="3:9">
      <c r="C781" s="138" t="s">
        <v>368</v>
      </c>
      <c r="D781" s="98"/>
      <c r="E781" s="98"/>
      <c r="F781" s="98"/>
      <c r="G781" s="98"/>
      <c r="H781" s="98"/>
      <c r="I781" s="98"/>
    </row>
    <row r="782" spans="3:9">
      <c r="C782" s="138" t="s">
        <v>127</v>
      </c>
      <c r="D782" s="98"/>
      <c r="E782" s="98"/>
      <c r="F782" s="98"/>
      <c r="G782" s="98"/>
      <c r="H782" s="98"/>
      <c r="I782" s="98"/>
    </row>
    <row r="783" spans="3:9">
      <c r="C783" s="138" t="s">
        <v>892</v>
      </c>
      <c r="D783" s="98"/>
      <c r="E783" s="98"/>
      <c r="F783" s="98"/>
      <c r="G783" s="98"/>
      <c r="H783" s="98"/>
      <c r="I783" s="98"/>
    </row>
    <row r="784" spans="3:9">
      <c r="C784" s="138" t="s">
        <v>1087</v>
      </c>
      <c r="D784" s="98"/>
      <c r="E784" s="98"/>
      <c r="F784" s="98"/>
      <c r="G784" s="98"/>
      <c r="H784" s="98"/>
      <c r="I784" s="98"/>
    </row>
    <row r="785" spans="3:9">
      <c r="C785" s="138" t="s">
        <v>555</v>
      </c>
      <c r="D785" s="98"/>
      <c r="E785" s="98"/>
      <c r="F785" s="98"/>
      <c r="G785" s="98"/>
      <c r="H785" s="98"/>
      <c r="I785" s="98"/>
    </row>
    <row r="786" spans="3:9">
      <c r="C786" s="138" t="s">
        <v>75</v>
      </c>
      <c r="D786" s="98"/>
      <c r="E786" s="98"/>
      <c r="F786" s="98"/>
      <c r="G786" s="98"/>
      <c r="H786" s="98"/>
      <c r="I786" s="98"/>
    </row>
    <row r="787" spans="3:9">
      <c r="C787" s="138" t="s">
        <v>236</v>
      </c>
      <c r="D787" s="98"/>
      <c r="E787" s="98"/>
      <c r="F787" s="98"/>
      <c r="G787" s="98"/>
      <c r="H787" s="98"/>
      <c r="I787" s="98"/>
    </row>
    <row r="788" spans="3:9">
      <c r="C788" s="138" t="s">
        <v>837</v>
      </c>
      <c r="D788" s="98"/>
      <c r="E788" s="98"/>
      <c r="F788" s="98"/>
      <c r="G788" s="98"/>
      <c r="H788" s="98"/>
      <c r="I788" s="98"/>
    </row>
    <row r="789" spans="3:9">
      <c r="C789" s="138" t="s">
        <v>118</v>
      </c>
      <c r="D789" s="98"/>
      <c r="E789" s="98"/>
      <c r="F789" s="98"/>
      <c r="G789" s="98"/>
      <c r="H789" s="98"/>
      <c r="I789" s="98"/>
    </row>
    <row r="790" spans="3:9">
      <c r="C790" s="138" t="s">
        <v>769</v>
      </c>
      <c r="D790" s="98"/>
      <c r="E790" s="98"/>
      <c r="F790" s="98"/>
      <c r="G790" s="98"/>
      <c r="H790" s="98"/>
      <c r="I790" s="98"/>
    </row>
    <row r="791" spans="3:9">
      <c r="C791" s="138" t="s">
        <v>1037</v>
      </c>
      <c r="D791" s="98"/>
      <c r="E791" s="98"/>
      <c r="F791" s="98"/>
      <c r="G791" s="98"/>
      <c r="H791" s="98"/>
      <c r="I791" s="98"/>
    </row>
    <row r="792" spans="3:9">
      <c r="C792" s="138" t="s">
        <v>956</v>
      </c>
      <c r="D792" s="98"/>
      <c r="E792" s="98"/>
      <c r="F792" s="98"/>
      <c r="G792" s="98"/>
      <c r="H792" s="98"/>
      <c r="I792" s="98"/>
    </row>
    <row r="793" spans="3:9">
      <c r="C793" s="138" t="s">
        <v>800</v>
      </c>
      <c r="D793" s="98"/>
      <c r="E793" s="98"/>
      <c r="F793" s="98"/>
      <c r="G793" s="98"/>
      <c r="H793" s="98"/>
      <c r="I793" s="98"/>
    </row>
    <row r="794" spans="3:9">
      <c r="C794" s="138" t="s">
        <v>1062</v>
      </c>
      <c r="D794" s="98"/>
      <c r="E794" s="98"/>
      <c r="F794" s="98"/>
      <c r="G794" s="98"/>
      <c r="H794" s="98"/>
      <c r="I794" s="98"/>
    </row>
    <row r="795" spans="3:9">
      <c r="C795" s="138" t="s">
        <v>787</v>
      </c>
      <c r="D795" s="98"/>
      <c r="E795" s="98"/>
      <c r="F795" s="98"/>
      <c r="G795" s="98"/>
      <c r="H795" s="98"/>
      <c r="I795" s="98"/>
    </row>
    <row r="796" spans="3:9">
      <c r="C796" s="138" t="s">
        <v>568</v>
      </c>
      <c r="D796" s="98"/>
      <c r="E796" s="98"/>
      <c r="F796" s="98"/>
      <c r="G796" s="98"/>
      <c r="H796" s="98"/>
      <c r="I796" s="98"/>
    </row>
    <row r="797" spans="3:9">
      <c r="C797" s="138" t="s">
        <v>590</v>
      </c>
      <c r="D797" s="98"/>
      <c r="E797" s="98"/>
      <c r="F797" s="98"/>
      <c r="G797" s="98"/>
      <c r="H797" s="98"/>
      <c r="I797" s="98"/>
    </row>
    <row r="798" spans="3:9">
      <c r="C798" s="138" t="s">
        <v>176</v>
      </c>
      <c r="D798" s="98"/>
      <c r="E798" s="98"/>
      <c r="F798" s="98"/>
      <c r="G798" s="98"/>
      <c r="H798" s="98"/>
      <c r="I798" s="98"/>
    </row>
    <row r="799" spans="3:9">
      <c r="C799" s="138" t="s">
        <v>587</v>
      </c>
      <c r="D799" s="98"/>
      <c r="E799" s="98"/>
      <c r="F799" s="98"/>
      <c r="G799" s="98"/>
      <c r="H799" s="98"/>
      <c r="I799" s="98"/>
    </row>
    <row r="800" spans="3:9">
      <c r="C800" s="138" t="s">
        <v>806</v>
      </c>
      <c r="D800" s="98"/>
      <c r="E800" s="98"/>
      <c r="F800" s="98"/>
      <c r="G800" s="98"/>
      <c r="H800" s="98"/>
      <c r="I800" s="98"/>
    </row>
    <row r="801" spans="3:9">
      <c r="C801" s="138" t="s">
        <v>329</v>
      </c>
      <c r="D801" s="98"/>
      <c r="E801" s="98"/>
      <c r="F801" s="98"/>
      <c r="G801" s="98"/>
      <c r="H801" s="98"/>
      <c r="I801" s="98"/>
    </row>
    <row r="802" spans="3:9">
      <c r="C802" s="138" t="s">
        <v>917</v>
      </c>
      <c r="D802" s="98"/>
      <c r="E802" s="98"/>
      <c r="F802" s="98"/>
      <c r="G802" s="98"/>
      <c r="H802" s="98"/>
      <c r="I802" s="98"/>
    </row>
    <row r="803" spans="3:9">
      <c r="C803" s="138" t="s">
        <v>249</v>
      </c>
      <c r="D803" s="98"/>
      <c r="E803" s="98"/>
      <c r="F803" s="98"/>
      <c r="G803" s="98"/>
      <c r="H803" s="98"/>
      <c r="I803" s="98"/>
    </row>
    <row r="804" spans="3:9">
      <c r="C804" s="138" t="s">
        <v>851</v>
      </c>
      <c r="D804" s="98"/>
      <c r="E804" s="98"/>
      <c r="F804" s="98"/>
      <c r="G804" s="98"/>
      <c r="H804" s="98"/>
      <c r="I804" s="98"/>
    </row>
    <row r="805" spans="3:9">
      <c r="C805" s="138" t="s">
        <v>241</v>
      </c>
      <c r="D805" s="98"/>
      <c r="E805" s="98"/>
      <c r="F805" s="98"/>
      <c r="G805" s="98"/>
      <c r="H805" s="98"/>
      <c r="I805" s="98"/>
    </row>
    <row r="806" spans="3:9">
      <c r="C806" s="138" t="s">
        <v>598</v>
      </c>
      <c r="D806" s="98"/>
      <c r="E806" s="98"/>
      <c r="F806" s="98"/>
      <c r="G806" s="98"/>
      <c r="H806" s="98"/>
      <c r="I806" s="98"/>
    </row>
    <row r="807" spans="3:9">
      <c r="C807" s="138" t="s">
        <v>1032</v>
      </c>
      <c r="D807" s="98"/>
      <c r="E807" s="98"/>
      <c r="F807" s="98"/>
      <c r="G807" s="98"/>
      <c r="H807" s="98"/>
      <c r="I807" s="98"/>
    </row>
    <row r="808" spans="3:9">
      <c r="C808" s="138" t="s">
        <v>770</v>
      </c>
      <c r="D808" s="98"/>
      <c r="E808" s="98"/>
      <c r="F808" s="98"/>
      <c r="G808" s="98"/>
      <c r="H808" s="98"/>
      <c r="I808" s="98"/>
    </row>
    <row r="809" spans="3:9">
      <c r="C809" s="138" t="s">
        <v>76</v>
      </c>
      <c r="D809" s="98"/>
      <c r="E809" s="98"/>
      <c r="F809" s="98"/>
      <c r="G809" s="98"/>
      <c r="H809" s="98"/>
      <c r="I809" s="98"/>
    </row>
    <row r="810" spans="3:9">
      <c r="C810" s="138" t="s">
        <v>849</v>
      </c>
      <c r="D810" s="98"/>
      <c r="E810" s="98"/>
      <c r="F810" s="98"/>
      <c r="G810" s="98"/>
      <c r="H810" s="98"/>
      <c r="I810" s="98"/>
    </row>
    <row r="811" spans="3:9">
      <c r="C811" s="138" t="s">
        <v>548</v>
      </c>
      <c r="D811" s="98"/>
      <c r="E811" s="98"/>
      <c r="F811" s="98"/>
      <c r="G811" s="98"/>
      <c r="H811" s="98"/>
      <c r="I811" s="98"/>
    </row>
    <row r="812" spans="3:9">
      <c r="C812" s="138" t="s">
        <v>762</v>
      </c>
      <c r="D812" s="98"/>
      <c r="E812" s="98"/>
      <c r="F812" s="98"/>
      <c r="G812" s="98"/>
      <c r="H812" s="98"/>
      <c r="I812" s="98"/>
    </row>
    <row r="813" spans="3:9">
      <c r="C813" s="138" t="s">
        <v>332</v>
      </c>
      <c r="D813" s="98"/>
      <c r="E813" s="98"/>
      <c r="F813" s="98"/>
      <c r="G813" s="98"/>
      <c r="H813" s="98"/>
      <c r="I813" s="98"/>
    </row>
    <row r="814" spans="3:9">
      <c r="C814" s="138" t="s">
        <v>1114</v>
      </c>
      <c r="D814" s="98"/>
      <c r="E814" s="98"/>
      <c r="F814" s="98"/>
      <c r="G814" s="98"/>
      <c r="H814" s="98"/>
      <c r="I814" s="98"/>
    </row>
    <row r="815" spans="3:9">
      <c r="C815" s="138" t="s">
        <v>654</v>
      </c>
      <c r="D815" s="98"/>
      <c r="E815" s="98"/>
      <c r="F815" s="98"/>
      <c r="G815" s="98"/>
      <c r="H815" s="98"/>
      <c r="I815" s="98"/>
    </row>
    <row r="816" spans="3:9">
      <c r="C816" s="138" t="s">
        <v>1119</v>
      </c>
      <c r="D816" s="98"/>
      <c r="E816" s="98"/>
      <c r="F816" s="98"/>
      <c r="G816" s="98"/>
      <c r="H816" s="98"/>
      <c r="I816" s="98"/>
    </row>
    <row r="817" spans="3:9">
      <c r="C817" s="138" t="s">
        <v>691</v>
      </c>
      <c r="D817" s="98"/>
      <c r="E817" s="98"/>
      <c r="F817" s="98"/>
      <c r="G817" s="98"/>
      <c r="H817" s="98"/>
      <c r="I817" s="98"/>
    </row>
    <row r="818" spans="3:9">
      <c r="C818" s="138" t="s">
        <v>1066</v>
      </c>
      <c r="D818" s="98"/>
      <c r="E818" s="98"/>
      <c r="F818" s="98"/>
      <c r="G818" s="98"/>
      <c r="H818" s="98"/>
      <c r="I818" s="98"/>
    </row>
    <row r="819" spans="3:9">
      <c r="C819" s="138" t="s">
        <v>861</v>
      </c>
      <c r="D819" s="98"/>
      <c r="E819" s="98"/>
      <c r="F819" s="98"/>
      <c r="G819" s="98"/>
      <c r="H819" s="98"/>
      <c r="I819" s="98"/>
    </row>
    <row r="820" spans="3:9">
      <c r="C820" s="138" t="s">
        <v>370</v>
      </c>
      <c r="D820" s="98"/>
      <c r="E820" s="98"/>
      <c r="F820" s="98"/>
      <c r="G820" s="98"/>
      <c r="H820" s="98"/>
      <c r="I820" s="98"/>
    </row>
    <row r="821" spans="3:9">
      <c r="C821" s="138" t="s">
        <v>1058</v>
      </c>
      <c r="D821" s="98"/>
      <c r="E821" s="98"/>
      <c r="F821" s="98"/>
      <c r="G821" s="98"/>
      <c r="H821" s="98"/>
      <c r="I821" s="98"/>
    </row>
    <row r="822" spans="3:9">
      <c r="C822" s="138" t="s">
        <v>509</v>
      </c>
      <c r="D822" s="98"/>
      <c r="E822" s="98"/>
      <c r="F822" s="98"/>
      <c r="G822" s="98"/>
      <c r="H822" s="98"/>
      <c r="I822" s="98"/>
    </row>
    <row r="823" spans="3:9">
      <c r="C823" s="138" t="s">
        <v>680</v>
      </c>
      <c r="D823" s="98"/>
      <c r="E823" s="98"/>
      <c r="F823" s="98"/>
      <c r="G823" s="98"/>
      <c r="H823" s="98"/>
      <c r="I823" s="98"/>
    </row>
    <row r="824" spans="3:9">
      <c r="C824" s="138" t="s">
        <v>443</v>
      </c>
      <c r="D824" s="98"/>
      <c r="E824" s="98"/>
      <c r="F824" s="98"/>
      <c r="G824" s="98"/>
      <c r="H824" s="98"/>
      <c r="I824" s="98"/>
    </row>
    <row r="825" spans="3:9">
      <c r="C825" s="138" t="s">
        <v>160</v>
      </c>
      <c r="D825" s="98"/>
      <c r="E825" s="98"/>
      <c r="F825" s="98"/>
      <c r="G825" s="98"/>
      <c r="H825" s="98"/>
      <c r="I825" s="98"/>
    </row>
    <row r="826" spans="3:9">
      <c r="C826" s="138" t="s">
        <v>360</v>
      </c>
      <c r="D826" s="98"/>
      <c r="E826" s="98"/>
      <c r="F826" s="98"/>
      <c r="G826" s="98"/>
      <c r="H826" s="98"/>
      <c r="I826" s="98"/>
    </row>
    <row r="827" spans="3:9">
      <c r="C827" s="138" t="s">
        <v>690</v>
      </c>
      <c r="D827" s="98"/>
      <c r="E827" s="98"/>
      <c r="F827" s="98"/>
      <c r="G827" s="98"/>
      <c r="H827" s="98"/>
      <c r="I827" s="98"/>
    </row>
    <row r="828" spans="3:9">
      <c r="C828" s="138" t="s">
        <v>733</v>
      </c>
      <c r="D828" s="98"/>
      <c r="E828" s="98"/>
      <c r="F828" s="98"/>
      <c r="G828" s="98"/>
      <c r="H828" s="98"/>
      <c r="I828" s="98"/>
    </row>
    <row r="829" spans="3:9">
      <c r="C829" s="138" t="s">
        <v>1112</v>
      </c>
      <c r="D829" s="98"/>
      <c r="E829" s="98"/>
      <c r="F829" s="98"/>
      <c r="G829" s="98"/>
      <c r="H829" s="98"/>
      <c r="I829" s="98"/>
    </row>
    <row r="830" spans="3:9">
      <c r="C830" s="138" t="s">
        <v>1061</v>
      </c>
      <c r="D830" s="98"/>
      <c r="E830" s="98"/>
      <c r="F830" s="98"/>
      <c r="G830" s="98"/>
      <c r="H830" s="98"/>
      <c r="I830" s="98"/>
    </row>
    <row r="831" spans="3:9">
      <c r="C831" s="138" t="s">
        <v>277</v>
      </c>
      <c r="D831" s="98"/>
      <c r="E831" s="98"/>
      <c r="F831" s="98"/>
      <c r="G831" s="98"/>
      <c r="H831" s="98"/>
      <c r="I831" s="98"/>
    </row>
    <row r="832" spans="3:9">
      <c r="C832" s="138" t="s">
        <v>623</v>
      </c>
      <c r="D832" s="98"/>
      <c r="E832" s="98"/>
      <c r="F832" s="98"/>
      <c r="G832" s="98"/>
      <c r="H832" s="98"/>
      <c r="I832" s="98"/>
    </row>
    <row r="833" spans="3:9">
      <c r="C833" s="138" t="s">
        <v>363</v>
      </c>
      <c r="D833" s="98"/>
      <c r="E833" s="98"/>
      <c r="F833" s="98"/>
      <c r="G833" s="98"/>
      <c r="H833" s="98"/>
      <c r="I833" s="98"/>
    </row>
    <row r="834" spans="3:9">
      <c r="C834" s="138" t="s">
        <v>493</v>
      </c>
      <c r="D834" s="98"/>
      <c r="E834" s="98"/>
      <c r="F834" s="98"/>
      <c r="G834" s="98"/>
      <c r="H834" s="98"/>
      <c r="I834" s="98"/>
    </row>
    <row r="835" spans="3:9">
      <c r="C835" s="138" t="s">
        <v>918</v>
      </c>
      <c r="D835" s="98"/>
      <c r="E835" s="98"/>
      <c r="F835" s="98"/>
      <c r="G835" s="98"/>
      <c r="H835" s="98"/>
      <c r="I835" s="98"/>
    </row>
    <row r="836" spans="3:9">
      <c r="C836" s="138" t="s">
        <v>681</v>
      </c>
      <c r="D836" s="98"/>
      <c r="E836" s="98"/>
      <c r="F836" s="98"/>
      <c r="G836" s="98"/>
      <c r="H836" s="98"/>
      <c r="I836" s="98"/>
    </row>
    <row r="837" spans="3:9">
      <c r="C837" s="138" t="s">
        <v>950</v>
      </c>
      <c r="D837" s="98"/>
      <c r="E837" s="98"/>
      <c r="F837" s="98"/>
      <c r="G837" s="98"/>
      <c r="H837" s="98"/>
      <c r="I837" s="98"/>
    </row>
    <row r="838" spans="3:9">
      <c r="C838" s="138" t="s">
        <v>131</v>
      </c>
      <c r="D838" s="98"/>
      <c r="E838" s="98"/>
      <c r="F838" s="98"/>
      <c r="G838" s="98"/>
      <c r="H838" s="98"/>
      <c r="I838" s="98"/>
    </row>
    <row r="839" spans="3:9">
      <c r="C839" s="138" t="s">
        <v>154</v>
      </c>
      <c r="D839" s="98"/>
      <c r="E839" s="98"/>
      <c r="F839" s="98"/>
      <c r="G839" s="98"/>
      <c r="H839" s="98"/>
      <c r="I839" s="98"/>
    </row>
    <row r="840" spans="3:9">
      <c r="C840" s="138" t="s">
        <v>642</v>
      </c>
      <c r="D840" s="98"/>
      <c r="E840" s="98"/>
      <c r="F840" s="98"/>
      <c r="G840" s="98"/>
      <c r="H840" s="98"/>
      <c r="I840" s="98"/>
    </row>
    <row r="841" spans="3:9">
      <c r="C841" s="138" t="s">
        <v>670</v>
      </c>
      <c r="D841" s="98"/>
      <c r="E841" s="98"/>
      <c r="F841" s="98"/>
      <c r="G841" s="98"/>
      <c r="H841" s="98"/>
      <c r="I841" s="98"/>
    </row>
    <row r="842" spans="3:9">
      <c r="C842" s="138" t="s">
        <v>250</v>
      </c>
      <c r="D842" s="98"/>
      <c r="E842" s="98"/>
      <c r="F842" s="98"/>
      <c r="G842" s="98"/>
      <c r="H842" s="98"/>
      <c r="I842" s="98"/>
    </row>
    <row r="843" spans="3:9">
      <c r="C843" s="138" t="s">
        <v>637</v>
      </c>
      <c r="D843" s="98"/>
      <c r="E843" s="98"/>
      <c r="F843" s="98"/>
      <c r="G843" s="98"/>
      <c r="H843" s="98"/>
      <c r="I843" s="98"/>
    </row>
    <row r="844" spans="3:9">
      <c r="C844" s="138" t="s">
        <v>298</v>
      </c>
      <c r="D844" s="98"/>
      <c r="E844" s="98"/>
      <c r="F844" s="98"/>
      <c r="G844" s="98"/>
      <c r="H844" s="98"/>
      <c r="I844" s="98"/>
    </row>
    <row r="845" spans="3:9">
      <c r="C845" s="138" t="s">
        <v>479</v>
      </c>
      <c r="D845" s="98"/>
      <c r="E845" s="98"/>
      <c r="F845" s="98"/>
      <c r="G845" s="98"/>
      <c r="H845" s="98"/>
      <c r="I845" s="98"/>
    </row>
    <row r="846" spans="3:9">
      <c r="C846" s="138" t="s">
        <v>405</v>
      </c>
      <c r="D846" s="98"/>
      <c r="E846" s="98"/>
      <c r="F846" s="98"/>
      <c r="G846" s="98"/>
      <c r="H846" s="98"/>
      <c r="I846" s="98"/>
    </row>
    <row r="847" spans="3:9">
      <c r="C847" s="138" t="s">
        <v>878</v>
      </c>
      <c r="D847" s="98"/>
      <c r="E847" s="98"/>
      <c r="F847" s="98"/>
      <c r="G847" s="98"/>
      <c r="H847" s="98"/>
      <c r="I847" s="98"/>
    </row>
    <row r="848" spans="3:9">
      <c r="C848" s="138" t="s">
        <v>752</v>
      </c>
      <c r="D848" s="98"/>
      <c r="E848" s="98"/>
      <c r="F848" s="98"/>
      <c r="G848" s="98"/>
      <c r="H848" s="98"/>
      <c r="I848" s="98"/>
    </row>
    <row r="849" spans="3:9">
      <c r="C849" s="138" t="s">
        <v>358</v>
      </c>
      <c r="D849" s="98"/>
      <c r="E849" s="98"/>
      <c r="F849" s="98"/>
      <c r="G849" s="98"/>
      <c r="H849" s="98"/>
      <c r="I849" s="98"/>
    </row>
    <row r="850" spans="3:9">
      <c r="C850" s="138" t="s">
        <v>288</v>
      </c>
      <c r="D850" s="98"/>
      <c r="E850" s="98"/>
      <c r="F850" s="98"/>
      <c r="G850" s="98"/>
      <c r="H850" s="98"/>
      <c r="I850" s="98"/>
    </row>
    <row r="851" spans="3:9">
      <c r="C851" s="138" t="s">
        <v>491</v>
      </c>
      <c r="D851" s="98"/>
      <c r="E851" s="98"/>
      <c r="F851" s="98"/>
      <c r="G851" s="98"/>
      <c r="H851" s="98"/>
      <c r="I851" s="98"/>
    </row>
    <row r="852" spans="3:9">
      <c r="C852" s="138" t="s">
        <v>608</v>
      </c>
      <c r="D852" s="98"/>
      <c r="E852" s="98"/>
      <c r="F852" s="98"/>
      <c r="G852" s="98"/>
      <c r="H852" s="98"/>
      <c r="I852" s="98"/>
    </row>
    <row r="853" spans="3:9">
      <c r="C853" s="138" t="s">
        <v>1019</v>
      </c>
      <c r="D853" s="98"/>
      <c r="E853" s="98"/>
      <c r="F853" s="98"/>
      <c r="G853" s="98"/>
      <c r="H853" s="98"/>
      <c r="I853" s="98"/>
    </row>
    <row r="854" spans="3:9">
      <c r="C854" s="138" t="s">
        <v>432</v>
      </c>
      <c r="D854" s="98"/>
      <c r="E854" s="98"/>
      <c r="F854" s="98"/>
      <c r="G854" s="98"/>
      <c r="H854" s="98"/>
      <c r="I854" s="98"/>
    </row>
    <row r="855" spans="3:9">
      <c r="C855" s="138" t="s">
        <v>516</v>
      </c>
      <c r="D855" s="98"/>
      <c r="E855" s="98"/>
      <c r="F855" s="98"/>
      <c r="G855" s="98"/>
      <c r="H855" s="98"/>
      <c r="I855" s="98"/>
    </row>
    <row r="856" spans="3:9">
      <c r="C856" s="138" t="s">
        <v>830</v>
      </c>
      <c r="D856" s="98"/>
      <c r="E856" s="98"/>
      <c r="F856" s="98"/>
      <c r="G856" s="98"/>
      <c r="H856" s="98"/>
      <c r="I856" s="98"/>
    </row>
    <row r="857" spans="3:9">
      <c r="C857" s="138" t="s">
        <v>506</v>
      </c>
      <c r="D857" s="98"/>
      <c r="E857" s="98"/>
      <c r="F857" s="98"/>
      <c r="G857" s="98"/>
      <c r="H857" s="98"/>
      <c r="I857" s="98"/>
    </row>
    <row r="858" spans="3:9">
      <c r="C858" s="138" t="s">
        <v>973</v>
      </c>
      <c r="D858" s="98"/>
      <c r="E858" s="98"/>
      <c r="F858" s="98"/>
      <c r="G858" s="98"/>
      <c r="H858" s="98"/>
      <c r="I858" s="98"/>
    </row>
    <row r="859" spans="3:9">
      <c r="C859" s="138" t="s">
        <v>420</v>
      </c>
      <c r="D859" s="98"/>
      <c r="E859" s="98"/>
      <c r="F859" s="98"/>
      <c r="G859" s="98"/>
      <c r="H859" s="98"/>
      <c r="I859" s="98"/>
    </row>
    <row r="860" spans="3:9">
      <c r="C860" s="138" t="s">
        <v>502</v>
      </c>
      <c r="D860" s="98"/>
      <c r="E860" s="98"/>
      <c r="F860" s="98"/>
      <c r="G860" s="98"/>
      <c r="H860" s="98"/>
      <c r="I860" s="98"/>
    </row>
    <row r="861" spans="3:9">
      <c r="C861" s="138" t="s">
        <v>1074</v>
      </c>
      <c r="D861" s="98"/>
      <c r="E861" s="98"/>
      <c r="F861" s="98"/>
      <c r="G861" s="98"/>
      <c r="H861" s="98"/>
      <c r="I861" s="98"/>
    </row>
    <row r="862" spans="3:9">
      <c r="C862" s="138" t="s">
        <v>1110</v>
      </c>
      <c r="D862" s="98"/>
      <c r="E862" s="98"/>
      <c r="F862" s="98"/>
      <c r="G862" s="98"/>
      <c r="H862" s="98"/>
      <c r="I862" s="98"/>
    </row>
    <row r="863" spans="3:9">
      <c r="C863" s="138" t="s">
        <v>960</v>
      </c>
      <c r="D863" s="98"/>
      <c r="E863" s="98"/>
      <c r="F863" s="98"/>
      <c r="G863" s="98"/>
      <c r="H863" s="98"/>
      <c r="I863" s="98"/>
    </row>
    <row r="864" spans="3:9">
      <c r="C864" s="138" t="s">
        <v>844</v>
      </c>
      <c r="D864" s="98"/>
      <c r="E864" s="98"/>
      <c r="F864" s="98"/>
      <c r="G864" s="98"/>
      <c r="H864" s="98"/>
      <c r="I864" s="98"/>
    </row>
    <row r="865" spans="3:9">
      <c r="C865" s="138" t="s">
        <v>457</v>
      </c>
      <c r="D865" s="98"/>
      <c r="E865" s="98"/>
      <c r="F865" s="98"/>
      <c r="G865" s="98"/>
      <c r="H865" s="98"/>
      <c r="I865" s="98"/>
    </row>
    <row r="866" spans="3:9">
      <c r="C866" s="138" t="s">
        <v>876</v>
      </c>
      <c r="D866" s="98"/>
      <c r="E866" s="98"/>
      <c r="F866" s="98"/>
      <c r="G866" s="98"/>
      <c r="H866" s="98"/>
      <c r="I866" s="98"/>
    </row>
    <row r="867" spans="3:9">
      <c r="C867" s="138" t="s">
        <v>991</v>
      </c>
      <c r="D867" s="98"/>
      <c r="E867" s="98"/>
      <c r="F867" s="98"/>
      <c r="G867" s="98"/>
      <c r="H867" s="98"/>
      <c r="I867" s="98"/>
    </row>
    <row r="868" spans="3:9">
      <c r="C868" s="138" t="s">
        <v>634</v>
      </c>
      <c r="D868" s="98"/>
      <c r="E868" s="98"/>
      <c r="F868" s="98"/>
      <c r="G868" s="98"/>
      <c r="H868" s="98"/>
      <c r="I868" s="98"/>
    </row>
    <row r="869" spans="3:9">
      <c r="C869" s="138" t="s">
        <v>1021</v>
      </c>
      <c r="D869" s="98"/>
      <c r="E869" s="98"/>
      <c r="F869" s="98"/>
      <c r="G869" s="98"/>
      <c r="H869" s="98"/>
      <c r="I869" s="98"/>
    </row>
    <row r="870" spans="3:9">
      <c r="C870" s="138" t="s">
        <v>378</v>
      </c>
      <c r="D870" s="98"/>
      <c r="E870" s="98"/>
      <c r="F870" s="98"/>
      <c r="G870" s="98"/>
      <c r="H870" s="98"/>
      <c r="I870" s="98"/>
    </row>
    <row r="871" spans="3:9">
      <c r="C871" s="138" t="s">
        <v>1107</v>
      </c>
      <c r="D871" s="98"/>
      <c r="E871" s="98"/>
      <c r="F871" s="98"/>
      <c r="G871" s="98"/>
      <c r="H871" s="98"/>
      <c r="I871" s="98"/>
    </row>
    <row r="872" spans="3:9">
      <c r="C872" s="138" t="s">
        <v>717</v>
      </c>
      <c r="D872" s="98"/>
      <c r="E872" s="98"/>
      <c r="F872" s="98"/>
      <c r="G872" s="98"/>
      <c r="H872" s="98"/>
      <c r="I872" s="98"/>
    </row>
    <row r="873" spans="3:9">
      <c r="C873" s="138" t="s">
        <v>222</v>
      </c>
      <c r="D873" s="98"/>
      <c r="E873" s="98"/>
      <c r="F873" s="98"/>
      <c r="G873" s="98"/>
      <c r="H873" s="98"/>
      <c r="I873" s="98"/>
    </row>
    <row r="874" spans="3:9">
      <c r="C874" s="138" t="s">
        <v>271</v>
      </c>
      <c r="D874" s="98"/>
      <c r="E874" s="98"/>
      <c r="F874" s="98"/>
      <c r="G874" s="98"/>
      <c r="H874" s="98"/>
      <c r="I874" s="98"/>
    </row>
    <row r="875" spans="3:9">
      <c r="C875" s="138" t="s">
        <v>881</v>
      </c>
      <c r="D875" s="98"/>
      <c r="E875" s="98"/>
      <c r="F875" s="98"/>
      <c r="G875" s="98"/>
      <c r="H875" s="98"/>
      <c r="I875" s="98"/>
    </row>
    <row r="876" spans="3:9">
      <c r="C876" s="138" t="s">
        <v>979</v>
      </c>
      <c r="D876" s="98"/>
      <c r="E876" s="98"/>
      <c r="F876" s="98"/>
      <c r="G876" s="98"/>
      <c r="H876" s="98"/>
      <c r="I876" s="98"/>
    </row>
    <row r="877" spans="3:9">
      <c r="C877" s="138" t="s">
        <v>1067</v>
      </c>
      <c r="D877" s="98"/>
      <c r="E877" s="98"/>
      <c r="F877" s="98"/>
      <c r="G877" s="98"/>
      <c r="H877" s="98"/>
      <c r="I877" s="98"/>
    </row>
    <row r="878" spans="3:9">
      <c r="C878" s="138" t="s">
        <v>578</v>
      </c>
      <c r="D878" s="98"/>
      <c r="E878" s="98"/>
      <c r="F878" s="98"/>
      <c r="G878" s="98"/>
      <c r="H878" s="98"/>
      <c r="I878" s="98"/>
    </row>
    <row r="879" spans="3:9">
      <c r="C879" s="138" t="s">
        <v>903</v>
      </c>
      <c r="D879" s="98"/>
      <c r="E879" s="98"/>
      <c r="F879" s="98"/>
      <c r="G879" s="98"/>
      <c r="H879" s="98"/>
      <c r="I879" s="98"/>
    </row>
    <row r="880" spans="3:9">
      <c r="C880" s="138" t="s">
        <v>621</v>
      </c>
      <c r="D880" s="98"/>
      <c r="E880" s="98"/>
      <c r="F880" s="98"/>
      <c r="G880" s="98"/>
      <c r="H880" s="98"/>
      <c r="I880" s="98"/>
    </row>
    <row r="881" spans="3:9">
      <c r="C881" s="138" t="s">
        <v>431</v>
      </c>
      <c r="D881" s="98"/>
      <c r="E881" s="98"/>
      <c r="F881" s="98"/>
      <c r="G881" s="98"/>
      <c r="H881" s="98"/>
      <c r="I881" s="98"/>
    </row>
    <row r="882" spans="3:9">
      <c r="C882" s="138" t="s">
        <v>761</v>
      </c>
      <c r="D882" s="98"/>
      <c r="E882" s="98"/>
      <c r="F882" s="98"/>
      <c r="G882" s="98"/>
      <c r="H882" s="98"/>
      <c r="I882" s="98"/>
    </row>
    <row r="883" spans="3:9">
      <c r="C883" s="138" t="s">
        <v>744</v>
      </c>
      <c r="D883" s="98"/>
      <c r="E883" s="98"/>
      <c r="F883" s="98"/>
      <c r="G883" s="98"/>
      <c r="H883" s="98"/>
      <c r="I883" s="98"/>
    </row>
    <row r="884" spans="3:9">
      <c r="C884" s="138" t="s">
        <v>124</v>
      </c>
      <c r="D884" s="98"/>
      <c r="E884" s="98"/>
      <c r="F884" s="98"/>
      <c r="G884" s="98"/>
      <c r="H884" s="98"/>
      <c r="I884" s="98"/>
    </row>
    <row r="885" spans="3:9">
      <c r="C885" s="138" t="s">
        <v>607</v>
      </c>
      <c r="D885" s="98"/>
      <c r="E885" s="98"/>
      <c r="F885" s="98"/>
      <c r="G885" s="98"/>
      <c r="H885" s="98"/>
      <c r="I885" s="98"/>
    </row>
    <row r="886" spans="3:9">
      <c r="C886" s="138" t="s">
        <v>1015</v>
      </c>
      <c r="D886" s="98"/>
      <c r="E886" s="98"/>
      <c r="F886" s="98"/>
      <c r="G886" s="98"/>
      <c r="H886" s="98"/>
      <c r="I886" s="98"/>
    </row>
    <row r="887" spans="3:9">
      <c r="C887" s="138" t="s">
        <v>989</v>
      </c>
      <c r="D887" s="98"/>
      <c r="E887" s="98"/>
      <c r="F887" s="98"/>
      <c r="G887" s="98"/>
      <c r="H887" s="98"/>
      <c r="I887" s="98"/>
    </row>
    <row r="888" spans="3:9">
      <c r="C888" s="138" t="s">
        <v>1045</v>
      </c>
      <c r="D888" s="98"/>
      <c r="E888" s="98"/>
      <c r="F888" s="98"/>
      <c r="G888" s="98"/>
      <c r="H888" s="98"/>
      <c r="I888" s="98"/>
    </row>
    <row r="889" spans="3:9">
      <c r="C889" s="138" t="s">
        <v>475</v>
      </c>
      <c r="D889" s="98"/>
      <c r="E889" s="98"/>
      <c r="F889" s="98"/>
      <c r="G889" s="98"/>
      <c r="H889" s="98"/>
      <c r="I889" s="98"/>
    </row>
    <row r="890" spans="3:9">
      <c r="C890" s="138" t="s">
        <v>1009</v>
      </c>
      <c r="D890" s="98"/>
      <c r="E890" s="98"/>
      <c r="F890" s="98"/>
      <c r="G890" s="98"/>
      <c r="H890" s="98"/>
      <c r="I890" s="98"/>
    </row>
    <row r="891" spans="3:9">
      <c r="C891" s="138" t="s">
        <v>180</v>
      </c>
      <c r="D891" s="98"/>
      <c r="E891" s="98"/>
      <c r="F891" s="98"/>
      <c r="G891" s="98"/>
      <c r="H891" s="98"/>
      <c r="I891" s="98"/>
    </row>
    <row r="892" spans="3:9">
      <c r="C892" s="138" t="s">
        <v>554</v>
      </c>
      <c r="D892" s="98"/>
      <c r="E892" s="98"/>
      <c r="F892" s="98"/>
      <c r="G892" s="98"/>
      <c r="H892" s="98"/>
      <c r="I892" s="98"/>
    </row>
    <row r="893" spans="3:9">
      <c r="C893" s="138" t="s">
        <v>967</v>
      </c>
      <c r="D893" s="98"/>
      <c r="E893" s="98"/>
      <c r="F893" s="98"/>
      <c r="G893" s="98"/>
      <c r="H893" s="98"/>
      <c r="I893" s="98"/>
    </row>
    <row r="894" spans="3:9">
      <c r="C894" s="138" t="s">
        <v>427</v>
      </c>
      <c r="D894" s="98"/>
      <c r="E894" s="98"/>
      <c r="F894" s="98"/>
      <c r="G894" s="98"/>
      <c r="H894" s="98"/>
      <c r="I894" s="98"/>
    </row>
    <row r="895" spans="3:9">
      <c r="C895" s="138" t="s">
        <v>520</v>
      </c>
      <c r="D895" s="98"/>
      <c r="E895" s="98"/>
      <c r="F895" s="98"/>
      <c r="G895" s="98"/>
      <c r="H895" s="98"/>
      <c r="I895" s="98"/>
    </row>
    <row r="896" spans="3:9">
      <c r="C896" s="138" t="s">
        <v>286</v>
      </c>
      <c r="D896" s="98"/>
      <c r="E896" s="98"/>
      <c r="F896" s="98"/>
      <c r="G896" s="98"/>
      <c r="H896" s="98"/>
      <c r="I896" s="98"/>
    </row>
    <row r="897" spans="3:9">
      <c r="C897" s="138" t="s">
        <v>447</v>
      </c>
      <c r="D897" s="98"/>
      <c r="E897" s="98"/>
      <c r="F897" s="98"/>
      <c r="G897" s="98"/>
      <c r="H897" s="98"/>
      <c r="I897" s="98"/>
    </row>
    <row r="898" spans="3:9">
      <c r="C898" s="138" t="s">
        <v>632</v>
      </c>
      <c r="D898" s="98"/>
      <c r="E898" s="98"/>
      <c r="F898" s="98"/>
      <c r="G898" s="98"/>
      <c r="H898" s="98"/>
      <c r="I898" s="98"/>
    </row>
    <row r="899" spans="3:9">
      <c r="C899" s="138" t="s">
        <v>497</v>
      </c>
      <c r="D899" s="98"/>
      <c r="E899" s="98"/>
      <c r="F899" s="98"/>
      <c r="G899" s="98"/>
      <c r="H899" s="98"/>
      <c r="I899" s="98"/>
    </row>
    <row r="900" spans="3:9">
      <c r="C900" s="138" t="s">
        <v>648</v>
      </c>
      <c r="D900" s="98"/>
      <c r="E900" s="98"/>
      <c r="F900" s="98"/>
      <c r="G900" s="98"/>
      <c r="H900" s="98"/>
      <c r="I900" s="98"/>
    </row>
    <row r="901" spans="3:9">
      <c r="C901" s="138" t="s">
        <v>703</v>
      </c>
      <c r="D901" s="98"/>
      <c r="E901" s="98"/>
      <c r="F901" s="98"/>
      <c r="G901" s="98"/>
      <c r="H901" s="98"/>
      <c r="I901" s="98"/>
    </row>
    <row r="902" spans="3:9">
      <c r="C902" s="138" t="s">
        <v>410</v>
      </c>
      <c r="D902" s="98"/>
      <c r="E902" s="98"/>
      <c r="F902" s="98"/>
      <c r="G902" s="98"/>
      <c r="H902" s="98"/>
      <c r="I902" s="98"/>
    </row>
    <row r="903" spans="3:9">
      <c r="C903" s="138" t="s">
        <v>969</v>
      </c>
      <c r="D903" s="98"/>
      <c r="E903" s="98"/>
      <c r="F903" s="98"/>
      <c r="G903" s="98"/>
      <c r="H903" s="98"/>
      <c r="I903" s="98"/>
    </row>
    <row r="904" spans="3:9">
      <c r="C904" s="138" t="s">
        <v>895</v>
      </c>
      <c r="D904" s="98"/>
      <c r="E904" s="98"/>
      <c r="F904" s="98"/>
      <c r="G904" s="98"/>
      <c r="H904" s="98"/>
      <c r="I904" s="98"/>
    </row>
    <row r="905" spans="3:9">
      <c r="C905" s="138" t="s">
        <v>605</v>
      </c>
      <c r="D905" s="98"/>
      <c r="E905" s="98"/>
      <c r="F905" s="98"/>
      <c r="G905" s="98"/>
      <c r="H905" s="98"/>
      <c r="I905" s="98"/>
    </row>
    <row r="906" spans="3:9">
      <c r="C906" s="138" t="s">
        <v>1081</v>
      </c>
      <c r="D906" s="98"/>
      <c r="E906" s="98"/>
      <c r="F906" s="98"/>
      <c r="G906" s="98"/>
      <c r="H906" s="98"/>
      <c r="I906" s="98"/>
    </row>
    <row r="907" spans="3:9">
      <c r="C907" s="138" t="s">
        <v>683</v>
      </c>
      <c r="D907" s="98"/>
      <c r="E907" s="98"/>
      <c r="F907" s="98"/>
      <c r="G907" s="98"/>
      <c r="H907" s="98"/>
      <c r="I907" s="98"/>
    </row>
    <row r="908" spans="3:9">
      <c r="C908" s="138" t="s">
        <v>128</v>
      </c>
      <c r="D908" s="98"/>
      <c r="E908" s="98"/>
      <c r="F908" s="98"/>
      <c r="G908" s="98"/>
      <c r="H908" s="98"/>
      <c r="I908" s="98"/>
    </row>
    <row r="909" spans="3:9">
      <c r="C909" s="138" t="s">
        <v>314</v>
      </c>
      <c r="D909" s="98"/>
      <c r="E909" s="98"/>
      <c r="F909" s="98"/>
      <c r="G909" s="98"/>
      <c r="H909" s="98"/>
      <c r="I909" s="98"/>
    </row>
    <row r="910" spans="3:9">
      <c r="C910" s="138" t="s">
        <v>1096</v>
      </c>
      <c r="D910" s="98"/>
      <c r="E910" s="98"/>
      <c r="F910" s="98"/>
      <c r="G910" s="98"/>
      <c r="H910" s="98"/>
      <c r="I910" s="98"/>
    </row>
    <row r="911" spans="3:9">
      <c r="C911" s="138" t="s">
        <v>803</v>
      </c>
      <c r="D911" s="98"/>
      <c r="E911" s="98"/>
      <c r="F911" s="98"/>
      <c r="G911" s="98"/>
      <c r="H911" s="98"/>
      <c r="I911" s="98"/>
    </row>
    <row r="912" spans="3:9">
      <c r="C912" s="138" t="s">
        <v>1097</v>
      </c>
      <c r="D912" s="98"/>
      <c r="E912" s="98"/>
      <c r="F912" s="98"/>
      <c r="G912" s="98"/>
      <c r="H912" s="98"/>
      <c r="I912" s="98"/>
    </row>
    <row r="913" spans="3:9">
      <c r="C913" s="138" t="s">
        <v>968</v>
      </c>
      <c r="D913" s="98"/>
      <c r="E913" s="98"/>
      <c r="F913" s="98"/>
      <c r="G913" s="98"/>
      <c r="H913" s="98"/>
      <c r="I913" s="98"/>
    </row>
    <row r="914" spans="3:9">
      <c r="C914" s="138" t="s">
        <v>579</v>
      </c>
      <c r="D914" s="98"/>
      <c r="E914" s="98"/>
      <c r="F914" s="98"/>
      <c r="G914" s="98"/>
      <c r="H914" s="98"/>
      <c r="I914" s="98"/>
    </row>
    <row r="915" spans="3:9">
      <c r="C915" s="138" t="s">
        <v>104</v>
      </c>
      <c r="D915" s="98"/>
      <c r="E915" s="98"/>
      <c r="F915" s="98"/>
      <c r="G915" s="98"/>
      <c r="H915" s="98"/>
      <c r="I915" s="98"/>
    </row>
    <row r="916" spans="3:9">
      <c r="C916" s="138" t="s">
        <v>1042</v>
      </c>
      <c r="D916" s="98"/>
      <c r="E916" s="98"/>
      <c r="F916" s="98"/>
      <c r="G916" s="98"/>
      <c r="H916" s="98"/>
      <c r="I916" s="98"/>
    </row>
    <row r="917" spans="3:9">
      <c r="C917" s="138" t="s">
        <v>326</v>
      </c>
      <c r="D917" s="98"/>
      <c r="E917" s="98"/>
      <c r="F917" s="98"/>
      <c r="G917" s="98"/>
      <c r="H917" s="98"/>
      <c r="I917" s="98"/>
    </row>
    <row r="918" spans="3:9">
      <c r="C918" s="138" t="s">
        <v>393</v>
      </c>
      <c r="D918" s="98"/>
      <c r="E918" s="98"/>
      <c r="F918" s="98"/>
      <c r="G918" s="98"/>
      <c r="H918" s="98"/>
      <c r="I918" s="98"/>
    </row>
    <row r="919" spans="3:9">
      <c r="C919" s="138" t="s">
        <v>313</v>
      </c>
      <c r="D919" s="98"/>
      <c r="E919" s="98"/>
      <c r="F919" s="98"/>
      <c r="G919" s="98"/>
      <c r="H919" s="98"/>
      <c r="I919" s="98"/>
    </row>
    <row r="920" spans="3:9">
      <c r="C920" s="138" t="s">
        <v>619</v>
      </c>
      <c r="D920" s="98"/>
      <c r="E920" s="98"/>
      <c r="F920" s="98"/>
      <c r="G920" s="98"/>
      <c r="H920" s="98"/>
      <c r="I920" s="98"/>
    </row>
    <row r="921" spans="3:9">
      <c r="C921" s="138" t="s">
        <v>145</v>
      </c>
      <c r="D921" s="98"/>
      <c r="E921" s="98"/>
      <c r="F921" s="98"/>
      <c r="G921" s="98"/>
      <c r="H921" s="98"/>
      <c r="I921" s="98"/>
    </row>
    <row r="922" spans="3:9">
      <c r="C922" s="138" t="s">
        <v>379</v>
      </c>
      <c r="D922" s="98"/>
      <c r="E922" s="98"/>
      <c r="F922" s="98"/>
      <c r="G922" s="98"/>
      <c r="H922" s="98"/>
      <c r="I922" s="98"/>
    </row>
    <row r="923" spans="3:9">
      <c r="C923" s="138" t="s">
        <v>112</v>
      </c>
      <c r="D923" s="98"/>
      <c r="E923" s="98"/>
      <c r="F923" s="98"/>
      <c r="G923" s="98"/>
      <c r="H923" s="98"/>
      <c r="I923" s="98"/>
    </row>
    <row r="924" spans="3:9">
      <c r="C924" s="138" t="s">
        <v>687</v>
      </c>
      <c r="D924" s="98"/>
      <c r="E924" s="98"/>
      <c r="F924" s="98"/>
      <c r="G924" s="98"/>
      <c r="H924" s="98"/>
      <c r="I924" s="98"/>
    </row>
    <row r="925" spans="3:9">
      <c r="C925" s="138" t="s">
        <v>424</v>
      </c>
      <c r="D925" s="98"/>
      <c r="E925" s="98"/>
      <c r="F925" s="98"/>
      <c r="G925" s="98"/>
      <c r="H925" s="98"/>
      <c r="I925" s="98"/>
    </row>
    <row r="926" spans="3:9">
      <c r="C926" s="138" t="s">
        <v>441</v>
      </c>
      <c r="D926" s="98"/>
      <c r="E926" s="98"/>
      <c r="F926" s="98"/>
      <c r="G926" s="98"/>
      <c r="H926" s="98"/>
      <c r="I926" s="98"/>
    </row>
    <row r="927" spans="3:9">
      <c r="C927" s="138" t="s">
        <v>890</v>
      </c>
      <c r="D927" s="98"/>
      <c r="E927" s="98"/>
      <c r="F927" s="98"/>
      <c r="G927" s="98"/>
      <c r="H927" s="98"/>
      <c r="I927" s="98"/>
    </row>
    <row r="928" spans="3:9">
      <c r="C928" s="138" t="s">
        <v>1033</v>
      </c>
      <c r="D928" s="98"/>
      <c r="E928" s="98"/>
      <c r="F928" s="98"/>
      <c r="G928" s="98"/>
      <c r="H928" s="98"/>
      <c r="I928" s="98"/>
    </row>
    <row r="929" spans="3:9">
      <c r="C929" s="138" t="s">
        <v>268</v>
      </c>
      <c r="D929" s="98"/>
      <c r="E929" s="98"/>
      <c r="F929" s="98"/>
      <c r="G929" s="98"/>
      <c r="H929" s="98"/>
      <c r="I929" s="98"/>
    </row>
    <row r="930" spans="3:9">
      <c r="C930" s="138" t="s">
        <v>512</v>
      </c>
      <c r="D930" s="98"/>
      <c r="E930" s="98"/>
      <c r="F930" s="98"/>
      <c r="G930" s="98"/>
      <c r="H930" s="98"/>
      <c r="I930" s="98"/>
    </row>
    <row r="931" spans="3:9">
      <c r="C931" s="138" t="s">
        <v>426</v>
      </c>
      <c r="D931" s="98"/>
      <c r="E931" s="98"/>
      <c r="F931" s="98"/>
      <c r="G931" s="98"/>
      <c r="H931" s="98"/>
      <c r="I931" s="98"/>
    </row>
    <row r="932" spans="3:9">
      <c r="C932" s="138" t="s">
        <v>1039</v>
      </c>
      <c r="D932" s="98"/>
      <c r="E932" s="98"/>
      <c r="F932" s="98"/>
      <c r="G932" s="98"/>
      <c r="H932" s="98"/>
      <c r="I932" s="98"/>
    </row>
    <row r="933" spans="3:9">
      <c r="C933" s="138" t="s">
        <v>782</v>
      </c>
      <c r="D933" s="98"/>
      <c r="E933" s="98"/>
      <c r="F933" s="98"/>
      <c r="G933" s="98"/>
      <c r="H933" s="98"/>
      <c r="I933" s="98"/>
    </row>
    <row r="934" spans="3:9">
      <c r="C934" s="138" t="s">
        <v>1000</v>
      </c>
      <c r="D934" s="98"/>
      <c r="E934" s="98"/>
      <c r="F934" s="98"/>
      <c r="G934" s="98"/>
      <c r="H934" s="98"/>
      <c r="I934" s="98"/>
    </row>
    <row r="935" spans="3:9">
      <c r="C935" s="138" t="s">
        <v>398</v>
      </c>
      <c r="D935" s="98"/>
      <c r="E935" s="98"/>
      <c r="F935" s="98"/>
      <c r="G935" s="98"/>
      <c r="H935" s="98"/>
      <c r="I935" s="98"/>
    </row>
    <row r="936" spans="3:9">
      <c r="C936" s="138" t="s">
        <v>153</v>
      </c>
      <c r="D936" s="98"/>
      <c r="E936" s="98"/>
      <c r="F936" s="98"/>
      <c r="G936" s="98"/>
      <c r="H936" s="98"/>
      <c r="I936" s="98"/>
    </row>
    <row r="937" spans="3:9">
      <c r="C937" s="138" t="s">
        <v>229</v>
      </c>
      <c r="D937" s="98"/>
      <c r="E937" s="98"/>
      <c r="F937" s="98"/>
      <c r="G937" s="98"/>
      <c r="H937" s="98"/>
      <c r="I937" s="98"/>
    </row>
    <row r="938" spans="3:9">
      <c r="C938" s="138" t="s">
        <v>1101</v>
      </c>
      <c r="D938" s="98"/>
      <c r="E938" s="98"/>
      <c r="F938" s="98"/>
      <c r="G938" s="98"/>
      <c r="H938" s="98"/>
      <c r="I938" s="98"/>
    </row>
    <row r="939" spans="3:9">
      <c r="C939" s="138" t="s">
        <v>1099</v>
      </c>
      <c r="D939" s="98"/>
      <c r="E939" s="98"/>
      <c r="F939" s="98"/>
      <c r="G939" s="98"/>
      <c r="H939" s="98"/>
      <c r="I939" s="98"/>
    </row>
    <row r="940" spans="3:9">
      <c r="C940" s="138" t="s">
        <v>645</v>
      </c>
      <c r="D940" s="98"/>
      <c r="E940" s="98"/>
      <c r="F940" s="98"/>
      <c r="G940" s="98"/>
      <c r="H940" s="98"/>
      <c r="I940" s="98"/>
    </row>
    <row r="941" spans="3:9">
      <c r="C941" s="138" t="s">
        <v>1079</v>
      </c>
      <c r="D941" s="98"/>
      <c r="E941" s="98"/>
      <c r="F941" s="98"/>
      <c r="G941" s="98"/>
      <c r="H941" s="98"/>
      <c r="I941" s="98"/>
    </row>
    <row r="942" spans="3:9">
      <c r="C942" s="138" t="s">
        <v>101</v>
      </c>
      <c r="D942" s="98"/>
      <c r="E942" s="98"/>
      <c r="F942" s="98"/>
      <c r="G942" s="98"/>
      <c r="H942" s="98"/>
      <c r="I942" s="98"/>
    </row>
    <row r="943" spans="3:9">
      <c r="C943" s="138" t="s">
        <v>317</v>
      </c>
      <c r="D943" s="98"/>
      <c r="E943" s="98"/>
      <c r="F943" s="98"/>
      <c r="G943" s="98"/>
      <c r="H943" s="98"/>
      <c r="I943" s="98"/>
    </row>
    <row r="944" spans="3:9">
      <c r="C944" s="138" t="s">
        <v>580</v>
      </c>
      <c r="D944" s="98"/>
      <c r="E944" s="98"/>
      <c r="F944" s="98"/>
      <c r="G944" s="98"/>
      <c r="H944" s="98"/>
      <c r="I944" s="98"/>
    </row>
    <row r="945" spans="3:9">
      <c r="C945" s="138" t="s">
        <v>119</v>
      </c>
      <c r="D945" s="98"/>
      <c r="E945" s="98"/>
      <c r="F945" s="98"/>
      <c r="G945" s="98"/>
      <c r="H945" s="98"/>
      <c r="I945" s="98"/>
    </row>
    <row r="946" spans="3:9">
      <c r="C946" s="138" t="s">
        <v>866</v>
      </c>
      <c r="D946" s="98"/>
      <c r="E946" s="98"/>
      <c r="F946" s="98"/>
      <c r="G946" s="98"/>
      <c r="H946" s="98"/>
      <c r="I946" s="98"/>
    </row>
    <row r="947" spans="3:9">
      <c r="C947" s="138" t="s">
        <v>596</v>
      </c>
      <c r="D947" s="98"/>
      <c r="E947" s="98"/>
      <c r="F947" s="98"/>
      <c r="G947" s="98"/>
      <c r="H947" s="98"/>
      <c r="I947" s="98"/>
    </row>
    <row r="948" spans="3:9">
      <c r="C948" s="138" t="s">
        <v>760</v>
      </c>
      <c r="D948" s="98"/>
      <c r="E948" s="98"/>
      <c r="F948" s="98"/>
      <c r="G948" s="98"/>
      <c r="H948" s="98"/>
      <c r="I948" s="98"/>
    </row>
    <row r="949" spans="3:9">
      <c r="C949" s="138" t="s">
        <v>694</v>
      </c>
      <c r="D949" s="98"/>
      <c r="E949" s="98"/>
      <c r="F949" s="98"/>
      <c r="G949" s="98"/>
      <c r="H949" s="98"/>
      <c r="I949" s="98"/>
    </row>
    <row r="950" spans="3:9">
      <c r="C950" s="138" t="s">
        <v>628</v>
      </c>
      <c r="D950" s="98"/>
      <c r="E950" s="98"/>
      <c r="F950" s="98"/>
      <c r="G950" s="98"/>
      <c r="H950" s="98"/>
      <c r="I950" s="98"/>
    </row>
    <row r="951" spans="3:9">
      <c r="C951" s="138" t="s">
        <v>957</v>
      </c>
      <c r="D951" s="98"/>
      <c r="E951" s="98"/>
      <c r="F951" s="98"/>
      <c r="G951" s="98"/>
      <c r="H951" s="98"/>
      <c r="I951" s="98"/>
    </row>
    <row r="952" spans="3:9">
      <c r="C952" s="138" t="s">
        <v>162</v>
      </c>
      <c r="D952" s="98"/>
      <c r="E952" s="98"/>
      <c r="F952" s="98"/>
      <c r="G952" s="98"/>
      <c r="H952" s="98"/>
      <c r="I952" s="98"/>
    </row>
    <row r="953" spans="3:9">
      <c r="C953" s="138" t="s">
        <v>414</v>
      </c>
      <c r="D953" s="98"/>
      <c r="E953" s="98"/>
      <c r="F953" s="98"/>
      <c r="G953" s="98"/>
      <c r="H953" s="98"/>
      <c r="I953" s="98"/>
    </row>
    <row r="954" spans="3:9">
      <c r="C954" s="138" t="s">
        <v>871</v>
      </c>
      <c r="D954" s="98"/>
      <c r="E954" s="98"/>
      <c r="F954" s="98"/>
      <c r="G954" s="98"/>
      <c r="H954" s="98"/>
      <c r="I954" s="98"/>
    </row>
    <row r="955" spans="3:9">
      <c r="C955" s="138" t="s">
        <v>581</v>
      </c>
      <c r="D955" s="98"/>
      <c r="E955" s="98"/>
      <c r="F955" s="98"/>
      <c r="G955" s="98"/>
      <c r="H955" s="98"/>
      <c r="I955" s="98"/>
    </row>
    <row r="956" spans="3:9">
      <c r="C956" s="138" t="s">
        <v>998</v>
      </c>
      <c r="D956" s="98"/>
      <c r="E956" s="98"/>
      <c r="F956" s="98"/>
      <c r="G956" s="98"/>
      <c r="H956" s="98"/>
      <c r="I956" s="98"/>
    </row>
    <row r="957" spans="3:9">
      <c r="C957" s="138" t="s">
        <v>200</v>
      </c>
      <c r="D957" s="98"/>
      <c r="E957" s="98"/>
      <c r="F957" s="98"/>
      <c r="G957" s="98"/>
      <c r="H957" s="98"/>
      <c r="I957" s="98"/>
    </row>
    <row r="958" spans="3:9">
      <c r="C958" s="138" t="s">
        <v>117</v>
      </c>
      <c r="D958" s="98"/>
      <c r="E958" s="98"/>
      <c r="F958" s="98"/>
      <c r="G958" s="98"/>
      <c r="H958" s="98"/>
      <c r="I958" s="98"/>
    </row>
    <row r="959" spans="3:9">
      <c r="C959" s="138" t="s">
        <v>723</v>
      </c>
      <c r="D959" s="98"/>
      <c r="E959" s="98"/>
      <c r="F959" s="98"/>
      <c r="G959" s="98"/>
      <c r="H959" s="98"/>
      <c r="I959" s="98"/>
    </row>
    <row r="960" spans="3:9">
      <c r="C960" s="138" t="s">
        <v>738</v>
      </c>
      <c r="D960" s="98"/>
      <c r="E960" s="98"/>
      <c r="F960" s="98"/>
      <c r="G960" s="98"/>
      <c r="H960" s="98"/>
      <c r="I960" s="98"/>
    </row>
    <row r="961" spans="3:9">
      <c r="C961" s="138" t="s">
        <v>352</v>
      </c>
      <c r="D961" s="98"/>
      <c r="E961" s="98"/>
      <c r="F961" s="98"/>
      <c r="G961" s="98"/>
      <c r="H961" s="98"/>
      <c r="I961" s="98"/>
    </row>
    <row r="962" spans="3:9">
      <c r="C962" s="138" t="s">
        <v>1063</v>
      </c>
      <c r="D962" s="98"/>
      <c r="E962" s="98"/>
      <c r="F962" s="98"/>
      <c r="G962" s="98"/>
      <c r="H962" s="98"/>
      <c r="I962" s="98"/>
    </row>
    <row r="963" spans="3:9">
      <c r="C963" s="138" t="s">
        <v>953</v>
      </c>
      <c r="D963" s="98"/>
      <c r="E963" s="98"/>
      <c r="F963" s="98"/>
      <c r="G963" s="98"/>
      <c r="H963" s="98"/>
      <c r="I963" s="98"/>
    </row>
    <row r="964" spans="3:9">
      <c r="C964" s="138" t="s">
        <v>454</v>
      </c>
      <c r="D964" s="98"/>
      <c r="E964" s="98"/>
      <c r="F964" s="98"/>
      <c r="G964" s="98"/>
      <c r="H964" s="98"/>
      <c r="I964" s="98"/>
    </row>
    <row r="965" spans="3:9">
      <c r="C965" s="138" t="s">
        <v>788</v>
      </c>
      <c r="D965" s="98"/>
      <c r="E965" s="98"/>
      <c r="F965" s="98"/>
      <c r="G965" s="98"/>
      <c r="H965" s="98"/>
      <c r="I965" s="98"/>
    </row>
    <row r="966" spans="3:9">
      <c r="C966" s="138" t="s">
        <v>905</v>
      </c>
      <c r="D966" s="98"/>
      <c r="E966" s="98"/>
      <c r="F966" s="98"/>
      <c r="G966" s="98"/>
      <c r="H966" s="98"/>
      <c r="I966" s="98"/>
    </row>
    <row r="967" spans="3:9">
      <c r="C967" s="138" t="s">
        <v>1038</v>
      </c>
      <c r="D967" s="98"/>
      <c r="E967" s="98"/>
      <c r="F967" s="98"/>
      <c r="G967" s="98"/>
      <c r="H967" s="98"/>
      <c r="I967" s="98"/>
    </row>
    <row r="968" spans="3:9">
      <c r="C968" s="138" t="s">
        <v>767</v>
      </c>
      <c r="D968" s="98"/>
      <c r="E968" s="98"/>
      <c r="F968" s="98"/>
      <c r="G968" s="98"/>
      <c r="H968" s="98"/>
      <c r="I968" s="98"/>
    </row>
    <row r="969" spans="3:9">
      <c r="C969" s="138" t="s">
        <v>245</v>
      </c>
      <c r="D969" s="98"/>
      <c r="E969" s="98"/>
      <c r="F969" s="98"/>
      <c r="G969" s="98"/>
      <c r="H969" s="98"/>
      <c r="I969" s="98"/>
    </row>
    <row r="970" spans="3:9">
      <c r="C970" s="138" t="s">
        <v>161</v>
      </c>
      <c r="D970" s="98"/>
      <c r="E970" s="98"/>
      <c r="F970" s="98"/>
      <c r="G970" s="98"/>
      <c r="H970" s="98"/>
      <c r="I970" s="98"/>
    </row>
    <row r="971" spans="3:9">
      <c r="C971" s="138" t="s">
        <v>518</v>
      </c>
      <c r="D971" s="98"/>
      <c r="E971" s="98"/>
      <c r="F971" s="98"/>
      <c r="G971" s="98"/>
      <c r="H971" s="98"/>
      <c r="I971" s="98"/>
    </row>
    <row r="972" spans="3:9">
      <c r="C972" s="138" t="s">
        <v>1040</v>
      </c>
      <c r="D972" s="98"/>
      <c r="E972" s="98"/>
      <c r="F972" s="98"/>
      <c r="G972" s="98"/>
      <c r="H972" s="98"/>
      <c r="I972" s="98"/>
    </row>
    <row r="973" spans="3:9">
      <c r="C973" s="138" t="s">
        <v>643</v>
      </c>
      <c r="D973" s="98"/>
      <c r="E973" s="98"/>
      <c r="F973" s="98"/>
      <c r="G973" s="98"/>
      <c r="H973" s="98"/>
      <c r="I973" s="98"/>
    </row>
    <row r="974" spans="3:9">
      <c r="C974" s="138" t="s">
        <v>333</v>
      </c>
      <c r="D974" s="98"/>
      <c r="E974" s="98"/>
      <c r="F974" s="98"/>
      <c r="G974" s="98"/>
      <c r="H974" s="98"/>
      <c r="I974" s="98"/>
    </row>
    <row r="975" spans="3:9">
      <c r="C975" s="138" t="s">
        <v>919</v>
      </c>
      <c r="D975" s="98"/>
      <c r="E975" s="98"/>
      <c r="F975" s="98"/>
      <c r="G975" s="98"/>
      <c r="H975" s="98"/>
      <c r="I975" s="98"/>
    </row>
    <row r="976" spans="3:9">
      <c r="C976" s="138" t="s">
        <v>928</v>
      </c>
      <c r="D976" s="98"/>
      <c r="E976" s="98"/>
      <c r="F976" s="98"/>
      <c r="G976" s="98"/>
      <c r="H976" s="98"/>
      <c r="I976" s="98"/>
    </row>
    <row r="977" spans="3:9">
      <c r="C977" s="138" t="s">
        <v>570</v>
      </c>
      <c r="D977" s="98"/>
      <c r="E977" s="98"/>
      <c r="F977" s="98"/>
      <c r="G977" s="98"/>
      <c r="H977" s="98"/>
      <c r="I977" s="98"/>
    </row>
    <row r="978" spans="3:9">
      <c r="C978" s="138" t="s">
        <v>545</v>
      </c>
      <c r="D978" s="98"/>
      <c r="E978" s="98"/>
      <c r="F978" s="98"/>
      <c r="G978" s="98"/>
      <c r="H978" s="98"/>
      <c r="I978" s="98"/>
    </row>
    <row r="979" spans="3:9">
      <c r="C979" s="138" t="s">
        <v>523</v>
      </c>
      <c r="D979" s="98"/>
      <c r="E979" s="98"/>
      <c r="F979" s="98"/>
      <c r="G979" s="98"/>
      <c r="H979" s="98"/>
      <c r="I979" s="98"/>
    </row>
    <row r="980" spans="3:9">
      <c r="C980" s="138" t="s">
        <v>689</v>
      </c>
      <c r="D980" s="98"/>
      <c r="E980" s="98"/>
      <c r="F980" s="98"/>
      <c r="G980" s="98"/>
      <c r="H980" s="98"/>
      <c r="I980" s="98"/>
    </row>
    <row r="981" spans="3:9">
      <c r="C981" s="138" t="s">
        <v>834</v>
      </c>
      <c r="D981" s="98"/>
      <c r="E981" s="98"/>
      <c r="F981" s="98"/>
      <c r="G981" s="98"/>
      <c r="H981" s="98"/>
      <c r="I981" s="98"/>
    </row>
    <row r="982" spans="3:9">
      <c r="C982" s="138" t="s">
        <v>971</v>
      </c>
      <c r="D982" s="98"/>
      <c r="E982" s="98"/>
      <c r="F982" s="98"/>
      <c r="G982" s="98"/>
      <c r="H982" s="98"/>
      <c r="I982" s="98"/>
    </row>
    <row r="983" spans="3:9">
      <c r="C983" s="138" t="s">
        <v>233</v>
      </c>
      <c r="D983" s="98"/>
      <c r="E983" s="98"/>
      <c r="F983" s="98"/>
      <c r="G983" s="98"/>
      <c r="H983" s="98"/>
      <c r="I983" s="98"/>
    </row>
    <row r="984" spans="3:9">
      <c r="C984" s="138" t="s">
        <v>507</v>
      </c>
      <c r="D984" s="98"/>
      <c r="E984" s="98"/>
      <c r="F984" s="98"/>
      <c r="G984" s="98"/>
      <c r="H984" s="98"/>
      <c r="I984" s="98"/>
    </row>
    <row r="985" spans="3:9">
      <c r="C985" s="138" t="s">
        <v>741</v>
      </c>
      <c r="D985" s="98"/>
      <c r="E985" s="98"/>
      <c r="F985" s="98"/>
      <c r="G985" s="98"/>
      <c r="H985" s="98"/>
      <c r="I985" s="98"/>
    </row>
    <row r="986" spans="3:9">
      <c r="C986" s="138" t="s">
        <v>399</v>
      </c>
      <c r="D986" s="98"/>
      <c r="E986" s="98"/>
      <c r="F986" s="98"/>
      <c r="G986" s="98"/>
      <c r="H986" s="98"/>
      <c r="I986" s="98"/>
    </row>
    <row r="987" spans="3:9">
      <c r="C987" s="138" t="s">
        <v>1117</v>
      </c>
      <c r="D987" s="98"/>
      <c r="E987" s="98"/>
      <c r="F987" s="98"/>
      <c r="G987" s="98"/>
      <c r="H987" s="98"/>
      <c r="I987" s="98"/>
    </row>
    <row r="988" spans="3:9">
      <c r="C988" s="138" t="s">
        <v>600</v>
      </c>
      <c r="D988" s="98"/>
      <c r="E988" s="98"/>
      <c r="F988" s="98"/>
      <c r="G988" s="98"/>
      <c r="H988" s="98"/>
      <c r="I988" s="98"/>
    </row>
    <row r="989" spans="3:9">
      <c r="C989" s="138" t="s">
        <v>757</v>
      </c>
      <c r="D989" s="98"/>
      <c r="E989" s="98"/>
      <c r="F989" s="98"/>
      <c r="G989" s="98"/>
      <c r="H989" s="98"/>
      <c r="I989" s="98"/>
    </row>
    <row r="990" spans="3:9">
      <c r="C990" s="138" t="s">
        <v>325</v>
      </c>
      <c r="D990" s="98"/>
      <c r="E990" s="98"/>
      <c r="F990" s="98"/>
      <c r="G990" s="98"/>
      <c r="H990" s="98"/>
      <c r="I990" s="98"/>
    </row>
    <row r="991" spans="3:9">
      <c r="C991" s="138" t="s">
        <v>511</v>
      </c>
      <c r="D991" s="98"/>
      <c r="E991" s="98"/>
      <c r="F991" s="98"/>
      <c r="G991" s="98"/>
      <c r="H991" s="98"/>
      <c r="I991" s="98"/>
    </row>
    <row r="992" spans="3:9">
      <c r="C992" s="138" t="s">
        <v>484</v>
      </c>
      <c r="D992" s="98"/>
      <c r="E992" s="98"/>
      <c r="F992" s="98"/>
      <c r="G992" s="98"/>
      <c r="H992" s="98"/>
      <c r="I992" s="98"/>
    </row>
    <row r="993" spans="3:9">
      <c r="C993" s="138" t="s">
        <v>219</v>
      </c>
      <c r="D993" s="98"/>
      <c r="E993" s="98"/>
      <c r="F993" s="98"/>
      <c r="G993" s="98"/>
      <c r="H993" s="98"/>
      <c r="I993" s="98"/>
    </row>
    <row r="994" spans="3:9">
      <c r="C994" s="138" t="s">
        <v>1077</v>
      </c>
      <c r="D994" s="98"/>
      <c r="E994" s="98"/>
      <c r="F994" s="98"/>
      <c r="G994" s="98"/>
      <c r="H994" s="98"/>
      <c r="I994" s="98"/>
    </row>
    <row r="995" spans="3:9">
      <c r="C995" s="138" t="s">
        <v>923</v>
      </c>
      <c r="D995" s="98"/>
      <c r="E995" s="98"/>
      <c r="F995" s="98"/>
      <c r="G995" s="98"/>
      <c r="H995" s="98"/>
      <c r="I995" s="98"/>
    </row>
    <row r="996" spans="3:9">
      <c r="C996" s="138" t="s">
        <v>345</v>
      </c>
      <c r="D996" s="98"/>
      <c r="E996" s="98"/>
      <c r="F996" s="98"/>
      <c r="G996" s="98"/>
      <c r="H996" s="98"/>
      <c r="I996" s="98"/>
    </row>
    <row r="997" spans="3:9">
      <c r="C997" s="138" t="s">
        <v>165</v>
      </c>
      <c r="D997" s="98"/>
      <c r="E997" s="98"/>
      <c r="F997" s="98"/>
      <c r="G997" s="98"/>
      <c r="H997" s="98"/>
      <c r="I997" s="98"/>
    </row>
    <row r="998" spans="3:9">
      <c r="C998" s="138" t="s">
        <v>625</v>
      </c>
      <c r="D998" s="98"/>
      <c r="E998" s="98"/>
      <c r="F998" s="98"/>
      <c r="G998" s="98"/>
      <c r="H998" s="98"/>
      <c r="I998" s="98"/>
    </row>
    <row r="999" spans="3:9">
      <c r="C999" s="138" t="s">
        <v>826</v>
      </c>
      <c r="D999" s="98"/>
      <c r="E999" s="98"/>
      <c r="F999" s="98"/>
      <c r="G999" s="98"/>
      <c r="H999" s="98"/>
      <c r="I999" s="98"/>
    </row>
    <row r="1000" spans="3:9">
      <c r="C1000" s="138" t="s">
        <v>882</v>
      </c>
      <c r="D1000" s="98"/>
      <c r="E1000" s="98"/>
      <c r="F1000" s="98"/>
      <c r="G1000" s="98"/>
      <c r="H1000" s="98"/>
      <c r="I1000" s="98"/>
    </row>
    <row r="1001" spans="3:9">
      <c r="C1001" s="138" t="s">
        <v>495</v>
      </c>
      <c r="D1001" s="98"/>
      <c r="E1001" s="98"/>
      <c r="F1001" s="98"/>
      <c r="G1001" s="98"/>
      <c r="H1001" s="98"/>
      <c r="I1001" s="98"/>
    </row>
    <row r="1002" spans="3:9">
      <c r="C1002" s="138" t="s">
        <v>293</v>
      </c>
      <c r="D1002" s="98"/>
      <c r="E1002" s="98"/>
      <c r="F1002" s="98"/>
      <c r="G1002" s="98"/>
      <c r="H1002" s="98"/>
      <c r="I1002" s="98"/>
    </row>
    <row r="1003" spans="3:9">
      <c r="C1003" s="138" t="s">
        <v>357</v>
      </c>
      <c r="D1003" s="98"/>
      <c r="E1003" s="98"/>
      <c r="F1003" s="98"/>
      <c r="G1003" s="98"/>
      <c r="H1003" s="98"/>
      <c r="I1003" s="98"/>
    </row>
    <row r="1004" spans="3:9">
      <c r="C1004" s="138" t="s">
        <v>631</v>
      </c>
      <c r="D1004" s="98"/>
      <c r="E1004" s="98"/>
      <c r="F1004" s="98"/>
      <c r="G1004" s="98"/>
      <c r="H1004" s="98"/>
      <c r="I1004" s="98"/>
    </row>
    <row r="1005" spans="3:9">
      <c r="C1005" s="138" t="s">
        <v>373</v>
      </c>
      <c r="D1005" s="98"/>
      <c r="E1005" s="98"/>
      <c r="F1005" s="98"/>
      <c r="G1005" s="98"/>
      <c r="H1005" s="98"/>
      <c r="I1005" s="98"/>
    </row>
    <row r="1006" spans="3:9">
      <c r="C1006" s="138" t="s">
        <v>573</v>
      </c>
      <c r="D1006" s="98"/>
      <c r="E1006" s="98"/>
      <c r="F1006" s="98"/>
      <c r="G1006" s="98"/>
      <c r="H1006" s="98"/>
      <c r="I1006" s="98"/>
    </row>
    <row r="1007" spans="3:9">
      <c r="C1007" s="138" t="s">
        <v>747</v>
      </c>
      <c r="D1007" s="98"/>
      <c r="E1007" s="98"/>
      <c r="F1007" s="98"/>
      <c r="G1007" s="98"/>
      <c r="H1007" s="98"/>
      <c r="I1007" s="98"/>
    </row>
    <row r="1008" spans="3:9">
      <c r="C1008" s="138" t="s">
        <v>852</v>
      </c>
      <c r="D1008" s="98"/>
      <c r="E1008" s="98"/>
      <c r="F1008" s="98"/>
      <c r="G1008" s="98"/>
      <c r="H1008" s="98"/>
      <c r="I1008" s="98"/>
    </row>
    <row r="1009" spans="3:9">
      <c r="C1009" s="138" t="s">
        <v>192</v>
      </c>
      <c r="D1009" s="98"/>
      <c r="E1009" s="98"/>
      <c r="F1009" s="98"/>
      <c r="G1009" s="98"/>
      <c r="H1009" s="98"/>
      <c r="I1009" s="98"/>
    </row>
    <row r="1010" spans="3:9">
      <c r="C1010" s="138" t="s">
        <v>829</v>
      </c>
      <c r="D1010" s="98"/>
      <c r="E1010" s="98"/>
      <c r="F1010" s="98"/>
      <c r="G1010" s="98"/>
      <c r="H1010" s="98"/>
      <c r="I1010" s="98"/>
    </row>
    <row r="1011" spans="3:9">
      <c r="C1011" s="138" t="s">
        <v>1028</v>
      </c>
      <c r="D1011" s="98"/>
      <c r="E1011" s="98"/>
      <c r="F1011" s="98"/>
      <c r="G1011" s="98"/>
      <c r="H1011" s="98"/>
      <c r="I1011" s="98"/>
    </row>
    <row r="1012" spans="3:9">
      <c r="C1012" s="138" t="s">
        <v>1090</v>
      </c>
      <c r="D1012" s="98"/>
      <c r="E1012" s="98"/>
      <c r="F1012" s="98"/>
      <c r="G1012" s="98"/>
      <c r="H1012" s="98"/>
      <c r="I1012" s="98"/>
    </row>
    <row r="1013" spans="3:9">
      <c r="C1013" s="138" t="s">
        <v>872</v>
      </c>
      <c r="D1013" s="98"/>
      <c r="E1013" s="98"/>
      <c r="F1013" s="98"/>
      <c r="G1013" s="98"/>
      <c r="H1013" s="98"/>
      <c r="I1013" s="98"/>
    </row>
    <row r="1014" spans="3:9">
      <c r="C1014" s="138" t="s">
        <v>356</v>
      </c>
      <c r="D1014" s="98"/>
      <c r="E1014" s="98"/>
      <c r="F1014" s="98"/>
      <c r="G1014" s="98"/>
      <c r="H1014" s="98"/>
      <c r="I1014" s="98"/>
    </row>
    <row r="1015" spans="3:9">
      <c r="C1015" s="138" t="s">
        <v>734</v>
      </c>
      <c r="D1015" s="98"/>
      <c r="E1015" s="98"/>
      <c r="F1015" s="98"/>
      <c r="G1015" s="98"/>
      <c r="H1015" s="98"/>
      <c r="I1015" s="98"/>
    </row>
    <row r="1016" spans="3:9">
      <c r="C1016" s="138" t="s">
        <v>1034</v>
      </c>
      <c r="D1016" s="98"/>
      <c r="E1016" s="98"/>
      <c r="F1016" s="98"/>
      <c r="G1016" s="98"/>
      <c r="H1016" s="98"/>
      <c r="I1016" s="98"/>
    </row>
    <row r="1017" spans="3:9">
      <c r="C1017" s="138" t="s">
        <v>367</v>
      </c>
      <c r="D1017" s="98"/>
      <c r="E1017" s="98"/>
      <c r="F1017" s="98"/>
      <c r="G1017" s="98"/>
      <c r="H1017" s="98"/>
      <c r="I1017" s="98"/>
    </row>
    <row r="1018" spans="3:9">
      <c r="C1018" s="138" t="s">
        <v>692</v>
      </c>
      <c r="D1018" s="98"/>
      <c r="E1018" s="98"/>
      <c r="F1018" s="98"/>
      <c r="G1018" s="98"/>
      <c r="H1018" s="98"/>
      <c r="I1018" s="98"/>
    </row>
    <row r="1019" spans="3:9">
      <c r="C1019" s="138" t="s">
        <v>1036</v>
      </c>
      <c r="D1019" s="98"/>
      <c r="E1019" s="98"/>
      <c r="F1019" s="98"/>
      <c r="G1019" s="98"/>
      <c r="H1019" s="98"/>
      <c r="I1019" s="98"/>
    </row>
    <row r="1020" spans="3:9">
      <c r="C1020" s="138" t="s">
        <v>341</v>
      </c>
      <c r="D1020" s="98"/>
      <c r="E1020" s="98"/>
      <c r="F1020" s="98"/>
      <c r="G1020" s="98"/>
      <c r="H1020" s="98"/>
      <c r="I1020" s="98"/>
    </row>
    <row r="1021" spans="3:9">
      <c r="C1021" s="138" t="s">
        <v>452</v>
      </c>
      <c r="D1021" s="98"/>
      <c r="E1021" s="98"/>
      <c r="F1021" s="98"/>
      <c r="G1021" s="98"/>
      <c r="H1021" s="98"/>
      <c r="I1021" s="98"/>
    </row>
    <row r="1022" spans="3:9">
      <c r="C1022" s="138" t="s">
        <v>1121</v>
      </c>
      <c r="D1022" s="98"/>
      <c r="E1022" s="98"/>
      <c r="F1022" s="98"/>
      <c r="G1022" s="98"/>
      <c r="H1022" s="98"/>
      <c r="I1022" s="98"/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5" t="s">
        <v>23</v>
      </c>
      <c r="P2" s="92"/>
    </row>
    <row r="3" spans="1:16" ht="4.95" customHeight="1">
      <c r="B3" s="1"/>
      <c r="C3" s="4"/>
      <c r="P3" s="91"/>
    </row>
    <row r="4" spans="1:16" ht="19.95" customHeight="1">
      <c r="B4" s="1"/>
      <c r="C4" s="4"/>
      <c r="P4" s="93"/>
    </row>
    <row r="5" spans="1:16" ht="4.95" customHeight="1">
      <c r="B5" s="1"/>
      <c r="C5" s="4"/>
    </row>
    <row r="6" spans="1:16" ht="34.950000000000003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B8" sqref="B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5" t="s">
        <v>30</v>
      </c>
      <c r="D2" s="96"/>
      <c r="P2" s="92"/>
    </row>
    <row r="3" spans="2:16" ht="4.95" customHeight="1">
      <c r="B3" s="40"/>
      <c r="C3" s="94"/>
      <c r="D3" s="95"/>
      <c r="P3" s="91"/>
    </row>
    <row r="4" spans="2:16" ht="19.95" customHeight="1">
      <c r="B4" s="40"/>
      <c r="C4" s="94"/>
      <c r="D4" s="95"/>
      <c r="P4" s="93"/>
    </row>
    <row r="5" spans="2:16" ht="4.95" customHeight="1">
      <c r="B5" s="1"/>
      <c r="C5" s="4"/>
    </row>
    <row r="6" spans="2:16" s="5" customFormat="1" ht="30" customHeight="1">
      <c r="B6" s="118"/>
      <c r="C6" s="122"/>
      <c r="D6" s="122"/>
      <c r="E6" s="122"/>
      <c r="F6" s="122"/>
      <c r="G6" s="122"/>
      <c r="H6" s="122"/>
      <c r="I6" s="122"/>
      <c r="J6" s="122"/>
      <c r="K6" s="122"/>
      <c r="L6" s="122"/>
      <c r="M6" s="122"/>
      <c r="N6" s="122"/>
      <c r="O6" s="122"/>
      <c r="P6" s="122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47</vt:i4>
      </vt:variant>
    </vt:vector>
  </HeadingPairs>
  <TitlesOfParts>
    <vt:vector size="53" baseType="lpstr">
      <vt:lpstr>Overview</vt:lpstr>
      <vt:lpstr>Field Analysis</vt:lpstr>
      <vt:lpstr>Blanks</vt:lpstr>
      <vt:lpstr>Pivot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Blanks!DefaultWarn</vt:lpstr>
      <vt:lpstr>Pivot!DefaultWarn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Blanks!Theme</vt:lpstr>
      <vt:lpstr>MultiplePlots!Theme</vt:lpstr>
      <vt:lpstr>Overview!Theme</vt:lpstr>
      <vt:lpstr>Pivot!Theme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xleda Template</dc:title>
  <dc:creator>Design.In.Data@outlook.com</dc:creator>
  <cp:lastModifiedBy>Michael Rivers</cp:lastModifiedBy>
  <dcterms:created xsi:type="dcterms:W3CDTF">2015-01-25T11:31:25Z</dcterms:created>
  <dcterms:modified xsi:type="dcterms:W3CDTF">2026-05-25T06:51:12Z</dcterms:modified>
</cp:coreProperties>
</file>