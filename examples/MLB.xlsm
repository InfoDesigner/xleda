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B979425-E669-4256-BDFE-99ADFC3A211C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Analysis'!$E$7:$K$7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Analysis'!$E$60:$K$60</definedName>
    <definedName name="FieldList2" localSheetId="4">#REF!</definedName>
    <definedName name="FieldList2" localSheetId="3">#REF!</definedName>
    <definedName name="FieldList2">'Field Analysis'!$E$61:$K$61</definedName>
    <definedName name="FieldList3" localSheetId="4">#REF!</definedName>
    <definedName name="FieldList3" localSheetId="3">#REF!</definedName>
    <definedName name="FieldList3">'Field Analysis'!$E$62:$K$62</definedName>
    <definedName name="FieldList4" localSheetId="4">#REF!</definedName>
    <definedName name="FieldList4" localSheetId="3">#REF!</definedName>
    <definedName name="FieldList4">'Field Analysis'!$E$63:$K$63</definedName>
    <definedName name="FieldList5" localSheetId="4">#REF!</definedName>
    <definedName name="FieldList5" localSheetId="3">#REF!</definedName>
    <definedName name="FieldList5">'Field Analysis'!$E$64:$K$64</definedName>
    <definedName name="FieldList6" localSheetId="4">#REF!</definedName>
    <definedName name="FieldList6" localSheetId="3">#REF!</definedName>
    <definedName name="FieldList6">'Field Analysis'!$E$65:$K$65</definedName>
    <definedName name="FieldList7" localSheetId="4">#REF!</definedName>
    <definedName name="FieldList7" localSheetId="3">#REF!</definedName>
    <definedName name="FieldList7">'Field Analysis'!$E$66:$K$66</definedName>
    <definedName name="FieldList8" localSheetId="4">#REF!</definedName>
    <definedName name="FieldList8" localSheetId="3">#REF!</definedName>
    <definedName name="FieldList8">'Field Analysis'!$E$67:$K$67</definedName>
    <definedName name="FieldLists">'Field Analysis'!$D$60:$L$67</definedName>
    <definedName name="FieldRange" localSheetId="4">#REF!</definedName>
    <definedName name="FieldRange" localSheetId="3">#REF!</definedName>
    <definedName name="FieldRange">'Field Analysis'!$E$81:$K$81</definedName>
    <definedName name="FormatRange">'Field Analysis'!$G:$G</definedName>
    <definedName name="Headers">'Field Analysis'!$E$11:$K$11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Analysis'!$E$9:$K$9</definedName>
    <definedName name="Percentiles">'Field Analysis'!$D$48:$D$57</definedName>
    <definedName name="RecordHashes">'Field Analysis'!$N$82:$N$1096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Analysis'!$C$11:$J$11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0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C11" i="27"/>
  <c r="C12" i="27"/>
  <c r="C13" i="27"/>
  <c r="C14" i="27"/>
  <c r="C15" i="27"/>
  <c r="C16" i="27"/>
  <c r="C17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<sst xmlns="http://schemas.openxmlformats.org/spreadsheetml/2006/main" count="5234" uniqueCount="1126">
  <si>
    <t>Warning</t>
  </si>
  <si>
    <t>▶</t>
  </si>
  <si>
    <t>Name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</si>
  <si>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</si>
  <si>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</si>
  <si>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</si>
  <si>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</si>
  <si>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</si>
  <si>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</si>
  <si>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</si>
  <si>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</si>
  <si>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</si>
  <si>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</si>
  <si>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</si>
  <si>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</si>
  <si>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</si>
  <si>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</si>
  <si>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</si>
  <si>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</si>
  <si>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</si>
  <si>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</si>
  <si>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</si>
  <si>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</si>
  <si>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</si>
  <si>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</si>
  <si>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</si>
  <si>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</si>
  <si>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</si>
  <si>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</si>
  <si>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</si>
  <si>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</si>
  <si>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</si>
  <si>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</si>
  <si>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</si>
  <si>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</si>
  <si>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</si>
  <si>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</si>
  <si>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</si>
  <si>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</si>
  <si>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</si>
  <si>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</si>
  <si>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</si>
  <si>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</si>
  <si>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</si>
  <si>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</si>
  <si>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</si>
  <si>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</si>
  <si>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</si>
  <si>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</si>
  <si>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</si>
  <si>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</si>
  <si>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</si>
  <si>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</si>
  <si>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</si>
  <si>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</si>
  <si>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</si>
  <si>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</si>
  <si>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</si>
  <si>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</si>
  <si>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MLB</t>
  </si>
  <si>
    <t>77,241 bytes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</si>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</sst>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10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99"/>
      <tableStyleElement type="headerRow" dxfId="1098"/>
      <tableStyleElement type="totalRow" dxfId="1097"/>
    </tableStyle>
    <tableStyle name="DarkTable" pivot="0" count="2" xr9:uid="{97C242D2-6F6D-4549-9428-17456D609B35}">
      <tableStyleElement type="wholeTable" dxfId="1096"/>
      <tableStyleElement type="headerRow" dxfId="1095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Name">
          <a:extLst>
            <a:ext uri="{FF2B5EF4-FFF2-40B4-BE49-F238E27FC236}">
              <a16:creationId xmlns:a16="http://schemas.microsoft.com/office/drawing/2014/main" id="{131908A4-AC3E-7EB1-2A2B-AAD92A4AC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Team">
          <a:extLst>
            <a:ext uri="{FF2B5EF4-FFF2-40B4-BE49-F238E27FC236}">
              <a16:creationId xmlns:a16="http://schemas.microsoft.com/office/drawing/2014/main" id="{3DB58328-8DC4-3A3F-A799-471E009A8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5" name="composition_Position">
          <a:extLst>
            <a:ext uri="{FF2B5EF4-FFF2-40B4-BE49-F238E27FC236}">
              <a16:creationId xmlns:a16="http://schemas.microsoft.com/office/drawing/2014/main" id="{3754BDE4-B9EA-092C-9645-64148B911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7" name="composition_Height">
          <a:extLst>
            <a:ext uri="{FF2B5EF4-FFF2-40B4-BE49-F238E27FC236}">
              <a16:creationId xmlns:a16="http://schemas.microsoft.com/office/drawing/2014/main" id="{668F2E17-CB13-C9A0-3CC9-1F63F517D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19" name="histogram_Height">
          <a:extLst>
            <a:ext uri="{FF2B5EF4-FFF2-40B4-BE49-F238E27FC236}">
              <a16:creationId xmlns:a16="http://schemas.microsoft.com/office/drawing/2014/main" id="{2FD0D24A-34FB-A544-D3E4-F51019E11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1" name="composition_Weight">
          <a:extLst>
            <a:ext uri="{FF2B5EF4-FFF2-40B4-BE49-F238E27FC236}">
              <a16:creationId xmlns:a16="http://schemas.microsoft.com/office/drawing/2014/main" id="{B518F5A7-7A55-6DAB-6D95-D143EDE3DE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3" name="histogram_Weight">
          <a:extLst>
            <a:ext uri="{FF2B5EF4-FFF2-40B4-BE49-F238E27FC236}">
              <a16:creationId xmlns:a16="http://schemas.microsoft.com/office/drawing/2014/main" id="{1C216549-68B4-701B-CA9A-56C6F6193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5" name="composition_Age">
          <a:extLst>
            <a:ext uri="{FF2B5EF4-FFF2-40B4-BE49-F238E27FC236}">
              <a16:creationId xmlns:a16="http://schemas.microsoft.com/office/drawing/2014/main" id="{7C5EB399-91CE-02A1-B2ED-C2A771D61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27" name="histogram_Age">
          <a:extLst>
            <a:ext uri="{FF2B5EF4-FFF2-40B4-BE49-F238E27FC236}">
              <a16:creationId xmlns:a16="http://schemas.microsoft.com/office/drawing/2014/main" id="{FF757F85-6089-5456-2F01-47191D201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29" name="composition_PosCategory">
          <a:extLst>
            <a:ext uri="{FF2B5EF4-FFF2-40B4-BE49-F238E27FC236}">
              <a16:creationId xmlns:a16="http://schemas.microsoft.com/office/drawing/2014/main" id="{1AFA3F8F-3A2A-46AD-8B50-F8B9DF8AA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2330671297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L1022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44">
    <format dxfId="1061">
      <pivotArea type="all" dataOnly="0" outline="0" fieldPosition="0"/>
    </format>
    <format dxfId="1060">
      <pivotArea outline="0" collapsedLevelsAreSubtotals="1" fieldPosition="0"/>
    </format>
    <format dxfId="1059">
      <pivotArea dataOnly="0" labelOnly="1" grandRow="1" outline="0" fieldPosition="0"/>
    </format>
    <format dxfId="10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7">
      <pivotArea type="all" dataOnly="0" outline="0" fieldPosition="0"/>
    </format>
    <format dxfId="1056">
      <pivotArea dataOnly="0" outline="0" fieldPosition="0">
        <references count="1">
          <reference field="4294967294" count="1">
            <x v="0"/>
          </reference>
        </references>
      </pivotArea>
    </format>
    <format dxfId="1055">
      <pivotArea outline="0" fieldPosition="0">
        <references count="1">
          <reference field="4294967294" count="1">
            <x v="0"/>
          </reference>
        </references>
      </pivotArea>
    </format>
    <format dxfId="1054">
      <pivotArea outline="0" fieldPosition="0">
        <references count="1">
          <reference field="4294967294" count="1">
            <x v="1"/>
          </reference>
        </references>
      </pivotArea>
    </format>
    <format dxfId="1053">
      <pivotArea type="all" dataOnly="0" outline="0" fieldPosition="0"/>
    </format>
    <format dxfId="1052">
      <pivotArea outline="0" collapsedLevelsAreSubtotals="1" fieldPosition="0"/>
    </format>
    <format dxfId="105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50">
      <pivotArea outline="0" fieldPosition="0">
        <references count="1">
          <reference field="4294967294" count="1" selected="0">
            <x v="1"/>
          </reference>
        </references>
      </pivotArea>
    </format>
    <format dxfId="1049">
      <pivotArea dataOnly="0" outline="0" fieldPosition="0">
        <references count="1">
          <reference field="4294967294" count="1">
            <x v="1"/>
          </reference>
        </references>
      </pivotArea>
    </format>
    <format dxfId="1048">
      <pivotArea type="all" dataOnly="0" outline="0" fieldPosition="0"/>
    </format>
    <format dxfId="1047">
      <pivotArea type="all" dataOnly="0" outline="0" fieldPosition="0"/>
    </format>
    <format dxfId="1046">
      <pivotArea outline="0" fieldPosition="0">
        <references count="1">
          <reference field="4294967294" count="1">
            <x v="2"/>
          </reference>
        </references>
      </pivotArea>
    </format>
    <format dxfId="10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6">
      <pivotArea field="1" type="button" dataOnly="0" labelOnly="1" outline="0" axis="axisRow" fieldPosition="0"/>
    </format>
    <format dxfId="1025">
      <pivotArea field="2" type="button" dataOnly="0" labelOnly="1" outline="0" axis="axisRow" fieldPosition="1"/>
    </format>
    <format dxfId="1024">
      <pivotArea field="3" type="button" dataOnly="0" labelOnly="1" outline="0" axis="axisRow" fieldPosition="2"/>
    </format>
    <format dxfId="1023">
      <pivotArea field="4" type="button" dataOnly="0" labelOnly="1" outline="0" axis="axisRow" fieldPosition="3"/>
    </format>
    <format dxfId="1022">
      <pivotArea field="5" type="button" dataOnly="0" labelOnly="1" outline="0" axis="axisRow" fieldPosition="4"/>
    </format>
    <format dxfId="1021">
      <pivotArea field="6" type="button" dataOnly="0" labelOnly="1" outline="0" axis="axisRow" fieldPosition="5"/>
    </format>
    <format dxfId="1020">
      <pivotArea field="7" type="button" dataOnly="0" labelOnly="1" outline="0" axis="axisRow" fieldPosition="6"/>
    </format>
    <format dxfId="10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8">
      <pivotArea field="1" type="button" dataOnly="0" labelOnly="1" outline="0" axis="axisRow" fieldPosition="0"/>
    </format>
    <format dxfId="1017">
      <pivotArea dataOnly="0" labelOnly="1" outline="0" fieldPosition="0">
        <references count="1">
          <reference field="1" count="1">
            <x v="0"/>
          </reference>
        </references>
      </pivotArea>
    </format>
    <format dxfId="1016">
      <pivotArea dataOnly="0" labelOnly="1" outline="0" fieldPosition="0">
        <references count="1">
          <reference field="1" count="1">
            <x v="1"/>
          </reference>
        </references>
      </pivotArea>
    </format>
    <format dxfId="1015">
      <pivotArea dataOnly="0" labelOnly="1" outline="0" fieldPosition="0">
        <references count="1">
          <reference field="1" count="1">
            <x v="2"/>
          </reference>
        </references>
      </pivotArea>
    </format>
    <format dxfId="1014">
      <pivotArea dataOnly="0" labelOnly="1" outline="0" fieldPosition="0">
        <references count="1">
          <reference field="1" count="1">
            <x v="3"/>
          </reference>
        </references>
      </pivotArea>
    </format>
    <format dxfId="1013">
      <pivotArea dataOnly="0" labelOnly="1" outline="0" fieldPosition="0">
        <references count="1">
          <reference field="1" count="1">
            <x v="4"/>
          </reference>
        </references>
      </pivotArea>
    </format>
    <format dxfId="1012">
      <pivotArea dataOnly="0" labelOnly="1" outline="0" fieldPosition="0">
        <references count="1">
          <reference field="1" count="1">
            <x v="5"/>
          </reference>
        </references>
      </pivotArea>
    </format>
    <format dxfId="1011">
      <pivotArea dataOnly="0" labelOnly="1" outline="0" fieldPosition="0">
        <references count="1">
          <reference field="1" count="1">
            <x v="6"/>
          </reference>
        </references>
      </pivotArea>
    </format>
    <format dxfId="1010">
      <pivotArea dataOnly="0" labelOnly="1" outline="0" fieldPosition="0">
        <references count="1">
          <reference field="1" count="1">
            <x v="7"/>
          </reference>
        </references>
      </pivotArea>
    </format>
    <format dxfId="1009">
      <pivotArea dataOnly="0" labelOnly="1" outline="0" fieldPosition="0">
        <references count="1">
          <reference field="1" count="1">
            <x v="8"/>
          </reference>
        </references>
      </pivotArea>
    </format>
    <format dxfId="1008">
      <pivotArea dataOnly="0" labelOnly="1" outline="0" fieldPosition="0">
        <references count="1">
          <reference field="1" count="1">
            <x v="9"/>
          </reference>
        </references>
      </pivotArea>
    </format>
    <format dxfId="1007">
      <pivotArea dataOnly="0" labelOnly="1" outline="0" fieldPosition="0">
        <references count="1">
          <reference field="1" count="1">
            <x v="10"/>
          </reference>
        </references>
      </pivotArea>
    </format>
    <format dxfId="1006">
      <pivotArea dataOnly="0" labelOnly="1" outline="0" fieldPosition="0">
        <references count="1">
          <reference field="1" count="1">
            <x v="11"/>
          </reference>
        </references>
      </pivotArea>
    </format>
    <format dxfId="1005">
      <pivotArea dataOnly="0" labelOnly="1" outline="0" fieldPosition="0">
        <references count="1">
          <reference field="1" count="1">
            <x v="12"/>
          </reference>
        </references>
      </pivotArea>
    </format>
    <format dxfId="1004">
      <pivotArea dataOnly="0" labelOnly="1" outline="0" fieldPosition="0">
        <references count="1">
          <reference field="1" count="1">
            <x v="13"/>
          </reference>
        </references>
      </pivotArea>
    </format>
    <format dxfId="1003">
      <pivotArea dataOnly="0" labelOnly="1" outline="0" fieldPosition="0">
        <references count="1">
          <reference field="1" count="1">
            <x v="14"/>
          </reference>
        </references>
      </pivotArea>
    </format>
    <format dxfId="1002">
      <pivotArea dataOnly="0" labelOnly="1" outline="0" fieldPosition="0">
        <references count="1">
          <reference field="1" count="1">
            <x v="15"/>
          </reference>
        </references>
      </pivotArea>
    </format>
    <format dxfId="1001">
      <pivotArea dataOnly="0" labelOnly="1" outline="0" fieldPosition="0">
        <references count="1">
          <reference field="1" count="1">
            <x v="16"/>
          </reference>
        </references>
      </pivotArea>
    </format>
    <format dxfId="1000">
      <pivotArea dataOnly="0" labelOnly="1" outline="0" fieldPosition="0">
        <references count="1">
          <reference field="1" count="1">
            <x v="17"/>
          </reference>
        </references>
      </pivotArea>
    </format>
    <format dxfId="999">
      <pivotArea dataOnly="0" labelOnly="1" outline="0" fieldPosition="0">
        <references count="1">
          <reference field="1" count="1">
            <x v="18"/>
          </reference>
        </references>
      </pivotArea>
    </format>
    <format dxfId="998">
      <pivotArea dataOnly="0" labelOnly="1" outline="0" fieldPosition="0">
        <references count="1">
          <reference field="1" count="1">
            <x v="19"/>
          </reference>
        </references>
      </pivotArea>
    </format>
    <format dxfId="997">
      <pivotArea dataOnly="0" labelOnly="1" outline="0" fieldPosition="0">
        <references count="1">
          <reference field="1" count="1">
            <x v="20"/>
          </reference>
        </references>
      </pivotArea>
    </format>
    <format dxfId="996">
      <pivotArea dataOnly="0" labelOnly="1" outline="0" fieldPosition="0">
        <references count="1">
          <reference field="1" count="1">
            <x v="21"/>
          </reference>
        </references>
      </pivotArea>
    </format>
    <format dxfId="995">
      <pivotArea dataOnly="0" labelOnly="1" outline="0" fieldPosition="0">
        <references count="1">
          <reference field="1" count="1">
            <x v="22"/>
          </reference>
        </references>
      </pivotArea>
    </format>
    <format dxfId="994">
      <pivotArea dataOnly="0" labelOnly="1" outline="0" fieldPosition="0">
        <references count="1">
          <reference field="1" count="1">
            <x v="23"/>
          </reference>
        </references>
      </pivotArea>
    </format>
    <format dxfId="993">
      <pivotArea dataOnly="0" labelOnly="1" outline="0" fieldPosition="0">
        <references count="1">
          <reference field="1" count="1">
            <x v="24"/>
          </reference>
        </references>
      </pivotArea>
    </format>
    <format dxfId="992">
      <pivotArea dataOnly="0" labelOnly="1" outline="0" fieldPosition="0">
        <references count="1">
          <reference field="1" count="1">
            <x v="25"/>
          </reference>
        </references>
      </pivotArea>
    </format>
    <format dxfId="991">
      <pivotArea dataOnly="0" labelOnly="1" outline="0" fieldPosition="0">
        <references count="1">
          <reference field="1" count="1">
            <x v="26"/>
          </reference>
        </references>
      </pivotArea>
    </format>
    <format dxfId="990">
      <pivotArea dataOnly="0" labelOnly="1" outline="0" fieldPosition="0">
        <references count="1">
          <reference field="1" count="1">
            <x v="27"/>
          </reference>
        </references>
      </pivotArea>
    </format>
    <format dxfId="989">
      <pivotArea dataOnly="0" labelOnly="1" outline="0" fieldPosition="0">
        <references count="1">
          <reference field="1" count="1">
            <x v="28"/>
          </reference>
        </references>
      </pivotArea>
    </format>
    <format dxfId="988">
      <pivotArea dataOnly="0" labelOnly="1" outline="0" fieldPosition="0">
        <references count="1">
          <reference field="1" count="1">
            <x v="29"/>
          </reference>
        </references>
      </pivotArea>
    </format>
    <format dxfId="987">
      <pivotArea dataOnly="0" labelOnly="1" outline="0" fieldPosition="0">
        <references count="1">
          <reference field="1" count="1">
            <x v="30"/>
          </reference>
        </references>
      </pivotArea>
    </format>
    <format dxfId="986">
      <pivotArea dataOnly="0" labelOnly="1" outline="0" fieldPosition="0">
        <references count="1">
          <reference field="1" count="1">
            <x v="31"/>
          </reference>
        </references>
      </pivotArea>
    </format>
    <format dxfId="985">
      <pivotArea dataOnly="0" labelOnly="1" outline="0" fieldPosition="0">
        <references count="1">
          <reference field="1" count="1">
            <x v="32"/>
          </reference>
        </references>
      </pivotArea>
    </format>
    <format dxfId="984">
      <pivotArea dataOnly="0" labelOnly="1" outline="0" fieldPosition="0">
        <references count="1">
          <reference field="1" count="1">
            <x v="33"/>
          </reference>
        </references>
      </pivotArea>
    </format>
    <format dxfId="983">
      <pivotArea dataOnly="0" labelOnly="1" outline="0" fieldPosition="0">
        <references count="1">
          <reference field="1" count="1">
            <x v="34"/>
          </reference>
        </references>
      </pivotArea>
    </format>
    <format dxfId="982">
      <pivotArea dataOnly="0" labelOnly="1" outline="0" fieldPosition="0">
        <references count="1">
          <reference field="1" count="1">
            <x v="35"/>
          </reference>
        </references>
      </pivotArea>
    </format>
    <format dxfId="981">
      <pivotArea dataOnly="0" labelOnly="1" outline="0" fieldPosition="0">
        <references count="1">
          <reference field="1" count="1">
            <x v="36"/>
          </reference>
        </references>
      </pivotArea>
    </format>
    <format dxfId="980">
      <pivotArea dataOnly="0" labelOnly="1" outline="0" fieldPosition="0">
        <references count="1">
          <reference field="1" count="1">
            <x v="37"/>
          </reference>
        </references>
      </pivotArea>
    </format>
    <format dxfId="979">
      <pivotArea dataOnly="0" labelOnly="1" outline="0" fieldPosition="0">
        <references count="1">
          <reference field="1" count="1">
            <x v="38"/>
          </reference>
        </references>
      </pivotArea>
    </format>
    <format dxfId="978">
      <pivotArea dataOnly="0" labelOnly="1" outline="0" fieldPosition="0">
        <references count="1">
          <reference field="1" count="1">
            <x v="39"/>
          </reference>
        </references>
      </pivotArea>
    </format>
    <format dxfId="977">
      <pivotArea dataOnly="0" labelOnly="1" outline="0" fieldPosition="0">
        <references count="1">
          <reference field="1" count="1">
            <x v="40"/>
          </reference>
        </references>
      </pivotArea>
    </format>
    <format dxfId="976">
      <pivotArea dataOnly="0" labelOnly="1" outline="0" fieldPosition="0">
        <references count="1">
          <reference field="1" count="1">
            <x v="41"/>
          </reference>
        </references>
      </pivotArea>
    </format>
    <format dxfId="975">
      <pivotArea dataOnly="0" labelOnly="1" outline="0" fieldPosition="0">
        <references count="1">
          <reference field="1" count="1">
            <x v="42"/>
          </reference>
        </references>
      </pivotArea>
    </format>
    <format dxfId="974">
      <pivotArea dataOnly="0" labelOnly="1" outline="0" fieldPosition="0">
        <references count="1">
          <reference field="1" count="1">
            <x v="43"/>
          </reference>
        </references>
      </pivotArea>
    </format>
    <format dxfId="973">
      <pivotArea dataOnly="0" labelOnly="1" outline="0" fieldPosition="0">
        <references count="1">
          <reference field="1" count="1">
            <x v="44"/>
          </reference>
        </references>
      </pivotArea>
    </format>
    <format dxfId="972">
      <pivotArea dataOnly="0" labelOnly="1" outline="0" fieldPosition="0">
        <references count="1">
          <reference field="1" count="1">
            <x v="45"/>
          </reference>
        </references>
      </pivotArea>
    </format>
    <format dxfId="971">
      <pivotArea dataOnly="0" labelOnly="1" outline="0" fieldPosition="0">
        <references count="1">
          <reference field="1" count="1">
            <x v="46"/>
          </reference>
        </references>
      </pivotArea>
    </format>
    <format dxfId="970">
      <pivotArea dataOnly="0" labelOnly="1" outline="0" fieldPosition="0">
        <references count="1">
          <reference field="1" count="1">
            <x v="47"/>
          </reference>
        </references>
      </pivotArea>
    </format>
    <format dxfId="969">
      <pivotArea dataOnly="0" labelOnly="1" outline="0" fieldPosition="0">
        <references count="1">
          <reference field="1" count="1">
            <x v="48"/>
          </reference>
        </references>
      </pivotArea>
    </format>
    <format dxfId="968">
      <pivotArea dataOnly="0" labelOnly="1" outline="0" fieldPosition="0">
        <references count="1">
          <reference field="1" count="1">
            <x v="49"/>
          </reference>
        </references>
      </pivotArea>
    </format>
    <format dxfId="967">
      <pivotArea dataOnly="0" labelOnly="1" outline="0" fieldPosition="0">
        <references count="1">
          <reference field="1" count="1">
            <x v="50"/>
          </reference>
        </references>
      </pivotArea>
    </format>
    <format dxfId="966">
      <pivotArea dataOnly="0" labelOnly="1" outline="0" fieldPosition="0">
        <references count="1">
          <reference field="1" count="1">
            <x v="51"/>
          </reference>
        </references>
      </pivotArea>
    </format>
    <format dxfId="965">
      <pivotArea dataOnly="0" labelOnly="1" outline="0" fieldPosition="0">
        <references count="1">
          <reference field="1" count="1">
            <x v="52"/>
          </reference>
        </references>
      </pivotArea>
    </format>
    <format dxfId="964">
      <pivotArea dataOnly="0" labelOnly="1" outline="0" fieldPosition="0">
        <references count="1">
          <reference field="1" count="1">
            <x v="53"/>
          </reference>
        </references>
      </pivotArea>
    </format>
    <format dxfId="963">
      <pivotArea dataOnly="0" labelOnly="1" outline="0" fieldPosition="0">
        <references count="1">
          <reference field="1" count="1">
            <x v="54"/>
          </reference>
        </references>
      </pivotArea>
    </format>
    <format dxfId="962">
      <pivotArea dataOnly="0" labelOnly="1" outline="0" fieldPosition="0">
        <references count="1">
          <reference field="1" count="1">
            <x v="55"/>
          </reference>
        </references>
      </pivotArea>
    </format>
    <format dxfId="961">
      <pivotArea dataOnly="0" labelOnly="1" outline="0" fieldPosition="0">
        <references count="1">
          <reference field="1" count="1">
            <x v="56"/>
          </reference>
        </references>
      </pivotArea>
    </format>
    <format dxfId="960">
      <pivotArea dataOnly="0" labelOnly="1" outline="0" fieldPosition="0">
        <references count="1">
          <reference field="1" count="1">
            <x v="57"/>
          </reference>
        </references>
      </pivotArea>
    </format>
    <format dxfId="959">
      <pivotArea dataOnly="0" labelOnly="1" outline="0" fieldPosition="0">
        <references count="1">
          <reference field="1" count="1">
            <x v="58"/>
          </reference>
        </references>
      </pivotArea>
    </format>
    <format dxfId="958">
      <pivotArea dataOnly="0" labelOnly="1" outline="0" fieldPosition="0">
        <references count="1">
          <reference field="1" count="1">
            <x v="59"/>
          </reference>
        </references>
      </pivotArea>
    </format>
    <format dxfId="957">
      <pivotArea dataOnly="0" labelOnly="1" outline="0" fieldPosition="0">
        <references count="1">
          <reference field="1" count="1">
            <x v="60"/>
          </reference>
        </references>
      </pivotArea>
    </format>
    <format dxfId="956">
      <pivotArea dataOnly="0" labelOnly="1" outline="0" fieldPosition="0">
        <references count="1">
          <reference field="1" count="1">
            <x v="61"/>
          </reference>
        </references>
      </pivotArea>
    </format>
    <format dxfId="955">
      <pivotArea dataOnly="0" labelOnly="1" outline="0" fieldPosition="0">
        <references count="1">
          <reference field="1" count="1">
            <x v="62"/>
          </reference>
        </references>
      </pivotArea>
    </format>
    <format dxfId="954">
      <pivotArea dataOnly="0" labelOnly="1" outline="0" fieldPosition="0">
        <references count="1">
          <reference field="1" count="1">
            <x v="63"/>
          </reference>
        </references>
      </pivotArea>
    </format>
    <format dxfId="953">
      <pivotArea dataOnly="0" labelOnly="1" outline="0" fieldPosition="0">
        <references count="1">
          <reference field="1" count="1">
            <x v="64"/>
          </reference>
        </references>
      </pivotArea>
    </format>
    <format dxfId="952">
      <pivotArea dataOnly="0" labelOnly="1" outline="0" fieldPosition="0">
        <references count="1">
          <reference field="1" count="1">
            <x v="65"/>
          </reference>
        </references>
      </pivotArea>
    </format>
    <format dxfId="951">
      <pivotArea dataOnly="0" labelOnly="1" outline="0" fieldPosition="0">
        <references count="1">
          <reference field="1" count="1">
            <x v="66"/>
          </reference>
        </references>
      </pivotArea>
    </format>
    <format dxfId="950">
      <pivotArea dataOnly="0" labelOnly="1" outline="0" fieldPosition="0">
        <references count="1">
          <reference field="1" count="1">
            <x v="67"/>
          </reference>
        </references>
      </pivotArea>
    </format>
    <format dxfId="949">
      <pivotArea dataOnly="0" labelOnly="1" outline="0" fieldPosition="0">
        <references count="1">
          <reference field="1" count="1">
            <x v="68"/>
          </reference>
        </references>
      </pivotArea>
    </format>
    <format dxfId="948">
      <pivotArea dataOnly="0" labelOnly="1" outline="0" fieldPosition="0">
        <references count="1">
          <reference field="1" count="1">
            <x v="69"/>
          </reference>
        </references>
      </pivotArea>
    </format>
    <format dxfId="947">
      <pivotArea dataOnly="0" labelOnly="1" outline="0" fieldPosition="0">
        <references count="1">
          <reference field="1" count="1">
            <x v="70"/>
          </reference>
        </references>
      </pivotArea>
    </format>
    <format dxfId="946">
      <pivotArea dataOnly="0" labelOnly="1" outline="0" fieldPosition="0">
        <references count="1">
          <reference field="1" count="1">
            <x v="71"/>
          </reference>
        </references>
      </pivotArea>
    </format>
    <format dxfId="945">
      <pivotArea dataOnly="0" labelOnly="1" outline="0" fieldPosition="0">
        <references count="1">
          <reference field="1" count="1">
            <x v="72"/>
          </reference>
        </references>
      </pivotArea>
    </format>
    <format dxfId="944">
      <pivotArea dataOnly="0" labelOnly="1" outline="0" fieldPosition="0">
        <references count="1">
          <reference field="1" count="1">
            <x v="73"/>
          </reference>
        </references>
      </pivotArea>
    </format>
    <format dxfId="943">
      <pivotArea dataOnly="0" labelOnly="1" outline="0" fieldPosition="0">
        <references count="1">
          <reference field="1" count="1">
            <x v="74"/>
          </reference>
        </references>
      </pivotArea>
    </format>
    <format dxfId="942">
      <pivotArea dataOnly="0" labelOnly="1" outline="0" fieldPosition="0">
        <references count="1">
          <reference field="1" count="1">
            <x v="75"/>
          </reference>
        </references>
      </pivotArea>
    </format>
    <format dxfId="941">
      <pivotArea dataOnly="0" labelOnly="1" outline="0" fieldPosition="0">
        <references count="1">
          <reference field="1" count="1">
            <x v="76"/>
          </reference>
        </references>
      </pivotArea>
    </format>
    <format dxfId="940">
      <pivotArea dataOnly="0" labelOnly="1" outline="0" fieldPosition="0">
        <references count="1">
          <reference field="1" count="1">
            <x v="77"/>
          </reference>
        </references>
      </pivotArea>
    </format>
    <format dxfId="939">
      <pivotArea dataOnly="0" labelOnly="1" outline="0" fieldPosition="0">
        <references count="1">
          <reference field="1" count="1">
            <x v="78"/>
          </reference>
        </references>
      </pivotArea>
    </format>
    <format dxfId="938">
      <pivotArea dataOnly="0" labelOnly="1" outline="0" fieldPosition="0">
        <references count="1">
          <reference field="1" count="1">
            <x v="79"/>
          </reference>
        </references>
      </pivotArea>
    </format>
    <format dxfId="937">
      <pivotArea dataOnly="0" labelOnly="1" outline="0" fieldPosition="0">
        <references count="1">
          <reference field="1" count="1">
            <x v="80"/>
          </reference>
        </references>
      </pivotArea>
    </format>
    <format dxfId="936">
      <pivotArea dataOnly="0" labelOnly="1" outline="0" fieldPosition="0">
        <references count="1">
          <reference field="1" count="1">
            <x v="81"/>
          </reference>
        </references>
      </pivotArea>
    </format>
    <format dxfId="935">
      <pivotArea dataOnly="0" labelOnly="1" outline="0" fieldPosition="0">
        <references count="1">
          <reference field="1" count="1">
            <x v="82"/>
          </reference>
        </references>
      </pivotArea>
    </format>
    <format dxfId="934">
      <pivotArea dataOnly="0" labelOnly="1" outline="0" fieldPosition="0">
        <references count="1">
          <reference field="1" count="1">
            <x v="83"/>
          </reference>
        </references>
      </pivotArea>
    </format>
    <format dxfId="933">
      <pivotArea dataOnly="0" labelOnly="1" outline="0" fieldPosition="0">
        <references count="1">
          <reference field="1" count="1">
            <x v="84"/>
          </reference>
        </references>
      </pivotArea>
    </format>
    <format dxfId="932">
      <pivotArea dataOnly="0" labelOnly="1" outline="0" fieldPosition="0">
        <references count="1">
          <reference field="1" count="1">
            <x v="85"/>
          </reference>
        </references>
      </pivotArea>
    </format>
    <format dxfId="931">
      <pivotArea dataOnly="0" labelOnly="1" outline="0" fieldPosition="0">
        <references count="1">
          <reference field="1" count="1">
            <x v="86"/>
          </reference>
        </references>
      </pivotArea>
    </format>
    <format dxfId="930">
      <pivotArea dataOnly="0" labelOnly="1" outline="0" fieldPosition="0">
        <references count="1">
          <reference field="1" count="1">
            <x v="87"/>
          </reference>
        </references>
      </pivotArea>
    </format>
    <format dxfId="929">
      <pivotArea dataOnly="0" labelOnly="1" outline="0" fieldPosition="0">
        <references count="1">
          <reference field="1" count="1">
            <x v="88"/>
          </reference>
        </references>
      </pivotArea>
    </format>
    <format dxfId="928">
      <pivotArea dataOnly="0" labelOnly="1" outline="0" fieldPosition="0">
        <references count="1">
          <reference field="1" count="1">
            <x v="89"/>
          </reference>
        </references>
      </pivotArea>
    </format>
    <format dxfId="927">
      <pivotArea dataOnly="0" labelOnly="1" outline="0" fieldPosition="0">
        <references count="1">
          <reference field="1" count="1">
            <x v="90"/>
          </reference>
        </references>
      </pivotArea>
    </format>
    <format dxfId="926">
      <pivotArea dataOnly="0" labelOnly="1" outline="0" fieldPosition="0">
        <references count="1">
          <reference field="1" count="1">
            <x v="91"/>
          </reference>
        </references>
      </pivotArea>
    </format>
    <format dxfId="925">
      <pivotArea dataOnly="0" labelOnly="1" outline="0" fieldPosition="0">
        <references count="1">
          <reference field="1" count="1">
            <x v="92"/>
          </reference>
        </references>
      </pivotArea>
    </format>
    <format dxfId="924">
      <pivotArea dataOnly="0" labelOnly="1" outline="0" fieldPosition="0">
        <references count="1">
          <reference field="1" count="1">
            <x v="93"/>
          </reference>
        </references>
      </pivotArea>
    </format>
    <format dxfId="923">
      <pivotArea dataOnly="0" labelOnly="1" outline="0" fieldPosition="0">
        <references count="1">
          <reference field="1" count="1">
            <x v="94"/>
          </reference>
        </references>
      </pivotArea>
    </format>
    <format dxfId="922">
      <pivotArea dataOnly="0" labelOnly="1" outline="0" fieldPosition="0">
        <references count="1">
          <reference field="1" count="1">
            <x v="95"/>
          </reference>
        </references>
      </pivotArea>
    </format>
    <format dxfId="921">
      <pivotArea dataOnly="0" labelOnly="1" outline="0" fieldPosition="0">
        <references count="1">
          <reference field="1" count="1">
            <x v="96"/>
          </reference>
        </references>
      </pivotArea>
    </format>
    <format dxfId="920">
      <pivotArea dataOnly="0" labelOnly="1" outline="0" fieldPosition="0">
        <references count="1">
          <reference field="1" count="1">
            <x v="97"/>
          </reference>
        </references>
      </pivotArea>
    </format>
    <format dxfId="919">
      <pivotArea dataOnly="0" labelOnly="1" outline="0" fieldPosition="0">
        <references count="1">
          <reference field="1" count="1">
            <x v="98"/>
          </reference>
        </references>
      </pivotArea>
    </format>
    <format dxfId="918">
      <pivotArea dataOnly="0" labelOnly="1" outline="0" fieldPosition="0">
        <references count="1">
          <reference field="1" count="1">
            <x v="99"/>
          </reference>
        </references>
      </pivotArea>
    </format>
    <format dxfId="917">
      <pivotArea dataOnly="0" labelOnly="1" outline="0" fieldPosition="0">
        <references count="1">
          <reference field="1" count="1">
            <x v="100"/>
          </reference>
        </references>
      </pivotArea>
    </format>
    <format dxfId="916">
      <pivotArea dataOnly="0" labelOnly="1" outline="0" fieldPosition="0">
        <references count="1">
          <reference field="1" count="1">
            <x v="101"/>
          </reference>
        </references>
      </pivotArea>
    </format>
    <format dxfId="915">
      <pivotArea dataOnly="0" labelOnly="1" outline="0" fieldPosition="0">
        <references count="1">
          <reference field="1" count="1">
            <x v="102"/>
          </reference>
        </references>
      </pivotArea>
    </format>
    <format dxfId="914">
      <pivotArea dataOnly="0" labelOnly="1" outline="0" fieldPosition="0">
        <references count="1">
          <reference field="1" count="1">
            <x v="103"/>
          </reference>
        </references>
      </pivotArea>
    </format>
    <format dxfId="913">
      <pivotArea dataOnly="0" labelOnly="1" outline="0" fieldPosition="0">
        <references count="1">
          <reference field="1" count="1">
            <x v="104"/>
          </reference>
        </references>
      </pivotArea>
    </format>
    <format dxfId="912">
      <pivotArea dataOnly="0" labelOnly="1" outline="0" fieldPosition="0">
        <references count="1">
          <reference field="1" count="1">
            <x v="105"/>
          </reference>
        </references>
      </pivotArea>
    </format>
    <format dxfId="911">
      <pivotArea dataOnly="0" labelOnly="1" outline="0" fieldPosition="0">
        <references count="1">
          <reference field="1" count="1">
            <x v="106"/>
          </reference>
        </references>
      </pivotArea>
    </format>
    <format dxfId="910">
      <pivotArea dataOnly="0" labelOnly="1" outline="0" fieldPosition="0">
        <references count="1">
          <reference field="1" count="1">
            <x v="107"/>
          </reference>
        </references>
      </pivotArea>
    </format>
    <format dxfId="909">
      <pivotArea dataOnly="0" labelOnly="1" outline="0" fieldPosition="0">
        <references count="1">
          <reference field="1" count="1">
            <x v="108"/>
          </reference>
        </references>
      </pivotArea>
    </format>
    <format dxfId="908">
      <pivotArea dataOnly="0" labelOnly="1" outline="0" fieldPosition="0">
        <references count="1">
          <reference field="1" count="1">
            <x v="109"/>
          </reference>
        </references>
      </pivotArea>
    </format>
    <format dxfId="907">
      <pivotArea dataOnly="0" labelOnly="1" outline="0" fieldPosition="0">
        <references count="1">
          <reference field="1" count="1">
            <x v="110"/>
          </reference>
        </references>
      </pivotArea>
    </format>
    <format dxfId="906">
      <pivotArea dataOnly="0" labelOnly="1" outline="0" fieldPosition="0">
        <references count="1">
          <reference field="1" count="1">
            <x v="111"/>
          </reference>
        </references>
      </pivotArea>
    </format>
    <format dxfId="905">
      <pivotArea dataOnly="0" labelOnly="1" outline="0" fieldPosition="0">
        <references count="1">
          <reference field="1" count="1">
            <x v="112"/>
          </reference>
        </references>
      </pivotArea>
    </format>
    <format dxfId="904">
      <pivotArea dataOnly="0" labelOnly="1" outline="0" fieldPosition="0">
        <references count="1">
          <reference field="1" count="1">
            <x v="113"/>
          </reference>
        </references>
      </pivotArea>
    </format>
    <format dxfId="903">
      <pivotArea dataOnly="0" labelOnly="1" outline="0" fieldPosition="0">
        <references count="1">
          <reference field="1" count="1">
            <x v="114"/>
          </reference>
        </references>
      </pivotArea>
    </format>
    <format dxfId="902">
      <pivotArea dataOnly="0" labelOnly="1" outline="0" fieldPosition="0">
        <references count="1">
          <reference field="1" count="1">
            <x v="115"/>
          </reference>
        </references>
      </pivotArea>
    </format>
    <format dxfId="901">
      <pivotArea dataOnly="0" labelOnly="1" outline="0" fieldPosition="0">
        <references count="1">
          <reference field="1" count="1">
            <x v="116"/>
          </reference>
        </references>
      </pivotArea>
    </format>
    <format dxfId="900">
      <pivotArea dataOnly="0" labelOnly="1" outline="0" fieldPosition="0">
        <references count="1">
          <reference field="1" count="1">
            <x v="117"/>
          </reference>
        </references>
      </pivotArea>
    </format>
    <format dxfId="899">
      <pivotArea dataOnly="0" labelOnly="1" outline="0" fieldPosition="0">
        <references count="1">
          <reference field="1" count="1">
            <x v="118"/>
          </reference>
        </references>
      </pivotArea>
    </format>
    <format dxfId="898">
      <pivotArea dataOnly="0" labelOnly="1" outline="0" fieldPosition="0">
        <references count="1">
          <reference field="1" count="1">
            <x v="119"/>
          </reference>
        </references>
      </pivotArea>
    </format>
    <format dxfId="897">
      <pivotArea dataOnly="0" labelOnly="1" outline="0" fieldPosition="0">
        <references count="1">
          <reference field="1" count="1">
            <x v="120"/>
          </reference>
        </references>
      </pivotArea>
    </format>
    <format dxfId="896">
      <pivotArea dataOnly="0" labelOnly="1" outline="0" fieldPosition="0">
        <references count="1">
          <reference field="1" count="1">
            <x v="121"/>
          </reference>
        </references>
      </pivotArea>
    </format>
    <format dxfId="895">
      <pivotArea dataOnly="0" labelOnly="1" outline="0" fieldPosition="0">
        <references count="1">
          <reference field="1" count="1">
            <x v="122"/>
          </reference>
        </references>
      </pivotArea>
    </format>
    <format dxfId="894">
      <pivotArea dataOnly="0" labelOnly="1" outline="0" fieldPosition="0">
        <references count="1">
          <reference field="1" count="1">
            <x v="123"/>
          </reference>
        </references>
      </pivotArea>
    </format>
    <format dxfId="893">
      <pivotArea dataOnly="0" labelOnly="1" outline="0" fieldPosition="0">
        <references count="1">
          <reference field="1" count="1">
            <x v="124"/>
          </reference>
        </references>
      </pivotArea>
    </format>
    <format dxfId="892">
      <pivotArea dataOnly="0" labelOnly="1" outline="0" fieldPosition="0">
        <references count="1">
          <reference field="1" count="1">
            <x v="125"/>
          </reference>
        </references>
      </pivotArea>
    </format>
    <format dxfId="891">
      <pivotArea dataOnly="0" labelOnly="1" outline="0" fieldPosition="0">
        <references count="1">
          <reference field="1" count="1">
            <x v="126"/>
          </reference>
        </references>
      </pivotArea>
    </format>
    <format dxfId="890">
      <pivotArea dataOnly="0" labelOnly="1" outline="0" fieldPosition="0">
        <references count="1">
          <reference field="1" count="1">
            <x v="127"/>
          </reference>
        </references>
      </pivotArea>
    </format>
    <format dxfId="889">
      <pivotArea dataOnly="0" labelOnly="1" outline="0" fieldPosition="0">
        <references count="1">
          <reference field="1" count="1">
            <x v="128"/>
          </reference>
        </references>
      </pivotArea>
    </format>
    <format dxfId="888">
      <pivotArea dataOnly="0" labelOnly="1" outline="0" fieldPosition="0">
        <references count="1">
          <reference field="1" count="1">
            <x v="129"/>
          </reference>
        </references>
      </pivotArea>
    </format>
    <format dxfId="887">
      <pivotArea dataOnly="0" labelOnly="1" outline="0" fieldPosition="0">
        <references count="1">
          <reference field="1" count="1">
            <x v="130"/>
          </reference>
        </references>
      </pivotArea>
    </format>
    <format dxfId="886">
      <pivotArea dataOnly="0" labelOnly="1" outline="0" fieldPosition="0">
        <references count="1">
          <reference field="1" count="1">
            <x v="131"/>
          </reference>
        </references>
      </pivotArea>
    </format>
    <format dxfId="885">
      <pivotArea dataOnly="0" labelOnly="1" outline="0" fieldPosition="0">
        <references count="1">
          <reference field="1" count="1">
            <x v="132"/>
          </reference>
        </references>
      </pivotArea>
    </format>
    <format dxfId="884">
      <pivotArea dataOnly="0" labelOnly="1" outline="0" fieldPosition="0">
        <references count="1">
          <reference field="1" count="1">
            <x v="133"/>
          </reference>
        </references>
      </pivotArea>
    </format>
    <format dxfId="883">
      <pivotArea dataOnly="0" labelOnly="1" outline="0" fieldPosition="0">
        <references count="1">
          <reference field="1" count="1">
            <x v="134"/>
          </reference>
        </references>
      </pivotArea>
    </format>
    <format dxfId="882">
      <pivotArea dataOnly="0" labelOnly="1" outline="0" fieldPosition="0">
        <references count="1">
          <reference field="1" count="1">
            <x v="135"/>
          </reference>
        </references>
      </pivotArea>
    </format>
    <format dxfId="881">
      <pivotArea dataOnly="0" labelOnly="1" outline="0" fieldPosition="0">
        <references count="1">
          <reference field="1" count="1">
            <x v="136"/>
          </reference>
        </references>
      </pivotArea>
    </format>
    <format dxfId="880">
      <pivotArea dataOnly="0" labelOnly="1" outline="0" fieldPosition="0">
        <references count="1">
          <reference field="1" count="1">
            <x v="137"/>
          </reference>
        </references>
      </pivotArea>
    </format>
    <format dxfId="879">
      <pivotArea dataOnly="0" labelOnly="1" outline="0" fieldPosition="0">
        <references count="1">
          <reference field="1" count="1">
            <x v="138"/>
          </reference>
        </references>
      </pivotArea>
    </format>
    <format dxfId="878">
      <pivotArea dataOnly="0" labelOnly="1" outline="0" fieldPosition="0">
        <references count="1">
          <reference field="1" count="1">
            <x v="139"/>
          </reference>
        </references>
      </pivotArea>
    </format>
    <format dxfId="877">
      <pivotArea dataOnly="0" labelOnly="1" outline="0" fieldPosition="0">
        <references count="1">
          <reference field="1" count="1">
            <x v="140"/>
          </reference>
        </references>
      </pivotArea>
    </format>
    <format dxfId="876">
      <pivotArea dataOnly="0" labelOnly="1" outline="0" fieldPosition="0">
        <references count="1">
          <reference field="1" count="1">
            <x v="141"/>
          </reference>
        </references>
      </pivotArea>
    </format>
    <format dxfId="875">
      <pivotArea dataOnly="0" labelOnly="1" outline="0" fieldPosition="0">
        <references count="1">
          <reference field="1" count="1">
            <x v="142"/>
          </reference>
        </references>
      </pivotArea>
    </format>
    <format dxfId="874">
      <pivotArea dataOnly="0" labelOnly="1" outline="0" fieldPosition="0">
        <references count="1">
          <reference field="1" count="1">
            <x v="143"/>
          </reference>
        </references>
      </pivotArea>
    </format>
    <format dxfId="873">
      <pivotArea dataOnly="0" labelOnly="1" outline="0" fieldPosition="0">
        <references count="1">
          <reference field="1" count="1">
            <x v="144"/>
          </reference>
        </references>
      </pivotArea>
    </format>
    <format dxfId="872">
      <pivotArea dataOnly="0" labelOnly="1" outline="0" fieldPosition="0">
        <references count="1">
          <reference field="1" count="1">
            <x v="145"/>
          </reference>
        </references>
      </pivotArea>
    </format>
    <format dxfId="871">
      <pivotArea dataOnly="0" labelOnly="1" outline="0" fieldPosition="0">
        <references count="1">
          <reference field="1" count="1">
            <x v="146"/>
          </reference>
        </references>
      </pivotArea>
    </format>
    <format dxfId="870">
      <pivotArea dataOnly="0" labelOnly="1" outline="0" fieldPosition="0">
        <references count="1">
          <reference field="1" count="1">
            <x v="147"/>
          </reference>
        </references>
      </pivotArea>
    </format>
    <format dxfId="869">
      <pivotArea dataOnly="0" labelOnly="1" outline="0" fieldPosition="0">
        <references count="1">
          <reference field="1" count="1">
            <x v="148"/>
          </reference>
        </references>
      </pivotArea>
    </format>
    <format dxfId="868">
      <pivotArea dataOnly="0" labelOnly="1" outline="0" fieldPosition="0">
        <references count="1">
          <reference field="1" count="1">
            <x v="149"/>
          </reference>
        </references>
      </pivotArea>
    </format>
    <format dxfId="867">
      <pivotArea dataOnly="0" labelOnly="1" outline="0" fieldPosition="0">
        <references count="1">
          <reference field="1" count="1">
            <x v="150"/>
          </reference>
        </references>
      </pivotArea>
    </format>
    <format dxfId="866">
      <pivotArea dataOnly="0" labelOnly="1" outline="0" fieldPosition="0">
        <references count="1">
          <reference field="1" count="1">
            <x v="151"/>
          </reference>
        </references>
      </pivotArea>
    </format>
    <format dxfId="865">
      <pivotArea dataOnly="0" labelOnly="1" outline="0" fieldPosition="0">
        <references count="1">
          <reference field="1" count="1">
            <x v="152"/>
          </reference>
        </references>
      </pivotArea>
    </format>
    <format dxfId="864">
      <pivotArea dataOnly="0" labelOnly="1" outline="0" fieldPosition="0">
        <references count="1">
          <reference field="1" count="1">
            <x v="153"/>
          </reference>
        </references>
      </pivotArea>
    </format>
    <format dxfId="863">
      <pivotArea dataOnly="0" labelOnly="1" outline="0" fieldPosition="0">
        <references count="1">
          <reference field="1" count="1">
            <x v="154"/>
          </reference>
        </references>
      </pivotArea>
    </format>
    <format dxfId="862">
      <pivotArea dataOnly="0" labelOnly="1" outline="0" fieldPosition="0">
        <references count="1">
          <reference field="1" count="1">
            <x v="155"/>
          </reference>
        </references>
      </pivotArea>
    </format>
    <format dxfId="861">
      <pivotArea dataOnly="0" labelOnly="1" outline="0" fieldPosition="0">
        <references count="1">
          <reference field="1" count="1">
            <x v="156"/>
          </reference>
        </references>
      </pivotArea>
    </format>
    <format dxfId="860">
      <pivotArea dataOnly="0" labelOnly="1" outline="0" fieldPosition="0">
        <references count="1">
          <reference field="1" count="1">
            <x v="157"/>
          </reference>
        </references>
      </pivotArea>
    </format>
    <format dxfId="859">
      <pivotArea dataOnly="0" labelOnly="1" outline="0" fieldPosition="0">
        <references count="1">
          <reference field="1" count="1">
            <x v="158"/>
          </reference>
        </references>
      </pivotArea>
    </format>
    <format dxfId="858">
      <pivotArea dataOnly="0" labelOnly="1" outline="0" fieldPosition="0">
        <references count="1">
          <reference field="1" count="1">
            <x v="159"/>
          </reference>
        </references>
      </pivotArea>
    </format>
    <format dxfId="857">
      <pivotArea dataOnly="0" labelOnly="1" outline="0" fieldPosition="0">
        <references count="1">
          <reference field="1" count="1">
            <x v="160"/>
          </reference>
        </references>
      </pivotArea>
    </format>
    <format dxfId="856">
      <pivotArea dataOnly="0" labelOnly="1" outline="0" fieldPosition="0">
        <references count="1">
          <reference field="1" count="1">
            <x v="161"/>
          </reference>
        </references>
      </pivotArea>
    </format>
    <format dxfId="855">
      <pivotArea dataOnly="0" labelOnly="1" outline="0" fieldPosition="0">
        <references count="1">
          <reference field="1" count="1">
            <x v="162"/>
          </reference>
        </references>
      </pivotArea>
    </format>
    <format dxfId="854">
      <pivotArea dataOnly="0" labelOnly="1" outline="0" fieldPosition="0">
        <references count="1">
          <reference field="1" count="1">
            <x v="163"/>
          </reference>
        </references>
      </pivotArea>
    </format>
    <format dxfId="853">
      <pivotArea dataOnly="0" labelOnly="1" outline="0" fieldPosition="0">
        <references count="1">
          <reference field="1" count="1">
            <x v="164"/>
          </reference>
        </references>
      </pivotArea>
    </format>
    <format dxfId="852">
      <pivotArea dataOnly="0" labelOnly="1" outline="0" fieldPosition="0">
        <references count="1">
          <reference field="1" count="1">
            <x v="165"/>
          </reference>
        </references>
      </pivotArea>
    </format>
    <format dxfId="851">
      <pivotArea dataOnly="0" labelOnly="1" outline="0" fieldPosition="0">
        <references count="1">
          <reference field="1" count="1">
            <x v="166"/>
          </reference>
        </references>
      </pivotArea>
    </format>
    <format dxfId="850">
      <pivotArea dataOnly="0" labelOnly="1" outline="0" fieldPosition="0">
        <references count="1">
          <reference field="1" count="1">
            <x v="167"/>
          </reference>
        </references>
      </pivotArea>
    </format>
    <format dxfId="849">
      <pivotArea dataOnly="0" labelOnly="1" outline="0" fieldPosition="0">
        <references count="1">
          <reference field="1" count="1">
            <x v="168"/>
          </reference>
        </references>
      </pivotArea>
    </format>
    <format dxfId="848">
      <pivotArea dataOnly="0" labelOnly="1" outline="0" fieldPosition="0">
        <references count="1">
          <reference field="1" count="1">
            <x v="169"/>
          </reference>
        </references>
      </pivotArea>
    </format>
    <format dxfId="847">
      <pivotArea dataOnly="0" labelOnly="1" outline="0" fieldPosition="0">
        <references count="1">
          <reference field="1" count="1">
            <x v="170"/>
          </reference>
        </references>
      </pivotArea>
    </format>
    <format dxfId="846">
      <pivotArea dataOnly="0" labelOnly="1" outline="0" fieldPosition="0">
        <references count="1">
          <reference field="1" count="1">
            <x v="171"/>
          </reference>
        </references>
      </pivotArea>
    </format>
    <format dxfId="845">
      <pivotArea dataOnly="0" labelOnly="1" outline="0" fieldPosition="0">
        <references count="1">
          <reference field="1" count="1">
            <x v="172"/>
          </reference>
        </references>
      </pivotArea>
    </format>
    <format dxfId="844">
      <pivotArea dataOnly="0" labelOnly="1" outline="0" fieldPosition="0">
        <references count="1">
          <reference field="1" count="1">
            <x v="173"/>
          </reference>
        </references>
      </pivotArea>
    </format>
    <format dxfId="843">
      <pivotArea dataOnly="0" labelOnly="1" outline="0" fieldPosition="0">
        <references count="1">
          <reference field="1" count="1">
            <x v="174"/>
          </reference>
        </references>
      </pivotArea>
    </format>
    <format dxfId="842">
      <pivotArea dataOnly="0" labelOnly="1" outline="0" fieldPosition="0">
        <references count="1">
          <reference field="1" count="1">
            <x v="175"/>
          </reference>
        </references>
      </pivotArea>
    </format>
    <format dxfId="841">
      <pivotArea dataOnly="0" labelOnly="1" outline="0" fieldPosition="0">
        <references count="1">
          <reference field="1" count="1">
            <x v="176"/>
          </reference>
        </references>
      </pivotArea>
    </format>
    <format dxfId="840">
      <pivotArea dataOnly="0" labelOnly="1" outline="0" fieldPosition="0">
        <references count="1">
          <reference field="1" count="1">
            <x v="177"/>
          </reference>
        </references>
      </pivotArea>
    </format>
    <format dxfId="839">
      <pivotArea dataOnly="0" labelOnly="1" outline="0" fieldPosition="0">
        <references count="1">
          <reference field="1" count="1">
            <x v="178"/>
          </reference>
        </references>
      </pivotArea>
    </format>
    <format dxfId="838">
      <pivotArea dataOnly="0" labelOnly="1" outline="0" fieldPosition="0">
        <references count="1">
          <reference field="1" count="1">
            <x v="179"/>
          </reference>
        </references>
      </pivotArea>
    </format>
    <format dxfId="837">
      <pivotArea dataOnly="0" labelOnly="1" outline="0" fieldPosition="0">
        <references count="1">
          <reference field="1" count="1">
            <x v="180"/>
          </reference>
        </references>
      </pivotArea>
    </format>
    <format dxfId="836">
      <pivotArea dataOnly="0" labelOnly="1" outline="0" fieldPosition="0">
        <references count="1">
          <reference field="1" count="1">
            <x v="181"/>
          </reference>
        </references>
      </pivotArea>
    </format>
    <format dxfId="835">
      <pivotArea dataOnly="0" labelOnly="1" outline="0" fieldPosition="0">
        <references count="1">
          <reference field="1" count="1">
            <x v="182"/>
          </reference>
        </references>
      </pivotArea>
    </format>
    <format dxfId="834">
      <pivotArea dataOnly="0" labelOnly="1" outline="0" fieldPosition="0">
        <references count="1">
          <reference field="1" count="1">
            <x v="183"/>
          </reference>
        </references>
      </pivotArea>
    </format>
    <format dxfId="833">
      <pivotArea dataOnly="0" labelOnly="1" outline="0" fieldPosition="0">
        <references count="1">
          <reference field="1" count="1">
            <x v="184"/>
          </reference>
        </references>
      </pivotArea>
    </format>
    <format dxfId="832">
      <pivotArea dataOnly="0" labelOnly="1" outline="0" fieldPosition="0">
        <references count="1">
          <reference field="1" count="1">
            <x v="185"/>
          </reference>
        </references>
      </pivotArea>
    </format>
    <format dxfId="831">
      <pivotArea dataOnly="0" labelOnly="1" outline="0" fieldPosition="0">
        <references count="1">
          <reference field="1" count="1">
            <x v="186"/>
          </reference>
        </references>
      </pivotArea>
    </format>
    <format dxfId="830">
      <pivotArea dataOnly="0" labelOnly="1" outline="0" fieldPosition="0">
        <references count="1">
          <reference field="1" count="1">
            <x v="187"/>
          </reference>
        </references>
      </pivotArea>
    </format>
    <format dxfId="829">
      <pivotArea dataOnly="0" labelOnly="1" outline="0" fieldPosition="0">
        <references count="1">
          <reference field="1" count="1">
            <x v="188"/>
          </reference>
        </references>
      </pivotArea>
    </format>
    <format dxfId="828">
      <pivotArea dataOnly="0" labelOnly="1" outline="0" fieldPosition="0">
        <references count="1">
          <reference field="1" count="1">
            <x v="189"/>
          </reference>
        </references>
      </pivotArea>
    </format>
    <format dxfId="827">
      <pivotArea dataOnly="0" labelOnly="1" outline="0" fieldPosition="0">
        <references count="1">
          <reference field="1" count="1">
            <x v="190"/>
          </reference>
        </references>
      </pivotArea>
    </format>
    <format dxfId="826">
      <pivotArea dataOnly="0" labelOnly="1" outline="0" fieldPosition="0">
        <references count="1">
          <reference field="1" count="1">
            <x v="191"/>
          </reference>
        </references>
      </pivotArea>
    </format>
    <format dxfId="825">
      <pivotArea dataOnly="0" labelOnly="1" outline="0" fieldPosition="0">
        <references count="1">
          <reference field="1" count="1">
            <x v="192"/>
          </reference>
        </references>
      </pivotArea>
    </format>
    <format dxfId="824">
      <pivotArea dataOnly="0" labelOnly="1" outline="0" fieldPosition="0">
        <references count="1">
          <reference field="1" count="1">
            <x v="193"/>
          </reference>
        </references>
      </pivotArea>
    </format>
    <format dxfId="823">
      <pivotArea dataOnly="0" labelOnly="1" outline="0" fieldPosition="0">
        <references count="1">
          <reference field="1" count="1">
            <x v="194"/>
          </reference>
        </references>
      </pivotArea>
    </format>
    <format dxfId="822">
      <pivotArea dataOnly="0" labelOnly="1" outline="0" fieldPosition="0">
        <references count="1">
          <reference field="1" count="1">
            <x v="195"/>
          </reference>
        </references>
      </pivotArea>
    </format>
    <format dxfId="821">
      <pivotArea dataOnly="0" labelOnly="1" outline="0" fieldPosition="0">
        <references count="1">
          <reference field="1" count="1">
            <x v="196"/>
          </reference>
        </references>
      </pivotArea>
    </format>
    <format dxfId="820">
      <pivotArea dataOnly="0" labelOnly="1" outline="0" fieldPosition="0">
        <references count="1">
          <reference field="1" count="1">
            <x v="197"/>
          </reference>
        </references>
      </pivotArea>
    </format>
    <format dxfId="819">
      <pivotArea dataOnly="0" labelOnly="1" outline="0" fieldPosition="0">
        <references count="1">
          <reference field="1" count="1">
            <x v="198"/>
          </reference>
        </references>
      </pivotArea>
    </format>
    <format dxfId="818">
      <pivotArea dataOnly="0" labelOnly="1" outline="0" fieldPosition="0">
        <references count="1">
          <reference field="1" count="1">
            <x v="199"/>
          </reference>
        </references>
      </pivotArea>
    </format>
    <format dxfId="817">
      <pivotArea dataOnly="0" labelOnly="1" outline="0" fieldPosition="0">
        <references count="1">
          <reference field="1" count="1">
            <x v="200"/>
          </reference>
        </references>
      </pivotArea>
    </format>
    <format dxfId="816">
      <pivotArea dataOnly="0" labelOnly="1" outline="0" fieldPosition="0">
        <references count="1">
          <reference field="1" count="1">
            <x v="201"/>
          </reference>
        </references>
      </pivotArea>
    </format>
    <format dxfId="815">
      <pivotArea dataOnly="0" labelOnly="1" outline="0" fieldPosition="0">
        <references count="1">
          <reference field="1" count="1">
            <x v="202"/>
          </reference>
        </references>
      </pivotArea>
    </format>
    <format dxfId="814">
      <pivotArea dataOnly="0" labelOnly="1" outline="0" fieldPosition="0">
        <references count="1">
          <reference field="1" count="1">
            <x v="203"/>
          </reference>
        </references>
      </pivotArea>
    </format>
    <format dxfId="813">
      <pivotArea dataOnly="0" labelOnly="1" outline="0" fieldPosition="0">
        <references count="1">
          <reference field="1" count="1">
            <x v="204"/>
          </reference>
        </references>
      </pivotArea>
    </format>
    <format dxfId="812">
      <pivotArea dataOnly="0" labelOnly="1" outline="0" fieldPosition="0">
        <references count="1">
          <reference field="1" count="1">
            <x v="205"/>
          </reference>
        </references>
      </pivotArea>
    </format>
    <format dxfId="811">
      <pivotArea dataOnly="0" labelOnly="1" outline="0" fieldPosition="0">
        <references count="1">
          <reference field="1" count="1">
            <x v="206"/>
          </reference>
        </references>
      </pivotArea>
    </format>
    <format dxfId="810">
      <pivotArea dataOnly="0" labelOnly="1" outline="0" fieldPosition="0">
        <references count="1">
          <reference field="1" count="1">
            <x v="207"/>
          </reference>
        </references>
      </pivotArea>
    </format>
    <format dxfId="809">
      <pivotArea dataOnly="0" labelOnly="1" outline="0" fieldPosition="0">
        <references count="1">
          <reference field="1" count="1">
            <x v="208"/>
          </reference>
        </references>
      </pivotArea>
    </format>
    <format dxfId="808">
      <pivotArea dataOnly="0" labelOnly="1" outline="0" fieldPosition="0">
        <references count="1">
          <reference field="1" count="1">
            <x v="209"/>
          </reference>
        </references>
      </pivotArea>
    </format>
    <format dxfId="807">
      <pivotArea dataOnly="0" labelOnly="1" outline="0" fieldPosition="0">
        <references count="1">
          <reference field="1" count="1">
            <x v="210"/>
          </reference>
        </references>
      </pivotArea>
    </format>
    <format dxfId="806">
      <pivotArea dataOnly="0" labelOnly="1" outline="0" fieldPosition="0">
        <references count="1">
          <reference field="1" count="1">
            <x v="211"/>
          </reference>
        </references>
      </pivotArea>
    </format>
    <format dxfId="805">
      <pivotArea dataOnly="0" labelOnly="1" outline="0" fieldPosition="0">
        <references count="1">
          <reference field="1" count="1">
            <x v="212"/>
          </reference>
        </references>
      </pivotArea>
    </format>
    <format dxfId="804">
      <pivotArea dataOnly="0" labelOnly="1" outline="0" fieldPosition="0">
        <references count="1">
          <reference field="1" count="1">
            <x v="213"/>
          </reference>
        </references>
      </pivotArea>
    </format>
    <format dxfId="803">
      <pivotArea dataOnly="0" labelOnly="1" outline="0" fieldPosition="0">
        <references count="1">
          <reference field="1" count="1">
            <x v="214"/>
          </reference>
        </references>
      </pivotArea>
    </format>
    <format dxfId="802">
      <pivotArea dataOnly="0" labelOnly="1" outline="0" fieldPosition="0">
        <references count="1">
          <reference field="1" count="1">
            <x v="215"/>
          </reference>
        </references>
      </pivotArea>
    </format>
    <format dxfId="801">
      <pivotArea dataOnly="0" labelOnly="1" outline="0" fieldPosition="0">
        <references count="1">
          <reference field="1" count="1">
            <x v="216"/>
          </reference>
        </references>
      </pivotArea>
    </format>
    <format dxfId="800">
      <pivotArea dataOnly="0" labelOnly="1" outline="0" fieldPosition="0">
        <references count="1">
          <reference field="1" count="1">
            <x v="217"/>
          </reference>
        </references>
      </pivotArea>
    </format>
    <format dxfId="799">
      <pivotArea dataOnly="0" labelOnly="1" outline="0" fieldPosition="0">
        <references count="1">
          <reference field="1" count="1">
            <x v="218"/>
          </reference>
        </references>
      </pivotArea>
    </format>
    <format dxfId="798">
      <pivotArea dataOnly="0" labelOnly="1" outline="0" fieldPosition="0">
        <references count="1">
          <reference field="1" count="1">
            <x v="219"/>
          </reference>
        </references>
      </pivotArea>
    </format>
    <format dxfId="797">
      <pivotArea dataOnly="0" labelOnly="1" outline="0" fieldPosition="0">
        <references count="1">
          <reference field="1" count="1">
            <x v="220"/>
          </reference>
        </references>
      </pivotArea>
    </format>
    <format dxfId="796">
      <pivotArea dataOnly="0" labelOnly="1" outline="0" fieldPosition="0">
        <references count="1">
          <reference field="1" count="1">
            <x v="221"/>
          </reference>
        </references>
      </pivotArea>
    </format>
    <format dxfId="795">
      <pivotArea dataOnly="0" labelOnly="1" outline="0" fieldPosition="0">
        <references count="1">
          <reference field="1" count="1">
            <x v="222"/>
          </reference>
        </references>
      </pivotArea>
    </format>
    <format dxfId="794">
      <pivotArea dataOnly="0" labelOnly="1" outline="0" fieldPosition="0">
        <references count="1">
          <reference field="1" count="1">
            <x v="223"/>
          </reference>
        </references>
      </pivotArea>
    </format>
    <format dxfId="793">
      <pivotArea dataOnly="0" labelOnly="1" outline="0" fieldPosition="0">
        <references count="1">
          <reference field="1" count="1">
            <x v="224"/>
          </reference>
        </references>
      </pivotArea>
    </format>
    <format dxfId="792">
      <pivotArea dataOnly="0" labelOnly="1" outline="0" fieldPosition="0">
        <references count="1">
          <reference field="1" count="1">
            <x v="225"/>
          </reference>
        </references>
      </pivotArea>
    </format>
    <format dxfId="791">
      <pivotArea dataOnly="0" labelOnly="1" outline="0" fieldPosition="0">
        <references count="1">
          <reference field="1" count="1">
            <x v="226"/>
          </reference>
        </references>
      </pivotArea>
    </format>
    <format dxfId="790">
      <pivotArea dataOnly="0" labelOnly="1" outline="0" fieldPosition="0">
        <references count="1">
          <reference field="1" count="1">
            <x v="227"/>
          </reference>
        </references>
      </pivotArea>
    </format>
    <format dxfId="789">
      <pivotArea dataOnly="0" labelOnly="1" outline="0" fieldPosition="0">
        <references count="1">
          <reference field="1" count="1">
            <x v="228"/>
          </reference>
        </references>
      </pivotArea>
    </format>
    <format dxfId="788">
      <pivotArea dataOnly="0" labelOnly="1" outline="0" fieldPosition="0">
        <references count="1">
          <reference field="1" count="1">
            <x v="229"/>
          </reference>
        </references>
      </pivotArea>
    </format>
    <format dxfId="787">
      <pivotArea dataOnly="0" labelOnly="1" outline="0" fieldPosition="0">
        <references count="1">
          <reference field="1" count="1">
            <x v="230"/>
          </reference>
        </references>
      </pivotArea>
    </format>
    <format dxfId="786">
      <pivotArea dataOnly="0" labelOnly="1" outline="0" fieldPosition="0">
        <references count="1">
          <reference field="1" count="1">
            <x v="231"/>
          </reference>
        </references>
      </pivotArea>
    </format>
    <format dxfId="785">
      <pivotArea dataOnly="0" labelOnly="1" outline="0" fieldPosition="0">
        <references count="1">
          <reference field="1" count="1">
            <x v="232"/>
          </reference>
        </references>
      </pivotArea>
    </format>
    <format dxfId="784">
      <pivotArea dataOnly="0" labelOnly="1" outline="0" fieldPosition="0">
        <references count="1">
          <reference field="1" count="1">
            <x v="233"/>
          </reference>
        </references>
      </pivotArea>
    </format>
    <format dxfId="783">
      <pivotArea dataOnly="0" labelOnly="1" outline="0" fieldPosition="0">
        <references count="1">
          <reference field="1" count="1">
            <x v="234"/>
          </reference>
        </references>
      </pivotArea>
    </format>
    <format dxfId="782">
      <pivotArea dataOnly="0" labelOnly="1" outline="0" fieldPosition="0">
        <references count="1">
          <reference field="1" count="1">
            <x v="235"/>
          </reference>
        </references>
      </pivotArea>
    </format>
    <format dxfId="781">
      <pivotArea dataOnly="0" labelOnly="1" outline="0" fieldPosition="0">
        <references count="1">
          <reference field="1" count="1">
            <x v="236"/>
          </reference>
        </references>
      </pivotArea>
    </format>
    <format dxfId="780">
      <pivotArea dataOnly="0" labelOnly="1" outline="0" fieldPosition="0">
        <references count="1">
          <reference field="1" count="1">
            <x v="237"/>
          </reference>
        </references>
      </pivotArea>
    </format>
    <format dxfId="779">
      <pivotArea dataOnly="0" labelOnly="1" outline="0" fieldPosition="0">
        <references count="1">
          <reference field="1" count="1">
            <x v="238"/>
          </reference>
        </references>
      </pivotArea>
    </format>
    <format dxfId="778">
      <pivotArea dataOnly="0" labelOnly="1" outline="0" fieldPosition="0">
        <references count="1">
          <reference field="1" count="1">
            <x v="239"/>
          </reference>
        </references>
      </pivotArea>
    </format>
    <format dxfId="777">
      <pivotArea dataOnly="0" labelOnly="1" outline="0" fieldPosition="0">
        <references count="1">
          <reference field="1" count="1">
            <x v="240"/>
          </reference>
        </references>
      </pivotArea>
    </format>
    <format dxfId="776">
      <pivotArea dataOnly="0" labelOnly="1" outline="0" fieldPosition="0">
        <references count="1">
          <reference field="1" count="1">
            <x v="241"/>
          </reference>
        </references>
      </pivotArea>
    </format>
    <format dxfId="775">
      <pivotArea dataOnly="0" labelOnly="1" outline="0" fieldPosition="0">
        <references count="1">
          <reference field="1" count="1">
            <x v="242"/>
          </reference>
        </references>
      </pivotArea>
    </format>
    <format dxfId="774">
      <pivotArea dataOnly="0" labelOnly="1" outline="0" fieldPosition="0">
        <references count="1">
          <reference field="1" count="1">
            <x v="243"/>
          </reference>
        </references>
      </pivotArea>
    </format>
    <format dxfId="773">
      <pivotArea dataOnly="0" labelOnly="1" outline="0" fieldPosition="0">
        <references count="1">
          <reference field="1" count="1">
            <x v="244"/>
          </reference>
        </references>
      </pivotArea>
    </format>
    <format dxfId="772">
      <pivotArea dataOnly="0" labelOnly="1" outline="0" fieldPosition="0">
        <references count="1">
          <reference field="1" count="1">
            <x v="245"/>
          </reference>
        </references>
      </pivotArea>
    </format>
    <format dxfId="771">
      <pivotArea dataOnly="0" labelOnly="1" outline="0" fieldPosition="0">
        <references count="1">
          <reference field="1" count="1">
            <x v="246"/>
          </reference>
        </references>
      </pivotArea>
    </format>
    <format dxfId="770">
      <pivotArea dataOnly="0" labelOnly="1" outline="0" fieldPosition="0">
        <references count="1">
          <reference field="1" count="1">
            <x v="247"/>
          </reference>
        </references>
      </pivotArea>
    </format>
    <format dxfId="769">
      <pivotArea dataOnly="0" labelOnly="1" outline="0" fieldPosition="0">
        <references count="1">
          <reference field="1" count="1">
            <x v="248"/>
          </reference>
        </references>
      </pivotArea>
    </format>
    <format dxfId="768">
      <pivotArea dataOnly="0" labelOnly="1" outline="0" fieldPosition="0">
        <references count="1">
          <reference field="1" count="1">
            <x v="249"/>
          </reference>
        </references>
      </pivotArea>
    </format>
    <format dxfId="767">
      <pivotArea dataOnly="0" labelOnly="1" outline="0" fieldPosition="0">
        <references count="1">
          <reference field="1" count="1">
            <x v="250"/>
          </reference>
        </references>
      </pivotArea>
    </format>
    <format dxfId="766">
      <pivotArea dataOnly="0" labelOnly="1" outline="0" fieldPosition="0">
        <references count="1">
          <reference field="1" count="1">
            <x v="251"/>
          </reference>
        </references>
      </pivotArea>
    </format>
    <format dxfId="765">
      <pivotArea dataOnly="0" labelOnly="1" outline="0" fieldPosition="0">
        <references count="1">
          <reference field="1" count="1">
            <x v="252"/>
          </reference>
        </references>
      </pivotArea>
    </format>
    <format dxfId="764">
      <pivotArea dataOnly="0" labelOnly="1" outline="0" fieldPosition="0">
        <references count="1">
          <reference field="1" count="1">
            <x v="253"/>
          </reference>
        </references>
      </pivotArea>
    </format>
    <format dxfId="763">
      <pivotArea dataOnly="0" labelOnly="1" outline="0" fieldPosition="0">
        <references count="1">
          <reference field="1" count="1">
            <x v="254"/>
          </reference>
        </references>
      </pivotArea>
    </format>
    <format dxfId="762">
      <pivotArea dataOnly="0" labelOnly="1" outline="0" fieldPosition="0">
        <references count="1">
          <reference field="1" count="1">
            <x v="255"/>
          </reference>
        </references>
      </pivotArea>
    </format>
    <format dxfId="761">
      <pivotArea dataOnly="0" labelOnly="1" outline="0" fieldPosition="0">
        <references count="1">
          <reference field="1" count="1">
            <x v="256"/>
          </reference>
        </references>
      </pivotArea>
    </format>
    <format dxfId="760">
      <pivotArea dataOnly="0" labelOnly="1" outline="0" fieldPosition="0">
        <references count="1">
          <reference field="1" count="1">
            <x v="257"/>
          </reference>
        </references>
      </pivotArea>
    </format>
    <format dxfId="759">
      <pivotArea dataOnly="0" labelOnly="1" outline="0" fieldPosition="0">
        <references count="1">
          <reference field="1" count="1">
            <x v="258"/>
          </reference>
        </references>
      </pivotArea>
    </format>
    <format dxfId="758">
      <pivotArea dataOnly="0" labelOnly="1" outline="0" fieldPosition="0">
        <references count="1">
          <reference field="1" count="1">
            <x v="259"/>
          </reference>
        </references>
      </pivotArea>
    </format>
    <format dxfId="757">
      <pivotArea dataOnly="0" labelOnly="1" outline="0" fieldPosition="0">
        <references count="1">
          <reference field="1" count="1">
            <x v="260"/>
          </reference>
        </references>
      </pivotArea>
    </format>
    <format dxfId="756">
      <pivotArea dataOnly="0" labelOnly="1" outline="0" fieldPosition="0">
        <references count="1">
          <reference field="1" count="1">
            <x v="261"/>
          </reference>
        </references>
      </pivotArea>
    </format>
    <format dxfId="755">
      <pivotArea dataOnly="0" labelOnly="1" outline="0" fieldPosition="0">
        <references count="1">
          <reference field="1" count="1">
            <x v="262"/>
          </reference>
        </references>
      </pivotArea>
    </format>
    <format dxfId="754">
      <pivotArea dataOnly="0" labelOnly="1" outline="0" fieldPosition="0">
        <references count="1">
          <reference field="1" count="1">
            <x v="263"/>
          </reference>
        </references>
      </pivotArea>
    </format>
    <format dxfId="753">
      <pivotArea dataOnly="0" labelOnly="1" outline="0" fieldPosition="0">
        <references count="1">
          <reference field="1" count="1">
            <x v="264"/>
          </reference>
        </references>
      </pivotArea>
    </format>
    <format dxfId="752">
      <pivotArea dataOnly="0" labelOnly="1" outline="0" fieldPosition="0">
        <references count="1">
          <reference field="1" count="1">
            <x v="265"/>
          </reference>
        </references>
      </pivotArea>
    </format>
    <format dxfId="751">
      <pivotArea dataOnly="0" labelOnly="1" outline="0" fieldPosition="0">
        <references count="1">
          <reference field="1" count="1">
            <x v="266"/>
          </reference>
        </references>
      </pivotArea>
    </format>
    <format dxfId="750">
      <pivotArea dataOnly="0" labelOnly="1" outline="0" fieldPosition="0">
        <references count="1">
          <reference field="1" count="1">
            <x v="267"/>
          </reference>
        </references>
      </pivotArea>
    </format>
    <format dxfId="749">
      <pivotArea dataOnly="0" labelOnly="1" outline="0" fieldPosition="0">
        <references count="1">
          <reference field="1" count="1">
            <x v="268"/>
          </reference>
        </references>
      </pivotArea>
    </format>
    <format dxfId="748">
      <pivotArea dataOnly="0" labelOnly="1" outline="0" fieldPosition="0">
        <references count="1">
          <reference field="1" count="1">
            <x v="269"/>
          </reference>
        </references>
      </pivotArea>
    </format>
    <format dxfId="747">
      <pivotArea dataOnly="0" labelOnly="1" outline="0" fieldPosition="0">
        <references count="1">
          <reference field="1" count="1">
            <x v="270"/>
          </reference>
        </references>
      </pivotArea>
    </format>
    <format dxfId="746">
      <pivotArea dataOnly="0" labelOnly="1" outline="0" fieldPosition="0">
        <references count="1">
          <reference field="1" count="1">
            <x v="271"/>
          </reference>
        </references>
      </pivotArea>
    </format>
    <format dxfId="745">
      <pivotArea dataOnly="0" labelOnly="1" outline="0" fieldPosition="0">
        <references count="1">
          <reference field="1" count="1">
            <x v="272"/>
          </reference>
        </references>
      </pivotArea>
    </format>
    <format dxfId="744">
      <pivotArea dataOnly="0" labelOnly="1" outline="0" fieldPosition="0">
        <references count="1">
          <reference field="1" count="1">
            <x v="273"/>
          </reference>
        </references>
      </pivotArea>
    </format>
    <format dxfId="743">
      <pivotArea dataOnly="0" labelOnly="1" outline="0" fieldPosition="0">
        <references count="1">
          <reference field="1" count="1">
            <x v="274"/>
          </reference>
        </references>
      </pivotArea>
    </format>
    <format dxfId="742">
      <pivotArea dataOnly="0" labelOnly="1" outline="0" fieldPosition="0">
        <references count="1">
          <reference field="1" count="1">
            <x v="275"/>
          </reference>
        </references>
      </pivotArea>
    </format>
    <format dxfId="741">
      <pivotArea dataOnly="0" labelOnly="1" outline="0" fieldPosition="0">
        <references count="1">
          <reference field="1" count="1">
            <x v="276"/>
          </reference>
        </references>
      </pivotArea>
    </format>
    <format dxfId="740">
      <pivotArea dataOnly="0" labelOnly="1" outline="0" fieldPosition="0">
        <references count="1">
          <reference field="1" count="1">
            <x v="277"/>
          </reference>
        </references>
      </pivotArea>
    </format>
    <format dxfId="739">
      <pivotArea dataOnly="0" labelOnly="1" outline="0" fieldPosition="0">
        <references count="1">
          <reference field="1" count="1">
            <x v="278"/>
          </reference>
        </references>
      </pivotArea>
    </format>
    <format dxfId="738">
      <pivotArea dataOnly="0" labelOnly="1" outline="0" fieldPosition="0">
        <references count="1">
          <reference field="1" count="1">
            <x v="279"/>
          </reference>
        </references>
      </pivotArea>
    </format>
    <format dxfId="737">
      <pivotArea dataOnly="0" labelOnly="1" outline="0" fieldPosition="0">
        <references count="1">
          <reference field="1" count="1">
            <x v="280"/>
          </reference>
        </references>
      </pivotArea>
    </format>
    <format dxfId="736">
      <pivotArea dataOnly="0" labelOnly="1" outline="0" fieldPosition="0">
        <references count="1">
          <reference field="1" count="1">
            <x v="281"/>
          </reference>
        </references>
      </pivotArea>
    </format>
    <format dxfId="735">
      <pivotArea dataOnly="0" labelOnly="1" outline="0" fieldPosition="0">
        <references count="1">
          <reference field="1" count="1">
            <x v="282"/>
          </reference>
        </references>
      </pivotArea>
    </format>
    <format dxfId="734">
      <pivotArea dataOnly="0" labelOnly="1" outline="0" fieldPosition="0">
        <references count="1">
          <reference field="1" count="1">
            <x v="283"/>
          </reference>
        </references>
      </pivotArea>
    </format>
    <format dxfId="733">
      <pivotArea dataOnly="0" labelOnly="1" outline="0" fieldPosition="0">
        <references count="1">
          <reference field="1" count="1">
            <x v="284"/>
          </reference>
        </references>
      </pivotArea>
    </format>
    <format dxfId="732">
      <pivotArea dataOnly="0" labelOnly="1" outline="0" fieldPosition="0">
        <references count="1">
          <reference field="1" count="1">
            <x v="285"/>
          </reference>
        </references>
      </pivotArea>
    </format>
    <format dxfId="731">
      <pivotArea dataOnly="0" labelOnly="1" outline="0" fieldPosition="0">
        <references count="1">
          <reference field="1" count="1">
            <x v="286"/>
          </reference>
        </references>
      </pivotArea>
    </format>
    <format dxfId="730">
      <pivotArea dataOnly="0" labelOnly="1" outline="0" fieldPosition="0">
        <references count="1">
          <reference field="1" count="1">
            <x v="287"/>
          </reference>
        </references>
      </pivotArea>
    </format>
    <format dxfId="729">
      <pivotArea dataOnly="0" labelOnly="1" outline="0" fieldPosition="0">
        <references count="1">
          <reference field="1" count="1">
            <x v="288"/>
          </reference>
        </references>
      </pivotArea>
    </format>
    <format dxfId="728">
      <pivotArea dataOnly="0" labelOnly="1" outline="0" fieldPosition="0">
        <references count="1">
          <reference field="1" count="1">
            <x v="289"/>
          </reference>
        </references>
      </pivotArea>
    </format>
    <format dxfId="727">
      <pivotArea dataOnly="0" labelOnly="1" outline="0" fieldPosition="0">
        <references count="1">
          <reference field="1" count="1">
            <x v="290"/>
          </reference>
        </references>
      </pivotArea>
    </format>
    <format dxfId="726">
      <pivotArea dataOnly="0" labelOnly="1" outline="0" fieldPosition="0">
        <references count="1">
          <reference field="1" count="1">
            <x v="291"/>
          </reference>
        </references>
      </pivotArea>
    </format>
    <format dxfId="725">
      <pivotArea dataOnly="0" labelOnly="1" outline="0" fieldPosition="0">
        <references count="1">
          <reference field="1" count="1">
            <x v="292"/>
          </reference>
        </references>
      </pivotArea>
    </format>
    <format dxfId="724">
      <pivotArea dataOnly="0" labelOnly="1" outline="0" fieldPosition="0">
        <references count="1">
          <reference field="1" count="1">
            <x v="293"/>
          </reference>
        </references>
      </pivotArea>
    </format>
    <format dxfId="723">
      <pivotArea dataOnly="0" labelOnly="1" outline="0" fieldPosition="0">
        <references count="1">
          <reference field="1" count="1">
            <x v="294"/>
          </reference>
        </references>
      </pivotArea>
    </format>
    <format dxfId="722">
      <pivotArea dataOnly="0" labelOnly="1" outline="0" fieldPosition="0">
        <references count="1">
          <reference field="1" count="1">
            <x v="295"/>
          </reference>
        </references>
      </pivotArea>
    </format>
    <format dxfId="721">
      <pivotArea dataOnly="0" labelOnly="1" outline="0" fieldPosition="0">
        <references count="1">
          <reference field="1" count="1">
            <x v="296"/>
          </reference>
        </references>
      </pivotArea>
    </format>
    <format dxfId="720">
      <pivotArea dataOnly="0" labelOnly="1" outline="0" fieldPosition="0">
        <references count="1">
          <reference field="1" count="1">
            <x v="297"/>
          </reference>
        </references>
      </pivotArea>
    </format>
    <format dxfId="719">
      <pivotArea dataOnly="0" labelOnly="1" outline="0" fieldPosition="0">
        <references count="1">
          <reference field="1" count="1">
            <x v="298"/>
          </reference>
        </references>
      </pivotArea>
    </format>
    <format dxfId="718">
      <pivotArea dataOnly="0" labelOnly="1" outline="0" fieldPosition="0">
        <references count="1">
          <reference field="1" count="1">
            <x v="299"/>
          </reference>
        </references>
      </pivotArea>
    </format>
    <format dxfId="717">
      <pivotArea dataOnly="0" labelOnly="1" outline="0" fieldPosition="0">
        <references count="1">
          <reference field="1" count="1">
            <x v="300"/>
          </reference>
        </references>
      </pivotArea>
    </format>
    <format dxfId="716">
      <pivotArea dataOnly="0" labelOnly="1" outline="0" fieldPosition="0">
        <references count="1">
          <reference field="1" count="1">
            <x v="301"/>
          </reference>
        </references>
      </pivotArea>
    </format>
    <format dxfId="715">
      <pivotArea dataOnly="0" labelOnly="1" outline="0" fieldPosition="0">
        <references count="1">
          <reference field="1" count="1">
            <x v="302"/>
          </reference>
        </references>
      </pivotArea>
    </format>
    <format dxfId="714">
      <pivotArea dataOnly="0" labelOnly="1" outline="0" fieldPosition="0">
        <references count="1">
          <reference field="1" count="1">
            <x v="303"/>
          </reference>
        </references>
      </pivotArea>
    </format>
    <format dxfId="713">
      <pivotArea dataOnly="0" labelOnly="1" outline="0" fieldPosition="0">
        <references count="1">
          <reference field="1" count="1">
            <x v="304"/>
          </reference>
        </references>
      </pivotArea>
    </format>
    <format dxfId="712">
      <pivotArea dataOnly="0" labelOnly="1" outline="0" fieldPosition="0">
        <references count="1">
          <reference field="1" count="1">
            <x v="305"/>
          </reference>
        </references>
      </pivotArea>
    </format>
    <format dxfId="711">
      <pivotArea dataOnly="0" labelOnly="1" outline="0" fieldPosition="0">
        <references count="1">
          <reference field="1" count="1">
            <x v="306"/>
          </reference>
        </references>
      </pivotArea>
    </format>
    <format dxfId="710">
      <pivotArea dataOnly="0" labelOnly="1" outline="0" fieldPosition="0">
        <references count="1">
          <reference field="1" count="1">
            <x v="307"/>
          </reference>
        </references>
      </pivotArea>
    </format>
    <format dxfId="709">
      <pivotArea dataOnly="0" labelOnly="1" outline="0" fieldPosition="0">
        <references count="1">
          <reference field="1" count="1">
            <x v="308"/>
          </reference>
        </references>
      </pivotArea>
    </format>
    <format dxfId="708">
      <pivotArea dataOnly="0" labelOnly="1" outline="0" fieldPosition="0">
        <references count="1">
          <reference field="1" count="1">
            <x v="309"/>
          </reference>
        </references>
      </pivotArea>
    </format>
    <format dxfId="707">
      <pivotArea dataOnly="0" labelOnly="1" outline="0" fieldPosition="0">
        <references count="1">
          <reference field="1" count="1">
            <x v="310"/>
          </reference>
        </references>
      </pivotArea>
    </format>
    <format dxfId="706">
      <pivotArea dataOnly="0" labelOnly="1" outline="0" fieldPosition="0">
        <references count="1">
          <reference field="1" count="1">
            <x v="311"/>
          </reference>
        </references>
      </pivotArea>
    </format>
    <format dxfId="705">
      <pivotArea dataOnly="0" labelOnly="1" outline="0" fieldPosition="0">
        <references count="1">
          <reference field="1" count="1">
            <x v="312"/>
          </reference>
        </references>
      </pivotArea>
    </format>
    <format dxfId="704">
      <pivotArea dataOnly="0" labelOnly="1" outline="0" fieldPosition="0">
        <references count="1">
          <reference field="1" count="1">
            <x v="313"/>
          </reference>
        </references>
      </pivotArea>
    </format>
    <format dxfId="703">
      <pivotArea dataOnly="0" labelOnly="1" outline="0" fieldPosition="0">
        <references count="1">
          <reference field="1" count="1">
            <x v="314"/>
          </reference>
        </references>
      </pivotArea>
    </format>
    <format dxfId="702">
      <pivotArea dataOnly="0" labelOnly="1" outline="0" fieldPosition="0">
        <references count="1">
          <reference field="1" count="1">
            <x v="315"/>
          </reference>
        </references>
      </pivotArea>
    </format>
    <format dxfId="701">
      <pivotArea dataOnly="0" labelOnly="1" outline="0" fieldPosition="0">
        <references count="1">
          <reference field="1" count="1">
            <x v="316"/>
          </reference>
        </references>
      </pivotArea>
    </format>
    <format dxfId="700">
      <pivotArea dataOnly="0" labelOnly="1" outline="0" fieldPosition="0">
        <references count="1">
          <reference field="1" count="1">
            <x v="317"/>
          </reference>
        </references>
      </pivotArea>
    </format>
    <format dxfId="699">
      <pivotArea dataOnly="0" labelOnly="1" outline="0" fieldPosition="0">
        <references count="1">
          <reference field="1" count="1">
            <x v="318"/>
          </reference>
        </references>
      </pivotArea>
    </format>
    <format dxfId="698">
      <pivotArea dataOnly="0" labelOnly="1" outline="0" fieldPosition="0">
        <references count="1">
          <reference field="1" count="1">
            <x v="319"/>
          </reference>
        </references>
      </pivotArea>
    </format>
    <format dxfId="697">
      <pivotArea dataOnly="0" labelOnly="1" outline="0" fieldPosition="0">
        <references count="1">
          <reference field="1" count="1">
            <x v="320"/>
          </reference>
        </references>
      </pivotArea>
    </format>
    <format dxfId="696">
      <pivotArea dataOnly="0" labelOnly="1" outline="0" fieldPosition="0">
        <references count="1">
          <reference field="1" count="1">
            <x v="321"/>
          </reference>
        </references>
      </pivotArea>
    </format>
    <format dxfId="695">
      <pivotArea dataOnly="0" labelOnly="1" outline="0" fieldPosition="0">
        <references count="1">
          <reference field="1" count="1">
            <x v="322"/>
          </reference>
        </references>
      </pivotArea>
    </format>
    <format dxfId="694">
      <pivotArea dataOnly="0" labelOnly="1" outline="0" fieldPosition="0">
        <references count="1">
          <reference field="1" count="1">
            <x v="323"/>
          </reference>
        </references>
      </pivotArea>
    </format>
    <format dxfId="693">
      <pivotArea dataOnly="0" labelOnly="1" outline="0" fieldPosition="0">
        <references count="1">
          <reference field="1" count="1">
            <x v="324"/>
          </reference>
        </references>
      </pivotArea>
    </format>
    <format dxfId="692">
      <pivotArea dataOnly="0" labelOnly="1" outline="0" fieldPosition="0">
        <references count="1">
          <reference field="1" count="1">
            <x v="325"/>
          </reference>
        </references>
      </pivotArea>
    </format>
    <format dxfId="691">
      <pivotArea dataOnly="0" labelOnly="1" outline="0" fieldPosition="0">
        <references count="1">
          <reference field="1" count="1">
            <x v="326"/>
          </reference>
        </references>
      </pivotArea>
    </format>
    <format dxfId="690">
      <pivotArea dataOnly="0" labelOnly="1" outline="0" fieldPosition="0">
        <references count="1">
          <reference field="1" count="1">
            <x v="327"/>
          </reference>
        </references>
      </pivotArea>
    </format>
    <format dxfId="689">
      <pivotArea dataOnly="0" labelOnly="1" outline="0" fieldPosition="0">
        <references count="1">
          <reference field="1" count="1">
            <x v="328"/>
          </reference>
        </references>
      </pivotArea>
    </format>
    <format dxfId="688">
      <pivotArea dataOnly="0" labelOnly="1" outline="0" fieldPosition="0">
        <references count="1">
          <reference field="1" count="1">
            <x v="329"/>
          </reference>
        </references>
      </pivotArea>
    </format>
    <format dxfId="687">
      <pivotArea dataOnly="0" labelOnly="1" outline="0" fieldPosition="0">
        <references count="1">
          <reference field="1" count="1">
            <x v="330"/>
          </reference>
        </references>
      </pivotArea>
    </format>
    <format dxfId="686">
      <pivotArea dataOnly="0" labelOnly="1" outline="0" fieldPosition="0">
        <references count="1">
          <reference field="1" count="1">
            <x v="331"/>
          </reference>
        </references>
      </pivotArea>
    </format>
    <format dxfId="685">
      <pivotArea dataOnly="0" labelOnly="1" outline="0" fieldPosition="0">
        <references count="1">
          <reference field="1" count="1">
            <x v="332"/>
          </reference>
        </references>
      </pivotArea>
    </format>
    <format dxfId="684">
      <pivotArea dataOnly="0" labelOnly="1" outline="0" fieldPosition="0">
        <references count="1">
          <reference field="1" count="1">
            <x v="333"/>
          </reference>
        </references>
      </pivotArea>
    </format>
    <format dxfId="683">
      <pivotArea dataOnly="0" labelOnly="1" outline="0" fieldPosition="0">
        <references count="1">
          <reference field="1" count="1">
            <x v="334"/>
          </reference>
        </references>
      </pivotArea>
    </format>
    <format dxfId="682">
      <pivotArea dataOnly="0" labelOnly="1" outline="0" fieldPosition="0">
        <references count="1">
          <reference field="1" count="1">
            <x v="335"/>
          </reference>
        </references>
      </pivotArea>
    </format>
    <format dxfId="681">
      <pivotArea dataOnly="0" labelOnly="1" outline="0" fieldPosition="0">
        <references count="1">
          <reference field="1" count="1">
            <x v="336"/>
          </reference>
        </references>
      </pivotArea>
    </format>
    <format dxfId="680">
      <pivotArea dataOnly="0" labelOnly="1" outline="0" fieldPosition="0">
        <references count="1">
          <reference field="1" count="1">
            <x v="337"/>
          </reference>
        </references>
      </pivotArea>
    </format>
    <format dxfId="679">
      <pivotArea dataOnly="0" labelOnly="1" outline="0" fieldPosition="0">
        <references count="1">
          <reference field="1" count="1">
            <x v="338"/>
          </reference>
        </references>
      </pivotArea>
    </format>
    <format dxfId="678">
      <pivotArea dataOnly="0" labelOnly="1" outline="0" fieldPosition="0">
        <references count="1">
          <reference field="1" count="1">
            <x v="339"/>
          </reference>
        </references>
      </pivotArea>
    </format>
    <format dxfId="677">
      <pivotArea dataOnly="0" labelOnly="1" outline="0" fieldPosition="0">
        <references count="1">
          <reference field="1" count="1">
            <x v="340"/>
          </reference>
        </references>
      </pivotArea>
    </format>
    <format dxfId="676">
      <pivotArea dataOnly="0" labelOnly="1" outline="0" fieldPosition="0">
        <references count="1">
          <reference field="1" count="1">
            <x v="341"/>
          </reference>
        </references>
      </pivotArea>
    </format>
    <format dxfId="675">
      <pivotArea dataOnly="0" labelOnly="1" outline="0" fieldPosition="0">
        <references count="1">
          <reference field="1" count="1">
            <x v="342"/>
          </reference>
        </references>
      </pivotArea>
    </format>
    <format dxfId="674">
      <pivotArea dataOnly="0" labelOnly="1" outline="0" fieldPosition="0">
        <references count="1">
          <reference field="1" count="1">
            <x v="343"/>
          </reference>
        </references>
      </pivotArea>
    </format>
    <format dxfId="673">
      <pivotArea dataOnly="0" labelOnly="1" outline="0" fieldPosition="0">
        <references count="1">
          <reference field="1" count="1">
            <x v="344"/>
          </reference>
        </references>
      </pivotArea>
    </format>
    <format dxfId="672">
      <pivotArea dataOnly="0" labelOnly="1" outline="0" fieldPosition="0">
        <references count="1">
          <reference field="1" count="1">
            <x v="345"/>
          </reference>
        </references>
      </pivotArea>
    </format>
    <format dxfId="671">
      <pivotArea dataOnly="0" labelOnly="1" outline="0" fieldPosition="0">
        <references count="1">
          <reference field="1" count="1">
            <x v="346"/>
          </reference>
        </references>
      </pivotArea>
    </format>
    <format dxfId="670">
      <pivotArea dataOnly="0" labelOnly="1" outline="0" fieldPosition="0">
        <references count="1">
          <reference field="1" count="1">
            <x v="347"/>
          </reference>
        </references>
      </pivotArea>
    </format>
    <format dxfId="669">
      <pivotArea dataOnly="0" labelOnly="1" outline="0" fieldPosition="0">
        <references count="1">
          <reference field="1" count="1">
            <x v="348"/>
          </reference>
        </references>
      </pivotArea>
    </format>
    <format dxfId="668">
      <pivotArea dataOnly="0" labelOnly="1" outline="0" fieldPosition="0">
        <references count="1">
          <reference field="1" count="1">
            <x v="349"/>
          </reference>
        </references>
      </pivotArea>
    </format>
    <format dxfId="667">
      <pivotArea dataOnly="0" labelOnly="1" outline="0" fieldPosition="0">
        <references count="1">
          <reference field="1" count="1">
            <x v="350"/>
          </reference>
        </references>
      </pivotArea>
    </format>
    <format dxfId="666">
      <pivotArea dataOnly="0" labelOnly="1" outline="0" fieldPosition="0">
        <references count="1">
          <reference field="1" count="1">
            <x v="351"/>
          </reference>
        </references>
      </pivotArea>
    </format>
    <format dxfId="665">
      <pivotArea dataOnly="0" labelOnly="1" outline="0" fieldPosition="0">
        <references count="1">
          <reference field="1" count="1">
            <x v="352"/>
          </reference>
        </references>
      </pivotArea>
    </format>
    <format dxfId="664">
      <pivotArea dataOnly="0" labelOnly="1" outline="0" fieldPosition="0">
        <references count="1">
          <reference field="1" count="1">
            <x v="353"/>
          </reference>
        </references>
      </pivotArea>
    </format>
    <format dxfId="663">
      <pivotArea dataOnly="0" labelOnly="1" outline="0" fieldPosition="0">
        <references count="1">
          <reference field="1" count="1">
            <x v="354"/>
          </reference>
        </references>
      </pivotArea>
    </format>
    <format dxfId="662">
      <pivotArea dataOnly="0" labelOnly="1" outline="0" fieldPosition="0">
        <references count="1">
          <reference field="1" count="1">
            <x v="355"/>
          </reference>
        </references>
      </pivotArea>
    </format>
    <format dxfId="661">
      <pivotArea dataOnly="0" labelOnly="1" outline="0" fieldPosition="0">
        <references count="1">
          <reference field="1" count="1">
            <x v="356"/>
          </reference>
        </references>
      </pivotArea>
    </format>
    <format dxfId="660">
      <pivotArea dataOnly="0" labelOnly="1" outline="0" fieldPosition="0">
        <references count="1">
          <reference field="1" count="1">
            <x v="357"/>
          </reference>
        </references>
      </pivotArea>
    </format>
    <format dxfId="659">
      <pivotArea dataOnly="0" labelOnly="1" outline="0" fieldPosition="0">
        <references count="1">
          <reference field="1" count="1">
            <x v="358"/>
          </reference>
        </references>
      </pivotArea>
    </format>
    <format dxfId="658">
      <pivotArea dataOnly="0" labelOnly="1" outline="0" fieldPosition="0">
        <references count="1">
          <reference field="1" count="1">
            <x v="359"/>
          </reference>
        </references>
      </pivotArea>
    </format>
    <format dxfId="657">
      <pivotArea dataOnly="0" labelOnly="1" outline="0" fieldPosition="0">
        <references count="1">
          <reference field="1" count="1">
            <x v="360"/>
          </reference>
        </references>
      </pivotArea>
    </format>
    <format dxfId="656">
      <pivotArea dataOnly="0" labelOnly="1" outline="0" fieldPosition="0">
        <references count="1">
          <reference field="1" count="1">
            <x v="361"/>
          </reference>
        </references>
      </pivotArea>
    </format>
    <format dxfId="655">
      <pivotArea dataOnly="0" labelOnly="1" outline="0" fieldPosition="0">
        <references count="1">
          <reference field="1" count="1">
            <x v="362"/>
          </reference>
        </references>
      </pivotArea>
    </format>
    <format dxfId="654">
      <pivotArea dataOnly="0" labelOnly="1" outline="0" fieldPosition="0">
        <references count="1">
          <reference field="1" count="1">
            <x v="363"/>
          </reference>
        </references>
      </pivotArea>
    </format>
    <format dxfId="653">
      <pivotArea dataOnly="0" labelOnly="1" outline="0" fieldPosition="0">
        <references count="1">
          <reference field="1" count="1">
            <x v="364"/>
          </reference>
        </references>
      </pivotArea>
    </format>
    <format dxfId="652">
      <pivotArea dataOnly="0" labelOnly="1" outline="0" fieldPosition="0">
        <references count="1">
          <reference field="1" count="1">
            <x v="365"/>
          </reference>
        </references>
      </pivotArea>
    </format>
    <format dxfId="651">
      <pivotArea dataOnly="0" labelOnly="1" outline="0" fieldPosition="0">
        <references count="1">
          <reference field="1" count="1">
            <x v="366"/>
          </reference>
        </references>
      </pivotArea>
    </format>
    <format dxfId="650">
      <pivotArea dataOnly="0" labelOnly="1" outline="0" fieldPosition="0">
        <references count="1">
          <reference field="1" count="1">
            <x v="367"/>
          </reference>
        </references>
      </pivotArea>
    </format>
    <format dxfId="649">
      <pivotArea dataOnly="0" labelOnly="1" outline="0" fieldPosition="0">
        <references count="1">
          <reference field="1" count="1">
            <x v="368"/>
          </reference>
        </references>
      </pivotArea>
    </format>
    <format dxfId="648">
      <pivotArea dataOnly="0" labelOnly="1" outline="0" fieldPosition="0">
        <references count="1">
          <reference field="1" count="1">
            <x v="369"/>
          </reference>
        </references>
      </pivotArea>
    </format>
    <format dxfId="647">
      <pivotArea dataOnly="0" labelOnly="1" outline="0" fieldPosition="0">
        <references count="1">
          <reference field="1" count="1">
            <x v="370"/>
          </reference>
        </references>
      </pivotArea>
    </format>
    <format dxfId="646">
      <pivotArea dataOnly="0" labelOnly="1" outline="0" fieldPosition="0">
        <references count="1">
          <reference field="1" count="1">
            <x v="371"/>
          </reference>
        </references>
      </pivotArea>
    </format>
    <format dxfId="645">
      <pivotArea dataOnly="0" labelOnly="1" outline="0" fieldPosition="0">
        <references count="1">
          <reference field="1" count="1">
            <x v="372"/>
          </reference>
        </references>
      </pivotArea>
    </format>
    <format dxfId="644">
      <pivotArea dataOnly="0" labelOnly="1" outline="0" fieldPosition="0">
        <references count="1">
          <reference field="1" count="1">
            <x v="373"/>
          </reference>
        </references>
      </pivotArea>
    </format>
    <format dxfId="643">
      <pivotArea dataOnly="0" labelOnly="1" outline="0" fieldPosition="0">
        <references count="1">
          <reference field="1" count="1">
            <x v="374"/>
          </reference>
        </references>
      </pivotArea>
    </format>
    <format dxfId="642">
      <pivotArea dataOnly="0" labelOnly="1" outline="0" fieldPosition="0">
        <references count="1">
          <reference field="1" count="1">
            <x v="375"/>
          </reference>
        </references>
      </pivotArea>
    </format>
    <format dxfId="641">
      <pivotArea dataOnly="0" labelOnly="1" outline="0" fieldPosition="0">
        <references count="1">
          <reference field="1" count="1">
            <x v="376"/>
          </reference>
        </references>
      </pivotArea>
    </format>
    <format dxfId="640">
      <pivotArea dataOnly="0" labelOnly="1" outline="0" fieldPosition="0">
        <references count="1">
          <reference field="1" count="1">
            <x v="377"/>
          </reference>
        </references>
      </pivotArea>
    </format>
    <format dxfId="639">
      <pivotArea dataOnly="0" labelOnly="1" outline="0" fieldPosition="0">
        <references count="1">
          <reference field="1" count="1">
            <x v="378"/>
          </reference>
        </references>
      </pivotArea>
    </format>
    <format dxfId="638">
      <pivotArea dataOnly="0" labelOnly="1" outline="0" fieldPosition="0">
        <references count="1">
          <reference field="1" count="1">
            <x v="379"/>
          </reference>
        </references>
      </pivotArea>
    </format>
    <format dxfId="637">
      <pivotArea dataOnly="0" labelOnly="1" outline="0" fieldPosition="0">
        <references count="1">
          <reference field="1" count="1">
            <x v="380"/>
          </reference>
        </references>
      </pivotArea>
    </format>
    <format dxfId="636">
      <pivotArea dataOnly="0" labelOnly="1" outline="0" fieldPosition="0">
        <references count="1">
          <reference field="1" count="1">
            <x v="381"/>
          </reference>
        </references>
      </pivotArea>
    </format>
    <format dxfId="635">
      <pivotArea dataOnly="0" labelOnly="1" outline="0" fieldPosition="0">
        <references count="1">
          <reference field="1" count="1">
            <x v="382"/>
          </reference>
        </references>
      </pivotArea>
    </format>
    <format dxfId="634">
      <pivotArea dataOnly="0" labelOnly="1" outline="0" fieldPosition="0">
        <references count="1">
          <reference field="1" count="1">
            <x v="383"/>
          </reference>
        </references>
      </pivotArea>
    </format>
    <format dxfId="633">
      <pivotArea dataOnly="0" labelOnly="1" outline="0" fieldPosition="0">
        <references count="1">
          <reference field="1" count="1">
            <x v="384"/>
          </reference>
        </references>
      </pivotArea>
    </format>
    <format dxfId="632">
      <pivotArea dataOnly="0" labelOnly="1" outline="0" fieldPosition="0">
        <references count="1">
          <reference field="1" count="1">
            <x v="385"/>
          </reference>
        </references>
      </pivotArea>
    </format>
    <format dxfId="631">
      <pivotArea dataOnly="0" labelOnly="1" outline="0" fieldPosition="0">
        <references count="1">
          <reference field="1" count="1">
            <x v="386"/>
          </reference>
        </references>
      </pivotArea>
    </format>
    <format dxfId="630">
      <pivotArea dataOnly="0" labelOnly="1" outline="0" fieldPosition="0">
        <references count="1">
          <reference field="1" count="1">
            <x v="387"/>
          </reference>
        </references>
      </pivotArea>
    </format>
    <format dxfId="629">
      <pivotArea dataOnly="0" labelOnly="1" outline="0" fieldPosition="0">
        <references count="1">
          <reference field="1" count="1">
            <x v="388"/>
          </reference>
        </references>
      </pivotArea>
    </format>
    <format dxfId="628">
      <pivotArea dataOnly="0" labelOnly="1" outline="0" fieldPosition="0">
        <references count="1">
          <reference field="1" count="1">
            <x v="389"/>
          </reference>
        </references>
      </pivotArea>
    </format>
    <format dxfId="627">
      <pivotArea dataOnly="0" labelOnly="1" outline="0" fieldPosition="0">
        <references count="1">
          <reference field="1" count="1">
            <x v="390"/>
          </reference>
        </references>
      </pivotArea>
    </format>
    <format dxfId="626">
      <pivotArea dataOnly="0" labelOnly="1" outline="0" fieldPosition="0">
        <references count="1">
          <reference field="1" count="1">
            <x v="391"/>
          </reference>
        </references>
      </pivotArea>
    </format>
    <format dxfId="625">
      <pivotArea dataOnly="0" labelOnly="1" outline="0" fieldPosition="0">
        <references count="1">
          <reference field="1" count="1">
            <x v="392"/>
          </reference>
        </references>
      </pivotArea>
    </format>
    <format dxfId="624">
      <pivotArea dataOnly="0" labelOnly="1" outline="0" fieldPosition="0">
        <references count="1">
          <reference field="1" count="1">
            <x v="393"/>
          </reference>
        </references>
      </pivotArea>
    </format>
    <format dxfId="623">
      <pivotArea dataOnly="0" labelOnly="1" outline="0" fieldPosition="0">
        <references count="1">
          <reference field="1" count="1">
            <x v="394"/>
          </reference>
        </references>
      </pivotArea>
    </format>
    <format dxfId="622">
      <pivotArea dataOnly="0" labelOnly="1" outline="0" fieldPosition="0">
        <references count="1">
          <reference field="1" count="1">
            <x v="395"/>
          </reference>
        </references>
      </pivotArea>
    </format>
    <format dxfId="621">
      <pivotArea dataOnly="0" labelOnly="1" outline="0" fieldPosition="0">
        <references count="1">
          <reference field="1" count="1">
            <x v="396"/>
          </reference>
        </references>
      </pivotArea>
    </format>
    <format dxfId="620">
      <pivotArea dataOnly="0" labelOnly="1" outline="0" fieldPosition="0">
        <references count="1">
          <reference field="1" count="1">
            <x v="397"/>
          </reference>
        </references>
      </pivotArea>
    </format>
    <format dxfId="619">
      <pivotArea dataOnly="0" labelOnly="1" outline="0" fieldPosition="0">
        <references count="1">
          <reference field="1" count="1">
            <x v="398"/>
          </reference>
        </references>
      </pivotArea>
    </format>
    <format dxfId="618">
      <pivotArea dataOnly="0" labelOnly="1" outline="0" fieldPosition="0">
        <references count="1">
          <reference field="1" count="1">
            <x v="399"/>
          </reference>
        </references>
      </pivotArea>
    </format>
    <format dxfId="617">
      <pivotArea dataOnly="0" labelOnly="1" outline="0" fieldPosition="0">
        <references count="1">
          <reference field="1" count="1">
            <x v="400"/>
          </reference>
        </references>
      </pivotArea>
    </format>
    <format dxfId="616">
      <pivotArea dataOnly="0" labelOnly="1" outline="0" fieldPosition="0">
        <references count="1">
          <reference field="1" count="1">
            <x v="401"/>
          </reference>
        </references>
      </pivotArea>
    </format>
    <format dxfId="615">
      <pivotArea dataOnly="0" labelOnly="1" outline="0" fieldPosition="0">
        <references count="1">
          <reference field="1" count="1">
            <x v="402"/>
          </reference>
        </references>
      </pivotArea>
    </format>
    <format dxfId="614">
      <pivotArea dataOnly="0" labelOnly="1" outline="0" fieldPosition="0">
        <references count="1">
          <reference field="1" count="1">
            <x v="403"/>
          </reference>
        </references>
      </pivotArea>
    </format>
    <format dxfId="613">
      <pivotArea dataOnly="0" labelOnly="1" outline="0" fieldPosition="0">
        <references count="1">
          <reference field="1" count="1">
            <x v="404"/>
          </reference>
        </references>
      </pivotArea>
    </format>
    <format dxfId="612">
      <pivotArea dataOnly="0" labelOnly="1" outline="0" fieldPosition="0">
        <references count="1">
          <reference field="1" count="1">
            <x v="405"/>
          </reference>
        </references>
      </pivotArea>
    </format>
    <format dxfId="611">
      <pivotArea dataOnly="0" labelOnly="1" outline="0" fieldPosition="0">
        <references count="1">
          <reference field="1" count="1">
            <x v="406"/>
          </reference>
        </references>
      </pivotArea>
    </format>
    <format dxfId="610">
      <pivotArea dataOnly="0" labelOnly="1" outline="0" fieldPosition="0">
        <references count="1">
          <reference field="1" count="1">
            <x v="407"/>
          </reference>
        </references>
      </pivotArea>
    </format>
    <format dxfId="609">
      <pivotArea dataOnly="0" labelOnly="1" outline="0" fieldPosition="0">
        <references count="1">
          <reference field="1" count="1">
            <x v="408"/>
          </reference>
        </references>
      </pivotArea>
    </format>
    <format dxfId="608">
      <pivotArea dataOnly="0" labelOnly="1" outline="0" fieldPosition="0">
        <references count="1">
          <reference field="1" count="1">
            <x v="409"/>
          </reference>
        </references>
      </pivotArea>
    </format>
    <format dxfId="607">
      <pivotArea dataOnly="0" labelOnly="1" outline="0" fieldPosition="0">
        <references count="1">
          <reference field="1" count="1">
            <x v="410"/>
          </reference>
        </references>
      </pivotArea>
    </format>
    <format dxfId="606">
      <pivotArea dataOnly="0" labelOnly="1" outline="0" fieldPosition="0">
        <references count="1">
          <reference field="1" count="1">
            <x v="411"/>
          </reference>
        </references>
      </pivotArea>
    </format>
    <format dxfId="605">
      <pivotArea dataOnly="0" labelOnly="1" outline="0" fieldPosition="0">
        <references count="1">
          <reference field="1" count="1">
            <x v="412"/>
          </reference>
        </references>
      </pivotArea>
    </format>
    <format dxfId="604">
      <pivotArea dataOnly="0" labelOnly="1" outline="0" fieldPosition="0">
        <references count="1">
          <reference field="1" count="1">
            <x v="413"/>
          </reference>
        </references>
      </pivotArea>
    </format>
    <format dxfId="603">
      <pivotArea dataOnly="0" labelOnly="1" outline="0" fieldPosition="0">
        <references count="1">
          <reference field="1" count="1">
            <x v="414"/>
          </reference>
        </references>
      </pivotArea>
    </format>
    <format dxfId="602">
      <pivotArea dataOnly="0" labelOnly="1" outline="0" fieldPosition="0">
        <references count="1">
          <reference field="1" count="1">
            <x v="415"/>
          </reference>
        </references>
      </pivotArea>
    </format>
    <format dxfId="601">
      <pivotArea dataOnly="0" labelOnly="1" outline="0" fieldPosition="0">
        <references count="1">
          <reference field="1" count="1">
            <x v="416"/>
          </reference>
        </references>
      </pivotArea>
    </format>
    <format dxfId="600">
      <pivotArea dataOnly="0" labelOnly="1" outline="0" fieldPosition="0">
        <references count="1">
          <reference field="1" count="1">
            <x v="417"/>
          </reference>
        </references>
      </pivotArea>
    </format>
    <format dxfId="599">
      <pivotArea dataOnly="0" labelOnly="1" outline="0" fieldPosition="0">
        <references count="1">
          <reference field="1" count="1">
            <x v="418"/>
          </reference>
        </references>
      </pivotArea>
    </format>
    <format dxfId="598">
      <pivotArea dataOnly="0" labelOnly="1" outline="0" fieldPosition="0">
        <references count="1">
          <reference field="1" count="1">
            <x v="419"/>
          </reference>
        </references>
      </pivotArea>
    </format>
    <format dxfId="597">
      <pivotArea dataOnly="0" labelOnly="1" outline="0" fieldPosition="0">
        <references count="1">
          <reference field="1" count="1">
            <x v="420"/>
          </reference>
        </references>
      </pivotArea>
    </format>
    <format dxfId="596">
      <pivotArea dataOnly="0" labelOnly="1" outline="0" fieldPosition="0">
        <references count="1">
          <reference field="1" count="1">
            <x v="421"/>
          </reference>
        </references>
      </pivotArea>
    </format>
    <format dxfId="595">
      <pivotArea dataOnly="0" labelOnly="1" outline="0" fieldPosition="0">
        <references count="1">
          <reference field="1" count="1">
            <x v="422"/>
          </reference>
        </references>
      </pivotArea>
    </format>
    <format dxfId="594">
      <pivotArea dataOnly="0" labelOnly="1" outline="0" fieldPosition="0">
        <references count="1">
          <reference field="1" count="1">
            <x v="423"/>
          </reference>
        </references>
      </pivotArea>
    </format>
    <format dxfId="593">
      <pivotArea dataOnly="0" labelOnly="1" outline="0" fieldPosition="0">
        <references count="1">
          <reference field="1" count="1">
            <x v="424"/>
          </reference>
        </references>
      </pivotArea>
    </format>
    <format dxfId="592">
      <pivotArea dataOnly="0" labelOnly="1" outline="0" fieldPosition="0">
        <references count="1">
          <reference field="1" count="1">
            <x v="425"/>
          </reference>
        </references>
      </pivotArea>
    </format>
    <format dxfId="591">
      <pivotArea dataOnly="0" labelOnly="1" outline="0" fieldPosition="0">
        <references count="1">
          <reference field="1" count="1">
            <x v="426"/>
          </reference>
        </references>
      </pivotArea>
    </format>
    <format dxfId="590">
      <pivotArea dataOnly="0" labelOnly="1" outline="0" fieldPosition="0">
        <references count="1">
          <reference field="1" count="1">
            <x v="427"/>
          </reference>
        </references>
      </pivotArea>
    </format>
    <format dxfId="589">
      <pivotArea dataOnly="0" labelOnly="1" outline="0" fieldPosition="0">
        <references count="1">
          <reference field="1" count="1">
            <x v="428"/>
          </reference>
        </references>
      </pivotArea>
    </format>
    <format dxfId="588">
      <pivotArea dataOnly="0" labelOnly="1" outline="0" fieldPosition="0">
        <references count="1">
          <reference field="1" count="1">
            <x v="429"/>
          </reference>
        </references>
      </pivotArea>
    </format>
    <format dxfId="587">
      <pivotArea dataOnly="0" labelOnly="1" outline="0" fieldPosition="0">
        <references count="1">
          <reference field="1" count="1">
            <x v="430"/>
          </reference>
        </references>
      </pivotArea>
    </format>
    <format dxfId="586">
      <pivotArea dataOnly="0" labelOnly="1" outline="0" fieldPosition="0">
        <references count="1">
          <reference field="1" count="1">
            <x v="431"/>
          </reference>
        </references>
      </pivotArea>
    </format>
    <format dxfId="585">
      <pivotArea dataOnly="0" labelOnly="1" outline="0" fieldPosition="0">
        <references count="1">
          <reference field="1" count="1">
            <x v="432"/>
          </reference>
        </references>
      </pivotArea>
    </format>
    <format dxfId="584">
      <pivotArea dataOnly="0" labelOnly="1" outline="0" fieldPosition="0">
        <references count="1">
          <reference field="1" count="1">
            <x v="433"/>
          </reference>
        </references>
      </pivotArea>
    </format>
    <format dxfId="583">
      <pivotArea dataOnly="0" labelOnly="1" outline="0" fieldPosition="0">
        <references count="1">
          <reference field="1" count="1">
            <x v="434"/>
          </reference>
        </references>
      </pivotArea>
    </format>
    <format dxfId="582">
      <pivotArea dataOnly="0" labelOnly="1" outline="0" fieldPosition="0">
        <references count="1">
          <reference field="1" count="1">
            <x v="435"/>
          </reference>
        </references>
      </pivotArea>
    </format>
    <format dxfId="581">
      <pivotArea dataOnly="0" labelOnly="1" outline="0" fieldPosition="0">
        <references count="1">
          <reference field="1" count="1">
            <x v="436"/>
          </reference>
        </references>
      </pivotArea>
    </format>
    <format dxfId="580">
      <pivotArea dataOnly="0" labelOnly="1" outline="0" fieldPosition="0">
        <references count="1">
          <reference field="1" count="1">
            <x v="437"/>
          </reference>
        </references>
      </pivotArea>
    </format>
    <format dxfId="579">
      <pivotArea dataOnly="0" labelOnly="1" outline="0" fieldPosition="0">
        <references count="1">
          <reference field="1" count="1">
            <x v="438"/>
          </reference>
        </references>
      </pivotArea>
    </format>
    <format dxfId="578">
      <pivotArea dataOnly="0" labelOnly="1" outline="0" fieldPosition="0">
        <references count="1">
          <reference field="1" count="1">
            <x v="439"/>
          </reference>
        </references>
      </pivotArea>
    </format>
    <format dxfId="577">
      <pivotArea dataOnly="0" labelOnly="1" outline="0" fieldPosition="0">
        <references count="1">
          <reference field="1" count="1">
            <x v="440"/>
          </reference>
        </references>
      </pivotArea>
    </format>
    <format dxfId="576">
      <pivotArea dataOnly="0" labelOnly="1" outline="0" fieldPosition="0">
        <references count="1">
          <reference field="1" count="1">
            <x v="441"/>
          </reference>
        </references>
      </pivotArea>
    </format>
    <format dxfId="575">
      <pivotArea dataOnly="0" labelOnly="1" outline="0" fieldPosition="0">
        <references count="1">
          <reference field="1" count="1">
            <x v="442"/>
          </reference>
        </references>
      </pivotArea>
    </format>
    <format dxfId="574">
      <pivotArea dataOnly="0" labelOnly="1" outline="0" fieldPosition="0">
        <references count="1">
          <reference field="1" count="1">
            <x v="443"/>
          </reference>
        </references>
      </pivotArea>
    </format>
    <format dxfId="573">
      <pivotArea dataOnly="0" labelOnly="1" outline="0" fieldPosition="0">
        <references count="1">
          <reference field="1" count="1">
            <x v="444"/>
          </reference>
        </references>
      </pivotArea>
    </format>
    <format dxfId="572">
      <pivotArea dataOnly="0" labelOnly="1" outline="0" fieldPosition="0">
        <references count="1">
          <reference field="1" count="1">
            <x v="445"/>
          </reference>
        </references>
      </pivotArea>
    </format>
    <format dxfId="571">
      <pivotArea dataOnly="0" labelOnly="1" outline="0" fieldPosition="0">
        <references count="1">
          <reference field="1" count="1">
            <x v="446"/>
          </reference>
        </references>
      </pivotArea>
    </format>
    <format dxfId="570">
      <pivotArea dataOnly="0" labelOnly="1" outline="0" fieldPosition="0">
        <references count="1">
          <reference field="1" count="1">
            <x v="447"/>
          </reference>
        </references>
      </pivotArea>
    </format>
    <format dxfId="569">
      <pivotArea dataOnly="0" labelOnly="1" outline="0" fieldPosition="0">
        <references count="1">
          <reference field="1" count="1">
            <x v="448"/>
          </reference>
        </references>
      </pivotArea>
    </format>
    <format dxfId="568">
      <pivotArea dataOnly="0" labelOnly="1" outline="0" fieldPosition="0">
        <references count="1">
          <reference field="1" count="1">
            <x v="449"/>
          </reference>
        </references>
      </pivotArea>
    </format>
    <format dxfId="567">
      <pivotArea dataOnly="0" labelOnly="1" outline="0" fieldPosition="0">
        <references count="1">
          <reference field="1" count="1">
            <x v="450"/>
          </reference>
        </references>
      </pivotArea>
    </format>
    <format dxfId="566">
      <pivotArea dataOnly="0" labelOnly="1" outline="0" fieldPosition="0">
        <references count="1">
          <reference field="1" count="1">
            <x v="451"/>
          </reference>
        </references>
      </pivotArea>
    </format>
    <format dxfId="565">
      <pivotArea dataOnly="0" labelOnly="1" outline="0" fieldPosition="0">
        <references count="1">
          <reference field="1" count="1">
            <x v="452"/>
          </reference>
        </references>
      </pivotArea>
    </format>
    <format dxfId="564">
      <pivotArea dataOnly="0" labelOnly="1" outline="0" fieldPosition="0">
        <references count="1">
          <reference field="1" count="1">
            <x v="453"/>
          </reference>
        </references>
      </pivotArea>
    </format>
    <format dxfId="563">
      <pivotArea dataOnly="0" labelOnly="1" outline="0" fieldPosition="0">
        <references count="1">
          <reference field="1" count="1">
            <x v="454"/>
          </reference>
        </references>
      </pivotArea>
    </format>
    <format dxfId="562">
      <pivotArea dataOnly="0" labelOnly="1" outline="0" fieldPosition="0">
        <references count="1">
          <reference field="1" count="1">
            <x v="455"/>
          </reference>
        </references>
      </pivotArea>
    </format>
    <format dxfId="561">
      <pivotArea dataOnly="0" labelOnly="1" outline="0" fieldPosition="0">
        <references count="1">
          <reference field="1" count="1">
            <x v="456"/>
          </reference>
        </references>
      </pivotArea>
    </format>
    <format dxfId="560">
      <pivotArea dataOnly="0" labelOnly="1" outline="0" fieldPosition="0">
        <references count="1">
          <reference field="1" count="1">
            <x v="457"/>
          </reference>
        </references>
      </pivotArea>
    </format>
    <format dxfId="559">
      <pivotArea dataOnly="0" labelOnly="1" outline="0" fieldPosition="0">
        <references count="1">
          <reference field="1" count="1">
            <x v="458"/>
          </reference>
        </references>
      </pivotArea>
    </format>
    <format dxfId="558">
      <pivotArea dataOnly="0" labelOnly="1" outline="0" fieldPosition="0">
        <references count="1">
          <reference field="1" count="1">
            <x v="459"/>
          </reference>
        </references>
      </pivotArea>
    </format>
    <format dxfId="557">
      <pivotArea dataOnly="0" labelOnly="1" outline="0" fieldPosition="0">
        <references count="1">
          <reference field="1" count="1">
            <x v="460"/>
          </reference>
        </references>
      </pivotArea>
    </format>
    <format dxfId="556">
      <pivotArea dataOnly="0" labelOnly="1" outline="0" fieldPosition="0">
        <references count="1">
          <reference field="1" count="1">
            <x v="461"/>
          </reference>
        </references>
      </pivotArea>
    </format>
    <format dxfId="555">
      <pivotArea dataOnly="0" labelOnly="1" outline="0" fieldPosition="0">
        <references count="1">
          <reference field="1" count="1">
            <x v="462"/>
          </reference>
        </references>
      </pivotArea>
    </format>
    <format dxfId="554">
      <pivotArea dataOnly="0" labelOnly="1" outline="0" fieldPosition="0">
        <references count="1">
          <reference field="1" count="1">
            <x v="463"/>
          </reference>
        </references>
      </pivotArea>
    </format>
    <format dxfId="553">
      <pivotArea dataOnly="0" labelOnly="1" outline="0" fieldPosition="0">
        <references count="1">
          <reference field="1" count="1">
            <x v="464"/>
          </reference>
        </references>
      </pivotArea>
    </format>
    <format dxfId="552">
      <pivotArea dataOnly="0" labelOnly="1" outline="0" fieldPosition="0">
        <references count="1">
          <reference field="1" count="1">
            <x v="465"/>
          </reference>
        </references>
      </pivotArea>
    </format>
    <format dxfId="551">
      <pivotArea dataOnly="0" labelOnly="1" outline="0" fieldPosition="0">
        <references count="1">
          <reference field="1" count="1">
            <x v="466"/>
          </reference>
        </references>
      </pivotArea>
    </format>
    <format dxfId="550">
      <pivotArea dataOnly="0" labelOnly="1" outline="0" fieldPosition="0">
        <references count="1">
          <reference field="1" count="1">
            <x v="467"/>
          </reference>
        </references>
      </pivotArea>
    </format>
    <format dxfId="549">
      <pivotArea dataOnly="0" labelOnly="1" outline="0" fieldPosition="0">
        <references count="1">
          <reference field="1" count="1">
            <x v="468"/>
          </reference>
        </references>
      </pivotArea>
    </format>
    <format dxfId="548">
      <pivotArea dataOnly="0" labelOnly="1" outline="0" fieldPosition="0">
        <references count="1">
          <reference field="1" count="1">
            <x v="469"/>
          </reference>
        </references>
      </pivotArea>
    </format>
    <format dxfId="547">
      <pivotArea dataOnly="0" labelOnly="1" outline="0" fieldPosition="0">
        <references count="1">
          <reference field="1" count="1">
            <x v="470"/>
          </reference>
        </references>
      </pivotArea>
    </format>
    <format dxfId="546">
      <pivotArea dataOnly="0" labelOnly="1" outline="0" fieldPosition="0">
        <references count="1">
          <reference field="1" count="1">
            <x v="471"/>
          </reference>
        </references>
      </pivotArea>
    </format>
    <format dxfId="545">
      <pivotArea dataOnly="0" labelOnly="1" outline="0" fieldPosition="0">
        <references count="1">
          <reference field="1" count="1">
            <x v="472"/>
          </reference>
        </references>
      </pivotArea>
    </format>
    <format dxfId="544">
      <pivotArea dataOnly="0" labelOnly="1" outline="0" fieldPosition="0">
        <references count="1">
          <reference field="1" count="1">
            <x v="473"/>
          </reference>
        </references>
      </pivotArea>
    </format>
    <format dxfId="543">
      <pivotArea dataOnly="0" labelOnly="1" outline="0" fieldPosition="0">
        <references count="1">
          <reference field="1" count="1">
            <x v="474"/>
          </reference>
        </references>
      </pivotArea>
    </format>
    <format dxfId="542">
      <pivotArea dataOnly="0" labelOnly="1" outline="0" fieldPosition="0">
        <references count="1">
          <reference field="1" count="1">
            <x v="475"/>
          </reference>
        </references>
      </pivotArea>
    </format>
    <format dxfId="541">
      <pivotArea dataOnly="0" labelOnly="1" outline="0" fieldPosition="0">
        <references count="1">
          <reference field="1" count="1">
            <x v="476"/>
          </reference>
        </references>
      </pivotArea>
    </format>
    <format dxfId="540">
      <pivotArea dataOnly="0" labelOnly="1" outline="0" fieldPosition="0">
        <references count="1">
          <reference field="1" count="1">
            <x v="477"/>
          </reference>
        </references>
      </pivotArea>
    </format>
    <format dxfId="539">
      <pivotArea dataOnly="0" labelOnly="1" outline="0" fieldPosition="0">
        <references count="1">
          <reference field="1" count="1">
            <x v="478"/>
          </reference>
        </references>
      </pivotArea>
    </format>
    <format dxfId="538">
      <pivotArea dataOnly="0" labelOnly="1" outline="0" fieldPosition="0">
        <references count="1">
          <reference field="1" count="1">
            <x v="479"/>
          </reference>
        </references>
      </pivotArea>
    </format>
    <format dxfId="537">
      <pivotArea dataOnly="0" labelOnly="1" outline="0" fieldPosition="0">
        <references count="1">
          <reference field="1" count="1">
            <x v="480"/>
          </reference>
        </references>
      </pivotArea>
    </format>
    <format dxfId="536">
      <pivotArea dataOnly="0" labelOnly="1" outline="0" fieldPosition="0">
        <references count="1">
          <reference field="1" count="1">
            <x v="481"/>
          </reference>
        </references>
      </pivotArea>
    </format>
    <format dxfId="535">
      <pivotArea dataOnly="0" labelOnly="1" outline="0" fieldPosition="0">
        <references count="1">
          <reference field="1" count="1">
            <x v="482"/>
          </reference>
        </references>
      </pivotArea>
    </format>
    <format dxfId="534">
      <pivotArea dataOnly="0" labelOnly="1" outline="0" fieldPosition="0">
        <references count="1">
          <reference field="1" count="1">
            <x v="483"/>
          </reference>
        </references>
      </pivotArea>
    </format>
    <format dxfId="533">
      <pivotArea dataOnly="0" labelOnly="1" outline="0" fieldPosition="0">
        <references count="1">
          <reference field="1" count="1">
            <x v="484"/>
          </reference>
        </references>
      </pivotArea>
    </format>
    <format dxfId="532">
      <pivotArea dataOnly="0" labelOnly="1" outline="0" fieldPosition="0">
        <references count="1">
          <reference field="1" count="1">
            <x v="485"/>
          </reference>
        </references>
      </pivotArea>
    </format>
    <format dxfId="531">
      <pivotArea dataOnly="0" labelOnly="1" outline="0" fieldPosition="0">
        <references count="1">
          <reference field="1" count="1">
            <x v="486"/>
          </reference>
        </references>
      </pivotArea>
    </format>
    <format dxfId="530">
      <pivotArea dataOnly="0" labelOnly="1" outline="0" fieldPosition="0">
        <references count="1">
          <reference field="1" count="1">
            <x v="487"/>
          </reference>
        </references>
      </pivotArea>
    </format>
    <format dxfId="529">
      <pivotArea dataOnly="0" labelOnly="1" outline="0" fieldPosition="0">
        <references count="1">
          <reference field="1" count="1">
            <x v="488"/>
          </reference>
        </references>
      </pivotArea>
    </format>
    <format dxfId="528">
      <pivotArea dataOnly="0" labelOnly="1" outline="0" fieldPosition="0">
        <references count="1">
          <reference field="1" count="1">
            <x v="489"/>
          </reference>
        </references>
      </pivotArea>
    </format>
    <format dxfId="527">
      <pivotArea dataOnly="0" labelOnly="1" outline="0" fieldPosition="0">
        <references count="1">
          <reference field="1" count="1">
            <x v="490"/>
          </reference>
        </references>
      </pivotArea>
    </format>
    <format dxfId="526">
      <pivotArea dataOnly="0" labelOnly="1" outline="0" fieldPosition="0">
        <references count="1">
          <reference field="1" count="1">
            <x v="491"/>
          </reference>
        </references>
      </pivotArea>
    </format>
    <format dxfId="525">
      <pivotArea dataOnly="0" labelOnly="1" outline="0" fieldPosition="0">
        <references count="1">
          <reference field="1" count="1">
            <x v="492"/>
          </reference>
        </references>
      </pivotArea>
    </format>
    <format dxfId="524">
      <pivotArea dataOnly="0" labelOnly="1" outline="0" fieldPosition="0">
        <references count="1">
          <reference field="1" count="1">
            <x v="493"/>
          </reference>
        </references>
      </pivotArea>
    </format>
    <format dxfId="523">
      <pivotArea dataOnly="0" labelOnly="1" outline="0" fieldPosition="0">
        <references count="1">
          <reference field="1" count="1">
            <x v="494"/>
          </reference>
        </references>
      </pivotArea>
    </format>
    <format dxfId="522">
      <pivotArea dataOnly="0" labelOnly="1" outline="0" fieldPosition="0">
        <references count="1">
          <reference field="1" count="1">
            <x v="495"/>
          </reference>
        </references>
      </pivotArea>
    </format>
    <format dxfId="521">
      <pivotArea dataOnly="0" labelOnly="1" outline="0" fieldPosition="0">
        <references count="1">
          <reference field="1" count="1">
            <x v="496"/>
          </reference>
        </references>
      </pivotArea>
    </format>
    <format dxfId="520">
      <pivotArea dataOnly="0" labelOnly="1" outline="0" fieldPosition="0">
        <references count="1">
          <reference field="1" count="1">
            <x v="497"/>
          </reference>
        </references>
      </pivotArea>
    </format>
    <format dxfId="519">
      <pivotArea dataOnly="0" labelOnly="1" outline="0" fieldPosition="0">
        <references count="1">
          <reference field="1" count="1">
            <x v="498"/>
          </reference>
        </references>
      </pivotArea>
    </format>
    <format dxfId="518">
      <pivotArea dataOnly="0" labelOnly="1" outline="0" fieldPosition="0">
        <references count="1">
          <reference field="1" count="1">
            <x v="499"/>
          </reference>
        </references>
      </pivotArea>
    </format>
    <format dxfId="517">
      <pivotArea dataOnly="0" labelOnly="1" outline="0" fieldPosition="0">
        <references count="1">
          <reference field="1" count="1">
            <x v="500"/>
          </reference>
        </references>
      </pivotArea>
    </format>
    <format dxfId="516">
      <pivotArea dataOnly="0" labelOnly="1" outline="0" fieldPosition="0">
        <references count="1">
          <reference field="1" count="1">
            <x v="501"/>
          </reference>
        </references>
      </pivotArea>
    </format>
    <format dxfId="515">
      <pivotArea dataOnly="0" labelOnly="1" outline="0" fieldPosition="0">
        <references count="1">
          <reference field="1" count="1">
            <x v="502"/>
          </reference>
        </references>
      </pivotArea>
    </format>
    <format dxfId="514">
      <pivotArea dataOnly="0" labelOnly="1" outline="0" fieldPosition="0">
        <references count="1">
          <reference field="1" count="1">
            <x v="503"/>
          </reference>
        </references>
      </pivotArea>
    </format>
    <format dxfId="513">
      <pivotArea dataOnly="0" labelOnly="1" outline="0" fieldPosition="0">
        <references count="1">
          <reference field="1" count="1">
            <x v="504"/>
          </reference>
        </references>
      </pivotArea>
    </format>
    <format dxfId="512">
      <pivotArea dataOnly="0" labelOnly="1" outline="0" fieldPosition="0">
        <references count="1">
          <reference field="1" count="1">
            <x v="505"/>
          </reference>
        </references>
      </pivotArea>
    </format>
    <format dxfId="511">
      <pivotArea dataOnly="0" labelOnly="1" outline="0" fieldPosition="0">
        <references count="1">
          <reference field="1" count="1">
            <x v="506"/>
          </reference>
        </references>
      </pivotArea>
    </format>
    <format dxfId="510">
      <pivotArea dataOnly="0" labelOnly="1" outline="0" fieldPosition="0">
        <references count="1">
          <reference field="1" count="1">
            <x v="507"/>
          </reference>
        </references>
      </pivotArea>
    </format>
    <format dxfId="509">
      <pivotArea dataOnly="0" labelOnly="1" outline="0" fieldPosition="0">
        <references count="1">
          <reference field="1" count="1">
            <x v="508"/>
          </reference>
        </references>
      </pivotArea>
    </format>
    <format dxfId="508">
      <pivotArea dataOnly="0" labelOnly="1" outline="0" fieldPosition="0">
        <references count="1">
          <reference field="1" count="1">
            <x v="509"/>
          </reference>
        </references>
      </pivotArea>
    </format>
    <format dxfId="507">
      <pivotArea dataOnly="0" labelOnly="1" outline="0" fieldPosition="0">
        <references count="1">
          <reference field="1" count="1">
            <x v="510"/>
          </reference>
        </references>
      </pivotArea>
    </format>
    <format dxfId="506">
      <pivotArea dataOnly="0" labelOnly="1" outline="0" fieldPosition="0">
        <references count="1">
          <reference field="1" count="1">
            <x v="511"/>
          </reference>
        </references>
      </pivotArea>
    </format>
    <format dxfId="505">
      <pivotArea dataOnly="0" labelOnly="1" outline="0" fieldPosition="0">
        <references count="1">
          <reference field="1" count="1">
            <x v="512"/>
          </reference>
        </references>
      </pivotArea>
    </format>
    <format dxfId="504">
      <pivotArea dataOnly="0" labelOnly="1" outline="0" fieldPosition="0">
        <references count="1">
          <reference field="1" count="1">
            <x v="513"/>
          </reference>
        </references>
      </pivotArea>
    </format>
    <format dxfId="503">
      <pivotArea dataOnly="0" labelOnly="1" outline="0" fieldPosition="0">
        <references count="1">
          <reference field="1" count="1">
            <x v="514"/>
          </reference>
        </references>
      </pivotArea>
    </format>
    <format dxfId="502">
      <pivotArea dataOnly="0" labelOnly="1" outline="0" fieldPosition="0">
        <references count="1">
          <reference field="1" count="1">
            <x v="515"/>
          </reference>
        </references>
      </pivotArea>
    </format>
    <format dxfId="501">
      <pivotArea dataOnly="0" labelOnly="1" outline="0" fieldPosition="0">
        <references count="1">
          <reference field="1" count="1">
            <x v="516"/>
          </reference>
        </references>
      </pivotArea>
    </format>
    <format dxfId="500">
      <pivotArea dataOnly="0" labelOnly="1" outline="0" fieldPosition="0">
        <references count="1">
          <reference field="1" count="1">
            <x v="517"/>
          </reference>
        </references>
      </pivotArea>
    </format>
    <format dxfId="499">
      <pivotArea dataOnly="0" labelOnly="1" outline="0" fieldPosition="0">
        <references count="1">
          <reference field="1" count="1">
            <x v="518"/>
          </reference>
        </references>
      </pivotArea>
    </format>
    <format dxfId="498">
      <pivotArea dataOnly="0" labelOnly="1" outline="0" fieldPosition="0">
        <references count="1">
          <reference field="1" count="1">
            <x v="519"/>
          </reference>
        </references>
      </pivotArea>
    </format>
    <format dxfId="497">
      <pivotArea dataOnly="0" labelOnly="1" outline="0" fieldPosition="0">
        <references count="1">
          <reference field="1" count="1">
            <x v="520"/>
          </reference>
        </references>
      </pivotArea>
    </format>
    <format dxfId="496">
      <pivotArea dataOnly="0" labelOnly="1" outline="0" fieldPosition="0">
        <references count="1">
          <reference field="1" count="1">
            <x v="521"/>
          </reference>
        </references>
      </pivotArea>
    </format>
    <format dxfId="495">
      <pivotArea dataOnly="0" labelOnly="1" outline="0" fieldPosition="0">
        <references count="1">
          <reference field="1" count="1">
            <x v="522"/>
          </reference>
        </references>
      </pivotArea>
    </format>
    <format dxfId="494">
      <pivotArea dataOnly="0" labelOnly="1" outline="0" fieldPosition="0">
        <references count="1">
          <reference field="1" count="1">
            <x v="523"/>
          </reference>
        </references>
      </pivotArea>
    </format>
    <format dxfId="493">
      <pivotArea dataOnly="0" labelOnly="1" outline="0" fieldPosition="0">
        <references count="1">
          <reference field="1" count="1">
            <x v="524"/>
          </reference>
        </references>
      </pivotArea>
    </format>
    <format dxfId="492">
      <pivotArea dataOnly="0" labelOnly="1" outline="0" fieldPosition="0">
        <references count="1">
          <reference field="1" count="1">
            <x v="525"/>
          </reference>
        </references>
      </pivotArea>
    </format>
    <format dxfId="491">
      <pivotArea dataOnly="0" labelOnly="1" outline="0" fieldPosition="0">
        <references count="1">
          <reference field="1" count="1">
            <x v="526"/>
          </reference>
        </references>
      </pivotArea>
    </format>
    <format dxfId="490">
      <pivotArea dataOnly="0" labelOnly="1" outline="0" fieldPosition="0">
        <references count="1">
          <reference field="1" count="1">
            <x v="527"/>
          </reference>
        </references>
      </pivotArea>
    </format>
    <format dxfId="489">
      <pivotArea dataOnly="0" labelOnly="1" outline="0" fieldPosition="0">
        <references count="1">
          <reference field="1" count="1">
            <x v="528"/>
          </reference>
        </references>
      </pivotArea>
    </format>
    <format dxfId="488">
      <pivotArea dataOnly="0" labelOnly="1" outline="0" fieldPosition="0">
        <references count="1">
          <reference field="1" count="1">
            <x v="529"/>
          </reference>
        </references>
      </pivotArea>
    </format>
    <format dxfId="487">
      <pivotArea dataOnly="0" labelOnly="1" outline="0" fieldPosition="0">
        <references count="1">
          <reference field="1" count="1">
            <x v="530"/>
          </reference>
        </references>
      </pivotArea>
    </format>
    <format dxfId="486">
      <pivotArea dataOnly="0" labelOnly="1" outline="0" fieldPosition="0">
        <references count="1">
          <reference field="1" count="1">
            <x v="531"/>
          </reference>
        </references>
      </pivotArea>
    </format>
    <format dxfId="485">
      <pivotArea dataOnly="0" labelOnly="1" outline="0" fieldPosition="0">
        <references count="1">
          <reference field="1" count="1">
            <x v="532"/>
          </reference>
        </references>
      </pivotArea>
    </format>
    <format dxfId="484">
      <pivotArea dataOnly="0" labelOnly="1" outline="0" fieldPosition="0">
        <references count="1">
          <reference field="1" count="1">
            <x v="533"/>
          </reference>
        </references>
      </pivotArea>
    </format>
    <format dxfId="483">
      <pivotArea dataOnly="0" labelOnly="1" outline="0" fieldPosition="0">
        <references count="1">
          <reference field="1" count="1">
            <x v="534"/>
          </reference>
        </references>
      </pivotArea>
    </format>
    <format dxfId="482">
      <pivotArea dataOnly="0" labelOnly="1" outline="0" fieldPosition="0">
        <references count="1">
          <reference field="1" count="1">
            <x v="535"/>
          </reference>
        </references>
      </pivotArea>
    </format>
    <format dxfId="481">
      <pivotArea dataOnly="0" labelOnly="1" outline="0" fieldPosition="0">
        <references count="1">
          <reference field="1" count="1">
            <x v="536"/>
          </reference>
        </references>
      </pivotArea>
    </format>
    <format dxfId="480">
      <pivotArea dataOnly="0" labelOnly="1" outline="0" fieldPosition="0">
        <references count="1">
          <reference field="1" count="1">
            <x v="537"/>
          </reference>
        </references>
      </pivotArea>
    </format>
    <format dxfId="479">
      <pivotArea dataOnly="0" labelOnly="1" outline="0" fieldPosition="0">
        <references count="1">
          <reference field="1" count="1">
            <x v="538"/>
          </reference>
        </references>
      </pivotArea>
    </format>
    <format dxfId="478">
      <pivotArea dataOnly="0" labelOnly="1" outline="0" fieldPosition="0">
        <references count="1">
          <reference field="1" count="1">
            <x v="539"/>
          </reference>
        </references>
      </pivotArea>
    </format>
    <format dxfId="477">
      <pivotArea dataOnly="0" labelOnly="1" outline="0" fieldPosition="0">
        <references count="1">
          <reference field="1" count="1">
            <x v="540"/>
          </reference>
        </references>
      </pivotArea>
    </format>
    <format dxfId="476">
      <pivotArea dataOnly="0" labelOnly="1" outline="0" fieldPosition="0">
        <references count="1">
          <reference field="1" count="1">
            <x v="541"/>
          </reference>
        </references>
      </pivotArea>
    </format>
    <format dxfId="475">
      <pivotArea dataOnly="0" labelOnly="1" outline="0" fieldPosition="0">
        <references count="1">
          <reference field="1" count="1">
            <x v="542"/>
          </reference>
        </references>
      </pivotArea>
    </format>
    <format dxfId="474">
      <pivotArea dataOnly="0" labelOnly="1" outline="0" fieldPosition="0">
        <references count="1">
          <reference field="1" count="1">
            <x v="543"/>
          </reference>
        </references>
      </pivotArea>
    </format>
    <format dxfId="473">
      <pivotArea dataOnly="0" labelOnly="1" outline="0" fieldPosition="0">
        <references count="1">
          <reference field="1" count="1">
            <x v="544"/>
          </reference>
        </references>
      </pivotArea>
    </format>
    <format dxfId="472">
      <pivotArea dataOnly="0" labelOnly="1" outline="0" fieldPosition="0">
        <references count="1">
          <reference field="1" count="1">
            <x v="545"/>
          </reference>
        </references>
      </pivotArea>
    </format>
    <format dxfId="471">
      <pivotArea dataOnly="0" labelOnly="1" outline="0" fieldPosition="0">
        <references count="1">
          <reference field="1" count="1">
            <x v="546"/>
          </reference>
        </references>
      </pivotArea>
    </format>
    <format dxfId="470">
      <pivotArea dataOnly="0" labelOnly="1" outline="0" fieldPosition="0">
        <references count="1">
          <reference field="1" count="1">
            <x v="547"/>
          </reference>
        </references>
      </pivotArea>
    </format>
    <format dxfId="469">
      <pivotArea dataOnly="0" labelOnly="1" outline="0" fieldPosition="0">
        <references count="1">
          <reference field="1" count="1">
            <x v="548"/>
          </reference>
        </references>
      </pivotArea>
    </format>
    <format dxfId="468">
      <pivotArea dataOnly="0" labelOnly="1" outline="0" fieldPosition="0">
        <references count="1">
          <reference field="1" count="1">
            <x v="549"/>
          </reference>
        </references>
      </pivotArea>
    </format>
    <format dxfId="467">
      <pivotArea dataOnly="0" labelOnly="1" outline="0" fieldPosition="0">
        <references count="1">
          <reference field="1" count="1">
            <x v="550"/>
          </reference>
        </references>
      </pivotArea>
    </format>
    <format dxfId="466">
      <pivotArea dataOnly="0" labelOnly="1" outline="0" fieldPosition="0">
        <references count="1">
          <reference field="1" count="1">
            <x v="551"/>
          </reference>
        </references>
      </pivotArea>
    </format>
    <format dxfId="465">
      <pivotArea dataOnly="0" labelOnly="1" outline="0" fieldPosition="0">
        <references count="1">
          <reference field="1" count="1">
            <x v="552"/>
          </reference>
        </references>
      </pivotArea>
    </format>
    <format dxfId="464">
      <pivotArea dataOnly="0" labelOnly="1" outline="0" fieldPosition="0">
        <references count="1">
          <reference field="1" count="1">
            <x v="553"/>
          </reference>
        </references>
      </pivotArea>
    </format>
    <format dxfId="463">
      <pivotArea dataOnly="0" labelOnly="1" outline="0" fieldPosition="0">
        <references count="1">
          <reference field="1" count="1">
            <x v="554"/>
          </reference>
        </references>
      </pivotArea>
    </format>
    <format dxfId="462">
      <pivotArea dataOnly="0" labelOnly="1" outline="0" fieldPosition="0">
        <references count="1">
          <reference field="1" count="1">
            <x v="555"/>
          </reference>
        </references>
      </pivotArea>
    </format>
    <format dxfId="461">
      <pivotArea dataOnly="0" labelOnly="1" outline="0" fieldPosition="0">
        <references count="1">
          <reference field="1" count="1">
            <x v="556"/>
          </reference>
        </references>
      </pivotArea>
    </format>
    <format dxfId="460">
      <pivotArea dataOnly="0" labelOnly="1" outline="0" fieldPosition="0">
        <references count="1">
          <reference field="1" count="1">
            <x v="557"/>
          </reference>
        </references>
      </pivotArea>
    </format>
    <format dxfId="459">
      <pivotArea dataOnly="0" labelOnly="1" outline="0" fieldPosition="0">
        <references count="1">
          <reference field="1" count="1">
            <x v="558"/>
          </reference>
        </references>
      </pivotArea>
    </format>
    <format dxfId="458">
      <pivotArea dataOnly="0" labelOnly="1" outline="0" fieldPosition="0">
        <references count="1">
          <reference field="1" count="1">
            <x v="559"/>
          </reference>
        </references>
      </pivotArea>
    </format>
    <format dxfId="457">
      <pivotArea dataOnly="0" labelOnly="1" outline="0" fieldPosition="0">
        <references count="1">
          <reference field="1" count="1">
            <x v="560"/>
          </reference>
        </references>
      </pivotArea>
    </format>
    <format dxfId="456">
      <pivotArea dataOnly="0" labelOnly="1" outline="0" fieldPosition="0">
        <references count="1">
          <reference field="1" count="1">
            <x v="561"/>
          </reference>
        </references>
      </pivotArea>
    </format>
    <format dxfId="455">
      <pivotArea dataOnly="0" labelOnly="1" outline="0" fieldPosition="0">
        <references count="1">
          <reference field="1" count="1">
            <x v="562"/>
          </reference>
        </references>
      </pivotArea>
    </format>
    <format dxfId="454">
      <pivotArea dataOnly="0" labelOnly="1" outline="0" fieldPosition="0">
        <references count="1">
          <reference field="1" count="1">
            <x v="563"/>
          </reference>
        </references>
      </pivotArea>
    </format>
    <format dxfId="453">
      <pivotArea dataOnly="0" labelOnly="1" outline="0" fieldPosition="0">
        <references count="1">
          <reference field="1" count="1">
            <x v="564"/>
          </reference>
        </references>
      </pivotArea>
    </format>
    <format dxfId="452">
      <pivotArea dataOnly="0" labelOnly="1" outline="0" fieldPosition="0">
        <references count="1">
          <reference field="1" count="1">
            <x v="565"/>
          </reference>
        </references>
      </pivotArea>
    </format>
    <format dxfId="451">
      <pivotArea dataOnly="0" labelOnly="1" outline="0" fieldPosition="0">
        <references count="1">
          <reference field="1" count="1">
            <x v="566"/>
          </reference>
        </references>
      </pivotArea>
    </format>
    <format dxfId="450">
      <pivotArea dataOnly="0" labelOnly="1" outline="0" fieldPosition="0">
        <references count="1">
          <reference field="1" count="1">
            <x v="567"/>
          </reference>
        </references>
      </pivotArea>
    </format>
    <format dxfId="449">
      <pivotArea dataOnly="0" labelOnly="1" outline="0" fieldPosition="0">
        <references count="1">
          <reference field="1" count="1">
            <x v="568"/>
          </reference>
        </references>
      </pivotArea>
    </format>
    <format dxfId="448">
      <pivotArea dataOnly="0" labelOnly="1" outline="0" fieldPosition="0">
        <references count="1">
          <reference field="1" count="1">
            <x v="569"/>
          </reference>
        </references>
      </pivotArea>
    </format>
    <format dxfId="447">
      <pivotArea dataOnly="0" labelOnly="1" outline="0" fieldPosition="0">
        <references count="1">
          <reference field="1" count="1">
            <x v="570"/>
          </reference>
        </references>
      </pivotArea>
    </format>
    <format dxfId="446">
      <pivotArea dataOnly="0" labelOnly="1" outline="0" fieldPosition="0">
        <references count="1">
          <reference field="1" count="1">
            <x v="571"/>
          </reference>
        </references>
      </pivotArea>
    </format>
    <format dxfId="445">
      <pivotArea dataOnly="0" labelOnly="1" outline="0" fieldPosition="0">
        <references count="1">
          <reference field="1" count="1">
            <x v="572"/>
          </reference>
        </references>
      </pivotArea>
    </format>
    <format dxfId="444">
      <pivotArea dataOnly="0" labelOnly="1" outline="0" fieldPosition="0">
        <references count="1">
          <reference field="1" count="1">
            <x v="573"/>
          </reference>
        </references>
      </pivotArea>
    </format>
    <format dxfId="443">
      <pivotArea dataOnly="0" labelOnly="1" outline="0" fieldPosition="0">
        <references count="1">
          <reference field="1" count="1">
            <x v="574"/>
          </reference>
        </references>
      </pivotArea>
    </format>
    <format dxfId="442">
      <pivotArea dataOnly="0" labelOnly="1" outline="0" fieldPosition="0">
        <references count="1">
          <reference field="1" count="1">
            <x v="575"/>
          </reference>
        </references>
      </pivotArea>
    </format>
    <format dxfId="441">
      <pivotArea dataOnly="0" labelOnly="1" outline="0" fieldPosition="0">
        <references count="1">
          <reference field="1" count="1">
            <x v="576"/>
          </reference>
        </references>
      </pivotArea>
    </format>
    <format dxfId="440">
      <pivotArea dataOnly="0" labelOnly="1" outline="0" fieldPosition="0">
        <references count="1">
          <reference field="1" count="1">
            <x v="577"/>
          </reference>
        </references>
      </pivotArea>
    </format>
    <format dxfId="439">
      <pivotArea dataOnly="0" labelOnly="1" outline="0" fieldPosition="0">
        <references count="1">
          <reference field="1" count="1">
            <x v="578"/>
          </reference>
        </references>
      </pivotArea>
    </format>
    <format dxfId="438">
      <pivotArea dataOnly="0" labelOnly="1" outline="0" fieldPosition="0">
        <references count="1">
          <reference field="1" count="1">
            <x v="579"/>
          </reference>
        </references>
      </pivotArea>
    </format>
    <format dxfId="437">
      <pivotArea dataOnly="0" labelOnly="1" outline="0" fieldPosition="0">
        <references count="1">
          <reference field="1" count="1">
            <x v="580"/>
          </reference>
        </references>
      </pivotArea>
    </format>
    <format dxfId="436">
      <pivotArea dataOnly="0" labelOnly="1" outline="0" fieldPosition="0">
        <references count="1">
          <reference field="1" count="1">
            <x v="581"/>
          </reference>
        </references>
      </pivotArea>
    </format>
    <format dxfId="435">
      <pivotArea dataOnly="0" labelOnly="1" outline="0" fieldPosition="0">
        <references count="1">
          <reference field="1" count="1">
            <x v="582"/>
          </reference>
        </references>
      </pivotArea>
    </format>
    <format dxfId="434">
      <pivotArea dataOnly="0" labelOnly="1" outline="0" fieldPosition="0">
        <references count="1">
          <reference field="1" count="1">
            <x v="583"/>
          </reference>
        </references>
      </pivotArea>
    </format>
    <format dxfId="433">
      <pivotArea dataOnly="0" labelOnly="1" outline="0" fieldPosition="0">
        <references count="1">
          <reference field="1" count="1">
            <x v="584"/>
          </reference>
        </references>
      </pivotArea>
    </format>
    <format dxfId="432">
      <pivotArea dataOnly="0" labelOnly="1" outline="0" fieldPosition="0">
        <references count="1">
          <reference field="1" count="1">
            <x v="585"/>
          </reference>
        </references>
      </pivotArea>
    </format>
    <format dxfId="431">
      <pivotArea dataOnly="0" labelOnly="1" outline="0" fieldPosition="0">
        <references count="1">
          <reference field="1" count="1">
            <x v="586"/>
          </reference>
        </references>
      </pivotArea>
    </format>
    <format dxfId="430">
      <pivotArea dataOnly="0" labelOnly="1" outline="0" fieldPosition="0">
        <references count="1">
          <reference field="1" count="1">
            <x v="587"/>
          </reference>
        </references>
      </pivotArea>
    </format>
    <format dxfId="429">
      <pivotArea dataOnly="0" labelOnly="1" outline="0" fieldPosition="0">
        <references count="1">
          <reference field="1" count="1">
            <x v="588"/>
          </reference>
        </references>
      </pivotArea>
    </format>
    <format dxfId="428">
      <pivotArea dataOnly="0" labelOnly="1" outline="0" fieldPosition="0">
        <references count="1">
          <reference field="1" count="1">
            <x v="589"/>
          </reference>
        </references>
      </pivotArea>
    </format>
    <format dxfId="427">
      <pivotArea dataOnly="0" labelOnly="1" outline="0" fieldPosition="0">
        <references count="1">
          <reference field="1" count="1">
            <x v="590"/>
          </reference>
        </references>
      </pivotArea>
    </format>
    <format dxfId="426">
      <pivotArea dataOnly="0" labelOnly="1" outline="0" fieldPosition="0">
        <references count="1">
          <reference field="1" count="1">
            <x v="591"/>
          </reference>
        </references>
      </pivotArea>
    </format>
    <format dxfId="425">
      <pivotArea dataOnly="0" labelOnly="1" outline="0" fieldPosition="0">
        <references count="1">
          <reference field="1" count="1">
            <x v="592"/>
          </reference>
        </references>
      </pivotArea>
    </format>
    <format dxfId="424">
      <pivotArea dataOnly="0" labelOnly="1" outline="0" fieldPosition="0">
        <references count="1">
          <reference field="1" count="1">
            <x v="593"/>
          </reference>
        </references>
      </pivotArea>
    </format>
    <format dxfId="423">
      <pivotArea dataOnly="0" labelOnly="1" outline="0" fieldPosition="0">
        <references count="1">
          <reference field="1" count="1">
            <x v="594"/>
          </reference>
        </references>
      </pivotArea>
    </format>
    <format dxfId="422">
      <pivotArea dataOnly="0" labelOnly="1" outline="0" fieldPosition="0">
        <references count="1">
          <reference field="1" count="1">
            <x v="595"/>
          </reference>
        </references>
      </pivotArea>
    </format>
    <format dxfId="421">
      <pivotArea dataOnly="0" labelOnly="1" outline="0" fieldPosition="0">
        <references count="1">
          <reference field="1" count="1">
            <x v="596"/>
          </reference>
        </references>
      </pivotArea>
    </format>
    <format dxfId="420">
      <pivotArea dataOnly="0" labelOnly="1" outline="0" fieldPosition="0">
        <references count="1">
          <reference field="1" count="1">
            <x v="597"/>
          </reference>
        </references>
      </pivotArea>
    </format>
    <format dxfId="419">
      <pivotArea dataOnly="0" labelOnly="1" outline="0" fieldPosition="0">
        <references count="1">
          <reference field="1" count="1">
            <x v="598"/>
          </reference>
        </references>
      </pivotArea>
    </format>
    <format dxfId="418">
      <pivotArea dataOnly="0" labelOnly="1" outline="0" fieldPosition="0">
        <references count="1">
          <reference field="1" count="1">
            <x v="599"/>
          </reference>
        </references>
      </pivotArea>
    </format>
    <format dxfId="417">
      <pivotArea dataOnly="0" labelOnly="1" outline="0" fieldPosition="0">
        <references count="1">
          <reference field="1" count="1">
            <x v="600"/>
          </reference>
        </references>
      </pivotArea>
    </format>
    <format dxfId="416">
      <pivotArea dataOnly="0" labelOnly="1" outline="0" fieldPosition="0">
        <references count="1">
          <reference field="1" count="1">
            <x v="601"/>
          </reference>
        </references>
      </pivotArea>
    </format>
    <format dxfId="415">
      <pivotArea dataOnly="0" labelOnly="1" outline="0" fieldPosition="0">
        <references count="1">
          <reference field="1" count="1">
            <x v="602"/>
          </reference>
        </references>
      </pivotArea>
    </format>
    <format dxfId="414">
      <pivotArea dataOnly="0" labelOnly="1" outline="0" fieldPosition="0">
        <references count="1">
          <reference field="1" count="1">
            <x v="603"/>
          </reference>
        </references>
      </pivotArea>
    </format>
    <format dxfId="413">
      <pivotArea dataOnly="0" labelOnly="1" outline="0" fieldPosition="0">
        <references count="1">
          <reference field="1" count="1">
            <x v="604"/>
          </reference>
        </references>
      </pivotArea>
    </format>
    <format dxfId="412">
      <pivotArea dataOnly="0" labelOnly="1" outline="0" fieldPosition="0">
        <references count="1">
          <reference field="1" count="1">
            <x v="605"/>
          </reference>
        </references>
      </pivotArea>
    </format>
    <format dxfId="411">
      <pivotArea dataOnly="0" labelOnly="1" outline="0" fieldPosition="0">
        <references count="1">
          <reference field="1" count="1">
            <x v="606"/>
          </reference>
        </references>
      </pivotArea>
    </format>
    <format dxfId="410">
      <pivotArea dataOnly="0" labelOnly="1" outline="0" fieldPosition="0">
        <references count="1">
          <reference field="1" count="1">
            <x v="607"/>
          </reference>
        </references>
      </pivotArea>
    </format>
    <format dxfId="409">
      <pivotArea dataOnly="0" labelOnly="1" outline="0" fieldPosition="0">
        <references count="1">
          <reference field="1" count="1">
            <x v="608"/>
          </reference>
        </references>
      </pivotArea>
    </format>
    <format dxfId="408">
      <pivotArea dataOnly="0" labelOnly="1" outline="0" fieldPosition="0">
        <references count="1">
          <reference field="1" count="1">
            <x v="609"/>
          </reference>
        </references>
      </pivotArea>
    </format>
    <format dxfId="407">
      <pivotArea dataOnly="0" labelOnly="1" outline="0" fieldPosition="0">
        <references count="1">
          <reference field="1" count="1">
            <x v="610"/>
          </reference>
        </references>
      </pivotArea>
    </format>
    <format dxfId="406">
      <pivotArea dataOnly="0" labelOnly="1" outline="0" fieldPosition="0">
        <references count="1">
          <reference field="1" count="1">
            <x v="611"/>
          </reference>
        </references>
      </pivotArea>
    </format>
    <format dxfId="405">
      <pivotArea dataOnly="0" labelOnly="1" outline="0" fieldPosition="0">
        <references count="1">
          <reference field="1" count="1">
            <x v="612"/>
          </reference>
        </references>
      </pivotArea>
    </format>
    <format dxfId="404">
      <pivotArea dataOnly="0" labelOnly="1" outline="0" fieldPosition="0">
        <references count="1">
          <reference field="1" count="1">
            <x v="613"/>
          </reference>
        </references>
      </pivotArea>
    </format>
    <format dxfId="403">
      <pivotArea dataOnly="0" labelOnly="1" outline="0" fieldPosition="0">
        <references count="1">
          <reference field="1" count="1">
            <x v="614"/>
          </reference>
        </references>
      </pivotArea>
    </format>
    <format dxfId="402">
      <pivotArea dataOnly="0" labelOnly="1" outline="0" fieldPosition="0">
        <references count="1">
          <reference field="1" count="1">
            <x v="615"/>
          </reference>
        </references>
      </pivotArea>
    </format>
    <format dxfId="401">
      <pivotArea dataOnly="0" labelOnly="1" outline="0" fieldPosition="0">
        <references count="1">
          <reference field="1" count="1">
            <x v="616"/>
          </reference>
        </references>
      </pivotArea>
    </format>
    <format dxfId="400">
      <pivotArea dataOnly="0" labelOnly="1" outline="0" fieldPosition="0">
        <references count="1">
          <reference field="1" count="1">
            <x v="617"/>
          </reference>
        </references>
      </pivotArea>
    </format>
    <format dxfId="399">
      <pivotArea dataOnly="0" labelOnly="1" outline="0" fieldPosition="0">
        <references count="1">
          <reference field="1" count="1">
            <x v="618"/>
          </reference>
        </references>
      </pivotArea>
    </format>
    <format dxfId="398">
      <pivotArea dataOnly="0" labelOnly="1" outline="0" fieldPosition="0">
        <references count="1">
          <reference field="1" count="1">
            <x v="619"/>
          </reference>
        </references>
      </pivotArea>
    </format>
    <format dxfId="397">
      <pivotArea dataOnly="0" labelOnly="1" outline="0" fieldPosition="0">
        <references count="1">
          <reference field="1" count="1">
            <x v="620"/>
          </reference>
        </references>
      </pivotArea>
    </format>
    <format dxfId="396">
      <pivotArea dataOnly="0" labelOnly="1" outline="0" fieldPosition="0">
        <references count="1">
          <reference field="1" count="1">
            <x v="621"/>
          </reference>
        </references>
      </pivotArea>
    </format>
    <format dxfId="395">
      <pivotArea dataOnly="0" labelOnly="1" outline="0" fieldPosition="0">
        <references count="1">
          <reference field="1" count="1">
            <x v="622"/>
          </reference>
        </references>
      </pivotArea>
    </format>
    <format dxfId="394">
      <pivotArea dataOnly="0" labelOnly="1" outline="0" fieldPosition="0">
        <references count="1">
          <reference field="1" count="1">
            <x v="623"/>
          </reference>
        </references>
      </pivotArea>
    </format>
    <format dxfId="393">
      <pivotArea dataOnly="0" labelOnly="1" outline="0" fieldPosition="0">
        <references count="1">
          <reference field="1" count="1">
            <x v="624"/>
          </reference>
        </references>
      </pivotArea>
    </format>
    <format dxfId="392">
      <pivotArea dataOnly="0" labelOnly="1" outline="0" fieldPosition="0">
        <references count="1">
          <reference field="1" count="1">
            <x v="625"/>
          </reference>
        </references>
      </pivotArea>
    </format>
    <format dxfId="391">
      <pivotArea dataOnly="0" labelOnly="1" outline="0" fieldPosition="0">
        <references count="1">
          <reference field="1" count="1">
            <x v="626"/>
          </reference>
        </references>
      </pivotArea>
    </format>
    <format dxfId="390">
      <pivotArea dataOnly="0" labelOnly="1" outline="0" fieldPosition="0">
        <references count="1">
          <reference field="1" count="1">
            <x v="627"/>
          </reference>
        </references>
      </pivotArea>
    </format>
    <format dxfId="389">
      <pivotArea dataOnly="0" labelOnly="1" outline="0" fieldPosition="0">
        <references count="1">
          <reference field="1" count="1">
            <x v="628"/>
          </reference>
        </references>
      </pivotArea>
    </format>
    <format dxfId="388">
      <pivotArea dataOnly="0" labelOnly="1" outline="0" fieldPosition="0">
        <references count="1">
          <reference field="1" count="1">
            <x v="629"/>
          </reference>
        </references>
      </pivotArea>
    </format>
    <format dxfId="387">
      <pivotArea dataOnly="0" labelOnly="1" outline="0" fieldPosition="0">
        <references count="1">
          <reference field="1" count="1">
            <x v="630"/>
          </reference>
        </references>
      </pivotArea>
    </format>
    <format dxfId="386">
      <pivotArea dataOnly="0" labelOnly="1" outline="0" fieldPosition="0">
        <references count="1">
          <reference field="1" count="1">
            <x v="631"/>
          </reference>
        </references>
      </pivotArea>
    </format>
    <format dxfId="385">
      <pivotArea dataOnly="0" labelOnly="1" outline="0" fieldPosition="0">
        <references count="1">
          <reference field="1" count="1">
            <x v="632"/>
          </reference>
        </references>
      </pivotArea>
    </format>
    <format dxfId="384">
      <pivotArea dataOnly="0" labelOnly="1" outline="0" fieldPosition="0">
        <references count="1">
          <reference field="1" count="1">
            <x v="633"/>
          </reference>
        </references>
      </pivotArea>
    </format>
    <format dxfId="383">
      <pivotArea dataOnly="0" labelOnly="1" outline="0" fieldPosition="0">
        <references count="1">
          <reference field="1" count="1">
            <x v="634"/>
          </reference>
        </references>
      </pivotArea>
    </format>
    <format dxfId="382">
      <pivotArea dataOnly="0" labelOnly="1" outline="0" fieldPosition="0">
        <references count="1">
          <reference field="1" count="1">
            <x v="635"/>
          </reference>
        </references>
      </pivotArea>
    </format>
    <format dxfId="381">
      <pivotArea dataOnly="0" labelOnly="1" outline="0" fieldPosition="0">
        <references count="1">
          <reference field="1" count="1">
            <x v="636"/>
          </reference>
        </references>
      </pivotArea>
    </format>
    <format dxfId="380">
      <pivotArea dataOnly="0" labelOnly="1" outline="0" fieldPosition="0">
        <references count="1">
          <reference field="1" count="1">
            <x v="637"/>
          </reference>
        </references>
      </pivotArea>
    </format>
    <format dxfId="379">
      <pivotArea dataOnly="0" labelOnly="1" outline="0" fieldPosition="0">
        <references count="1">
          <reference field="1" count="1">
            <x v="638"/>
          </reference>
        </references>
      </pivotArea>
    </format>
    <format dxfId="378">
      <pivotArea dataOnly="0" labelOnly="1" outline="0" fieldPosition="0">
        <references count="1">
          <reference field="1" count="1">
            <x v="639"/>
          </reference>
        </references>
      </pivotArea>
    </format>
    <format dxfId="377">
      <pivotArea dataOnly="0" labelOnly="1" outline="0" fieldPosition="0">
        <references count="1">
          <reference field="1" count="1">
            <x v="640"/>
          </reference>
        </references>
      </pivotArea>
    </format>
    <format dxfId="376">
      <pivotArea dataOnly="0" labelOnly="1" outline="0" fieldPosition="0">
        <references count="1">
          <reference field="1" count="1">
            <x v="641"/>
          </reference>
        </references>
      </pivotArea>
    </format>
    <format dxfId="375">
      <pivotArea dataOnly="0" labelOnly="1" outline="0" fieldPosition="0">
        <references count="1">
          <reference field="1" count="1">
            <x v="642"/>
          </reference>
        </references>
      </pivotArea>
    </format>
    <format dxfId="374">
      <pivotArea dataOnly="0" labelOnly="1" outline="0" fieldPosition="0">
        <references count="1">
          <reference field="1" count="1">
            <x v="643"/>
          </reference>
        </references>
      </pivotArea>
    </format>
    <format dxfId="373">
      <pivotArea dataOnly="0" labelOnly="1" outline="0" fieldPosition="0">
        <references count="1">
          <reference field="1" count="1">
            <x v="644"/>
          </reference>
        </references>
      </pivotArea>
    </format>
    <format dxfId="372">
      <pivotArea dataOnly="0" labelOnly="1" outline="0" fieldPosition="0">
        <references count="1">
          <reference field="1" count="1">
            <x v="645"/>
          </reference>
        </references>
      </pivotArea>
    </format>
    <format dxfId="371">
      <pivotArea dataOnly="0" labelOnly="1" outline="0" fieldPosition="0">
        <references count="1">
          <reference field="1" count="1">
            <x v="646"/>
          </reference>
        </references>
      </pivotArea>
    </format>
    <format dxfId="370">
      <pivotArea dataOnly="0" labelOnly="1" outline="0" fieldPosition="0">
        <references count="1">
          <reference field="1" count="1">
            <x v="647"/>
          </reference>
        </references>
      </pivotArea>
    </format>
    <format dxfId="369">
      <pivotArea dataOnly="0" labelOnly="1" outline="0" fieldPosition="0">
        <references count="1">
          <reference field="1" count="1">
            <x v="648"/>
          </reference>
        </references>
      </pivotArea>
    </format>
    <format dxfId="368">
      <pivotArea dataOnly="0" labelOnly="1" outline="0" fieldPosition="0">
        <references count="1">
          <reference field="1" count="1">
            <x v="649"/>
          </reference>
        </references>
      </pivotArea>
    </format>
    <format dxfId="367">
      <pivotArea dataOnly="0" labelOnly="1" outline="0" fieldPosition="0">
        <references count="1">
          <reference field="1" count="1">
            <x v="650"/>
          </reference>
        </references>
      </pivotArea>
    </format>
    <format dxfId="366">
      <pivotArea dataOnly="0" labelOnly="1" outline="0" fieldPosition="0">
        <references count="1">
          <reference field="1" count="1">
            <x v="651"/>
          </reference>
        </references>
      </pivotArea>
    </format>
    <format dxfId="365">
      <pivotArea dataOnly="0" labelOnly="1" outline="0" fieldPosition="0">
        <references count="1">
          <reference field="1" count="1">
            <x v="652"/>
          </reference>
        </references>
      </pivotArea>
    </format>
    <format dxfId="364">
      <pivotArea dataOnly="0" labelOnly="1" outline="0" fieldPosition="0">
        <references count="1">
          <reference field="1" count="1">
            <x v="653"/>
          </reference>
        </references>
      </pivotArea>
    </format>
    <format dxfId="363">
      <pivotArea dataOnly="0" labelOnly="1" outline="0" fieldPosition="0">
        <references count="1">
          <reference field="1" count="1">
            <x v="654"/>
          </reference>
        </references>
      </pivotArea>
    </format>
    <format dxfId="362">
      <pivotArea dataOnly="0" labelOnly="1" outline="0" fieldPosition="0">
        <references count="1">
          <reference field="1" count="1">
            <x v="655"/>
          </reference>
        </references>
      </pivotArea>
    </format>
    <format dxfId="361">
      <pivotArea dataOnly="0" labelOnly="1" outline="0" fieldPosition="0">
        <references count="1">
          <reference field="1" count="1">
            <x v="656"/>
          </reference>
        </references>
      </pivotArea>
    </format>
    <format dxfId="360">
      <pivotArea dataOnly="0" labelOnly="1" outline="0" fieldPosition="0">
        <references count="1">
          <reference field="1" count="1">
            <x v="657"/>
          </reference>
        </references>
      </pivotArea>
    </format>
    <format dxfId="359">
      <pivotArea dataOnly="0" labelOnly="1" outline="0" fieldPosition="0">
        <references count="1">
          <reference field="1" count="1">
            <x v="658"/>
          </reference>
        </references>
      </pivotArea>
    </format>
    <format dxfId="358">
      <pivotArea dataOnly="0" labelOnly="1" outline="0" fieldPosition="0">
        <references count="1">
          <reference field="1" count="1">
            <x v="659"/>
          </reference>
        </references>
      </pivotArea>
    </format>
    <format dxfId="357">
      <pivotArea dataOnly="0" labelOnly="1" outline="0" fieldPosition="0">
        <references count="1">
          <reference field="1" count="1">
            <x v="660"/>
          </reference>
        </references>
      </pivotArea>
    </format>
    <format dxfId="356">
      <pivotArea dataOnly="0" labelOnly="1" outline="0" fieldPosition="0">
        <references count="1">
          <reference field="1" count="1">
            <x v="661"/>
          </reference>
        </references>
      </pivotArea>
    </format>
    <format dxfId="355">
      <pivotArea dataOnly="0" labelOnly="1" outline="0" fieldPosition="0">
        <references count="1">
          <reference field="1" count="1">
            <x v="662"/>
          </reference>
        </references>
      </pivotArea>
    </format>
    <format dxfId="354">
      <pivotArea dataOnly="0" labelOnly="1" outline="0" fieldPosition="0">
        <references count="1">
          <reference field="1" count="1">
            <x v="663"/>
          </reference>
        </references>
      </pivotArea>
    </format>
    <format dxfId="353">
      <pivotArea dataOnly="0" labelOnly="1" outline="0" fieldPosition="0">
        <references count="1">
          <reference field="1" count="1">
            <x v="664"/>
          </reference>
        </references>
      </pivotArea>
    </format>
    <format dxfId="352">
      <pivotArea dataOnly="0" labelOnly="1" outline="0" fieldPosition="0">
        <references count="1">
          <reference field="1" count="1">
            <x v="665"/>
          </reference>
        </references>
      </pivotArea>
    </format>
    <format dxfId="351">
      <pivotArea dataOnly="0" labelOnly="1" outline="0" fieldPosition="0">
        <references count="1">
          <reference field="1" count="1">
            <x v="666"/>
          </reference>
        </references>
      </pivotArea>
    </format>
    <format dxfId="350">
      <pivotArea dataOnly="0" labelOnly="1" outline="0" fieldPosition="0">
        <references count="1">
          <reference field="1" count="1">
            <x v="667"/>
          </reference>
        </references>
      </pivotArea>
    </format>
    <format dxfId="349">
      <pivotArea dataOnly="0" labelOnly="1" outline="0" fieldPosition="0">
        <references count="1">
          <reference field="1" count="1">
            <x v="668"/>
          </reference>
        </references>
      </pivotArea>
    </format>
    <format dxfId="348">
      <pivotArea dataOnly="0" labelOnly="1" outline="0" fieldPosition="0">
        <references count="1">
          <reference field="1" count="1">
            <x v="669"/>
          </reference>
        </references>
      </pivotArea>
    </format>
    <format dxfId="347">
      <pivotArea dataOnly="0" labelOnly="1" outline="0" fieldPosition="0">
        <references count="1">
          <reference field="1" count="1">
            <x v="670"/>
          </reference>
        </references>
      </pivotArea>
    </format>
    <format dxfId="346">
      <pivotArea dataOnly="0" labelOnly="1" outline="0" fieldPosition="0">
        <references count="1">
          <reference field="1" count="1">
            <x v="671"/>
          </reference>
        </references>
      </pivotArea>
    </format>
    <format dxfId="345">
      <pivotArea dataOnly="0" labelOnly="1" outline="0" fieldPosition="0">
        <references count="1">
          <reference field="1" count="1">
            <x v="672"/>
          </reference>
        </references>
      </pivotArea>
    </format>
    <format dxfId="344">
      <pivotArea dataOnly="0" labelOnly="1" outline="0" fieldPosition="0">
        <references count="1">
          <reference field="1" count="1">
            <x v="673"/>
          </reference>
        </references>
      </pivotArea>
    </format>
    <format dxfId="343">
      <pivotArea dataOnly="0" labelOnly="1" outline="0" fieldPosition="0">
        <references count="1">
          <reference field="1" count="1">
            <x v="674"/>
          </reference>
        </references>
      </pivotArea>
    </format>
    <format dxfId="342">
      <pivotArea dataOnly="0" labelOnly="1" outline="0" fieldPosition="0">
        <references count="1">
          <reference field="1" count="1">
            <x v="675"/>
          </reference>
        </references>
      </pivotArea>
    </format>
    <format dxfId="341">
      <pivotArea dataOnly="0" labelOnly="1" outline="0" fieldPosition="0">
        <references count="1">
          <reference field="1" count="1">
            <x v="676"/>
          </reference>
        </references>
      </pivotArea>
    </format>
    <format dxfId="340">
      <pivotArea dataOnly="0" labelOnly="1" outline="0" fieldPosition="0">
        <references count="1">
          <reference field="1" count="1">
            <x v="677"/>
          </reference>
        </references>
      </pivotArea>
    </format>
    <format dxfId="339">
      <pivotArea dataOnly="0" labelOnly="1" outline="0" fieldPosition="0">
        <references count="1">
          <reference field="1" count="1">
            <x v="678"/>
          </reference>
        </references>
      </pivotArea>
    </format>
    <format dxfId="338">
      <pivotArea dataOnly="0" labelOnly="1" outline="0" fieldPosition="0">
        <references count="1">
          <reference field="1" count="1">
            <x v="679"/>
          </reference>
        </references>
      </pivotArea>
    </format>
    <format dxfId="337">
      <pivotArea dataOnly="0" labelOnly="1" outline="0" fieldPosition="0">
        <references count="1">
          <reference field="1" count="1">
            <x v="680"/>
          </reference>
        </references>
      </pivotArea>
    </format>
    <format dxfId="336">
      <pivotArea dataOnly="0" labelOnly="1" outline="0" fieldPosition="0">
        <references count="1">
          <reference field="1" count="1">
            <x v="681"/>
          </reference>
        </references>
      </pivotArea>
    </format>
    <format dxfId="335">
      <pivotArea dataOnly="0" labelOnly="1" outline="0" fieldPosition="0">
        <references count="1">
          <reference field="1" count="1">
            <x v="682"/>
          </reference>
        </references>
      </pivotArea>
    </format>
    <format dxfId="334">
      <pivotArea dataOnly="0" labelOnly="1" outline="0" fieldPosition="0">
        <references count="1">
          <reference field="1" count="1">
            <x v="683"/>
          </reference>
        </references>
      </pivotArea>
    </format>
    <format dxfId="333">
      <pivotArea dataOnly="0" labelOnly="1" outline="0" fieldPosition="0">
        <references count="1">
          <reference field="1" count="1">
            <x v="684"/>
          </reference>
        </references>
      </pivotArea>
    </format>
    <format dxfId="332">
      <pivotArea dataOnly="0" labelOnly="1" outline="0" fieldPosition="0">
        <references count="1">
          <reference field="1" count="1">
            <x v="685"/>
          </reference>
        </references>
      </pivotArea>
    </format>
    <format dxfId="331">
      <pivotArea dataOnly="0" labelOnly="1" outline="0" fieldPosition="0">
        <references count="1">
          <reference field="1" count="1">
            <x v="686"/>
          </reference>
        </references>
      </pivotArea>
    </format>
    <format dxfId="330">
      <pivotArea dataOnly="0" labelOnly="1" outline="0" fieldPosition="0">
        <references count="1">
          <reference field="1" count="1">
            <x v="687"/>
          </reference>
        </references>
      </pivotArea>
    </format>
    <format dxfId="329">
      <pivotArea dataOnly="0" labelOnly="1" outline="0" fieldPosition="0">
        <references count="1">
          <reference field="1" count="1">
            <x v="688"/>
          </reference>
        </references>
      </pivotArea>
    </format>
    <format dxfId="328">
      <pivotArea dataOnly="0" labelOnly="1" outline="0" fieldPosition="0">
        <references count="1">
          <reference field="1" count="1">
            <x v="689"/>
          </reference>
        </references>
      </pivotArea>
    </format>
    <format dxfId="327">
      <pivotArea dataOnly="0" labelOnly="1" outline="0" fieldPosition="0">
        <references count="1">
          <reference field="1" count="1">
            <x v="690"/>
          </reference>
        </references>
      </pivotArea>
    </format>
    <format dxfId="326">
      <pivotArea dataOnly="0" labelOnly="1" outline="0" fieldPosition="0">
        <references count="1">
          <reference field="1" count="1">
            <x v="691"/>
          </reference>
        </references>
      </pivotArea>
    </format>
    <format dxfId="325">
      <pivotArea dataOnly="0" labelOnly="1" outline="0" fieldPosition="0">
        <references count="1">
          <reference field="1" count="1">
            <x v="692"/>
          </reference>
        </references>
      </pivotArea>
    </format>
    <format dxfId="324">
      <pivotArea dataOnly="0" labelOnly="1" outline="0" fieldPosition="0">
        <references count="1">
          <reference field="1" count="1">
            <x v="693"/>
          </reference>
        </references>
      </pivotArea>
    </format>
    <format dxfId="323">
      <pivotArea dataOnly="0" labelOnly="1" outline="0" fieldPosition="0">
        <references count="1">
          <reference field="1" count="1">
            <x v="694"/>
          </reference>
        </references>
      </pivotArea>
    </format>
    <format dxfId="322">
      <pivotArea dataOnly="0" labelOnly="1" outline="0" fieldPosition="0">
        <references count="1">
          <reference field="1" count="1">
            <x v="695"/>
          </reference>
        </references>
      </pivotArea>
    </format>
    <format dxfId="321">
      <pivotArea dataOnly="0" labelOnly="1" outline="0" fieldPosition="0">
        <references count="1">
          <reference field="1" count="1">
            <x v="696"/>
          </reference>
        </references>
      </pivotArea>
    </format>
    <format dxfId="320">
      <pivotArea dataOnly="0" labelOnly="1" outline="0" fieldPosition="0">
        <references count="1">
          <reference field="1" count="1">
            <x v="697"/>
          </reference>
        </references>
      </pivotArea>
    </format>
    <format dxfId="319">
      <pivotArea dataOnly="0" labelOnly="1" outline="0" fieldPosition="0">
        <references count="1">
          <reference field="1" count="1">
            <x v="698"/>
          </reference>
        </references>
      </pivotArea>
    </format>
    <format dxfId="318">
      <pivotArea dataOnly="0" labelOnly="1" outline="0" fieldPosition="0">
        <references count="1">
          <reference field="1" count="1">
            <x v="699"/>
          </reference>
        </references>
      </pivotArea>
    </format>
    <format dxfId="317">
      <pivotArea dataOnly="0" labelOnly="1" outline="0" fieldPosition="0">
        <references count="1">
          <reference field="1" count="1">
            <x v="700"/>
          </reference>
        </references>
      </pivotArea>
    </format>
    <format dxfId="316">
      <pivotArea dataOnly="0" labelOnly="1" outline="0" fieldPosition="0">
        <references count="1">
          <reference field="1" count="1">
            <x v="701"/>
          </reference>
        </references>
      </pivotArea>
    </format>
    <format dxfId="315">
      <pivotArea dataOnly="0" labelOnly="1" outline="0" fieldPosition="0">
        <references count="1">
          <reference field="1" count="1">
            <x v="702"/>
          </reference>
        </references>
      </pivotArea>
    </format>
    <format dxfId="314">
      <pivotArea dataOnly="0" labelOnly="1" outline="0" fieldPosition="0">
        <references count="1">
          <reference field="1" count="1">
            <x v="703"/>
          </reference>
        </references>
      </pivotArea>
    </format>
    <format dxfId="313">
      <pivotArea dataOnly="0" labelOnly="1" outline="0" fieldPosition="0">
        <references count="1">
          <reference field="1" count="1">
            <x v="704"/>
          </reference>
        </references>
      </pivotArea>
    </format>
    <format dxfId="312">
      <pivotArea dataOnly="0" labelOnly="1" outline="0" fieldPosition="0">
        <references count="1">
          <reference field="1" count="1">
            <x v="705"/>
          </reference>
        </references>
      </pivotArea>
    </format>
    <format dxfId="311">
      <pivotArea dataOnly="0" labelOnly="1" outline="0" fieldPosition="0">
        <references count="1">
          <reference field="1" count="1">
            <x v="706"/>
          </reference>
        </references>
      </pivotArea>
    </format>
    <format dxfId="310">
      <pivotArea dataOnly="0" labelOnly="1" outline="0" fieldPosition="0">
        <references count="1">
          <reference field="1" count="1">
            <x v="707"/>
          </reference>
        </references>
      </pivotArea>
    </format>
    <format dxfId="309">
      <pivotArea dataOnly="0" labelOnly="1" outline="0" fieldPosition="0">
        <references count="1">
          <reference field="1" count="1">
            <x v="708"/>
          </reference>
        </references>
      </pivotArea>
    </format>
    <format dxfId="308">
      <pivotArea dataOnly="0" labelOnly="1" outline="0" fieldPosition="0">
        <references count="1">
          <reference field="1" count="1">
            <x v="709"/>
          </reference>
        </references>
      </pivotArea>
    </format>
    <format dxfId="307">
      <pivotArea dataOnly="0" labelOnly="1" outline="0" fieldPosition="0">
        <references count="1">
          <reference field="1" count="1">
            <x v="710"/>
          </reference>
        </references>
      </pivotArea>
    </format>
    <format dxfId="306">
      <pivotArea dataOnly="0" labelOnly="1" outline="0" fieldPosition="0">
        <references count="1">
          <reference field="1" count="1">
            <x v="711"/>
          </reference>
        </references>
      </pivotArea>
    </format>
    <format dxfId="305">
      <pivotArea dataOnly="0" labelOnly="1" outline="0" fieldPosition="0">
        <references count="1">
          <reference field="1" count="1">
            <x v="712"/>
          </reference>
        </references>
      </pivotArea>
    </format>
    <format dxfId="304">
      <pivotArea dataOnly="0" labelOnly="1" outline="0" fieldPosition="0">
        <references count="1">
          <reference field="1" count="1">
            <x v="713"/>
          </reference>
        </references>
      </pivotArea>
    </format>
    <format dxfId="303">
      <pivotArea dataOnly="0" labelOnly="1" outline="0" fieldPosition="0">
        <references count="1">
          <reference field="1" count="1">
            <x v="714"/>
          </reference>
        </references>
      </pivotArea>
    </format>
    <format dxfId="302">
      <pivotArea dataOnly="0" labelOnly="1" outline="0" fieldPosition="0">
        <references count="1">
          <reference field="1" count="1">
            <x v="715"/>
          </reference>
        </references>
      </pivotArea>
    </format>
    <format dxfId="301">
      <pivotArea dataOnly="0" labelOnly="1" outline="0" fieldPosition="0">
        <references count="1">
          <reference field="1" count="1">
            <x v="716"/>
          </reference>
        </references>
      </pivotArea>
    </format>
    <format dxfId="300">
      <pivotArea dataOnly="0" labelOnly="1" outline="0" fieldPosition="0">
        <references count="1">
          <reference field="1" count="1">
            <x v="717"/>
          </reference>
        </references>
      </pivotArea>
    </format>
    <format dxfId="299">
      <pivotArea dataOnly="0" labelOnly="1" outline="0" fieldPosition="0">
        <references count="1">
          <reference field="1" count="1">
            <x v="718"/>
          </reference>
        </references>
      </pivotArea>
    </format>
    <format dxfId="298">
      <pivotArea dataOnly="0" labelOnly="1" outline="0" fieldPosition="0">
        <references count="1">
          <reference field="1" count="1">
            <x v="719"/>
          </reference>
        </references>
      </pivotArea>
    </format>
    <format dxfId="297">
      <pivotArea dataOnly="0" labelOnly="1" outline="0" fieldPosition="0">
        <references count="1">
          <reference field="1" count="1">
            <x v="720"/>
          </reference>
        </references>
      </pivotArea>
    </format>
    <format dxfId="296">
      <pivotArea dataOnly="0" labelOnly="1" outline="0" fieldPosition="0">
        <references count="1">
          <reference field="1" count="1">
            <x v="721"/>
          </reference>
        </references>
      </pivotArea>
    </format>
    <format dxfId="295">
      <pivotArea dataOnly="0" labelOnly="1" outline="0" fieldPosition="0">
        <references count="1">
          <reference field="1" count="1">
            <x v="722"/>
          </reference>
        </references>
      </pivotArea>
    </format>
    <format dxfId="294">
      <pivotArea dataOnly="0" labelOnly="1" outline="0" fieldPosition="0">
        <references count="1">
          <reference field="1" count="1">
            <x v="723"/>
          </reference>
        </references>
      </pivotArea>
    </format>
    <format dxfId="293">
      <pivotArea dataOnly="0" labelOnly="1" outline="0" fieldPosition="0">
        <references count="1">
          <reference field="1" count="1">
            <x v="724"/>
          </reference>
        </references>
      </pivotArea>
    </format>
    <format dxfId="292">
      <pivotArea dataOnly="0" labelOnly="1" outline="0" fieldPosition="0">
        <references count="1">
          <reference field="1" count="1">
            <x v="725"/>
          </reference>
        </references>
      </pivotArea>
    </format>
    <format dxfId="291">
      <pivotArea dataOnly="0" labelOnly="1" outline="0" fieldPosition="0">
        <references count="1">
          <reference field="1" count="1">
            <x v="726"/>
          </reference>
        </references>
      </pivotArea>
    </format>
    <format dxfId="290">
      <pivotArea dataOnly="0" labelOnly="1" outline="0" fieldPosition="0">
        <references count="1">
          <reference field="1" count="1">
            <x v="727"/>
          </reference>
        </references>
      </pivotArea>
    </format>
    <format dxfId="289">
      <pivotArea dataOnly="0" labelOnly="1" outline="0" fieldPosition="0">
        <references count="1">
          <reference field="1" count="1">
            <x v="728"/>
          </reference>
        </references>
      </pivotArea>
    </format>
    <format dxfId="288">
      <pivotArea dataOnly="0" labelOnly="1" outline="0" fieldPosition="0">
        <references count="1">
          <reference field="1" count="1">
            <x v="729"/>
          </reference>
        </references>
      </pivotArea>
    </format>
    <format dxfId="287">
      <pivotArea dataOnly="0" labelOnly="1" outline="0" fieldPosition="0">
        <references count="1">
          <reference field="1" count="1">
            <x v="730"/>
          </reference>
        </references>
      </pivotArea>
    </format>
    <format dxfId="286">
      <pivotArea dataOnly="0" labelOnly="1" outline="0" fieldPosition="0">
        <references count="1">
          <reference field="1" count="1">
            <x v="731"/>
          </reference>
        </references>
      </pivotArea>
    </format>
    <format dxfId="285">
      <pivotArea dataOnly="0" labelOnly="1" outline="0" fieldPosition="0">
        <references count="1">
          <reference field="1" count="1">
            <x v="732"/>
          </reference>
        </references>
      </pivotArea>
    </format>
    <format dxfId="284">
      <pivotArea dataOnly="0" labelOnly="1" outline="0" fieldPosition="0">
        <references count="1">
          <reference field="1" count="1">
            <x v="733"/>
          </reference>
        </references>
      </pivotArea>
    </format>
    <format dxfId="283">
      <pivotArea dataOnly="0" labelOnly="1" outline="0" fieldPosition="0">
        <references count="1">
          <reference field="1" count="1">
            <x v="734"/>
          </reference>
        </references>
      </pivotArea>
    </format>
    <format dxfId="282">
      <pivotArea dataOnly="0" labelOnly="1" outline="0" fieldPosition="0">
        <references count="1">
          <reference field="1" count="1">
            <x v="735"/>
          </reference>
        </references>
      </pivotArea>
    </format>
    <format dxfId="281">
      <pivotArea dataOnly="0" labelOnly="1" outline="0" fieldPosition="0">
        <references count="1">
          <reference field="1" count="1">
            <x v="736"/>
          </reference>
        </references>
      </pivotArea>
    </format>
    <format dxfId="280">
      <pivotArea dataOnly="0" labelOnly="1" outline="0" fieldPosition="0">
        <references count="1">
          <reference field="1" count="1">
            <x v="737"/>
          </reference>
        </references>
      </pivotArea>
    </format>
    <format dxfId="279">
      <pivotArea dataOnly="0" labelOnly="1" outline="0" fieldPosition="0">
        <references count="1">
          <reference field="1" count="1">
            <x v="738"/>
          </reference>
        </references>
      </pivotArea>
    </format>
    <format dxfId="278">
      <pivotArea dataOnly="0" labelOnly="1" outline="0" fieldPosition="0">
        <references count="1">
          <reference field="1" count="1">
            <x v="739"/>
          </reference>
        </references>
      </pivotArea>
    </format>
    <format dxfId="277">
      <pivotArea dataOnly="0" labelOnly="1" outline="0" fieldPosition="0">
        <references count="1">
          <reference field="1" count="1">
            <x v="740"/>
          </reference>
        </references>
      </pivotArea>
    </format>
    <format dxfId="276">
      <pivotArea dataOnly="0" labelOnly="1" outline="0" fieldPosition="0">
        <references count="1">
          <reference field="1" count="1">
            <x v="741"/>
          </reference>
        </references>
      </pivotArea>
    </format>
    <format dxfId="275">
      <pivotArea dataOnly="0" labelOnly="1" outline="0" fieldPosition="0">
        <references count="1">
          <reference field="1" count="1">
            <x v="742"/>
          </reference>
        </references>
      </pivotArea>
    </format>
    <format dxfId="274">
      <pivotArea dataOnly="0" labelOnly="1" outline="0" fieldPosition="0">
        <references count="1">
          <reference field="1" count="1">
            <x v="743"/>
          </reference>
        </references>
      </pivotArea>
    </format>
    <format dxfId="273">
      <pivotArea dataOnly="0" labelOnly="1" outline="0" fieldPosition="0">
        <references count="1">
          <reference field="1" count="1">
            <x v="744"/>
          </reference>
        </references>
      </pivotArea>
    </format>
    <format dxfId="272">
      <pivotArea dataOnly="0" labelOnly="1" outline="0" fieldPosition="0">
        <references count="1">
          <reference field="1" count="1">
            <x v="745"/>
          </reference>
        </references>
      </pivotArea>
    </format>
    <format dxfId="271">
      <pivotArea dataOnly="0" labelOnly="1" outline="0" fieldPosition="0">
        <references count="1">
          <reference field="1" count="1">
            <x v="746"/>
          </reference>
        </references>
      </pivotArea>
    </format>
    <format dxfId="270">
      <pivotArea dataOnly="0" labelOnly="1" outline="0" fieldPosition="0">
        <references count="1">
          <reference field="1" count="1">
            <x v="747"/>
          </reference>
        </references>
      </pivotArea>
    </format>
    <format dxfId="269">
      <pivotArea dataOnly="0" labelOnly="1" outline="0" fieldPosition="0">
        <references count="1">
          <reference field="1" count="1">
            <x v="748"/>
          </reference>
        </references>
      </pivotArea>
    </format>
    <format dxfId="268">
      <pivotArea dataOnly="0" labelOnly="1" outline="0" fieldPosition="0">
        <references count="1">
          <reference field="1" count="1">
            <x v="749"/>
          </reference>
        </references>
      </pivotArea>
    </format>
    <format dxfId="267">
      <pivotArea dataOnly="0" labelOnly="1" outline="0" fieldPosition="0">
        <references count="1">
          <reference field="1" count="1">
            <x v="750"/>
          </reference>
        </references>
      </pivotArea>
    </format>
    <format dxfId="266">
      <pivotArea dataOnly="0" labelOnly="1" outline="0" fieldPosition="0">
        <references count="1">
          <reference field="1" count="1">
            <x v="751"/>
          </reference>
        </references>
      </pivotArea>
    </format>
    <format dxfId="265">
      <pivotArea dataOnly="0" labelOnly="1" outline="0" fieldPosition="0">
        <references count="1">
          <reference field="1" count="1">
            <x v="752"/>
          </reference>
        </references>
      </pivotArea>
    </format>
    <format dxfId="264">
      <pivotArea dataOnly="0" labelOnly="1" outline="0" fieldPosition="0">
        <references count="1">
          <reference field="1" count="1">
            <x v="753"/>
          </reference>
        </references>
      </pivotArea>
    </format>
    <format dxfId="263">
      <pivotArea dataOnly="0" labelOnly="1" outline="0" fieldPosition="0">
        <references count="1">
          <reference field="1" count="1">
            <x v="754"/>
          </reference>
        </references>
      </pivotArea>
    </format>
    <format dxfId="262">
      <pivotArea dataOnly="0" labelOnly="1" outline="0" fieldPosition="0">
        <references count="1">
          <reference field="1" count="1">
            <x v="755"/>
          </reference>
        </references>
      </pivotArea>
    </format>
    <format dxfId="261">
      <pivotArea dataOnly="0" labelOnly="1" outline="0" fieldPosition="0">
        <references count="1">
          <reference field="1" count="1">
            <x v="756"/>
          </reference>
        </references>
      </pivotArea>
    </format>
    <format dxfId="260">
      <pivotArea dataOnly="0" labelOnly="1" outline="0" fieldPosition="0">
        <references count="1">
          <reference field="1" count="1">
            <x v="757"/>
          </reference>
        </references>
      </pivotArea>
    </format>
    <format dxfId="259">
      <pivotArea dataOnly="0" labelOnly="1" outline="0" fieldPosition="0">
        <references count="1">
          <reference field="1" count="1">
            <x v="758"/>
          </reference>
        </references>
      </pivotArea>
    </format>
    <format dxfId="258">
      <pivotArea dataOnly="0" labelOnly="1" outline="0" fieldPosition="0">
        <references count="1">
          <reference field="1" count="1">
            <x v="759"/>
          </reference>
        </references>
      </pivotArea>
    </format>
    <format dxfId="257">
      <pivotArea dataOnly="0" labelOnly="1" outline="0" fieldPosition="0">
        <references count="1">
          <reference field="1" count="1">
            <x v="760"/>
          </reference>
        </references>
      </pivotArea>
    </format>
    <format dxfId="256">
      <pivotArea dataOnly="0" labelOnly="1" outline="0" fieldPosition="0">
        <references count="1">
          <reference field="1" count="1">
            <x v="761"/>
          </reference>
        </references>
      </pivotArea>
    </format>
    <format dxfId="255">
      <pivotArea dataOnly="0" labelOnly="1" outline="0" fieldPosition="0">
        <references count="1">
          <reference field="1" count="1">
            <x v="762"/>
          </reference>
        </references>
      </pivotArea>
    </format>
    <format dxfId="254">
      <pivotArea dataOnly="0" labelOnly="1" outline="0" fieldPosition="0">
        <references count="1">
          <reference field="1" count="1">
            <x v="763"/>
          </reference>
        </references>
      </pivotArea>
    </format>
    <format dxfId="253">
      <pivotArea dataOnly="0" labelOnly="1" outline="0" fieldPosition="0">
        <references count="1">
          <reference field="1" count="1">
            <x v="764"/>
          </reference>
        </references>
      </pivotArea>
    </format>
    <format dxfId="252">
      <pivotArea dataOnly="0" labelOnly="1" outline="0" fieldPosition="0">
        <references count="1">
          <reference field="1" count="1">
            <x v="765"/>
          </reference>
        </references>
      </pivotArea>
    </format>
    <format dxfId="251">
      <pivotArea dataOnly="0" labelOnly="1" outline="0" fieldPosition="0">
        <references count="1">
          <reference field="1" count="1">
            <x v="766"/>
          </reference>
        </references>
      </pivotArea>
    </format>
    <format dxfId="250">
      <pivotArea dataOnly="0" labelOnly="1" outline="0" fieldPosition="0">
        <references count="1">
          <reference field="1" count="1">
            <x v="767"/>
          </reference>
        </references>
      </pivotArea>
    </format>
    <format dxfId="249">
      <pivotArea dataOnly="0" labelOnly="1" outline="0" fieldPosition="0">
        <references count="1">
          <reference field="1" count="1">
            <x v="768"/>
          </reference>
        </references>
      </pivotArea>
    </format>
    <format dxfId="248">
      <pivotArea dataOnly="0" labelOnly="1" outline="0" fieldPosition="0">
        <references count="1">
          <reference field="1" count="1">
            <x v="769"/>
          </reference>
        </references>
      </pivotArea>
    </format>
    <format dxfId="247">
      <pivotArea dataOnly="0" labelOnly="1" outline="0" fieldPosition="0">
        <references count="1">
          <reference field="1" count="1">
            <x v="770"/>
          </reference>
        </references>
      </pivotArea>
    </format>
    <format dxfId="246">
      <pivotArea dataOnly="0" labelOnly="1" outline="0" fieldPosition="0">
        <references count="1">
          <reference field="1" count="1">
            <x v="771"/>
          </reference>
        </references>
      </pivotArea>
    </format>
    <format dxfId="245">
      <pivotArea dataOnly="0" labelOnly="1" outline="0" fieldPosition="0">
        <references count="1">
          <reference field="1" count="1">
            <x v="772"/>
          </reference>
        </references>
      </pivotArea>
    </format>
    <format dxfId="244">
      <pivotArea dataOnly="0" labelOnly="1" outline="0" fieldPosition="0">
        <references count="1">
          <reference field="1" count="1">
            <x v="773"/>
          </reference>
        </references>
      </pivotArea>
    </format>
    <format dxfId="243">
      <pivotArea dataOnly="0" labelOnly="1" outline="0" fieldPosition="0">
        <references count="1">
          <reference field="1" count="1">
            <x v="774"/>
          </reference>
        </references>
      </pivotArea>
    </format>
    <format dxfId="242">
      <pivotArea dataOnly="0" labelOnly="1" outline="0" fieldPosition="0">
        <references count="1">
          <reference field="1" count="1">
            <x v="775"/>
          </reference>
        </references>
      </pivotArea>
    </format>
    <format dxfId="241">
      <pivotArea dataOnly="0" labelOnly="1" outline="0" fieldPosition="0">
        <references count="1">
          <reference field="1" count="1">
            <x v="776"/>
          </reference>
        </references>
      </pivotArea>
    </format>
    <format dxfId="240">
      <pivotArea dataOnly="0" labelOnly="1" outline="0" fieldPosition="0">
        <references count="1">
          <reference field="1" count="1">
            <x v="777"/>
          </reference>
        </references>
      </pivotArea>
    </format>
    <format dxfId="239">
      <pivotArea dataOnly="0" labelOnly="1" outline="0" fieldPosition="0">
        <references count="1">
          <reference field="1" count="1">
            <x v="778"/>
          </reference>
        </references>
      </pivotArea>
    </format>
    <format dxfId="238">
      <pivotArea dataOnly="0" labelOnly="1" outline="0" fieldPosition="0">
        <references count="1">
          <reference field="1" count="1">
            <x v="779"/>
          </reference>
        </references>
      </pivotArea>
    </format>
    <format dxfId="237">
      <pivotArea dataOnly="0" labelOnly="1" outline="0" fieldPosition="0">
        <references count="1">
          <reference field="1" count="1">
            <x v="780"/>
          </reference>
        </references>
      </pivotArea>
    </format>
    <format dxfId="236">
      <pivotArea dataOnly="0" labelOnly="1" outline="0" fieldPosition="0">
        <references count="1">
          <reference field="1" count="1">
            <x v="781"/>
          </reference>
        </references>
      </pivotArea>
    </format>
    <format dxfId="235">
      <pivotArea dataOnly="0" labelOnly="1" outline="0" fieldPosition="0">
        <references count="1">
          <reference field="1" count="1">
            <x v="782"/>
          </reference>
        </references>
      </pivotArea>
    </format>
    <format dxfId="234">
      <pivotArea dataOnly="0" labelOnly="1" outline="0" fieldPosition="0">
        <references count="1">
          <reference field="1" count="1">
            <x v="783"/>
          </reference>
        </references>
      </pivotArea>
    </format>
    <format dxfId="233">
      <pivotArea dataOnly="0" labelOnly="1" outline="0" fieldPosition="0">
        <references count="1">
          <reference field="1" count="1">
            <x v="784"/>
          </reference>
        </references>
      </pivotArea>
    </format>
    <format dxfId="232">
      <pivotArea dataOnly="0" labelOnly="1" outline="0" fieldPosition="0">
        <references count="1">
          <reference field="1" count="1">
            <x v="785"/>
          </reference>
        </references>
      </pivotArea>
    </format>
    <format dxfId="231">
      <pivotArea dataOnly="0" labelOnly="1" outline="0" fieldPosition="0">
        <references count="1">
          <reference field="1" count="1">
            <x v="786"/>
          </reference>
        </references>
      </pivotArea>
    </format>
    <format dxfId="230">
      <pivotArea dataOnly="0" labelOnly="1" outline="0" fieldPosition="0">
        <references count="1">
          <reference field="1" count="1">
            <x v="787"/>
          </reference>
        </references>
      </pivotArea>
    </format>
    <format dxfId="229">
      <pivotArea dataOnly="0" labelOnly="1" outline="0" fieldPosition="0">
        <references count="1">
          <reference field="1" count="1">
            <x v="788"/>
          </reference>
        </references>
      </pivotArea>
    </format>
    <format dxfId="228">
      <pivotArea dataOnly="0" labelOnly="1" outline="0" fieldPosition="0">
        <references count="1">
          <reference field="1" count="1">
            <x v="789"/>
          </reference>
        </references>
      </pivotArea>
    </format>
    <format dxfId="227">
      <pivotArea dataOnly="0" labelOnly="1" outline="0" fieldPosition="0">
        <references count="1">
          <reference field="1" count="1">
            <x v="790"/>
          </reference>
        </references>
      </pivotArea>
    </format>
    <format dxfId="226">
      <pivotArea dataOnly="0" labelOnly="1" outline="0" fieldPosition="0">
        <references count="1">
          <reference field="1" count="1">
            <x v="791"/>
          </reference>
        </references>
      </pivotArea>
    </format>
    <format dxfId="225">
      <pivotArea dataOnly="0" labelOnly="1" outline="0" fieldPosition="0">
        <references count="1">
          <reference field="1" count="1">
            <x v="792"/>
          </reference>
        </references>
      </pivotArea>
    </format>
    <format dxfId="224">
      <pivotArea dataOnly="0" labelOnly="1" outline="0" fieldPosition="0">
        <references count="1">
          <reference field="1" count="1">
            <x v="793"/>
          </reference>
        </references>
      </pivotArea>
    </format>
    <format dxfId="223">
      <pivotArea dataOnly="0" labelOnly="1" outline="0" fieldPosition="0">
        <references count="1">
          <reference field="1" count="1">
            <x v="794"/>
          </reference>
        </references>
      </pivotArea>
    </format>
    <format dxfId="222">
      <pivotArea dataOnly="0" labelOnly="1" outline="0" fieldPosition="0">
        <references count="1">
          <reference field="1" count="1">
            <x v="795"/>
          </reference>
        </references>
      </pivotArea>
    </format>
    <format dxfId="221">
      <pivotArea dataOnly="0" labelOnly="1" outline="0" fieldPosition="0">
        <references count="1">
          <reference field="1" count="1">
            <x v="796"/>
          </reference>
        </references>
      </pivotArea>
    </format>
    <format dxfId="220">
      <pivotArea dataOnly="0" labelOnly="1" outline="0" fieldPosition="0">
        <references count="1">
          <reference field="1" count="1">
            <x v="797"/>
          </reference>
        </references>
      </pivotArea>
    </format>
    <format dxfId="219">
      <pivotArea dataOnly="0" labelOnly="1" outline="0" fieldPosition="0">
        <references count="1">
          <reference field="1" count="1">
            <x v="798"/>
          </reference>
        </references>
      </pivotArea>
    </format>
    <format dxfId="218">
      <pivotArea dataOnly="0" labelOnly="1" outline="0" fieldPosition="0">
        <references count="1">
          <reference field="1" count="1">
            <x v="799"/>
          </reference>
        </references>
      </pivotArea>
    </format>
    <format dxfId="217">
      <pivotArea dataOnly="0" labelOnly="1" outline="0" fieldPosition="0">
        <references count="1">
          <reference field="1" count="1">
            <x v="800"/>
          </reference>
        </references>
      </pivotArea>
    </format>
    <format dxfId="216">
      <pivotArea dataOnly="0" labelOnly="1" outline="0" fieldPosition="0">
        <references count="1">
          <reference field="1" count="1">
            <x v="801"/>
          </reference>
        </references>
      </pivotArea>
    </format>
    <format dxfId="215">
      <pivotArea dataOnly="0" labelOnly="1" outline="0" fieldPosition="0">
        <references count="1">
          <reference field="1" count="1">
            <x v="802"/>
          </reference>
        </references>
      </pivotArea>
    </format>
    <format dxfId="214">
      <pivotArea dataOnly="0" labelOnly="1" outline="0" fieldPosition="0">
        <references count="1">
          <reference field="1" count="1">
            <x v="803"/>
          </reference>
        </references>
      </pivotArea>
    </format>
    <format dxfId="213">
      <pivotArea dataOnly="0" labelOnly="1" outline="0" fieldPosition="0">
        <references count="1">
          <reference field="1" count="1">
            <x v="804"/>
          </reference>
        </references>
      </pivotArea>
    </format>
    <format dxfId="212">
      <pivotArea dataOnly="0" labelOnly="1" outline="0" fieldPosition="0">
        <references count="1">
          <reference field="1" count="1">
            <x v="805"/>
          </reference>
        </references>
      </pivotArea>
    </format>
    <format dxfId="211">
      <pivotArea dataOnly="0" labelOnly="1" outline="0" fieldPosition="0">
        <references count="1">
          <reference field="1" count="1">
            <x v="806"/>
          </reference>
        </references>
      </pivotArea>
    </format>
    <format dxfId="210">
      <pivotArea dataOnly="0" labelOnly="1" outline="0" fieldPosition="0">
        <references count="1">
          <reference field="1" count="1">
            <x v="807"/>
          </reference>
        </references>
      </pivotArea>
    </format>
    <format dxfId="209">
      <pivotArea dataOnly="0" labelOnly="1" outline="0" fieldPosition="0">
        <references count="1">
          <reference field="1" count="1">
            <x v="808"/>
          </reference>
        </references>
      </pivotArea>
    </format>
    <format dxfId="208">
      <pivotArea dataOnly="0" labelOnly="1" outline="0" fieldPosition="0">
        <references count="1">
          <reference field="1" count="1">
            <x v="809"/>
          </reference>
        </references>
      </pivotArea>
    </format>
    <format dxfId="207">
      <pivotArea dataOnly="0" labelOnly="1" outline="0" fieldPosition="0">
        <references count="1">
          <reference field="1" count="1">
            <x v="810"/>
          </reference>
        </references>
      </pivotArea>
    </format>
    <format dxfId="206">
      <pivotArea dataOnly="0" labelOnly="1" outline="0" fieldPosition="0">
        <references count="1">
          <reference field="1" count="1">
            <x v="811"/>
          </reference>
        </references>
      </pivotArea>
    </format>
    <format dxfId="205">
      <pivotArea dataOnly="0" labelOnly="1" outline="0" fieldPosition="0">
        <references count="1">
          <reference field="1" count="1">
            <x v="812"/>
          </reference>
        </references>
      </pivotArea>
    </format>
    <format dxfId="204">
      <pivotArea dataOnly="0" labelOnly="1" outline="0" fieldPosition="0">
        <references count="1">
          <reference field="1" count="1">
            <x v="813"/>
          </reference>
        </references>
      </pivotArea>
    </format>
    <format dxfId="203">
      <pivotArea dataOnly="0" labelOnly="1" outline="0" fieldPosition="0">
        <references count="1">
          <reference field="1" count="1">
            <x v="814"/>
          </reference>
        </references>
      </pivotArea>
    </format>
    <format dxfId="202">
      <pivotArea dataOnly="0" labelOnly="1" outline="0" fieldPosition="0">
        <references count="1">
          <reference field="1" count="1">
            <x v="815"/>
          </reference>
        </references>
      </pivotArea>
    </format>
    <format dxfId="201">
      <pivotArea dataOnly="0" labelOnly="1" outline="0" fieldPosition="0">
        <references count="1">
          <reference field="1" count="1">
            <x v="816"/>
          </reference>
        </references>
      </pivotArea>
    </format>
    <format dxfId="200">
      <pivotArea dataOnly="0" labelOnly="1" outline="0" fieldPosition="0">
        <references count="1">
          <reference field="1" count="1">
            <x v="817"/>
          </reference>
        </references>
      </pivotArea>
    </format>
    <format dxfId="199">
      <pivotArea dataOnly="0" labelOnly="1" outline="0" fieldPosition="0">
        <references count="1">
          <reference field="1" count="1">
            <x v="818"/>
          </reference>
        </references>
      </pivotArea>
    </format>
    <format dxfId="198">
      <pivotArea dataOnly="0" labelOnly="1" outline="0" fieldPosition="0">
        <references count="1">
          <reference field="1" count="1">
            <x v="819"/>
          </reference>
        </references>
      </pivotArea>
    </format>
    <format dxfId="197">
      <pivotArea dataOnly="0" labelOnly="1" outline="0" fieldPosition="0">
        <references count="1">
          <reference field="1" count="1">
            <x v="820"/>
          </reference>
        </references>
      </pivotArea>
    </format>
    <format dxfId="196">
      <pivotArea dataOnly="0" labelOnly="1" outline="0" fieldPosition="0">
        <references count="1">
          <reference field="1" count="1">
            <x v="821"/>
          </reference>
        </references>
      </pivotArea>
    </format>
    <format dxfId="195">
      <pivotArea dataOnly="0" labelOnly="1" outline="0" fieldPosition="0">
        <references count="1">
          <reference field="1" count="1">
            <x v="822"/>
          </reference>
        </references>
      </pivotArea>
    </format>
    <format dxfId="194">
      <pivotArea dataOnly="0" labelOnly="1" outline="0" fieldPosition="0">
        <references count="1">
          <reference field="1" count="1">
            <x v="823"/>
          </reference>
        </references>
      </pivotArea>
    </format>
    <format dxfId="193">
      <pivotArea dataOnly="0" labelOnly="1" outline="0" fieldPosition="0">
        <references count="1">
          <reference field="1" count="1">
            <x v="824"/>
          </reference>
        </references>
      </pivotArea>
    </format>
    <format dxfId="192">
      <pivotArea dataOnly="0" labelOnly="1" outline="0" fieldPosition="0">
        <references count="1">
          <reference field="1" count="1">
            <x v="825"/>
          </reference>
        </references>
      </pivotArea>
    </format>
    <format dxfId="191">
      <pivotArea dataOnly="0" labelOnly="1" outline="0" fieldPosition="0">
        <references count="1">
          <reference field="1" count="1">
            <x v="826"/>
          </reference>
        </references>
      </pivotArea>
    </format>
    <format dxfId="190">
      <pivotArea dataOnly="0" labelOnly="1" outline="0" fieldPosition="0">
        <references count="1">
          <reference field="1" count="1">
            <x v="827"/>
          </reference>
        </references>
      </pivotArea>
    </format>
    <format dxfId="189">
      <pivotArea dataOnly="0" labelOnly="1" outline="0" fieldPosition="0">
        <references count="1">
          <reference field="1" count="1">
            <x v="828"/>
          </reference>
        </references>
      </pivotArea>
    </format>
    <format dxfId="188">
      <pivotArea dataOnly="0" labelOnly="1" outline="0" fieldPosition="0">
        <references count="1">
          <reference field="1" count="1">
            <x v="829"/>
          </reference>
        </references>
      </pivotArea>
    </format>
    <format dxfId="187">
      <pivotArea dataOnly="0" labelOnly="1" outline="0" fieldPosition="0">
        <references count="1">
          <reference field="1" count="1">
            <x v="830"/>
          </reference>
        </references>
      </pivotArea>
    </format>
    <format dxfId="186">
      <pivotArea dataOnly="0" labelOnly="1" outline="0" fieldPosition="0">
        <references count="1">
          <reference field="1" count="1">
            <x v="831"/>
          </reference>
        </references>
      </pivotArea>
    </format>
    <format dxfId="185">
      <pivotArea dataOnly="0" labelOnly="1" outline="0" fieldPosition="0">
        <references count="1">
          <reference field="1" count="1">
            <x v="832"/>
          </reference>
        </references>
      </pivotArea>
    </format>
    <format dxfId="184">
      <pivotArea dataOnly="0" labelOnly="1" outline="0" fieldPosition="0">
        <references count="1">
          <reference field="1" count="1">
            <x v="833"/>
          </reference>
        </references>
      </pivotArea>
    </format>
    <format dxfId="183">
      <pivotArea dataOnly="0" labelOnly="1" outline="0" fieldPosition="0">
        <references count="1">
          <reference field="1" count="1">
            <x v="834"/>
          </reference>
        </references>
      </pivotArea>
    </format>
    <format dxfId="182">
      <pivotArea dataOnly="0" labelOnly="1" outline="0" fieldPosition="0">
        <references count="1">
          <reference field="1" count="1">
            <x v="835"/>
          </reference>
        </references>
      </pivotArea>
    </format>
    <format dxfId="181">
      <pivotArea dataOnly="0" labelOnly="1" outline="0" fieldPosition="0">
        <references count="1">
          <reference field="1" count="1">
            <x v="836"/>
          </reference>
        </references>
      </pivotArea>
    </format>
    <format dxfId="180">
      <pivotArea dataOnly="0" labelOnly="1" outline="0" fieldPosition="0">
        <references count="1">
          <reference field="1" count="1">
            <x v="837"/>
          </reference>
        </references>
      </pivotArea>
    </format>
    <format dxfId="179">
      <pivotArea dataOnly="0" labelOnly="1" outline="0" fieldPosition="0">
        <references count="1">
          <reference field="1" count="1">
            <x v="838"/>
          </reference>
        </references>
      </pivotArea>
    </format>
    <format dxfId="178">
      <pivotArea dataOnly="0" labelOnly="1" outline="0" fieldPosition="0">
        <references count="1">
          <reference field="1" count="1">
            <x v="839"/>
          </reference>
        </references>
      </pivotArea>
    </format>
    <format dxfId="177">
      <pivotArea dataOnly="0" labelOnly="1" outline="0" fieldPosition="0">
        <references count="1">
          <reference field="1" count="1">
            <x v="840"/>
          </reference>
        </references>
      </pivotArea>
    </format>
    <format dxfId="176">
      <pivotArea dataOnly="0" labelOnly="1" outline="0" fieldPosition="0">
        <references count="1">
          <reference field="1" count="1">
            <x v="841"/>
          </reference>
        </references>
      </pivotArea>
    </format>
    <format dxfId="175">
      <pivotArea dataOnly="0" labelOnly="1" outline="0" fieldPosition="0">
        <references count="1">
          <reference field="1" count="1">
            <x v="842"/>
          </reference>
        </references>
      </pivotArea>
    </format>
    <format dxfId="174">
      <pivotArea dataOnly="0" labelOnly="1" outline="0" fieldPosition="0">
        <references count="1">
          <reference field="1" count="1">
            <x v="843"/>
          </reference>
        </references>
      </pivotArea>
    </format>
    <format dxfId="173">
      <pivotArea dataOnly="0" labelOnly="1" outline="0" fieldPosition="0">
        <references count="1">
          <reference field="1" count="1">
            <x v="844"/>
          </reference>
        </references>
      </pivotArea>
    </format>
    <format dxfId="172">
      <pivotArea dataOnly="0" labelOnly="1" outline="0" fieldPosition="0">
        <references count="1">
          <reference field="1" count="1">
            <x v="845"/>
          </reference>
        </references>
      </pivotArea>
    </format>
    <format dxfId="171">
      <pivotArea dataOnly="0" labelOnly="1" outline="0" fieldPosition="0">
        <references count="1">
          <reference field="1" count="1">
            <x v="846"/>
          </reference>
        </references>
      </pivotArea>
    </format>
    <format dxfId="170">
      <pivotArea dataOnly="0" labelOnly="1" outline="0" fieldPosition="0">
        <references count="1">
          <reference field="1" count="1">
            <x v="847"/>
          </reference>
        </references>
      </pivotArea>
    </format>
    <format dxfId="169">
      <pivotArea dataOnly="0" labelOnly="1" outline="0" fieldPosition="0">
        <references count="1">
          <reference field="1" count="1">
            <x v="848"/>
          </reference>
        </references>
      </pivotArea>
    </format>
    <format dxfId="168">
      <pivotArea dataOnly="0" labelOnly="1" outline="0" fieldPosition="0">
        <references count="1">
          <reference field="1" count="1">
            <x v="849"/>
          </reference>
        </references>
      </pivotArea>
    </format>
    <format dxfId="167">
      <pivotArea dataOnly="0" labelOnly="1" outline="0" fieldPosition="0">
        <references count="1">
          <reference field="1" count="1">
            <x v="850"/>
          </reference>
        </references>
      </pivotArea>
    </format>
    <format dxfId="166">
      <pivotArea dataOnly="0" labelOnly="1" outline="0" fieldPosition="0">
        <references count="1">
          <reference field="1" count="1">
            <x v="851"/>
          </reference>
        </references>
      </pivotArea>
    </format>
    <format dxfId="165">
      <pivotArea dataOnly="0" labelOnly="1" outline="0" fieldPosition="0">
        <references count="1">
          <reference field="1" count="1">
            <x v="852"/>
          </reference>
        </references>
      </pivotArea>
    </format>
    <format dxfId="164">
      <pivotArea dataOnly="0" labelOnly="1" outline="0" fieldPosition="0">
        <references count="1">
          <reference field="1" count="1">
            <x v="853"/>
          </reference>
        </references>
      </pivotArea>
    </format>
    <format dxfId="163">
      <pivotArea dataOnly="0" labelOnly="1" outline="0" fieldPosition="0">
        <references count="1">
          <reference field="1" count="1">
            <x v="854"/>
          </reference>
        </references>
      </pivotArea>
    </format>
    <format dxfId="162">
      <pivotArea dataOnly="0" labelOnly="1" outline="0" fieldPosition="0">
        <references count="1">
          <reference field="1" count="1">
            <x v="855"/>
          </reference>
        </references>
      </pivotArea>
    </format>
    <format dxfId="161">
      <pivotArea dataOnly="0" labelOnly="1" outline="0" fieldPosition="0">
        <references count="1">
          <reference field="1" count="1">
            <x v="856"/>
          </reference>
        </references>
      </pivotArea>
    </format>
    <format dxfId="160">
      <pivotArea dataOnly="0" labelOnly="1" outline="0" fieldPosition="0">
        <references count="1">
          <reference field="1" count="1">
            <x v="857"/>
          </reference>
        </references>
      </pivotArea>
    </format>
    <format dxfId="159">
      <pivotArea dataOnly="0" labelOnly="1" outline="0" fieldPosition="0">
        <references count="1">
          <reference field="1" count="1">
            <x v="858"/>
          </reference>
        </references>
      </pivotArea>
    </format>
    <format dxfId="158">
      <pivotArea dataOnly="0" labelOnly="1" outline="0" fieldPosition="0">
        <references count="1">
          <reference field="1" count="1">
            <x v="859"/>
          </reference>
        </references>
      </pivotArea>
    </format>
    <format dxfId="157">
      <pivotArea dataOnly="0" labelOnly="1" outline="0" fieldPosition="0">
        <references count="1">
          <reference field="1" count="1">
            <x v="860"/>
          </reference>
        </references>
      </pivotArea>
    </format>
    <format dxfId="156">
      <pivotArea dataOnly="0" labelOnly="1" outline="0" fieldPosition="0">
        <references count="1">
          <reference field="1" count="1">
            <x v="861"/>
          </reference>
        </references>
      </pivotArea>
    </format>
    <format dxfId="155">
      <pivotArea dataOnly="0" labelOnly="1" outline="0" fieldPosition="0">
        <references count="1">
          <reference field="1" count="1">
            <x v="862"/>
          </reference>
        </references>
      </pivotArea>
    </format>
    <format dxfId="154">
      <pivotArea dataOnly="0" labelOnly="1" outline="0" fieldPosition="0">
        <references count="1">
          <reference field="1" count="1">
            <x v="863"/>
          </reference>
        </references>
      </pivotArea>
    </format>
    <format dxfId="153">
      <pivotArea dataOnly="0" labelOnly="1" outline="0" fieldPosition="0">
        <references count="1">
          <reference field="1" count="1">
            <x v="864"/>
          </reference>
        </references>
      </pivotArea>
    </format>
    <format dxfId="152">
      <pivotArea dataOnly="0" labelOnly="1" outline="0" fieldPosition="0">
        <references count="1">
          <reference field="1" count="1">
            <x v="865"/>
          </reference>
        </references>
      </pivotArea>
    </format>
    <format dxfId="151">
      <pivotArea dataOnly="0" labelOnly="1" outline="0" fieldPosition="0">
        <references count="1">
          <reference field="1" count="1">
            <x v="866"/>
          </reference>
        </references>
      </pivotArea>
    </format>
    <format dxfId="150">
      <pivotArea dataOnly="0" labelOnly="1" outline="0" fieldPosition="0">
        <references count="1">
          <reference field="1" count="1">
            <x v="867"/>
          </reference>
        </references>
      </pivotArea>
    </format>
    <format dxfId="149">
      <pivotArea dataOnly="0" labelOnly="1" outline="0" fieldPosition="0">
        <references count="1">
          <reference field="1" count="1">
            <x v="868"/>
          </reference>
        </references>
      </pivotArea>
    </format>
    <format dxfId="148">
      <pivotArea dataOnly="0" labelOnly="1" outline="0" fieldPosition="0">
        <references count="1">
          <reference field="1" count="1">
            <x v="869"/>
          </reference>
        </references>
      </pivotArea>
    </format>
    <format dxfId="147">
      <pivotArea dataOnly="0" labelOnly="1" outline="0" fieldPosition="0">
        <references count="1">
          <reference field="1" count="1">
            <x v="870"/>
          </reference>
        </references>
      </pivotArea>
    </format>
    <format dxfId="146">
      <pivotArea dataOnly="0" labelOnly="1" outline="0" fieldPosition="0">
        <references count="1">
          <reference field="1" count="1">
            <x v="871"/>
          </reference>
        </references>
      </pivotArea>
    </format>
    <format dxfId="145">
      <pivotArea dataOnly="0" labelOnly="1" outline="0" fieldPosition="0">
        <references count="1">
          <reference field="1" count="1">
            <x v="872"/>
          </reference>
        </references>
      </pivotArea>
    </format>
    <format dxfId="144">
      <pivotArea dataOnly="0" labelOnly="1" outline="0" fieldPosition="0">
        <references count="1">
          <reference field="1" count="1">
            <x v="873"/>
          </reference>
        </references>
      </pivotArea>
    </format>
    <format dxfId="143">
      <pivotArea dataOnly="0" labelOnly="1" outline="0" fieldPosition="0">
        <references count="1">
          <reference field="1" count="1">
            <x v="874"/>
          </reference>
        </references>
      </pivotArea>
    </format>
    <format dxfId="142">
      <pivotArea dataOnly="0" labelOnly="1" outline="0" fieldPosition="0">
        <references count="1">
          <reference field="1" count="1">
            <x v="875"/>
          </reference>
        </references>
      </pivotArea>
    </format>
    <format dxfId="141">
      <pivotArea dataOnly="0" labelOnly="1" outline="0" fieldPosition="0">
        <references count="1">
          <reference field="1" count="1">
            <x v="876"/>
          </reference>
        </references>
      </pivotArea>
    </format>
    <format dxfId="140">
      <pivotArea dataOnly="0" labelOnly="1" outline="0" fieldPosition="0">
        <references count="1">
          <reference field="1" count="1">
            <x v="877"/>
          </reference>
        </references>
      </pivotArea>
    </format>
    <format dxfId="139">
      <pivotArea dataOnly="0" labelOnly="1" outline="0" fieldPosition="0">
        <references count="1">
          <reference field="1" count="1">
            <x v="878"/>
          </reference>
        </references>
      </pivotArea>
    </format>
    <format dxfId="138">
      <pivotArea dataOnly="0" labelOnly="1" outline="0" fieldPosition="0">
        <references count="1">
          <reference field="1" count="1">
            <x v="879"/>
          </reference>
        </references>
      </pivotArea>
    </format>
    <format dxfId="137">
      <pivotArea dataOnly="0" labelOnly="1" outline="0" fieldPosition="0">
        <references count="1">
          <reference field="1" count="1">
            <x v="880"/>
          </reference>
        </references>
      </pivotArea>
    </format>
    <format dxfId="136">
      <pivotArea dataOnly="0" labelOnly="1" outline="0" fieldPosition="0">
        <references count="1">
          <reference field="1" count="1">
            <x v="881"/>
          </reference>
        </references>
      </pivotArea>
    </format>
    <format dxfId="135">
      <pivotArea dataOnly="0" labelOnly="1" outline="0" fieldPosition="0">
        <references count="1">
          <reference field="1" count="1">
            <x v="882"/>
          </reference>
        </references>
      </pivotArea>
    </format>
    <format dxfId="134">
      <pivotArea dataOnly="0" labelOnly="1" outline="0" fieldPosition="0">
        <references count="1">
          <reference field="1" count="1">
            <x v="883"/>
          </reference>
        </references>
      </pivotArea>
    </format>
    <format dxfId="133">
      <pivotArea dataOnly="0" labelOnly="1" outline="0" fieldPosition="0">
        <references count="1">
          <reference field="1" count="1">
            <x v="884"/>
          </reference>
        </references>
      </pivotArea>
    </format>
    <format dxfId="132">
      <pivotArea dataOnly="0" labelOnly="1" outline="0" fieldPosition="0">
        <references count="1">
          <reference field="1" count="1">
            <x v="885"/>
          </reference>
        </references>
      </pivotArea>
    </format>
    <format dxfId="131">
      <pivotArea dataOnly="0" labelOnly="1" outline="0" fieldPosition="0">
        <references count="1">
          <reference field="1" count="1">
            <x v="886"/>
          </reference>
        </references>
      </pivotArea>
    </format>
    <format dxfId="130">
      <pivotArea dataOnly="0" labelOnly="1" outline="0" fieldPosition="0">
        <references count="1">
          <reference field="1" count="1">
            <x v="887"/>
          </reference>
        </references>
      </pivotArea>
    </format>
    <format dxfId="129">
      <pivotArea dataOnly="0" labelOnly="1" outline="0" fieldPosition="0">
        <references count="1">
          <reference field="1" count="1">
            <x v="888"/>
          </reference>
        </references>
      </pivotArea>
    </format>
    <format dxfId="128">
      <pivotArea dataOnly="0" labelOnly="1" outline="0" fieldPosition="0">
        <references count="1">
          <reference field="1" count="1">
            <x v="889"/>
          </reference>
        </references>
      </pivotArea>
    </format>
    <format dxfId="127">
      <pivotArea dataOnly="0" labelOnly="1" outline="0" fieldPosition="0">
        <references count="1">
          <reference field="1" count="1">
            <x v="890"/>
          </reference>
        </references>
      </pivotArea>
    </format>
    <format dxfId="126">
      <pivotArea dataOnly="0" labelOnly="1" outline="0" fieldPosition="0">
        <references count="1">
          <reference field="1" count="1">
            <x v="891"/>
          </reference>
        </references>
      </pivotArea>
    </format>
    <format dxfId="125">
      <pivotArea dataOnly="0" labelOnly="1" outline="0" fieldPosition="0">
        <references count="1">
          <reference field="1" count="1">
            <x v="892"/>
          </reference>
        </references>
      </pivotArea>
    </format>
    <format dxfId="124">
      <pivotArea dataOnly="0" labelOnly="1" outline="0" fieldPosition="0">
        <references count="1">
          <reference field="1" count="1">
            <x v="893"/>
          </reference>
        </references>
      </pivotArea>
    </format>
    <format dxfId="123">
      <pivotArea dataOnly="0" labelOnly="1" outline="0" fieldPosition="0">
        <references count="1">
          <reference field="1" count="1">
            <x v="894"/>
          </reference>
        </references>
      </pivotArea>
    </format>
    <format dxfId="122">
      <pivotArea dataOnly="0" labelOnly="1" outline="0" fieldPosition="0">
        <references count="1">
          <reference field="1" count="1">
            <x v="895"/>
          </reference>
        </references>
      </pivotArea>
    </format>
    <format dxfId="121">
      <pivotArea dataOnly="0" labelOnly="1" outline="0" fieldPosition="0">
        <references count="1">
          <reference field="1" count="1">
            <x v="896"/>
          </reference>
        </references>
      </pivotArea>
    </format>
    <format dxfId="120">
      <pivotArea dataOnly="0" labelOnly="1" outline="0" fieldPosition="0">
        <references count="1">
          <reference field="1" count="1">
            <x v="897"/>
          </reference>
        </references>
      </pivotArea>
    </format>
    <format dxfId="119">
      <pivotArea dataOnly="0" labelOnly="1" outline="0" fieldPosition="0">
        <references count="1">
          <reference field="1" count="1">
            <x v="898"/>
          </reference>
        </references>
      </pivotArea>
    </format>
    <format dxfId="118">
      <pivotArea dataOnly="0" labelOnly="1" outline="0" fieldPosition="0">
        <references count="1">
          <reference field="1" count="1">
            <x v="899"/>
          </reference>
        </references>
      </pivotArea>
    </format>
    <format dxfId="117">
      <pivotArea dataOnly="0" labelOnly="1" outline="0" fieldPosition="0">
        <references count="1">
          <reference field="1" count="1">
            <x v="900"/>
          </reference>
        </references>
      </pivotArea>
    </format>
    <format dxfId="116">
      <pivotArea dataOnly="0" labelOnly="1" outline="0" fieldPosition="0">
        <references count="1">
          <reference field="1" count="1">
            <x v="901"/>
          </reference>
        </references>
      </pivotArea>
    </format>
    <format dxfId="115">
      <pivotArea dataOnly="0" labelOnly="1" outline="0" fieldPosition="0">
        <references count="1">
          <reference field="1" count="1">
            <x v="902"/>
          </reference>
        </references>
      </pivotArea>
    </format>
    <format dxfId="114">
      <pivotArea dataOnly="0" labelOnly="1" outline="0" fieldPosition="0">
        <references count="1">
          <reference field="1" count="1">
            <x v="903"/>
          </reference>
        </references>
      </pivotArea>
    </format>
    <format dxfId="113">
      <pivotArea dataOnly="0" labelOnly="1" outline="0" fieldPosition="0">
        <references count="1">
          <reference field="1" count="1">
            <x v="904"/>
          </reference>
        </references>
      </pivotArea>
    </format>
    <format dxfId="112">
      <pivotArea dataOnly="0" labelOnly="1" outline="0" fieldPosition="0">
        <references count="1">
          <reference field="1" count="1">
            <x v="905"/>
          </reference>
        </references>
      </pivotArea>
    </format>
    <format dxfId="111">
      <pivotArea dataOnly="0" labelOnly="1" outline="0" fieldPosition="0">
        <references count="1">
          <reference field="1" count="1">
            <x v="906"/>
          </reference>
        </references>
      </pivotArea>
    </format>
    <format dxfId="110">
      <pivotArea dataOnly="0" labelOnly="1" outline="0" fieldPosition="0">
        <references count="1">
          <reference field="1" count="1">
            <x v="907"/>
          </reference>
        </references>
      </pivotArea>
    </format>
    <format dxfId="109">
      <pivotArea dataOnly="0" labelOnly="1" outline="0" fieldPosition="0">
        <references count="1">
          <reference field="1" count="1">
            <x v="908"/>
          </reference>
        </references>
      </pivotArea>
    </format>
    <format dxfId="108">
      <pivotArea dataOnly="0" labelOnly="1" outline="0" fieldPosition="0">
        <references count="1">
          <reference field="1" count="1">
            <x v="909"/>
          </reference>
        </references>
      </pivotArea>
    </format>
    <format dxfId="107">
      <pivotArea dataOnly="0" labelOnly="1" outline="0" fieldPosition="0">
        <references count="1">
          <reference field="1" count="1">
            <x v="910"/>
          </reference>
        </references>
      </pivotArea>
    </format>
    <format dxfId="106">
      <pivotArea dataOnly="0" labelOnly="1" outline="0" fieldPosition="0">
        <references count="1">
          <reference field="1" count="1">
            <x v="911"/>
          </reference>
        </references>
      </pivotArea>
    </format>
    <format dxfId="105">
      <pivotArea dataOnly="0" labelOnly="1" outline="0" fieldPosition="0">
        <references count="1">
          <reference field="1" count="1">
            <x v="912"/>
          </reference>
        </references>
      </pivotArea>
    </format>
    <format dxfId="104">
      <pivotArea dataOnly="0" labelOnly="1" outline="0" fieldPosition="0">
        <references count="1">
          <reference field="1" count="1">
            <x v="913"/>
          </reference>
        </references>
      </pivotArea>
    </format>
    <format dxfId="103">
      <pivotArea dataOnly="0" labelOnly="1" outline="0" fieldPosition="0">
        <references count="1">
          <reference field="1" count="1">
            <x v="914"/>
          </reference>
        </references>
      </pivotArea>
    </format>
    <format dxfId="102">
      <pivotArea dataOnly="0" labelOnly="1" outline="0" fieldPosition="0">
        <references count="1">
          <reference field="1" count="1">
            <x v="915"/>
          </reference>
        </references>
      </pivotArea>
    </format>
    <format dxfId="101">
      <pivotArea dataOnly="0" labelOnly="1" outline="0" fieldPosition="0">
        <references count="1">
          <reference field="1" count="1">
            <x v="916"/>
          </reference>
        </references>
      </pivotArea>
    </format>
    <format dxfId="100">
      <pivotArea dataOnly="0" labelOnly="1" outline="0" fieldPosition="0">
        <references count="1">
          <reference field="1" count="1">
            <x v="917"/>
          </reference>
        </references>
      </pivotArea>
    </format>
    <format dxfId="99">
      <pivotArea dataOnly="0" labelOnly="1" outline="0" fieldPosition="0">
        <references count="1">
          <reference field="1" count="1">
            <x v="918"/>
          </reference>
        </references>
      </pivotArea>
    </format>
    <format dxfId="98">
      <pivotArea dataOnly="0" labelOnly="1" outline="0" fieldPosition="0">
        <references count="1">
          <reference field="1" count="1">
            <x v="919"/>
          </reference>
        </references>
      </pivotArea>
    </format>
    <format dxfId="97">
      <pivotArea dataOnly="0" labelOnly="1" outline="0" fieldPosition="0">
        <references count="1">
          <reference field="1" count="1">
            <x v="920"/>
          </reference>
        </references>
      </pivotArea>
    </format>
    <format dxfId="96">
      <pivotArea dataOnly="0" labelOnly="1" outline="0" fieldPosition="0">
        <references count="1">
          <reference field="1" count="1">
            <x v="921"/>
          </reference>
        </references>
      </pivotArea>
    </format>
    <format dxfId="95">
      <pivotArea dataOnly="0" labelOnly="1" outline="0" fieldPosition="0">
        <references count="1">
          <reference field="1" count="1">
            <x v="922"/>
          </reference>
        </references>
      </pivotArea>
    </format>
    <format dxfId="94">
      <pivotArea dataOnly="0" labelOnly="1" outline="0" fieldPosition="0">
        <references count="1">
          <reference field="1" count="1">
            <x v="923"/>
          </reference>
        </references>
      </pivotArea>
    </format>
    <format dxfId="93">
      <pivotArea dataOnly="0" labelOnly="1" outline="0" fieldPosition="0">
        <references count="1">
          <reference field="1" count="1">
            <x v="924"/>
          </reference>
        </references>
      </pivotArea>
    </format>
    <format dxfId="92">
      <pivotArea dataOnly="0" labelOnly="1" outline="0" fieldPosition="0">
        <references count="1">
          <reference field="1" count="1">
            <x v="925"/>
          </reference>
        </references>
      </pivotArea>
    </format>
    <format dxfId="91">
      <pivotArea dataOnly="0" labelOnly="1" outline="0" fieldPosition="0">
        <references count="1">
          <reference field="1" count="1">
            <x v="926"/>
          </reference>
        </references>
      </pivotArea>
    </format>
    <format dxfId="90">
      <pivotArea dataOnly="0" labelOnly="1" outline="0" fieldPosition="0">
        <references count="1">
          <reference field="1" count="1">
            <x v="927"/>
          </reference>
        </references>
      </pivotArea>
    </format>
    <format dxfId="89">
      <pivotArea dataOnly="0" labelOnly="1" outline="0" fieldPosition="0">
        <references count="1">
          <reference field="1" count="1">
            <x v="928"/>
          </reference>
        </references>
      </pivotArea>
    </format>
    <format dxfId="88">
      <pivotArea dataOnly="0" labelOnly="1" outline="0" fieldPosition="0">
        <references count="1">
          <reference field="1" count="1">
            <x v="929"/>
          </reference>
        </references>
      </pivotArea>
    </format>
    <format dxfId="87">
      <pivotArea dataOnly="0" labelOnly="1" outline="0" fieldPosition="0">
        <references count="1">
          <reference field="1" count="1">
            <x v="930"/>
          </reference>
        </references>
      </pivotArea>
    </format>
    <format dxfId="86">
      <pivotArea dataOnly="0" labelOnly="1" outline="0" fieldPosition="0">
        <references count="1">
          <reference field="1" count="1">
            <x v="931"/>
          </reference>
        </references>
      </pivotArea>
    </format>
    <format dxfId="85">
      <pivotArea dataOnly="0" labelOnly="1" outline="0" fieldPosition="0">
        <references count="1">
          <reference field="1" count="1">
            <x v="932"/>
          </reference>
        </references>
      </pivotArea>
    </format>
    <format dxfId="84">
      <pivotArea dataOnly="0" labelOnly="1" outline="0" fieldPosition="0">
        <references count="1">
          <reference field="1" count="1">
            <x v="933"/>
          </reference>
        </references>
      </pivotArea>
    </format>
    <format dxfId="83">
      <pivotArea dataOnly="0" labelOnly="1" outline="0" fieldPosition="0">
        <references count="1">
          <reference field="1" count="1">
            <x v="934"/>
          </reference>
        </references>
      </pivotArea>
    </format>
    <format dxfId="82">
      <pivotArea dataOnly="0" labelOnly="1" outline="0" fieldPosition="0">
        <references count="1">
          <reference field="1" count="1">
            <x v="935"/>
          </reference>
        </references>
      </pivotArea>
    </format>
    <format dxfId="81">
      <pivotArea dataOnly="0" labelOnly="1" outline="0" fieldPosition="0">
        <references count="1">
          <reference field="1" count="1">
            <x v="936"/>
          </reference>
        </references>
      </pivotArea>
    </format>
    <format dxfId="80">
      <pivotArea dataOnly="0" labelOnly="1" outline="0" fieldPosition="0">
        <references count="1">
          <reference field="1" count="1">
            <x v="937"/>
          </reference>
        </references>
      </pivotArea>
    </format>
    <format dxfId="79">
      <pivotArea dataOnly="0" labelOnly="1" outline="0" fieldPosition="0">
        <references count="1">
          <reference field="1" count="1">
            <x v="938"/>
          </reference>
        </references>
      </pivotArea>
    </format>
    <format dxfId="78">
      <pivotArea dataOnly="0" labelOnly="1" outline="0" fieldPosition="0">
        <references count="1">
          <reference field="1" count="1">
            <x v="939"/>
          </reference>
        </references>
      </pivotArea>
    </format>
    <format dxfId="77">
      <pivotArea dataOnly="0" labelOnly="1" outline="0" fieldPosition="0">
        <references count="1">
          <reference field="1" count="1">
            <x v="940"/>
          </reference>
        </references>
      </pivotArea>
    </format>
    <format dxfId="76">
      <pivotArea dataOnly="0" labelOnly="1" outline="0" fieldPosition="0">
        <references count="1">
          <reference field="1" count="1">
            <x v="941"/>
          </reference>
        </references>
      </pivotArea>
    </format>
    <format dxfId="75">
      <pivotArea dataOnly="0" labelOnly="1" outline="0" fieldPosition="0">
        <references count="1">
          <reference field="1" count="1">
            <x v="942"/>
          </reference>
        </references>
      </pivotArea>
    </format>
    <format dxfId="74">
      <pivotArea dataOnly="0" labelOnly="1" outline="0" fieldPosition="0">
        <references count="1">
          <reference field="1" count="1">
            <x v="943"/>
          </reference>
        </references>
      </pivotArea>
    </format>
    <format dxfId="73">
      <pivotArea dataOnly="0" labelOnly="1" outline="0" fieldPosition="0">
        <references count="1">
          <reference field="1" count="1">
            <x v="944"/>
          </reference>
        </references>
      </pivotArea>
    </format>
    <format dxfId="72">
      <pivotArea dataOnly="0" labelOnly="1" outline="0" fieldPosition="0">
        <references count="1">
          <reference field="1" count="1">
            <x v="945"/>
          </reference>
        </references>
      </pivotArea>
    </format>
    <format dxfId="71">
      <pivotArea dataOnly="0" labelOnly="1" outline="0" fieldPosition="0">
        <references count="1">
          <reference field="1" count="1">
            <x v="946"/>
          </reference>
        </references>
      </pivotArea>
    </format>
    <format dxfId="70">
      <pivotArea dataOnly="0" labelOnly="1" outline="0" fieldPosition="0">
        <references count="1">
          <reference field="1" count="1">
            <x v="947"/>
          </reference>
        </references>
      </pivotArea>
    </format>
    <format dxfId="69">
      <pivotArea dataOnly="0" labelOnly="1" outline="0" fieldPosition="0">
        <references count="1">
          <reference field="1" count="1">
            <x v="948"/>
          </reference>
        </references>
      </pivotArea>
    </format>
    <format dxfId="68">
      <pivotArea dataOnly="0" labelOnly="1" outline="0" fieldPosition="0">
        <references count="1">
          <reference field="1" count="1">
            <x v="949"/>
          </reference>
        </references>
      </pivotArea>
    </format>
    <format dxfId="67">
      <pivotArea dataOnly="0" labelOnly="1" outline="0" fieldPosition="0">
        <references count="1">
          <reference field="1" count="1">
            <x v="950"/>
          </reference>
        </references>
      </pivotArea>
    </format>
    <format dxfId="66">
      <pivotArea dataOnly="0" labelOnly="1" outline="0" fieldPosition="0">
        <references count="1">
          <reference field="1" count="1">
            <x v="951"/>
          </reference>
        </references>
      </pivotArea>
    </format>
    <format dxfId="65">
      <pivotArea dataOnly="0" labelOnly="1" outline="0" fieldPosition="0">
        <references count="1">
          <reference field="1" count="1">
            <x v="952"/>
          </reference>
        </references>
      </pivotArea>
    </format>
    <format dxfId="64">
      <pivotArea dataOnly="0" labelOnly="1" outline="0" fieldPosition="0">
        <references count="1">
          <reference field="1" count="1">
            <x v="953"/>
          </reference>
        </references>
      </pivotArea>
    </format>
    <format dxfId="63">
      <pivotArea dataOnly="0" labelOnly="1" outline="0" fieldPosition="0">
        <references count="1">
          <reference field="1" count="1">
            <x v="954"/>
          </reference>
        </references>
      </pivotArea>
    </format>
    <format dxfId="62">
      <pivotArea dataOnly="0" labelOnly="1" outline="0" fieldPosition="0">
        <references count="1">
          <reference field="1" count="1">
            <x v="955"/>
          </reference>
        </references>
      </pivotArea>
    </format>
    <format dxfId="61">
      <pivotArea dataOnly="0" labelOnly="1" outline="0" fieldPosition="0">
        <references count="1">
          <reference field="1" count="1">
            <x v="956"/>
          </reference>
        </references>
      </pivotArea>
    </format>
    <format dxfId="60">
      <pivotArea dataOnly="0" labelOnly="1" outline="0" fieldPosition="0">
        <references count="1">
          <reference field="1" count="1">
            <x v="957"/>
          </reference>
        </references>
      </pivotArea>
    </format>
    <format dxfId="59">
      <pivotArea dataOnly="0" labelOnly="1" outline="0" fieldPosition="0">
        <references count="1">
          <reference field="1" count="1">
            <x v="958"/>
          </reference>
        </references>
      </pivotArea>
    </format>
    <format dxfId="58">
      <pivotArea dataOnly="0" labelOnly="1" outline="0" fieldPosition="0">
        <references count="1">
          <reference field="1" count="1">
            <x v="959"/>
          </reference>
        </references>
      </pivotArea>
    </format>
    <format dxfId="57">
      <pivotArea dataOnly="0" labelOnly="1" outline="0" fieldPosition="0">
        <references count="1">
          <reference field="1" count="1">
            <x v="960"/>
          </reference>
        </references>
      </pivotArea>
    </format>
    <format dxfId="56">
      <pivotArea dataOnly="0" labelOnly="1" outline="0" fieldPosition="0">
        <references count="1">
          <reference field="1" count="1">
            <x v="961"/>
          </reference>
        </references>
      </pivotArea>
    </format>
    <format dxfId="55">
      <pivotArea dataOnly="0" labelOnly="1" outline="0" fieldPosition="0">
        <references count="1">
          <reference field="1" count="1">
            <x v="962"/>
          </reference>
        </references>
      </pivotArea>
    </format>
    <format dxfId="54">
      <pivotArea dataOnly="0" labelOnly="1" outline="0" fieldPosition="0">
        <references count="1">
          <reference field="1" count="1">
            <x v="963"/>
          </reference>
        </references>
      </pivotArea>
    </format>
    <format dxfId="53">
      <pivotArea dataOnly="0" labelOnly="1" outline="0" fieldPosition="0">
        <references count="1">
          <reference field="1" count="1">
            <x v="964"/>
          </reference>
        </references>
      </pivotArea>
    </format>
    <format dxfId="52">
      <pivotArea dataOnly="0" labelOnly="1" outline="0" fieldPosition="0">
        <references count="1">
          <reference field="1" count="1">
            <x v="965"/>
          </reference>
        </references>
      </pivotArea>
    </format>
    <format dxfId="51">
      <pivotArea dataOnly="0" labelOnly="1" outline="0" fieldPosition="0">
        <references count="1">
          <reference field="1" count="1">
            <x v="966"/>
          </reference>
        </references>
      </pivotArea>
    </format>
    <format dxfId="50">
      <pivotArea dataOnly="0" labelOnly="1" outline="0" fieldPosition="0">
        <references count="1">
          <reference field="1" count="1">
            <x v="967"/>
          </reference>
        </references>
      </pivotArea>
    </format>
    <format dxfId="49">
      <pivotArea dataOnly="0" labelOnly="1" outline="0" fieldPosition="0">
        <references count="1">
          <reference field="1" count="1">
            <x v="968"/>
          </reference>
        </references>
      </pivotArea>
    </format>
    <format dxfId="48">
      <pivotArea dataOnly="0" labelOnly="1" outline="0" fieldPosition="0">
        <references count="1">
          <reference field="1" count="1">
            <x v="969"/>
          </reference>
        </references>
      </pivotArea>
    </format>
    <format dxfId="47">
      <pivotArea dataOnly="0" labelOnly="1" outline="0" fieldPosition="0">
        <references count="1">
          <reference field="1" count="1">
            <x v="970"/>
          </reference>
        </references>
      </pivotArea>
    </format>
    <format dxfId="46">
      <pivotArea dataOnly="0" labelOnly="1" outline="0" fieldPosition="0">
        <references count="1">
          <reference field="1" count="1">
            <x v="971"/>
          </reference>
        </references>
      </pivotArea>
    </format>
    <format dxfId="45">
      <pivotArea dataOnly="0" labelOnly="1" outline="0" fieldPosition="0">
        <references count="1">
          <reference field="1" count="1">
            <x v="972"/>
          </reference>
        </references>
      </pivotArea>
    </format>
    <format dxfId="44">
      <pivotArea dataOnly="0" labelOnly="1" outline="0" fieldPosition="0">
        <references count="1">
          <reference field="1" count="1">
            <x v="973"/>
          </reference>
        </references>
      </pivotArea>
    </format>
    <format dxfId="43">
      <pivotArea dataOnly="0" labelOnly="1" outline="0" fieldPosition="0">
        <references count="1">
          <reference field="1" count="1">
            <x v="974"/>
          </reference>
        </references>
      </pivotArea>
    </format>
    <format dxfId="42">
      <pivotArea dataOnly="0" labelOnly="1" outline="0" fieldPosition="0">
        <references count="1">
          <reference field="1" count="1">
            <x v="975"/>
          </reference>
        </references>
      </pivotArea>
    </format>
    <format dxfId="41">
      <pivotArea dataOnly="0" labelOnly="1" outline="0" fieldPosition="0">
        <references count="1">
          <reference field="1" count="1">
            <x v="976"/>
          </reference>
        </references>
      </pivotArea>
    </format>
    <format dxfId="40">
      <pivotArea dataOnly="0" labelOnly="1" outline="0" fieldPosition="0">
        <references count="1">
          <reference field="1" count="1">
            <x v="977"/>
          </reference>
        </references>
      </pivotArea>
    </format>
    <format dxfId="39">
      <pivotArea dataOnly="0" labelOnly="1" outline="0" fieldPosition="0">
        <references count="1">
          <reference field="1" count="1">
            <x v="978"/>
          </reference>
        </references>
      </pivotArea>
    </format>
    <format dxfId="38">
      <pivotArea dataOnly="0" labelOnly="1" outline="0" fieldPosition="0">
        <references count="1">
          <reference field="1" count="1">
            <x v="979"/>
          </reference>
        </references>
      </pivotArea>
    </format>
    <format dxfId="37">
      <pivotArea dataOnly="0" labelOnly="1" outline="0" fieldPosition="0">
        <references count="1">
          <reference field="1" count="1">
            <x v="980"/>
          </reference>
        </references>
      </pivotArea>
    </format>
    <format dxfId="36">
      <pivotArea dataOnly="0" labelOnly="1" outline="0" fieldPosition="0">
        <references count="1">
          <reference field="1" count="1">
            <x v="981"/>
          </reference>
        </references>
      </pivotArea>
    </format>
    <format dxfId="35">
      <pivotArea dataOnly="0" labelOnly="1" outline="0" fieldPosition="0">
        <references count="1">
          <reference field="1" count="1">
            <x v="982"/>
          </reference>
        </references>
      </pivotArea>
    </format>
    <format dxfId="34">
      <pivotArea dataOnly="0" labelOnly="1" outline="0" fieldPosition="0">
        <references count="1">
          <reference field="1" count="1">
            <x v="983"/>
          </reference>
        </references>
      </pivotArea>
    </format>
    <format dxfId="33">
      <pivotArea dataOnly="0" labelOnly="1" outline="0" fieldPosition="0">
        <references count="1">
          <reference field="1" count="1">
            <x v="984"/>
          </reference>
        </references>
      </pivotArea>
    </format>
    <format dxfId="32">
      <pivotArea dataOnly="0" labelOnly="1" outline="0" fieldPosition="0">
        <references count="1">
          <reference field="1" count="1">
            <x v="985"/>
          </reference>
        </references>
      </pivotArea>
    </format>
    <format dxfId="31">
      <pivotArea dataOnly="0" labelOnly="1" outline="0" fieldPosition="0">
        <references count="1">
          <reference field="1" count="1">
            <x v="986"/>
          </reference>
        </references>
      </pivotArea>
    </format>
    <format dxfId="30">
      <pivotArea dataOnly="0" labelOnly="1" outline="0" fieldPosition="0">
        <references count="1">
          <reference field="1" count="1">
            <x v="987"/>
          </reference>
        </references>
      </pivotArea>
    </format>
    <format dxfId="29">
      <pivotArea dataOnly="0" labelOnly="1" outline="0" fieldPosition="0">
        <references count="1">
          <reference field="1" count="1">
            <x v="988"/>
          </reference>
        </references>
      </pivotArea>
    </format>
    <format dxfId="28">
      <pivotArea dataOnly="0" labelOnly="1" outline="0" fieldPosition="0">
        <references count="1">
          <reference field="1" count="1">
            <x v="989"/>
          </reference>
        </references>
      </pivotArea>
    </format>
    <format dxfId="27">
      <pivotArea dataOnly="0" labelOnly="1" outline="0" fieldPosition="0">
        <references count="1">
          <reference field="1" count="1">
            <x v="990"/>
          </reference>
        </references>
      </pivotArea>
    </format>
    <format dxfId="26">
      <pivotArea dataOnly="0" labelOnly="1" outline="0" fieldPosition="0">
        <references count="1">
          <reference field="1" count="1">
            <x v="991"/>
          </reference>
        </references>
      </pivotArea>
    </format>
    <format dxfId="25">
      <pivotArea dataOnly="0" labelOnly="1" outline="0" fieldPosition="0">
        <references count="1">
          <reference field="1" count="1">
            <x v="992"/>
          </reference>
        </references>
      </pivotArea>
    </format>
    <format dxfId="24">
      <pivotArea dataOnly="0" labelOnly="1" outline="0" fieldPosition="0">
        <references count="1">
          <reference field="1" count="1">
            <x v="993"/>
          </reference>
        </references>
      </pivotArea>
    </format>
    <format dxfId="23">
      <pivotArea dataOnly="0" labelOnly="1" outline="0" fieldPosition="0">
        <references count="1">
          <reference field="1" count="1">
            <x v="994"/>
          </reference>
        </references>
      </pivotArea>
    </format>
    <format dxfId="22">
      <pivotArea dataOnly="0" labelOnly="1" outline="0" fieldPosition="0">
        <references count="1">
          <reference field="1" count="1">
            <x v="995"/>
          </reference>
        </references>
      </pivotArea>
    </format>
    <format dxfId="21">
      <pivotArea dataOnly="0" labelOnly="1" outline="0" fieldPosition="0">
        <references count="1">
          <reference field="1" count="1">
            <x v="996"/>
          </reference>
        </references>
      </pivotArea>
    </format>
    <format dxfId="20">
      <pivotArea dataOnly="0" labelOnly="1" outline="0" fieldPosition="0">
        <references count="1">
          <reference field="1" count="1">
            <x v="997"/>
          </reference>
        </references>
      </pivotArea>
    </format>
    <format dxfId="19">
      <pivotArea dataOnly="0" labelOnly="1" outline="0" fieldPosition="0">
        <references count="1">
          <reference field="1" count="1">
            <x v="998"/>
          </reference>
        </references>
      </pivotArea>
    </format>
    <format dxfId="18">
      <pivotArea dataOnly="0" labelOnly="1" outline="0" fieldPosition="0">
        <references count="1">
          <reference field="1" count="1">
            <x v="999"/>
          </reference>
        </references>
      </pivotArea>
    </format>
    <format dxfId="17">
      <pivotArea dataOnly="0" labelOnly="1" outline="0" fieldPosition="0">
        <references count="1">
          <reference field="1" count="1">
            <x v="1000"/>
          </reference>
        </references>
      </pivotArea>
    </format>
    <format dxfId="16">
      <pivotArea dataOnly="0" labelOnly="1" outline="0" fieldPosition="0">
        <references count="1">
          <reference field="1" count="1">
            <x v="1001"/>
          </reference>
        </references>
      </pivotArea>
    </format>
    <format dxfId="15">
      <pivotArea dataOnly="0" labelOnly="1" outline="0" fieldPosition="0">
        <references count="1">
          <reference field="1" count="1">
            <x v="1002"/>
          </reference>
        </references>
      </pivotArea>
    </format>
    <format dxfId="14">
      <pivotArea dataOnly="0" labelOnly="1" outline="0" fieldPosition="0">
        <references count="1">
          <reference field="1" count="1">
            <x v="1003"/>
          </reference>
        </references>
      </pivotArea>
    </format>
    <format dxfId="13">
      <pivotArea dataOnly="0" labelOnly="1" outline="0" fieldPosition="0">
        <references count="1">
          <reference field="1" count="1">
            <x v="1004"/>
          </reference>
        </references>
      </pivotArea>
    </format>
    <format dxfId="12">
      <pivotArea dataOnly="0" labelOnly="1" outline="0" fieldPosition="0">
        <references count="1">
          <reference field="1" count="1">
            <x v="1005"/>
          </reference>
        </references>
      </pivotArea>
    </format>
    <format dxfId="11">
      <pivotArea dataOnly="0" labelOnly="1" outline="0" fieldPosition="0">
        <references count="1">
          <reference field="1" count="1">
            <x v="1006"/>
          </reference>
        </references>
      </pivotArea>
    </format>
    <format dxfId="10">
      <pivotArea dataOnly="0" labelOnly="1" outline="0" fieldPosition="0">
        <references count="1">
          <reference field="1" count="1">
            <x v="1007"/>
          </reference>
        </references>
      </pivotArea>
    </format>
    <format dxfId="9">
      <pivotArea dataOnly="0" labelOnly="1" outline="0" fieldPosition="0">
        <references count="1">
          <reference field="1" count="1">
            <x v="1008"/>
          </reference>
        </references>
      </pivotArea>
    </format>
    <format dxfId="8">
      <pivotArea dataOnly="0" labelOnly="1" outline="0" fieldPosition="0">
        <references count="1">
          <reference field="1" count="1">
            <x v="1009"/>
          </reference>
        </references>
      </pivotArea>
    </format>
    <format dxfId="7">
      <pivotArea dataOnly="0" labelOnly="1" outline="0" fieldPosition="0">
        <references count="1">
          <reference field="1" count="1">
            <x v="1010"/>
          </reference>
        </references>
      </pivotArea>
    </format>
    <format dxfId="6">
      <pivotArea dataOnly="0" labelOnly="1" outline="0" fieldPosition="0">
        <references count="1">
          <reference field="1" count="1">
            <x v="1011"/>
          </reference>
        </references>
      </pivotArea>
    </format>
    <format dxfId="5">
      <pivotArea dataOnly="0" labelOnly="1" outline="0" fieldPosition="0">
        <references count="1">
          <reference field="1" count="1">
            <x v="101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7" totalsRowShown="0" headerRowDxfId="1042" dataDxfId="1093" headerRowBorderDxfId="1094">
  <autoFilter ref="B10:AA17" xr:uid="{034D1C74-BE18-490E-B396-097D407DA97D}"/>
  <tableColumns count="26">
    <tableColumn id="1" xr3:uid="{010A8E62-502A-4B19-B37A-BF59E03A068A}" name="Field" dataDxfId="1092"/>
    <tableColumn id="2" xr3:uid="{AD236665-EC7C-404F-8915-AD7CD5510D0F}" name="Definition" dataDxfId="1041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1040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091"/>
    <tableColumn id="5" xr3:uid="{5006D683-9D12-4B97-9EF2-6D41AF6E0B35}" name="Distinct %" dataDxfId="1090"/>
    <tableColumn id="6" xr3:uid="{3AFB42F8-9976-44FF-9239-74914D5BE035}" name="Missing %" dataDxfId="1089"/>
    <tableColumn id="7" xr3:uid="{4BA41102-DB06-4180-9754-C88722FE82BD}" name="Memory Usage %" dataDxfId="1088"/>
    <tableColumn id="8" xr3:uid="{D22319BD-3A80-40F3-84FC-A6D1627B2F29}" name="Memory Usage" dataDxfId="1087"/>
    <tableColumn id="9" xr3:uid="{77FAEE19-B6C7-4056-8EF3-5EB877C820C4}" name="Distinct" dataDxfId="1086"/>
    <tableColumn id="10" xr3:uid="{54FF47BF-594E-417B-9028-64A4DFE4D389}" name="Count" dataDxfId="1085"/>
    <tableColumn id="11" xr3:uid="{54E587FE-36DC-4522-91DC-8B81B386217B}" name="Count %" dataDxfId="1084"/>
    <tableColumn id="12" xr3:uid="{0DE21D83-93B1-480C-BE9C-379DA0E532C7}" name="Missing" dataDxfId="1083"/>
    <tableColumn id="13" xr3:uid="{C4B407B9-B7FB-4DFC-A6B3-885C816BAF99}" name="Mean" dataDxfId="1082"/>
    <tableColumn id="14" xr3:uid="{9796FD8E-D568-43E1-AC6E-BFAE7C7B7017}" name="Median" dataDxfId="1081"/>
    <tableColumn id="15" xr3:uid="{A6A7BCED-DD2F-4B41-A84C-2F2674A38A53}" name="Mode" dataDxfId="1080"/>
    <tableColumn id="16" xr3:uid="{46607FA5-244C-49C2-997C-B64EB2E94FDE}" name="Standard Deviation" dataDxfId="1079"/>
    <tableColumn id="17" xr3:uid="{80BA1782-4C46-45CE-B3FB-40B70BA09AF9}" name="Variance" dataDxfId="1078"/>
    <tableColumn id="18" xr3:uid="{EC3C5A76-EF95-419C-87A8-D8885B542521}" name="Min" dataDxfId="1077"/>
    <tableColumn id="19" xr3:uid="{BFE545F8-810C-4F0A-A0B2-FF0AB9764A07}" name="5%" dataDxfId="1076"/>
    <tableColumn id="20" xr3:uid="{77D31A9B-57B1-4422-8EF9-6320F00E0DB9}" name="25%" dataDxfId="1075"/>
    <tableColumn id="21" xr3:uid="{7A350787-F0EA-4E65-B596-5D7253E75CD6}" name="50%" dataDxfId="1074"/>
    <tableColumn id="22" xr3:uid="{FB4C260E-A19F-4908-9DBF-DB4AC630982A}" name="75%" dataDxfId="1073"/>
    <tableColumn id="23" xr3:uid="{FBECC9F1-5BC8-4774-9475-EB2D6D28F1E2}" name="95%" dataDxfId="1072"/>
    <tableColumn id="24" xr3:uid="{839CD532-ED80-4544-A8C8-E9E036764A84}" name="Max" dataDxfId="1071"/>
    <tableColumn id="25" xr3:uid="{9DDA1FD6-82B1-4FBE-8BBD-B40C331930D2}" name="Range" dataDxfId="1070"/>
    <tableColumn id="26" xr3:uid="{902A027A-FD65-44D4-B3D0-5B3883ACFA39}" name="IQR" dataDxfId="106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N1096" totalsRowShown="0" headerRowDxfId="1034" dataDxfId="1033" headerRowCellStyle="DarkHeader" dataCellStyle="Normal">
  <autoFilter ref="D81:N1096" xr:uid="{DB1D1E60-5E37-456A-AD85-0649D531840E}"/>
  <tableColumns count="11">
    <tableColumn id="1" xr3:uid="{57EDF41E-F06D-4819-BADE-3D62DE46F06C}" name="Record List" dataDxfId="1031" dataCellStyle="Normal"/>
    <tableColumn id="2" xr3:uid="{CF70C9CE-83FE-40FA-8089-C68B39CF665A}" name="Name" dataDxfId="1032" dataCellStyle="Normal"/>
    <tableColumn id="3" xr3:uid="{B8654690-502A-4FAF-9205-0118DABCB954}" name="Team" dataDxfId="1039" dataCellStyle="Normal"/>
    <tableColumn id="4" xr3:uid="{5A5BA001-2F93-4E62-880C-C4E8BDB17EEB}" name="Position" dataDxfId="1038" dataCellStyle="Normal"/>
    <tableColumn id="5" xr3:uid="{8483D6D7-1BF8-4965-884D-46C33FDE3B2F}" name="Height" dataDxfId="1037" dataCellStyle="Normal"/>
    <tableColumn id="6" xr3:uid="{CBE72B48-4802-4FD4-B480-D75B1DDBDC8B}" name="Weight" dataDxfId="1036" dataCellStyle="Normal"/>
    <tableColumn id="7" xr3:uid="{03561F1C-90C2-4EDF-B26A-30082B2EEC87}" name="Age" dataDxfId="1035" dataCellStyle="Normal"/>
    <tableColumn id="8" xr3:uid="{C3F6A017-7A33-4679-BF2F-244B0E67D053}" name="PosCategory" dataDxfId="1030" dataCellStyle="Normal"/>
    <tableColumn id="9" xr3:uid="{1C264523-9D0E-424B-AEC9-9EA3E56295EB}" name="index" dataDxfId="1029" dataCellStyle="Normal"/>
    <tableColumn id="10" xr3:uid="{6BC3305B-DC93-48B5-AA14-3E7E6AE4C0C6}" name="HasBlank" dataDxfId="1028" dataCellStyle="Normal"/>
    <tableColumn id="11" xr3:uid="{DFAB5436-D32D-49EA-98F9-341710DAF8E0}" name="Record Hash" dataDxfId="1027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7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MLB</v>
      </c>
      <c r="AA2" s="7"/>
    </row>
    <row r="3" spans="2:27" ht="10.050000000000001" customHeight="1">
      <c r="B3" s="40"/>
      <c r="AA3" s="8"/>
    </row>
    <row r="4" spans="2:27" ht="15" customHeight="1">
      <c r="B4" s="39" t="s">
        <v>9</v>
      </c>
      <c r="C4" s="36">
        <v>1015</v>
      </c>
      <c r="AA4" s="9"/>
    </row>
    <row r="5" spans="2:27" ht="15" customHeight="1">
      <c r="B5" s="38" t="s">
        <v>56</v>
      </c>
      <c r="C5" s="37">
        <v>7</v>
      </c>
      <c r="AA5" s="4"/>
    </row>
    <row r="6" spans="2:27" ht="15" customHeight="1">
      <c r="B6" s="38" t="s">
        <v>15</v>
      </c>
      <c r="C6" s="37" t="s">
        <v>60</v>
      </c>
      <c r="AA6" s="4"/>
    </row>
    <row r="7" spans="2:27" ht="15" customHeight="1">
      <c r="B7" s="38" t="s">
        <v>57</v>
      </c>
      <c r="C7" s="70">
        <v>1</v>
      </c>
      <c r="D7" s="4"/>
    </row>
    <row r="8" spans="2:27" ht="15" customHeight="1">
      <c r="B8" s="41" t="s">
        <v>58</v>
      </c>
      <c r="C8" s="71">
        <v>0</v>
      </c>
      <c r="D8" s="6"/>
    </row>
    <row r="9" spans="2:27" ht="24" customHeight="1"/>
    <row r="10" spans="2:27" ht="40.049999999999997" customHeight="1">
      <c r="B10" s="79" t="s">
        <v>42</v>
      </c>
      <c r="C10" s="79" t="s">
        <v>43</v>
      </c>
      <c r="D10" s="79" t="s">
        <v>3</v>
      </c>
      <c r="E10" s="80" t="s">
        <v>11</v>
      </c>
      <c r="F10" s="80" t="s">
        <v>12</v>
      </c>
      <c r="G10" s="80" t="s">
        <v>13</v>
      </c>
      <c r="H10" s="80" t="s">
        <v>14</v>
      </c>
      <c r="I10" s="80" t="s">
        <v>15</v>
      </c>
      <c r="J10" s="80" t="s">
        <v>16</v>
      </c>
      <c r="K10" s="80" t="s">
        <v>17</v>
      </c>
      <c r="L10" s="80" t="s">
        <v>44</v>
      </c>
      <c r="M10" s="80" t="s">
        <v>18</v>
      </c>
      <c r="N10" s="80" t="s">
        <v>20</v>
      </c>
      <c r="O10" s="80" t="s">
        <v>21</v>
      </c>
      <c r="P10" s="80" t="s">
        <v>22</v>
      </c>
      <c r="Q10" s="80" t="s">
        <v>23</v>
      </c>
      <c r="R10" s="80" t="s">
        <v>24</v>
      </c>
      <c r="S10" s="80" t="s">
        <v>26</v>
      </c>
      <c r="T10" s="89" t="s">
        <v>45</v>
      </c>
      <c r="U10" s="89" t="s">
        <v>46</v>
      </c>
      <c r="V10" s="89" t="s">
        <v>47</v>
      </c>
      <c r="W10" s="89" t="s">
        <v>48</v>
      </c>
      <c r="X10" s="89" t="s">
        <v>49</v>
      </c>
      <c r="Y10" s="80" t="s">
        <v>27</v>
      </c>
      <c r="Z10" s="80" t="s">
        <v>28</v>
      </c>
      <c r="AA10" s="80" t="s">
        <v>29</v>
      </c>
    </row>
    <row r="11" spans="2:27" ht="15" customHeight="1">
      <c r="B11" s="64" t="s">
        <v>2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69</v>
      </c>
      <c r="F11" s="69">
        <v>0.99802955665024595</v>
      </c>
      <c r="G11" s="69">
        <v>0</v>
      </c>
      <c r="H11" s="69">
        <v>0.65388541458893101</v>
      </c>
      <c r="I11" s="66">
        <v>55730</v>
      </c>
      <c r="J11" s="66">
        <v>1013</v>
      </c>
      <c r="K11" s="66">
        <v>1015</v>
      </c>
      <c r="L11" s="67">
        <v>1</v>
      </c>
      <c r="M11" s="66">
        <v>0</v>
      </c>
      <c r="N11" s="68"/>
      <c r="O11" s="68"/>
      <c r="P11" s="68" t="s">
        <v>72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69</v>
      </c>
      <c r="F12" s="81">
        <v>2.95566502463054E-2</v>
      </c>
      <c r="G12" s="81">
        <v>0</v>
      </c>
      <c r="H12" s="81">
        <v>2.8300226448743901E-2</v>
      </c>
      <c r="I12" s="66">
        <v>2412</v>
      </c>
      <c r="J12" s="66">
        <v>30</v>
      </c>
      <c r="K12" s="66">
        <v>1015</v>
      </c>
      <c r="L12" s="67">
        <v>1</v>
      </c>
      <c r="M12" s="66">
        <v>0</v>
      </c>
      <c r="N12" s="68"/>
      <c r="O12" s="68"/>
      <c r="P12" s="68" t="s">
        <v>73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69</v>
      </c>
      <c r="F13" s="81">
        <v>7.8817733990147708E-3</v>
      </c>
      <c r="G13" s="81">
        <v>0</v>
      </c>
      <c r="H13" s="81">
        <v>1.7306315925330499E-2</v>
      </c>
      <c r="I13" s="66">
        <v>1475</v>
      </c>
      <c r="J13" s="66">
        <v>8</v>
      </c>
      <c r="K13" s="66">
        <v>1015</v>
      </c>
      <c r="L13" s="67">
        <v>1</v>
      </c>
      <c r="M13" s="66">
        <v>0</v>
      </c>
      <c r="N13" s="68"/>
      <c r="O13" s="68"/>
      <c r="P13" s="68" t="s">
        <v>74</v>
      </c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1.6748768472906399E-2</v>
      </c>
      <c r="G14" s="81">
        <v>0</v>
      </c>
      <c r="H14" s="81">
        <v>4.7636367902943802E-2</v>
      </c>
      <c r="I14" s="66">
        <v>4060</v>
      </c>
      <c r="J14" s="66">
        <v>17</v>
      </c>
      <c r="K14" s="66">
        <v>1015</v>
      </c>
      <c r="L14" s="67">
        <v>1</v>
      </c>
      <c r="M14" s="66">
        <v>0</v>
      </c>
      <c r="N14" s="68">
        <v>73.689655172413794</v>
      </c>
      <c r="O14" s="68">
        <v>74</v>
      </c>
      <c r="P14" s="68">
        <v>74</v>
      </c>
      <c r="Q14" s="68">
        <v>2.3139320299356401</v>
      </c>
      <c r="R14" s="68">
        <v>5.3542814391620697</v>
      </c>
      <c r="S14" s="68">
        <v>67</v>
      </c>
      <c r="T14" s="68">
        <v>70</v>
      </c>
      <c r="U14" s="68">
        <v>72</v>
      </c>
      <c r="V14" s="68">
        <v>74</v>
      </c>
      <c r="W14" s="68">
        <v>75</v>
      </c>
      <c r="X14" s="68">
        <v>77.299999999999898</v>
      </c>
      <c r="Y14" s="68">
        <v>83</v>
      </c>
      <c r="Z14" s="68">
        <v>16</v>
      </c>
      <c r="AA14" s="68">
        <v>3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70</v>
      </c>
      <c r="F15" s="81">
        <v>8.6699507389162503E-2</v>
      </c>
      <c r="G15" s="81">
        <v>0</v>
      </c>
      <c r="H15" s="81">
        <v>4.7636367902943802E-2</v>
      </c>
      <c r="I15" s="66">
        <v>4060</v>
      </c>
      <c r="J15" s="66">
        <v>88</v>
      </c>
      <c r="K15" s="66">
        <v>1015</v>
      </c>
      <c r="L15" s="67">
        <v>1</v>
      </c>
      <c r="M15" s="66">
        <v>0</v>
      </c>
      <c r="N15" s="68">
        <v>201.34876847290599</v>
      </c>
      <c r="O15" s="68">
        <v>200</v>
      </c>
      <c r="P15" s="68">
        <v>200</v>
      </c>
      <c r="Q15" s="68">
        <v>20.8231147158635</v>
      </c>
      <c r="R15" s="68">
        <v>433.60210647001099</v>
      </c>
      <c r="S15" s="68">
        <v>150</v>
      </c>
      <c r="T15" s="68">
        <v>170</v>
      </c>
      <c r="U15" s="68">
        <v>186</v>
      </c>
      <c r="V15" s="68">
        <v>200</v>
      </c>
      <c r="W15" s="68">
        <v>215</v>
      </c>
      <c r="X15" s="68">
        <v>239.29999999999899</v>
      </c>
      <c r="Y15" s="68">
        <v>290</v>
      </c>
      <c r="Z15" s="68">
        <v>140</v>
      </c>
      <c r="AA15" s="68">
        <v>29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71</v>
      </c>
      <c r="F16" s="81">
        <v>0.70541871921182198</v>
      </c>
      <c r="G16" s="81">
        <v>0</v>
      </c>
      <c r="H16" s="81">
        <v>9.5272735805887604E-2</v>
      </c>
      <c r="I16" s="66">
        <v>8120</v>
      </c>
      <c r="J16" s="66">
        <v>716</v>
      </c>
      <c r="K16" s="66">
        <v>1015</v>
      </c>
      <c r="L16" s="67">
        <v>1</v>
      </c>
      <c r="M16" s="66">
        <v>0</v>
      </c>
      <c r="N16" s="68">
        <v>28.708354679802898</v>
      </c>
      <c r="O16" s="68">
        <v>27.9</v>
      </c>
      <c r="P16" s="68">
        <v>24.94</v>
      </c>
      <c r="Q16" s="68">
        <v>4.3144526796987996</v>
      </c>
      <c r="R16" s="68">
        <v>18.614501925360202</v>
      </c>
      <c r="S16" s="68">
        <v>20.9</v>
      </c>
      <c r="T16" s="68">
        <v>23.13</v>
      </c>
      <c r="U16" s="68">
        <v>25.405000000000001</v>
      </c>
      <c r="V16" s="68">
        <v>27.9</v>
      </c>
      <c r="W16" s="68">
        <v>31.189999999999898</v>
      </c>
      <c r="X16" s="68">
        <v>37.174999999999997</v>
      </c>
      <c r="Y16" s="68">
        <v>48.52</v>
      </c>
      <c r="Z16" s="68">
        <v>27.62</v>
      </c>
      <c r="AA16" s="68">
        <v>5.7849999999999904</v>
      </c>
    </row>
    <row r="17" spans="2:27" ht="15" customHeight="1">
      <c r="B17" s="82" t="s">
        <v>66</v>
      </c>
      <c r="C17" s="83" t="str">
        <f>IF(INDEX(Definitions,1,MATCH(tbl_Overview[[#This Row],[Field]],Headers,0))="Definition","",INDEX(Definitions,1,MATCH(tbl_Overview[[#This Row],[Field]],Headers,0)))</f>
        <v/>
      </c>
      <c r="D17" s="83" t="str">
        <f>IF(INDEX(Notes,1,MATCH(tbl_Overview[[#This Row],[Field]],Headers,0))="Note","",INDEX(Notes,1,MATCH(tbl_Overview[[#This Row],[Field]],Headers,0)))</f>
        <v/>
      </c>
      <c r="E17" s="84" t="s">
        <v>69</v>
      </c>
      <c r="F17" s="85">
        <v>3.9408866995073802E-3</v>
      </c>
      <c r="G17" s="85">
        <v>0</v>
      </c>
      <c r="H17" s="85">
        <v>1.46898356193314E-2</v>
      </c>
      <c r="I17" s="86">
        <v>1252</v>
      </c>
      <c r="J17" s="86">
        <v>4</v>
      </c>
      <c r="K17" s="86">
        <v>1015</v>
      </c>
      <c r="L17" s="87">
        <v>1</v>
      </c>
      <c r="M17" s="86">
        <v>0</v>
      </c>
      <c r="N17" s="88"/>
      <c r="O17" s="88"/>
      <c r="P17" s="88" t="s">
        <v>75</v>
      </c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N1096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1" width="27.77734375" style="48" customWidth="1"/>
  </cols>
  <sheetData>
    <row r="1" spans="1:14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</row>
    <row r="2" spans="1:14" ht="10.050000000000001" customHeight="1"/>
    <row r="3" spans="1:14" ht="36.6">
      <c r="B3" s="1" t="s">
        <v>1</v>
      </c>
      <c r="C3" s="31" t="s">
        <v>59</v>
      </c>
      <c r="D3" s="31"/>
    </row>
    <row r="4" spans="1:14" ht="10.050000000000001" customHeight="1"/>
    <row r="5" spans="1:14" ht="14.4">
      <c r="B5" s="32"/>
      <c r="C5" s="75" t="s">
        <v>1</v>
      </c>
      <c r="D5" s="2" t="s">
        <v>3</v>
      </c>
    </row>
    <row r="6" spans="1:14" ht="10.050000000000001" customHeight="1">
      <c r="B6" s="32"/>
      <c r="C6" s="32"/>
    </row>
    <row r="7" spans="1:14" ht="34.950000000000003" hidden="1" customHeight="1" outlineLevel="1">
      <c r="B7" s="32"/>
      <c r="C7" s="32"/>
      <c r="D7" s="30" t="s">
        <v>4</v>
      </c>
      <c r="E7" s="42" t="s">
        <v>43</v>
      </c>
      <c r="F7" s="43" t="s">
        <v>43</v>
      </c>
      <c r="G7" s="43" t="s">
        <v>43</v>
      </c>
      <c r="H7" s="43" t="s">
        <v>43</v>
      </c>
      <c r="I7" s="43" t="s">
        <v>43</v>
      </c>
      <c r="J7" s="43" t="s">
        <v>43</v>
      </c>
      <c r="K7" s="43" t="s">
        <v>43</v>
      </c>
    </row>
    <row r="8" spans="1:14" ht="10.050000000000001" hidden="1" customHeight="1" outlineLevel="1">
      <c r="B8" s="32"/>
      <c r="C8" s="32"/>
    </row>
    <row r="9" spans="1:14" ht="34.950000000000003" hidden="1" customHeight="1" outlineLevel="1">
      <c r="D9" s="30" t="s">
        <v>5</v>
      </c>
      <c r="E9" s="44" t="s">
        <v>52</v>
      </c>
      <c r="F9" s="45" t="s">
        <v>52</v>
      </c>
      <c r="G9" s="46" t="s">
        <v>52</v>
      </c>
      <c r="H9" s="46" t="s">
        <v>52</v>
      </c>
      <c r="I9" s="46" t="s">
        <v>52</v>
      </c>
      <c r="J9" s="46" t="s">
        <v>52</v>
      </c>
      <c r="K9" s="46" t="s">
        <v>52</v>
      </c>
    </row>
    <row r="10" spans="1:14" ht="10.050000000000001" hidden="1" customHeight="1" outlineLevel="1"/>
    <row r="11" spans="1:14" s="35" customFormat="1" ht="30" customHeight="1" collapsed="1">
      <c r="A11"/>
      <c r="B11" s="48"/>
      <c r="C11" s="77"/>
      <c r="D11" s="77" t="s">
        <v>6</v>
      </c>
      <c r="E11" s="78" t="s">
        <v>2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35" t="s">
        <v>67</v>
      </c>
      <c r="M11" s="35" t="s">
        <v>41</v>
      </c>
      <c r="N11" s="35" t="s">
        <v>68</v>
      </c>
    </row>
    <row r="12" spans="1:14" ht="10.050000000000001" customHeight="1"/>
    <row r="13" spans="1:14" ht="14.4" outlineLevel="1">
      <c r="B13" s="32"/>
      <c r="C13" s="75" t="s">
        <v>1</v>
      </c>
      <c r="D13" s="33" t="s">
        <v>7</v>
      </c>
    </row>
    <row r="14" spans="1:14" ht="10.050000000000001" customHeight="1" outlineLevel="1">
      <c r="B14" s="32"/>
      <c r="C14" s="32"/>
      <c r="D14" s="32"/>
    </row>
    <row r="15" spans="1:14" ht="34.950000000000003" hidden="1" customHeight="1" outlineLevel="2">
      <c r="B15" s="32"/>
      <c r="C15" s="32"/>
      <c r="D15" s="72"/>
      <c r="E15" s="76" t="s">
        <v>8</v>
      </c>
      <c r="F15" s="76"/>
      <c r="G15" s="40"/>
      <c r="H15" s="40"/>
      <c r="I15" s="40"/>
      <c r="J15" s="40"/>
      <c r="K15" s="40"/>
    </row>
    <row r="16" spans="1:14" ht="14.4" hidden="1" outlineLevel="2">
      <c r="B16" s="32"/>
      <c r="C16" s="32"/>
      <c r="D16" s="32"/>
    </row>
    <row r="17" spans="2:11" ht="15" hidden="1" customHeight="1" outlineLevel="2">
      <c r="B17" s="32"/>
      <c r="C17" s="32"/>
      <c r="D17" s="34" t="s">
        <v>9</v>
      </c>
      <c r="E17" s="36">
        <v>1015</v>
      </c>
    </row>
    <row r="18" spans="2:11" ht="15" hidden="1" customHeight="1" outlineLevel="2">
      <c r="B18" s="32"/>
      <c r="C18" s="32"/>
      <c r="D18" s="74" t="s">
        <v>56</v>
      </c>
      <c r="E18" s="37">
        <v>7</v>
      </c>
    </row>
    <row r="19" spans="2:11" s="48" customFormat="1" ht="15" hidden="1" customHeight="1" outlineLevel="2">
      <c r="B19" s="32"/>
      <c r="C19" s="32"/>
      <c r="D19" s="74" t="s">
        <v>15</v>
      </c>
      <c r="E19" s="37" t="s">
        <v>60</v>
      </c>
    </row>
    <row r="20" spans="2:11" s="48" customFormat="1" ht="15" hidden="1" customHeight="1" outlineLevel="2">
      <c r="B20" s="32"/>
      <c r="C20" s="32"/>
      <c r="D20" s="74" t="s">
        <v>57</v>
      </c>
      <c r="E20" s="70">
        <v>1</v>
      </c>
    </row>
    <row r="21" spans="2:11" s="48" customFormat="1" ht="15" hidden="1" customHeight="1" outlineLevel="2">
      <c r="D21" s="3" t="s">
        <v>58</v>
      </c>
      <c r="E21" s="71">
        <v>0</v>
      </c>
    </row>
    <row r="22" spans="2:11" ht="10.050000000000001" hidden="1" customHeight="1" outlineLevel="2"/>
    <row r="23" spans="2:11" ht="14.4" outlineLevel="1" collapsed="1">
      <c r="B23" s="32"/>
      <c r="C23" s="75" t="s">
        <v>1</v>
      </c>
      <c r="D23" s="2" t="s">
        <v>10</v>
      </c>
    </row>
    <row r="24" spans="2:11" ht="10.050000000000001" customHeight="1" outlineLevel="1">
      <c r="B24" s="32"/>
      <c r="C24" s="32"/>
    </row>
    <row r="25" spans="2:11" ht="15" hidden="1" customHeight="1" outlineLevel="2">
      <c r="B25" s="32"/>
      <c r="C25" s="32"/>
      <c r="D25" s="28" t="s">
        <v>11</v>
      </c>
      <c r="E25" s="18" t="s">
        <v>69</v>
      </c>
      <c r="F25" s="18" t="s">
        <v>69</v>
      </c>
      <c r="G25" s="18" t="s">
        <v>69</v>
      </c>
      <c r="H25" s="18" t="s">
        <v>70</v>
      </c>
      <c r="I25" s="18" t="s">
        <v>70</v>
      </c>
      <c r="J25" s="18" t="s">
        <v>71</v>
      </c>
      <c r="K25" s="18" t="s">
        <v>69</v>
      </c>
    </row>
    <row r="26" spans="2:11" ht="15" hidden="1" customHeight="1" outlineLevel="2">
      <c r="B26" s="32"/>
      <c r="C26" s="32"/>
      <c r="D26" s="3" t="s">
        <v>12</v>
      </c>
      <c r="E26" s="19">
        <v>0.99802955665024595</v>
      </c>
      <c r="F26" s="19">
        <v>2.95566502463054E-2</v>
      </c>
      <c r="G26" s="19">
        <v>7.8817733990147708E-3</v>
      </c>
      <c r="H26" s="19">
        <v>1.6748768472906399E-2</v>
      </c>
      <c r="I26" s="19">
        <v>8.6699507389162503E-2</v>
      </c>
      <c r="J26" s="19">
        <v>0.70541871921182198</v>
      </c>
      <c r="K26" s="19">
        <v>3.9408866995073802E-3</v>
      </c>
    </row>
    <row r="27" spans="2:11" ht="15" hidden="1" customHeight="1" outlineLevel="2">
      <c r="B27" s="32"/>
      <c r="C27" s="32"/>
      <c r="D27" s="27" t="s">
        <v>13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  <c r="J27" s="19">
        <v>0</v>
      </c>
      <c r="K27" s="19">
        <v>0</v>
      </c>
    </row>
    <row r="28" spans="2:11" ht="15" hidden="1" customHeight="1" outlineLevel="2">
      <c r="B28" s="32"/>
      <c r="C28" s="32"/>
      <c r="D28" s="27" t="s">
        <v>14</v>
      </c>
      <c r="E28" s="19">
        <v>0.65388541458893101</v>
      </c>
      <c r="F28" s="19">
        <v>2.8300226448743901E-2</v>
      </c>
      <c r="G28" s="19">
        <v>1.7306315925330499E-2</v>
      </c>
      <c r="H28" s="19">
        <v>4.7636367902943802E-2</v>
      </c>
      <c r="I28" s="19">
        <v>4.7636367902943802E-2</v>
      </c>
      <c r="J28" s="19">
        <v>9.5272735805887604E-2</v>
      </c>
      <c r="K28" s="19">
        <v>1.46898356193314E-2</v>
      </c>
    </row>
    <row r="29" spans="2:11" ht="15" hidden="1" customHeight="1" outlineLevel="2">
      <c r="B29" s="32"/>
      <c r="C29" s="32"/>
      <c r="D29" s="27" t="s">
        <v>15</v>
      </c>
      <c r="E29" s="20">
        <v>55730</v>
      </c>
      <c r="F29" s="20">
        <v>2412</v>
      </c>
      <c r="G29" s="20">
        <v>1475</v>
      </c>
      <c r="H29" s="20">
        <v>4060</v>
      </c>
      <c r="I29" s="20">
        <v>4060</v>
      </c>
      <c r="J29" s="20">
        <v>8120</v>
      </c>
      <c r="K29" s="20">
        <v>1252</v>
      </c>
    </row>
    <row r="30" spans="2:11" ht="15" hidden="1" customHeight="1" outlineLevel="2">
      <c r="B30" s="32"/>
      <c r="C30" s="32"/>
      <c r="D30" s="27" t="s">
        <v>16</v>
      </c>
      <c r="E30" s="20">
        <v>1013</v>
      </c>
      <c r="F30" s="20">
        <v>30</v>
      </c>
      <c r="G30" s="20">
        <v>8</v>
      </c>
      <c r="H30" s="20">
        <v>17</v>
      </c>
      <c r="I30" s="20">
        <v>88</v>
      </c>
      <c r="J30" s="20">
        <v>716</v>
      </c>
      <c r="K30" s="20">
        <v>4</v>
      </c>
    </row>
    <row r="31" spans="2:11" ht="15" hidden="1" customHeight="1" outlineLevel="2">
      <c r="B31" s="32"/>
      <c r="C31" s="32"/>
      <c r="D31" s="28" t="s">
        <v>17</v>
      </c>
      <c r="E31" s="20">
        <v>1015</v>
      </c>
      <c r="F31" s="20">
        <v>1015</v>
      </c>
      <c r="G31" s="20">
        <v>1015</v>
      </c>
      <c r="H31" s="20">
        <v>1015</v>
      </c>
      <c r="I31" s="20">
        <v>1015</v>
      </c>
      <c r="J31" s="20">
        <v>1015</v>
      </c>
      <c r="K31" s="20">
        <v>1015</v>
      </c>
    </row>
    <row r="32" spans="2:11" ht="15" hidden="1" customHeight="1" outlineLevel="2">
      <c r="B32" s="32"/>
      <c r="C32" s="32"/>
      <c r="D32" s="3" t="s">
        <v>18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</row>
    <row r="33" spans="2:11" ht="10.050000000000001" hidden="1" customHeight="1" outlineLevel="2">
      <c r="B33" s="32"/>
      <c r="C33" s="32"/>
    </row>
    <row r="34" spans="2:11" ht="150" hidden="1" customHeight="1" outlineLevel="2"/>
    <row r="35" spans="2:11" ht="10.050000000000001" hidden="1" customHeight="1" outlineLevel="2"/>
    <row r="36" spans="2:11" ht="14.4" outlineLevel="1" collapsed="1">
      <c r="B36" s="32"/>
      <c r="C36" s="75" t="s">
        <v>1</v>
      </c>
      <c r="D36" s="2" t="s">
        <v>19</v>
      </c>
    </row>
    <row r="37" spans="2:11" ht="10.050000000000001" customHeight="1" outlineLevel="1">
      <c r="B37" s="32"/>
      <c r="C37" s="32"/>
    </row>
    <row r="38" spans="2:11" ht="15" hidden="1" customHeight="1" outlineLevel="2">
      <c r="B38" s="32"/>
      <c r="C38" s="32"/>
      <c r="D38" s="3" t="s">
        <v>20</v>
      </c>
      <c r="E38" s="21"/>
      <c r="F38" s="21"/>
      <c r="G38" s="21"/>
      <c r="H38" s="21">
        <v>73.689655172413794</v>
      </c>
      <c r="I38" s="21">
        <v>201.34876847290599</v>
      </c>
      <c r="J38" s="21">
        <v>28.708354679802898</v>
      </c>
      <c r="K38" s="21"/>
    </row>
    <row r="39" spans="2:11" ht="15" hidden="1" customHeight="1" outlineLevel="2">
      <c r="B39" s="32"/>
      <c r="C39" s="32"/>
      <c r="D39" s="27" t="s">
        <v>21</v>
      </c>
      <c r="E39" s="21"/>
      <c r="F39" s="21"/>
      <c r="G39" s="21"/>
      <c r="H39" s="21">
        <v>74</v>
      </c>
      <c r="I39" s="21">
        <v>200</v>
      </c>
      <c r="J39" s="21">
        <v>27.9</v>
      </c>
      <c r="K39" s="21"/>
    </row>
    <row r="40" spans="2:11" ht="15" hidden="1" customHeight="1" outlineLevel="2">
      <c r="B40" s="32"/>
      <c r="C40" s="32"/>
      <c r="D40" s="27" t="s">
        <v>22</v>
      </c>
      <c r="E40" s="21" t="s">
        <v>72</v>
      </c>
      <c r="F40" s="21" t="s">
        <v>73</v>
      </c>
      <c r="G40" s="21" t="s">
        <v>74</v>
      </c>
      <c r="H40" s="21">
        <v>74</v>
      </c>
      <c r="I40" s="21">
        <v>200</v>
      </c>
      <c r="J40" s="21">
        <v>24.94</v>
      </c>
      <c r="K40" s="21" t="s">
        <v>75</v>
      </c>
    </row>
    <row r="41" spans="2:11" ht="15" hidden="1" customHeight="1" outlineLevel="2">
      <c r="B41" s="32"/>
      <c r="C41" s="32"/>
      <c r="D41" s="3" t="s">
        <v>23</v>
      </c>
      <c r="E41" s="21"/>
      <c r="F41" s="21"/>
      <c r="G41" s="21"/>
      <c r="H41" s="21">
        <v>2.3139320299356401</v>
      </c>
      <c r="I41" s="21">
        <v>20.8231147158635</v>
      </c>
      <c r="J41" s="21">
        <v>4.3144526796987996</v>
      </c>
      <c r="K41" s="21"/>
    </row>
    <row r="42" spans="2:11" ht="15" hidden="1" customHeight="1" outlineLevel="2">
      <c r="B42" s="32"/>
      <c r="C42" s="32"/>
      <c r="D42" s="29" t="s">
        <v>24</v>
      </c>
      <c r="E42" s="21"/>
      <c r="F42" s="21"/>
      <c r="G42" s="21"/>
      <c r="H42" s="21">
        <v>5.3542814391620697</v>
      </c>
      <c r="I42" s="21">
        <v>433.60210647001099</v>
      </c>
      <c r="J42" s="21">
        <v>18.614501925360202</v>
      </c>
      <c r="K42" s="21"/>
    </row>
    <row r="43" spans="2:11" ht="10.050000000000001" hidden="1" customHeight="1" outlineLevel="2">
      <c r="B43" s="32"/>
      <c r="C43" s="32"/>
    </row>
    <row r="44" spans="2:11" ht="150" hidden="1" customHeight="1" outlineLevel="2"/>
    <row r="45" spans="2:11" ht="10.050000000000001" hidden="1" customHeight="1" outlineLevel="2"/>
    <row r="46" spans="2:11" ht="14.4" outlineLevel="1" collapsed="1">
      <c r="B46" s="32"/>
      <c r="C46" s="75" t="s">
        <v>1</v>
      </c>
      <c r="D46" s="2" t="s">
        <v>25</v>
      </c>
    </row>
    <row r="47" spans="2:11" ht="10.050000000000001" customHeight="1" outlineLevel="1">
      <c r="B47" s="32"/>
      <c r="C47" s="32"/>
    </row>
    <row r="48" spans="2:11" ht="15" hidden="1" customHeight="1" outlineLevel="2">
      <c r="B48" s="32"/>
      <c r="C48" s="32"/>
      <c r="D48" s="3" t="s">
        <v>26</v>
      </c>
      <c r="E48" s="21"/>
      <c r="F48" s="21"/>
      <c r="G48" s="21"/>
      <c r="H48" s="21">
        <v>67</v>
      </c>
      <c r="I48" s="21">
        <v>150</v>
      </c>
      <c r="J48" s="21">
        <v>20.9</v>
      </c>
      <c r="K48" s="21"/>
    </row>
    <row r="49" spans="1:11" ht="15" hidden="1" customHeight="1" outlineLevel="2">
      <c r="B49" s="32"/>
      <c r="C49" s="32"/>
      <c r="D49" s="27">
        <v>0.05</v>
      </c>
      <c r="E49" s="21"/>
      <c r="F49" s="21"/>
      <c r="G49" s="21"/>
      <c r="H49" s="21">
        <v>70</v>
      </c>
      <c r="I49" s="21">
        <v>170</v>
      </c>
      <c r="J49" s="21">
        <v>23.13</v>
      </c>
      <c r="K49" s="21"/>
    </row>
    <row r="50" spans="1:11" ht="15" hidden="1" customHeight="1" outlineLevel="2">
      <c r="B50" s="32"/>
      <c r="C50" s="32"/>
      <c r="D50" s="28">
        <v>0.25</v>
      </c>
      <c r="E50" s="21"/>
      <c r="F50" s="21"/>
      <c r="G50" s="21"/>
      <c r="H50" s="21">
        <v>72</v>
      </c>
      <c r="I50" s="21">
        <v>186</v>
      </c>
      <c r="J50" s="21">
        <v>25.405000000000001</v>
      </c>
      <c r="K50" s="21"/>
    </row>
    <row r="51" spans="1:11" ht="15" hidden="1" customHeight="1" outlineLevel="2">
      <c r="B51" s="32"/>
      <c r="C51" s="32"/>
      <c r="D51" s="3">
        <v>0.5</v>
      </c>
      <c r="E51" s="21"/>
      <c r="F51" s="21"/>
      <c r="G51" s="21"/>
      <c r="H51" s="21">
        <v>74</v>
      </c>
      <c r="I51" s="21">
        <v>200</v>
      </c>
      <c r="J51" s="21">
        <v>27.9</v>
      </c>
      <c r="K51" s="21"/>
    </row>
    <row r="52" spans="1:11" ht="15" hidden="1" customHeight="1" outlineLevel="2">
      <c r="B52" s="32"/>
      <c r="C52" s="32"/>
      <c r="D52" s="27">
        <v>0.75</v>
      </c>
      <c r="E52" s="21"/>
      <c r="F52" s="21"/>
      <c r="G52" s="21"/>
      <c r="H52" s="21">
        <v>75</v>
      </c>
      <c r="I52" s="21">
        <v>215</v>
      </c>
      <c r="J52" s="21">
        <v>31.189999999999898</v>
      </c>
      <c r="K52" s="21"/>
    </row>
    <row r="53" spans="1:11" ht="15" hidden="1" customHeight="1" outlineLevel="2">
      <c r="B53" s="32"/>
      <c r="C53" s="32"/>
      <c r="D53" s="27">
        <v>0.95</v>
      </c>
      <c r="E53" s="21"/>
      <c r="F53" s="21"/>
      <c r="G53" s="21"/>
      <c r="H53" s="21">
        <v>77.299999999999898</v>
      </c>
      <c r="I53" s="21">
        <v>239.29999999999899</v>
      </c>
      <c r="J53" s="21">
        <v>37.174999999999997</v>
      </c>
      <c r="K53" s="21"/>
    </row>
    <row r="54" spans="1:11" ht="15" hidden="1" customHeight="1" outlineLevel="2">
      <c r="B54" s="32"/>
      <c r="C54" s="32"/>
      <c r="D54" s="3" t="s">
        <v>27</v>
      </c>
      <c r="E54" s="21"/>
      <c r="F54" s="21"/>
      <c r="G54" s="21"/>
      <c r="H54" s="21">
        <v>83</v>
      </c>
      <c r="I54" s="21">
        <v>290</v>
      </c>
      <c r="J54" s="21">
        <v>48.52</v>
      </c>
      <c r="K54" s="21"/>
    </row>
    <row r="55" spans="1:11" ht="15" hidden="1" customHeight="1" outlineLevel="2">
      <c r="B55" s="32"/>
      <c r="C55" s="32"/>
      <c r="D55" s="27" t="s">
        <v>28</v>
      </c>
      <c r="E55" s="21"/>
      <c r="F55" s="21"/>
      <c r="G55" s="21"/>
      <c r="H55" s="21">
        <v>16</v>
      </c>
      <c r="I55" s="21">
        <v>140</v>
      </c>
      <c r="J55" s="21">
        <v>27.62</v>
      </c>
      <c r="K55" s="21"/>
    </row>
    <row r="56" spans="1:11" ht="15" hidden="1" customHeight="1" outlineLevel="2">
      <c r="D56" s="3" t="s">
        <v>29</v>
      </c>
      <c r="E56" s="21"/>
      <c r="F56" s="21"/>
      <c r="G56" s="21"/>
      <c r="H56" s="21">
        <v>3</v>
      </c>
      <c r="I56" s="21">
        <v>29</v>
      </c>
      <c r="J56" s="21">
        <v>5.7849999999999904</v>
      </c>
      <c r="K56" s="21"/>
    </row>
    <row r="57" spans="1:11" ht="10.050000000000001" hidden="1" customHeight="1" outlineLevel="2"/>
    <row r="58" spans="1:11" ht="14.4" outlineLevel="1" collapsed="1">
      <c r="A58" s="32"/>
      <c r="B58" s="32"/>
      <c r="C58" s="75" t="s">
        <v>1</v>
      </c>
      <c r="D58" s="2" t="s">
        <v>30</v>
      </c>
    </row>
    <row r="59" spans="1:11" ht="10.050000000000001" customHeight="1" outlineLevel="1">
      <c r="A59" s="32"/>
      <c r="B59" s="32"/>
      <c r="C59" s="32"/>
    </row>
    <row r="60" spans="1:11" ht="15" hidden="1" customHeight="1" outlineLevel="2">
      <c r="A60" s="32"/>
      <c r="B60" s="32"/>
      <c r="C60" s="32"/>
      <c r="D60" s="3" t="s">
        <v>31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</row>
    <row r="62" spans="1:11" ht="15" hidden="1" customHeight="1" outlineLevel="2">
      <c r="A62" s="32"/>
      <c r="B62" s="32"/>
      <c r="C62" s="32"/>
      <c r="D62" s="27" t="s">
        <v>33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</row>
    <row r="64" spans="1:11" ht="15" hidden="1" customHeight="1" outlineLevel="2">
      <c r="A64" s="32"/>
      <c r="B64" s="32"/>
      <c r="C64" s="32"/>
      <c r="D64" s="3" t="s">
        <v>35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</row>
    <row r="65" spans="1:11" ht="15" hidden="1" customHeight="1" outlineLevel="2">
      <c r="A65" s="32"/>
      <c r="B65" s="32"/>
      <c r="C65" s="32"/>
      <c r="D65" s="27" t="s">
        <v>36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</row>
    <row r="66" spans="1:11" ht="15" hidden="1" customHeight="1" outlineLevel="2">
      <c r="A66" s="32"/>
      <c r="B66" s="32"/>
      <c r="C66" s="32"/>
      <c r="D66" s="27" t="s">
        <v>37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</row>
    <row r="67" spans="1:11" ht="15" hidden="1" customHeight="1" outlineLevel="2">
      <c r="D67" s="3" t="s">
        <v>38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</row>
    <row r="68" spans="1:11" ht="10.050000000000001" hidden="1" customHeight="1" outlineLevel="2"/>
    <row r="69" spans="1:11" ht="14.4" outlineLevel="1" collapsed="1">
      <c r="A69" s="32"/>
      <c r="B69" s="32"/>
      <c r="C69" s="75" t="s">
        <v>1</v>
      </c>
      <c r="D69" s="2" t="s">
        <v>39</v>
      </c>
    </row>
    <row r="70" spans="1:11" ht="15" customHeight="1" outlineLevel="1">
      <c r="A70" s="32"/>
      <c r="B70" s="32"/>
    </row>
    <row r="71" spans="1:11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1" ht="10.050000000000001" hidden="1" customHeight="1" outlineLevel="1" collapsed="1"/>
    <row r="81" spans="4:14" ht="30" customHeight="1">
      <c r="D81" s="97" t="s">
        <v>40</v>
      </c>
      <c r="E81" s="90" t="s">
        <v>2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7" t="s">
        <v>67</v>
      </c>
      <c r="M81" s="97" t="s">
        <v>41</v>
      </c>
      <c r="N81" s="97" t="s">
        <v>68</v>
      </c>
    </row>
    <row r="82" spans="4:14" ht="15" customHeight="1">
      <c r="D82" s="98" t="b">
        <v>0</v>
      </c>
      <c r="E82" s="92" t="s">
        <v>76</v>
      </c>
      <c r="F82" s="92" t="s">
        <v>77</v>
      </c>
      <c r="G82" s="92" t="s">
        <v>78</v>
      </c>
      <c r="H82" s="93">
        <v>74</v>
      </c>
      <c r="I82" s="93">
        <v>180</v>
      </c>
      <c r="J82" s="93">
        <v>22.99</v>
      </c>
      <c r="K82" s="93" t="s">
        <v>78</v>
      </c>
      <c r="L82" s="101">
        <v>0</v>
      </c>
      <c r="M82" s="101">
        <v>0</v>
      </c>
      <c r="N82" s="101">
        <v>1.6233599064174445E+19</v>
      </c>
    </row>
    <row r="83" spans="4:14" ht="15" customHeight="1">
      <c r="D83" s="98" t="b">
        <v>0</v>
      </c>
      <c r="E83" s="92" t="s">
        <v>79</v>
      </c>
      <c r="F83" s="92" t="s">
        <v>77</v>
      </c>
      <c r="G83" s="92" t="s">
        <v>78</v>
      </c>
      <c r="H83" s="93">
        <v>74</v>
      </c>
      <c r="I83" s="93">
        <v>215</v>
      </c>
      <c r="J83" s="93">
        <v>34.69</v>
      </c>
      <c r="K83" s="93" t="s">
        <v>78</v>
      </c>
      <c r="L83" s="101">
        <v>1</v>
      </c>
      <c r="M83" s="101">
        <v>0</v>
      </c>
      <c r="N83" s="101">
        <v>9.9127029287363789E+18</v>
      </c>
    </row>
    <row r="84" spans="4:14" ht="15" customHeight="1">
      <c r="D84" s="99" t="b">
        <v>0</v>
      </c>
      <c r="E84" s="94" t="s">
        <v>80</v>
      </c>
      <c r="F84" s="92" t="s">
        <v>77</v>
      </c>
      <c r="G84" s="92" t="s">
        <v>78</v>
      </c>
      <c r="H84" s="93">
        <v>72</v>
      </c>
      <c r="I84" s="93">
        <v>210</v>
      </c>
      <c r="J84" s="93">
        <v>30.78</v>
      </c>
      <c r="K84" s="93" t="s">
        <v>78</v>
      </c>
      <c r="L84" s="101">
        <v>2</v>
      </c>
      <c r="M84" s="101">
        <v>0</v>
      </c>
      <c r="N84" s="101">
        <v>1.4480567066471455E+19</v>
      </c>
    </row>
    <row r="85" spans="4:14" ht="15" customHeight="1">
      <c r="D85" s="99" t="b">
        <v>0</v>
      </c>
      <c r="E85" s="94" t="s">
        <v>81</v>
      </c>
      <c r="F85" s="92" t="s">
        <v>77</v>
      </c>
      <c r="G85" s="92" t="s">
        <v>82</v>
      </c>
      <c r="H85" s="93">
        <v>72</v>
      </c>
      <c r="I85" s="93">
        <v>210</v>
      </c>
      <c r="J85" s="93">
        <v>35.43</v>
      </c>
      <c r="K85" s="93" t="s">
        <v>83</v>
      </c>
      <c r="L85" s="101">
        <v>3</v>
      </c>
      <c r="M85" s="101">
        <v>0</v>
      </c>
      <c r="N85" s="101">
        <v>1.3276158713906745E+19</v>
      </c>
    </row>
    <row r="86" spans="4:14" ht="15" customHeight="1">
      <c r="D86" s="99" t="b">
        <v>0</v>
      </c>
      <c r="E86" s="94" t="s">
        <v>84</v>
      </c>
      <c r="F86" s="92" t="s">
        <v>77</v>
      </c>
      <c r="G86" s="92" t="s">
        <v>82</v>
      </c>
      <c r="H86" s="93">
        <v>73</v>
      </c>
      <c r="I86" s="93">
        <v>188</v>
      </c>
      <c r="J86" s="93">
        <v>35.71</v>
      </c>
      <c r="K86" s="93" t="s">
        <v>83</v>
      </c>
      <c r="L86" s="101">
        <v>4</v>
      </c>
      <c r="M86" s="101">
        <v>0</v>
      </c>
      <c r="N86" s="101">
        <v>3.4994315374161905E+18</v>
      </c>
    </row>
    <row r="87" spans="4:14" ht="15" customHeight="1">
      <c r="D87" s="99" t="b">
        <v>0</v>
      </c>
      <c r="E87" s="94" t="s">
        <v>85</v>
      </c>
      <c r="F87" s="92" t="s">
        <v>77</v>
      </c>
      <c r="G87" s="92" t="s">
        <v>86</v>
      </c>
      <c r="H87" s="93">
        <v>69</v>
      </c>
      <c r="I87" s="93">
        <v>176</v>
      </c>
      <c r="J87" s="93">
        <v>29.39</v>
      </c>
      <c r="K87" s="93" t="s">
        <v>83</v>
      </c>
      <c r="L87" s="101">
        <v>5</v>
      </c>
      <c r="M87" s="101">
        <v>0</v>
      </c>
      <c r="N87" s="101">
        <v>9.6958811150809313E+18</v>
      </c>
    </row>
    <row r="88" spans="4:14" ht="15" customHeight="1">
      <c r="D88" s="99" t="b">
        <v>0</v>
      </c>
      <c r="E88" s="94" t="s">
        <v>87</v>
      </c>
      <c r="F88" s="92" t="s">
        <v>77</v>
      </c>
      <c r="G88" s="92" t="s">
        <v>88</v>
      </c>
      <c r="H88" s="93">
        <v>69</v>
      </c>
      <c r="I88" s="93">
        <v>209</v>
      </c>
      <c r="J88" s="93">
        <v>30.77</v>
      </c>
      <c r="K88" s="93" t="s">
        <v>83</v>
      </c>
      <c r="L88" s="101">
        <v>6</v>
      </c>
      <c r="M88" s="101">
        <v>0</v>
      </c>
      <c r="N88" s="101">
        <v>8.339902565837867E+18</v>
      </c>
    </row>
    <row r="89" spans="4:14" ht="15" customHeight="1">
      <c r="D89" s="99" t="b">
        <v>0</v>
      </c>
      <c r="E89" s="94" t="s">
        <v>89</v>
      </c>
      <c r="F89" s="92" t="s">
        <v>77</v>
      </c>
      <c r="G89" s="92" t="s">
        <v>90</v>
      </c>
      <c r="H89" s="93">
        <v>71</v>
      </c>
      <c r="I89" s="93">
        <v>200</v>
      </c>
      <c r="J89" s="93">
        <v>35.07</v>
      </c>
      <c r="K89" s="93" t="s">
        <v>83</v>
      </c>
      <c r="L89" s="101">
        <v>7</v>
      </c>
      <c r="M89" s="101">
        <v>0</v>
      </c>
      <c r="N89" s="101">
        <v>6.7205592992639398E+17</v>
      </c>
    </row>
    <row r="90" spans="4:14" ht="15" customHeight="1">
      <c r="D90" s="99" t="b">
        <v>0</v>
      </c>
      <c r="E90" s="94" t="s">
        <v>91</v>
      </c>
      <c r="F90" s="92" t="s">
        <v>77</v>
      </c>
      <c r="G90" s="92" t="s">
        <v>90</v>
      </c>
      <c r="H90" s="93">
        <v>76</v>
      </c>
      <c r="I90" s="93">
        <v>231</v>
      </c>
      <c r="J90" s="93">
        <v>30.19</v>
      </c>
      <c r="K90" s="93" t="s">
        <v>83</v>
      </c>
      <c r="L90" s="101">
        <v>8</v>
      </c>
      <c r="M90" s="101">
        <v>0</v>
      </c>
      <c r="N90" s="101">
        <v>1.3461956654305872E+19</v>
      </c>
    </row>
    <row r="91" spans="4:14" ht="15" customHeight="1">
      <c r="D91" s="99" t="b">
        <v>0</v>
      </c>
      <c r="E91" s="94" t="s">
        <v>92</v>
      </c>
      <c r="F91" s="92" t="s">
        <v>77</v>
      </c>
      <c r="G91" s="92" t="s">
        <v>93</v>
      </c>
      <c r="H91" s="93">
        <v>71</v>
      </c>
      <c r="I91" s="93">
        <v>180</v>
      </c>
      <c r="J91" s="93">
        <v>27.05</v>
      </c>
      <c r="K91" s="93" t="s">
        <v>93</v>
      </c>
      <c r="L91" s="101">
        <v>9</v>
      </c>
      <c r="M91" s="101">
        <v>0</v>
      </c>
      <c r="N91" s="101">
        <v>1.2977893147437724E+19</v>
      </c>
    </row>
    <row r="92" spans="4:14" ht="15" customHeight="1">
      <c r="D92" s="99" t="b">
        <v>0</v>
      </c>
      <c r="E92" s="94" t="s">
        <v>94</v>
      </c>
      <c r="F92" s="92" t="s">
        <v>77</v>
      </c>
      <c r="G92" s="92" t="s">
        <v>93</v>
      </c>
      <c r="H92" s="93">
        <v>73</v>
      </c>
      <c r="I92" s="93">
        <v>188</v>
      </c>
      <c r="J92" s="93">
        <v>23.88</v>
      </c>
      <c r="K92" s="93" t="s">
        <v>93</v>
      </c>
      <c r="L92" s="101">
        <v>10</v>
      </c>
      <c r="M92" s="101">
        <v>0</v>
      </c>
      <c r="N92" s="101">
        <v>8.2623425006476687E+18</v>
      </c>
    </row>
    <row r="93" spans="4:14" ht="15" customHeight="1">
      <c r="D93" s="99" t="b">
        <v>0</v>
      </c>
      <c r="E93" s="94" t="s">
        <v>95</v>
      </c>
      <c r="F93" s="92" t="s">
        <v>77</v>
      </c>
      <c r="G93" s="92" t="s">
        <v>93</v>
      </c>
      <c r="H93" s="93">
        <v>73</v>
      </c>
      <c r="I93" s="93">
        <v>180</v>
      </c>
      <c r="J93" s="93">
        <v>26.96</v>
      </c>
      <c r="K93" s="93" t="s">
        <v>93</v>
      </c>
      <c r="L93" s="101">
        <v>11</v>
      </c>
      <c r="M93" s="101">
        <v>0</v>
      </c>
      <c r="N93" s="101">
        <v>1.8097290197038178E+19</v>
      </c>
    </row>
    <row r="94" spans="4:14" ht="15" customHeight="1">
      <c r="D94" s="99" t="b">
        <v>0</v>
      </c>
      <c r="E94" s="94" t="s">
        <v>96</v>
      </c>
      <c r="F94" s="92" t="s">
        <v>77</v>
      </c>
      <c r="G94" s="92" t="s">
        <v>93</v>
      </c>
      <c r="H94" s="93">
        <v>74</v>
      </c>
      <c r="I94" s="93">
        <v>185</v>
      </c>
      <c r="J94" s="93">
        <v>23.29</v>
      </c>
      <c r="K94" s="93" t="s">
        <v>93</v>
      </c>
      <c r="L94" s="101">
        <v>12</v>
      </c>
      <c r="M94" s="101">
        <v>0</v>
      </c>
      <c r="N94" s="101">
        <v>1.3508857981135905E+19</v>
      </c>
    </row>
    <row r="95" spans="4:14" ht="15" customHeight="1">
      <c r="D95" s="99" t="b">
        <v>0</v>
      </c>
      <c r="E95" s="94" t="s">
        <v>97</v>
      </c>
      <c r="F95" s="92" t="s">
        <v>77</v>
      </c>
      <c r="G95" s="92" t="s">
        <v>93</v>
      </c>
      <c r="H95" s="93">
        <v>74</v>
      </c>
      <c r="I95" s="93">
        <v>160</v>
      </c>
      <c r="J95" s="93">
        <v>26.11</v>
      </c>
      <c r="K95" s="93" t="s">
        <v>93</v>
      </c>
      <c r="L95" s="101">
        <v>13</v>
      </c>
      <c r="M95" s="101">
        <v>0</v>
      </c>
      <c r="N95" s="101">
        <v>3.5754288914982943E+18</v>
      </c>
    </row>
    <row r="96" spans="4:14" ht="15" customHeight="1">
      <c r="D96" s="99" t="b">
        <v>0</v>
      </c>
      <c r="E96" s="94" t="s">
        <v>98</v>
      </c>
      <c r="F96" s="92" t="s">
        <v>77</v>
      </c>
      <c r="G96" s="92" t="s">
        <v>93</v>
      </c>
      <c r="H96" s="93">
        <v>69</v>
      </c>
      <c r="I96" s="93">
        <v>180</v>
      </c>
      <c r="J96" s="93">
        <v>27.55</v>
      </c>
      <c r="K96" s="93" t="s">
        <v>93</v>
      </c>
      <c r="L96" s="101">
        <v>14</v>
      </c>
      <c r="M96" s="101">
        <v>0</v>
      </c>
      <c r="N96" s="101">
        <v>5.1768902641641646E+18</v>
      </c>
    </row>
    <row r="97" spans="4:14" ht="15" customHeight="1">
      <c r="D97" s="99" t="b">
        <v>0</v>
      </c>
      <c r="E97" s="94" t="s">
        <v>99</v>
      </c>
      <c r="F97" s="92" t="s">
        <v>77</v>
      </c>
      <c r="G97" s="92" t="s">
        <v>93</v>
      </c>
      <c r="H97" s="93">
        <v>70</v>
      </c>
      <c r="I97" s="93">
        <v>185</v>
      </c>
      <c r="J97" s="93">
        <v>34.270000000000003</v>
      </c>
      <c r="K97" s="93" t="s">
        <v>93</v>
      </c>
      <c r="L97" s="101">
        <v>15</v>
      </c>
      <c r="M97" s="101">
        <v>0</v>
      </c>
      <c r="N97" s="101">
        <v>1.2617324835564841E+19</v>
      </c>
    </row>
    <row r="98" spans="4:14" ht="15" customHeight="1">
      <c r="D98" s="99" t="b">
        <v>0</v>
      </c>
      <c r="E98" s="94" t="s">
        <v>100</v>
      </c>
      <c r="F98" s="92" t="s">
        <v>77</v>
      </c>
      <c r="G98" s="92" t="s">
        <v>101</v>
      </c>
      <c r="H98" s="93">
        <v>73</v>
      </c>
      <c r="I98" s="93">
        <v>189</v>
      </c>
      <c r="J98" s="93">
        <v>27.99</v>
      </c>
      <c r="K98" s="93" t="s">
        <v>75</v>
      </c>
      <c r="L98" s="101">
        <v>16</v>
      </c>
      <c r="M98" s="101">
        <v>0</v>
      </c>
      <c r="N98" s="101">
        <v>5.2170304492266813E+18</v>
      </c>
    </row>
    <row r="99" spans="4:14" ht="15" customHeight="1">
      <c r="D99" s="99" t="b">
        <v>0</v>
      </c>
      <c r="E99" s="94" t="s">
        <v>102</v>
      </c>
      <c r="F99" s="92" t="s">
        <v>77</v>
      </c>
      <c r="G99" s="92" t="s">
        <v>101</v>
      </c>
      <c r="H99" s="93">
        <v>75</v>
      </c>
      <c r="I99" s="93">
        <v>185</v>
      </c>
      <c r="J99" s="93">
        <v>22.38</v>
      </c>
      <c r="K99" s="93" t="s">
        <v>75</v>
      </c>
      <c r="L99" s="101">
        <v>17</v>
      </c>
      <c r="M99" s="101">
        <v>0</v>
      </c>
      <c r="N99" s="101">
        <v>3.2619998158292326E+18</v>
      </c>
    </row>
    <row r="100" spans="4:14" ht="15" customHeight="1">
      <c r="D100" s="99" t="b">
        <v>0</v>
      </c>
      <c r="E100" s="94" t="s">
        <v>103</v>
      </c>
      <c r="F100" s="92" t="s">
        <v>77</v>
      </c>
      <c r="G100" s="92" t="s">
        <v>101</v>
      </c>
      <c r="H100" s="93">
        <v>78</v>
      </c>
      <c r="I100" s="93">
        <v>219</v>
      </c>
      <c r="J100" s="93">
        <v>22.89</v>
      </c>
      <c r="K100" s="93" t="s">
        <v>75</v>
      </c>
      <c r="L100" s="101">
        <v>18</v>
      </c>
      <c r="M100" s="101">
        <v>0</v>
      </c>
      <c r="N100" s="101">
        <v>7.3492885282972262E+18</v>
      </c>
    </row>
    <row r="101" spans="4:14" ht="15" customHeight="1">
      <c r="D101" s="99" t="b">
        <v>0</v>
      </c>
      <c r="E101" s="94" t="s">
        <v>104</v>
      </c>
      <c r="F101" s="92" t="s">
        <v>77</v>
      </c>
      <c r="G101" s="92" t="s">
        <v>101</v>
      </c>
      <c r="H101" s="93">
        <v>79</v>
      </c>
      <c r="I101" s="93">
        <v>230</v>
      </c>
      <c r="J101" s="93">
        <v>25.76</v>
      </c>
      <c r="K101" s="93" t="s">
        <v>75</v>
      </c>
      <c r="L101" s="101">
        <v>19</v>
      </c>
      <c r="M101" s="101">
        <v>0</v>
      </c>
      <c r="N101" s="101">
        <v>1.2445103723792108E+19</v>
      </c>
    </row>
    <row r="102" spans="4:14" ht="15" customHeight="1">
      <c r="D102" s="99" t="b">
        <v>0</v>
      </c>
      <c r="E102" s="94" t="s">
        <v>105</v>
      </c>
      <c r="F102" s="92" t="s">
        <v>77</v>
      </c>
      <c r="G102" s="92" t="s">
        <v>101</v>
      </c>
      <c r="H102" s="93">
        <v>76</v>
      </c>
      <c r="I102" s="93">
        <v>205</v>
      </c>
      <c r="J102" s="93">
        <v>36.33</v>
      </c>
      <c r="K102" s="93" t="s">
        <v>75</v>
      </c>
      <c r="L102" s="101">
        <v>20</v>
      </c>
      <c r="M102" s="101">
        <v>0</v>
      </c>
      <c r="N102" s="101">
        <v>4.0831377730970803E+18</v>
      </c>
    </row>
    <row r="103" spans="4:14" ht="15" customHeight="1">
      <c r="D103" s="99" t="b">
        <v>0</v>
      </c>
      <c r="E103" s="94" t="s">
        <v>106</v>
      </c>
      <c r="F103" s="92" t="s">
        <v>77</v>
      </c>
      <c r="G103" s="92" t="s">
        <v>101</v>
      </c>
      <c r="H103" s="93">
        <v>74</v>
      </c>
      <c r="I103" s="93">
        <v>230</v>
      </c>
      <c r="J103" s="93">
        <v>31.17</v>
      </c>
      <c r="K103" s="93" t="s">
        <v>75</v>
      </c>
      <c r="L103" s="101">
        <v>21</v>
      </c>
      <c r="M103" s="101">
        <v>0</v>
      </c>
      <c r="N103" s="101">
        <v>1.7120488296204663E+19</v>
      </c>
    </row>
    <row r="104" spans="4:14" ht="15" customHeight="1">
      <c r="D104" s="99" t="b">
        <v>0</v>
      </c>
      <c r="E104" s="94" t="s">
        <v>107</v>
      </c>
      <c r="F104" s="92" t="s">
        <v>77</v>
      </c>
      <c r="G104" s="92" t="s">
        <v>101</v>
      </c>
      <c r="H104" s="93">
        <v>76</v>
      </c>
      <c r="I104" s="93">
        <v>195</v>
      </c>
      <c r="J104" s="93">
        <v>32.31</v>
      </c>
      <c r="K104" s="93" t="s">
        <v>75</v>
      </c>
      <c r="L104" s="101">
        <v>22</v>
      </c>
      <c r="M104" s="101">
        <v>0</v>
      </c>
      <c r="N104" s="101">
        <v>1.5400481156634624E+19</v>
      </c>
    </row>
    <row r="105" spans="4:14" ht="15" customHeight="1">
      <c r="D105" s="99" t="b">
        <v>0</v>
      </c>
      <c r="E105" s="94" t="s">
        <v>108</v>
      </c>
      <c r="F105" s="92" t="s">
        <v>77</v>
      </c>
      <c r="G105" s="92" t="s">
        <v>74</v>
      </c>
      <c r="H105" s="93">
        <v>72</v>
      </c>
      <c r="I105" s="93">
        <v>180</v>
      </c>
      <c r="J105" s="93">
        <v>31.03</v>
      </c>
      <c r="K105" s="93" t="s">
        <v>75</v>
      </c>
      <c r="L105" s="101">
        <v>23</v>
      </c>
      <c r="M105" s="101">
        <v>0</v>
      </c>
      <c r="N105" s="101">
        <v>6.3354257587040952E+18</v>
      </c>
    </row>
    <row r="106" spans="4:14" ht="15" customHeight="1">
      <c r="D106" s="99" t="b">
        <v>0</v>
      </c>
      <c r="E106" s="94" t="s">
        <v>109</v>
      </c>
      <c r="F106" s="92" t="s">
        <v>77</v>
      </c>
      <c r="G106" s="92" t="s">
        <v>74</v>
      </c>
      <c r="H106" s="93">
        <v>71</v>
      </c>
      <c r="I106" s="93">
        <v>192</v>
      </c>
      <c r="J106" s="93">
        <v>29.26</v>
      </c>
      <c r="K106" s="93" t="s">
        <v>75</v>
      </c>
      <c r="L106" s="101">
        <v>24</v>
      </c>
      <c r="M106" s="101">
        <v>0</v>
      </c>
      <c r="N106" s="101">
        <v>2.2416224753796979E+18</v>
      </c>
    </row>
    <row r="107" spans="4:14" ht="15" customHeight="1">
      <c r="D107" s="99" t="b">
        <v>0</v>
      </c>
      <c r="E107" s="94" t="s">
        <v>110</v>
      </c>
      <c r="F107" s="92" t="s">
        <v>77</v>
      </c>
      <c r="G107" s="92" t="s">
        <v>74</v>
      </c>
      <c r="H107" s="93">
        <v>75</v>
      </c>
      <c r="I107" s="93">
        <v>225</v>
      </c>
      <c r="J107" s="93">
        <v>29.47</v>
      </c>
      <c r="K107" s="93" t="s">
        <v>75</v>
      </c>
      <c r="L107" s="101">
        <v>25</v>
      </c>
      <c r="M107" s="101">
        <v>0</v>
      </c>
      <c r="N107" s="101">
        <v>1.2833761569022173E+19</v>
      </c>
    </row>
    <row r="108" spans="4:14" ht="15" customHeight="1">
      <c r="D108" s="99" t="b">
        <v>0</v>
      </c>
      <c r="E108" s="94" t="s">
        <v>111</v>
      </c>
      <c r="F108" s="92" t="s">
        <v>77</v>
      </c>
      <c r="G108" s="92" t="s">
        <v>74</v>
      </c>
      <c r="H108" s="93">
        <v>77</v>
      </c>
      <c r="I108" s="93">
        <v>203</v>
      </c>
      <c r="J108" s="93">
        <v>32.46</v>
      </c>
      <c r="K108" s="93" t="s">
        <v>75</v>
      </c>
      <c r="L108" s="101">
        <v>26</v>
      </c>
      <c r="M108" s="101">
        <v>0</v>
      </c>
      <c r="N108" s="101">
        <v>1.4628723502601861E+19</v>
      </c>
    </row>
    <row r="109" spans="4:14" ht="15" customHeight="1">
      <c r="D109" s="99" t="b">
        <v>0</v>
      </c>
      <c r="E109" s="94" t="s">
        <v>112</v>
      </c>
      <c r="F109" s="92" t="s">
        <v>77</v>
      </c>
      <c r="G109" s="92" t="s">
        <v>74</v>
      </c>
      <c r="H109" s="93">
        <v>74</v>
      </c>
      <c r="I109" s="93">
        <v>195</v>
      </c>
      <c r="J109" s="93">
        <v>35.67</v>
      </c>
      <c r="K109" s="93" t="s">
        <v>75</v>
      </c>
      <c r="L109" s="101">
        <v>27</v>
      </c>
      <c r="M109" s="101">
        <v>0</v>
      </c>
      <c r="N109" s="101">
        <v>1.7616067626465808E+19</v>
      </c>
    </row>
    <row r="110" spans="4:14" ht="15" customHeight="1">
      <c r="D110" s="99" t="b">
        <v>0</v>
      </c>
      <c r="E110" s="94" t="s">
        <v>113</v>
      </c>
      <c r="F110" s="92" t="s">
        <v>77</v>
      </c>
      <c r="G110" s="92" t="s">
        <v>74</v>
      </c>
      <c r="H110" s="93">
        <v>73</v>
      </c>
      <c r="I110" s="93">
        <v>182</v>
      </c>
      <c r="J110" s="93">
        <v>25.89</v>
      </c>
      <c r="K110" s="93" t="s">
        <v>75</v>
      </c>
      <c r="L110" s="101">
        <v>28</v>
      </c>
      <c r="M110" s="101">
        <v>0</v>
      </c>
      <c r="N110" s="101">
        <v>6.3066035995202908E+18</v>
      </c>
    </row>
    <row r="111" spans="4:14" ht="15" customHeight="1">
      <c r="D111" s="99" t="b">
        <v>0</v>
      </c>
      <c r="E111" s="94" t="s">
        <v>114</v>
      </c>
      <c r="F111" s="92" t="s">
        <v>77</v>
      </c>
      <c r="G111" s="92" t="s">
        <v>74</v>
      </c>
      <c r="H111" s="93">
        <v>74</v>
      </c>
      <c r="I111" s="93">
        <v>188</v>
      </c>
      <c r="J111" s="93">
        <v>26.55</v>
      </c>
      <c r="K111" s="93" t="s">
        <v>75</v>
      </c>
      <c r="L111" s="101">
        <v>29</v>
      </c>
      <c r="M111" s="101">
        <v>0</v>
      </c>
      <c r="N111" s="101">
        <v>1.4498117026711724E+18</v>
      </c>
    </row>
    <row r="112" spans="4:14" ht="15" customHeight="1">
      <c r="D112" s="99" t="b">
        <v>0</v>
      </c>
      <c r="E112" s="94" t="s">
        <v>115</v>
      </c>
      <c r="F112" s="92" t="s">
        <v>77</v>
      </c>
      <c r="G112" s="92" t="s">
        <v>74</v>
      </c>
      <c r="H112" s="93">
        <v>78</v>
      </c>
      <c r="I112" s="93">
        <v>200</v>
      </c>
      <c r="J112" s="93">
        <v>24.17</v>
      </c>
      <c r="K112" s="93" t="s">
        <v>75</v>
      </c>
      <c r="L112" s="101">
        <v>30</v>
      </c>
      <c r="M112" s="101">
        <v>0</v>
      </c>
      <c r="N112" s="101">
        <v>2.5572654559159864E+18</v>
      </c>
    </row>
    <row r="113" spans="4:14" ht="15" customHeight="1">
      <c r="D113" s="99" t="b">
        <v>0</v>
      </c>
      <c r="E113" s="94" t="s">
        <v>116</v>
      </c>
      <c r="F113" s="92" t="s">
        <v>77</v>
      </c>
      <c r="G113" s="92" t="s">
        <v>74</v>
      </c>
      <c r="H113" s="93">
        <v>73</v>
      </c>
      <c r="I113" s="93">
        <v>180</v>
      </c>
      <c r="J113" s="93">
        <v>26.69</v>
      </c>
      <c r="K113" s="93" t="s">
        <v>75</v>
      </c>
      <c r="L113" s="101">
        <v>31</v>
      </c>
      <c r="M113" s="101">
        <v>0</v>
      </c>
      <c r="N113" s="101">
        <v>7.4954517883344563E+17</v>
      </c>
    </row>
    <row r="114" spans="4:14" ht="15" customHeight="1">
      <c r="D114" s="99" t="b">
        <v>0</v>
      </c>
      <c r="E114" s="94" t="s">
        <v>117</v>
      </c>
      <c r="F114" s="92" t="s">
        <v>77</v>
      </c>
      <c r="G114" s="92" t="s">
        <v>74</v>
      </c>
      <c r="H114" s="93">
        <v>75</v>
      </c>
      <c r="I114" s="93">
        <v>200</v>
      </c>
      <c r="J114" s="93">
        <v>25.13</v>
      </c>
      <c r="K114" s="93" t="s">
        <v>75</v>
      </c>
      <c r="L114" s="101">
        <v>32</v>
      </c>
      <c r="M114" s="101">
        <v>0</v>
      </c>
      <c r="N114" s="101">
        <v>1.4121080200363028E+19</v>
      </c>
    </row>
    <row r="115" spans="4:14" ht="15" customHeight="1">
      <c r="D115" s="99" t="b">
        <v>0</v>
      </c>
      <c r="E115" s="94" t="s">
        <v>118</v>
      </c>
      <c r="F115" s="92" t="s">
        <v>77</v>
      </c>
      <c r="G115" s="92" t="s">
        <v>74</v>
      </c>
      <c r="H115" s="93">
        <v>73</v>
      </c>
      <c r="I115" s="93">
        <v>200</v>
      </c>
      <c r="J115" s="93">
        <v>27.9</v>
      </c>
      <c r="K115" s="93" t="s">
        <v>75</v>
      </c>
      <c r="L115" s="101">
        <v>33</v>
      </c>
      <c r="M115" s="101">
        <v>0</v>
      </c>
      <c r="N115" s="101">
        <v>6.5273718154106798E+18</v>
      </c>
    </row>
    <row r="116" spans="4:14" ht="15" customHeight="1">
      <c r="D116" s="99" t="b">
        <v>0</v>
      </c>
      <c r="E116" s="94" t="s">
        <v>119</v>
      </c>
      <c r="F116" s="92" t="s">
        <v>120</v>
      </c>
      <c r="G116" s="92" t="s">
        <v>78</v>
      </c>
      <c r="H116" s="93">
        <v>75</v>
      </c>
      <c r="I116" s="93">
        <v>245</v>
      </c>
      <c r="J116" s="93">
        <v>30.17</v>
      </c>
      <c r="K116" s="93" t="s">
        <v>78</v>
      </c>
      <c r="L116" s="101">
        <v>34</v>
      </c>
      <c r="M116" s="101">
        <v>0</v>
      </c>
      <c r="N116" s="101">
        <v>4.8279396940249037E+18</v>
      </c>
    </row>
    <row r="117" spans="4:14" ht="15" customHeight="1">
      <c r="D117" s="99" t="b">
        <v>0</v>
      </c>
      <c r="E117" s="94" t="s">
        <v>121</v>
      </c>
      <c r="F117" s="92" t="s">
        <v>120</v>
      </c>
      <c r="G117" s="92" t="s">
        <v>78</v>
      </c>
      <c r="H117" s="93">
        <v>75</v>
      </c>
      <c r="I117" s="93">
        <v>240</v>
      </c>
      <c r="J117" s="93">
        <v>31.36</v>
      </c>
      <c r="K117" s="93" t="s">
        <v>78</v>
      </c>
      <c r="L117" s="101">
        <v>35</v>
      </c>
      <c r="M117" s="101">
        <v>0</v>
      </c>
      <c r="N117" s="101">
        <v>8.1583665360594196E+18</v>
      </c>
    </row>
    <row r="118" spans="4:14" ht="15" customHeight="1">
      <c r="D118" s="99" t="b">
        <v>0</v>
      </c>
      <c r="E118" s="94" t="s">
        <v>122</v>
      </c>
      <c r="F118" s="92" t="s">
        <v>120</v>
      </c>
      <c r="G118" s="92" t="s">
        <v>82</v>
      </c>
      <c r="H118" s="93">
        <v>74</v>
      </c>
      <c r="I118" s="93">
        <v>215</v>
      </c>
      <c r="J118" s="93">
        <v>30.99</v>
      </c>
      <c r="K118" s="93" t="s">
        <v>83</v>
      </c>
      <c r="L118" s="101">
        <v>36</v>
      </c>
      <c r="M118" s="101">
        <v>0</v>
      </c>
      <c r="N118" s="101">
        <v>2.1161719499564055E+18</v>
      </c>
    </row>
    <row r="119" spans="4:14" ht="15" customHeight="1">
      <c r="D119" s="99" t="b">
        <v>0</v>
      </c>
      <c r="E119" s="94" t="s">
        <v>123</v>
      </c>
      <c r="F119" s="92" t="s">
        <v>120</v>
      </c>
      <c r="G119" s="92" t="s">
        <v>86</v>
      </c>
      <c r="H119" s="93">
        <v>69</v>
      </c>
      <c r="I119" s="93">
        <v>185</v>
      </c>
      <c r="J119" s="93">
        <v>32.24</v>
      </c>
      <c r="K119" s="93" t="s">
        <v>83</v>
      </c>
      <c r="L119" s="101">
        <v>37</v>
      </c>
      <c r="M119" s="101">
        <v>0</v>
      </c>
      <c r="N119" s="101">
        <v>6.6332802872608666E+18</v>
      </c>
    </row>
    <row r="120" spans="4:14" ht="15" customHeight="1">
      <c r="D120" s="99" t="b">
        <v>0</v>
      </c>
      <c r="E120" s="94" t="s">
        <v>124</v>
      </c>
      <c r="F120" s="92" t="s">
        <v>120</v>
      </c>
      <c r="G120" s="92" t="s">
        <v>88</v>
      </c>
      <c r="H120" s="93">
        <v>71</v>
      </c>
      <c r="I120" s="93">
        <v>175</v>
      </c>
      <c r="J120" s="93">
        <v>27.61</v>
      </c>
      <c r="K120" s="93" t="s">
        <v>83</v>
      </c>
      <c r="L120" s="101">
        <v>38</v>
      </c>
      <c r="M120" s="101">
        <v>0</v>
      </c>
      <c r="N120" s="101">
        <v>1.3187110333281018E+19</v>
      </c>
    </row>
    <row r="121" spans="4:14" ht="15" customHeight="1">
      <c r="D121" s="99" t="b">
        <v>0</v>
      </c>
      <c r="E121" s="94" t="s">
        <v>125</v>
      </c>
      <c r="F121" s="92" t="s">
        <v>120</v>
      </c>
      <c r="G121" s="92" t="s">
        <v>88</v>
      </c>
      <c r="H121" s="93">
        <v>74</v>
      </c>
      <c r="I121" s="93">
        <v>199</v>
      </c>
      <c r="J121" s="93">
        <v>28.2</v>
      </c>
      <c r="K121" s="93" t="s">
        <v>83</v>
      </c>
      <c r="L121" s="101">
        <v>39</v>
      </c>
      <c r="M121" s="101">
        <v>0</v>
      </c>
      <c r="N121" s="101">
        <v>5.2388789993552087E+18</v>
      </c>
    </row>
    <row r="122" spans="4:14" ht="15" customHeight="1">
      <c r="D122" s="99" t="b">
        <v>0</v>
      </c>
      <c r="E122" s="94" t="s">
        <v>126</v>
      </c>
      <c r="F122" s="92" t="s">
        <v>120</v>
      </c>
      <c r="G122" s="92" t="s">
        <v>90</v>
      </c>
      <c r="H122" s="93">
        <v>73</v>
      </c>
      <c r="I122" s="93">
        <v>200</v>
      </c>
      <c r="J122" s="93">
        <v>28.85</v>
      </c>
      <c r="K122" s="93" t="s">
        <v>83</v>
      </c>
      <c r="L122" s="101">
        <v>40</v>
      </c>
      <c r="M122" s="101">
        <v>0</v>
      </c>
      <c r="N122" s="101">
        <v>1.6615791690224908E+19</v>
      </c>
    </row>
    <row r="123" spans="4:14" ht="15" customHeight="1">
      <c r="D123" s="99" t="b">
        <v>0</v>
      </c>
      <c r="E123" s="94" t="s">
        <v>127</v>
      </c>
      <c r="F123" s="92" t="s">
        <v>120</v>
      </c>
      <c r="G123" s="92" t="s">
        <v>90</v>
      </c>
      <c r="H123" s="93">
        <v>73</v>
      </c>
      <c r="I123" s="93">
        <v>215</v>
      </c>
      <c r="J123" s="93">
        <v>24.21</v>
      </c>
      <c r="K123" s="93" t="s">
        <v>83</v>
      </c>
      <c r="L123" s="101">
        <v>41</v>
      </c>
      <c r="M123" s="101">
        <v>0</v>
      </c>
      <c r="N123" s="101">
        <v>5.812652467616767E+18</v>
      </c>
    </row>
    <row r="124" spans="4:14" ht="15" customHeight="1">
      <c r="D124" s="99" t="b">
        <v>0</v>
      </c>
      <c r="E124" s="94" t="s">
        <v>128</v>
      </c>
      <c r="F124" s="92" t="s">
        <v>120</v>
      </c>
      <c r="G124" s="92" t="s">
        <v>93</v>
      </c>
      <c r="H124" s="93">
        <v>76</v>
      </c>
      <c r="I124" s="93">
        <v>200</v>
      </c>
      <c r="J124" s="93">
        <v>22.02</v>
      </c>
      <c r="K124" s="93" t="s">
        <v>93</v>
      </c>
      <c r="L124" s="101">
        <v>42</v>
      </c>
      <c r="M124" s="101">
        <v>0</v>
      </c>
      <c r="N124" s="101">
        <v>2.1767141951027825E+18</v>
      </c>
    </row>
    <row r="125" spans="4:14" ht="15" customHeight="1">
      <c r="D125" s="99" t="b">
        <v>0</v>
      </c>
      <c r="E125" s="94" t="s">
        <v>129</v>
      </c>
      <c r="F125" s="92" t="s">
        <v>120</v>
      </c>
      <c r="G125" s="92" t="s">
        <v>93</v>
      </c>
      <c r="H125" s="93">
        <v>74</v>
      </c>
      <c r="I125" s="93">
        <v>205</v>
      </c>
      <c r="J125" s="93">
        <v>24.97</v>
      </c>
      <c r="K125" s="93" t="s">
        <v>93</v>
      </c>
      <c r="L125" s="101">
        <v>43</v>
      </c>
      <c r="M125" s="101">
        <v>0</v>
      </c>
      <c r="N125" s="101">
        <v>2.1434137703186857E+18</v>
      </c>
    </row>
    <row r="126" spans="4:14" ht="15" customHeight="1">
      <c r="D126" s="99" t="b">
        <v>0</v>
      </c>
      <c r="E126" s="94" t="s">
        <v>130</v>
      </c>
      <c r="F126" s="92" t="s">
        <v>120</v>
      </c>
      <c r="G126" s="92" t="s">
        <v>93</v>
      </c>
      <c r="H126" s="93">
        <v>74</v>
      </c>
      <c r="I126" s="93">
        <v>206</v>
      </c>
      <c r="J126" s="93">
        <v>26.78</v>
      </c>
      <c r="K126" s="93" t="s">
        <v>93</v>
      </c>
      <c r="L126" s="101">
        <v>44</v>
      </c>
      <c r="M126" s="101">
        <v>0</v>
      </c>
      <c r="N126" s="101">
        <v>1.0420046380274911E+19</v>
      </c>
    </row>
    <row r="127" spans="4:14" ht="15" customHeight="1">
      <c r="D127" s="99" t="b">
        <v>0</v>
      </c>
      <c r="E127" s="94" t="s">
        <v>131</v>
      </c>
      <c r="F127" s="92" t="s">
        <v>120</v>
      </c>
      <c r="G127" s="92" t="s">
        <v>93</v>
      </c>
      <c r="H127" s="93">
        <v>70</v>
      </c>
      <c r="I127" s="93">
        <v>186</v>
      </c>
      <c r="J127" s="93">
        <v>32.51</v>
      </c>
      <c r="K127" s="93" t="s">
        <v>93</v>
      </c>
      <c r="L127" s="101">
        <v>45</v>
      </c>
      <c r="M127" s="101">
        <v>0</v>
      </c>
      <c r="N127" s="101">
        <v>1.0522553983278545E+19</v>
      </c>
    </row>
    <row r="128" spans="4:14" ht="15" customHeight="1">
      <c r="D128" s="99" t="b">
        <v>0</v>
      </c>
      <c r="E128" s="94" t="s">
        <v>132</v>
      </c>
      <c r="F128" s="92" t="s">
        <v>120</v>
      </c>
      <c r="G128" s="92" t="s">
        <v>93</v>
      </c>
      <c r="H128" s="93">
        <v>72</v>
      </c>
      <c r="I128" s="93">
        <v>188</v>
      </c>
      <c r="J128" s="93">
        <v>30.95</v>
      </c>
      <c r="K128" s="93" t="s">
        <v>93</v>
      </c>
      <c r="L128" s="101">
        <v>46</v>
      </c>
      <c r="M128" s="101">
        <v>0</v>
      </c>
      <c r="N128" s="101">
        <v>1.4122071953934959E+19</v>
      </c>
    </row>
    <row r="129" spans="4:14" ht="15" customHeight="1">
      <c r="D129" s="99" t="b">
        <v>0</v>
      </c>
      <c r="E129" s="94" t="s">
        <v>133</v>
      </c>
      <c r="F129" s="92" t="s">
        <v>120</v>
      </c>
      <c r="G129" s="92" t="s">
        <v>93</v>
      </c>
      <c r="H129" s="93">
        <v>77</v>
      </c>
      <c r="I129" s="93">
        <v>220</v>
      </c>
      <c r="J129" s="93">
        <v>33.090000000000003</v>
      </c>
      <c r="K129" s="93" t="s">
        <v>93</v>
      </c>
      <c r="L129" s="101">
        <v>47</v>
      </c>
      <c r="M129" s="101">
        <v>0</v>
      </c>
      <c r="N129" s="101">
        <v>9.6714639342285967E+18</v>
      </c>
    </row>
    <row r="130" spans="4:14" ht="15" customHeight="1">
      <c r="D130" s="99" t="b">
        <v>0</v>
      </c>
      <c r="E130" s="94" t="s">
        <v>134</v>
      </c>
      <c r="F130" s="92" t="s">
        <v>120</v>
      </c>
      <c r="G130" s="92" t="s">
        <v>93</v>
      </c>
      <c r="H130" s="93">
        <v>74</v>
      </c>
      <c r="I130" s="93">
        <v>210</v>
      </c>
      <c r="J130" s="93">
        <v>32.74</v>
      </c>
      <c r="K130" s="93" t="s">
        <v>93</v>
      </c>
      <c r="L130" s="101">
        <v>48</v>
      </c>
      <c r="M130" s="101">
        <v>0</v>
      </c>
      <c r="N130" s="101">
        <v>1.7304314223697195E+19</v>
      </c>
    </row>
    <row r="131" spans="4:14" ht="15" customHeight="1">
      <c r="D131" s="99" t="b">
        <v>0</v>
      </c>
      <c r="E131" s="94" t="s">
        <v>135</v>
      </c>
      <c r="F131" s="92" t="s">
        <v>120</v>
      </c>
      <c r="G131" s="92" t="s">
        <v>93</v>
      </c>
      <c r="H131" s="93">
        <v>70</v>
      </c>
      <c r="I131" s="93">
        <v>195</v>
      </c>
      <c r="J131" s="93">
        <v>30.69</v>
      </c>
      <c r="K131" s="93" t="s">
        <v>93</v>
      </c>
      <c r="L131" s="101">
        <v>49</v>
      </c>
      <c r="M131" s="101">
        <v>0</v>
      </c>
      <c r="N131" s="101">
        <v>3.938583175341673E+18</v>
      </c>
    </row>
    <row r="132" spans="4:14" ht="15" customHeight="1">
      <c r="D132" s="99" t="b">
        <v>0</v>
      </c>
      <c r="E132" s="94" t="s">
        <v>136</v>
      </c>
      <c r="F132" s="92" t="s">
        <v>120</v>
      </c>
      <c r="G132" s="92" t="s">
        <v>101</v>
      </c>
      <c r="H132" s="93">
        <v>73</v>
      </c>
      <c r="I132" s="93">
        <v>200</v>
      </c>
      <c r="J132" s="93">
        <v>23.45</v>
      </c>
      <c r="K132" s="93" t="s">
        <v>75</v>
      </c>
      <c r="L132" s="101">
        <v>50</v>
      </c>
      <c r="M132" s="101">
        <v>0</v>
      </c>
      <c r="N132" s="101">
        <v>3.9276941320838349E+18</v>
      </c>
    </row>
    <row r="133" spans="4:14" ht="15" customHeight="1">
      <c r="D133" s="99" t="b">
        <v>0</v>
      </c>
      <c r="E133" s="94" t="s">
        <v>137</v>
      </c>
      <c r="F133" s="92" t="s">
        <v>120</v>
      </c>
      <c r="G133" s="92" t="s">
        <v>101</v>
      </c>
      <c r="H133" s="93">
        <v>75</v>
      </c>
      <c r="I133" s="93">
        <v>200</v>
      </c>
      <c r="J133" s="93">
        <v>24.94</v>
      </c>
      <c r="K133" s="93" t="s">
        <v>75</v>
      </c>
      <c r="L133" s="101">
        <v>51</v>
      </c>
      <c r="M133" s="101">
        <v>0</v>
      </c>
      <c r="N133" s="101">
        <v>6.608081298710313E+17</v>
      </c>
    </row>
    <row r="134" spans="4:14" ht="15" customHeight="1">
      <c r="D134" s="99" t="b">
        <v>0</v>
      </c>
      <c r="E134" s="94" t="s">
        <v>138</v>
      </c>
      <c r="F134" s="92" t="s">
        <v>120</v>
      </c>
      <c r="G134" s="92" t="s">
        <v>101</v>
      </c>
      <c r="H134" s="93">
        <v>76</v>
      </c>
      <c r="I134" s="93">
        <v>212</v>
      </c>
      <c r="J134" s="93">
        <v>24.09</v>
      </c>
      <c r="K134" s="93" t="s">
        <v>75</v>
      </c>
      <c r="L134" s="101">
        <v>52</v>
      </c>
      <c r="M134" s="101">
        <v>0</v>
      </c>
      <c r="N134" s="101">
        <v>6.5797980970771732E+18</v>
      </c>
    </row>
    <row r="135" spans="4:14" ht="15" customHeight="1">
      <c r="D135" s="99" t="b">
        <v>0</v>
      </c>
      <c r="E135" s="94" t="s">
        <v>139</v>
      </c>
      <c r="F135" s="92" t="s">
        <v>120</v>
      </c>
      <c r="G135" s="92" t="s">
        <v>101</v>
      </c>
      <c r="H135" s="93">
        <v>76</v>
      </c>
      <c r="I135" s="93">
        <v>224</v>
      </c>
      <c r="J135" s="93">
        <v>35.229999999999997</v>
      </c>
      <c r="K135" s="93" t="s">
        <v>75</v>
      </c>
      <c r="L135" s="101">
        <v>53</v>
      </c>
      <c r="M135" s="101">
        <v>0</v>
      </c>
      <c r="N135" s="101">
        <v>6.9597792261198408E+18</v>
      </c>
    </row>
    <row r="136" spans="4:14" ht="15" customHeight="1">
      <c r="D136" s="99" t="b">
        <v>0</v>
      </c>
      <c r="E136" s="94" t="s">
        <v>140</v>
      </c>
      <c r="F136" s="92" t="s">
        <v>120</v>
      </c>
      <c r="G136" s="92" t="s">
        <v>101</v>
      </c>
      <c r="H136" s="93">
        <v>78</v>
      </c>
      <c r="I136" s="93">
        <v>210</v>
      </c>
      <c r="J136" s="93">
        <v>27.43</v>
      </c>
      <c r="K136" s="93" t="s">
        <v>75</v>
      </c>
      <c r="L136" s="101">
        <v>54</v>
      </c>
      <c r="M136" s="101">
        <v>0</v>
      </c>
      <c r="N136" s="101">
        <v>3.6828965393289129E+18</v>
      </c>
    </row>
    <row r="137" spans="4:14" ht="15" customHeight="1">
      <c r="D137" s="99" t="b">
        <v>0</v>
      </c>
      <c r="E137" s="94" t="s">
        <v>141</v>
      </c>
      <c r="F137" s="92" t="s">
        <v>120</v>
      </c>
      <c r="G137" s="92" t="s">
        <v>101</v>
      </c>
      <c r="H137" s="93">
        <v>74</v>
      </c>
      <c r="I137" s="93">
        <v>205</v>
      </c>
      <c r="J137" s="93">
        <v>30.6</v>
      </c>
      <c r="K137" s="93" t="s">
        <v>75</v>
      </c>
      <c r="L137" s="101">
        <v>55</v>
      </c>
      <c r="M137" s="101">
        <v>0</v>
      </c>
      <c r="N137" s="101">
        <v>1.4439631417821555E+18</v>
      </c>
    </row>
    <row r="138" spans="4:14" ht="15" customHeight="1">
      <c r="D138" s="99" t="b">
        <v>0</v>
      </c>
      <c r="E138" s="94" t="s">
        <v>142</v>
      </c>
      <c r="F138" s="92" t="s">
        <v>120</v>
      </c>
      <c r="G138" s="92" t="s">
        <v>101</v>
      </c>
      <c r="H138" s="93">
        <v>74</v>
      </c>
      <c r="I138" s="93">
        <v>220</v>
      </c>
      <c r="J138" s="93">
        <v>27.94</v>
      </c>
      <c r="K138" s="93" t="s">
        <v>75</v>
      </c>
      <c r="L138" s="101">
        <v>56</v>
      </c>
      <c r="M138" s="101">
        <v>0</v>
      </c>
      <c r="N138" s="101">
        <v>1.3006929725250619E+19</v>
      </c>
    </row>
    <row r="139" spans="4:14" ht="15" customHeight="1">
      <c r="D139" s="99" t="b">
        <v>0</v>
      </c>
      <c r="E139" s="94" t="s">
        <v>143</v>
      </c>
      <c r="F139" s="92" t="s">
        <v>120</v>
      </c>
      <c r="G139" s="92" t="s">
        <v>74</v>
      </c>
      <c r="H139" s="93">
        <v>76</v>
      </c>
      <c r="I139" s="93">
        <v>195</v>
      </c>
      <c r="J139" s="93">
        <v>29.99</v>
      </c>
      <c r="K139" s="93" t="s">
        <v>75</v>
      </c>
      <c r="L139" s="101">
        <v>57</v>
      </c>
      <c r="M139" s="101">
        <v>0</v>
      </c>
      <c r="N139" s="101">
        <v>2.0285522596774587E+18</v>
      </c>
    </row>
    <row r="140" spans="4:14" ht="15" customHeight="1">
      <c r="D140" s="99" t="b">
        <v>0</v>
      </c>
      <c r="E140" s="94" t="s">
        <v>144</v>
      </c>
      <c r="F140" s="92" t="s">
        <v>120</v>
      </c>
      <c r="G140" s="92" t="s">
        <v>74</v>
      </c>
      <c r="H140" s="93">
        <v>77</v>
      </c>
      <c r="I140" s="93">
        <v>200</v>
      </c>
      <c r="J140" s="93">
        <v>25.17</v>
      </c>
      <c r="K140" s="93" t="s">
        <v>75</v>
      </c>
      <c r="L140" s="101">
        <v>58</v>
      </c>
      <c r="M140" s="101">
        <v>0</v>
      </c>
      <c r="N140" s="101">
        <v>1.6216513419270504E+19</v>
      </c>
    </row>
    <row r="141" spans="4:14" ht="15" customHeight="1">
      <c r="D141" s="99" t="b">
        <v>0</v>
      </c>
      <c r="E141" s="94" t="s">
        <v>145</v>
      </c>
      <c r="F141" s="92" t="s">
        <v>120</v>
      </c>
      <c r="G141" s="92" t="s">
        <v>74</v>
      </c>
      <c r="H141" s="93">
        <v>81</v>
      </c>
      <c r="I141" s="93">
        <v>260</v>
      </c>
      <c r="J141" s="93">
        <v>24.13</v>
      </c>
      <c r="K141" s="93" t="s">
        <v>75</v>
      </c>
      <c r="L141" s="101">
        <v>59</v>
      </c>
      <c r="M141" s="101">
        <v>0</v>
      </c>
      <c r="N141" s="101">
        <v>8.3578708951160658E+18</v>
      </c>
    </row>
    <row r="142" spans="4:14" ht="15" customHeight="1">
      <c r="D142" s="99" t="b">
        <v>0</v>
      </c>
      <c r="E142" s="94" t="s">
        <v>146</v>
      </c>
      <c r="F142" s="92" t="s">
        <v>120</v>
      </c>
      <c r="G142" s="92" t="s">
        <v>74</v>
      </c>
      <c r="H142" s="93">
        <v>78</v>
      </c>
      <c r="I142" s="93">
        <v>228</v>
      </c>
      <c r="J142" s="93">
        <v>30.46</v>
      </c>
      <c r="K142" s="93" t="s">
        <v>75</v>
      </c>
      <c r="L142" s="101">
        <v>60</v>
      </c>
      <c r="M142" s="101">
        <v>0</v>
      </c>
      <c r="N142" s="101">
        <v>1.1487564566509437E+19</v>
      </c>
    </row>
    <row r="143" spans="4:14" ht="15" customHeight="1">
      <c r="D143" s="99" t="b">
        <v>0</v>
      </c>
      <c r="E143" s="94" t="s">
        <v>147</v>
      </c>
      <c r="F143" s="92" t="s">
        <v>120</v>
      </c>
      <c r="G143" s="92" t="s">
        <v>74</v>
      </c>
      <c r="H143" s="93">
        <v>75</v>
      </c>
      <c r="I143" s="93">
        <v>270</v>
      </c>
      <c r="J143" s="93">
        <v>25.96</v>
      </c>
      <c r="K143" s="93" t="s">
        <v>75</v>
      </c>
      <c r="L143" s="101">
        <v>61</v>
      </c>
      <c r="M143" s="101">
        <v>0</v>
      </c>
      <c r="N143" s="101">
        <v>8.6920670628449293E+17</v>
      </c>
    </row>
    <row r="144" spans="4:14" ht="15" customHeight="1">
      <c r="D144" s="99" t="b">
        <v>0</v>
      </c>
      <c r="E144" s="94" t="s">
        <v>148</v>
      </c>
      <c r="F144" s="92" t="s">
        <v>120</v>
      </c>
      <c r="G144" s="92" t="s">
        <v>74</v>
      </c>
      <c r="H144" s="93">
        <v>77</v>
      </c>
      <c r="I144" s="93">
        <v>200</v>
      </c>
      <c r="J144" s="93">
        <v>22.55</v>
      </c>
      <c r="K144" s="93" t="s">
        <v>75</v>
      </c>
      <c r="L144" s="101">
        <v>62</v>
      </c>
      <c r="M144" s="101">
        <v>0</v>
      </c>
      <c r="N144" s="101">
        <v>1.3690961827168539E+19</v>
      </c>
    </row>
    <row r="145" spans="4:14" ht="15" customHeight="1">
      <c r="D145" s="99" t="b">
        <v>0</v>
      </c>
      <c r="E145" s="94" t="s">
        <v>149</v>
      </c>
      <c r="F145" s="92" t="s">
        <v>120</v>
      </c>
      <c r="G145" s="92" t="s">
        <v>74</v>
      </c>
      <c r="H145" s="93">
        <v>75</v>
      </c>
      <c r="I145" s="93">
        <v>210</v>
      </c>
      <c r="J145" s="93">
        <v>26.29</v>
      </c>
      <c r="K145" s="93" t="s">
        <v>75</v>
      </c>
      <c r="L145" s="101">
        <v>63</v>
      </c>
      <c r="M145" s="101">
        <v>0</v>
      </c>
      <c r="N145" s="101">
        <v>6.0990996221374607E+18</v>
      </c>
    </row>
    <row r="146" spans="4:14" ht="15" customHeight="1">
      <c r="D146" s="99" t="b">
        <v>0</v>
      </c>
      <c r="E146" s="94" t="s">
        <v>150</v>
      </c>
      <c r="F146" s="92" t="s">
        <v>120</v>
      </c>
      <c r="G146" s="92" t="s">
        <v>74</v>
      </c>
      <c r="H146" s="93">
        <v>76</v>
      </c>
      <c r="I146" s="93">
        <v>190</v>
      </c>
      <c r="J146" s="93">
        <v>24.79</v>
      </c>
      <c r="K146" s="93" t="s">
        <v>75</v>
      </c>
      <c r="L146" s="101">
        <v>64</v>
      </c>
      <c r="M146" s="101">
        <v>0</v>
      </c>
      <c r="N146" s="101">
        <v>9.478198180939264E+18</v>
      </c>
    </row>
    <row r="147" spans="4:14" ht="15" customHeight="1">
      <c r="D147" s="99" t="b">
        <v>0</v>
      </c>
      <c r="E147" s="94" t="s">
        <v>151</v>
      </c>
      <c r="F147" s="92" t="s">
        <v>152</v>
      </c>
      <c r="G147" s="92" t="s">
        <v>78</v>
      </c>
      <c r="H147" s="93">
        <v>74</v>
      </c>
      <c r="I147" s="93">
        <v>220</v>
      </c>
      <c r="J147" s="93">
        <v>31.74</v>
      </c>
      <c r="K147" s="93" t="s">
        <v>78</v>
      </c>
      <c r="L147" s="101">
        <v>65</v>
      </c>
      <c r="M147" s="101">
        <v>0</v>
      </c>
      <c r="N147" s="101">
        <v>5.959001266224299E+18</v>
      </c>
    </row>
    <row r="148" spans="4:14" ht="15" customHeight="1">
      <c r="D148" s="99" t="b">
        <v>0</v>
      </c>
      <c r="E148" s="94" t="s">
        <v>153</v>
      </c>
      <c r="F148" s="92" t="s">
        <v>152</v>
      </c>
      <c r="G148" s="92" t="s">
        <v>78</v>
      </c>
      <c r="H148" s="93">
        <v>72</v>
      </c>
      <c r="I148" s="93">
        <v>180</v>
      </c>
      <c r="J148" s="93">
        <v>23.92</v>
      </c>
      <c r="K148" s="93" t="s">
        <v>78</v>
      </c>
      <c r="L148" s="101">
        <v>66</v>
      </c>
      <c r="M148" s="101">
        <v>0</v>
      </c>
      <c r="N148" s="101">
        <v>3.7595883910668483E+18</v>
      </c>
    </row>
    <row r="149" spans="4:14" ht="15" customHeight="1">
      <c r="D149" s="99" t="b">
        <v>0</v>
      </c>
      <c r="E149" s="94" t="s">
        <v>154</v>
      </c>
      <c r="F149" s="92" t="s">
        <v>152</v>
      </c>
      <c r="G149" s="92" t="s">
        <v>78</v>
      </c>
      <c r="H149" s="93">
        <v>72</v>
      </c>
      <c r="I149" s="93">
        <v>205</v>
      </c>
      <c r="J149" s="93">
        <v>25.33</v>
      </c>
      <c r="K149" s="93" t="s">
        <v>78</v>
      </c>
      <c r="L149" s="101">
        <v>67</v>
      </c>
      <c r="M149" s="101">
        <v>0</v>
      </c>
      <c r="N149" s="101">
        <v>1.5301014776667517E+19</v>
      </c>
    </row>
    <row r="150" spans="4:14" ht="15" customHeight="1">
      <c r="D150" s="99" t="b">
        <v>0</v>
      </c>
      <c r="E150" s="94" t="s">
        <v>155</v>
      </c>
      <c r="F150" s="92" t="s">
        <v>152</v>
      </c>
      <c r="G150" s="92" t="s">
        <v>82</v>
      </c>
      <c r="H150" s="93">
        <v>75</v>
      </c>
      <c r="I150" s="93">
        <v>210</v>
      </c>
      <c r="J150" s="93">
        <v>24.02</v>
      </c>
      <c r="K150" s="93" t="s">
        <v>83</v>
      </c>
      <c r="L150" s="101">
        <v>68</v>
      </c>
      <c r="M150" s="101">
        <v>0</v>
      </c>
      <c r="N150" s="101">
        <v>1.4214964621746612E+19</v>
      </c>
    </row>
    <row r="151" spans="4:14" ht="15" customHeight="1">
      <c r="D151" s="99" t="b">
        <v>0</v>
      </c>
      <c r="E151" s="94" t="s">
        <v>156</v>
      </c>
      <c r="F151" s="92" t="s">
        <v>152</v>
      </c>
      <c r="G151" s="92" t="s">
        <v>82</v>
      </c>
      <c r="H151" s="93">
        <v>73</v>
      </c>
      <c r="I151" s="93">
        <v>220</v>
      </c>
      <c r="J151" s="93">
        <v>23.7</v>
      </c>
      <c r="K151" s="93" t="s">
        <v>83</v>
      </c>
      <c r="L151" s="101">
        <v>69</v>
      </c>
      <c r="M151" s="101">
        <v>0</v>
      </c>
      <c r="N151" s="101">
        <v>3.3630033585728046E+18</v>
      </c>
    </row>
    <row r="152" spans="4:14" ht="15" customHeight="1">
      <c r="D152" s="99" t="b">
        <v>0</v>
      </c>
      <c r="E152" s="94" t="s">
        <v>157</v>
      </c>
      <c r="F152" s="92" t="s">
        <v>152</v>
      </c>
      <c r="G152" s="92" t="s">
        <v>82</v>
      </c>
      <c r="H152" s="93">
        <v>73</v>
      </c>
      <c r="I152" s="93">
        <v>211</v>
      </c>
      <c r="J152" s="93">
        <v>31.59</v>
      </c>
      <c r="K152" s="93" t="s">
        <v>83</v>
      </c>
      <c r="L152" s="101">
        <v>70</v>
      </c>
      <c r="M152" s="101">
        <v>0</v>
      </c>
      <c r="N152" s="101">
        <v>7.9172643928950845E+18</v>
      </c>
    </row>
    <row r="153" spans="4:14" ht="15" customHeight="1">
      <c r="D153" s="99" t="b">
        <v>0</v>
      </c>
      <c r="E153" s="94" t="s">
        <v>158</v>
      </c>
      <c r="F153" s="92" t="s">
        <v>152</v>
      </c>
      <c r="G153" s="92" t="s">
        <v>82</v>
      </c>
      <c r="H153" s="93">
        <v>73</v>
      </c>
      <c r="I153" s="93">
        <v>200</v>
      </c>
      <c r="J153" s="93">
        <v>29.95</v>
      </c>
      <c r="K153" s="93" t="s">
        <v>83</v>
      </c>
      <c r="L153" s="101">
        <v>71</v>
      </c>
      <c r="M153" s="101">
        <v>0</v>
      </c>
      <c r="N153" s="101">
        <v>1.7310468264915806E+19</v>
      </c>
    </row>
    <row r="154" spans="4:14" ht="15" customHeight="1">
      <c r="D154" s="99" t="b">
        <v>0</v>
      </c>
      <c r="E154" s="94" t="s">
        <v>159</v>
      </c>
      <c r="F154" s="92" t="s">
        <v>152</v>
      </c>
      <c r="G154" s="92" t="s">
        <v>82</v>
      </c>
      <c r="H154" s="93">
        <v>70</v>
      </c>
      <c r="I154" s="93">
        <v>180</v>
      </c>
      <c r="J154" s="93">
        <v>23.64</v>
      </c>
      <c r="K154" s="93" t="s">
        <v>83</v>
      </c>
      <c r="L154" s="101">
        <v>72</v>
      </c>
      <c r="M154" s="101">
        <v>0</v>
      </c>
      <c r="N154" s="101">
        <v>5.8474496327605473E+18</v>
      </c>
    </row>
    <row r="155" spans="4:14" ht="15" customHeight="1">
      <c r="D155" s="99" t="b">
        <v>0</v>
      </c>
      <c r="E155" s="94" t="s">
        <v>160</v>
      </c>
      <c r="F155" s="92" t="s">
        <v>152</v>
      </c>
      <c r="G155" s="92" t="s">
        <v>88</v>
      </c>
      <c r="H155" s="93">
        <v>70</v>
      </c>
      <c r="I155" s="93">
        <v>190</v>
      </c>
      <c r="J155" s="93">
        <v>32.33</v>
      </c>
      <c r="K155" s="93" t="s">
        <v>83</v>
      </c>
      <c r="L155" s="101">
        <v>73</v>
      </c>
      <c r="M155" s="101">
        <v>0</v>
      </c>
      <c r="N155" s="101">
        <v>1.3215393382044297E+19</v>
      </c>
    </row>
    <row r="156" spans="4:14" ht="15" customHeight="1">
      <c r="D156" s="99" t="b">
        <v>0</v>
      </c>
      <c r="E156" s="94" t="s">
        <v>161</v>
      </c>
      <c r="F156" s="92" t="s">
        <v>152</v>
      </c>
      <c r="G156" s="92" t="s">
        <v>88</v>
      </c>
      <c r="H156" s="93">
        <v>70</v>
      </c>
      <c r="I156" s="93">
        <v>170</v>
      </c>
      <c r="J156" s="93">
        <v>23.13</v>
      </c>
      <c r="K156" s="93" t="s">
        <v>83</v>
      </c>
      <c r="L156" s="101">
        <v>74</v>
      </c>
      <c r="M156" s="101">
        <v>0</v>
      </c>
      <c r="N156" s="101">
        <v>1.2436994800698266E+19</v>
      </c>
    </row>
    <row r="157" spans="4:14" ht="15" customHeight="1">
      <c r="D157" s="99" t="b">
        <v>0</v>
      </c>
      <c r="E157" s="94" t="s">
        <v>162</v>
      </c>
      <c r="F157" s="92" t="s">
        <v>152</v>
      </c>
      <c r="G157" s="92" t="s">
        <v>90</v>
      </c>
      <c r="H157" s="93">
        <v>76</v>
      </c>
      <c r="I157" s="93">
        <v>230</v>
      </c>
      <c r="J157" s="93">
        <v>26.6</v>
      </c>
      <c r="K157" s="93" t="s">
        <v>83</v>
      </c>
      <c r="L157" s="101">
        <v>75</v>
      </c>
      <c r="M157" s="101">
        <v>0</v>
      </c>
      <c r="N157" s="101">
        <v>6.163643691674452E+18</v>
      </c>
    </row>
    <row r="158" spans="4:14" ht="15" customHeight="1">
      <c r="D158" s="99" t="b">
        <v>0</v>
      </c>
      <c r="E158" s="94" t="s">
        <v>163</v>
      </c>
      <c r="F158" s="92" t="s">
        <v>152</v>
      </c>
      <c r="G158" s="92" t="s">
        <v>90</v>
      </c>
      <c r="H158" s="93">
        <v>68</v>
      </c>
      <c r="I158" s="93">
        <v>155</v>
      </c>
      <c r="J158" s="93">
        <v>26.46</v>
      </c>
      <c r="K158" s="93" t="s">
        <v>83</v>
      </c>
      <c r="L158" s="101">
        <v>76</v>
      </c>
      <c r="M158" s="101">
        <v>0</v>
      </c>
      <c r="N158" s="101">
        <v>1.0987336203854058E+17</v>
      </c>
    </row>
    <row r="159" spans="4:14" ht="15" customHeight="1">
      <c r="D159" s="99" t="b">
        <v>0</v>
      </c>
      <c r="E159" s="94" t="s">
        <v>164</v>
      </c>
      <c r="F159" s="92" t="s">
        <v>152</v>
      </c>
      <c r="G159" s="92" t="s">
        <v>93</v>
      </c>
      <c r="H159" s="93">
        <v>71</v>
      </c>
      <c r="I159" s="93">
        <v>185</v>
      </c>
      <c r="J159" s="93">
        <v>25.75</v>
      </c>
      <c r="K159" s="93" t="s">
        <v>93</v>
      </c>
      <c r="L159" s="101">
        <v>77</v>
      </c>
      <c r="M159" s="101">
        <v>0</v>
      </c>
      <c r="N159" s="101">
        <v>4.1846840133398431E+18</v>
      </c>
    </row>
    <row r="160" spans="4:14" ht="15" customHeight="1">
      <c r="D160" s="99" t="b">
        <v>0</v>
      </c>
      <c r="E160" s="94" t="s">
        <v>165</v>
      </c>
      <c r="F160" s="92" t="s">
        <v>152</v>
      </c>
      <c r="G160" s="92" t="s">
        <v>93</v>
      </c>
      <c r="H160" s="93">
        <v>72</v>
      </c>
      <c r="I160" s="93">
        <v>185</v>
      </c>
      <c r="J160" s="93">
        <v>27.51</v>
      </c>
      <c r="K160" s="93" t="s">
        <v>93</v>
      </c>
      <c r="L160" s="101">
        <v>78</v>
      </c>
      <c r="M160" s="101">
        <v>0</v>
      </c>
      <c r="N160" s="101">
        <v>1.0760843882766408E+19</v>
      </c>
    </row>
    <row r="161" spans="4:14" ht="15" customHeight="1">
      <c r="D161" s="99" t="b">
        <v>0</v>
      </c>
      <c r="E161" s="94" t="s">
        <v>166</v>
      </c>
      <c r="F161" s="92" t="s">
        <v>152</v>
      </c>
      <c r="G161" s="92" t="s">
        <v>93</v>
      </c>
      <c r="H161" s="93">
        <v>75</v>
      </c>
      <c r="I161" s="93">
        <v>200</v>
      </c>
      <c r="J161" s="93">
        <v>25.11</v>
      </c>
      <c r="K161" s="93" t="s">
        <v>93</v>
      </c>
      <c r="L161" s="101">
        <v>79</v>
      </c>
      <c r="M161" s="101">
        <v>0</v>
      </c>
      <c r="N161" s="101">
        <v>1.020831930498174E+19</v>
      </c>
    </row>
    <row r="162" spans="4:14" ht="15" customHeight="1">
      <c r="D162" s="99" t="b">
        <v>0</v>
      </c>
      <c r="E162" s="94" t="s">
        <v>167</v>
      </c>
      <c r="F162" s="92" t="s">
        <v>152</v>
      </c>
      <c r="G162" s="92" t="s">
        <v>93</v>
      </c>
      <c r="H162" s="93">
        <v>75</v>
      </c>
      <c r="I162" s="93">
        <v>225</v>
      </c>
      <c r="J162" s="93">
        <v>32.51</v>
      </c>
      <c r="K162" s="93" t="s">
        <v>93</v>
      </c>
      <c r="L162" s="101">
        <v>80</v>
      </c>
      <c r="M162" s="101">
        <v>0</v>
      </c>
      <c r="N162" s="101">
        <v>1.8328912329095696E+19</v>
      </c>
    </row>
    <row r="163" spans="4:14" ht="15" customHeight="1">
      <c r="D163" s="99" t="b">
        <v>0</v>
      </c>
      <c r="E163" s="94" t="s">
        <v>168</v>
      </c>
      <c r="F163" s="92" t="s">
        <v>152</v>
      </c>
      <c r="G163" s="92" t="s">
        <v>93</v>
      </c>
      <c r="H163" s="93">
        <v>75</v>
      </c>
      <c r="I163" s="93">
        <v>225</v>
      </c>
      <c r="J163" s="93">
        <v>34.67</v>
      </c>
      <c r="K163" s="93" t="s">
        <v>93</v>
      </c>
      <c r="L163" s="101">
        <v>81</v>
      </c>
      <c r="M163" s="101">
        <v>0</v>
      </c>
      <c r="N163" s="101">
        <v>5.1071117788000584E+18</v>
      </c>
    </row>
    <row r="164" spans="4:14" ht="15" customHeight="1">
      <c r="D164" s="99" t="b">
        <v>0</v>
      </c>
      <c r="E164" s="94" t="s">
        <v>169</v>
      </c>
      <c r="F164" s="92" t="s">
        <v>152</v>
      </c>
      <c r="G164" s="92" t="s">
        <v>93</v>
      </c>
      <c r="H164" s="93">
        <v>75</v>
      </c>
      <c r="I164" s="93">
        <v>220</v>
      </c>
      <c r="J164" s="93">
        <v>31.06</v>
      </c>
      <c r="K164" s="93" t="s">
        <v>93</v>
      </c>
      <c r="L164" s="101">
        <v>82</v>
      </c>
      <c r="M164" s="101">
        <v>0</v>
      </c>
      <c r="N164" s="101">
        <v>9.1836655587477658E+18</v>
      </c>
    </row>
    <row r="165" spans="4:14" ht="15" customHeight="1">
      <c r="D165" s="99" t="b">
        <v>0</v>
      </c>
      <c r="E165" s="94" t="s">
        <v>170</v>
      </c>
      <c r="F165" s="92" t="s">
        <v>152</v>
      </c>
      <c r="G165" s="92" t="s">
        <v>93</v>
      </c>
      <c r="H165" s="93">
        <v>68</v>
      </c>
      <c r="I165" s="93">
        <v>160</v>
      </c>
      <c r="J165" s="93">
        <v>29.1</v>
      </c>
      <c r="K165" s="93" t="s">
        <v>93</v>
      </c>
      <c r="L165" s="101">
        <v>83</v>
      </c>
      <c r="M165" s="101">
        <v>0</v>
      </c>
      <c r="N165" s="101">
        <v>8.2488171495982295E+18</v>
      </c>
    </row>
    <row r="166" spans="4:14" ht="15" customHeight="1">
      <c r="D166" s="99" t="b">
        <v>0</v>
      </c>
      <c r="E166" s="94" t="s">
        <v>171</v>
      </c>
      <c r="F166" s="92" t="s">
        <v>152</v>
      </c>
      <c r="G166" s="92" t="s">
        <v>93</v>
      </c>
      <c r="H166" s="93">
        <v>74</v>
      </c>
      <c r="I166" s="93">
        <v>205</v>
      </c>
      <c r="J166" s="93">
        <v>28.66</v>
      </c>
      <c r="K166" s="93" t="s">
        <v>93</v>
      </c>
      <c r="L166" s="101">
        <v>84</v>
      </c>
      <c r="M166" s="101">
        <v>0</v>
      </c>
      <c r="N166" s="101">
        <v>2.4906969614123776E+18</v>
      </c>
    </row>
    <row r="167" spans="4:14" ht="15" customHeight="1">
      <c r="D167" s="99" t="b">
        <v>0</v>
      </c>
      <c r="E167" s="94" t="s">
        <v>172</v>
      </c>
      <c r="F167" s="92" t="s">
        <v>152</v>
      </c>
      <c r="G167" s="92" t="s">
        <v>101</v>
      </c>
      <c r="H167" s="93">
        <v>78</v>
      </c>
      <c r="I167" s="93">
        <v>235</v>
      </c>
      <c r="J167" s="93">
        <v>28.35</v>
      </c>
      <c r="K167" s="93" t="s">
        <v>75</v>
      </c>
      <c r="L167" s="101">
        <v>85</v>
      </c>
      <c r="M167" s="101">
        <v>0</v>
      </c>
      <c r="N167" s="101">
        <v>8.4228432715004641E+18</v>
      </c>
    </row>
    <row r="168" spans="4:14" ht="15" customHeight="1">
      <c r="D168" s="99" t="b">
        <v>0</v>
      </c>
      <c r="E168" s="94" t="s">
        <v>173</v>
      </c>
      <c r="F168" s="92" t="s">
        <v>152</v>
      </c>
      <c r="G168" s="92" t="s">
        <v>101</v>
      </c>
      <c r="H168" s="93">
        <v>71</v>
      </c>
      <c r="I168" s="93">
        <v>250</v>
      </c>
      <c r="J168" s="93">
        <v>33.770000000000003</v>
      </c>
      <c r="K168" s="93" t="s">
        <v>75</v>
      </c>
      <c r="L168" s="101">
        <v>86</v>
      </c>
      <c r="M168" s="101">
        <v>0</v>
      </c>
      <c r="N168" s="101">
        <v>1.748864589738204E+19</v>
      </c>
    </row>
    <row r="169" spans="4:14" ht="15" customHeight="1">
      <c r="D169" s="99" t="b">
        <v>0</v>
      </c>
      <c r="E169" s="94" t="s">
        <v>174</v>
      </c>
      <c r="F169" s="92" t="s">
        <v>152</v>
      </c>
      <c r="G169" s="92" t="s">
        <v>101</v>
      </c>
      <c r="H169" s="93">
        <v>73</v>
      </c>
      <c r="I169" s="93">
        <v>210</v>
      </c>
      <c r="J169" s="93">
        <v>30.89</v>
      </c>
      <c r="K169" s="93" t="s">
        <v>75</v>
      </c>
      <c r="L169" s="101">
        <v>87</v>
      </c>
      <c r="M169" s="101">
        <v>0</v>
      </c>
      <c r="N169" s="101">
        <v>1.1353805211251626E+19</v>
      </c>
    </row>
    <row r="170" spans="4:14" ht="15" customHeight="1">
      <c r="D170" s="99" t="b">
        <v>0</v>
      </c>
      <c r="E170" s="94" t="s">
        <v>175</v>
      </c>
      <c r="F170" s="92" t="s">
        <v>152</v>
      </c>
      <c r="G170" s="92" t="s">
        <v>101</v>
      </c>
      <c r="H170" s="93">
        <v>76</v>
      </c>
      <c r="I170" s="93">
        <v>190</v>
      </c>
      <c r="J170" s="93">
        <v>37.74</v>
      </c>
      <c r="K170" s="93" t="s">
        <v>75</v>
      </c>
      <c r="L170" s="101">
        <v>88</v>
      </c>
      <c r="M170" s="101">
        <v>0</v>
      </c>
      <c r="N170" s="101">
        <v>1.0496465670634097E+19</v>
      </c>
    </row>
    <row r="171" spans="4:14" ht="15" customHeight="1">
      <c r="D171" s="99" t="b">
        <v>0</v>
      </c>
      <c r="E171" s="94" t="s">
        <v>176</v>
      </c>
      <c r="F171" s="92" t="s">
        <v>152</v>
      </c>
      <c r="G171" s="92" t="s">
        <v>101</v>
      </c>
      <c r="H171" s="93">
        <v>74</v>
      </c>
      <c r="I171" s="93">
        <v>160</v>
      </c>
      <c r="J171" s="93">
        <v>24.14</v>
      </c>
      <c r="K171" s="93" t="s">
        <v>75</v>
      </c>
      <c r="L171" s="101">
        <v>89</v>
      </c>
      <c r="M171" s="101">
        <v>0</v>
      </c>
      <c r="N171" s="101">
        <v>1.7351879871392137E+19</v>
      </c>
    </row>
    <row r="172" spans="4:14" ht="15" customHeight="1">
      <c r="D172" s="99" t="b">
        <v>0</v>
      </c>
      <c r="E172" s="94" t="s">
        <v>177</v>
      </c>
      <c r="F172" s="92" t="s">
        <v>152</v>
      </c>
      <c r="G172" s="92" t="s">
        <v>101</v>
      </c>
      <c r="H172" s="93">
        <v>74</v>
      </c>
      <c r="I172" s="93">
        <v>200</v>
      </c>
      <c r="J172" s="93">
        <v>25.71</v>
      </c>
      <c r="K172" s="93" t="s">
        <v>75</v>
      </c>
      <c r="L172" s="101">
        <v>90</v>
      </c>
      <c r="M172" s="101">
        <v>0</v>
      </c>
      <c r="N172" s="101">
        <v>4.8475450573417933E+18</v>
      </c>
    </row>
    <row r="173" spans="4:14" ht="15" customHeight="1">
      <c r="D173" s="99" t="b">
        <v>0</v>
      </c>
      <c r="E173" s="94" t="s">
        <v>178</v>
      </c>
      <c r="F173" s="92" t="s">
        <v>152</v>
      </c>
      <c r="G173" s="92" t="s">
        <v>101</v>
      </c>
      <c r="H173" s="93">
        <v>79</v>
      </c>
      <c r="I173" s="93">
        <v>205</v>
      </c>
      <c r="J173" s="93">
        <v>24.41</v>
      </c>
      <c r="K173" s="93" t="s">
        <v>75</v>
      </c>
      <c r="L173" s="101">
        <v>91</v>
      </c>
      <c r="M173" s="101">
        <v>0</v>
      </c>
      <c r="N173" s="101">
        <v>5.6387885344387666E+18</v>
      </c>
    </row>
    <row r="174" spans="4:14" ht="15" customHeight="1">
      <c r="D174" s="99" t="b">
        <v>0</v>
      </c>
      <c r="E174" s="94" t="s">
        <v>179</v>
      </c>
      <c r="F174" s="92" t="s">
        <v>152</v>
      </c>
      <c r="G174" s="92" t="s">
        <v>74</v>
      </c>
      <c r="H174" s="93">
        <v>75</v>
      </c>
      <c r="I174" s="93">
        <v>222</v>
      </c>
      <c r="J174" s="93">
        <v>24.32</v>
      </c>
      <c r="K174" s="93" t="s">
        <v>75</v>
      </c>
      <c r="L174" s="101">
        <v>92</v>
      </c>
      <c r="M174" s="101">
        <v>0</v>
      </c>
      <c r="N174" s="101">
        <v>9.3085873320657981E+18</v>
      </c>
    </row>
    <row r="175" spans="4:14" ht="15" customHeight="1">
      <c r="D175" s="99" t="b">
        <v>0</v>
      </c>
      <c r="E175" s="94" t="s">
        <v>180</v>
      </c>
      <c r="F175" s="92" t="s">
        <v>152</v>
      </c>
      <c r="G175" s="92" t="s">
        <v>74</v>
      </c>
      <c r="H175" s="93">
        <v>73</v>
      </c>
      <c r="I175" s="93">
        <v>195</v>
      </c>
      <c r="J175" s="93">
        <v>28.09</v>
      </c>
      <c r="K175" s="93" t="s">
        <v>75</v>
      </c>
      <c r="L175" s="101">
        <v>93</v>
      </c>
      <c r="M175" s="101">
        <v>0</v>
      </c>
      <c r="N175" s="101">
        <v>9.7894599173545083E+18</v>
      </c>
    </row>
    <row r="176" spans="4:14" ht="15" customHeight="1">
      <c r="D176" s="99" t="b">
        <v>0</v>
      </c>
      <c r="E176" s="94" t="s">
        <v>181</v>
      </c>
      <c r="F176" s="92" t="s">
        <v>152</v>
      </c>
      <c r="G176" s="92" t="s">
        <v>74</v>
      </c>
      <c r="H176" s="93">
        <v>76</v>
      </c>
      <c r="I176" s="93">
        <v>205</v>
      </c>
      <c r="J176" s="93">
        <v>33.31</v>
      </c>
      <c r="K176" s="93" t="s">
        <v>75</v>
      </c>
      <c r="L176" s="101">
        <v>94</v>
      </c>
      <c r="M176" s="101">
        <v>0</v>
      </c>
      <c r="N176" s="101">
        <v>1.7279894838421975E+19</v>
      </c>
    </row>
    <row r="177" spans="4:14" ht="15" customHeight="1">
      <c r="D177" s="99" t="b">
        <v>0</v>
      </c>
      <c r="E177" s="94" t="s">
        <v>182</v>
      </c>
      <c r="F177" s="92" t="s">
        <v>152</v>
      </c>
      <c r="G177" s="92" t="s">
        <v>74</v>
      </c>
      <c r="H177" s="93">
        <v>74</v>
      </c>
      <c r="I177" s="93">
        <v>220</v>
      </c>
      <c r="J177" s="93">
        <v>36.4</v>
      </c>
      <c r="K177" s="93" t="s">
        <v>75</v>
      </c>
      <c r="L177" s="101">
        <v>95</v>
      </c>
      <c r="M177" s="101">
        <v>0</v>
      </c>
      <c r="N177" s="101">
        <v>8.2785928292256369E+18</v>
      </c>
    </row>
    <row r="178" spans="4:14" ht="15" customHeight="1">
      <c r="D178" s="99" t="b">
        <v>0</v>
      </c>
      <c r="E178" s="94" t="s">
        <v>183</v>
      </c>
      <c r="F178" s="92" t="s">
        <v>152</v>
      </c>
      <c r="G178" s="92" t="s">
        <v>74</v>
      </c>
      <c r="H178" s="93">
        <v>74</v>
      </c>
      <c r="I178" s="93">
        <v>220</v>
      </c>
      <c r="J178" s="93">
        <v>37.36</v>
      </c>
      <c r="K178" s="93" t="s">
        <v>75</v>
      </c>
      <c r="L178" s="101">
        <v>96</v>
      </c>
      <c r="M178" s="101">
        <v>0</v>
      </c>
      <c r="N178" s="101">
        <v>1.2441694183350305E+19</v>
      </c>
    </row>
    <row r="179" spans="4:14" ht="15" customHeight="1">
      <c r="D179" s="99" t="b">
        <v>0</v>
      </c>
      <c r="E179" s="94" t="s">
        <v>184</v>
      </c>
      <c r="F179" s="92" t="s">
        <v>152</v>
      </c>
      <c r="G179" s="92" t="s">
        <v>74</v>
      </c>
      <c r="H179" s="93">
        <v>73</v>
      </c>
      <c r="I179" s="93">
        <v>170</v>
      </c>
      <c r="J179" s="93">
        <v>31.61</v>
      </c>
      <c r="K179" s="93" t="s">
        <v>75</v>
      </c>
      <c r="L179" s="101">
        <v>97</v>
      </c>
      <c r="M179" s="101">
        <v>0</v>
      </c>
      <c r="N179" s="101">
        <v>4.9474714500779766E+18</v>
      </c>
    </row>
    <row r="180" spans="4:14" ht="15" customHeight="1">
      <c r="D180" s="99" t="b">
        <v>0</v>
      </c>
      <c r="E180" s="94" t="s">
        <v>185</v>
      </c>
      <c r="F180" s="92" t="s">
        <v>152</v>
      </c>
      <c r="G180" s="92" t="s">
        <v>74</v>
      </c>
      <c r="H180" s="93">
        <v>72</v>
      </c>
      <c r="I180" s="93">
        <v>185</v>
      </c>
      <c r="J180" s="93">
        <v>25.14</v>
      </c>
      <c r="K180" s="93" t="s">
        <v>75</v>
      </c>
      <c r="L180" s="101">
        <v>98</v>
      </c>
      <c r="M180" s="101">
        <v>0</v>
      </c>
      <c r="N180" s="101">
        <v>3.9960118629305001E+18</v>
      </c>
    </row>
    <row r="181" spans="4:14" ht="15" customHeight="1">
      <c r="D181" s="99" t="b">
        <v>0</v>
      </c>
      <c r="E181" s="94" t="s">
        <v>186</v>
      </c>
      <c r="F181" s="92" t="s">
        <v>152</v>
      </c>
      <c r="G181" s="92" t="s">
        <v>74</v>
      </c>
      <c r="H181" s="93">
        <v>74</v>
      </c>
      <c r="I181" s="93">
        <v>195</v>
      </c>
      <c r="J181" s="93">
        <v>30.29</v>
      </c>
      <c r="K181" s="93" t="s">
        <v>75</v>
      </c>
      <c r="L181" s="101">
        <v>99</v>
      </c>
      <c r="M181" s="101">
        <v>0</v>
      </c>
      <c r="N181" s="101">
        <v>1.3763556233224866E+19</v>
      </c>
    </row>
    <row r="182" spans="4:14" ht="15" customHeight="1">
      <c r="D182" s="99" t="b">
        <v>0</v>
      </c>
      <c r="E182" s="94" t="s">
        <v>187</v>
      </c>
      <c r="F182" s="92" t="s">
        <v>188</v>
      </c>
      <c r="G182" s="92" t="s">
        <v>78</v>
      </c>
      <c r="H182" s="93">
        <v>73</v>
      </c>
      <c r="I182" s="93">
        <v>220</v>
      </c>
      <c r="J182" s="93">
        <v>36.369999999999997</v>
      </c>
      <c r="K182" s="93" t="s">
        <v>78</v>
      </c>
      <c r="L182" s="101">
        <v>100</v>
      </c>
      <c r="M182" s="101">
        <v>0</v>
      </c>
      <c r="N182" s="101">
        <v>6.307527067003732E+18</v>
      </c>
    </row>
    <row r="183" spans="4:14" ht="15" customHeight="1">
      <c r="D183" s="99" t="b">
        <v>0</v>
      </c>
      <c r="E183" s="94" t="s">
        <v>189</v>
      </c>
      <c r="F183" s="92" t="s">
        <v>188</v>
      </c>
      <c r="G183" s="92" t="s">
        <v>78</v>
      </c>
      <c r="H183" s="93">
        <v>74</v>
      </c>
      <c r="I183" s="93">
        <v>230</v>
      </c>
      <c r="J183" s="93">
        <v>34.89</v>
      </c>
      <c r="K183" s="93" t="s">
        <v>78</v>
      </c>
      <c r="L183" s="101">
        <v>101</v>
      </c>
      <c r="M183" s="101">
        <v>0</v>
      </c>
      <c r="N183" s="101">
        <v>1.1589275085337827E+19</v>
      </c>
    </row>
    <row r="184" spans="4:14" ht="15" customHeight="1">
      <c r="D184" s="99" t="b">
        <v>0</v>
      </c>
      <c r="E184" s="94" t="s">
        <v>190</v>
      </c>
      <c r="F184" s="92" t="s">
        <v>188</v>
      </c>
      <c r="G184" s="92" t="s">
        <v>78</v>
      </c>
      <c r="H184" s="93">
        <v>72</v>
      </c>
      <c r="I184" s="93">
        <v>180</v>
      </c>
      <c r="J184" s="93">
        <v>23.79</v>
      </c>
      <c r="K184" s="93" t="s">
        <v>78</v>
      </c>
      <c r="L184" s="101">
        <v>102</v>
      </c>
      <c r="M184" s="101">
        <v>0</v>
      </c>
      <c r="N184" s="101">
        <v>1.6454740705620724E+19</v>
      </c>
    </row>
    <row r="185" spans="4:14" ht="15" customHeight="1">
      <c r="D185" s="99" t="b">
        <v>0</v>
      </c>
      <c r="E185" s="94" t="s">
        <v>191</v>
      </c>
      <c r="F185" s="92" t="s">
        <v>188</v>
      </c>
      <c r="G185" s="92" t="s">
        <v>82</v>
      </c>
      <c r="H185" s="93">
        <v>73</v>
      </c>
      <c r="I185" s="93">
        <v>220</v>
      </c>
      <c r="J185" s="93">
        <v>27.96</v>
      </c>
      <c r="K185" s="93" t="s">
        <v>83</v>
      </c>
      <c r="L185" s="101">
        <v>103</v>
      </c>
      <c r="M185" s="101">
        <v>0</v>
      </c>
      <c r="N185" s="101">
        <v>1.7591686899366429E+19</v>
      </c>
    </row>
    <row r="186" spans="4:14" ht="15" customHeight="1">
      <c r="D186" s="99" t="b">
        <v>0</v>
      </c>
      <c r="E186" s="94" t="s">
        <v>192</v>
      </c>
      <c r="F186" s="92" t="s">
        <v>188</v>
      </c>
      <c r="G186" s="92" t="s">
        <v>86</v>
      </c>
      <c r="H186" s="93">
        <v>69</v>
      </c>
      <c r="I186" s="93">
        <v>180</v>
      </c>
      <c r="J186" s="93">
        <v>23.54</v>
      </c>
      <c r="K186" s="93" t="s">
        <v>83</v>
      </c>
      <c r="L186" s="101">
        <v>104</v>
      </c>
      <c r="M186" s="101">
        <v>0</v>
      </c>
      <c r="N186" s="101">
        <v>2.3380696092252969E+18</v>
      </c>
    </row>
    <row r="187" spans="4:14" ht="15" customHeight="1">
      <c r="D187" s="99" t="b">
        <v>0</v>
      </c>
      <c r="E187" s="94" t="s">
        <v>193</v>
      </c>
      <c r="F187" s="92" t="s">
        <v>188</v>
      </c>
      <c r="G187" s="92" t="s">
        <v>88</v>
      </c>
      <c r="H187" s="93">
        <v>72</v>
      </c>
      <c r="I187" s="93">
        <v>180</v>
      </c>
      <c r="J187" s="93">
        <v>31.37</v>
      </c>
      <c r="K187" s="93" t="s">
        <v>83</v>
      </c>
      <c r="L187" s="101">
        <v>105</v>
      </c>
      <c r="M187" s="101">
        <v>0</v>
      </c>
      <c r="N187" s="101">
        <v>8.8069115375754578E+18</v>
      </c>
    </row>
    <row r="188" spans="4:14" ht="15" customHeight="1">
      <c r="D188" s="99" t="b">
        <v>0</v>
      </c>
      <c r="E188" s="94" t="s">
        <v>194</v>
      </c>
      <c r="F188" s="92" t="s">
        <v>188</v>
      </c>
      <c r="G188" s="92" t="s">
        <v>88</v>
      </c>
      <c r="H188" s="93">
        <v>73</v>
      </c>
      <c r="I188" s="93">
        <v>170</v>
      </c>
      <c r="J188" s="93">
        <v>31.29</v>
      </c>
      <c r="K188" s="93" t="s">
        <v>83</v>
      </c>
      <c r="L188" s="101">
        <v>106</v>
      </c>
      <c r="M188" s="101">
        <v>0</v>
      </c>
      <c r="N188" s="101">
        <v>1.7525962113670306E+19</v>
      </c>
    </row>
    <row r="189" spans="4:14" ht="15" customHeight="1">
      <c r="D189" s="99" t="b">
        <v>0</v>
      </c>
      <c r="E189" s="94" t="s">
        <v>195</v>
      </c>
      <c r="F189" s="92" t="s">
        <v>188</v>
      </c>
      <c r="G189" s="92" t="s">
        <v>90</v>
      </c>
      <c r="H189" s="93">
        <v>75</v>
      </c>
      <c r="I189" s="93">
        <v>210</v>
      </c>
      <c r="J189" s="93">
        <v>33.01</v>
      </c>
      <c r="K189" s="93" t="s">
        <v>83</v>
      </c>
      <c r="L189" s="101">
        <v>107</v>
      </c>
      <c r="M189" s="101">
        <v>0</v>
      </c>
      <c r="N189" s="101">
        <v>1.6796339379038302E+19</v>
      </c>
    </row>
    <row r="190" spans="4:14" ht="15" customHeight="1">
      <c r="D190" s="99" t="b">
        <v>0</v>
      </c>
      <c r="E190" s="94" t="s">
        <v>196</v>
      </c>
      <c r="F190" s="92" t="s">
        <v>188</v>
      </c>
      <c r="G190" s="92" t="s">
        <v>93</v>
      </c>
      <c r="H190" s="93">
        <v>75</v>
      </c>
      <c r="I190" s="93">
        <v>215</v>
      </c>
      <c r="J190" s="93">
        <v>25.1</v>
      </c>
      <c r="K190" s="93" t="s">
        <v>93</v>
      </c>
      <c r="L190" s="101">
        <v>108</v>
      </c>
      <c r="M190" s="101">
        <v>0</v>
      </c>
      <c r="N190" s="101">
        <v>4.759090576853625E+17</v>
      </c>
    </row>
    <row r="191" spans="4:14" ht="15" customHeight="1">
      <c r="D191" s="99" t="b">
        <v>0</v>
      </c>
      <c r="E191" s="94" t="s">
        <v>197</v>
      </c>
      <c r="F191" s="92" t="s">
        <v>188</v>
      </c>
      <c r="G191" s="92" t="s">
        <v>93</v>
      </c>
      <c r="H191" s="93">
        <v>73</v>
      </c>
      <c r="I191" s="93">
        <v>200</v>
      </c>
      <c r="J191" s="93">
        <v>31.28</v>
      </c>
      <c r="K191" s="93" t="s">
        <v>93</v>
      </c>
      <c r="L191" s="101">
        <v>109</v>
      </c>
      <c r="M191" s="101">
        <v>0</v>
      </c>
      <c r="N191" s="101">
        <v>2.0525941338360691E+18</v>
      </c>
    </row>
    <row r="192" spans="4:14" ht="15" customHeight="1">
      <c r="D192" s="99" t="b">
        <v>0</v>
      </c>
      <c r="E192" s="94" t="s">
        <v>198</v>
      </c>
      <c r="F192" s="92" t="s">
        <v>188</v>
      </c>
      <c r="G192" s="92" t="s">
        <v>93</v>
      </c>
      <c r="H192" s="93">
        <v>72</v>
      </c>
      <c r="I192" s="93">
        <v>213</v>
      </c>
      <c r="J192" s="93">
        <v>34.75</v>
      </c>
      <c r="K192" s="93" t="s">
        <v>93</v>
      </c>
      <c r="L192" s="101">
        <v>110</v>
      </c>
      <c r="M192" s="101">
        <v>0</v>
      </c>
      <c r="N192" s="101">
        <v>1.5697079280631202E+19</v>
      </c>
    </row>
    <row r="193" spans="4:14" ht="15" customHeight="1">
      <c r="D193" s="99" t="b">
        <v>0</v>
      </c>
      <c r="E193" s="94" t="s">
        <v>199</v>
      </c>
      <c r="F193" s="92" t="s">
        <v>188</v>
      </c>
      <c r="G193" s="92" t="s">
        <v>93</v>
      </c>
      <c r="H193" s="93">
        <v>72</v>
      </c>
      <c r="I193" s="93">
        <v>180</v>
      </c>
      <c r="J193" s="93">
        <v>23.46</v>
      </c>
      <c r="K193" s="93" t="s">
        <v>93</v>
      </c>
      <c r="L193" s="101">
        <v>111</v>
      </c>
      <c r="M193" s="101">
        <v>0</v>
      </c>
      <c r="N193" s="101">
        <v>8.4946165227484846E+18</v>
      </c>
    </row>
    <row r="194" spans="4:14" ht="15" customHeight="1">
      <c r="D194" s="99" t="b">
        <v>0</v>
      </c>
      <c r="E194" s="94" t="s">
        <v>200</v>
      </c>
      <c r="F194" s="92" t="s">
        <v>188</v>
      </c>
      <c r="G194" s="92" t="s">
        <v>93</v>
      </c>
      <c r="H194" s="93">
        <v>76</v>
      </c>
      <c r="I194" s="93">
        <v>192</v>
      </c>
      <c r="J194" s="93">
        <v>25.37</v>
      </c>
      <c r="K194" s="93" t="s">
        <v>93</v>
      </c>
      <c r="L194" s="101">
        <v>112</v>
      </c>
      <c r="M194" s="101">
        <v>0</v>
      </c>
      <c r="N194" s="101">
        <v>1.1890528625753549E+19</v>
      </c>
    </row>
    <row r="195" spans="4:14" ht="15" customHeight="1">
      <c r="D195" s="99" t="b">
        <v>0</v>
      </c>
      <c r="E195" s="94" t="s">
        <v>201</v>
      </c>
      <c r="F195" s="92" t="s">
        <v>188</v>
      </c>
      <c r="G195" s="92" t="s">
        <v>93</v>
      </c>
      <c r="H195" s="93">
        <v>74</v>
      </c>
      <c r="I195" s="93">
        <v>235</v>
      </c>
      <c r="J195" s="93">
        <v>29.57</v>
      </c>
      <c r="K195" s="93" t="s">
        <v>93</v>
      </c>
      <c r="L195" s="101">
        <v>113</v>
      </c>
      <c r="M195" s="101">
        <v>0</v>
      </c>
      <c r="N195" s="101">
        <v>1.7130412326142282E+19</v>
      </c>
    </row>
    <row r="196" spans="4:14" ht="15" customHeight="1">
      <c r="D196" s="99" t="b">
        <v>0</v>
      </c>
      <c r="E196" s="94" t="s">
        <v>202</v>
      </c>
      <c r="F196" s="92" t="s">
        <v>188</v>
      </c>
      <c r="G196" s="92" t="s">
        <v>93</v>
      </c>
      <c r="H196" s="93">
        <v>72</v>
      </c>
      <c r="I196" s="93">
        <v>185</v>
      </c>
      <c r="J196" s="93">
        <v>27.33</v>
      </c>
      <c r="K196" s="93" t="s">
        <v>93</v>
      </c>
      <c r="L196" s="101">
        <v>114</v>
      </c>
      <c r="M196" s="101">
        <v>0</v>
      </c>
      <c r="N196" s="101">
        <v>1.0824717287571036E+19</v>
      </c>
    </row>
    <row r="197" spans="4:14" ht="15" customHeight="1">
      <c r="D197" s="99" t="b">
        <v>0</v>
      </c>
      <c r="E197" s="94" t="s">
        <v>203</v>
      </c>
      <c r="F197" s="92" t="s">
        <v>188</v>
      </c>
      <c r="G197" s="92" t="s">
        <v>101</v>
      </c>
      <c r="H197" s="93">
        <v>77</v>
      </c>
      <c r="I197" s="93">
        <v>235</v>
      </c>
      <c r="J197" s="93">
        <v>40.29</v>
      </c>
      <c r="K197" s="93" t="s">
        <v>75</v>
      </c>
      <c r="L197" s="101">
        <v>115</v>
      </c>
      <c r="M197" s="101">
        <v>0</v>
      </c>
      <c r="N197" s="101">
        <v>4.6399912466147432E+16</v>
      </c>
    </row>
    <row r="198" spans="4:14" ht="15" customHeight="1">
      <c r="D198" s="99" t="b">
        <v>0</v>
      </c>
      <c r="E198" s="94" t="s">
        <v>204</v>
      </c>
      <c r="F198" s="92" t="s">
        <v>188</v>
      </c>
      <c r="G198" s="92" t="s">
        <v>101</v>
      </c>
      <c r="H198" s="93">
        <v>74</v>
      </c>
      <c r="I198" s="93">
        <v>210</v>
      </c>
      <c r="J198" s="93">
        <v>40.58</v>
      </c>
      <c r="K198" s="93" t="s">
        <v>75</v>
      </c>
      <c r="L198" s="101">
        <v>116</v>
      </c>
      <c r="M198" s="101">
        <v>0</v>
      </c>
      <c r="N198" s="101">
        <v>8.8505579271759923E+18</v>
      </c>
    </row>
    <row r="199" spans="4:14" ht="15" customHeight="1">
      <c r="D199" s="99" t="b">
        <v>0</v>
      </c>
      <c r="E199" s="94" t="s">
        <v>205</v>
      </c>
      <c r="F199" s="92" t="s">
        <v>188</v>
      </c>
      <c r="G199" s="92" t="s">
        <v>101</v>
      </c>
      <c r="H199" s="93">
        <v>77</v>
      </c>
      <c r="I199" s="93">
        <v>222</v>
      </c>
      <c r="J199" s="93">
        <v>26.79</v>
      </c>
      <c r="K199" s="93" t="s">
        <v>75</v>
      </c>
      <c r="L199" s="101">
        <v>117</v>
      </c>
      <c r="M199" s="101">
        <v>0</v>
      </c>
      <c r="N199" s="101">
        <v>1.5764931853969149E+18</v>
      </c>
    </row>
    <row r="200" spans="4:14" ht="15" customHeight="1">
      <c r="D200" s="99" t="b">
        <v>0</v>
      </c>
      <c r="E200" s="94" t="s">
        <v>206</v>
      </c>
      <c r="F200" s="92" t="s">
        <v>188</v>
      </c>
      <c r="G200" s="92" t="s">
        <v>101</v>
      </c>
      <c r="H200" s="93">
        <v>75</v>
      </c>
      <c r="I200" s="93">
        <v>210</v>
      </c>
      <c r="J200" s="93">
        <v>32.549999999999997</v>
      </c>
      <c r="K200" s="93" t="s">
        <v>75</v>
      </c>
      <c r="L200" s="101">
        <v>118</v>
      </c>
      <c r="M200" s="101">
        <v>0</v>
      </c>
      <c r="N200" s="101">
        <v>1.3276205955189129E+19</v>
      </c>
    </row>
    <row r="201" spans="4:14" ht="15" customHeight="1">
      <c r="D201" s="99" t="b">
        <v>0</v>
      </c>
      <c r="E201" s="94" t="s">
        <v>207</v>
      </c>
      <c r="F201" s="92" t="s">
        <v>188</v>
      </c>
      <c r="G201" s="92" t="s">
        <v>101</v>
      </c>
      <c r="H201" s="93">
        <v>76</v>
      </c>
      <c r="I201" s="93">
        <v>230</v>
      </c>
      <c r="J201" s="93">
        <v>26.27</v>
      </c>
      <c r="K201" s="93" t="s">
        <v>75</v>
      </c>
      <c r="L201" s="101">
        <v>119</v>
      </c>
      <c r="M201" s="101">
        <v>0</v>
      </c>
      <c r="N201" s="101">
        <v>4.8031502252838031E+18</v>
      </c>
    </row>
    <row r="202" spans="4:14" ht="15" customHeight="1">
      <c r="D202" s="99" t="b">
        <v>0</v>
      </c>
      <c r="E202" s="94" t="s">
        <v>208</v>
      </c>
      <c r="F202" s="92" t="s">
        <v>188</v>
      </c>
      <c r="G202" s="92" t="s">
        <v>101</v>
      </c>
      <c r="H202" s="93">
        <v>80</v>
      </c>
      <c r="I202" s="93">
        <v>220</v>
      </c>
      <c r="J202" s="93">
        <v>29.47</v>
      </c>
      <c r="K202" s="93" t="s">
        <v>75</v>
      </c>
      <c r="L202" s="101">
        <v>120</v>
      </c>
      <c r="M202" s="101">
        <v>0</v>
      </c>
      <c r="N202" s="101">
        <v>5.922881556810325E+18</v>
      </c>
    </row>
    <row r="203" spans="4:14" ht="15" customHeight="1">
      <c r="D203" s="99" t="b">
        <v>0</v>
      </c>
      <c r="E203" s="94" t="s">
        <v>209</v>
      </c>
      <c r="F203" s="92" t="s">
        <v>188</v>
      </c>
      <c r="G203" s="92" t="s">
        <v>101</v>
      </c>
      <c r="H203" s="93">
        <v>74</v>
      </c>
      <c r="I203" s="93">
        <v>180</v>
      </c>
      <c r="J203" s="93">
        <v>29.07</v>
      </c>
      <c r="K203" s="93" t="s">
        <v>75</v>
      </c>
      <c r="L203" s="101">
        <v>121</v>
      </c>
      <c r="M203" s="101">
        <v>0</v>
      </c>
      <c r="N203" s="101">
        <v>6.4087012895874273E+18</v>
      </c>
    </row>
    <row r="204" spans="4:14" ht="15" customHeight="1">
      <c r="D204" s="99" t="b">
        <v>0</v>
      </c>
      <c r="E204" s="94" t="s">
        <v>210</v>
      </c>
      <c r="F204" s="92" t="s">
        <v>188</v>
      </c>
      <c r="G204" s="92" t="s">
        <v>101</v>
      </c>
      <c r="H204" s="93">
        <v>74</v>
      </c>
      <c r="I204" s="93">
        <v>190</v>
      </c>
      <c r="J204" s="93">
        <v>23.15</v>
      </c>
      <c r="K204" s="93" t="s">
        <v>75</v>
      </c>
      <c r="L204" s="101">
        <v>122</v>
      </c>
      <c r="M204" s="101">
        <v>0</v>
      </c>
      <c r="N204" s="101">
        <v>1.3417036901781119E+19</v>
      </c>
    </row>
    <row r="205" spans="4:14" ht="15" customHeight="1">
      <c r="D205" s="99" t="b">
        <v>0</v>
      </c>
      <c r="E205" s="94" t="s">
        <v>211</v>
      </c>
      <c r="F205" s="92" t="s">
        <v>188</v>
      </c>
      <c r="G205" s="92" t="s">
        <v>101</v>
      </c>
      <c r="H205" s="93">
        <v>75</v>
      </c>
      <c r="I205" s="93">
        <v>200</v>
      </c>
      <c r="J205" s="93">
        <v>24.9</v>
      </c>
      <c r="K205" s="93" t="s">
        <v>75</v>
      </c>
      <c r="L205" s="101">
        <v>123</v>
      </c>
      <c r="M205" s="101">
        <v>0</v>
      </c>
      <c r="N205" s="101">
        <v>6.0497202147866522E+18</v>
      </c>
    </row>
    <row r="206" spans="4:14" ht="15" customHeight="1">
      <c r="D206" s="99" t="b">
        <v>0</v>
      </c>
      <c r="E206" s="94" t="s">
        <v>212</v>
      </c>
      <c r="F206" s="92" t="s">
        <v>188</v>
      </c>
      <c r="G206" s="92" t="s">
        <v>74</v>
      </c>
      <c r="H206" s="93">
        <v>78</v>
      </c>
      <c r="I206" s="93">
        <v>210</v>
      </c>
      <c r="J206" s="93">
        <v>23.29</v>
      </c>
      <c r="K206" s="93" t="s">
        <v>75</v>
      </c>
      <c r="L206" s="101">
        <v>124</v>
      </c>
      <c r="M206" s="101">
        <v>0</v>
      </c>
      <c r="N206" s="101">
        <v>5.0397888222440776E+18</v>
      </c>
    </row>
    <row r="207" spans="4:14" ht="15" customHeight="1">
      <c r="D207" s="99" t="b">
        <v>0</v>
      </c>
      <c r="E207" s="94" t="s">
        <v>213</v>
      </c>
      <c r="F207" s="92" t="s">
        <v>188</v>
      </c>
      <c r="G207" s="92" t="s">
        <v>74</v>
      </c>
      <c r="H207" s="93">
        <v>73</v>
      </c>
      <c r="I207" s="93">
        <v>194</v>
      </c>
      <c r="J207" s="93">
        <v>31.18</v>
      </c>
      <c r="K207" s="93" t="s">
        <v>75</v>
      </c>
      <c r="L207" s="101">
        <v>125</v>
      </c>
      <c r="M207" s="101">
        <v>0</v>
      </c>
      <c r="N207" s="101">
        <v>1.6749942992429729E+18</v>
      </c>
    </row>
    <row r="208" spans="4:14" ht="15" customHeight="1">
      <c r="D208" s="99" t="b">
        <v>0</v>
      </c>
      <c r="E208" s="94" t="s">
        <v>214</v>
      </c>
      <c r="F208" s="92" t="s">
        <v>188</v>
      </c>
      <c r="G208" s="92" t="s">
        <v>74</v>
      </c>
      <c r="H208" s="93">
        <v>73</v>
      </c>
      <c r="I208" s="93">
        <v>180</v>
      </c>
      <c r="J208" s="93">
        <v>26.56</v>
      </c>
      <c r="K208" s="93" t="s">
        <v>75</v>
      </c>
      <c r="L208" s="101">
        <v>126</v>
      </c>
      <c r="M208" s="101">
        <v>0</v>
      </c>
      <c r="N208" s="101">
        <v>1.7702551365738478E+19</v>
      </c>
    </row>
    <row r="209" spans="4:14" ht="15" customHeight="1">
      <c r="D209" s="99" t="b">
        <v>0</v>
      </c>
      <c r="E209" s="94" t="s">
        <v>215</v>
      </c>
      <c r="F209" s="92" t="s">
        <v>188</v>
      </c>
      <c r="G209" s="92" t="s">
        <v>74</v>
      </c>
      <c r="H209" s="93">
        <v>74</v>
      </c>
      <c r="I209" s="93">
        <v>190</v>
      </c>
      <c r="J209" s="93">
        <v>25.03</v>
      </c>
      <c r="K209" s="93" t="s">
        <v>75</v>
      </c>
      <c r="L209" s="101">
        <v>127</v>
      </c>
      <c r="M209" s="101">
        <v>0</v>
      </c>
      <c r="N209" s="101">
        <v>1.7416296558134495E+19</v>
      </c>
    </row>
    <row r="210" spans="4:14" ht="15" customHeight="1">
      <c r="D210" s="99" t="b">
        <v>0</v>
      </c>
      <c r="E210" s="94" t="s">
        <v>216</v>
      </c>
      <c r="F210" s="92" t="s">
        <v>188</v>
      </c>
      <c r="G210" s="92" t="s">
        <v>74</v>
      </c>
      <c r="H210" s="93">
        <v>75</v>
      </c>
      <c r="I210" s="93">
        <v>240</v>
      </c>
      <c r="J210" s="93">
        <v>35.659999999999997</v>
      </c>
      <c r="K210" s="93" t="s">
        <v>75</v>
      </c>
      <c r="L210" s="101">
        <v>128</v>
      </c>
      <c r="M210" s="101">
        <v>0</v>
      </c>
      <c r="N210" s="101">
        <v>3.1828187458747884E+18</v>
      </c>
    </row>
    <row r="211" spans="4:14" ht="15" customHeight="1">
      <c r="D211" s="99" t="b">
        <v>0</v>
      </c>
      <c r="E211" s="94" t="s">
        <v>217</v>
      </c>
      <c r="F211" s="92" t="s">
        <v>188</v>
      </c>
      <c r="G211" s="92" t="s">
        <v>74</v>
      </c>
      <c r="H211" s="93">
        <v>76</v>
      </c>
      <c r="I211" s="93">
        <v>200</v>
      </c>
      <c r="J211" s="93">
        <v>29.64</v>
      </c>
      <c r="K211" s="93" t="s">
        <v>75</v>
      </c>
      <c r="L211" s="101">
        <v>129</v>
      </c>
      <c r="M211" s="101">
        <v>0</v>
      </c>
      <c r="N211" s="101">
        <v>1.7611959209818581E+19</v>
      </c>
    </row>
    <row r="212" spans="4:14" ht="15" customHeight="1">
      <c r="D212" s="99" t="b">
        <v>0</v>
      </c>
      <c r="E212" s="94" t="s">
        <v>218</v>
      </c>
      <c r="F212" s="92" t="s">
        <v>188</v>
      </c>
      <c r="G212" s="92" t="s">
        <v>74</v>
      </c>
      <c r="H212" s="93">
        <v>71</v>
      </c>
      <c r="I212" s="93">
        <v>198</v>
      </c>
      <c r="J212" s="93">
        <v>30.74</v>
      </c>
      <c r="K212" s="93" t="s">
        <v>75</v>
      </c>
      <c r="L212" s="101">
        <v>130</v>
      </c>
      <c r="M212" s="101">
        <v>0</v>
      </c>
      <c r="N212" s="101">
        <v>1.6270893385452411E+19</v>
      </c>
    </row>
    <row r="213" spans="4:14" ht="15" customHeight="1">
      <c r="D213" s="99" t="b">
        <v>0</v>
      </c>
      <c r="E213" s="94" t="s">
        <v>219</v>
      </c>
      <c r="F213" s="92" t="s">
        <v>188</v>
      </c>
      <c r="G213" s="92" t="s">
        <v>74</v>
      </c>
      <c r="H213" s="93">
        <v>73</v>
      </c>
      <c r="I213" s="93">
        <v>200</v>
      </c>
      <c r="J213" s="93">
        <v>28.43</v>
      </c>
      <c r="K213" s="93" t="s">
        <v>75</v>
      </c>
      <c r="L213" s="101">
        <v>131</v>
      </c>
      <c r="M213" s="101">
        <v>0</v>
      </c>
      <c r="N213" s="101">
        <v>1.0238892631280607E+19</v>
      </c>
    </row>
    <row r="214" spans="4:14" ht="15" customHeight="1">
      <c r="D214" s="99" t="b">
        <v>0</v>
      </c>
      <c r="E214" s="94" t="s">
        <v>220</v>
      </c>
      <c r="F214" s="92" t="s">
        <v>188</v>
      </c>
      <c r="G214" s="92" t="s">
        <v>74</v>
      </c>
      <c r="H214" s="93">
        <v>74</v>
      </c>
      <c r="I214" s="93">
        <v>195</v>
      </c>
      <c r="J214" s="93">
        <v>33.770000000000003</v>
      </c>
      <c r="K214" s="93" t="s">
        <v>75</v>
      </c>
      <c r="L214" s="101">
        <v>132</v>
      </c>
      <c r="M214" s="101">
        <v>0</v>
      </c>
      <c r="N214" s="101">
        <v>2.1006077796484006E+18</v>
      </c>
    </row>
    <row r="215" spans="4:14" ht="15" customHeight="1">
      <c r="D215" s="99" t="b">
        <v>0</v>
      </c>
      <c r="E215" s="94" t="s">
        <v>221</v>
      </c>
      <c r="F215" s="92" t="s">
        <v>188</v>
      </c>
      <c r="G215" s="92" t="s">
        <v>74</v>
      </c>
      <c r="H215" s="93">
        <v>76</v>
      </c>
      <c r="I215" s="93">
        <v>210</v>
      </c>
      <c r="J215" s="93">
        <v>40.97</v>
      </c>
      <c r="K215" s="93" t="s">
        <v>75</v>
      </c>
      <c r="L215" s="101">
        <v>133</v>
      </c>
      <c r="M215" s="101">
        <v>0</v>
      </c>
      <c r="N215" s="101">
        <v>7.0442776791320883E+18</v>
      </c>
    </row>
    <row r="216" spans="4:14" ht="15" customHeight="1">
      <c r="D216" s="99" t="b">
        <v>0</v>
      </c>
      <c r="E216" s="94" t="s">
        <v>222</v>
      </c>
      <c r="F216" s="92" t="s">
        <v>188</v>
      </c>
      <c r="G216" s="92" t="s">
        <v>74</v>
      </c>
      <c r="H216" s="93">
        <v>76</v>
      </c>
      <c r="I216" s="93">
        <v>220</v>
      </c>
      <c r="J216" s="93">
        <v>23.52</v>
      </c>
      <c r="K216" s="93" t="s">
        <v>75</v>
      </c>
      <c r="L216" s="101">
        <v>134</v>
      </c>
      <c r="M216" s="101">
        <v>0</v>
      </c>
      <c r="N216" s="101">
        <v>4.2221266133775954E+18</v>
      </c>
    </row>
    <row r="217" spans="4:14" ht="15" customHeight="1">
      <c r="D217" s="99" t="b">
        <v>0</v>
      </c>
      <c r="E217" s="94" t="s">
        <v>223</v>
      </c>
      <c r="F217" s="92" t="s">
        <v>224</v>
      </c>
      <c r="G217" s="92" t="s">
        <v>78</v>
      </c>
      <c r="H217" s="93">
        <v>74</v>
      </c>
      <c r="I217" s="93">
        <v>190</v>
      </c>
      <c r="J217" s="93">
        <v>28.19</v>
      </c>
      <c r="K217" s="93" t="s">
        <v>78</v>
      </c>
      <c r="L217" s="101">
        <v>135</v>
      </c>
      <c r="M217" s="101">
        <v>0</v>
      </c>
      <c r="N217" s="101">
        <v>1.1191691032999516E+19</v>
      </c>
    </row>
    <row r="218" spans="4:14" ht="15" customHeight="1">
      <c r="D218" s="99" t="b">
        <v>0</v>
      </c>
      <c r="E218" s="94" t="s">
        <v>225</v>
      </c>
      <c r="F218" s="92" t="s">
        <v>224</v>
      </c>
      <c r="G218" s="92" t="s">
        <v>78</v>
      </c>
      <c r="H218" s="93">
        <v>73</v>
      </c>
      <c r="I218" s="93">
        <v>210</v>
      </c>
      <c r="J218" s="93">
        <v>26.84</v>
      </c>
      <c r="K218" s="93" t="s">
        <v>78</v>
      </c>
      <c r="L218" s="101">
        <v>136</v>
      </c>
      <c r="M218" s="101">
        <v>0</v>
      </c>
      <c r="N218" s="101">
        <v>8.3052497105821215E+18</v>
      </c>
    </row>
    <row r="219" spans="4:14" ht="15" customHeight="1">
      <c r="D219" s="99" t="b">
        <v>0</v>
      </c>
      <c r="E219" s="94" t="s">
        <v>226</v>
      </c>
      <c r="F219" s="92" t="s">
        <v>224</v>
      </c>
      <c r="G219" s="92" t="s">
        <v>82</v>
      </c>
      <c r="H219" s="93">
        <v>74</v>
      </c>
      <c r="I219" s="93">
        <v>225</v>
      </c>
      <c r="J219" s="93">
        <v>26.16</v>
      </c>
      <c r="K219" s="93" t="s">
        <v>83</v>
      </c>
      <c r="L219" s="101">
        <v>137</v>
      </c>
      <c r="M219" s="101">
        <v>0</v>
      </c>
      <c r="N219" s="101">
        <v>5.1657618493276027E+18</v>
      </c>
    </row>
    <row r="220" spans="4:14" ht="15" customHeight="1">
      <c r="D220" s="99" t="b">
        <v>0</v>
      </c>
      <c r="E220" s="94" t="s">
        <v>227</v>
      </c>
      <c r="F220" s="92" t="s">
        <v>224</v>
      </c>
      <c r="G220" s="92" t="s">
        <v>86</v>
      </c>
      <c r="H220" s="93">
        <v>70</v>
      </c>
      <c r="I220" s="93">
        <v>180</v>
      </c>
      <c r="J220" s="93">
        <v>28.67</v>
      </c>
      <c r="K220" s="93" t="s">
        <v>83</v>
      </c>
      <c r="L220" s="101">
        <v>138</v>
      </c>
      <c r="M220" s="101">
        <v>0</v>
      </c>
      <c r="N220" s="101">
        <v>6.5416622441837814E+18</v>
      </c>
    </row>
    <row r="221" spans="4:14" ht="15" customHeight="1">
      <c r="D221" s="99" t="b">
        <v>0</v>
      </c>
      <c r="E221" s="94" t="s">
        <v>228</v>
      </c>
      <c r="F221" s="92" t="s">
        <v>224</v>
      </c>
      <c r="G221" s="92" t="s">
        <v>86</v>
      </c>
      <c r="H221" s="93">
        <v>72</v>
      </c>
      <c r="I221" s="93">
        <v>185</v>
      </c>
      <c r="J221" s="93">
        <v>24.2</v>
      </c>
      <c r="K221" s="93" t="s">
        <v>83</v>
      </c>
      <c r="L221" s="101">
        <v>139</v>
      </c>
      <c r="M221" s="101">
        <v>0</v>
      </c>
      <c r="N221" s="101">
        <v>1.6362257541339154E+19</v>
      </c>
    </row>
    <row r="222" spans="4:14" ht="15" customHeight="1">
      <c r="D222" s="99" t="b">
        <v>0</v>
      </c>
      <c r="E222" s="94" t="s">
        <v>229</v>
      </c>
      <c r="F222" s="92" t="s">
        <v>224</v>
      </c>
      <c r="G222" s="92" t="s">
        <v>86</v>
      </c>
      <c r="H222" s="93">
        <v>73</v>
      </c>
      <c r="I222" s="93">
        <v>170</v>
      </c>
      <c r="J222" s="93">
        <v>27.08</v>
      </c>
      <c r="K222" s="93" t="s">
        <v>83</v>
      </c>
      <c r="L222" s="101">
        <v>140</v>
      </c>
      <c r="M222" s="101">
        <v>0</v>
      </c>
      <c r="N222" s="101">
        <v>1.8048908983552928E+19</v>
      </c>
    </row>
    <row r="223" spans="4:14" ht="15" customHeight="1">
      <c r="D223" s="99" t="b">
        <v>0</v>
      </c>
      <c r="E223" s="94" t="s">
        <v>230</v>
      </c>
      <c r="F223" s="92" t="s">
        <v>224</v>
      </c>
      <c r="G223" s="92" t="s">
        <v>88</v>
      </c>
      <c r="H223" s="93">
        <v>73</v>
      </c>
      <c r="I223" s="93">
        <v>185</v>
      </c>
      <c r="J223" s="93">
        <v>24.76</v>
      </c>
      <c r="K223" s="93" t="s">
        <v>83</v>
      </c>
      <c r="L223" s="101">
        <v>141</v>
      </c>
      <c r="M223" s="101">
        <v>0</v>
      </c>
      <c r="N223" s="101">
        <v>5.1150162282646989E+18</v>
      </c>
    </row>
    <row r="224" spans="4:14" ht="15" customHeight="1">
      <c r="D224" s="99" t="b">
        <v>0</v>
      </c>
      <c r="E224" s="94" t="s">
        <v>231</v>
      </c>
      <c r="F224" s="92" t="s">
        <v>224</v>
      </c>
      <c r="G224" s="92" t="s">
        <v>90</v>
      </c>
      <c r="H224" s="93">
        <v>73</v>
      </c>
      <c r="I224" s="93">
        <v>185</v>
      </c>
      <c r="J224" s="93">
        <v>23.36</v>
      </c>
      <c r="K224" s="93" t="s">
        <v>83</v>
      </c>
      <c r="L224" s="101">
        <v>142</v>
      </c>
      <c r="M224" s="101">
        <v>0</v>
      </c>
      <c r="N224" s="101">
        <v>6.1745300086900931E+18</v>
      </c>
    </row>
    <row r="225" spans="4:14" ht="15" customHeight="1">
      <c r="D225" s="99" t="b">
        <v>0</v>
      </c>
      <c r="E225" s="94" t="s">
        <v>232</v>
      </c>
      <c r="F225" s="92" t="s">
        <v>224</v>
      </c>
      <c r="G225" s="92" t="s">
        <v>93</v>
      </c>
      <c r="H225" s="93">
        <v>73</v>
      </c>
      <c r="I225" s="93">
        <v>180</v>
      </c>
      <c r="J225" s="93">
        <v>25.35</v>
      </c>
      <c r="K225" s="93" t="s">
        <v>93</v>
      </c>
      <c r="L225" s="101">
        <v>143</v>
      </c>
      <c r="M225" s="101">
        <v>0</v>
      </c>
      <c r="N225" s="101">
        <v>8.2178427079833108E+18</v>
      </c>
    </row>
    <row r="226" spans="4:14" ht="15" customHeight="1">
      <c r="D226" s="99" t="b">
        <v>0</v>
      </c>
      <c r="E226" s="94" t="s">
        <v>233</v>
      </c>
      <c r="F226" s="92" t="s">
        <v>224</v>
      </c>
      <c r="G226" s="92" t="s">
        <v>93</v>
      </c>
      <c r="H226" s="93">
        <v>71</v>
      </c>
      <c r="I226" s="93">
        <v>178</v>
      </c>
      <c r="J226" s="93">
        <v>24.63</v>
      </c>
      <c r="K226" s="93" t="s">
        <v>93</v>
      </c>
      <c r="L226" s="101">
        <v>144</v>
      </c>
      <c r="M226" s="101">
        <v>0</v>
      </c>
      <c r="N226" s="101">
        <v>9.734307661622956E+18</v>
      </c>
    </row>
    <row r="227" spans="4:14" ht="15" customHeight="1">
      <c r="D227" s="99" t="b">
        <v>0</v>
      </c>
      <c r="E227" s="94" t="s">
        <v>234</v>
      </c>
      <c r="F227" s="92" t="s">
        <v>224</v>
      </c>
      <c r="G227" s="92" t="s">
        <v>93</v>
      </c>
      <c r="H227" s="93">
        <v>74</v>
      </c>
      <c r="I227" s="93">
        <v>175</v>
      </c>
      <c r="J227" s="93">
        <v>24.02</v>
      </c>
      <c r="K227" s="93" t="s">
        <v>93</v>
      </c>
      <c r="L227" s="101">
        <v>145</v>
      </c>
      <c r="M227" s="101">
        <v>0</v>
      </c>
      <c r="N227" s="101">
        <v>2.047109806530658E+18</v>
      </c>
    </row>
    <row r="228" spans="4:14" ht="15" customHeight="1">
      <c r="D228" s="99" t="b">
        <v>0</v>
      </c>
      <c r="E228" s="94" t="s">
        <v>235</v>
      </c>
      <c r="F228" s="92" t="s">
        <v>224</v>
      </c>
      <c r="G228" s="92" t="s">
        <v>93</v>
      </c>
      <c r="H228" s="93">
        <v>74</v>
      </c>
      <c r="I228" s="93">
        <v>200</v>
      </c>
      <c r="J228" s="93">
        <v>24.58</v>
      </c>
      <c r="K228" s="93" t="s">
        <v>93</v>
      </c>
      <c r="L228" s="101">
        <v>146</v>
      </c>
      <c r="M228" s="101">
        <v>0</v>
      </c>
      <c r="N228" s="101">
        <v>3.5481759933914486E+18</v>
      </c>
    </row>
    <row r="229" spans="4:14" ht="15" customHeight="1">
      <c r="D229" s="99" t="b">
        <v>0</v>
      </c>
      <c r="E229" s="94" t="s">
        <v>236</v>
      </c>
      <c r="F229" s="92" t="s">
        <v>224</v>
      </c>
      <c r="G229" s="92" t="s">
        <v>93</v>
      </c>
      <c r="H229" s="93">
        <v>72</v>
      </c>
      <c r="I229" s="93">
        <v>204</v>
      </c>
      <c r="J229" s="93">
        <v>30.82</v>
      </c>
      <c r="K229" s="93" t="s">
        <v>93</v>
      </c>
      <c r="L229" s="101">
        <v>147</v>
      </c>
      <c r="M229" s="101">
        <v>0</v>
      </c>
      <c r="N229" s="101">
        <v>1.6995841806221773E+19</v>
      </c>
    </row>
    <row r="230" spans="4:14" ht="15" customHeight="1">
      <c r="D230" s="99" t="b">
        <v>0</v>
      </c>
      <c r="E230" s="94" t="s">
        <v>237</v>
      </c>
      <c r="F230" s="92" t="s">
        <v>224</v>
      </c>
      <c r="G230" s="92" t="s">
        <v>93</v>
      </c>
      <c r="H230" s="93">
        <v>74</v>
      </c>
      <c r="I230" s="93">
        <v>211</v>
      </c>
      <c r="J230" s="93">
        <v>32.89</v>
      </c>
      <c r="K230" s="93" t="s">
        <v>93</v>
      </c>
      <c r="L230" s="101">
        <v>148</v>
      </c>
      <c r="M230" s="101">
        <v>0</v>
      </c>
      <c r="N230" s="101">
        <v>1.3086294522360491E+17</v>
      </c>
    </row>
    <row r="231" spans="4:14" ht="15" customHeight="1">
      <c r="D231" s="99" t="b">
        <v>0</v>
      </c>
      <c r="E231" s="94" t="s">
        <v>238</v>
      </c>
      <c r="F231" s="92" t="s">
        <v>224</v>
      </c>
      <c r="G231" s="92" t="s">
        <v>93</v>
      </c>
      <c r="H231" s="93">
        <v>71</v>
      </c>
      <c r="I231" s="93">
        <v>190</v>
      </c>
      <c r="J231" s="93">
        <v>33.33</v>
      </c>
      <c r="K231" s="93" t="s">
        <v>93</v>
      </c>
      <c r="L231" s="101">
        <v>149</v>
      </c>
      <c r="M231" s="101">
        <v>0</v>
      </c>
      <c r="N231" s="101">
        <v>9.5924149733448212E+18</v>
      </c>
    </row>
    <row r="232" spans="4:14" ht="15" customHeight="1">
      <c r="D232" s="99" t="b">
        <v>0</v>
      </c>
      <c r="E232" s="94" t="s">
        <v>239</v>
      </c>
      <c r="F232" s="92" t="s">
        <v>224</v>
      </c>
      <c r="G232" s="92" t="s">
        <v>93</v>
      </c>
      <c r="H232" s="93">
        <v>74</v>
      </c>
      <c r="I232" s="93">
        <v>210</v>
      </c>
      <c r="J232" s="93">
        <v>33.520000000000003</v>
      </c>
      <c r="K232" s="93" t="s">
        <v>93</v>
      </c>
      <c r="L232" s="101">
        <v>150</v>
      </c>
      <c r="M232" s="101">
        <v>0</v>
      </c>
      <c r="N232" s="101">
        <v>1.362920763665057E+19</v>
      </c>
    </row>
    <row r="233" spans="4:14" ht="15" customHeight="1">
      <c r="D233" s="99" t="b">
        <v>0</v>
      </c>
      <c r="E233" s="94" t="s">
        <v>240</v>
      </c>
      <c r="F233" s="92" t="s">
        <v>224</v>
      </c>
      <c r="G233" s="92" t="s">
        <v>101</v>
      </c>
      <c r="H233" s="93">
        <v>73</v>
      </c>
      <c r="I233" s="93">
        <v>190</v>
      </c>
      <c r="J233" s="93">
        <v>36.24</v>
      </c>
      <c r="K233" s="93" t="s">
        <v>75</v>
      </c>
      <c r="L233" s="101">
        <v>151</v>
      </c>
      <c r="M233" s="101">
        <v>0</v>
      </c>
      <c r="N233" s="101">
        <v>5.4636567321396777E+18</v>
      </c>
    </row>
    <row r="234" spans="4:14" ht="15" customHeight="1">
      <c r="D234" s="99" t="b">
        <v>0</v>
      </c>
      <c r="E234" s="94" t="s">
        <v>241</v>
      </c>
      <c r="F234" s="92" t="s">
        <v>224</v>
      </c>
      <c r="G234" s="92" t="s">
        <v>101</v>
      </c>
      <c r="H234" s="93">
        <v>75</v>
      </c>
      <c r="I234" s="93">
        <v>190</v>
      </c>
      <c r="J234" s="93">
        <v>28.5</v>
      </c>
      <c r="K234" s="93" t="s">
        <v>75</v>
      </c>
      <c r="L234" s="101">
        <v>152</v>
      </c>
      <c r="M234" s="101">
        <v>0</v>
      </c>
      <c r="N234" s="101">
        <v>1.1633120962194612E+19</v>
      </c>
    </row>
    <row r="235" spans="4:14" ht="15" customHeight="1">
      <c r="D235" s="99" t="b">
        <v>0</v>
      </c>
      <c r="E235" s="94" t="s">
        <v>242</v>
      </c>
      <c r="F235" s="92" t="s">
        <v>224</v>
      </c>
      <c r="G235" s="92" t="s">
        <v>101</v>
      </c>
      <c r="H235" s="93">
        <v>75</v>
      </c>
      <c r="I235" s="93">
        <v>185</v>
      </c>
      <c r="J235" s="93">
        <v>29.42</v>
      </c>
      <c r="K235" s="93" t="s">
        <v>75</v>
      </c>
      <c r="L235" s="101">
        <v>153</v>
      </c>
      <c r="M235" s="101">
        <v>0</v>
      </c>
      <c r="N235" s="101">
        <v>5.6053911859750789E+18</v>
      </c>
    </row>
    <row r="236" spans="4:14" ht="15" customHeight="1">
      <c r="D236" s="99" t="b">
        <v>0</v>
      </c>
      <c r="E236" s="94" t="s">
        <v>243</v>
      </c>
      <c r="F236" s="92" t="s">
        <v>224</v>
      </c>
      <c r="G236" s="92" t="s">
        <v>101</v>
      </c>
      <c r="H236" s="93">
        <v>79</v>
      </c>
      <c r="I236" s="93">
        <v>290</v>
      </c>
      <c r="J236" s="93">
        <v>26.61</v>
      </c>
      <c r="K236" s="93" t="s">
        <v>75</v>
      </c>
      <c r="L236" s="101">
        <v>154</v>
      </c>
      <c r="M236" s="101">
        <v>0</v>
      </c>
      <c r="N236" s="101">
        <v>1.9357740471878003E+18</v>
      </c>
    </row>
    <row r="237" spans="4:14" ht="15" customHeight="1">
      <c r="D237" s="99" t="b">
        <v>0</v>
      </c>
      <c r="E237" s="94" t="s">
        <v>244</v>
      </c>
      <c r="F237" s="92" t="s">
        <v>224</v>
      </c>
      <c r="G237" s="92" t="s">
        <v>101</v>
      </c>
      <c r="H237" s="93">
        <v>73</v>
      </c>
      <c r="I237" s="93">
        <v>175</v>
      </c>
      <c r="J237" s="93">
        <v>23.79</v>
      </c>
      <c r="K237" s="93" t="s">
        <v>75</v>
      </c>
      <c r="L237" s="101">
        <v>155</v>
      </c>
      <c r="M237" s="101">
        <v>0</v>
      </c>
      <c r="N237" s="101">
        <v>1.0869367328594381E+19</v>
      </c>
    </row>
    <row r="238" spans="4:14" ht="15" customHeight="1">
      <c r="D238" s="99" t="b">
        <v>0</v>
      </c>
      <c r="E238" s="94" t="s">
        <v>245</v>
      </c>
      <c r="F238" s="92" t="s">
        <v>224</v>
      </c>
      <c r="G238" s="92" t="s">
        <v>74</v>
      </c>
      <c r="H238" s="93">
        <v>75</v>
      </c>
      <c r="I238" s="93">
        <v>185</v>
      </c>
      <c r="J238" s="93">
        <v>24.96</v>
      </c>
      <c r="K238" s="93" t="s">
        <v>75</v>
      </c>
      <c r="L238" s="101">
        <v>156</v>
      </c>
      <c r="M238" s="101">
        <v>0</v>
      </c>
      <c r="N238" s="101">
        <v>1.5839667816897253E+19</v>
      </c>
    </row>
    <row r="239" spans="4:14" ht="15" customHeight="1">
      <c r="D239" s="99" t="b">
        <v>0</v>
      </c>
      <c r="E239" s="94" t="s">
        <v>246</v>
      </c>
      <c r="F239" s="92" t="s">
        <v>224</v>
      </c>
      <c r="G239" s="92" t="s">
        <v>74</v>
      </c>
      <c r="H239" s="93">
        <v>76</v>
      </c>
      <c r="I239" s="93">
        <v>200</v>
      </c>
      <c r="J239" s="93">
        <v>25.93</v>
      </c>
      <c r="K239" s="93" t="s">
        <v>75</v>
      </c>
      <c r="L239" s="101">
        <v>157</v>
      </c>
      <c r="M239" s="101">
        <v>0</v>
      </c>
      <c r="N239" s="101">
        <v>1.1576712235270013E+19</v>
      </c>
    </row>
    <row r="240" spans="4:14" ht="15" customHeight="1">
      <c r="D240" s="99" t="b">
        <v>0</v>
      </c>
      <c r="E240" s="94" t="s">
        <v>247</v>
      </c>
      <c r="F240" s="92" t="s">
        <v>224</v>
      </c>
      <c r="G240" s="92" t="s">
        <v>74</v>
      </c>
      <c r="H240" s="93">
        <v>74</v>
      </c>
      <c r="I240" s="93">
        <v>220</v>
      </c>
      <c r="J240" s="93">
        <v>22.81</v>
      </c>
      <c r="K240" s="93" t="s">
        <v>75</v>
      </c>
      <c r="L240" s="101">
        <v>158</v>
      </c>
      <c r="M240" s="101">
        <v>0</v>
      </c>
      <c r="N240" s="101">
        <v>2.2646078689625004E+18</v>
      </c>
    </row>
    <row r="241" spans="4:14" ht="15" customHeight="1">
      <c r="D241" s="99" t="b">
        <v>0</v>
      </c>
      <c r="E241" s="94" t="s">
        <v>248</v>
      </c>
      <c r="F241" s="92" t="s">
        <v>224</v>
      </c>
      <c r="G241" s="92" t="s">
        <v>74</v>
      </c>
      <c r="H241" s="93">
        <v>76</v>
      </c>
      <c r="I241" s="93">
        <v>170</v>
      </c>
      <c r="J241" s="93">
        <v>25.29</v>
      </c>
      <c r="K241" s="93" t="s">
        <v>75</v>
      </c>
      <c r="L241" s="101">
        <v>159</v>
      </c>
      <c r="M241" s="101">
        <v>0</v>
      </c>
      <c r="N241" s="101">
        <v>1.1121279397113678E+19</v>
      </c>
    </row>
    <row r="242" spans="4:14" ht="15" customHeight="1">
      <c r="D242" s="99" t="b">
        <v>0</v>
      </c>
      <c r="E242" s="94" t="s">
        <v>249</v>
      </c>
      <c r="F242" s="92" t="s">
        <v>224</v>
      </c>
      <c r="G242" s="92" t="s">
        <v>74</v>
      </c>
      <c r="H242" s="93">
        <v>78</v>
      </c>
      <c r="I242" s="93">
        <v>220</v>
      </c>
      <c r="J242" s="93">
        <v>26.07</v>
      </c>
      <c r="K242" s="93" t="s">
        <v>75</v>
      </c>
      <c r="L242" s="101">
        <v>160</v>
      </c>
      <c r="M242" s="101">
        <v>0</v>
      </c>
      <c r="N242" s="101">
        <v>5.5601708864409426E+18</v>
      </c>
    </row>
    <row r="243" spans="4:14" ht="15" customHeight="1">
      <c r="D243" s="99" t="b">
        <v>0</v>
      </c>
      <c r="E243" s="94" t="s">
        <v>250</v>
      </c>
      <c r="F243" s="92" t="s">
        <v>224</v>
      </c>
      <c r="G243" s="92" t="s">
        <v>74</v>
      </c>
      <c r="H243" s="93">
        <v>74</v>
      </c>
      <c r="I243" s="93">
        <v>190</v>
      </c>
      <c r="J243" s="93">
        <v>26.09</v>
      </c>
      <c r="K243" s="93" t="s">
        <v>75</v>
      </c>
      <c r="L243" s="101">
        <v>161</v>
      </c>
      <c r="M243" s="101">
        <v>0</v>
      </c>
      <c r="N243" s="101">
        <v>1.4076265983138476E+19</v>
      </c>
    </row>
    <row r="244" spans="4:14" ht="15" customHeight="1">
      <c r="D244" s="99" t="b">
        <v>0</v>
      </c>
      <c r="E244" s="94" t="s">
        <v>251</v>
      </c>
      <c r="F244" s="92" t="s">
        <v>224</v>
      </c>
      <c r="G244" s="92" t="s">
        <v>74</v>
      </c>
      <c r="H244" s="93">
        <v>76</v>
      </c>
      <c r="I244" s="93">
        <v>220</v>
      </c>
      <c r="J244" s="93">
        <v>23.23</v>
      </c>
      <c r="K244" s="93" t="s">
        <v>75</v>
      </c>
      <c r="L244" s="101">
        <v>162</v>
      </c>
      <c r="M244" s="101">
        <v>0</v>
      </c>
      <c r="N244" s="101">
        <v>7.8985436766162319E+18</v>
      </c>
    </row>
    <row r="245" spans="4:14" ht="15" customHeight="1">
      <c r="D245" s="99" t="b">
        <v>0</v>
      </c>
      <c r="E245" s="94" t="s">
        <v>252</v>
      </c>
      <c r="F245" s="92" t="s">
        <v>224</v>
      </c>
      <c r="G245" s="92" t="s">
        <v>74</v>
      </c>
      <c r="H245" s="93">
        <v>72</v>
      </c>
      <c r="I245" s="93">
        <v>205</v>
      </c>
      <c r="J245" s="93">
        <v>33.49</v>
      </c>
      <c r="K245" s="93" t="s">
        <v>75</v>
      </c>
      <c r="L245" s="101">
        <v>163</v>
      </c>
      <c r="M245" s="101">
        <v>0</v>
      </c>
      <c r="N245" s="101">
        <v>1.680322665784892E+19</v>
      </c>
    </row>
    <row r="246" spans="4:14" ht="15" customHeight="1">
      <c r="D246" s="99" t="b">
        <v>0</v>
      </c>
      <c r="E246" s="94" t="s">
        <v>253</v>
      </c>
      <c r="F246" s="92" t="s">
        <v>224</v>
      </c>
      <c r="G246" s="92" t="s">
        <v>74</v>
      </c>
      <c r="H246" s="93">
        <v>74</v>
      </c>
      <c r="I246" s="93">
        <v>200</v>
      </c>
      <c r="J246" s="93">
        <v>31.84</v>
      </c>
      <c r="K246" s="93" t="s">
        <v>75</v>
      </c>
      <c r="L246" s="101">
        <v>164</v>
      </c>
      <c r="M246" s="101">
        <v>0</v>
      </c>
      <c r="N246" s="101">
        <v>2.0542259791238052E+18</v>
      </c>
    </row>
    <row r="247" spans="4:14" ht="15" customHeight="1">
      <c r="D247" s="99" t="b">
        <v>0</v>
      </c>
      <c r="E247" s="94" t="s">
        <v>254</v>
      </c>
      <c r="F247" s="92" t="s">
        <v>224</v>
      </c>
      <c r="G247" s="92" t="s">
        <v>74</v>
      </c>
      <c r="H247" s="93">
        <v>76</v>
      </c>
      <c r="I247" s="93">
        <v>250</v>
      </c>
      <c r="J247" s="93">
        <v>42.3</v>
      </c>
      <c r="K247" s="93" t="s">
        <v>75</v>
      </c>
      <c r="L247" s="101">
        <v>165</v>
      </c>
      <c r="M247" s="101">
        <v>0</v>
      </c>
      <c r="N247" s="101">
        <v>4.8233539741058161E+18</v>
      </c>
    </row>
    <row r="248" spans="4:14" ht="15" customHeight="1">
      <c r="D248" s="99" t="b">
        <v>0</v>
      </c>
      <c r="E248" s="94" t="s">
        <v>255</v>
      </c>
      <c r="F248" s="92" t="s">
        <v>224</v>
      </c>
      <c r="G248" s="92" t="s">
        <v>74</v>
      </c>
      <c r="H248" s="93">
        <v>74</v>
      </c>
      <c r="I248" s="93">
        <v>225</v>
      </c>
      <c r="J248" s="93">
        <v>35.82</v>
      </c>
      <c r="K248" s="93" t="s">
        <v>75</v>
      </c>
      <c r="L248" s="101">
        <v>166</v>
      </c>
      <c r="M248" s="101">
        <v>0</v>
      </c>
      <c r="N248" s="101">
        <v>1.7332339420879456E+19</v>
      </c>
    </row>
    <row r="249" spans="4:14" ht="15" customHeight="1">
      <c r="D249" s="99" t="b">
        <v>0</v>
      </c>
      <c r="E249" s="94" t="s">
        <v>256</v>
      </c>
      <c r="F249" s="92" t="s">
        <v>224</v>
      </c>
      <c r="G249" s="92" t="s">
        <v>74</v>
      </c>
      <c r="H249" s="93">
        <v>75</v>
      </c>
      <c r="I249" s="93">
        <v>215</v>
      </c>
      <c r="J249" s="93">
        <v>35.270000000000003</v>
      </c>
      <c r="K249" s="93" t="s">
        <v>75</v>
      </c>
      <c r="L249" s="101">
        <v>167</v>
      </c>
      <c r="M249" s="101">
        <v>0</v>
      </c>
      <c r="N249" s="101">
        <v>7.499911684705962E+18</v>
      </c>
    </row>
    <row r="250" spans="4:14" ht="15" customHeight="1">
      <c r="D250" s="99" t="b">
        <v>0</v>
      </c>
      <c r="E250" s="94" t="s">
        <v>257</v>
      </c>
      <c r="F250" s="92" t="s">
        <v>224</v>
      </c>
      <c r="G250" s="92" t="s">
        <v>74</v>
      </c>
      <c r="H250" s="93">
        <v>78</v>
      </c>
      <c r="I250" s="93">
        <v>210</v>
      </c>
      <c r="J250" s="93">
        <v>26.81</v>
      </c>
      <c r="K250" s="93" t="s">
        <v>75</v>
      </c>
      <c r="L250" s="101">
        <v>168</v>
      </c>
      <c r="M250" s="101">
        <v>0</v>
      </c>
      <c r="N250" s="101">
        <v>1.5637457962807081E+19</v>
      </c>
    </row>
    <row r="251" spans="4:14" ht="15" customHeight="1">
      <c r="D251" s="99" t="b">
        <v>0</v>
      </c>
      <c r="E251" s="94" t="s">
        <v>258</v>
      </c>
      <c r="F251" s="92" t="s">
        <v>259</v>
      </c>
      <c r="G251" s="92" t="s">
        <v>78</v>
      </c>
      <c r="H251" s="93">
        <v>75</v>
      </c>
      <c r="I251" s="93">
        <v>215</v>
      </c>
      <c r="J251" s="93">
        <v>38.49</v>
      </c>
      <c r="K251" s="93" t="s">
        <v>78</v>
      </c>
      <c r="L251" s="101">
        <v>169</v>
      </c>
      <c r="M251" s="101">
        <v>0</v>
      </c>
      <c r="N251" s="101">
        <v>8.848851266229801E+18</v>
      </c>
    </row>
    <row r="252" spans="4:14" ht="15" customHeight="1">
      <c r="D252" s="99" t="b">
        <v>0</v>
      </c>
      <c r="E252" s="94" t="s">
        <v>260</v>
      </c>
      <c r="F252" s="92" t="s">
        <v>259</v>
      </c>
      <c r="G252" s="92" t="s">
        <v>78</v>
      </c>
      <c r="H252" s="93">
        <v>72</v>
      </c>
      <c r="I252" s="93">
        <v>195</v>
      </c>
      <c r="J252" s="93">
        <v>32.68</v>
      </c>
      <c r="K252" s="93" t="s">
        <v>78</v>
      </c>
      <c r="L252" s="101">
        <v>170</v>
      </c>
      <c r="M252" s="101">
        <v>0</v>
      </c>
      <c r="N252" s="101">
        <v>1.7663078088092836E+19</v>
      </c>
    </row>
    <row r="253" spans="4:14" ht="15" customHeight="1">
      <c r="D253" s="99" t="b">
        <v>0</v>
      </c>
      <c r="E253" s="94" t="s">
        <v>261</v>
      </c>
      <c r="F253" s="92" t="s">
        <v>259</v>
      </c>
      <c r="G253" s="92" t="s">
        <v>78</v>
      </c>
      <c r="H253" s="93">
        <v>74</v>
      </c>
      <c r="I253" s="93">
        <v>200</v>
      </c>
      <c r="J253" s="93">
        <v>34.93</v>
      </c>
      <c r="K253" s="93" t="s">
        <v>78</v>
      </c>
      <c r="L253" s="101">
        <v>171</v>
      </c>
      <c r="M253" s="101">
        <v>0</v>
      </c>
      <c r="N253" s="101">
        <v>4.1876965590539428E+18</v>
      </c>
    </row>
    <row r="254" spans="4:14" ht="15" customHeight="1">
      <c r="D254" s="99" t="b">
        <v>0</v>
      </c>
      <c r="E254" s="94" t="s">
        <v>262</v>
      </c>
      <c r="F254" s="92" t="s">
        <v>259</v>
      </c>
      <c r="G254" s="92" t="s">
        <v>82</v>
      </c>
      <c r="H254" s="93">
        <v>72</v>
      </c>
      <c r="I254" s="93">
        <v>194</v>
      </c>
      <c r="J254" s="93">
        <v>26.26</v>
      </c>
      <c r="K254" s="93" t="s">
        <v>83</v>
      </c>
      <c r="L254" s="101">
        <v>172</v>
      </c>
      <c r="M254" s="101">
        <v>0</v>
      </c>
      <c r="N254" s="101">
        <v>1.8638715206695744E+18</v>
      </c>
    </row>
    <row r="255" spans="4:14" ht="15" customHeight="1">
      <c r="D255" s="99" t="b">
        <v>0</v>
      </c>
      <c r="E255" s="94" t="s">
        <v>263</v>
      </c>
      <c r="F255" s="92" t="s">
        <v>259</v>
      </c>
      <c r="G255" s="92" t="s">
        <v>82</v>
      </c>
      <c r="H255" s="93">
        <v>74</v>
      </c>
      <c r="I255" s="93">
        <v>220</v>
      </c>
      <c r="J255" s="93">
        <v>27.56</v>
      </c>
      <c r="K255" s="93" t="s">
        <v>83</v>
      </c>
      <c r="L255" s="101">
        <v>173</v>
      </c>
      <c r="M255" s="101">
        <v>0</v>
      </c>
      <c r="N255" s="101">
        <v>6.558777885814315E+18</v>
      </c>
    </row>
    <row r="256" spans="4:14" ht="15" customHeight="1">
      <c r="D256" s="99" t="b">
        <v>0</v>
      </c>
      <c r="E256" s="94" t="s">
        <v>264</v>
      </c>
      <c r="F256" s="92" t="s">
        <v>259</v>
      </c>
      <c r="G256" s="92" t="s">
        <v>86</v>
      </c>
      <c r="H256" s="93">
        <v>70</v>
      </c>
      <c r="I256" s="93">
        <v>180</v>
      </c>
      <c r="J256" s="93">
        <v>23.98</v>
      </c>
      <c r="K256" s="93" t="s">
        <v>83</v>
      </c>
      <c r="L256" s="101">
        <v>174</v>
      </c>
      <c r="M256" s="101">
        <v>0</v>
      </c>
      <c r="N256" s="101">
        <v>7.7213658374094612E+18</v>
      </c>
    </row>
    <row r="257" spans="4:14" ht="15" customHeight="1">
      <c r="D257" s="99" t="b">
        <v>0</v>
      </c>
      <c r="E257" s="94" t="s">
        <v>265</v>
      </c>
      <c r="F257" s="92" t="s">
        <v>259</v>
      </c>
      <c r="G257" s="92" t="s">
        <v>86</v>
      </c>
      <c r="H257" s="93">
        <v>71</v>
      </c>
      <c r="I257" s="93">
        <v>180</v>
      </c>
      <c r="J257" s="93">
        <v>29.73</v>
      </c>
      <c r="K257" s="93" t="s">
        <v>83</v>
      </c>
      <c r="L257" s="101">
        <v>175</v>
      </c>
      <c r="M257" s="101">
        <v>0</v>
      </c>
      <c r="N257" s="101">
        <v>4.3392492415321261E+17</v>
      </c>
    </row>
    <row r="258" spans="4:14" ht="15" customHeight="1">
      <c r="D258" s="99" t="b">
        <v>0</v>
      </c>
      <c r="E258" s="94" t="s">
        <v>266</v>
      </c>
      <c r="F258" s="92" t="s">
        <v>259</v>
      </c>
      <c r="G258" s="92" t="s">
        <v>88</v>
      </c>
      <c r="H258" s="93">
        <v>70</v>
      </c>
      <c r="I258" s="93">
        <v>170</v>
      </c>
      <c r="J258" s="93">
        <v>31.33</v>
      </c>
      <c r="K258" s="93" t="s">
        <v>83</v>
      </c>
      <c r="L258" s="101">
        <v>176</v>
      </c>
      <c r="M258" s="101">
        <v>0</v>
      </c>
      <c r="N258" s="101">
        <v>1.2349740513444051E+19</v>
      </c>
    </row>
    <row r="259" spans="4:14" ht="15" customHeight="1">
      <c r="D259" s="99" t="b">
        <v>0</v>
      </c>
      <c r="E259" s="94" t="s">
        <v>267</v>
      </c>
      <c r="F259" s="92" t="s">
        <v>259</v>
      </c>
      <c r="G259" s="92" t="s">
        <v>88</v>
      </c>
      <c r="H259" s="93">
        <v>75</v>
      </c>
      <c r="I259" s="93">
        <v>195</v>
      </c>
      <c r="J259" s="93">
        <v>27.13</v>
      </c>
      <c r="K259" s="93" t="s">
        <v>83</v>
      </c>
      <c r="L259" s="101">
        <v>177</v>
      </c>
      <c r="M259" s="101">
        <v>0</v>
      </c>
      <c r="N259" s="101">
        <v>1.7787831389900112E+19</v>
      </c>
    </row>
    <row r="260" spans="4:14" ht="15" customHeight="1">
      <c r="D260" s="99" t="b">
        <v>0</v>
      </c>
      <c r="E260" s="94" t="s">
        <v>268</v>
      </c>
      <c r="F260" s="92" t="s">
        <v>259</v>
      </c>
      <c r="G260" s="92" t="s">
        <v>88</v>
      </c>
      <c r="H260" s="93">
        <v>71</v>
      </c>
      <c r="I260" s="93">
        <v>180</v>
      </c>
      <c r="J260" s="93">
        <v>26.75</v>
      </c>
      <c r="K260" s="93" t="s">
        <v>83</v>
      </c>
      <c r="L260" s="101">
        <v>178</v>
      </c>
      <c r="M260" s="101">
        <v>0</v>
      </c>
      <c r="N260" s="101">
        <v>1.7343249000281498E+19</v>
      </c>
    </row>
    <row r="261" spans="4:14" ht="15" customHeight="1">
      <c r="D261" s="99" t="b">
        <v>0</v>
      </c>
      <c r="E261" s="94" t="s">
        <v>269</v>
      </c>
      <c r="F261" s="92" t="s">
        <v>259</v>
      </c>
      <c r="G261" s="92" t="s">
        <v>90</v>
      </c>
      <c r="H261" s="93">
        <v>71</v>
      </c>
      <c r="I261" s="93">
        <v>170</v>
      </c>
      <c r="J261" s="93">
        <v>27.09</v>
      </c>
      <c r="K261" s="93" t="s">
        <v>83</v>
      </c>
      <c r="L261" s="101">
        <v>179</v>
      </c>
      <c r="M261" s="101">
        <v>0</v>
      </c>
      <c r="N261" s="101">
        <v>1.8159553618290915E+19</v>
      </c>
    </row>
    <row r="262" spans="4:14" ht="15" customHeight="1">
      <c r="D262" s="99" t="b">
        <v>0</v>
      </c>
      <c r="E262" s="94" t="s">
        <v>270</v>
      </c>
      <c r="F262" s="92" t="s">
        <v>259</v>
      </c>
      <c r="G262" s="92" t="s">
        <v>90</v>
      </c>
      <c r="H262" s="93">
        <v>73</v>
      </c>
      <c r="I262" s="93">
        <v>206</v>
      </c>
      <c r="J262" s="93">
        <v>29.23</v>
      </c>
      <c r="K262" s="93" t="s">
        <v>83</v>
      </c>
      <c r="L262" s="101">
        <v>180</v>
      </c>
      <c r="M262" s="101">
        <v>0</v>
      </c>
      <c r="N262" s="101">
        <v>9.5829890618735206E+18</v>
      </c>
    </row>
    <row r="263" spans="4:14" ht="15" customHeight="1">
      <c r="D263" s="99" t="b">
        <v>0</v>
      </c>
      <c r="E263" s="94" t="s">
        <v>271</v>
      </c>
      <c r="F263" s="92" t="s">
        <v>259</v>
      </c>
      <c r="G263" s="92" t="s">
        <v>93</v>
      </c>
      <c r="H263" s="93">
        <v>72</v>
      </c>
      <c r="I263" s="93">
        <v>205</v>
      </c>
      <c r="J263" s="93">
        <v>28.88</v>
      </c>
      <c r="K263" s="93" t="s">
        <v>93</v>
      </c>
      <c r="L263" s="101">
        <v>181</v>
      </c>
      <c r="M263" s="101">
        <v>0</v>
      </c>
      <c r="N263" s="101">
        <v>1.5735697010117456E+19</v>
      </c>
    </row>
    <row r="264" spans="4:14" ht="15" customHeight="1">
      <c r="D264" s="99" t="b">
        <v>0</v>
      </c>
      <c r="E264" s="94" t="s">
        <v>272</v>
      </c>
      <c r="F264" s="92" t="s">
        <v>259</v>
      </c>
      <c r="G264" s="92" t="s">
        <v>93</v>
      </c>
      <c r="H264" s="93">
        <v>71</v>
      </c>
      <c r="I264" s="93">
        <v>200</v>
      </c>
      <c r="J264" s="93">
        <v>33.01</v>
      </c>
      <c r="K264" s="93" t="s">
        <v>93</v>
      </c>
      <c r="L264" s="101">
        <v>182</v>
      </c>
      <c r="M264" s="101">
        <v>0</v>
      </c>
      <c r="N264" s="101">
        <v>9.0326070838236068E+18</v>
      </c>
    </row>
    <row r="265" spans="4:14" ht="15" customHeight="1">
      <c r="D265" s="99" t="b">
        <v>0</v>
      </c>
      <c r="E265" s="94" t="s">
        <v>273</v>
      </c>
      <c r="F265" s="92" t="s">
        <v>259</v>
      </c>
      <c r="G265" s="92" t="s">
        <v>93</v>
      </c>
      <c r="H265" s="93">
        <v>73</v>
      </c>
      <c r="I265" s="93">
        <v>225</v>
      </c>
      <c r="J265" s="93">
        <v>30.57</v>
      </c>
      <c r="K265" s="93" t="s">
        <v>93</v>
      </c>
      <c r="L265" s="101">
        <v>183</v>
      </c>
      <c r="M265" s="101">
        <v>0</v>
      </c>
      <c r="N265" s="101">
        <v>1.5433830033159176E+19</v>
      </c>
    </row>
    <row r="266" spans="4:14" ht="15" customHeight="1">
      <c r="D266" s="99" t="b">
        <v>0</v>
      </c>
      <c r="E266" s="94" t="s">
        <v>274</v>
      </c>
      <c r="F266" s="92" t="s">
        <v>259</v>
      </c>
      <c r="G266" s="92" t="s">
        <v>93</v>
      </c>
      <c r="H266" s="93">
        <v>72</v>
      </c>
      <c r="I266" s="93">
        <v>201</v>
      </c>
      <c r="J266" s="93">
        <v>31.24</v>
      </c>
      <c r="K266" s="93" t="s">
        <v>93</v>
      </c>
      <c r="L266" s="101">
        <v>184</v>
      </c>
      <c r="M266" s="101">
        <v>0</v>
      </c>
      <c r="N266" s="101">
        <v>2.3295892973669883E+18</v>
      </c>
    </row>
    <row r="267" spans="4:14" ht="15" customHeight="1">
      <c r="D267" s="99" t="b">
        <v>0</v>
      </c>
      <c r="E267" s="94" t="s">
        <v>275</v>
      </c>
      <c r="F267" s="92" t="s">
        <v>259</v>
      </c>
      <c r="G267" s="92" t="s">
        <v>93</v>
      </c>
      <c r="H267" s="93">
        <v>75</v>
      </c>
      <c r="I267" s="93">
        <v>225</v>
      </c>
      <c r="J267" s="93">
        <v>24.95</v>
      </c>
      <c r="K267" s="93" t="s">
        <v>93</v>
      </c>
      <c r="L267" s="101">
        <v>185</v>
      </c>
      <c r="M267" s="101">
        <v>0</v>
      </c>
      <c r="N267" s="101">
        <v>4.3279378095089884E+18</v>
      </c>
    </row>
    <row r="268" spans="4:14" ht="15" customHeight="1">
      <c r="D268" s="99" t="b">
        <v>0</v>
      </c>
      <c r="E268" s="94" t="s">
        <v>276</v>
      </c>
      <c r="F268" s="92" t="s">
        <v>259</v>
      </c>
      <c r="G268" s="92" t="s">
        <v>101</v>
      </c>
      <c r="H268" s="93">
        <v>74</v>
      </c>
      <c r="I268" s="93">
        <v>233</v>
      </c>
      <c r="J268" s="93">
        <v>24.62</v>
      </c>
      <c r="K268" s="93" t="s">
        <v>75</v>
      </c>
      <c r="L268" s="101">
        <v>186</v>
      </c>
      <c r="M268" s="101">
        <v>0</v>
      </c>
      <c r="N268" s="101">
        <v>1.0507738410507495E+19</v>
      </c>
    </row>
    <row r="269" spans="4:14" ht="15" customHeight="1">
      <c r="D269" s="99" t="b">
        <v>0</v>
      </c>
      <c r="E269" s="94" t="s">
        <v>277</v>
      </c>
      <c r="F269" s="92" t="s">
        <v>259</v>
      </c>
      <c r="G269" s="92" t="s">
        <v>101</v>
      </c>
      <c r="H269" s="93">
        <v>74</v>
      </c>
      <c r="I269" s="93">
        <v>180</v>
      </c>
      <c r="J269" s="93">
        <v>24.98</v>
      </c>
      <c r="K269" s="93" t="s">
        <v>75</v>
      </c>
      <c r="L269" s="101">
        <v>187</v>
      </c>
      <c r="M269" s="101">
        <v>0</v>
      </c>
      <c r="N269" s="101">
        <v>1.5987865809846981E+19</v>
      </c>
    </row>
    <row r="270" spans="4:14" ht="15" customHeight="1">
      <c r="D270" s="99" t="b">
        <v>0</v>
      </c>
      <c r="E270" s="94" t="s">
        <v>278</v>
      </c>
      <c r="F270" s="92" t="s">
        <v>259</v>
      </c>
      <c r="G270" s="92" t="s">
        <v>101</v>
      </c>
      <c r="H270" s="93">
        <v>75</v>
      </c>
      <c r="I270" s="93">
        <v>225</v>
      </c>
      <c r="J270" s="93">
        <v>26.22</v>
      </c>
      <c r="K270" s="93" t="s">
        <v>75</v>
      </c>
      <c r="L270" s="101">
        <v>188</v>
      </c>
      <c r="M270" s="101">
        <v>0</v>
      </c>
      <c r="N270" s="101">
        <v>1.100053215835845E+18</v>
      </c>
    </row>
    <row r="271" spans="4:14" ht="15" customHeight="1">
      <c r="D271" s="99" t="b">
        <v>0</v>
      </c>
      <c r="E271" s="94" t="s">
        <v>279</v>
      </c>
      <c r="F271" s="92" t="s">
        <v>259</v>
      </c>
      <c r="G271" s="92" t="s">
        <v>101</v>
      </c>
      <c r="H271" s="93">
        <v>73</v>
      </c>
      <c r="I271" s="93">
        <v>180</v>
      </c>
      <c r="J271" s="93">
        <v>26.04</v>
      </c>
      <c r="K271" s="93" t="s">
        <v>75</v>
      </c>
      <c r="L271" s="101">
        <v>189</v>
      </c>
      <c r="M271" s="101">
        <v>0</v>
      </c>
      <c r="N271" s="101">
        <v>1.6624930315865827E+19</v>
      </c>
    </row>
    <row r="272" spans="4:14" ht="15" customHeight="1">
      <c r="D272" s="99" t="b">
        <v>0</v>
      </c>
      <c r="E272" s="94" t="s">
        <v>280</v>
      </c>
      <c r="F272" s="92" t="s">
        <v>259</v>
      </c>
      <c r="G272" s="92" t="s">
        <v>101</v>
      </c>
      <c r="H272" s="93">
        <v>77</v>
      </c>
      <c r="I272" s="93">
        <v>220</v>
      </c>
      <c r="J272" s="93">
        <v>26.45</v>
      </c>
      <c r="K272" s="93" t="s">
        <v>75</v>
      </c>
      <c r="L272" s="101">
        <v>190</v>
      </c>
      <c r="M272" s="101">
        <v>0</v>
      </c>
      <c r="N272" s="101">
        <v>7.8508757926929572E+18</v>
      </c>
    </row>
    <row r="273" spans="4:14" ht="15" customHeight="1">
      <c r="D273" s="99" t="b">
        <v>0</v>
      </c>
      <c r="E273" s="94" t="s">
        <v>281</v>
      </c>
      <c r="F273" s="92" t="s">
        <v>259</v>
      </c>
      <c r="G273" s="92" t="s">
        <v>101</v>
      </c>
      <c r="H273" s="93">
        <v>73</v>
      </c>
      <c r="I273" s="93">
        <v>180</v>
      </c>
      <c r="J273" s="93">
        <v>25.25</v>
      </c>
      <c r="K273" s="93" t="s">
        <v>75</v>
      </c>
      <c r="L273" s="101">
        <v>191</v>
      </c>
      <c r="M273" s="101">
        <v>0</v>
      </c>
      <c r="N273" s="101">
        <v>1.8114179546930153E+19</v>
      </c>
    </row>
    <row r="274" spans="4:14" ht="15" customHeight="1">
      <c r="D274" s="99" t="b">
        <v>0</v>
      </c>
      <c r="E274" s="94" t="s">
        <v>282</v>
      </c>
      <c r="F274" s="92" t="s">
        <v>259</v>
      </c>
      <c r="G274" s="92" t="s">
        <v>101</v>
      </c>
      <c r="H274" s="93">
        <v>76</v>
      </c>
      <c r="I274" s="93">
        <v>237</v>
      </c>
      <c r="J274" s="93">
        <v>27.77</v>
      </c>
      <c r="K274" s="93" t="s">
        <v>75</v>
      </c>
      <c r="L274" s="101">
        <v>192</v>
      </c>
      <c r="M274" s="101">
        <v>0</v>
      </c>
      <c r="N274" s="101">
        <v>1.6126826935110754E+19</v>
      </c>
    </row>
    <row r="275" spans="4:14" ht="15" customHeight="1">
      <c r="D275" s="99" t="b">
        <v>0</v>
      </c>
      <c r="E275" s="94" t="s">
        <v>283</v>
      </c>
      <c r="F275" s="92" t="s">
        <v>259</v>
      </c>
      <c r="G275" s="92" t="s">
        <v>101</v>
      </c>
      <c r="H275" s="93">
        <v>75</v>
      </c>
      <c r="I275" s="93">
        <v>215</v>
      </c>
      <c r="J275" s="93">
        <v>35.159999999999997</v>
      </c>
      <c r="K275" s="93" t="s">
        <v>75</v>
      </c>
      <c r="L275" s="101">
        <v>193</v>
      </c>
      <c r="M275" s="101">
        <v>0</v>
      </c>
      <c r="N275" s="101">
        <v>4903709097198744</v>
      </c>
    </row>
    <row r="276" spans="4:14" ht="15" customHeight="1">
      <c r="D276" s="99" t="b">
        <v>0</v>
      </c>
      <c r="E276" s="94" t="s">
        <v>284</v>
      </c>
      <c r="F276" s="92" t="s">
        <v>259</v>
      </c>
      <c r="G276" s="92" t="s">
        <v>74</v>
      </c>
      <c r="H276" s="93">
        <v>74</v>
      </c>
      <c r="I276" s="93">
        <v>190</v>
      </c>
      <c r="J276" s="93">
        <v>37.1</v>
      </c>
      <c r="K276" s="93" t="s">
        <v>75</v>
      </c>
      <c r="L276" s="101">
        <v>194</v>
      </c>
      <c r="M276" s="101">
        <v>0</v>
      </c>
      <c r="N276" s="101">
        <v>7.3626908108590551E+18</v>
      </c>
    </row>
    <row r="277" spans="4:14" ht="15" customHeight="1">
      <c r="D277" s="99" t="b">
        <v>0</v>
      </c>
      <c r="E277" s="94" t="s">
        <v>285</v>
      </c>
      <c r="F277" s="92" t="s">
        <v>259</v>
      </c>
      <c r="G277" s="92" t="s">
        <v>74</v>
      </c>
      <c r="H277" s="93">
        <v>76</v>
      </c>
      <c r="I277" s="93">
        <v>235</v>
      </c>
      <c r="J277" s="93">
        <v>34.51</v>
      </c>
      <c r="K277" s="93" t="s">
        <v>75</v>
      </c>
      <c r="L277" s="101">
        <v>195</v>
      </c>
      <c r="M277" s="101">
        <v>0</v>
      </c>
      <c r="N277" s="101">
        <v>1.4235991858422121E+18</v>
      </c>
    </row>
    <row r="278" spans="4:14" ht="15" customHeight="1">
      <c r="D278" s="99" t="b">
        <v>0</v>
      </c>
      <c r="E278" s="94" t="s">
        <v>286</v>
      </c>
      <c r="F278" s="92" t="s">
        <v>259</v>
      </c>
      <c r="G278" s="92" t="s">
        <v>74</v>
      </c>
      <c r="H278" s="93">
        <v>75</v>
      </c>
      <c r="I278" s="93">
        <v>190</v>
      </c>
      <c r="J278" s="93">
        <v>29.28</v>
      </c>
      <c r="K278" s="93" t="s">
        <v>75</v>
      </c>
      <c r="L278" s="101">
        <v>196</v>
      </c>
      <c r="M278" s="101">
        <v>0</v>
      </c>
      <c r="N278" s="101">
        <v>1.1305601952944597E+19</v>
      </c>
    </row>
    <row r="279" spans="4:14" ht="15" customHeight="1">
      <c r="D279" s="99" t="b">
        <v>0</v>
      </c>
      <c r="E279" s="94" t="s">
        <v>287</v>
      </c>
      <c r="F279" s="92" t="s">
        <v>259</v>
      </c>
      <c r="G279" s="92" t="s">
        <v>74</v>
      </c>
      <c r="H279" s="93">
        <v>73</v>
      </c>
      <c r="I279" s="93">
        <v>180</v>
      </c>
      <c r="J279" s="93">
        <v>32.14</v>
      </c>
      <c r="K279" s="93" t="s">
        <v>75</v>
      </c>
      <c r="L279" s="101">
        <v>197</v>
      </c>
      <c r="M279" s="101">
        <v>0</v>
      </c>
      <c r="N279" s="101">
        <v>1.0137925662506486E+19</v>
      </c>
    </row>
    <row r="280" spans="4:14" ht="15" customHeight="1">
      <c r="D280" s="99" t="b">
        <v>0</v>
      </c>
      <c r="E280" s="94" t="s">
        <v>288</v>
      </c>
      <c r="F280" s="92" t="s">
        <v>259</v>
      </c>
      <c r="G280" s="92" t="s">
        <v>74</v>
      </c>
      <c r="H280" s="93">
        <v>71</v>
      </c>
      <c r="I280" s="93">
        <v>165</v>
      </c>
      <c r="J280" s="93">
        <v>23.94</v>
      </c>
      <c r="K280" s="93" t="s">
        <v>75</v>
      </c>
      <c r="L280" s="101">
        <v>198</v>
      </c>
      <c r="M280" s="101">
        <v>0</v>
      </c>
      <c r="N280" s="101">
        <v>7.6268684246257265E+18</v>
      </c>
    </row>
    <row r="281" spans="4:14" ht="15" customHeight="1">
      <c r="D281" s="99" t="b">
        <v>0</v>
      </c>
      <c r="E281" s="94" t="s">
        <v>289</v>
      </c>
      <c r="F281" s="92" t="s">
        <v>259</v>
      </c>
      <c r="G281" s="92" t="s">
        <v>74</v>
      </c>
      <c r="H281" s="93">
        <v>76</v>
      </c>
      <c r="I281" s="93">
        <v>195</v>
      </c>
      <c r="J281" s="93">
        <v>27.45</v>
      </c>
      <c r="K281" s="93" t="s">
        <v>75</v>
      </c>
      <c r="L281" s="101">
        <v>199</v>
      </c>
      <c r="M281" s="101">
        <v>0</v>
      </c>
      <c r="N281" s="101">
        <v>7.6822185910547692E+18</v>
      </c>
    </row>
    <row r="282" spans="4:14" ht="15" customHeight="1">
      <c r="D282" s="99" t="b">
        <v>0</v>
      </c>
      <c r="E282" s="94" t="s">
        <v>290</v>
      </c>
      <c r="F282" s="92" t="s">
        <v>259</v>
      </c>
      <c r="G282" s="92" t="s">
        <v>74</v>
      </c>
      <c r="H282" s="93">
        <v>75</v>
      </c>
      <c r="I282" s="93">
        <v>200</v>
      </c>
      <c r="J282" s="93">
        <v>28.77</v>
      </c>
      <c r="K282" s="93" t="s">
        <v>75</v>
      </c>
      <c r="L282" s="101">
        <v>200</v>
      </c>
      <c r="M282" s="101">
        <v>0</v>
      </c>
      <c r="N282" s="101">
        <v>1.3643447814951049E+19</v>
      </c>
    </row>
    <row r="283" spans="4:14" ht="15" customHeight="1">
      <c r="D283" s="99" t="b">
        <v>0</v>
      </c>
      <c r="E283" s="94" t="s">
        <v>291</v>
      </c>
      <c r="F283" s="92" t="s">
        <v>259</v>
      </c>
      <c r="G283" s="92" t="s">
        <v>74</v>
      </c>
      <c r="H283" s="93">
        <v>72</v>
      </c>
      <c r="I283" s="93">
        <v>190</v>
      </c>
      <c r="J283" s="93">
        <v>23.58</v>
      </c>
      <c r="K283" s="93" t="s">
        <v>75</v>
      </c>
      <c r="L283" s="101">
        <v>201</v>
      </c>
      <c r="M283" s="101">
        <v>0</v>
      </c>
      <c r="N283" s="101">
        <v>4.6614610027641836E+18</v>
      </c>
    </row>
    <row r="284" spans="4:14" ht="15" customHeight="1">
      <c r="D284" s="99" t="b">
        <v>0</v>
      </c>
      <c r="E284" s="94" t="s">
        <v>292</v>
      </c>
      <c r="F284" s="92" t="s">
        <v>259</v>
      </c>
      <c r="G284" s="92" t="s">
        <v>74</v>
      </c>
      <c r="H284" s="93">
        <v>71</v>
      </c>
      <c r="I284" s="93">
        <v>190</v>
      </c>
      <c r="J284" s="93">
        <v>27.56</v>
      </c>
      <c r="K284" s="93" t="s">
        <v>75</v>
      </c>
      <c r="L284" s="101">
        <v>202</v>
      </c>
      <c r="M284" s="101">
        <v>0</v>
      </c>
      <c r="N284" s="101">
        <v>1.2714669244526553E+19</v>
      </c>
    </row>
    <row r="285" spans="4:14" ht="15" customHeight="1">
      <c r="D285" s="99" t="b">
        <v>0</v>
      </c>
      <c r="E285" s="94" t="s">
        <v>293</v>
      </c>
      <c r="F285" s="92" t="s">
        <v>259</v>
      </c>
      <c r="G285" s="92" t="s">
        <v>74</v>
      </c>
      <c r="H285" s="93">
        <v>77</v>
      </c>
      <c r="I285" s="93">
        <v>185</v>
      </c>
      <c r="J285" s="93">
        <v>24.01</v>
      </c>
      <c r="K285" s="93" t="s">
        <v>75</v>
      </c>
      <c r="L285" s="101">
        <v>203</v>
      </c>
      <c r="M285" s="101">
        <v>0</v>
      </c>
      <c r="N285" s="101">
        <v>4.936912047435819E+18</v>
      </c>
    </row>
    <row r="286" spans="4:14" ht="15" customHeight="1">
      <c r="D286" s="99" t="b">
        <v>0</v>
      </c>
      <c r="E286" s="94" t="s">
        <v>294</v>
      </c>
      <c r="F286" s="92" t="s">
        <v>259</v>
      </c>
      <c r="G286" s="92" t="s">
        <v>74</v>
      </c>
      <c r="H286" s="93">
        <v>73</v>
      </c>
      <c r="I286" s="93">
        <v>185</v>
      </c>
      <c r="J286" s="93">
        <v>26.52</v>
      </c>
      <c r="K286" s="93" t="s">
        <v>75</v>
      </c>
      <c r="L286" s="101">
        <v>204</v>
      </c>
      <c r="M286" s="101">
        <v>0</v>
      </c>
      <c r="N286" s="101">
        <v>1.054239610095017E+19</v>
      </c>
    </row>
    <row r="287" spans="4:14" ht="15" customHeight="1">
      <c r="D287" s="99" t="b">
        <v>0</v>
      </c>
      <c r="E287" s="94" t="s">
        <v>295</v>
      </c>
      <c r="F287" s="92" t="s">
        <v>296</v>
      </c>
      <c r="G287" s="92" t="s">
        <v>78</v>
      </c>
      <c r="H287" s="93">
        <v>74</v>
      </c>
      <c r="I287" s="93">
        <v>205</v>
      </c>
      <c r="J287" s="93">
        <v>35.54</v>
      </c>
      <c r="K287" s="93" t="s">
        <v>78</v>
      </c>
      <c r="L287" s="101">
        <v>205</v>
      </c>
      <c r="M287" s="101">
        <v>0</v>
      </c>
      <c r="N287" s="101">
        <v>1.6285237973992673E+19</v>
      </c>
    </row>
    <row r="288" spans="4:14" ht="15" customHeight="1">
      <c r="D288" s="99" t="b">
        <v>0</v>
      </c>
      <c r="E288" s="94" t="s">
        <v>297</v>
      </c>
      <c r="F288" s="92" t="s">
        <v>296</v>
      </c>
      <c r="G288" s="92" t="s">
        <v>78</v>
      </c>
      <c r="H288" s="93">
        <v>71</v>
      </c>
      <c r="I288" s="93">
        <v>190</v>
      </c>
      <c r="J288" s="93">
        <v>29.43</v>
      </c>
      <c r="K288" s="93" t="s">
        <v>78</v>
      </c>
      <c r="L288" s="101">
        <v>206</v>
      </c>
      <c r="M288" s="101">
        <v>0</v>
      </c>
      <c r="N288" s="101">
        <v>1.2390540636181366E+18</v>
      </c>
    </row>
    <row r="289" spans="4:14" ht="15" customHeight="1">
      <c r="D289" s="99" t="b">
        <v>0</v>
      </c>
      <c r="E289" s="94" t="s">
        <v>298</v>
      </c>
      <c r="F289" s="92" t="s">
        <v>296</v>
      </c>
      <c r="G289" s="92" t="s">
        <v>82</v>
      </c>
      <c r="H289" s="93">
        <v>72</v>
      </c>
      <c r="I289" s="93">
        <v>205</v>
      </c>
      <c r="J289" s="93">
        <v>29.9</v>
      </c>
      <c r="K289" s="93" t="s">
        <v>83</v>
      </c>
      <c r="L289" s="101">
        <v>207</v>
      </c>
      <c r="M289" s="101">
        <v>0</v>
      </c>
      <c r="N289" s="101">
        <v>6.1685043437667512E+18</v>
      </c>
    </row>
    <row r="290" spans="4:14" ht="15" customHeight="1">
      <c r="D290" s="99" t="b">
        <v>0</v>
      </c>
      <c r="E290" s="94" t="s">
        <v>299</v>
      </c>
      <c r="F290" s="92" t="s">
        <v>296</v>
      </c>
      <c r="G290" s="92" t="s">
        <v>82</v>
      </c>
      <c r="H290" s="93">
        <v>74</v>
      </c>
      <c r="I290" s="93">
        <v>206</v>
      </c>
      <c r="J290" s="93">
        <v>32.700000000000003</v>
      </c>
      <c r="K290" s="93" t="s">
        <v>83</v>
      </c>
      <c r="L290" s="101">
        <v>208</v>
      </c>
      <c r="M290" s="101">
        <v>0</v>
      </c>
      <c r="N290" s="101">
        <v>2.6591196754545664E+16</v>
      </c>
    </row>
    <row r="291" spans="4:14" ht="15" customHeight="1">
      <c r="D291" s="99" t="b">
        <v>0</v>
      </c>
      <c r="E291" s="94" t="s">
        <v>300</v>
      </c>
      <c r="F291" s="92" t="s">
        <v>296</v>
      </c>
      <c r="G291" s="92" t="s">
        <v>82</v>
      </c>
      <c r="H291" s="93">
        <v>75</v>
      </c>
      <c r="I291" s="93">
        <v>220</v>
      </c>
      <c r="J291" s="93">
        <v>28.8</v>
      </c>
      <c r="K291" s="93" t="s">
        <v>83</v>
      </c>
      <c r="L291" s="101">
        <v>209</v>
      </c>
      <c r="M291" s="101">
        <v>0</v>
      </c>
      <c r="N291" s="101">
        <v>4.2067418390713155E+18</v>
      </c>
    </row>
    <row r="292" spans="4:14" ht="15" customHeight="1">
      <c r="D292" s="99" t="b">
        <v>0</v>
      </c>
      <c r="E292" s="94" t="s">
        <v>301</v>
      </c>
      <c r="F292" s="92" t="s">
        <v>296</v>
      </c>
      <c r="G292" s="92" t="s">
        <v>86</v>
      </c>
      <c r="H292" s="93">
        <v>73</v>
      </c>
      <c r="I292" s="93">
        <v>208</v>
      </c>
      <c r="J292" s="93">
        <v>32.82</v>
      </c>
      <c r="K292" s="93" t="s">
        <v>83</v>
      </c>
      <c r="L292" s="101">
        <v>210</v>
      </c>
      <c r="M292" s="101">
        <v>0</v>
      </c>
      <c r="N292" s="101">
        <v>7.5041168110031995E+18</v>
      </c>
    </row>
    <row r="293" spans="4:14" ht="15" customHeight="1">
      <c r="D293" s="99" t="b">
        <v>0</v>
      </c>
      <c r="E293" s="94" t="s">
        <v>302</v>
      </c>
      <c r="F293" s="92" t="s">
        <v>296</v>
      </c>
      <c r="G293" s="92" t="s">
        <v>86</v>
      </c>
      <c r="H293" s="93">
        <v>72</v>
      </c>
      <c r="I293" s="93">
        <v>170</v>
      </c>
      <c r="J293" s="93">
        <v>24.36</v>
      </c>
      <c r="K293" s="93" t="s">
        <v>83</v>
      </c>
      <c r="L293" s="101">
        <v>211</v>
      </c>
      <c r="M293" s="101">
        <v>0</v>
      </c>
      <c r="N293" s="101">
        <v>2.356227877571095E+18</v>
      </c>
    </row>
    <row r="294" spans="4:14" ht="15" customHeight="1">
      <c r="D294" s="99" t="b">
        <v>0</v>
      </c>
      <c r="E294" s="94" t="s">
        <v>303</v>
      </c>
      <c r="F294" s="92" t="s">
        <v>296</v>
      </c>
      <c r="G294" s="92" t="s">
        <v>88</v>
      </c>
      <c r="H294" s="93">
        <v>75</v>
      </c>
      <c r="I294" s="93">
        <v>195</v>
      </c>
      <c r="J294" s="93">
        <v>32.68</v>
      </c>
      <c r="K294" s="93" t="s">
        <v>83</v>
      </c>
      <c r="L294" s="101">
        <v>212</v>
      </c>
      <c r="M294" s="101">
        <v>0</v>
      </c>
      <c r="N294" s="101">
        <v>1.1394481916313434E+19</v>
      </c>
    </row>
    <row r="295" spans="4:14" ht="15" customHeight="1">
      <c r="D295" s="99" t="b">
        <v>0</v>
      </c>
      <c r="E295" s="94" t="s">
        <v>304</v>
      </c>
      <c r="F295" s="92" t="s">
        <v>296</v>
      </c>
      <c r="G295" s="92" t="s">
        <v>90</v>
      </c>
      <c r="H295" s="93">
        <v>75</v>
      </c>
      <c r="I295" s="93">
        <v>210</v>
      </c>
      <c r="J295" s="93">
        <v>31.59</v>
      </c>
      <c r="K295" s="93" t="s">
        <v>83</v>
      </c>
      <c r="L295" s="101">
        <v>213</v>
      </c>
      <c r="M295" s="101">
        <v>0</v>
      </c>
      <c r="N295" s="101">
        <v>1.1781840892552372E+19</v>
      </c>
    </row>
    <row r="296" spans="4:14" ht="15" customHeight="1">
      <c r="D296" s="99" t="b">
        <v>0</v>
      </c>
      <c r="E296" s="94" t="s">
        <v>305</v>
      </c>
      <c r="F296" s="92" t="s">
        <v>296</v>
      </c>
      <c r="G296" s="92" t="s">
        <v>93</v>
      </c>
      <c r="H296" s="93">
        <v>74</v>
      </c>
      <c r="I296" s="93">
        <v>190</v>
      </c>
      <c r="J296" s="93">
        <v>33.32</v>
      </c>
      <c r="K296" s="93" t="s">
        <v>93</v>
      </c>
      <c r="L296" s="101">
        <v>214</v>
      </c>
      <c r="M296" s="101">
        <v>0</v>
      </c>
      <c r="N296" s="101">
        <v>1.2910204325382031E+19</v>
      </c>
    </row>
    <row r="297" spans="4:14" ht="15" customHeight="1">
      <c r="D297" s="99" t="b">
        <v>0</v>
      </c>
      <c r="E297" s="94" t="s">
        <v>306</v>
      </c>
      <c r="F297" s="92" t="s">
        <v>296</v>
      </c>
      <c r="G297" s="92" t="s">
        <v>93</v>
      </c>
      <c r="H297" s="93">
        <v>72</v>
      </c>
      <c r="I297" s="93">
        <v>211</v>
      </c>
      <c r="J297" s="93">
        <v>32.97</v>
      </c>
      <c r="K297" s="93" t="s">
        <v>93</v>
      </c>
      <c r="L297" s="101">
        <v>215</v>
      </c>
      <c r="M297" s="101">
        <v>0</v>
      </c>
      <c r="N297" s="101">
        <v>4.3751998586780631E+18</v>
      </c>
    </row>
    <row r="298" spans="4:14" ht="15" customHeight="1">
      <c r="D298" s="99" t="b">
        <v>0</v>
      </c>
      <c r="E298" s="94" t="s">
        <v>307</v>
      </c>
      <c r="F298" s="92" t="s">
        <v>296</v>
      </c>
      <c r="G298" s="92" t="s">
        <v>93</v>
      </c>
      <c r="H298" s="93">
        <v>74</v>
      </c>
      <c r="I298" s="93">
        <v>230</v>
      </c>
      <c r="J298" s="93">
        <v>32.72</v>
      </c>
      <c r="K298" s="93" t="s">
        <v>93</v>
      </c>
      <c r="L298" s="101">
        <v>216</v>
      </c>
      <c r="M298" s="101">
        <v>0</v>
      </c>
      <c r="N298" s="101">
        <v>4.5035528271311578E+17</v>
      </c>
    </row>
    <row r="299" spans="4:14" ht="15" customHeight="1">
      <c r="D299" s="99" t="b">
        <v>0</v>
      </c>
      <c r="E299" s="94" t="s">
        <v>308</v>
      </c>
      <c r="F299" s="92" t="s">
        <v>296</v>
      </c>
      <c r="G299" s="92" t="s">
        <v>93</v>
      </c>
      <c r="H299" s="93">
        <v>71</v>
      </c>
      <c r="I299" s="93">
        <v>170</v>
      </c>
      <c r="J299" s="93">
        <v>22.55</v>
      </c>
      <c r="K299" s="93" t="s">
        <v>93</v>
      </c>
      <c r="L299" s="101">
        <v>217</v>
      </c>
      <c r="M299" s="101">
        <v>0</v>
      </c>
      <c r="N299" s="101">
        <v>1.292348866718123E+19</v>
      </c>
    </row>
    <row r="300" spans="4:14" ht="15" customHeight="1">
      <c r="D300" s="99" t="b">
        <v>0</v>
      </c>
      <c r="E300" s="94" t="s">
        <v>309</v>
      </c>
      <c r="F300" s="92" t="s">
        <v>296</v>
      </c>
      <c r="G300" s="92" t="s">
        <v>93</v>
      </c>
      <c r="H300" s="93">
        <v>70</v>
      </c>
      <c r="I300" s="93">
        <v>185</v>
      </c>
      <c r="J300" s="93">
        <v>27.45</v>
      </c>
      <c r="K300" s="93" t="s">
        <v>93</v>
      </c>
      <c r="L300" s="101">
        <v>218</v>
      </c>
      <c r="M300" s="101">
        <v>0</v>
      </c>
      <c r="N300" s="101">
        <v>1.20827981627193E+19</v>
      </c>
    </row>
    <row r="301" spans="4:14" ht="15" customHeight="1">
      <c r="D301" s="99" t="b">
        <v>0</v>
      </c>
      <c r="E301" s="94" t="s">
        <v>310</v>
      </c>
      <c r="F301" s="92" t="s">
        <v>296</v>
      </c>
      <c r="G301" s="92" t="s">
        <v>101</v>
      </c>
      <c r="H301" s="93">
        <v>74</v>
      </c>
      <c r="I301" s="93">
        <v>185</v>
      </c>
      <c r="J301" s="93">
        <v>38.229999999999997</v>
      </c>
      <c r="K301" s="93" t="s">
        <v>75</v>
      </c>
      <c r="L301" s="101">
        <v>219</v>
      </c>
      <c r="M301" s="101">
        <v>0</v>
      </c>
      <c r="N301" s="101">
        <v>1.6227938607162294E+19</v>
      </c>
    </row>
    <row r="302" spans="4:14" ht="15" customHeight="1">
      <c r="D302" s="99" t="b">
        <v>0</v>
      </c>
      <c r="E302" s="94" t="s">
        <v>311</v>
      </c>
      <c r="F302" s="92" t="s">
        <v>296</v>
      </c>
      <c r="G302" s="92" t="s">
        <v>101</v>
      </c>
      <c r="H302" s="93">
        <v>77</v>
      </c>
      <c r="I302" s="93">
        <v>241</v>
      </c>
      <c r="J302" s="93">
        <v>31.14</v>
      </c>
      <c r="K302" s="93" t="s">
        <v>75</v>
      </c>
      <c r="L302" s="101">
        <v>220</v>
      </c>
      <c r="M302" s="101">
        <v>0</v>
      </c>
      <c r="N302" s="101">
        <v>9.8585641034604928E+17</v>
      </c>
    </row>
    <row r="303" spans="4:14" ht="15" customHeight="1">
      <c r="D303" s="99" t="b">
        <v>0</v>
      </c>
      <c r="E303" s="94" t="s">
        <v>312</v>
      </c>
      <c r="F303" s="92" t="s">
        <v>296</v>
      </c>
      <c r="G303" s="92" t="s">
        <v>101</v>
      </c>
      <c r="H303" s="93">
        <v>77</v>
      </c>
      <c r="I303" s="93">
        <v>225</v>
      </c>
      <c r="J303" s="93">
        <v>34.71</v>
      </c>
      <c r="K303" s="93" t="s">
        <v>75</v>
      </c>
      <c r="L303" s="101">
        <v>221</v>
      </c>
      <c r="M303" s="101">
        <v>0</v>
      </c>
      <c r="N303" s="101">
        <v>1.6536359072653842E+19</v>
      </c>
    </row>
    <row r="304" spans="4:14" ht="15" customHeight="1">
      <c r="D304" s="99" t="b">
        <v>0</v>
      </c>
      <c r="E304" s="94" t="s">
        <v>313</v>
      </c>
      <c r="F304" s="92" t="s">
        <v>296</v>
      </c>
      <c r="G304" s="92" t="s">
        <v>101</v>
      </c>
      <c r="H304" s="93">
        <v>75</v>
      </c>
      <c r="I304" s="93">
        <v>210</v>
      </c>
      <c r="J304" s="93">
        <v>26.13</v>
      </c>
      <c r="K304" s="93" t="s">
        <v>75</v>
      </c>
      <c r="L304" s="101">
        <v>222</v>
      </c>
      <c r="M304" s="101">
        <v>0</v>
      </c>
      <c r="N304" s="101">
        <v>8.2997918937714207E+18</v>
      </c>
    </row>
    <row r="305" spans="4:14" ht="15" customHeight="1">
      <c r="D305" s="99" t="b">
        <v>0</v>
      </c>
      <c r="E305" s="94" t="s">
        <v>314</v>
      </c>
      <c r="F305" s="92" t="s">
        <v>296</v>
      </c>
      <c r="G305" s="92" t="s">
        <v>101</v>
      </c>
      <c r="H305" s="93">
        <v>75</v>
      </c>
      <c r="I305" s="93">
        <v>175</v>
      </c>
      <c r="J305" s="93">
        <v>24.43</v>
      </c>
      <c r="K305" s="93" t="s">
        <v>75</v>
      </c>
      <c r="L305" s="101">
        <v>223</v>
      </c>
      <c r="M305" s="101">
        <v>0</v>
      </c>
      <c r="N305" s="101">
        <v>1.4616314057919547E+19</v>
      </c>
    </row>
    <row r="306" spans="4:14" ht="15" customHeight="1">
      <c r="D306" s="99" t="b">
        <v>0</v>
      </c>
      <c r="E306" s="94" t="s">
        <v>315</v>
      </c>
      <c r="F306" s="92" t="s">
        <v>296</v>
      </c>
      <c r="G306" s="92" t="s">
        <v>101</v>
      </c>
      <c r="H306" s="93">
        <v>78</v>
      </c>
      <c r="I306" s="93">
        <v>230</v>
      </c>
      <c r="J306" s="93">
        <v>23.76</v>
      </c>
      <c r="K306" s="93" t="s">
        <v>75</v>
      </c>
      <c r="L306" s="101">
        <v>224</v>
      </c>
      <c r="M306" s="101">
        <v>0</v>
      </c>
      <c r="N306" s="101">
        <v>1.112048069495568E+19</v>
      </c>
    </row>
    <row r="307" spans="4:14" ht="15" customHeight="1">
      <c r="D307" s="99" t="b">
        <v>0</v>
      </c>
      <c r="E307" s="94" t="s">
        <v>316</v>
      </c>
      <c r="F307" s="92" t="s">
        <v>296</v>
      </c>
      <c r="G307" s="92" t="s">
        <v>101</v>
      </c>
      <c r="H307" s="93">
        <v>75</v>
      </c>
      <c r="I307" s="93">
        <v>200</v>
      </c>
      <c r="J307" s="93">
        <v>26.92</v>
      </c>
      <c r="K307" s="93" t="s">
        <v>75</v>
      </c>
      <c r="L307" s="101">
        <v>225</v>
      </c>
      <c r="M307" s="101">
        <v>0</v>
      </c>
      <c r="N307" s="101">
        <v>9.9992753675089674E+18</v>
      </c>
    </row>
    <row r="308" spans="4:14" ht="15" customHeight="1">
      <c r="D308" s="99" t="b">
        <v>0</v>
      </c>
      <c r="E308" s="94" t="s">
        <v>317</v>
      </c>
      <c r="F308" s="92" t="s">
        <v>296</v>
      </c>
      <c r="G308" s="92" t="s">
        <v>74</v>
      </c>
      <c r="H308" s="93">
        <v>76</v>
      </c>
      <c r="I308" s="93">
        <v>215</v>
      </c>
      <c r="J308" s="93">
        <v>25.85</v>
      </c>
      <c r="K308" s="93" t="s">
        <v>75</v>
      </c>
      <c r="L308" s="101">
        <v>226</v>
      </c>
      <c r="M308" s="101">
        <v>0</v>
      </c>
      <c r="N308" s="101">
        <v>6.9389084127255654E+18</v>
      </c>
    </row>
    <row r="309" spans="4:14" ht="15" customHeight="1">
      <c r="D309" s="99" t="b">
        <v>0</v>
      </c>
      <c r="E309" s="94" t="s">
        <v>318</v>
      </c>
      <c r="F309" s="92" t="s">
        <v>296</v>
      </c>
      <c r="G309" s="92" t="s">
        <v>74</v>
      </c>
      <c r="H309" s="93">
        <v>73</v>
      </c>
      <c r="I309" s="93">
        <v>198</v>
      </c>
      <c r="J309" s="93">
        <v>30.16</v>
      </c>
      <c r="K309" s="93" t="s">
        <v>75</v>
      </c>
      <c r="L309" s="101">
        <v>227</v>
      </c>
      <c r="M309" s="101">
        <v>0</v>
      </c>
      <c r="N309" s="101">
        <v>2.6034510747783941E+18</v>
      </c>
    </row>
    <row r="310" spans="4:14" ht="15" customHeight="1">
      <c r="D310" s="99" t="b">
        <v>0</v>
      </c>
      <c r="E310" s="94" t="s">
        <v>319</v>
      </c>
      <c r="F310" s="92" t="s">
        <v>296</v>
      </c>
      <c r="G310" s="92" t="s">
        <v>74</v>
      </c>
      <c r="H310" s="93">
        <v>75</v>
      </c>
      <c r="I310" s="93">
        <v>226</v>
      </c>
      <c r="J310" s="93">
        <v>25.03</v>
      </c>
      <c r="K310" s="93" t="s">
        <v>75</v>
      </c>
      <c r="L310" s="101">
        <v>228</v>
      </c>
      <c r="M310" s="101">
        <v>0</v>
      </c>
      <c r="N310" s="101">
        <v>1.446039362407405E+19</v>
      </c>
    </row>
    <row r="311" spans="4:14" ht="15" customHeight="1">
      <c r="D311" s="99" t="b">
        <v>0</v>
      </c>
      <c r="E311" s="94" t="s">
        <v>320</v>
      </c>
      <c r="F311" s="92" t="s">
        <v>296</v>
      </c>
      <c r="G311" s="92" t="s">
        <v>74</v>
      </c>
      <c r="H311" s="93">
        <v>75</v>
      </c>
      <c r="I311" s="93">
        <v>278</v>
      </c>
      <c r="J311" s="93">
        <v>24.21</v>
      </c>
      <c r="K311" s="93" t="s">
        <v>75</v>
      </c>
      <c r="L311" s="101">
        <v>229</v>
      </c>
      <c r="M311" s="101">
        <v>0</v>
      </c>
      <c r="N311" s="101">
        <v>3.2885374785410493E+18</v>
      </c>
    </row>
    <row r="312" spans="4:14" ht="15" customHeight="1">
      <c r="D312" s="99" t="b">
        <v>0</v>
      </c>
      <c r="E312" s="94" t="s">
        <v>321</v>
      </c>
      <c r="F312" s="92" t="s">
        <v>296</v>
      </c>
      <c r="G312" s="92" t="s">
        <v>74</v>
      </c>
      <c r="H312" s="93">
        <v>79</v>
      </c>
      <c r="I312" s="93">
        <v>215</v>
      </c>
      <c r="J312" s="93">
        <v>26.51</v>
      </c>
      <c r="K312" s="93" t="s">
        <v>75</v>
      </c>
      <c r="L312" s="101">
        <v>230</v>
      </c>
      <c r="M312" s="101">
        <v>0</v>
      </c>
      <c r="N312" s="101">
        <v>5.4964750759793132E+18</v>
      </c>
    </row>
    <row r="313" spans="4:14" ht="15" customHeight="1">
      <c r="D313" s="99" t="b">
        <v>0</v>
      </c>
      <c r="E313" s="94" t="s">
        <v>322</v>
      </c>
      <c r="F313" s="92" t="s">
        <v>296</v>
      </c>
      <c r="G313" s="92" t="s">
        <v>74</v>
      </c>
      <c r="H313" s="93">
        <v>77</v>
      </c>
      <c r="I313" s="93">
        <v>230</v>
      </c>
      <c r="J313" s="93">
        <v>26.36</v>
      </c>
      <c r="K313" s="93" t="s">
        <v>75</v>
      </c>
      <c r="L313" s="101">
        <v>231</v>
      </c>
      <c r="M313" s="101">
        <v>0</v>
      </c>
      <c r="N313" s="101">
        <v>2.2976906353500549E+18</v>
      </c>
    </row>
    <row r="314" spans="4:14" ht="15" customHeight="1">
      <c r="D314" s="99" t="b">
        <v>0</v>
      </c>
      <c r="E314" s="94" t="s">
        <v>323</v>
      </c>
      <c r="F314" s="92" t="s">
        <v>296</v>
      </c>
      <c r="G314" s="92" t="s">
        <v>74</v>
      </c>
      <c r="H314" s="93">
        <v>76</v>
      </c>
      <c r="I314" s="93">
        <v>240</v>
      </c>
      <c r="J314" s="93">
        <v>30.88</v>
      </c>
      <c r="K314" s="93" t="s">
        <v>75</v>
      </c>
      <c r="L314" s="101">
        <v>232</v>
      </c>
      <c r="M314" s="101">
        <v>0</v>
      </c>
      <c r="N314" s="101">
        <v>2.6614087392239427E+18</v>
      </c>
    </row>
    <row r="315" spans="4:14" ht="15" customHeight="1">
      <c r="D315" s="99" t="b">
        <v>0</v>
      </c>
      <c r="E315" s="94" t="s">
        <v>324</v>
      </c>
      <c r="F315" s="92" t="s">
        <v>296</v>
      </c>
      <c r="G315" s="92" t="s">
        <v>74</v>
      </c>
      <c r="H315" s="93">
        <v>71</v>
      </c>
      <c r="I315" s="93">
        <v>184</v>
      </c>
      <c r="J315" s="93">
        <v>32.57</v>
      </c>
      <c r="K315" s="93" t="s">
        <v>75</v>
      </c>
      <c r="L315" s="101">
        <v>233</v>
      </c>
      <c r="M315" s="101">
        <v>0</v>
      </c>
      <c r="N315" s="101">
        <v>2.1028586024577787E+18</v>
      </c>
    </row>
    <row r="316" spans="4:14" ht="15" customHeight="1">
      <c r="D316" s="99" t="b">
        <v>0</v>
      </c>
      <c r="E316" s="94" t="s">
        <v>325</v>
      </c>
      <c r="F316" s="92" t="s">
        <v>296</v>
      </c>
      <c r="G316" s="92" t="s">
        <v>74</v>
      </c>
      <c r="H316" s="93">
        <v>75</v>
      </c>
      <c r="I316" s="93">
        <v>219</v>
      </c>
      <c r="J316" s="93">
        <v>37.68</v>
      </c>
      <c r="K316" s="93" t="s">
        <v>75</v>
      </c>
      <c r="L316" s="101">
        <v>234</v>
      </c>
      <c r="M316" s="101">
        <v>0</v>
      </c>
      <c r="N316" s="101">
        <v>1.4379876518721929E+19</v>
      </c>
    </row>
    <row r="317" spans="4:14" ht="15" customHeight="1">
      <c r="D317" s="99" t="b">
        <v>0</v>
      </c>
      <c r="E317" s="94" t="s">
        <v>326</v>
      </c>
      <c r="F317" s="92" t="s">
        <v>296</v>
      </c>
      <c r="G317" s="92" t="s">
        <v>74</v>
      </c>
      <c r="H317" s="93">
        <v>74</v>
      </c>
      <c r="I317" s="93">
        <v>170</v>
      </c>
      <c r="J317" s="93">
        <v>37.25</v>
      </c>
      <c r="K317" s="93" t="s">
        <v>75</v>
      </c>
      <c r="L317" s="101">
        <v>235</v>
      </c>
      <c r="M317" s="101">
        <v>0</v>
      </c>
      <c r="N317" s="101">
        <v>6.6268161061986611E+18</v>
      </c>
    </row>
    <row r="318" spans="4:14" ht="15" customHeight="1">
      <c r="D318" s="99" t="b">
        <v>0</v>
      </c>
      <c r="E318" s="94" t="s">
        <v>327</v>
      </c>
      <c r="F318" s="92" t="s">
        <v>328</v>
      </c>
      <c r="G318" s="92" t="s">
        <v>78</v>
      </c>
      <c r="H318" s="93">
        <v>69</v>
      </c>
      <c r="I318" s="93">
        <v>218</v>
      </c>
      <c r="J318" s="93">
        <v>35.25</v>
      </c>
      <c r="K318" s="93" t="s">
        <v>78</v>
      </c>
      <c r="L318" s="101">
        <v>236</v>
      </c>
      <c r="M318" s="101">
        <v>0</v>
      </c>
      <c r="N318" s="101">
        <v>9.5841059039893094E+18</v>
      </c>
    </row>
    <row r="319" spans="4:14" ht="15" customHeight="1">
      <c r="D319" s="99" t="b">
        <v>0</v>
      </c>
      <c r="E319" s="94" t="s">
        <v>329</v>
      </c>
      <c r="F319" s="92" t="s">
        <v>328</v>
      </c>
      <c r="G319" s="92" t="s">
        <v>78</v>
      </c>
      <c r="H319" s="93">
        <v>71</v>
      </c>
      <c r="I319" s="93">
        <v>190</v>
      </c>
      <c r="J319" s="93">
        <v>33.950000000000003</v>
      </c>
      <c r="K319" s="93" t="s">
        <v>78</v>
      </c>
      <c r="L319" s="101">
        <v>237</v>
      </c>
      <c r="M319" s="101">
        <v>0</v>
      </c>
      <c r="N319" s="101">
        <v>1.0925615611963916E+19</v>
      </c>
    </row>
    <row r="320" spans="4:14" ht="15" customHeight="1">
      <c r="D320" s="99" t="b">
        <v>0</v>
      </c>
      <c r="E320" s="94" t="s">
        <v>330</v>
      </c>
      <c r="F320" s="92" t="s">
        <v>328</v>
      </c>
      <c r="G320" s="92" t="s">
        <v>82</v>
      </c>
      <c r="H320" s="93">
        <v>76</v>
      </c>
      <c r="I320" s="93">
        <v>225</v>
      </c>
      <c r="J320" s="93">
        <v>32.659999999999997</v>
      </c>
      <c r="K320" s="93" t="s">
        <v>83</v>
      </c>
      <c r="L320" s="101">
        <v>238</v>
      </c>
      <c r="M320" s="101">
        <v>0</v>
      </c>
      <c r="N320" s="101">
        <v>1.3957137314056329E+19</v>
      </c>
    </row>
    <row r="321" spans="4:14" ht="15" customHeight="1">
      <c r="D321" s="99" t="b">
        <v>0</v>
      </c>
      <c r="E321" s="94" t="s">
        <v>331</v>
      </c>
      <c r="F321" s="92" t="s">
        <v>328</v>
      </c>
      <c r="G321" s="92" t="s">
        <v>82</v>
      </c>
      <c r="H321" s="93">
        <v>72</v>
      </c>
      <c r="I321" s="93">
        <v>220</v>
      </c>
      <c r="J321" s="93">
        <v>26.68</v>
      </c>
      <c r="K321" s="93" t="s">
        <v>83</v>
      </c>
      <c r="L321" s="101">
        <v>239</v>
      </c>
      <c r="M321" s="101">
        <v>0</v>
      </c>
      <c r="N321" s="101">
        <v>8.518725918166615E+18</v>
      </c>
    </row>
    <row r="322" spans="4:14" ht="15" customHeight="1">
      <c r="D322" s="99" t="b">
        <v>0</v>
      </c>
      <c r="E322" s="94" t="s">
        <v>332</v>
      </c>
      <c r="F322" s="92" t="s">
        <v>328</v>
      </c>
      <c r="G322" s="92" t="s">
        <v>86</v>
      </c>
      <c r="H322" s="93">
        <v>72</v>
      </c>
      <c r="I322" s="93">
        <v>176</v>
      </c>
      <c r="J322" s="93">
        <v>25.18</v>
      </c>
      <c r="K322" s="93" t="s">
        <v>83</v>
      </c>
      <c r="L322" s="101">
        <v>240</v>
      </c>
      <c r="M322" s="101">
        <v>0</v>
      </c>
      <c r="N322" s="101">
        <v>5.1716593979029821E+18</v>
      </c>
    </row>
    <row r="323" spans="4:14" ht="15" customHeight="1">
      <c r="D323" s="99" t="b">
        <v>0</v>
      </c>
      <c r="E323" s="94" t="s">
        <v>333</v>
      </c>
      <c r="F323" s="92" t="s">
        <v>328</v>
      </c>
      <c r="G323" s="92" t="s">
        <v>86</v>
      </c>
      <c r="H323" s="93">
        <v>70</v>
      </c>
      <c r="I323" s="93">
        <v>190</v>
      </c>
      <c r="J323" s="93">
        <v>31.39</v>
      </c>
      <c r="K323" s="93" t="s">
        <v>83</v>
      </c>
      <c r="L323" s="101">
        <v>241</v>
      </c>
      <c r="M323" s="101">
        <v>0</v>
      </c>
      <c r="N323" s="101">
        <v>1.7568328881520249E+19</v>
      </c>
    </row>
    <row r="324" spans="4:14" ht="15" customHeight="1">
      <c r="D324" s="99" t="b">
        <v>0</v>
      </c>
      <c r="E324" s="94" t="s">
        <v>334</v>
      </c>
      <c r="F324" s="92" t="s">
        <v>328</v>
      </c>
      <c r="G324" s="92" t="s">
        <v>86</v>
      </c>
      <c r="H324" s="93">
        <v>72</v>
      </c>
      <c r="I324" s="93">
        <v>197</v>
      </c>
      <c r="J324" s="93">
        <v>33.74</v>
      </c>
      <c r="K324" s="93" t="s">
        <v>83</v>
      </c>
      <c r="L324" s="101">
        <v>242</v>
      </c>
      <c r="M324" s="101">
        <v>0</v>
      </c>
      <c r="N324" s="101">
        <v>5.8765436797326049E+18</v>
      </c>
    </row>
    <row r="325" spans="4:14" ht="15" customHeight="1">
      <c r="D325" s="99" t="b">
        <v>0</v>
      </c>
      <c r="E325" s="94" t="s">
        <v>335</v>
      </c>
      <c r="F325" s="92" t="s">
        <v>328</v>
      </c>
      <c r="G325" s="92" t="s">
        <v>88</v>
      </c>
      <c r="H325" s="93">
        <v>73</v>
      </c>
      <c r="I325" s="93">
        <v>204</v>
      </c>
      <c r="J325" s="93">
        <v>31.42</v>
      </c>
      <c r="K325" s="93" t="s">
        <v>83</v>
      </c>
      <c r="L325" s="101">
        <v>243</v>
      </c>
      <c r="M325" s="101">
        <v>0</v>
      </c>
      <c r="N325" s="101">
        <v>6.9504288478015314E+18</v>
      </c>
    </row>
    <row r="326" spans="4:14" ht="15" customHeight="1">
      <c r="D326" s="99" t="b">
        <v>0</v>
      </c>
      <c r="E326" s="94" t="s">
        <v>336</v>
      </c>
      <c r="F326" s="92" t="s">
        <v>328</v>
      </c>
      <c r="G326" s="92" t="s">
        <v>88</v>
      </c>
      <c r="H326" s="93">
        <v>71</v>
      </c>
      <c r="I326" s="93">
        <v>167</v>
      </c>
      <c r="J326" s="93">
        <v>27.5</v>
      </c>
      <c r="K326" s="93" t="s">
        <v>83</v>
      </c>
      <c r="L326" s="101">
        <v>244</v>
      </c>
      <c r="M326" s="101">
        <v>0</v>
      </c>
      <c r="N326" s="101">
        <v>1.4681720975003337E+19</v>
      </c>
    </row>
    <row r="327" spans="4:14" ht="15" customHeight="1">
      <c r="D327" s="99" t="b">
        <v>0</v>
      </c>
      <c r="E327" s="94" t="s">
        <v>337</v>
      </c>
      <c r="F327" s="92" t="s">
        <v>328</v>
      </c>
      <c r="G327" s="92" t="s">
        <v>88</v>
      </c>
      <c r="H327" s="93">
        <v>72</v>
      </c>
      <c r="I327" s="93">
        <v>180</v>
      </c>
      <c r="J327" s="93">
        <v>24.25</v>
      </c>
      <c r="K327" s="93" t="s">
        <v>83</v>
      </c>
      <c r="L327" s="101">
        <v>245</v>
      </c>
      <c r="M327" s="101">
        <v>0</v>
      </c>
      <c r="N327" s="101">
        <v>4.6039971092913619E+17</v>
      </c>
    </row>
    <row r="328" spans="4:14" ht="15" customHeight="1">
      <c r="D328" s="99" t="b">
        <v>0</v>
      </c>
      <c r="E328" s="94" t="s">
        <v>338</v>
      </c>
      <c r="F328" s="92" t="s">
        <v>328</v>
      </c>
      <c r="G328" s="92" t="s">
        <v>90</v>
      </c>
      <c r="H328" s="93">
        <v>71</v>
      </c>
      <c r="I328" s="93">
        <v>195</v>
      </c>
      <c r="J328" s="93">
        <v>29.78</v>
      </c>
      <c r="K328" s="93" t="s">
        <v>83</v>
      </c>
      <c r="L328" s="101">
        <v>246</v>
      </c>
      <c r="M328" s="101">
        <v>0</v>
      </c>
      <c r="N328" s="101">
        <v>1.5905898923677626E+19</v>
      </c>
    </row>
    <row r="329" spans="4:14" ht="15" customHeight="1">
      <c r="D329" s="99" t="b">
        <v>0</v>
      </c>
      <c r="E329" s="94" t="s">
        <v>339</v>
      </c>
      <c r="F329" s="92" t="s">
        <v>328</v>
      </c>
      <c r="G329" s="92" t="s">
        <v>93</v>
      </c>
      <c r="H329" s="93">
        <v>73</v>
      </c>
      <c r="I329" s="93">
        <v>220</v>
      </c>
      <c r="J329" s="93">
        <v>30</v>
      </c>
      <c r="K329" s="93" t="s">
        <v>93</v>
      </c>
      <c r="L329" s="101">
        <v>247</v>
      </c>
      <c r="M329" s="101">
        <v>0</v>
      </c>
      <c r="N329" s="101">
        <v>9.2685510228164403E+18</v>
      </c>
    </row>
    <row r="330" spans="4:14" ht="15" customHeight="1">
      <c r="D330" s="99" t="b">
        <v>0</v>
      </c>
      <c r="E330" s="94" t="s">
        <v>340</v>
      </c>
      <c r="F330" s="92" t="s">
        <v>328</v>
      </c>
      <c r="G330" s="92" t="s">
        <v>93</v>
      </c>
      <c r="H330" s="93">
        <v>72</v>
      </c>
      <c r="I330" s="93">
        <v>215</v>
      </c>
      <c r="J330" s="93">
        <v>33.090000000000003</v>
      </c>
      <c r="K330" s="93" t="s">
        <v>93</v>
      </c>
      <c r="L330" s="101">
        <v>248</v>
      </c>
      <c r="M330" s="101">
        <v>0</v>
      </c>
      <c r="N330" s="101">
        <v>7.1433488643797453E+18</v>
      </c>
    </row>
    <row r="331" spans="4:14" ht="15" customHeight="1">
      <c r="D331" s="99" t="b">
        <v>0</v>
      </c>
      <c r="E331" s="94" t="s">
        <v>341</v>
      </c>
      <c r="F331" s="92" t="s">
        <v>328</v>
      </c>
      <c r="G331" s="92" t="s">
        <v>93</v>
      </c>
      <c r="H331" s="93">
        <v>73</v>
      </c>
      <c r="I331" s="93">
        <v>185</v>
      </c>
      <c r="J331" s="93">
        <v>25.96</v>
      </c>
      <c r="K331" s="93" t="s">
        <v>93</v>
      </c>
      <c r="L331" s="101">
        <v>249</v>
      </c>
      <c r="M331" s="101">
        <v>0</v>
      </c>
      <c r="N331" s="101">
        <v>1.5897936846804793E+19</v>
      </c>
    </row>
    <row r="332" spans="4:14" ht="15" customHeight="1">
      <c r="D332" s="99" t="b">
        <v>0</v>
      </c>
      <c r="E332" s="94" t="s">
        <v>342</v>
      </c>
      <c r="F332" s="92" t="s">
        <v>328</v>
      </c>
      <c r="G332" s="92" t="s">
        <v>93</v>
      </c>
      <c r="H332" s="93">
        <v>74</v>
      </c>
      <c r="I332" s="93">
        <v>190</v>
      </c>
      <c r="J332" s="93">
        <v>23.34</v>
      </c>
      <c r="K332" s="93" t="s">
        <v>93</v>
      </c>
      <c r="L332" s="101">
        <v>250</v>
      </c>
      <c r="M332" s="101">
        <v>0</v>
      </c>
      <c r="N332" s="101">
        <v>6.5086703306304512E+17</v>
      </c>
    </row>
    <row r="333" spans="4:14" ht="15" customHeight="1">
      <c r="D333" s="99" t="b">
        <v>0</v>
      </c>
      <c r="E333" s="94" t="s">
        <v>343</v>
      </c>
      <c r="F333" s="92" t="s">
        <v>328</v>
      </c>
      <c r="G333" s="92" t="s">
        <v>93</v>
      </c>
      <c r="H333" s="93">
        <v>74</v>
      </c>
      <c r="I333" s="93">
        <v>205</v>
      </c>
      <c r="J333" s="93">
        <v>29.98</v>
      </c>
      <c r="K333" s="93" t="s">
        <v>93</v>
      </c>
      <c r="L333" s="101">
        <v>251</v>
      </c>
      <c r="M333" s="101">
        <v>0</v>
      </c>
      <c r="N333" s="101">
        <v>1.3014492028668991E+19</v>
      </c>
    </row>
    <row r="334" spans="4:14" ht="15" customHeight="1">
      <c r="D334" s="99" t="b">
        <v>0</v>
      </c>
      <c r="E334" s="94" t="s">
        <v>344</v>
      </c>
      <c r="F334" s="92" t="s">
        <v>328</v>
      </c>
      <c r="G334" s="92" t="s">
        <v>93</v>
      </c>
      <c r="H334" s="93">
        <v>72</v>
      </c>
      <c r="I334" s="93">
        <v>205</v>
      </c>
      <c r="J334" s="93">
        <v>38.28</v>
      </c>
      <c r="K334" s="93" t="s">
        <v>93</v>
      </c>
      <c r="L334" s="101">
        <v>252</v>
      </c>
      <c r="M334" s="101">
        <v>0</v>
      </c>
      <c r="N334" s="101">
        <v>9.2658692278846157E+18</v>
      </c>
    </row>
    <row r="335" spans="4:14" ht="15" customHeight="1">
      <c r="D335" s="99" t="b">
        <v>0</v>
      </c>
      <c r="E335" s="94" t="s">
        <v>345</v>
      </c>
      <c r="F335" s="92" t="s">
        <v>328</v>
      </c>
      <c r="G335" s="92" t="s">
        <v>101</v>
      </c>
      <c r="H335" s="93">
        <v>75</v>
      </c>
      <c r="I335" s="93">
        <v>200</v>
      </c>
      <c r="J335" s="93">
        <v>24.97</v>
      </c>
      <c r="K335" s="93" t="s">
        <v>75</v>
      </c>
      <c r="L335" s="101">
        <v>253</v>
      </c>
      <c r="M335" s="101">
        <v>0</v>
      </c>
      <c r="N335" s="101">
        <v>6.6454940748085184E+17</v>
      </c>
    </row>
    <row r="336" spans="4:14" ht="15" customHeight="1">
      <c r="D336" s="99" t="b">
        <v>0</v>
      </c>
      <c r="E336" s="94" t="s">
        <v>346</v>
      </c>
      <c r="F336" s="92" t="s">
        <v>328</v>
      </c>
      <c r="G336" s="92" t="s">
        <v>101</v>
      </c>
      <c r="H336" s="93">
        <v>74</v>
      </c>
      <c r="I336" s="93">
        <v>210</v>
      </c>
      <c r="J336" s="93">
        <v>24.34</v>
      </c>
      <c r="K336" s="93" t="s">
        <v>75</v>
      </c>
      <c r="L336" s="101">
        <v>254</v>
      </c>
      <c r="M336" s="101">
        <v>0</v>
      </c>
      <c r="N336" s="101">
        <v>6.3732642999822285E+18</v>
      </c>
    </row>
    <row r="337" spans="4:14" ht="15" customHeight="1">
      <c r="D337" s="99" t="b">
        <v>0</v>
      </c>
      <c r="E337" s="94" t="s">
        <v>347</v>
      </c>
      <c r="F337" s="92" t="s">
        <v>328</v>
      </c>
      <c r="G337" s="92" t="s">
        <v>101</v>
      </c>
      <c r="H337" s="93">
        <v>74</v>
      </c>
      <c r="I337" s="93">
        <v>215</v>
      </c>
      <c r="J337" s="93">
        <v>29.49</v>
      </c>
      <c r="K337" s="93" t="s">
        <v>75</v>
      </c>
      <c r="L337" s="101">
        <v>255</v>
      </c>
      <c r="M337" s="101">
        <v>0</v>
      </c>
      <c r="N337" s="101">
        <v>2.9296839731569132E+18</v>
      </c>
    </row>
    <row r="338" spans="4:14" ht="15" customHeight="1">
      <c r="D338" s="99" t="b">
        <v>0</v>
      </c>
      <c r="E338" s="94" t="s">
        <v>348</v>
      </c>
      <c r="F338" s="92" t="s">
        <v>328</v>
      </c>
      <c r="G338" s="92" t="s">
        <v>101</v>
      </c>
      <c r="H338" s="93">
        <v>77</v>
      </c>
      <c r="I338" s="93">
        <v>200</v>
      </c>
      <c r="J338" s="93">
        <v>24.02</v>
      </c>
      <c r="K338" s="93" t="s">
        <v>75</v>
      </c>
      <c r="L338" s="101">
        <v>256</v>
      </c>
      <c r="M338" s="101">
        <v>0</v>
      </c>
      <c r="N338" s="101">
        <v>1.8218370861067119E+19</v>
      </c>
    </row>
    <row r="339" spans="4:14" ht="15" customHeight="1">
      <c r="D339" s="99" t="b">
        <v>0</v>
      </c>
      <c r="E339" s="94" t="s">
        <v>349</v>
      </c>
      <c r="F339" s="92" t="s">
        <v>328</v>
      </c>
      <c r="G339" s="92" t="s">
        <v>101</v>
      </c>
      <c r="H339" s="93">
        <v>75</v>
      </c>
      <c r="I339" s="93">
        <v>205</v>
      </c>
      <c r="J339" s="93">
        <v>24.73</v>
      </c>
      <c r="K339" s="93" t="s">
        <v>75</v>
      </c>
      <c r="L339" s="101">
        <v>257</v>
      </c>
      <c r="M339" s="101">
        <v>0</v>
      </c>
      <c r="N339" s="101">
        <v>1.5585389701007913E+19</v>
      </c>
    </row>
    <row r="340" spans="4:14" ht="15" customHeight="1">
      <c r="D340" s="99" t="b">
        <v>0</v>
      </c>
      <c r="E340" s="94" t="s">
        <v>350</v>
      </c>
      <c r="F340" s="92" t="s">
        <v>328</v>
      </c>
      <c r="G340" s="92" t="s">
        <v>101</v>
      </c>
      <c r="H340" s="93">
        <v>73</v>
      </c>
      <c r="I340" s="93">
        <v>211</v>
      </c>
      <c r="J340" s="93">
        <v>42.3</v>
      </c>
      <c r="K340" s="93" t="s">
        <v>75</v>
      </c>
      <c r="L340" s="101">
        <v>258</v>
      </c>
      <c r="M340" s="101">
        <v>0</v>
      </c>
      <c r="N340" s="101">
        <v>1.1096335654683898E+19</v>
      </c>
    </row>
    <row r="341" spans="4:14" ht="15" customHeight="1">
      <c r="D341" s="99" t="b">
        <v>0</v>
      </c>
      <c r="E341" s="94" t="s">
        <v>351</v>
      </c>
      <c r="F341" s="92" t="s">
        <v>328</v>
      </c>
      <c r="G341" s="92" t="s">
        <v>101</v>
      </c>
      <c r="H341" s="93">
        <v>72</v>
      </c>
      <c r="I341" s="93">
        <v>190</v>
      </c>
      <c r="J341" s="93">
        <v>29.54</v>
      </c>
      <c r="K341" s="93" t="s">
        <v>75</v>
      </c>
      <c r="L341" s="101">
        <v>259</v>
      </c>
      <c r="M341" s="101">
        <v>0</v>
      </c>
      <c r="N341" s="101">
        <v>1.062257733477049E+18</v>
      </c>
    </row>
    <row r="342" spans="4:14" ht="15" customHeight="1">
      <c r="D342" s="99" t="b">
        <v>0</v>
      </c>
      <c r="E342" s="94" t="s">
        <v>352</v>
      </c>
      <c r="F342" s="92" t="s">
        <v>328</v>
      </c>
      <c r="G342" s="92" t="s">
        <v>74</v>
      </c>
      <c r="H342" s="93">
        <v>71</v>
      </c>
      <c r="I342" s="93">
        <v>208</v>
      </c>
      <c r="J342" s="93">
        <v>29.95</v>
      </c>
      <c r="K342" s="93" t="s">
        <v>75</v>
      </c>
      <c r="L342" s="101">
        <v>260</v>
      </c>
      <c r="M342" s="101">
        <v>0</v>
      </c>
      <c r="N342" s="101">
        <v>1.4549407549745503E+18</v>
      </c>
    </row>
    <row r="343" spans="4:14" ht="15" customHeight="1">
      <c r="D343" s="99" t="b">
        <v>0</v>
      </c>
      <c r="E343" s="94" t="s">
        <v>353</v>
      </c>
      <c r="F343" s="92" t="s">
        <v>328</v>
      </c>
      <c r="G343" s="92" t="s">
        <v>74</v>
      </c>
      <c r="H343" s="93">
        <v>74</v>
      </c>
      <c r="I343" s="93">
        <v>200</v>
      </c>
      <c r="J343" s="93">
        <v>29.24</v>
      </c>
      <c r="K343" s="93" t="s">
        <v>75</v>
      </c>
      <c r="L343" s="101">
        <v>261</v>
      </c>
      <c r="M343" s="101">
        <v>0</v>
      </c>
      <c r="N343" s="101">
        <v>1.4112127185570497E+19</v>
      </c>
    </row>
    <row r="344" spans="4:14" ht="15" customHeight="1">
      <c r="D344" s="99" t="b">
        <v>0</v>
      </c>
      <c r="E344" s="94" t="s">
        <v>354</v>
      </c>
      <c r="F344" s="92" t="s">
        <v>328</v>
      </c>
      <c r="G344" s="92" t="s">
        <v>74</v>
      </c>
      <c r="H344" s="93">
        <v>77</v>
      </c>
      <c r="I344" s="93">
        <v>210</v>
      </c>
      <c r="J344" s="93">
        <v>30.3</v>
      </c>
      <c r="K344" s="93" t="s">
        <v>75</v>
      </c>
      <c r="L344" s="101">
        <v>262</v>
      </c>
      <c r="M344" s="101">
        <v>0</v>
      </c>
      <c r="N344" s="101">
        <v>8.1972440004780534E+18</v>
      </c>
    </row>
    <row r="345" spans="4:14" ht="15" customHeight="1">
      <c r="D345" s="99" t="b">
        <v>0</v>
      </c>
      <c r="E345" s="94" t="s">
        <v>355</v>
      </c>
      <c r="F345" s="92" t="s">
        <v>328</v>
      </c>
      <c r="G345" s="92" t="s">
        <v>74</v>
      </c>
      <c r="H345" s="93">
        <v>75</v>
      </c>
      <c r="I345" s="93">
        <v>232</v>
      </c>
      <c r="J345" s="93">
        <v>40.770000000000003</v>
      </c>
      <c r="K345" s="93" t="s">
        <v>75</v>
      </c>
      <c r="L345" s="101">
        <v>263</v>
      </c>
      <c r="M345" s="101">
        <v>0</v>
      </c>
      <c r="N345" s="101">
        <v>1.2245033936942328E+19</v>
      </c>
    </row>
    <row r="346" spans="4:14" ht="15" customHeight="1">
      <c r="D346" s="99" t="b">
        <v>0</v>
      </c>
      <c r="E346" s="94" t="s">
        <v>356</v>
      </c>
      <c r="F346" s="92" t="s">
        <v>328</v>
      </c>
      <c r="G346" s="92" t="s">
        <v>74</v>
      </c>
      <c r="H346" s="93">
        <v>75</v>
      </c>
      <c r="I346" s="93">
        <v>230</v>
      </c>
      <c r="J346" s="93">
        <v>38.85</v>
      </c>
      <c r="K346" s="93" t="s">
        <v>75</v>
      </c>
      <c r="L346" s="101">
        <v>264</v>
      </c>
      <c r="M346" s="101">
        <v>0</v>
      </c>
      <c r="N346" s="101">
        <v>4.8075351136869028E+18</v>
      </c>
    </row>
    <row r="347" spans="4:14" ht="15" customHeight="1">
      <c r="D347" s="99" t="b">
        <v>0</v>
      </c>
      <c r="E347" s="94" t="s">
        <v>357</v>
      </c>
      <c r="F347" s="92" t="s">
        <v>328</v>
      </c>
      <c r="G347" s="92" t="s">
        <v>74</v>
      </c>
      <c r="H347" s="93">
        <v>75</v>
      </c>
      <c r="I347" s="93">
        <v>210</v>
      </c>
      <c r="J347" s="93">
        <v>22.31</v>
      </c>
      <c r="K347" s="93" t="s">
        <v>75</v>
      </c>
      <c r="L347" s="101">
        <v>265</v>
      </c>
      <c r="M347" s="101">
        <v>0</v>
      </c>
      <c r="N347" s="101">
        <v>7.0269519338335754E+18</v>
      </c>
    </row>
    <row r="348" spans="4:14" ht="15" customHeight="1">
      <c r="D348" s="99" t="b">
        <v>0</v>
      </c>
      <c r="E348" s="94" t="s">
        <v>358</v>
      </c>
      <c r="F348" s="92" t="s">
        <v>328</v>
      </c>
      <c r="G348" s="92" t="s">
        <v>74</v>
      </c>
      <c r="H348" s="93">
        <v>78</v>
      </c>
      <c r="I348" s="93">
        <v>220</v>
      </c>
      <c r="J348" s="93">
        <v>25.44</v>
      </c>
      <c r="K348" s="93" t="s">
        <v>75</v>
      </c>
      <c r="L348" s="101">
        <v>266</v>
      </c>
      <c r="M348" s="101">
        <v>0</v>
      </c>
      <c r="N348" s="101">
        <v>1.116506710146158E+19</v>
      </c>
    </row>
    <row r="349" spans="4:14" ht="15" customHeight="1">
      <c r="D349" s="99" t="b">
        <v>0</v>
      </c>
      <c r="E349" s="94" t="s">
        <v>359</v>
      </c>
      <c r="F349" s="92" t="s">
        <v>328</v>
      </c>
      <c r="G349" s="92" t="s">
        <v>74</v>
      </c>
      <c r="H349" s="93">
        <v>78</v>
      </c>
      <c r="I349" s="93">
        <v>210</v>
      </c>
      <c r="J349" s="93">
        <v>21.78</v>
      </c>
      <c r="K349" s="93" t="s">
        <v>75</v>
      </c>
      <c r="L349" s="101">
        <v>267</v>
      </c>
      <c r="M349" s="101">
        <v>0</v>
      </c>
      <c r="N349" s="101">
        <v>1.4763159200789514E+19</v>
      </c>
    </row>
    <row r="350" spans="4:14" ht="15" customHeight="1">
      <c r="D350" s="99" t="b">
        <v>0</v>
      </c>
      <c r="E350" s="94" t="s">
        <v>360</v>
      </c>
      <c r="F350" s="92" t="s">
        <v>328</v>
      </c>
      <c r="G350" s="92" t="s">
        <v>74</v>
      </c>
      <c r="H350" s="93">
        <v>74</v>
      </c>
      <c r="I350" s="93">
        <v>202</v>
      </c>
      <c r="J350" s="93">
        <v>22.64</v>
      </c>
      <c r="K350" s="93" t="s">
        <v>75</v>
      </c>
      <c r="L350" s="101">
        <v>268</v>
      </c>
      <c r="M350" s="101">
        <v>0</v>
      </c>
      <c r="N350" s="101">
        <v>1.4140528955621564E+19</v>
      </c>
    </row>
    <row r="351" spans="4:14" ht="15" customHeight="1">
      <c r="D351" s="99" t="b">
        <v>0</v>
      </c>
      <c r="E351" s="94" t="s">
        <v>361</v>
      </c>
      <c r="F351" s="92" t="s">
        <v>328</v>
      </c>
      <c r="G351" s="92" t="s">
        <v>74</v>
      </c>
      <c r="H351" s="93">
        <v>76</v>
      </c>
      <c r="I351" s="93">
        <v>212</v>
      </c>
      <c r="J351" s="93">
        <v>26.11</v>
      </c>
      <c r="K351" s="93" t="s">
        <v>75</v>
      </c>
      <c r="L351" s="101">
        <v>269</v>
      </c>
      <c r="M351" s="101">
        <v>0</v>
      </c>
      <c r="N351" s="101">
        <v>5.6584842762514575E+18</v>
      </c>
    </row>
    <row r="352" spans="4:14" ht="15" customHeight="1">
      <c r="D352" s="99" t="b">
        <v>0</v>
      </c>
      <c r="E352" s="94" t="s">
        <v>362</v>
      </c>
      <c r="F352" s="92" t="s">
        <v>328</v>
      </c>
      <c r="G352" s="92" t="s">
        <v>74</v>
      </c>
      <c r="H352" s="93">
        <v>78</v>
      </c>
      <c r="I352" s="93">
        <v>225</v>
      </c>
      <c r="J352" s="93">
        <v>27.55</v>
      </c>
      <c r="K352" s="93" t="s">
        <v>75</v>
      </c>
      <c r="L352" s="101">
        <v>270</v>
      </c>
      <c r="M352" s="101">
        <v>0</v>
      </c>
      <c r="N352" s="101">
        <v>1.2763163112436122E+19</v>
      </c>
    </row>
    <row r="353" spans="4:14" ht="15" customHeight="1">
      <c r="D353" s="99" t="b">
        <v>0</v>
      </c>
      <c r="E353" s="94" t="s">
        <v>363</v>
      </c>
      <c r="F353" s="92" t="s">
        <v>328</v>
      </c>
      <c r="G353" s="92" t="s">
        <v>74</v>
      </c>
      <c r="H353" s="93">
        <v>76</v>
      </c>
      <c r="I353" s="93">
        <v>170</v>
      </c>
      <c r="J353" s="93">
        <v>24.63</v>
      </c>
      <c r="K353" s="93" t="s">
        <v>75</v>
      </c>
      <c r="L353" s="101">
        <v>271</v>
      </c>
      <c r="M353" s="101">
        <v>0</v>
      </c>
      <c r="N353" s="101">
        <v>1.6669398192773429E+19</v>
      </c>
    </row>
    <row r="354" spans="4:14" ht="15" customHeight="1">
      <c r="D354" s="99" t="b">
        <v>0</v>
      </c>
      <c r="E354" s="94" t="s">
        <v>364</v>
      </c>
      <c r="F354" s="92" t="s">
        <v>365</v>
      </c>
      <c r="G354" s="92" t="s">
        <v>78</v>
      </c>
      <c r="H354" s="93">
        <v>70</v>
      </c>
      <c r="I354" s="93">
        <v>190</v>
      </c>
      <c r="J354" s="93">
        <v>23.58</v>
      </c>
      <c r="K354" s="93" t="s">
        <v>78</v>
      </c>
      <c r="L354" s="101">
        <v>272</v>
      </c>
      <c r="M354" s="101">
        <v>0</v>
      </c>
      <c r="N354" s="101">
        <v>1.7599601829986968E+19</v>
      </c>
    </row>
    <row r="355" spans="4:14" ht="15" customHeight="1">
      <c r="D355" s="99" t="b">
        <v>0</v>
      </c>
      <c r="E355" s="94" t="s">
        <v>366</v>
      </c>
      <c r="F355" s="92" t="s">
        <v>365</v>
      </c>
      <c r="G355" s="92" t="s">
        <v>78</v>
      </c>
      <c r="H355" s="93">
        <v>72</v>
      </c>
      <c r="I355" s="93">
        <v>200</v>
      </c>
      <c r="J355" s="93">
        <v>30.73</v>
      </c>
      <c r="K355" s="93" t="s">
        <v>78</v>
      </c>
      <c r="L355" s="101">
        <v>273</v>
      </c>
      <c r="M355" s="101">
        <v>0</v>
      </c>
      <c r="N355" s="101">
        <v>1.6168947136743883E+19</v>
      </c>
    </row>
    <row r="356" spans="4:14" ht="15" customHeight="1">
      <c r="D356" s="99" t="b">
        <v>0</v>
      </c>
      <c r="E356" s="94" t="s">
        <v>367</v>
      </c>
      <c r="F356" s="92" t="s">
        <v>365</v>
      </c>
      <c r="G356" s="92" t="s">
        <v>82</v>
      </c>
      <c r="H356" s="93">
        <v>80</v>
      </c>
      <c r="I356" s="93">
        <v>237</v>
      </c>
      <c r="J356" s="93">
        <v>32.17</v>
      </c>
      <c r="K356" s="93" t="s">
        <v>83</v>
      </c>
      <c r="L356" s="101">
        <v>274</v>
      </c>
      <c r="M356" s="101">
        <v>0</v>
      </c>
      <c r="N356" s="101">
        <v>1.365666000414464E+18</v>
      </c>
    </row>
    <row r="357" spans="4:14" ht="15" customHeight="1">
      <c r="D357" s="99" t="b">
        <v>0</v>
      </c>
      <c r="E357" s="94" t="s">
        <v>368</v>
      </c>
      <c r="F357" s="92" t="s">
        <v>365</v>
      </c>
      <c r="G357" s="92" t="s">
        <v>82</v>
      </c>
      <c r="H357" s="93">
        <v>74</v>
      </c>
      <c r="I357" s="93">
        <v>220</v>
      </c>
      <c r="J357" s="93">
        <v>30.43</v>
      </c>
      <c r="K357" s="93" t="s">
        <v>83</v>
      </c>
      <c r="L357" s="101">
        <v>275</v>
      </c>
      <c r="M357" s="101">
        <v>0</v>
      </c>
      <c r="N357" s="101">
        <v>1.2008677543556766E+19</v>
      </c>
    </row>
    <row r="358" spans="4:14" ht="15" customHeight="1">
      <c r="D358" s="99" t="b">
        <v>0</v>
      </c>
      <c r="E358" s="94" t="s">
        <v>369</v>
      </c>
      <c r="F358" s="92" t="s">
        <v>365</v>
      </c>
      <c r="G358" s="92" t="s">
        <v>86</v>
      </c>
      <c r="H358" s="93">
        <v>74</v>
      </c>
      <c r="I358" s="93">
        <v>170</v>
      </c>
      <c r="J358" s="93">
        <v>23.27</v>
      </c>
      <c r="K358" s="93" t="s">
        <v>83</v>
      </c>
      <c r="L358" s="101">
        <v>276</v>
      </c>
      <c r="M358" s="101">
        <v>0</v>
      </c>
      <c r="N358" s="101">
        <v>5.8207495697707776E+17</v>
      </c>
    </row>
    <row r="359" spans="4:14" ht="15" customHeight="1">
      <c r="D359" s="99" t="b">
        <v>0</v>
      </c>
      <c r="E359" s="94" t="s">
        <v>370</v>
      </c>
      <c r="F359" s="92" t="s">
        <v>365</v>
      </c>
      <c r="G359" s="92" t="s">
        <v>86</v>
      </c>
      <c r="H359" s="93">
        <v>71</v>
      </c>
      <c r="I359" s="93">
        <v>193</v>
      </c>
      <c r="J359" s="93">
        <v>32.51</v>
      </c>
      <c r="K359" s="93" t="s">
        <v>83</v>
      </c>
      <c r="L359" s="101">
        <v>277</v>
      </c>
      <c r="M359" s="101">
        <v>0</v>
      </c>
      <c r="N359" s="101">
        <v>9.5161225216499405E+18</v>
      </c>
    </row>
    <row r="360" spans="4:14" ht="15" customHeight="1">
      <c r="D360" s="99" t="b">
        <v>0</v>
      </c>
      <c r="E360" s="94" t="s">
        <v>371</v>
      </c>
      <c r="F360" s="92" t="s">
        <v>365</v>
      </c>
      <c r="G360" s="92" t="s">
        <v>88</v>
      </c>
      <c r="H360" s="93">
        <v>70</v>
      </c>
      <c r="I360" s="93">
        <v>190</v>
      </c>
      <c r="J360" s="93">
        <v>25.08</v>
      </c>
      <c r="K360" s="93" t="s">
        <v>83</v>
      </c>
      <c r="L360" s="101">
        <v>278</v>
      </c>
      <c r="M360" s="101">
        <v>0</v>
      </c>
      <c r="N360" s="101">
        <v>9.0781767757283901E+18</v>
      </c>
    </row>
    <row r="361" spans="4:14" ht="15" customHeight="1">
      <c r="D361" s="99" t="b">
        <v>0</v>
      </c>
      <c r="E361" s="94" t="s">
        <v>372</v>
      </c>
      <c r="F361" s="92" t="s">
        <v>365</v>
      </c>
      <c r="G361" s="92" t="s">
        <v>88</v>
      </c>
      <c r="H361" s="93">
        <v>72</v>
      </c>
      <c r="I361" s="93">
        <v>150</v>
      </c>
      <c r="J361" s="93">
        <v>22.41</v>
      </c>
      <c r="K361" s="93" t="s">
        <v>83</v>
      </c>
      <c r="L361" s="101">
        <v>279</v>
      </c>
      <c r="M361" s="101">
        <v>0</v>
      </c>
      <c r="N361" s="101">
        <v>3.0509357570967276E+18</v>
      </c>
    </row>
    <row r="362" spans="4:14" ht="15" customHeight="1">
      <c r="D362" s="99" t="b">
        <v>0</v>
      </c>
      <c r="E362" s="94" t="s">
        <v>373</v>
      </c>
      <c r="F362" s="92" t="s">
        <v>365</v>
      </c>
      <c r="G362" s="92" t="s">
        <v>90</v>
      </c>
      <c r="H362" s="93">
        <v>71</v>
      </c>
      <c r="I362" s="93">
        <v>220</v>
      </c>
      <c r="J362" s="93">
        <v>27.9</v>
      </c>
      <c r="K362" s="93" t="s">
        <v>83</v>
      </c>
      <c r="L362" s="101">
        <v>280</v>
      </c>
      <c r="M362" s="101">
        <v>0</v>
      </c>
      <c r="N362" s="101">
        <v>1.1659594585407226E+19</v>
      </c>
    </row>
    <row r="363" spans="4:14" ht="15" customHeight="1">
      <c r="D363" s="99" t="b">
        <v>0</v>
      </c>
      <c r="E363" s="94" t="s">
        <v>374</v>
      </c>
      <c r="F363" s="92" t="s">
        <v>365</v>
      </c>
      <c r="G363" s="92" t="s">
        <v>93</v>
      </c>
      <c r="H363" s="93">
        <v>74</v>
      </c>
      <c r="I363" s="93">
        <v>200</v>
      </c>
      <c r="J363" s="93">
        <v>34.74</v>
      </c>
      <c r="K363" s="93" t="s">
        <v>93</v>
      </c>
      <c r="L363" s="101">
        <v>281</v>
      </c>
      <c r="M363" s="101">
        <v>0</v>
      </c>
      <c r="N363" s="101">
        <v>1.2067163260235784E+19</v>
      </c>
    </row>
    <row r="364" spans="4:14" ht="15" customHeight="1">
      <c r="D364" s="99" t="b">
        <v>0</v>
      </c>
      <c r="E364" s="94" t="s">
        <v>375</v>
      </c>
      <c r="F364" s="92" t="s">
        <v>365</v>
      </c>
      <c r="G364" s="92" t="s">
        <v>93</v>
      </c>
      <c r="H364" s="93">
        <v>71</v>
      </c>
      <c r="I364" s="93">
        <v>190</v>
      </c>
      <c r="J364" s="93">
        <v>30.79</v>
      </c>
      <c r="K364" s="93" t="s">
        <v>93</v>
      </c>
      <c r="L364" s="101">
        <v>282</v>
      </c>
      <c r="M364" s="101">
        <v>0</v>
      </c>
      <c r="N364" s="101">
        <v>1.0260354666488148E+19</v>
      </c>
    </row>
    <row r="365" spans="4:14" ht="15" customHeight="1">
      <c r="D365" s="99" t="b">
        <v>0</v>
      </c>
      <c r="E365" s="94" t="s">
        <v>376</v>
      </c>
      <c r="F365" s="92" t="s">
        <v>365</v>
      </c>
      <c r="G365" s="92" t="s">
        <v>93</v>
      </c>
      <c r="H365" s="93">
        <v>72</v>
      </c>
      <c r="I365" s="93">
        <v>185</v>
      </c>
      <c r="J365" s="93">
        <v>25.71</v>
      </c>
      <c r="K365" s="93" t="s">
        <v>93</v>
      </c>
      <c r="L365" s="101">
        <v>283</v>
      </c>
      <c r="M365" s="101">
        <v>0</v>
      </c>
      <c r="N365" s="101">
        <v>1.8019583500326703E+19</v>
      </c>
    </row>
    <row r="366" spans="4:14" ht="15" customHeight="1">
      <c r="D366" s="99" t="b">
        <v>0</v>
      </c>
      <c r="E366" s="94" t="s">
        <v>377</v>
      </c>
      <c r="F366" s="92" t="s">
        <v>365</v>
      </c>
      <c r="G366" s="92" t="s">
        <v>93</v>
      </c>
      <c r="H366" s="93">
        <v>71</v>
      </c>
      <c r="I366" s="93">
        <v>185</v>
      </c>
      <c r="J366" s="93">
        <v>29.26</v>
      </c>
      <c r="K366" s="93" t="s">
        <v>93</v>
      </c>
      <c r="L366" s="101">
        <v>284</v>
      </c>
      <c r="M366" s="101">
        <v>0</v>
      </c>
      <c r="N366" s="101">
        <v>1.2732098113801457E+18</v>
      </c>
    </row>
    <row r="367" spans="4:14" ht="15" customHeight="1">
      <c r="D367" s="99" t="b">
        <v>0</v>
      </c>
      <c r="E367" s="94" t="s">
        <v>378</v>
      </c>
      <c r="F367" s="92" t="s">
        <v>365</v>
      </c>
      <c r="G367" s="92" t="s">
        <v>93</v>
      </c>
      <c r="H367" s="93">
        <v>74</v>
      </c>
      <c r="I367" s="93">
        <v>200</v>
      </c>
      <c r="J367" s="93">
        <v>21.58</v>
      </c>
      <c r="K367" s="93" t="s">
        <v>93</v>
      </c>
      <c r="L367" s="101">
        <v>285</v>
      </c>
      <c r="M367" s="101">
        <v>0</v>
      </c>
      <c r="N367" s="101">
        <v>7.2860808855395564E+18</v>
      </c>
    </row>
    <row r="368" spans="4:14" ht="15" customHeight="1">
      <c r="D368" s="99" t="b">
        <v>0</v>
      </c>
      <c r="E368" s="94" t="s">
        <v>379</v>
      </c>
      <c r="F368" s="92" t="s">
        <v>365</v>
      </c>
      <c r="G368" s="92" t="s">
        <v>93</v>
      </c>
      <c r="H368" s="93">
        <v>69</v>
      </c>
      <c r="I368" s="93">
        <v>172</v>
      </c>
      <c r="J368" s="93">
        <v>33.36</v>
      </c>
      <c r="K368" s="93" t="s">
        <v>93</v>
      </c>
      <c r="L368" s="101">
        <v>286</v>
      </c>
      <c r="M368" s="101">
        <v>0</v>
      </c>
      <c r="N368" s="101">
        <v>1.1446008661774455E+19</v>
      </c>
    </row>
    <row r="369" spans="4:14" ht="15" customHeight="1">
      <c r="D369" s="99" t="b">
        <v>0</v>
      </c>
      <c r="E369" s="94" t="s">
        <v>380</v>
      </c>
      <c r="F369" s="92" t="s">
        <v>365</v>
      </c>
      <c r="G369" s="92" t="s">
        <v>93</v>
      </c>
      <c r="H369" s="93">
        <v>76</v>
      </c>
      <c r="I369" s="93">
        <v>220</v>
      </c>
      <c r="J369" s="93">
        <v>24.94</v>
      </c>
      <c r="K369" s="93" t="s">
        <v>93</v>
      </c>
      <c r="L369" s="101">
        <v>287</v>
      </c>
      <c r="M369" s="101">
        <v>0</v>
      </c>
      <c r="N369" s="101">
        <v>1.2172846895873585E+18</v>
      </c>
    </row>
    <row r="370" spans="4:14" ht="15" customHeight="1">
      <c r="D370" s="99" t="b">
        <v>0</v>
      </c>
      <c r="E370" s="94" t="s">
        <v>381</v>
      </c>
      <c r="F370" s="92" t="s">
        <v>365</v>
      </c>
      <c r="G370" s="92" t="s">
        <v>101</v>
      </c>
      <c r="H370" s="93">
        <v>75</v>
      </c>
      <c r="I370" s="93">
        <v>225</v>
      </c>
      <c r="J370" s="93">
        <v>20.9</v>
      </c>
      <c r="K370" s="93" t="s">
        <v>75</v>
      </c>
      <c r="L370" s="101">
        <v>288</v>
      </c>
      <c r="M370" s="101">
        <v>0</v>
      </c>
      <c r="N370" s="101">
        <v>7.6438984683420856E+18</v>
      </c>
    </row>
    <row r="371" spans="4:14" ht="15" customHeight="1">
      <c r="D371" s="99" t="b">
        <v>0</v>
      </c>
      <c r="E371" s="94" t="s">
        <v>382</v>
      </c>
      <c r="F371" s="92" t="s">
        <v>365</v>
      </c>
      <c r="G371" s="92" t="s">
        <v>101</v>
      </c>
      <c r="H371" s="93">
        <v>75</v>
      </c>
      <c r="I371" s="93">
        <v>190</v>
      </c>
      <c r="J371" s="93">
        <v>21.52</v>
      </c>
      <c r="K371" s="93" t="s">
        <v>75</v>
      </c>
      <c r="L371" s="101">
        <v>289</v>
      </c>
      <c r="M371" s="101">
        <v>0</v>
      </c>
      <c r="N371" s="101">
        <v>3.7362274158449935E+18</v>
      </c>
    </row>
    <row r="372" spans="4:14" ht="15" customHeight="1">
      <c r="D372" s="99" t="b">
        <v>0</v>
      </c>
      <c r="E372" s="94" t="s">
        <v>383</v>
      </c>
      <c r="F372" s="92" t="s">
        <v>365</v>
      </c>
      <c r="G372" s="92" t="s">
        <v>101</v>
      </c>
      <c r="H372" s="93">
        <v>76</v>
      </c>
      <c r="I372" s="93">
        <v>195</v>
      </c>
      <c r="J372" s="93">
        <v>25.85</v>
      </c>
      <c r="K372" s="93" t="s">
        <v>75</v>
      </c>
      <c r="L372" s="101">
        <v>290</v>
      </c>
      <c r="M372" s="101">
        <v>0</v>
      </c>
      <c r="N372" s="101">
        <v>1.5331246262068703E+19</v>
      </c>
    </row>
    <row r="373" spans="4:14" ht="15" customHeight="1">
      <c r="D373" s="99" t="b">
        <v>0</v>
      </c>
      <c r="E373" s="94" t="s">
        <v>384</v>
      </c>
      <c r="F373" s="92" t="s">
        <v>365</v>
      </c>
      <c r="G373" s="92" t="s">
        <v>101</v>
      </c>
      <c r="H373" s="93">
        <v>73</v>
      </c>
      <c r="I373" s="93">
        <v>219</v>
      </c>
      <c r="J373" s="93">
        <v>27.27</v>
      </c>
      <c r="K373" s="93" t="s">
        <v>75</v>
      </c>
      <c r="L373" s="101">
        <v>291</v>
      </c>
      <c r="M373" s="101">
        <v>0</v>
      </c>
      <c r="N373" s="101">
        <v>1.4443861538305951E+18</v>
      </c>
    </row>
    <row r="374" spans="4:14" ht="15" customHeight="1">
      <c r="D374" s="99" t="b">
        <v>0</v>
      </c>
      <c r="E374" s="94" t="s">
        <v>385</v>
      </c>
      <c r="F374" s="92" t="s">
        <v>365</v>
      </c>
      <c r="G374" s="92" t="s">
        <v>101</v>
      </c>
      <c r="H374" s="93">
        <v>76</v>
      </c>
      <c r="I374" s="93">
        <v>190</v>
      </c>
      <c r="J374" s="93">
        <v>26.75</v>
      </c>
      <c r="K374" s="93" t="s">
        <v>75</v>
      </c>
      <c r="L374" s="101">
        <v>292</v>
      </c>
      <c r="M374" s="101">
        <v>0</v>
      </c>
      <c r="N374" s="101">
        <v>1.6855548341540618E+19</v>
      </c>
    </row>
    <row r="375" spans="4:14" ht="15" customHeight="1">
      <c r="D375" s="99" t="b">
        <v>0</v>
      </c>
      <c r="E375" s="94" t="s">
        <v>386</v>
      </c>
      <c r="F375" s="92" t="s">
        <v>365</v>
      </c>
      <c r="G375" s="92" t="s">
        <v>101</v>
      </c>
      <c r="H375" s="93">
        <v>73</v>
      </c>
      <c r="I375" s="93">
        <v>197</v>
      </c>
      <c r="J375" s="93">
        <v>36.03</v>
      </c>
      <c r="K375" s="93" t="s">
        <v>75</v>
      </c>
      <c r="L375" s="101">
        <v>293</v>
      </c>
      <c r="M375" s="101">
        <v>0</v>
      </c>
      <c r="N375" s="101">
        <v>1.0282261325325953E+19</v>
      </c>
    </row>
    <row r="376" spans="4:14" ht="15" customHeight="1">
      <c r="D376" s="99" t="b">
        <v>0</v>
      </c>
      <c r="E376" s="94" t="s">
        <v>387</v>
      </c>
      <c r="F376" s="92" t="s">
        <v>365</v>
      </c>
      <c r="G376" s="92" t="s">
        <v>101</v>
      </c>
      <c r="H376" s="93">
        <v>77</v>
      </c>
      <c r="I376" s="93">
        <v>200</v>
      </c>
      <c r="J376" s="93">
        <v>30.52</v>
      </c>
      <c r="K376" s="93" t="s">
        <v>75</v>
      </c>
      <c r="L376" s="101">
        <v>294</v>
      </c>
      <c r="M376" s="101">
        <v>0</v>
      </c>
      <c r="N376" s="101">
        <v>4.3606242745026488E+18</v>
      </c>
    </row>
    <row r="377" spans="4:14" ht="15" customHeight="1">
      <c r="D377" s="99" t="b">
        <v>0</v>
      </c>
      <c r="E377" s="94" t="s">
        <v>388</v>
      </c>
      <c r="F377" s="92" t="s">
        <v>365</v>
      </c>
      <c r="G377" s="92" t="s">
        <v>101</v>
      </c>
      <c r="H377" s="93">
        <v>73</v>
      </c>
      <c r="I377" s="93">
        <v>195</v>
      </c>
      <c r="J377" s="93">
        <v>32.549999999999997</v>
      </c>
      <c r="K377" s="93" t="s">
        <v>75</v>
      </c>
      <c r="L377" s="101">
        <v>295</v>
      </c>
      <c r="M377" s="101">
        <v>0</v>
      </c>
      <c r="N377" s="101">
        <v>1.2597669332044833E+19</v>
      </c>
    </row>
    <row r="378" spans="4:14" ht="15" customHeight="1">
      <c r="D378" s="99" t="b">
        <v>0</v>
      </c>
      <c r="E378" s="94" t="s">
        <v>389</v>
      </c>
      <c r="F378" s="92" t="s">
        <v>365</v>
      </c>
      <c r="G378" s="92" t="s">
        <v>74</v>
      </c>
      <c r="H378" s="93">
        <v>72</v>
      </c>
      <c r="I378" s="93">
        <v>210</v>
      </c>
      <c r="J378" s="93">
        <v>29.86</v>
      </c>
      <c r="K378" s="93" t="s">
        <v>75</v>
      </c>
      <c r="L378" s="101">
        <v>296</v>
      </c>
      <c r="M378" s="101">
        <v>0</v>
      </c>
      <c r="N378" s="101">
        <v>1.4136139953418367E+19</v>
      </c>
    </row>
    <row r="379" spans="4:14" ht="15" customHeight="1">
      <c r="D379" s="99" t="b">
        <v>0</v>
      </c>
      <c r="E379" s="94" t="s">
        <v>390</v>
      </c>
      <c r="F379" s="92" t="s">
        <v>365</v>
      </c>
      <c r="G379" s="92" t="s">
        <v>74</v>
      </c>
      <c r="H379" s="93">
        <v>72</v>
      </c>
      <c r="I379" s="93">
        <v>177</v>
      </c>
      <c r="J379" s="93">
        <v>29.58</v>
      </c>
      <c r="K379" s="93" t="s">
        <v>75</v>
      </c>
      <c r="L379" s="101">
        <v>297</v>
      </c>
      <c r="M379" s="101">
        <v>0</v>
      </c>
      <c r="N379" s="101">
        <v>7.0631354660907482E+17</v>
      </c>
    </row>
    <row r="380" spans="4:14" ht="15" customHeight="1">
      <c r="D380" s="99" t="b">
        <v>0</v>
      </c>
      <c r="E380" s="94" t="s">
        <v>391</v>
      </c>
      <c r="F380" s="92" t="s">
        <v>365</v>
      </c>
      <c r="G380" s="92" t="s">
        <v>74</v>
      </c>
      <c r="H380" s="93">
        <v>77</v>
      </c>
      <c r="I380" s="93">
        <v>220</v>
      </c>
      <c r="J380" s="93">
        <v>30.02</v>
      </c>
      <c r="K380" s="93" t="s">
        <v>75</v>
      </c>
      <c r="L380" s="101">
        <v>298</v>
      </c>
      <c r="M380" s="101">
        <v>0</v>
      </c>
      <c r="N380" s="101">
        <v>9.3140010120378696E+18</v>
      </c>
    </row>
    <row r="381" spans="4:14" ht="15" customHeight="1">
      <c r="D381" s="99" t="b">
        <v>0</v>
      </c>
      <c r="E381" s="94" t="s">
        <v>392</v>
      </c>
      <c r="F381" s="92" t="s">
        <v>365</v>
      </c>
      <c r="G381" s="92" t="s">
        <v>74</v>
      </c>
      <c r="H381" s="93">
        <v>77</v>
      </c>
      <c r="I381" s="93">
        <v>235</v>
      </c>
      <c r="J381" s="93">
        <v>29.16</v>
      </c>
      <c r="K381" s="93" t="s">
        <v>75</v>
      </c>
      <c r="L381" s="101">
        <v>299</v>
      </c>
      <c r="M381" s="101">
        <v>0</v>
      </c>
      <c r="N381" s="101">
        <v>1.4224734004814157E+18</v>
      </c>
    </row>
    <row r="382" spans="4:14" ht="15" customHeight="1">
      <c r="D382" s="99" t="b">
        <v>0</v>
      </c>
      <c r="E382" s="94" t="s">
        <v>393</v>
      </c>
      <c r="F382" s="92" t="s">
        <v>365</v>
      </c>
      <c r="G382" s="92" t="s">
        <v>74</v>
      </c>
      <c r="H382" s="93">
        <v>71</v>
      </c>
      <c r="I382" s="93">
        <v>180</v>
      </c>
      <c r="J382" s="93">
        <v>22.3</v>
      </c>
      <c r="K382" s="93" t="s">
        <v>75</v>
      </c>
      <c r="L382" s="101">
        <v>300</v>
      </c>
      <c r="M382" s="101">
        <v>0</v>
      </c>
      <c r="N382" s="101">
        <v>1.3738367632196344E+19</v>
      </c>
    </row>
    <row r="383" spans="4:14" ht="15" customHeight="1">
      <c r="D383" s="99" t="b">
        <v>0</v>
      </c>
      <c r="E383" s="94" t="s">
        <v>394</v>
      </c>
      <c r="F383" s="92" t="s">
        <v>365</v>
      </c>
      <c r="G383" s="92" t="s">
        <v>74</v>
      </c>
      <c r="H383" s="93">
        <v>74</v>
      </c>
      <c r="I383" s="93">
        <v>195</v>
      </c>
      <c r="J383" s="93">
        <v>22.06</v>
      </c>
      <c r="K383" s="93" t="s">
        <v>75</v>
      </c>
      <c r="L383" s="101">
        <v>301</v>
      </c>
      <c r="M383" s="101">
        <v>0</v>
      </c>
      <c r="N383" s="101">
        <v>8.6138271427631995E+18</v>
      </c>
    </row>
    <row r="384" spans="4:14" ht="15" customHeight="1">
      <c r="D384" s="99" t="b">
        <v>0</v>
      </c>
      <c r="E384" s="94" t="s">
        <v>395</v>
      </c>
      <c r="F384" s="92" t="s">
        <v>365</v>
      </c>
      <c r="G384" s="92" t="s">
        <v>74</v>
      </c>
      <c r="H384" s="93">
        <v>74</v>
      </c>
      <c r="I384" s="93">
        <v>195</v>
      </c>
      <c r="J384" s="93">
        <v>25.65</v>
      </c>
      <c r="K384" s="93" t="s">
        <v>75</v>
      </c>
      <c r="L384" s="101">
        <v>302</v>
      </c>
      <c r="M384" s="101">
        <v>0</v>
      </c>
      <c r="N384" s="101">
        <v>5.1426349034949908E+18</v>
      </c>
    </row>
    <row r="385" spans="4:14" ht="15" customHeight="1">
      <c r="D385" s="99" t="b">
        <v>0</v>
      </c>
      <c r="E385" s="94" t="s">
        <v>396</v>
      </c>
      <c r="F385" s="92" t="s">
        <v>365</v>
      </c>
      <c r="G385" s="92" t="s">
        <v>74</v>
      </c>
      <c r="H385" s="93">
        <v>73</v>
      </c>
      <c r="I385" s="93">
        <v>190</v>
      </c>
      <c r="J385" s="93">
        <v>25.49</v>
      </c>
      <c r="K385" s="93" t="s">
        <v>75</v>
      </c>
      <c r="L385" s="101">
        <v>303</v>
      </c>
      <c r="M385" s="101">
        <v>0</v>
      </c>
      <c r="N385" s="101">
        <v>1.5257604847768189E+19</v>
      </c>
    </row>
    <row r="386" spans="4:14" ht="15" customHeight="1">
      <c r="D386" s="99" t="b">
        <v>0</v>
      </c>
      <c r="E386" s="94" t="s">
        <v>397</v>
      </c>
      <c r="F386" s="92" t="s">
        <v>365</v>
      </c>
      <c r="G386" s="92" t="s">
        <v>74</v>
      </c>
      <c r="H386" s="93">
        <v>78</v>
      </c>
      <c r="I386" s="93">
        <v>230</v>
      </c>
      <c r="J386" s="93">
        <v>27.86</v>
      </c>
      <c r="K386" s="93" t="s">
        <v>75</v>
      </c>
      <c r="L386" s="101">
        <v>304</v>
      </c>
      <c r="M386" s="101">
        <v>0</v>
      </c>
      <c r="N386" s="101">
        <v>1.6372341678083674E+19</v>
      </c>
    </row>
    <row r="387" spans="4:14" ht="15" customHeight="1">
      <c r="D387" s="99" t="b">
        <v>0</v>
      </c>
      <c r="E387" s="94" t="s">
        <v>398</v>
      </c>
      <c r="F387" s="92" t="s">
        <v>365</v>
      </c>
      <c r="G387" s="92" t="s">
        <v>74</v>
      </c>
      <c r="H387" s="93">
        <v>75</v>
      </c>
      <c r="I387" s="93">
        <v>190</v>
      </c>
      <c r="J387" s="93">
        <v>23.73</v>
      </c>
      <c r="K387" s="93" t="s">
        <v>75</v>
      </c>
      <c r="L387" s="101">
        <v>305</v>
      </c>
      <c r="M387" s="101">
        <v>0</v>
      </c>
      <c r="N387" s="101">
        <v>2.737096075526571E+18</v>
      </c>
    </row>
    <row r="388" spans="4:14" ht="15" customHeight="1">
      <c r="D388" s="99" t="b">
        <v>0</v>
      </c>
      <c r="E388" s="94" t="s">
        <v>399</v>
      </c>
      <c r="F388" s="92" t="s">
        <v>400</v>
      </c>
      <c r="G388" s="92" t="s">
        <v>78</v>
      </c>
      <c r="H388" s="93">
        <v>73</v>
      </c>
      <c r="I388" s="93">
        <v>200</v>
      </c>
      <c r="J388" s="93">
        <v>31.78</v>
      </c>
      <c r="K388" s="93" t="s">
        <v>78</v>
      </c>
      <c r="L388" s="101">
        <v>306</v>
      </c>
      <c r="M388" s="101">
        <v>0</v>
      </c>
      <c r="N388" s="101">
        <v>1.6573165023264463E+19</v>
      </c>
    </row>
    <row r="389" spans="4:14" ht="15" customHeight="1">
      <c r="D389" s="99" t="b">
        <v>0</v>
      </c>
      <c r="E389" s="94" t="s">
        <v>401</v>
      </c>
      <c r="F389" s="92" t="s">
        <v>400</v>
      </c>
      <c r="G389" s="92" t="s">
        <v>78</v>
      </c>
      <c r="H389" s="93">
        <v>70</v>
      </c>
      <c r="I389" s="93">
        <v>190</v>
      </c>
      <c r="J389" s="93">
        <v>23.06</v>
      </c>
      <c r="K389" s="93" t="s">
        <v>78</v>
      </c>
      <c r="L389" s="101">
        <v>307</v>
      </c>
      <c r="M389" s="101">
        <v>0</v>
      </c>
      <c r="N389" s="101">
        <v>1.6044762731874189E+19</v>
      </c>
    </row>
    <row r="390" spans="4:14" ht="15" customHeight="1">
      <c r="D390" s="99" t="b">
        <v>0</v>
      </c>
      <c r="E390" s="94" t="s">
        <v>402</v>
      </c>
      <c r="F390" s="92" t="s">
        <v>400</v>
      </c>
      <c r="G390" s="92" t="s">
        <v>78</v>
      </c>
      <c r="H390" s="93">
        <v>74</v>
      </c>
      <c r="I390" s="93">
        <v>190</v>
      </c>
      <c r="J390" s="93">
        <v>26.6</v>
      </c>
      <c r="K390" s="93" t="s">
        <v>78</v>
      </c>
      <c r="L390" s="101">
        <v>308</v>
      </c>
      <c r="M390" s="101">
        <v>0</v>
      </c>
      <c r="N390" s="101">
        <v>7.9269244817712384E+18</v>
      </c>
    </row>
    <row r="391" spans="4:14" ht="15" customHeight="1">
      <c r="D391" s="99" t="b">
        <v>0</v>
      </c>
      <c r="E391" s="94" t="s">
        <v>403</v>
      </c>
      <c r="F391" s="92" t="s">
        <v>400</v>
      </c>
      <c r="G391" s="92" t="s">
        <v>82</v>
      </c>
      <c r="H391" s="93">
        <v>72</v>
      </c>
      <c r="I391" s="93">
        <v>200</v>
      </c>
      <c r="J391" s="93">
        <v>29.39</v>
      </c>
      <c r="K391" s="93" t="s">
        <v>83</v>
      </c>
      <c r="L391" s="101">
        <v>309</v>
      </c>
      <c r="M391" s="101">
        <v>0</v>
      </c>
      <c r="N391" s="101">
        <v>5.7786808022476134E+18</v>
      </c>
    </row>
    <row r="392" spans="4:14" ht="15" customHeight="1">
      <c r="D392" s="99" t="b">
        <v>0</v>
      </c>
      <c r="E392" s="94" t="s">
        <v>404</v>
      </c>
      <c r="F392" s="92" t="s">
        <v>400</v>
      </c>
      <c r="G392" s="92" t="s">
        <v>86</v>
      </c>
      <c r="H392" s="93">
        <v>73</v>
      </c>
      <c r="I392" s="93">
        <v>200</v>
      </c>
      <c r="J392" s="93">
        <v>26.51</v>
      </c>
      <c r="K392" s="93" t="s">
        <v>83</v>
      </c>
      <c r="L392" s="101">
        <v>310</v>
      </c>
      <c r="M392" s="101">
        <v>0</v>
      </c>
      <c r="N392" s="101">
        <v>5.8374328797542472E+18</v>
      </c>
    </row>
    <row r="393" spans="4:14" ht="15" customHeight="1">
      <c r="D393" s="99" t="b">
        <v>0</v>
      </c>
      <c r="E393" s="94" t="s">
        <v>405</v>
      </c>
      <c r="F393" s="92" t="s">
        <v>400</v>
      </c>
      <c r="G393" s="92" t="s">
        <v>86</v>
      </c>
      <c r="H393" s="93">
        <v>73</v>
      </c>
      <c r="I393" s="93">
        <v>184</v>
      </c>
      <c r="J393" s="93">
        <v>25.08</v>
      </c>
      <c r="K393" s="93" t="s">
        <v>83</v>
      </c>
      <c r="L393" s="101">
        <v>311</v>
      </c>
      <c r="M393" s="101">
        <v>0</v>
      </c>
      <c r="N393" s="101">
        <v>1.5186977304833794E+19</v>
      </c>
    </row>
    <row r="394" spans="4:14" ht="15" customHeight="1">
      <c r="D394" s="99" t="b">
        <v>0</v>
      </c>
      <c r="E394" s="94" t="s">
        <v>406</v>
      </c>
      <c r="F394" s="92" t="s">
        <v>400</v>
      </c>
      <c r="G394" s="92" t="s">
        <v>88</v>
      </c>
      <c r="H394" s="93">
        <v>75</v>
      </c>
      <c r="I394" s="93">
        <v>200</v>
      </c>
      <c r="J394" s="93">
        <v>25.76</v>
      </c>
      <c r="K394" s="93" t="s">
        <v>83</v>
      </c>
      <c r="L394" s="101">
        <v>312</v>
      </c>
      <c r="M394" s="101">
        <v>0</v>
      </c>
      <c r="N394" s="101">
        <v>1.392592429794912E+18</v>
      </c>
    </row>
    <row r="395" spans="4:14" ht="15" customHeight="1">
      <c r="D395" s="99" t="b">
        <v>0</v>
      </c>
      <c r="E395" s="94" t="s">
        <v>407</v>
      </c>
      <c r="F395" s="92" t="s">
        <v>400</v>
      </c>
      <c r="G395" s="92" t="s">
        <v>90</v>
      </c>
      <c r="H395" s="93">
        <v>75</v>
      </c>
      <c r="I395" s="93">
        <v>180</v>
      </c>
      <c r="J395" s="93">
        <v>22.52</v>
      </c>
      <c r="K395" s="93" t="s">
        <v>83</v>
      </c>
      <c r="L395" s="101">
        <v>313</v>
      </c>
      <c r="M395" s="101">
        <v>0</v>
      </c>
      <c r="N395" s="101">
        <v>1.2033905339371973E+18</v>
      </c>
    </row>
    <row r="396" spans="4:14" ht="15" customHeight="1">
      <c r="D396" s="99" t="b">
        <v>0</v>
      </c>
      <c r="E396" s="94" t="s">
        <v>408</v>
      </c>
      <c r="F396" s="92" t="s">
        <v>400</v>
      </c>
      <c r="G396" s="92" t="s">
        <v>93</v>
      </c>
      <c r="H396" s="93">
        <v>74</v>
      </c>
      <c r="I396" s="93">
        <v>219</v>
      </c>
      <c r="J396" s="93">
        <v>25.57</v>
      </c>
      <c r="K396" s="93" t="s">
        <v>93</v>
      </c>
      <c r="L396" s="101">
        <v>314</v>
      </c>
      <c r="M396" s="101">
        <v>0</v>
      </c>
      <c r="N396" s="101">
        <v>5.1348356590926918E+17</v>
      </c>
    </row>
    <row r="397" spans="4:14" ht="15" customHeight="1">
      <c r="D397" s="99" t="b">
        <v>0</v>
      </c>
      <c r="E397" s="94" t="s">
        <v>409</v>
      </c>
      <c r="F397" s="92" t="s">
        <v>400</v>
      </c>
      <c r="G397" s="92" t="s">
        <v>93</v>
      </c>
      <c r="H397" s="93">
        <v>76</v>
      </c>
      <c r="I397" s="93">
        <v>187</v>
      </c>
      <c r="J397" s="93">
        <v>25.43</v>
      </c>
      <c r="K397" s="93" t="s">
        <v>93</v>
      </c>
      <c r="L397" s="101">
        <v>315</v>
      </c>
      <c r="M397" s="101">
        <v>0</v>
      </c>
      <c r="N397" s="101">
        <v>1.6586642226156958E+19</v>
      </c>
    </row>
    <row r="398" spans="4:14" ht="15" customHeight="1">
      <c r="D398" s="99" t="b">
        <v>0</v>
      </c>
      <c r="E398" s="94" t="s">
        <v>410</v>
      </c>
      <c r="F398" s="92" t="s">
        <v>400</v>
      </c>
      <c r="G398" s="92" t="s">
        <v>93</v>
      </c>
      <c r="H398" s="93">
        <v>73</v>
      </c>
      <c r="I398" s="93">
        <v>200</v>
      </c>
      <c r="J398" s="93">
        <v>34.65</v>
      </c>
      <c r="K398" s="93" t="s">
        <v>93</v>
      </c>
      <c r="L398" s="101">
        <v>316</v>
      </c>
      <c r="M398" s="101">
        <v>0</v>
      </c>
      <c r="N398" s="101">
        <v>1.7432570775610288E+19</v>
      </c>
    </row>
    <row r="399" spans="4:14" ht="15" customHeight="1">
      <c r="D399" s="99" t="b">
        <v>0</v>
      </c>
      <c r="E399" s="94" t="s">
        <v>411</v>
      </c>
      <c r="F399" s="92" t="s">
        <v>400</v>
      </c>
      <c r="G399" s="92" t="s">
        <v>93</v>
      </c>
      <c r="H399" s="93">
        <v>74</v>
      </c>
      <c r="I399" s="93">
        <v>220</v>
      </c>
      <c r="J399" s="93">
        <v>22.68</v>
      </c>
      <c r="K399" s="93" t="s">
        <v>93</v>
      </c>
      <c r="L399" s="101">
        <v>317</v>
      </c>
      <c r="M399" s="101">
        <v>0</v>
      </c>
      <c r="N399" s="101">
        <v>9.0198526035275786E+18</v>
      </c>
    </row>
    <row r="400" spans="4:14" ht="15" customHeight="1">
      <c r="D400" s="99" t="b">
        <v>0</v>
      </c>
      <c r="E400" s="94" t="s">
        <v>412</v>
      </c>
      <c r="F400" s="92" t="s">
        <v>400</v>
      </c>
      <c r="G400" s="92" t="s">
        <v>93</v>
      </c>
      <c r="H400" s="93">
        <v>75</v>
      </c>
      <c r="I400" s="93">
        <v>205</v>
      </c>
      <c r="J400" s="93">
        <v>21.46</v>
      </c>
      <c r="K400" s="93" t="s">
        <v>93</v>
      </c>
      <c r="L400" s="101">
        <v>318</v>
      </c>
      <c r="M400" s="101">
        <v>0</v>
      </c>
      <c r="N400" s="101">
        <v>6.2909555216283412E+18</v>
      </c>
    </row>
    <row r="401" spans="4:14" ht="15" customHeight="1">
      <c r="D401" s="99" t="b">
        <v>0</v>
      </c>
      <c r="E401" s="94" t="s">
        <v>413</v>
      </c>
      <c r="F401" s="92" t="s">
        <v>400</v>
      </c>
      <c r="G401" s="92" t="s">
        <v>101</v>
      </c>
      <c r="H401" s="93">
        <v>75</v>
      </c>
      <c r="I401" s="93">
        <v>190</v>
      </c>
      <c r="J401" s="93">
        <v>23.47</v>
      </c>
      <c r="K401" s="93" t="s">
        <v>75</v>
      </c>
      <c r="L401" s="101">
        <v>319</v>
      </c>
      <c r="M401" s="101">
        <v>0</v>
      </c>
      <c r="N401" s="101">
        <v>2.1395076765925092E+18</v>
      </c>
    </row>
    <row r="402" spans="4:14" ht="15" customHeight="1">
      <c r="D402" s="99" t="b">
        <v>0</v>
      </c>
      <c r="E402" s="94" t="s">
        <v>414</v>
      </c>
      <c r="F402" s="92" t="s">
        <v>400</v>
      </c>
      <c r="G402" s="92" t="s">
        <v>101</v>
      </c>
      <c r="H402" s="93">
        <v>72</v>
      </c>
      <c r="I402" s="93">
        <v>170</v>
      </c>
      <c r="J402" s="93">
        <v>23.1</v>
      </c>
      <c r="K402" s="93" t="s">
        <v>75</v>
      </c>
      <c r="L402" s="101">
        <v>320</v>
      </c>
      <c r="M402" s="101">
        <v>0</v>
      </c>
      <c r="N402" s="101">
        <v>5.6576672367350999E+18</v>
      </c>
    </row>
    <row r="403" spans="4:14" ht="15" customHeight="1">
      <c r="D403" s="99" t="b">
        <v>0</v>
      </c>
      <c r="E403" s="94" t="s">
        <v>415</v>
      </c>
      <c r="F403" s="92" t="s">
        <v>400</v>
      </c>
      <c r="G403" s="92" t="s">
        <v>101</v>
      </c>
      <c r="H403" s="93">
        <v>73</v>
      </c>
      <c r="I403" s="93">
        <v>160</v>
      </c>
      <c r="J403" s="93">
        <v>29.14</v>
      </c>
      <c r="K403" s="93" t="s">
        <v>75</v>
      </c>
      <c r="L403" s="101">
        <v>321</v>
      </c>
      <c r="M403" s="101">
        <v>0</v>
      </c>
      <c r="N403" s="101">
        <v>2.8796908827107552E+17</v>
      </c>
    </row>
    <row r="404" spans="4:14" ht="15" customHeight="1">
      <c r="D404" s="99" t="b">
        <v>0</v>
      </c>
      <c r="E404" s="94" t="s">
        <v>416</v>
      </c>
      <c r="F404" s="92" t="s">
        <v>400</v>
      </c>
      <c r="G404" s="92" t="s">
        <v>101</v>
      </c>
      <c r="H404" s="93">
        <v>73</v>
      </c>
      <c r="I404" s="93">
        <v>215</v>
      </c>
      <c r="J404" s="93">
        <v>29.77</v>
      </c>
      <c r="K404" s="93" t="s">
        <v>75</v>
      </c>
      <c r="L404" s="101">
        <v>322</v>
      </c>
      <c r="M404" s="101">
        <v>0</v>
      </c>
      <c r="N404" s="101">
        <v>1.6260714460381663E+19</v>
      </c>
    </row>
    <row r="405" spans="4:14" ht="15" customHeight="1">
      <c r="D405" s="99" t="b">
        <v>0</v>
      </c>
      <c r="E405" s="94" t="s">
        <v>417</v>
      </c>
      <c r="F405" s="92" t="s">
        <v>400</v>
      </c>
      <c r="G405" s="92" t="s">
        <v>101</v>
      </c>
      <c r="H405" s="93">
        <v>72</v>
      </c>
      <c r="I405" s="93">
        <v>175</v>
      </c>
      <c r="J405" s="93">
        <v>23.85</v>
      </c>
      <c r="K405" s="93" t="s">
        <v>75</v>
      </c>
      <c r="L405" s="101">
        <v>323</v>
      </c>
      <c r="M405" s="101">
        <v>0</v>
      </c>
      <c r="N405" s="101">
        <v>9.800733697595435E+18</v>
      </c>
    </row>
    <row r="406" spans="4:14" ht="15" customHeight="1">
      <c r="D406" s="99" t="b">
        <v>0</v>
      </c>
      <c r="E406" s="94" t="s">
        <v>418</v>
      </c>
      <c r="F406" s="92" t="s">
        <v>400</v>
      </c>
      <c r="G406" s="92" t="s">
        <v>101</v>
      </c>
      <c r="H406" s="93">
        <v>74</v>
      </c>
      <c r="I406" s="93">
        <v>205</v>
      </c>
      <c r="J406" s="93">
        <v>28.88</v>
      </c>
      <c r="K406" s="93" t="s">
        <v>75</v>
      </c>
      <c r="L406" s="101">
        <v>324</v>
      </c>
      <c r="M406" s="101">
        <v>0</v>
      </c>
      <c r="N406" s="101">
        <v>6.2076132281866977E+18</v>
      </c>
    </row>
    <row r="407" spans="4:14" ht="15" customHeight="1">
      <c r="D407" s="99" t="b">
        <v>0</v>
      </c>
      <c r="E407" s="94" t="s">
        <v>419</v>
      </c>
      <c r="F407" s="92" t="s">
        <v>400</v>
      </c>
      <c r="G407" s="92" t="s">
        <v>101</v>
      </c>
      <c r="H407" s="93">
        <v>78</v>
      </c>
      <c r="I407" s="93">
        <v>200</v>
      </c>
      <c r="J407" s="93">
        <v>24.49</v>
      </c>
      <c r="K407" s="93" t="s">
        <v>75</v>
      </c>
      <c r="L407" s="101">
        <v>325</v>
      </c>
      <c r="M407" s="101">
        <v>0</v>
      </c>
      <c r="N407" s="101">
        <v>1.7064382054748789E+19</v>
      </c>
    </row>
    <row r="408" spans="4:14" ht="15" customHeight="1">
      <c r="D408" s="99" t="b">
        <v>0</v>
      </c>
      <c r="E408" s="94" t="s">
        <v>420</v>
      </c>
      <c r="F408" s="92" t="s">
        <v>400</v>
      </c>
      <c r="G408" s="92" t="s">
        <v>101</v>
      </c>
      <c r="H408" s="93">
        <v>76</v>
      </c>
      <c r="I408" s="93">
        <v>214</v>
      </c>
      <c r="J408" s="93">
        <v>25.19</v>
      </c>
      <c r="K408" s="93" t="s">
        <v>75</v>
      </c>
      <c r="L408" s="101">
        <v>326</v>
      </c>
      <c r="M408" s="101">
        <v>0</v>
      </c>
      <c r="N408" s="101">
        <v>1.7984985464098011E+19</v>
      </c>
    </row>
    <row r="409" spans="4:14" ht="15" customHeight="1">
      <c r="D409" s="99" t="b">
        <v>0</v>
      </c>
      <c r="E409" s="94" t="s">
        <v>421</v>
      </c>
      <c r="F409" s="92" t="s">
        <v>400</v>
      </c>
      <c r="G409" s="92" t="s">
        <v>101</v>
      </c>
      <c r="H409" s="93">
        <v>73</v>
      </c>
      <c r="I409" s="93">
        <v>200</v>
      </c>
      <c r="J409" s="93">
        <v>27.48</v>
      </c>
      <c r="K409" s="93" t="s">
        <v>75</v>
      </c>
      <c r="L409" s="101">
        <v>327</v>
      </c>
      <c r="M409" s="101">
        <v>0</v>
      </c>
      <c r="N409" s="101">
        <v>8.6697972963456922E+18</v>
      </c>
    </row>
    <row r="410" spans="4:14" ht="15" customHeight="1">
      <c r="D410" s="99" t="b">
        <v>0</v>
      </c>
      <c r="E410" s="94" t="s">
        <v>422</v>
      </c>
      <c r="F410" s="92" t="s">
        <v>400</v>
      </c>
      <c r="G410" s="92" t="s">
        <v>74</v>
      </c>
      <c r="H410" s="93">
        <v>74</v>
      </c>
      <c r="I410" s="93">
        <v>190</v>
      </c>
      <c r="J410" s="93">
        <v>28.31</v>
      </c>
      <c r="K410" s="93" t="s">
        <v>75</v>
      </c>
      <c r="L410" s="101">
        <v>328</v>
      </c>
      <c r="M410" s="101">
        <v>0</v>
      </c>
      <c r="N410" s="101">
        <v>4.1670774983254835E+18</v>
      </c>
    </row>
    <row r="411" spans="4:14" ht="15" customHeight="1">
      <c r="D411" s="99" t="b">
        <v>0</v>
      </c>
      <c r="E411" s="94" t="s">
        <v>423</v>
      </c>
      <c r="F411" s="92" t="s">
        <v>400</v>
      </c>
      <c r="G411" s="92" t="s">
        <v>74</v>
      </c>
      <c r="H411" s="93">
        <v>75</v>
      </c>
      <c r="I411" s="93">
        <v>180</v>
      </c>
      <c r="J411" s="93">
        <v>26.54</v>
      </c>
      <c r="K411" s="93" t="s">
        <v>75</v>
      </c>
      <c r="L411" s="101">
        <v>329</v>
      </c>
      <c r="M411" s="101">
        <v>0</v>
      </c>
      <c r="N411" s="101">
        <v>1.6858718485363816E+19</v>
      </c>
    </row>
    <row r="412" spans="4:14" ht="15" customHeight="1">
      <c r="D412" s="99" t="b">
        <v>0</v>
      </c>
      <c r="E412" s="94" t="s">
        <v>424</v>
      </c>
      <c r="F412" s="92" t="s">
        <v>400</v>
      </c>
      <c r="G412" s="92" t="s">
        <v>74</v>
      </c>
      <c r="H412" s="93">
        <v>70</v>
      </c>
      <c r="I412" s="93">
        <v>205</v>
      </c>
      <c r="J412" s="93">
        <v>26.77</v>
      </c>
      <c r="K412" s="93" t="s">
        <v>75</v>
      </c>
      <c r="L412" s="101">
        <v>330</v>
      </c>
      <c r="M412" s="101">
        <v>0</v>
      </c>
      <c r="N412" s="101">
        <v>1.120671372535329E+19</v>
      </c>
    </row>
    <row r="413" spans="4:14" ht="15" customHeight="1">
      <c r="D413" s="99" t="b">
        <v>0</v>
      </c>
      <c r="E413" s="94" t="s">
        <v>425</v>
      </c>
      <c r="F413" s="92" t="s">
        <v>400</v>
      </c>
      <c r="G413" s="92" t="s">
        <v>74</v>
      </c>
      <c r="H413" s="93">
        <v>75</v>
      </c>
      <c r="I413" s="93">
        <v>220</v>
      </c>
      <c r="J413" s="93">
        <v>23.75</v>
      </c>
      <c r="K413" s="93" t="s">
        <v>75</v>
      </c>
      <c r="L413" s="101">
        <v>331</v>
      </c>
      <c r="M413" s="101">
        <v>0</v>
      </c>
      <c r="N413" s="101">
        <v>3.8991572130610381E+17</v>
      </c>
    </row>
    <row r="414" spans="4:14" ht="15" customHeight="1">
      <c r="D414" s="99" t="b">
        <v>0</v>
      </c>
      <c r="E414" s="94" t="s">
        <v>426</v>
      </c>
      <c r="F414" s="92" t="s">
        <v>400</v>
      </c>
      <c r="G414" s="92" t="s">
        <v>74</v>
      </c>
      <c r="H414" s="93">
        <v>71</v>
      </c>
      <c r="I414" s="93">
        <v>190</v>
      </c>
      <c r="J414" s="93">
        <v>26.41</v>
      </c>
      <c r="K414" s="93" t="s">
        <v>75</v>
      </c>
      <c r="L414" s="101">
        <v>332</v>
      </c>
      <c r="M414" s="101">
        <v>0</v>
      </c>
      <c r="N414" s="101">
        <v>3.332514423741312E+18</v>
      </c>
    </row>
    <row r="415" spans="4:14" ht="15" customHeight="1">
      <c r="D415" s="99" t="b">
        <v>0</v>
      </c>
      <c r="E415" s="94" t="s">
        <v>427</v>
      </c>
      <c r="F415" s="92" t="s">
        <v>400</v>
      </c>
      <c r="G415" s="92" t="s">
        <v>74</v>
      </c>
      <c r="H415" s="93">
        <v>72</v>
      </c>
      <c r="I415" s="93">
        <v>215</v>
      </c>
      <c r="J415" s="93">
        <v>36.47</v>
      </c>
      <c r="K415" s="93" t="s">
        <v>75</v>
      </c>
      <c r="L415" s="101">
        <v>333</v>
      </c>
      <c r="M415" s="101">
        <v>0</v>
      </c>
      <c r="N415" s="101">
        <v>1.2537325087038923E+19</v>
      </c>
    </row>
    <row r="416" spans="4:14" ht="15" customHeight="1">
      <c r="D416" s="99" t="b">
        <v>0</v>
      </c>
      <c r="E416" s="94" t="s">
        <v>428</v>
      </c>
      <c r="F416" s="92" t="s">
        <v>400</v>
      </c>
      <c r="G416" s="92" t="s">
        <v>74</v>
      </c>
      <c r="H416" s="93">
        <v>78</v>
      </c>
      <c r="I416" s="93">
        <v>235</v>
      </c>
      <c r="J416" s="93">
        <v>26.06</v>
      </c>
      <c r="K416" s="93" t="s">
        <v>75</v>
      </c>
      <c r="L416" s="101">
        <v>334</v>
      </c>
      <c r="M416" s="101">
        <v>0</v>
      </c>
      <c r="N416" s="101">
        <v>1.7894496159530104E+18</v>
      </c>
    </row>
    <row r="417" spans="4:14" ht="15" customHeight="1">
      <c r="D417" s="99" t="b">
        <v>0</v>
      </c>
      <c r="E417" s="94" t="s">
        <v>429</v>
      </c>
      <c r="F417" s="92" t="s">
        <v>400</v>
      </c>
      <c r="G417" s="92" t="s">
        <v>74</v>
      </c>
      <c r="H417" s="93">
        <v>75</v>
      </c>
      <c r="I417" s="93">
        <v>191</v>
      </c>
      <c r="J417" s="93">
        <v>27.55</v>
      </c>
      <c r="K417" s="93" t="s">
        <v>75</v>
      </c>
      <c r="L417" s="101">
        <v>335</v>
      </c>
      <c r="M417" s="101">
        <v>0</v>
      </c>
      <c r="N417" s="101">
        <v>1.127786228625202E+19</v>
      </c>
    </row>
    <row r="418" spans="4:14" ht="15" customHeight="1">
      <c r="D418" s="99" t="b">
        <v>0</v>
      </c>
      <c r="E418" s="94" t="s">
        <v>430</v>
      </c>
      <c r="F418" s="92" t="s">
        <v>400</v>
      </c>
      <c r="G418" s="92" t="s">
        <v>74</v>
      </c>
      <c r="H418" s="93">
        <v>73</v>
      </c>
      <c r="I418" s="93">
        <v>200</v>
      </c>
      <c r="J418" s="93">
        <v>31.28</v>
      </c>
      <c r="K418" s="93" t="s">
        <v>75</v>
      </c>
      <c r="L418" s="101">
        <v>336</v>
      </c>
      <c r="M418" s="101">
        <v>0</v>
      </c>
      <c r="N418" s="101">
        <v>1.6279408812290134E+19</v>
      </c>
    </row>
    <row r="419" spans="4:14" ht="15" customHeight="1">
      <c r="D419" s="99" t="b">
        <v>0</v>
      </c>
      <c r="E419" s="94" t="s">
        <v>431</v>
      </c>
      <c r="F419" s="92" t="s">
        <v>400</v>
      </c>
      <c r="G419" s="92" t="s">
        <v>74</v>
      </c>
      <c r="H419" s="93">
        <v>73</v>
      </c>
      <c r="I419" s="93">
        <v>181</v>
      </c>
      <c r="J419" s="93">
        <v>29.04</v>
      </c>
      <c r="K419" s="93" t="s">
        <v>75</v>
      </c>
      <c r="L419" s="101">
        <v>337</v>
      </c>
      <c r="M419" s="101">
        <v>0</v>
      </c>
      <c r="N419" s="101">
        <v>1.1225490740521822E+19</v>
      </c>
    </row>
    <row r="420" spans="4:14" ht="15" customHeight="1">
      <c r="D420" s="99" t="b">
        <v>0</v>
      </c>
      <c r="E420" s="94" t="s">
        <v>432</v>
      </c>
      <c r="F420" s="92" t="s">
        <v>433</v>
      </c>
      <c r="G420" s="92" t="s">
        <v>78</v>
      </c>
      <c r="H420" s="93">
        <v>71</v>
      </c>
      <c r="I420" s="93">
        <v>200</v>
      </c>
      <c r="J420" s="93">
        <v>32.950000000000003</v>
      </c>
      <c r="K420" s="93" t="s">
        <v>78</v>
      </c>
      <c r="L420" s="101">
        <v>338</v>
      </c>
      <c r="M420" s="101">
        <v>0</v>
      </c>
      <c r="N420" s="101">
        <v>9.9033139638012682E+18</v>
      </c>
    </row>
    <row r="421" spans="4:14" ht="15" customHeight="1">
      <c r="D421" s="99" t="b">
        <v>0</v>
      </c>
      <c r="E421" s="94" t="s">
        <v>434</v>
      </c>
      <c r="F421" s="92" t="s">
        <v>433</v>
      </c>
      <c r="G421" s="92" t="s">
        <v>78</v>
      </c>
      <c r="H421" s="93">
        <v>75</v>
      </c>
      <c r="I421" s="93">
        <v>210</v>
      </c>
      <c r="J421" s="93">
        <v>26.65</v>
      </c>
      <c r="K421" s="93" t="s">
        <v>78</v>
      </c>
      <c r="L421" s="101">
        <v>339</v>
      </c>
      <c r="M421" s="101">
        <v>0</v>
      </c>
      <c r="N421" s="101">
        <v>2.3918169938535941E+18</v>
      </c>
    </row>
    <row r="422" spans="4:14" ht="15" customHeight="1">
      <c r="D422" s="99" t="b">
        <v>0</v>
      </c>
      <c r="E422" s="94" t="s">
        <v>435</v>
      </c>
      <c r="F422" s="92" t="s">
        <v>433</v>
      </c>
      <c r="G422" s="92" t="s">
        <v>82</v>
      </c>
      <c r="H422" s="93">
        <v>77</v>
      </c>
      <c r="I422" s="93">
        <v>240</v>
      </c>
      <c r="J422" s="93">
        <v>27.5</v>
      </c>
      <c r="K422" s="93" t="s">
        <v>83</v>
      </c>
      <c r="L422" s="101">
        <v>340</v>
      </c>
      <c r="M422" s="101">
        <v>0</v>
      </c>
      <c r="N422" s="101">
        <v>1.0099082925892897E+19</v>
      </c>
    </row>
    <row r="423" spans="4:14" ht="15" customHeight="1">
      <c r="D423" s="99" t="b">
        <v>0</v>
      </c>
      <c r="E423" s="94" t="s">
        <v>436</v>
      </c>
      <c r="F423" s="92" t="s">
        <v>433</v>
      </c>
      <c r="G423" s="92" t="s">
        <v>82</v>
      </c>
      <c r="H423" s="93">
        <v>72</v>
      </c>
      <c r="I423" s="93">
        <v>185</v>
      </c>
      <c r="J423" s="93">
        <v>30.9</v>
      </c>
      <c r="K423" s="93" t="s">
        <v>83</v>
      </c>
      <c r="L423" s="101">
        <v>341</v>
      </c>
      <c r="M423" s="101">
        <v>0</v>
      </c>
      <c r="N423" s="101">
        <v>2.8403306282885171E+18</v>
      </c>
    </row>
    <row r="424" spans="4:14" ht="15" customHeight="1">
      <c r="D424" s="99" t="b">
        <v>0</v>
      </c>
      <c r="E424" s="94" t="s">
        <v>437</v>
      </c>
      <c r="F424" s="92" t="s">
        <v>433</v>
      </c>
      <c r="G424" s="92" t="s">
        <v>86</v>
      </c>
      <c r="H424" s="93">
        <v>69</v>
      </c>
      <c r="I424" s="93">
        <v>165</v>
      </c>
      <c r="J424" s="93">
        <v>29.09</v>
      </c>
      <c r="K424" s="93" t="s">
        <v>83</v>
      </c>
      <c r="L424" s="101">
        <v>342</v>
      </c>
      <c r="M424" s="101">
        <v>0</v>
      </c>
      <c r="N424" s="101">
        <v>1.1985522890539692E+19</v>
      </c>
    </row>
    <row r="425" spans="4:14" ht="15" customHeight="1">
      <c r="D425" s="99" t="b">
        <v>0</v>
      </c>
      <c r="E425" s="94" t="s">
        <v>438</v>
      </c>
      <c r="F425" s="92" t="s">
        <v>433</v>
      </c>
      <c r="G425" s="92" t="s">
        <v>86</v>
      </c>
      <c r="H425" s="93">
        <v>73</v>
      </c>
      <c r="I425" s="93">
        <v>190</v>
      </c>
      <c r="J425" s="93">
        <v>36.67</v>
      </c>
      <c r="K425" s="93" t="s">
        <v>83</v>
      </c>
      <c r="L425" s="101">
        <v>343</v>
      </c>
      <c r="M425" s="101">
        <v>0</v>
      </c>
      <c r="N425" s="101">
        <v>1.7148234679122749E+19</v>
      </c>
    </row>
    <row r="426" spans="4:14" ht="15" customHeight="1">
      <c r="D426" s="99" t="b">
        <v>0</v>
      </c>
      <c r="E426" s="94" t="s">
        <v>439</v>
      </c>
      <c r="F426" s="92" t="s">
        <v>433</v>
      </c>
      <c r="G426" s="92" t="s">
        <v>86</v>
      </c>
      <c r="H426" s="93">
        <v>74</v>
      </c>
      <c r="I426" s="93">
        <v>185</v>
      </c>
      <c r="J426" s="93">
        <v>23.44</v>
      </c>
      <c r="K426" s="93" t="s">
        <v>83</v>
      </c>
      <c r="L426" s="101">
        <v>344</v>
      </c>
      <c r="M426" s="101">
        <v>0</v>
      </c>
      <c r="N426" s="101">
        <v>1.0697773467303539E+19</v>
      </c>
    </row>
    <row r="427" spans="4:14" ht="15" customHeight="1">
      <c r="D427" s="99" t="b">
        <v>0</v>
      </c>
      <c r="E427" s="94" t="s">
        <v>440</v>
      </c>
      <c r="F427" s="92" t="s">
        <v>433</v>
      </c>
      <c r="G427" s="92" t="s">
        <v>88</v>
      </c>
      <c r="H427" s="93">
        <v>72</v>
      </c>
      <c r="I427" s="93">
        <v>175</v>
      </c>
      <c r="J427" s="93">
        <v>29.09</v>
      </c>
      <c r="K427" s="93" t="s">
        <v>83</v>
      </c>
      <c r="L427" s="101">
        <v>345</v>
      </c>
      <c r="M427" s="101">
        <v>0</v>
      </c>
      <c r="N427" s="101">
        <v>7.4021535724948408E+18</v>
      </c>
    </row>
    <row r="428" spans="4:14" ht="15" customHeight="1">
      <c r="D428" s="99" t="b">
        <v>0</v>
      </c>
      <c r="E428" s="94" t="s">
        <v>441</v>
      </c>
      <c r="F428" s="92" t="s">
        <v>433</v>
      </c>
      <c r="G428" s="92" t="s">
        <v>88</v>
      </c>
      <c r="H428" s="93">
        <v>70</v>
      </c>
      <c r="I428" s="93">
        <v>155</v>
      </c>
      <c r="J428" s="93">
        <v>22.89</v>
      </c>
      <c r="K428" s="93" t="s">
        <v>83</v>
      </c>
      <c r="L428" s="101">
        <v>346</v>
      </c>
      <c r="M428" s="101">
        <v>0</v>
      </c>
      <c r="N428" s="101">
        <v>6.050820452668116E+18</v>
      </c>
    </row>
    <row r="429" spans="4:14" ht="15" customHeight="1">
      <c r="D429" s="99" t="b">
        <v>0</v>
      </c>
      <c r="E429" s="94" t="s">
        <v>442</v>
      </c>
      <c r="F429" s="92" t="s">
        <v>433</v>
      </c>
      <c r="G429" s="92" t="s">
        <v>90</v>
      </c>
      <c r="H429" s="93">
        <v>75</v>
      </c>
      <c r="I429" s="93">
        <v>210</v>
      </c>
      <c r="J429" s="93">
        <v>25.48</v>
      </c>
      <c r="K429" s="93" t="s">
        <v>83</v>
      </c>
      <c r="L429" s="101">
        <v>347</v>
      </c>
      <c r="M429" s="101">
        <v>0</v>
      </c>
      <c r="N429" s="101">
        <v>9.3124754740860908E+18</v>
      </c>
    </row>
    <row r="430" spans="4:14" ht="15" customHeight="1">
      <c r="D430" s="99" t="b">
        <v>0</v>
      </c>
      <c r="E430" s="94" t="s">
        <v>443</v>
      </c>
      <c r="F430" s="92" t="s">
        <v>433</v>
      </c>
      <c r="G430" s="92" t="s">
        <v>93</v>
      </c>
      <c r="H430" s="93">
        <v>70</v>
      </c>
      <c r="I430" s="93">
        <v>170</v>
      </c>
      <c r="J430" s="93">
        <v>25.84</v>
      </c>
      <c r="K430" s="93" t="s">
        <v>93</v>
      </c>
      <c r="L430" s="101">
        <v>348</v>
      </c>
      <c r="M430" s="101">
        <v>0</v>
      </c>
      <c r="N430" s="101">
        <v>1.1086481379836799E+19</v>
      </c>
    </row>
    <row r="431" spans="4:14" ht="15" customHeight="1">
      <c r="D431" s="99" t="b">
        <v>0</v>
      </c>
      <c r="E431" s="94" t="s">
        <v>444</v>
      </c>
      <c r="F431" s="92" t="s">
        <v>433</v>
      </c>
      <c r="G431" s="92" t="s">
        <v>93</v>
      </c>
      <c r="H431" s="93">
        <v>72</v>
      </c>
      <c r="I431" s="93">
        <v>175</v>
      </c>
      <c r="J431" s="93">
        <v>27.2</v>
      </c>
      <c r="K431" s="93" t="s">
        <v>93</v>
      </c>
      <c r="L431" s="101">
        <v>349</v>
      </c>
      <c r="M431" s="101">
        <v>0</v>
      </c>
      <c r="N431" s="101">
        <v>7.261504594087721E+18</v>
      </c>
    </row>
    <row r="432" spans="4:14" ht="15" customHeight="1">
      <c r="D432" s="99" t="b">
        <v>0</v>
      </c>
      <c r="E432" s="94" t="s">
        <v>445</v>
      </c>
      <c r="F432" s="92" t="s">
        <v>433</v>
      </c>
      <c r="G432" s="92" t="s">
        <v>93</v>
      </c>
      <c r="H432" s="93">
        <v>72</v>
      </c>
      <c r="I432" s="93">
        <v>220</v>
      </c>
      <c r="J432" s="93">
        <v>25.22</v>
      </c>
      <c r="K432" s="93" t="s">
        <v>93</v>
      </c>
      <c r="L432" s="101">
        <v>350</v>
      </c>
      <c r="M432" s="101">
        <v>0</v>
      </c>
      <c r="N432" s="101">
        <v>1.3047601181972777E+19</v>
      </c>
    </row>
    <row r="433" spans="4:14" ht="15" customHeight="1">
      <c r="D433" s="99" t="b">
        <v>0</v>
      </c>
      <c r="E433" s="94" t="s">
        <v>446</v>
      </c>
      <c r="F433" s="92" t="s">
        <v>433</v>
      </c>
      <c r="G433" s="92" t="s">
        <v>93</v>
      </c>
      <c r="H433" s="93">
        <v>74</v>
      </c>
      <c r="I433" s="93">
        <v>210</v>
      </c>
      <c r="J433" s="93">
        <v>24.67</v>
      </c>
      <c r="K433" s="93" t="s">
        <v>93</v>
      </c>
      <c r="L433" s="101">
        <v>351</v>
      </c>
      <c r="M433" s="101">
        <v>0</v>
      </c>
      <c r="N433" s="101">
        <v>5.47510857424774E+16</v>
      </c>
    </row>
    <row r="434" spans="4:14" ht="15" customHeight="1">
      <c r="D434" s="99" t="b">
        <v>0</v>
      </c>
      <c r="E434" s="94" t="s">
        <v>447</v>
      </c>
      <c r="F434" s="92" t="s">
        <v>433</v>
      </c>
      <c r="G434" s="92" t="s">
        <v>93</v>
      </c>
      <c r="H434" s="93">
        <v>73</v>
      </c>
      <c r="I434" s="93">
        <v>205</v>
      </c>
      <c r="J434" s="93">
        <v>39.25</v>
      </c>
      <c r="K434" s="93" t="s">
        <v>93</v>
      </c>
      <c r="L434" s="101">
        <v>352</v>
      </c>
      <c r="M434" s="101">
        <v>0</v>
      </c>
      <c r="N434" s="101">
        <v>8.675758935363966E+18</v>
      </c>
    </row>
    <row r="435" spans="4:14" ht="15" customHeight="1">
      <c r="D435" s="99" t="b">
        <v>0</v>
      </c>
      <c r="E435" s="94" t="s">
        <v>448</v>
      </c>
      <c r="F435" s="92" t="s">
        <v>433</v>
      </c>
      <c r="G435" s="92" t="s">
        <v>93</v>
      </c>
      <c r="H435" s="93">
        <v>74</v>
      </c>
      <c r="I435" s="93">
        <v>200</v>
      </c>
      <c r="J435" s="93">
        <v>32.17</v>
      </c>
      <c r="K435" s="93" t="s">
        <v>93</v>
      </c>
      <c r="L435" s="101">
        <v>353</v>
      </c>
      <c r="M435" s="101">
        <v>0</v>
      </c>
      <c r="N435" s="101">
        <v>5.8823466892815759E+18</v>
      </c>
    </row>
    <row r="436" spans="4:14" ht="15" customHeight="1">
      <c r="D436" s="99" t="b">
        <v>0</v>
      </c>
      <c r="E436" s="94" t="s">
        <v>449</v>
      </c>
      <c r="F436" s="92" t="s">
        <v>433</v>
      </c>
      <c r="G436" s="92" t="s">
        <v>101</v>
      </c>
      <c r="H436" s="93">
        <v>76</v>
      </c>
      <c r="I436" s="93">
        <v>205</v>
      </c>
      <c r="J436" s="93">
        <v>32.770000000000003</v>
      </c>
      <c r="K436" s="93" t="s">
        <v>75</v>
      </c>
      <c r="L436" s="101">
        <v>354</v>
      </c>
      <c r="M436" s="101">
        <v>0</v>
      </c>
      <c r="N436" s="101">
        <v>1.4512734896136454E+19</v>
      </c>
    </row>
    <row r="437" spans="4:14" ht="15" customHeight="1">
      <c r="D437" s="99" t="b">
        <v>0</v>
      </c>
      <c r="E437" s="94" t="s">
        <v>450</v>
      </c>
      <c r="F437" s="92" t="s">
        <v>433</v>
      </c>
      <c r="G437" s="92" t="s">
        <v>101</v>
      </c>
      <c r="H437" s="93">
        <v>75</v>
      </c>
      <c r="I437" s="93">
        <v>195</v>
      </c>
      <c r="J437" s="93">
        <v>29.83</v>
      </c>
      <c r="K437" s="93" t="s">
        <v>75</v>
      </c>
      <c r="L437" s="101">
        <v>355</v>
      </c>
      <c r="M437" s="101">
        <v>0</v>
      </c>
      <c r="N437" s="101">
        <v>4.6598746225025956E+18</v>
      </c>
    </row>
    <row r="438" spans="4:14" ht="15" customHeight="1">
      <c r="D438" s="99" t="b">
        <v>0</v>
      </c>
      <c r="E438" s="94" t="s">
        <v>451</v>
      </c>
      <c r="F438" s="92" t="s">
        <v>433</v>
      </c>
      <c r="G438" s="92" t="s">
        <v>101</v>
      </c>
      <c r="H438" s="93">
        <v>80</v>
      </c>
      <c r="I438" s="93">
        <v>240</v>
      </c>
      <c r="J438" s="93">
        <v>31.02</v>
      </c>
      <c r="K438" s="93" t="s">
        <v>75</v>
      </c>
      <c r="L438" s="101">
        <v>356</v>
      </c>
      <c r="M438" s="101">
        <v>0</v>
      </c>
      <c r="N438" s="101">
        <v>1.4960775785252975E+19</v>
      </c>
    </row>
    <row r="439" spans="4:14" ht="15" customHeight="1">
      <c r="D439" s="99" t="b">
        <v>0</v>
      </c>
      <c r="E439" s="94" t="s">
        <v>452</v>
      </c>
      <c r="F439" s="92" t="s">
        <v>433</v>
      </c>
      <c r="G439" s="92" t="s">
        <v>101</v>
      </c>
      <c r="H439" s="93">
        <v>72</v>
      </c>
      <c r="I439" s="93">
        <v>150</v>
      </c>
      <c r="J439" s="93">
        <v>29.73</v>
      </c>
      <c r="K439" s="93" t="s">
        <v>75</v>
      </c>
      <c r="L439" s="101">
        <v>357</v>
      </c>
      <c r="M439" s="101">
        <v>0</v>
      </c>
      <c r="N439" s="101">
        <v>7.3939482502083492E+18</v>
      </c>
    </row>
    <row r="440" spans="4:14" ht="15" customHeight="1">
      <c r="D440" s="99" t="b">
        <v>0</v>
      </c>
      <c r="E440" s="94" t="s">
        <v>453</v>
      </c>
      <c r="F440" s="92" t="s">
        <v>433</v>
      </c>
      <c r="G440" s="92" t="s">
        <v>101</v>
      </c>
      <c r="H440" s="93">
        <v>75</v>
      </c>
      <c r="I440" s="93">
        <v>200</v>
      </c>
      <c r="J440" s="93">
        <v>28.48</v>
      </c>
      <c r="K440" s="93" t="s">
        <v>75</v>
      </c>
      <c r="L440" s="101">
        <v>358</v>
      </c>
      <c r="M440" s="101">
        <v>0</v>
      </c>
      <c r="N440" s="101">
        <v>6.9901627745234678E+18</v>
      </c>
    </row>
    <row r="441" spans="4:14" ht="15" customHeight="1">
      <c r="D441" s="99" t="b">
        <v>0</v>
      </c>
      <c r="E441" s="94" t="s">
        <v>454</v>
      </c>
      <c r="F441" s="92" t="s">
        <v>433</v>
      </c>
      <c r="G441" s="92" t="s">
        <v>101</v>
      </c>
      <c r="H441" s="93">
        <v>73</v>
      </c>
      <c r="I441" s="93">
        <v>215</v>
      </c>
      <c r="J441" s="93">
        <v>26.51</v>
      </c>
      <c r="K441" s="93" t="s">
        <v>75</v>
      </c>
      <c r="L441" s="101">
        <v>359</v>
      </c>
      <c r="M441" s="101">
        <v>0</v>
      </c>
      <c r="N441" s="101">
        <v>1.0718984630023608E+19</v>
      </c>
    </row>
    <row r="442" spans="4:14" ht="15" customHeight="1">
      <c r="D442" s="99" t="b">
        <v>0</v>
      </c>
      <c r="E442" s="94" t="s">
        <v>455</v>
      </c>
      <c r="F442" s="92" t="s">
        <v>433</v>
      </c>
      <c r="G442" s="92" t="s">
        <v>101</v>
      </c>
      <c r="H442" s="93">
        <v>74</v>
      </c>
      <c r="I442" s="93">
        <v>202</v>
      </c>
      <c r="J442" s="93">
        <v>26</v>
      </c>
      <c r="K442" s="93" t="s">
        <v>75</v>
      </c>
      <c r="L442" s="101">
        <v>360</v>
      </c>
      <c r="M442" s="101">
        <v>0</v>
      </c>
      <c r="N442" s="101">
        <v>1.5557697438183645E+19</v>
      </c>
    </row>
    <row r="443" spans="4:14" ht="15" customHeight="1">
      <c r="D443" s="99" t="b">
        <v>0</v>
      </c>
      <c r="E443" s="94" t="s">
        <v>456</v>
      </c>
      <c r="F443" s="92" t="s">
        <v>433</v>
      </c>
      <c r="G443" s="92" t="s">
        <v>101</v>
      </c>
      <c r="H443" s="93">
        <v>74</v>
      </c>
      <c r="I443" s="93">
        <v>200</v>
      </c>
      <c r="J443" s="93">
        <v>23.36</v>
      </c>
      <c r="K443" s="93" t="s">
        <v>75</v>
      </c>
      <c r="L443" s="101">
        <v>361</v>
      </c>
      <c r="M443" s="101">
        <v>0</v>
      </c>
      <c r="N443" s="101">
        <v>1.7845999396856678E+19</v>
      </c>
    </row>
    <row r="444" spans="4:14" ht="15" customHeight="1">
      <c r="D444" s="99" t="b">
        <v>0</v>
      </c>
      <c r="E444" s="94" t="s">
        <v>457</v>
      </c>
      <c r="F444" s="92" t="s">
        <v>433</v>
      </c>
      <c r="G444" s="92" t="s">
        <v>101</v>
      </c>
      <c r="H444" s="93">
        <v>73</v>
      </c>
      <c r="I444" s="93">
        <v>190</v>
      </c>
      <c r="J444" s="93">
        <v>25.9</v>
      </c>
      <c r="K444" s="93" t="s">
        <v>75</v>
      </c>
      <c r="L444" s="101">
        <v>362</v>
      </c>
      <c r="M444" s="101">
        <v>0</v>
      </c>
      <c r="N444" s="101">
        <v>7.8297568157446892E+18</v>
      </c>
    </row>
    <row r="445" spans="4:14" ht="15" customHeight="1">
      <c r="D445" s="99" t="b">
        <v>0</v>
      </c>
      <c r="E445" s="94" t="s">
        <v>458</v>
      </c>
      <c r="F445" s="92" t="s">
        <v>433</v>
      </c>
      <c r="G445" s="92" t="s">
        <v>74</v>
      </c>
      <c r="H445" s="93">
        <v>75</v>
      </c>
      <c r="I445" s="93">
        <v>205</v>
      </c>
      <c r="J445" s="93">
        <v>28.5</v>
      </c>
      <c r="K445" s="93" t="s">
        <v>75</v>
      </c>
      <c r="L445" s="101">
        <v>363</v>
      </c>
      <c r="M445" s="101">
        <v>0</v>
      </c>
      <c r="N445" s="101">
        <v>5.5212908258753167E+18</v>
      </c>
    </row>
    <row r="446" spans="4:14" ht="15" customHeight="1">
      <c r="D446" s="99" t="b">
        <v>0</v>
      </c>
      <c r="E446" s="94" t="s">
        <v>459</v>
      </c>
      <c r="F446" s="92" t="s">
        <v>433</v>
      </c>
      <c r="G446" s="92" t="s">
        <v>74</v>
      </c>
      <c r="H446" s="93">
        <v>75</v>
      </c>
      <c r="I446" s="93">
        <v>190</v>
      </c>
      <c r="J446" s="93">
        <v>25.62</v>
      </c>
      <c r="K446" s="93" t="s">
        <v>75</v>
      </c>
      <c r="L446" s="101">
        <v>364</v>
      </c>
      <c r="M446" s="101">
        <v>0</v>
      </c>
      <c r="N446" s="101">
        <v>1.5523686391875123E+19</v>
      </c>
    </row>
    <row r="447" spans="4:14" ht="15" customHeight="1">
      <c r="D447" s="99" t="b">
        <v>0</v>
      </c>
      <c r="E447" s="94" t="s">
        <v>460</v>
      </c>
      <c r="F447" s="92" t="s">
        <v>433</v>
      </c>
      <c r="G447" s="92" t="s">
        <v>74</v>
      </c>
      <c r="H447" s="93">
        <v>71</v>
      </c>
      <c r="I447" s="93">
        <v>160</v>
      </c>
      <c r="J447" s="93">
        <v>30.94</v>
      </c>
      <c r="K447" s="93" t="s">
        <v>75</v>
      </c>
      <c r="L447" s="101">
        <v>365</v>
      </c>
      <c r="M447" s="101">
        <v>0</v>
      </c>
      <c r="N447" s="101">
        <v>9.8709167900700713E+18</v>
      </c>
    </row>
    <row r="448" spans="4:14" ht="15" customHeight="1">
      <c r="D448" s="99" t="b">
        <v>0</v>
      </c>
      <c r="E448" s="94" t="s">
        <v>461</v>
      </c>
      <c r="F448" s="92" t="s">
        <v>433</v>
      </c>
      <c r="G448" s="92" t="s">
        <v>74</v>
      </c>
      <c r="H448" s="93">
        <v>73</v>
      </c>
      <c r="I448" s="93">
        <v>215</v>
      </c>
      <c r="J448" s="93">
        <v>26.59</v>
      </c>
      <c r="K448" s="93" t="s">
        <v>75</v>
      </c>
      <c r="L448" s="101">
        <v>366</v>
      </c>
      <c r="M448" s="101">
        <v>0</v>
      </c>
      <c r="N448" s="101">
        <v>1.6024916512413651E+19</v>
      </c>
    </row>
    <row r="449" spans="4:14" ht="15" customHeight="1">
      <c r="D449" s="99" t="b">
        <v>0</v>
      </c>
      <c r="E449" s="94" t="s">
        <v>462</v>
      </c>
      <c r="F449" s="92" t="s">
        <v>433</v>
      </c>
      <c r="G449" s="92" t="s">
        <v>74</v>
      </c>
      <c r="H449" s="93">
        <v>75</v>
      </c>
      <c r="I449" s="93">
        <v>185</v>
      </c>
      <c r="J449" s="93">
        <v>22.78</v>
      </c>
      <c r="K449" s="93" t="s">
        <v>75</v>
      </c>
      <c r="L449" s="101">
        <v>367</v>
      </c>
      <c r="M449" s="101">
        <v>0</v>
      </c>
      <c r="N449" s="101">
        <v>1.4689638607975045E+19</v>
      </c>
    </row>
    <row r="450" spans="4:14" ht="15" customHeight="1">
      <c r="D450" s="99" t="b">
        <v>0</v>
      </c>
      <c r="E450" s="94" t="s">
        <v>463</v>
      </c>
      <c r="F450" s="92" t="s">
        <v>433</v>
      </c>
      <c r="G450" s="92" t="s">
        <v>74</v>
      </c>
      <c r="H450" s="93">
        <v>74</v>
      </c>
      <c r="I450" s="93">
        <v>200</v>
      </c>
      <c r="J450" s="93">
        <v>32.26</v>
      </c>
      <c r="K450" s="93" t="s">
        <v>75</v>
      </c>
      <c r="L450" s="101">
        <v>368</v>
      </c>
      <c r="M450" s="101">
        <v>0</v>
      </c>
      <c r="N450" s="101">
        <v>8.0509202801269402E+18</v>
      </c>
    </row>
    <row r="451" spans="4:14" ht="15" customHeight="1">
      <c r="D451" s="99" t="b">
        <v>0</v>
      </c>
      <c r="E451" s="94" t="s">
        <v>464</v>
      </c>
      <c r="F451" s="92" t="s">
        <v>433</v>
      </c>
      <c r="G451" s="92" t="s">
        <v>74</v>
      </c>
      <c r="H451" s="93">
        <v>74</v>
      </c>
      <c r="I451" s="93">
        <v>190</v>
      </c>
      <c r="J451" s="93">
        <v>30.35</v>
      </c>
      <c r="K451" s="93" t="s">
        <v>75</v>
      </c>
      <c r="L451" s="101">
        <v>369</v>
      </c>
      <c r="M451" s="101">
        <v>0</v>
      </c>
      <c r="N451" s="101">
        <v>7.1151107289041807E+18</v>
      </c>
    </row>
    <row r="452" spans="4:14" ht="15" customHeight="1">
      <c r="D452" s="99" t="b">
        <v>0</v>
      </c>
      <c r="E452" s="94" t="s">
        <v>465</v>
      </c>
      <c r="F452" s="92" t="s">
        <v>433</v>
      </c>
      <c r="G452" s="92" t="s">
        <v>74</v>
      </c>
      <c r="H452" s="93">
        <v>72</v>
      </c>
      <c r="I452" s="93">
        <v>210</v>
      </c>
      <c r="J452" s="93">
        <v>33.26</v>
      </c>
      <c r="K452" s="93" t="s">
        <v>75</v>
      </c>
      <c r="L452" s="101">
        <v>370</v>
      </c>
      <c r="M452" s="101">
        <v>0</v>
      </c>
      <c r="N452" s="101">
        <v>1.8342310395520555E+19</v>
      </c>
    </row>
    <row r="453" spans="4:14" ht="15" customHeight="1">
      <c r="D453" s="99" t="b">
        <v>0</v>
      </c>
      <c r="E453" s="94" t="s">
        <v>466</v>
      </c>
      <c r="F453" s="92" t="s">
        <v>433</v>
      </c>
      <c r="G453" s="92" t="s">
        <v>74</v>
      </c>
      <c r="H453" s="93">
        <v>74</v>
      </c>
      <c r="I453" s="93">
        <v>185</v>
      </c>
      <c r="J453" s="93">
        <v>32.35</v>
      </c>
      <c r="K453" s="93" t="s">
        <v>75</v>
      </c>
      <c r="L453" s="101">
        <v>371</v>
      </c>
      <c r="M453" s="101">
        <v>0</v>
      </c>
      <c r="N453" s="101">
        <v>5.3021533907471354E+17</v>
      </c>
    </row>
    <row r="454" spans="4:14" ht="15" customHeight="1">
      <c r="D454" s="99" t="b">
        <v>0</v>
      </c>
      <c r="E454" s="94" t="s">
        <v>467</v>
      </c>
      <c r="F454" s="92" t="s">
        <v>468</v>
      </c>
      <c r="G454" s="92" t="s">
        <v>78</v>
      </c>
      <c r="H454" s="93">
        <v>74</v>
      </c>
      <c r="I454" s="93">
        <v>220</v>
      </c>
      <c r="J454" s="93">
        <v>27.3</v>
      </c>
      <c r="K454" s="93" t="s">
        <v>78</v>
      </c>
      <c r="L454" s="101">
        <v>372</v>
      </c>
      <c r="M454" s="101">
        <v>0</v>
      </c>
      <c r="N454" s="101">
        <v>1.1357120036580469E+19</v>
      </c>
    </row>
    <row r="455" spans="4:14" ht="15" customHeight="1">
      <c r="D455" s="99" t="b">
        <v>0</v>
      </c>
      <c r="E455" s="94" t="s">
        <v>469</v>
      </c>
      <c r="F455" s="92" t="s">
        <v>468</v>
      </c>
      <c r="G455" s="92" t="s">
        <v>78</v>
      </c>
      <c r="H455" s="93">
        <v>74</v>
      </c>
      <c r="I455" s="93">
        <v>190</v>
      </c>
      <c r="J455" s="93">
        <v>32.08</v>
      </c>
      <c r="K455" s="93" t="s">
        <v>78</v>
      </c>
      <c r="L455" s="101">
        <v>373</v>
      </c>
      <c r="M455" s="101">
        <v>0</v>
      </c>
      <c r="N455" s="101">
        <v>5.2984087326820833E+18</v>
      </c>
    </row>
    <row r="456" spans="4:14" ht="15" customHeight="1">
      <c r="D456" s="99" t="b">
        <v>0</v>
      </c>
      <c r="E456" s="94" t="s">
        <v>470</v>
      </c>
      <c r="F456" s="92" t="s">
        <v>468</v>
      </c>
      <c r="G456" s="92" t="s">
        <v>78</v>
      </c>
      <c r="H456" s="93">
        <v>73</v>
      </c>
      <c r="I456" s="93">
        <v>202</v>
      </c>
      <c r="J456" s="93">
        <v>25.25</v>
      </c>
      <c r="K456" s="93" t="s">
        <v>78</v>
      </c>
      <c r="L456" s="101">
        <v>374</v>
      </c>
      <c r="M456" s="101">
        <v>0</v>
      </c>
      <c r="N456" s="101">
        <v>5.9913609755381873E+18</v>
      </c>
    </row>
    <row r="457" spans="4:14" ht="15" customHeight="1">
      <c r="D457" s="99" t="b">
        <v>0</v>
      </c>
      <c r="E457" s="94" t="s">
        <v>471</v>
      </c>
      <c r="F457" s="92" t="s">
        <v>468</v>
      </c>
      <c r="G457" s="92" t="s">
        <v>78</v>
      </c>
      <c r="H457" s="93">
        <v>76</v>
      </c>
      <c r="I457" s="93">
        <v>205</v>
      </c>
      <c r="J457" s="93">
        <v>25.03</v>
      </c>
      <c r="K457" s="93" t="s">
        <v>78</v>
      </c>
      <c r="L457" s="101">
        <v>375</v>
      </c>
      <c r="M457" s="101">
        <v>0</v>
      </c>
      <c r="N457" s="101">
        <v>1.4347895609350711E+19</v>
      </c>
    </row>
    <row r="458" spans="4:14" ht="15" customHeight="1">
      <c r="D458" s="99" t="b">
        <v>0</v>
      </c>
      <c r="E458" s="94" t="s">
        <v>472</v>
      </c>
      <c r="F458" s="92" t="s">
        <v>468</v>
      </c>
      <c r="G458" s="92" t="s">
        <v>82</v>
      </c>
      <c r="H458" s="93">
        <v>75</v>
      </c>
      <c r="I458" s="93">
        <v>220</v>
      </c>
      <c r="J458" s="93">
        <v>26.89</v>
      </c>
      <c r="K458" s="93" t="s">
        <v>83</v>
      </c>
      <c r="L458" s="101">
        <v>376</v>
      </c>
      <c r="M458" s="101">
        <v>0</v>
      </c>
      <c r="N458" s="101">
        <v>8.7195810306865623E+18</v>
      </c>
    </row>
    <row r="459" spans="4:14" ht="15" customHeight="1">
      <c r="D459" s="99" t="b">
        <v>0</v>
      </c>
      <c r="E459" s="94" t="s">
        <v>473</v>
      </c>
      <c r="F459" s="92" t="s">
        <v>468</v>
      </c>
      <c r="G459" s="92" t="s">
        <v>86</v>
      </c>
      <c r="H459" s="93">
        <v>72</v>
      </c>
      <c r="I459" s="93">
        <v>175</v>
      </c>
      <c r="J459" s="93">
        <v>24.69</v>
      </c>
      <c r="K459" s="93" t="s">
        <v>83</v>
      </c>
      <c r="L459" s="101">
        <v>377</v>
      </c>
      <c r="M459" s="101">
        <v>0</v>
      </c>
      <c r="N459" s="101">
        <v>3.2991913263546609E+18</v>
      </c>
    </row>
    <row r="460" spans="4:14" ht="15" customHeight="1">
      <c r="D460" s="99" t="b">
        <v>0</v>
      </c>
      <c r="E460" s="94" t="s">
        <v>474</v>
      </c>
      <c r="F460" s="92" t="s">
        <v>468</v>
      </c>
      <c r="G460" s="92" t="s">
        <v>88</v>
      </c>
      <c r="H460" s="93">
        <v>73</v>
      </c>
      <c r="I460" s="93">
        <v>160</v>
      </c>
      <c r="J460" s="93">
        <v>22.44</v>
      </c>
      <c r="K460" s="93" t="s">
        <v>83</v>
      </c>
      <c r="L460" s="101">
        <v>378</v>
      </c>
      <c r="M460" s="101">
        <v>0</v>
      </c>
      <c r="N460" s="101">
        <v>8.3141036687625912E+18</v>
      </c>
    </row>
    <row r="461" spans="4:14" ht="15" customHeight="1">
      <c r="D461" s="99" t="b">
        <v>0</v>
      </c>
      <c r="E461" s="94" t="s">
        <v>475</v>
      </c>
      <c r="F461" s="92" t="s">
        <v>468</v>
      </c>
      <c r="G461" s="92" t="s">
        <v>88</v>
      </c>
      <c r="H461" s="93">
        <v>73</v>
      </c>
      <c r="I461" s="93">
        <v>190</v>
      </c>
      <c r="J461" s="93">
        <v>30.36</v>
      </c>
      <c r="K461" s="93" t="s">
        <v>83</v>
      </c>
      <c r="L461" s="101">
        <v>379</v>
      </c>
      <c r="M461" s="101">
        <v>0</v>
      </c>
      <c r="N461" s="101">
        <v>1.7053048062111594E+19</v>
      </c>
    </row>
    <row r="462" spans="4:14" ht="15" customHeight="1">
      <c r="D462" s="99" t="b">
        <v>0</v>
      </c>
      <c r="E462" s="94" t="s">
        <v>476</v>
      </c>
      <c r="F462" s="92" t="s">
        <v>468</v>
      </c>
      <c r="G462" s="92" t="s">
        <v>90</v>
      </c>
      <c r="H462" s="93">
        <v>73</v>
      </c>
      <c r="I462" s="93">
        <v>200</v>
      </c>
      <c r="J462" s="93">
        <v>26.27</v>
      </c>
      <c r="K462" s="93" t="s">
        <v>83</v>
      </c>
      <c r="L462" s="101">
        <v>380</v>
      </c>
      <c r="M462" s="101">
        <v>0</v>
      </c>
      <c r="N462" s="101">
        <v>8.7578602022134538E+18</v>
      </c>
    </row>
    <row r="463" spans="4:14" ht="15" customHeight="1">
      <c r="D463" s="99" t="b">
        <v>0</v>
      </c>
      <c r="E463" s="94" t="s">
        <v>477</v>
      </c>
      <c r="F463" s="92" t="s">
        <v>468</v>
      </c>
      <c r="G463" s="92" t="s">
        <v>93</v>
      </c>
      <c r="H463" s="93">
        <v>72</v>
      </c>
      <c r="I463" s="93">
        <v>229</v>
      </c>
      <c r="J463" s="93">
        <v>29.5</v>
      </c>
      <c r="K463" s="93" t="s">
        <v>93</v>
      </c>
      <c r="L463" s="101">
        <v>381</v>
      </c>
      <c r="M463" s="101">
        <v>0</v>
      </c>
      <c r="N463" s="101">
        <v>6.5368547027800842E+18</v>
      </c>
    </row>
    <row r="464" spans="4:14" ht="15" customHeight="1">
      <c r="D464" s="99" t="b">
        <v>0</v>
      </c>
      <c r="E464" s="94" t="s">
        <v>478</v>
      </c>
      <c r="F464" s="92" t="s">
        <v>468</v>
      </c>
      <c r="G464" s="92" t="s">
        <v>93</v>
      </c>
      <c r="H464" s="93">
        <v>72</v>
      </c>
      <c r="I464" s="93">
        <v>206</v>
      </c>
      <c r="J464" s="93">
        <v>29.75</v>
      </c>
      <c r="K464" s="93" t="s">
        <v>93</v>
      </c>
      <c r="L464" s="101">
        <v>382</v>
      </c>
      <c r="M464" s="101">
        <v>0</v>
      </c>
      <c r="N464" s="101">
        <v>1.1968502035720724E+19</v>
      </c>
    </row>
    <row r="465" spans="4:14" ht="15" customHeight="1">
      <c r="D465" s="99" t="b">
        <v>0</v>
      </c>
      <c r="E465" s="94" t="s">
        <v>479</v>
      </c>
      <c r="F465" s="92" t="s">
        <v>468</v>
      </c>
      <c r="G465" s="92" t="s">
        <v>93</v>
      </c>
      <c r="H465" s="93">
        <v>72</v>
      </c>
      <c r="I465" s="93">
        <v>220</v>
      </c>
      <c r="J465" s="93">
        <v>38.299999999999997</v>
      </c>
      <c r="K465" s="93" t="s">
        <v>93</v>
      </c>
      <c r="L465" s="101">
        <v>383</v>
      </c>
      <c r="M465" s="101">
        <v>0</v>
      </c>
      <c r="N465" s="101">
        <v>8.6821211694836101E+18</v>
      </c>
    </row>
    <row r="466" spans="4:14" ht="15" customHeight="1">
      <c r="D466" s="99" t="b">
        <v>0</v>
      </c>
      <c r="E466" s="94" t="s">
        <v>480</v>
      </c>
      <c r="F466" s="92" t="s">
        <v>468</v>
      </c>
      <c r="G466" s="92" t="s">
        <v>93</v>
      </c>
      <c r="H466" s="93">
        <v>72</v>
      </c>
      <c r="I466" s="93">
        <v>180</v>
      </c>
      <c r="J466" s="93">
        <v>39.75</v>
      </c>
      <c r="K466" s="93" t="s">
        <v>93</v>
      </c>
      <c r="L466" s="101">
        <v>384</v>
      </c>
      <c r="M466" s="101">
        <v>0</v>
      </c>
      <c r="N466" s="101">
        <v>2.4111153109485251E+18</v>
      </c>
    </row>
    <row r="467" spans="4:14" ht="15" customHeight="1">
      <c r="D467" s="99" t="b">
        <v>0</v>
      </c>
      <c r="E467" s="94" t="s">
        <v>481</v>
      </c>
      <c r="F467" s="92" t="s">
        <v>468</v>
      </c>
      <c r="G467" s="92" t="s">
        <v>93</v>
      </c>
      <c r="H467" s="93">
        <v>71</v>
      </c>
      <c r="I467" s="93">
        <v>195</v>
      </c>
      <c r="J467" s="93">
        <v>32.840000000000003</v>
      </c>
      <c r="K467" s="93" t="s">
        <v>93</v>
      </c>
      <c r="L467" s="101">
        <v>385</v>
      </c>
      <c r="M467" s="101">
        <v>0</v>
      </c>
      <c r="N467" s="101">
        <v>4.0371401222717E+18</v>
      </c>
    </row>
    <row r="468" spans="4:14" ht="15" customHeight="1">
      <c r="D468" s="99" t="b">
        <v>0</v>
      </c>
      <c r="E468" s="94" t="s">
        <v>482</v>
      </c>
      <c r="F468" s="92" t="s">
        <v>468</v>
      </c>
      <c r="G468" s="92" t="s">
        <v>93</v>
      </c>
      <c r="H468" s="93">
        <v>75</v>
      </c>
      <c r="I468" s="93">
        <v>175</v>
      </c>
      <c r="J468" s="93">
        <v>26.66</v>
      </c>
      <c r="K468" s="93" t="s">
        <v>93</v>
      </c>
      <c r="L468" s="101">
        <v>386</v>
      </c>
      <c r="M468" s="101">
        <v>0</v>
      </c>
      <c r="N468" s="101">
        <v>6.817356689432276E+18</v>
      </c>
    </row>
    <row r="469" spans="4:14" ht="15" customHeight="1">
      <c r="D469" s="99" t="b">
        <v>0</v>
      </c>
      <c r="E469" s="94" t="s">
        <v>483</v>
      </c>
      <c r="F469" s="92" t="s">
        <v>468</v>
      </c>
      <c r="G469" s="92" t="s">
        <v>101</v>
      </c>
      <c r="H469" s="93">
        <v>75</v>
      </c>
      <c r="I469" s="93">
        <v>188</v>
      </c>
      <c r="J469" s="93">
        <v>24.94</v>
      </c>
      <c r="K469" s="93" t="s">
        <v>75</v>
      </c>
      <c r="L469" s="101">
        <v>387</v>
      </c>
      <c r="M469" s="101">
        <v>0</v>
      </c>
      <c r="N469" s="101">
        <v>7.0243980528392622E+18</v>
      </c>
    </row>
    <row r="470" spans="4:14" ht="15" customHeight="1">
      <c r="D470" s="99" t="b">
        <v>0</v>
      </c>
      <c r="E470" s="94" t="s">
        <v>484</v>
      </c>
      <c r="F470" s="92" t="s">
        <v>468</v>
      </c>
      <c r="G470" s="92" t="s">
        <v>101</v>
      </c>
      <c r="H470" s="93">
        <v>74</v>
      </c>
      <c r="I470" s="93">
        <v>230</v>
      </c>
      <c r="J470" s="93">
        <v>27.76</v>
      </c>
      <c r="K470" s="93" t="s">
        <v>75</v>
      </c>
      <c r="L470" s="101">
        <v>388</v>
      </c>
      <c r="M470" s="101">
        <v>0</v>
      </c>
      <c r="N470" s="101">
        <v>1.4885758003674178E+19</v>
      </c>
    </row>
    <row r="471" spans="4:14" ht="15" customHeight="1">
      <c r="D471" s="99" t="b">
        <v>0</v>
      </c>
      <c r="E471" s="94" t="s">
        <v>485</v>
      </c>
      <c r="F471" s="92" t="s">
        <v>468</v>
      </c>
      <c r="G471" s="92" t="s">
        <v>101</v>
      </c>
      <c r="H471" s="93">
        <v>73</v>
      </c>
      <c r="I471" s="93">
        <v>190</v>
      </c>
      <c r="J471" s="93">
        <v>23.66</v>
      </c>
      <c r="K471" s="93" t="s">
        <v>75</v>
      </c>
      <c r="L471" s="101">
        <v>389</v>
      </c>
      <c r="M471" s="101">
        <v>0</v>
      </c>
      <c r="N471" s="101">
        <v>1.5206380582020661E+19</v>
      </c>
    </row>
    <row r="472" spans="4:14" ht="15" customHeight="1">
      <c r="D472" s="99" t="b">
        <v>0</v>
      </c>
      <c r="E472" s="94" t="s">
        <v>486</v>
      </c>
      <c r="F472" s="92" t="s">
        <v>468</v>
      </c>
      <c r="G472" s="92" t="s">
        <v>101</v>
      </c>
      <c r="H472" s="93">
        <v>75</v>
      </c>
      <c r="I472" s="93">
        <v>200</v>
      </c>
      <c r="J472" s="93">
        <v>24.96</v>
      </c>
      <c r="K472" s="93" t="s">
        <v>75</v>
      </c>
      <c r="L472" s="101">
        <v>390</v>
      </c>
      <c r="M472" s="101">
        <v>0</v>
      </c>
      <c r="N472" s="101">
        <v>1.7847208815119948E+19</v>
      </c>
    </row>
    <row r="473" spans="4:14" ht="15" customHeight="1">
      <c r="D473" s="99" t="b">
        <v>0</v>
      </c>
      <c r="E473" s="94" t="s">
        <v>487</v>
      </c>
      <c r="F473" s="92" t="s">
        <v>468</v>
      </c>
      <c r="G473" s="92" t="s">
        <v>101</v>
      </c>
      <c r="H473" s="93">
        <v>79</v>
      </c>
      <c r="I473" s="93">
        <v>190</v>
      </c>
      <c r="J473" s="93">
        <v>23.65</v>
      </c>
      <c r="K473" s="93" t="s">
        <v>75</v>
      </c>
      <c r="L473" s="101">
        <v>391</v>
      </c>
      <c r="M473" s="101">
        <v>0</v>
      </c>
      <c r="N473" s="101">
        <v>1.3148716222309042E+19</v>
      </c>
    </row>
    <row r="474" spans="4:14" ht="15" customHeight="1">
      <c r="D474" s="99" t="b">
        <v>0</v>
      </c>
      <c r="E474" s="94" t="s">
        <v>488</v>
      </c>
      <c r="F474" s="92" t="s">
        <v>468</v>
      </c>
      <c r="G474" s="92" t="s">
        <v>101</v>
      </c>
      <c r="H474" s="93">
        <v>74</v>
      </c>
      <c r="I474" s="93">
        <v>219</v>
      </c>
      <c r="J474" s="93">
        <v>29.42</v>
      </c>
      <c r="K474" s="93" t="s">
        <v>75</v>
      </c>
      <c r="L474" s="101">
        <v>392</v>
      </c>
      <c r="M474" s="101">
        <v>0</v>
      </c>
      <c r="N474" s="101">
        <v>1.1144203254964476E+19</v>
      </c>
    </row>
    <row r="475" spans="4:14" ht="15" customHeight="1">
      <c r="D475" s="99" t="b">
        <v>0</v>
      </c>
      <c r="E475" s="94" t="s">
        <v>489</v>
      </c>
      <c r="F475" s="92" t="s">
        <v>468</v>
      </c>
      <c r="G475" s="92" t="s">
        <v>101</v>
      </c>
      <c r="H475" s="93">
        <v>76</v>
      </c>
      <c r="I475" s="93">
        <v>235</v>
      </c>
      <c r="J475" s="93">
        <v>32.18</v>
      </c>
      <c r="K475" s="93" t="s">
        <v>75</v>
      </c>
      <c r="L475" s="101">
        <v>393</v>
      </c>
      <c r="M475" s="101">
        <v>0</v>
      </c>
      <c r="N475" s="101">
        <v>4.3222207276265805E+18</v>
      </c>
    </row>
    <row r="476" spans="4:14" ht="15" customHeight="1">
      <c r="D476" s="99" t="b">
        <v>0</v>
      </c>
      <c r="E476" s="94" t="s">
        <v>490</v>
      </c>
      <c r="F476" s="92" t="s">
        <v>468</v>
      </c>
      <c r="G476" s="92" t="s">
        <v>101</v>
      </c>
      <c r="H476" s="93">
        <v>73</v>
      </c>
      <c r="I476" s="93">
        <v>180</v>
      </c>
      <c r="J476" s="93">
        <v>26.66</v>
      </c>
      <c r="K476" s="93" t="s">
        <v>75</v>
      </c>
      <c r="L476" s="101">
        <v>394</v>
      </c>
      <c r="M476" s="101">
        <v>0</v>
      </c>
      <c r="N476" s="101">
        <v>1.5884995931118815E+18</v>
      </c>
    </row>
    <row r="477" spans="4:14" ht="15" customHeight="1">
      <c r="D477" s="99" t="b">
        <v>0</v>
      </c>
      <c r="E477" s="94" t="s">
        <v>491</v>
      </c>
      <c r="F477" s="92" t="s">
        <v>468</v>
      </c>
      <c r="G477" s="92" t="s">
        <v>74</v>
      </c>
      <c r="H477" s="93">
        <v>74</v>
      </c>
      <c r="I477" s="93">
        <v>180</v>
      </c>
      <c r="J477" s="93">
        <v>27.47</v>
      </c>
      <c r="K477" s="93" t="s">
        <v>75</v>
      </c>
      <c r="L477" s="101">
        <v>395</v>
      </c>
      <c r="M477" s="101">
        <v>0</v>
      </c>
      <c r="N477" s="101">
        <v>1.7664200797711213E+19</v>
      </c>
    </row>
    <row r="478" spans="4:14" ht="15" customHeight="1">
      <c r="D478" s="99" t="b">
        <v>0</v>
      </c>
      <c r="E478" s="94" t="s">
        <v>492</v>
      </c>
      <c r="F478" s="92" t="s">
        <v>468</v>
      </c>
      <c r="G478" s="92" t="s">
        <v>74</v>
      </c>
      <c r="H478" s="93">
        <v>74</v>
      </c>
      <c r="I478" s="93">
        <v>180</v>
      </c>
      <c r="J478" s="93">
        <v>25.66</v>
      </c>
      <c r="K478" s="93" t="s">
        <v>75</v>
      </c>
      <c r="L478" s="101">
        <v>396</v>
      </c>
      <c r="M478" s="101">
        <v>0</v>
      </c>
      <c r="N478" s="101">
        <v>1.159700212891325E+19</v>
      </c>
    </row>
    <row r="479" spans="4:14" ht="15" customHeight="1">
      <c r="D479" s="99" t="b">
        <v>0</v>
      </c>
      <c r="E479" s="94" t="s">
        <v>493</v>
      </c>
      <c r="F479" s="92" t="s">
        <v>468</v>
      </c>
      <c r="G479" s="92" t="s">
        <v>74</v>
      </c>
      <c r="H479" s="93">
        <v>72</v>
      </c>
      <c r="I479" s="93">
        <v>200</v>
      </c>
      <c r="J479" s="93">
        <v>35.130000000000003</v>
      </c>
      <c r="K479" s="93" t="s">
        <v>75</v>
      </c>
      <c r="L479" s="101">
        <v>397</v>
      </c>
      <c r="M479" s="101">
        <v>0</v>
      </c>
      <c r="N479" s="101">
        <v>1.5734944016441203E+17</v>
      </c>
    </row>
    <row r="480" spans="4:14" ht="15" customHeight="1">
      <c r="D480" s="99" t="b">
        <v>0</v>
      </c>
      <c r="E480" s="94" t="s">
        <v>494</v>
      </c>
      <c r="F480" s="92" t="s">
        <v>468</v>
      </c>
      <c r="G480" s="92" t="s">
        <v>74</v>
      </c>
      <c r="H480" s="93">
        <v>74</v>
      </c>
      <c r="I480" s="93">
        <v>234</v>
      </c>
      <c r="J480" s="93">
        <v>31.15</v>
      </c>
      <c r="K480" s="93" t="s">
        <v>75</v>
      </c>
      <c r="L480" s="101">
        <v>398</v>
      </c>
      <c r="M480" s="101">
        <v>0</v>
      </c>
      <c r="N480" s="101">
        <v>1.1552689231049669E+19</v>
      </c>
    </row>
    <row r="481" spans="4:14" ht="15" customHeight="1">
      <c r="D481" s="99" t="b">
        <v>0</v>
      </c>
      <c r="E481" s="94" t="s">
        <v>495</v>
      </c>
      <c r="F481" s="92" t="s">
        <v>468</v>
      </c>
      <c r="G481" s="92" t="s">
        <v>74</v>
      </c>
      <c r="H481" s="93">
        <v>74</v>
      </c>
      <c r="I481" s="93">
        <v>185</v>
      </c>
      <c r="J481" s="93">
        <v>35.67</v>
      </c>
      <c r="K481" s="93" t="s">
        <v>75</v>
      </c>
      <c r="L481" s="101">
        <v>399</v>
      </c>
      <c r="M481" s="101">
        <v>0</v>
      </c>
      <c r="N481" s="101">
        <v>4.5787659965017318E+18</v>
      </c>
    </row>
    <row r="482" spans="4:14" ht="15" customHeight="1">
      <c r="D482" s="99" t="b">
        <v>0</v>
      </c>
      <c r="E482" s="94" t="s">
        <v>496</v>
      </c>
      <c r="F482" s="92" t="s">
        <v>468</v>
      </c>
      <c r="G482" s="92" t="s">
        <v>74</v>
      </c>
      <c r="H482" s="93">
        <v>75</v>
      </c>
      <c r="I482" s="93">
        <v>220</v>
      </c>
      <c r="J482" s="93">
        <v>29.6</v>
      </c>
      <c r="K482" s="93" t="s">
        <v>75</v>
      </c>
      <c r="L482" s="101">
        <v>400</v>
      </c>
      <c r="M482" s="101">
        <v>0</v>
      </c>
      <c r="N482" s="101">
        <v>1.722682878653396E+19</v>
      </c>
    </row>
    <row r="483" spans="4:14" ht="15" customHeight="1">
      <c r="D483" s="99" t="b">
        <v>0</v>
      </c>
      <c r="E483" s="94" t="s">
        <v>497</v>
      </c>
      <c r="F483" s="92" t="s">
        <v>468</v>
      </c>
      <c r="G483" s="92" t="s">
        <v>74</v>
      </c>
      <c r="H483" s="93">
        <v>78</v>
      </c>
      <c r="I483" s="93">
        <v>223</v>
      </c>
      <c r="J483" s="93">
        <v>30.14</v>
      </c>
      <c r="K483" s="93" t="s">
        <v>75</v>
      </c>
      <c r="L483" s="101">
        <v>401</v>
      </c>
      <c r="M483" s="101">
        <v>0</v>
      </c>
      <c r="N483" s="101">
        <v>6.8058444719021752E+18</v>
      </c>
    </row>
    <row r="484" spans="4:14" ht="15" customHeight="1">
      <c r="D484" s="99" t="b">
        <v>0</v>
      </c>
      <c r="E484" s="94" t="s">
        <v>498</v>
      </c>
      <c r="F484" s="92" t="s">
        <v>468</v>
      </c>
      <c r="G484" s="92" t="s">
        <v>74</v>
      </c>
      <c r="H484" s="93">
        <v>74</v>
      </c>
      <c r="I484" s="93">
        <v>200</v>
      </c>
      <c r="J484" s="93">
        <v>24.53</v>
      </c>
      <c r="K484" s="93" t="s">
        <v>75</v>
      </c>
      <c r="L484" s="101">
        <v>402</v>
      </c>
      <c r="M484" s="101">
        <v>0</v>
      </c>
      <c r="N484" s="101">
        <v>1.1950651038809866E+18</v>
      </c>
    </row>
    <row r="485" spans="4:14" ht="15" customHeight="1">
      <c r="D485" s="99" t="b">
        <v>0</v>
      </c>
      <c r="E485" s="94" t="s">
        <v>499</v>
      </c>
      <c r="F485" s="92" t="s">
        <v>468</v>
      </c>
      <c r="G485" s="92" t="s">
        <v>74</v>
      </c>
      <c r="H485" s="93">
        <v>74</v>
      </c>
      <c r="I485" s="93">
        <v>210</v>
      </c>
      <c r="J485" s="93">
        <v>24.49</v>
      </c>
      <c r="K485" s="93" t="s">
        <v>75</v>
      </c>
      <c r="L485" s="101">
        <v>403</v>
      </c>
      <c r="M485" s="101">
        <v>0</v>
      </c>
      <c r="N485" s="101">
        <v>5.780372017466068E+18</v>
      </c>
    </row>
    <row r="486" spans="4:14" ht="15" customHeight="1">
      <c r="D486" s="99" t="b">
        <v>0</v>
      </c>
      <c r="E486" s="94" t="s">
        <v>500</v>
      </c>
      <c r="F486" s="92" t="s">
        <v>468</v>
      </c>
      <c r="G486" s="92" t="s">
        <v>74</v>
      </c>
      <c r="H486" s="93">
        <v>74</v>
      </c>
      <c r="I486" s="93">
        <v>200</v>
      </c>
      <c r="J486" s="93">
        <v>26.28</v>
      </c>
      <c r="K486" s="93" t="s">
        <v>75</v>
      </c>
      <c r="L486" s="101">
        <v>404</v>
      </c>
      <c r="M486" s="101">
        <v>0</v>
      </c>
      <c r="N486" s="101">
        <v>1.6904640917297863E+19</v>
      </c>
    </row>
    <row r="487" spans="4:14" ht="15" customHeight="1">
      <c r="D487" s="99" t="b">
        <v>0</v>
      </c>
      <c r="E487" s="94" t="s">
        <v>501</v>
      </c>
      <c r="F487" s="92" t="s">
        <v>468</v>
      </c>
      <c r="G487" s="92" t="s">
        <v>74</v>
      </c>
      <c r="H487" s="93">
        <v>77</v>
      </c>
      <c r="I487" s="93">
        <v>210</v>
      </c>
      <c r="J487" s="93">
        <v>24.06</v>
      </c>
      <c r="K487" s="93" t="s">
        <v>75</v>
      </c>
      <c r="L487" s="101">
        <v>405</v>
      </c>
      <c r="M487" s="101">
        <v>0</v>
      </c>
      <c r="N487" s="101">
        <v>9.4823731706440438E+18</v>
      </c>
    </row>
    <row r="488" spans="4:14" ht="15" customHeight="1">
      <c r="D488" s="99" t="b">
        <v>0</v>
      </c>
      <c r="E488" s="94" t="s">
        <v>502</v>
      </c>
      <c r="F488" s="92" t="s">
        <v>503</v>
      </c>
      <c r="G488" s="92" t="s">
        <v>78</v>
      </c>
      <c r="H488" s="93">
        <v>70</v>
      </c>
      <c r="I488" s="93">
        <v>190</v>
      </c>
      <c r="J488" s="93">
        <v>35.880000000000003</v>
      </c>
      <c r="K488" s="93" t="s">
        <v>78</v>
      </c>
      <c r="L488" s="101">
        <v>406</v>
      </c>
      <c r="M488" s="101">
        <v>0</v>
      </c>
      <c r="N488" s="101">
        <v>1.8508931399850501E+18</v>
      </c>
    </row>
    <row r="489" spans="4:14" ht="15" customHeight="1">
      <c r="D489" s="99" t="b">
        <v>0</v>
      </c>
      <c r="E489" s="94" t="s">
        <v>504</v>
      </c>
      <c r="F489" s="92" t="s">
        <v>503</v>
      </c>
      <c r="G489" s="92" t="s">
        <v>78</v>
      </c>
      <c r="H489" s="93">
        <v>73</v>
      </c>
      <c r="I489" s="93">
        <v>177</v>
      </c>
      <c r="J489" s="93">
        <v>30.42</v>
      </c>
      <c r="K489" s="93" t="s">
        <v>78</v>
      </c>
      <c r="L489" s="101">
        <v>407</v>
      </c>
      <c r="M489" s="101">
        <v>0</v>
      </c>
      <c r="N489" s="101">
        <v>5.9751931534032108E+18</v>
      </c>
    </row>
    <row r="490" spans="4:14" ht="15" customHeight="1">
      <c r="D490" s="99" t="b">
        <v>0</v>
      </c>
      <c r="E490" s="94" t="s">
        <v>505</v>
      </c>
      <c r="F490" s="92" t="s">
        <v>503</v>
      </c>
      <c r="G490" s="92" t="s">
        <v>82</v>
      </c>
      <c r="H490" s="93">
        <v>74</v>
      </c>
      <c r="I490" s="93">
        <v>227</v>
      </c>
      <c r="J490" s="93">
        <v>30.09</v>
      </c>
      <c r="K490" s="93" t="s">
        <v>83</v>
      </c>
      <c r="L490" s="101">
        <v>408</v>
      </c>
      <c r="M490" s="101">
        <v>0</v>
      </c>
      <c r="N490" s="101">
        <v>8.4288049405742612E+18</v>
      </c>
    </row>
    <row r="491" spans="4:14" ht="15" customHeight="1">
      <c r="D491" s="99" t="b">
        <v>0</v>
      </c>
      <c r="E491" s="94" t="s">
        <v>506</v>
      </c>
      <c r="F491" s="92" t="s">
        <v>503</v>
      </c>
      <c r="G491" s="92" t="s">
        <v>86</v>
      </c>
      <c r="H491" s="93">
        <v>73</v>
      </c>
      <c r="I491" s="93">
        <v>180</v>
      </c>
      <c r="J491" s="93">
        <v>26.5</v>
      </c>
      <c r="K491" s="93" t="s">
        <v>83</v>
      </c>
      <c r="L491" s="101">
        <v>409</v>
      </c>
      <c r="M491" s="101">
        <v>0</v>
      </c>
      <c r="N491" s="101">
        <v>1.2486780510977417E+19</v>
      </c>
    </row>
    <row r="492" spans="4:14" ht="15" customHeight="1">
      <c r="D492" s="99" t="b">
        <v>0</v>
      </c>
      <c r="E492" s="94" t="s">
        <v>507</v>
      </c>
      <c r="F492" s="92" t="s">
        <v>503</v>
      </c>
      <c r="G492" s="92" t="s">
        <v>86</v>
      </c>
      <c r="H492" s="93">
        <v>71</v>
      </c>
      <c r="I492" s="93">
        <v>195</v>
      </c>
      <c r="J492" s="93">
        <v>24.94</v>
      </c>
      <c r="K492" s="93" t="s">
        <v>83</v>
      </c>
      <c r="L492" s="101">
        <v>410</v>
      </c>
      <c r="M492" s="101">
        <v>0</v>
      </c>
      <c r="N492" s="101">
        <v>9.4306023958885048E+18</v>
      </c>
    </row>
    <row r="493" spans="4:14" ht="15" customHeight="1">
      <c r="D493" s="99" t="b">
        <v>0</v>
      </c>
      <c r="E493" s="94" t="s">
        <v>508</v>
      </c>
      <c r="F493" s="92" t="s">
        <v>503</v>
      </c>
      <c r="G493" s="92" t="s">
        <v>86</v>
      </c>
      <c r="H493" s="93">
        <v>75</v>
      </c>
      <c r="I493" s="93">
        <v>199</v>
      </c>
      <c r="J493" s="93">
        <v>29.6</v>
      </c>
      <c r="K493" s="93" t="s">
        <v>83</v>
      </c>
      <c r="L493" s="101">
        <v>411</v>
      </c>
      <c r="M493" s="101">
        <v>0</v>
      </c>
      <c r="N493" s="101">
        <v>1.287020650638404E+19</v>
      </c>
    </row>
    <row r="494" spans="4:14" ht="15" customHeight="1">
      <c r="D494" s="99" t="b">
        <v>0</v>
      </c>
      <c r="E494" s="94" t="s">
        <v>509</v>
      </c>
      <c r="F494" s="92" t="s">
        <v>503</v>
      </c>
      <c r="G494" s="92" t="s">
        <v>88</v>
      </c>
      <c r="H494" s="93">
        <v>71</v>
      </c>
      <c r="I494" s="93">
        <v>175</v>
      </c>
      <c r="J494" s="93">
        <v>32.43</v>
      </c>
      <c r="K494" s="93" t="s">
        <v>83</v>
      </c>
      <c r="L494" s="101">
        <v>412</v>
      </c>
      <c r="M494" s="101">
        <v>0</v>
      </c>
      <c r="N494" s="101">
        <v>1.7869143884496439E+19</v>
      </c>
    </row>
    <row r="495" spans="4:14" ht="15" customHeight="1">
      <c r="D495" s="99" t="b">
        <v>0</v>
      </c>
      <c r="E495" s="94" t="s">
        <v>510</v>
      </c>
      <c r="F495" s="92" t="s">
        <v>503</v>
      </c>
      <c r="G495" s="92" t="s">
        <v>88</v>
      </c>
      <c r="H495" s="93">
        <v>72</v>
      </c>
      <c r="I495" s="93">
        <v>185</v>
      </c>
      <c r="J495" s="93">
        <v>37.159999999999997</v>
      </c>
      <c r="K495" s="93" t="s">
        <v>83</v>
      </c>
      <c r="L495" s="101">
        <v>413</v>
      </c>
      <c r="M495" s="101">
        <v>0</v>
      </c>
      <c r="N495" s="101">
        <v>1.1654566584814385E+19</v>
      </c>
    </row>
    <row r="496" spans="4:14" ht="15" customHeight="1">
      <c r="D496" s="99" t="b">
        <v>0</v>
      </c>
      <c r="E496" s="94" t="s">
        <v>511</v>
      </c>
      <c r="F496" s="92" t="s">
        <v>503</v>
      </c>
      <c r="G496" s="92" t="s">
        <v>90</v>
      </c>
      <c r="H496" s="93">
        <v>77</v>
      </c>
      <c r="I496" s="93">
        <v>240</v>
      </c>
      <c r="J496" s="93">
        <v>30.57</v>
      </c>
      <c r="K496" s="93" t="s">
        <v>83</v>
      </c>
      <c r="L496" s="101">
        <v>414</v>
      </c>
      <c r="M496" s="101">
        <v>0</v>
      </c>
      <c r="N496" s="101">
        <v>1.2441549479330893E+18</v>
      </c>
    </row>
    <row r="497" spans="4:14" ht="15" customHeight="1">
      <c r="D497" s="99" t="b">
        <v>0</v>
      </c>
      <c r="E497" s="94" t="s">
        <v>512</v>
      </c>
      <c r="F497" s="92" t="s">
        <v>503</v>
      </c>
      <c r="G497" s="92" t="s">
        <v>90</v>
      </c>
      <c r="H497" s="93">
        <v>74</v>
      </c>
      <c r="I497" s="93">
        <v>210</v>
      </c>
      <c r="J497" s="93">
        <v>27.01</v>
      </c>
      <c r="K497" s="93" t="s">
        <v>83</v>
      </c>
      <c r="L497" s="101">
        <v>415</v>
      </c>
      <c r="M497" s="101">
        <v>0</v>
      </c>
      <c r="N497" s="101">
        <v>1.7075731303543949E+19</v>
      </c>
    </row>
    <row r="498" spans="4:14" ht="15" customHeight="1">
      <c r="D498" s="99" t="b">
        <v>0</v>
      </c>
      <c r="E498" s="94" t="s">
        <v>513</v>
      </c>
      <c r="F498" s="92" t="s">
        <v>503</v>
      </c>
      <c r="G498" s="92" t="s">
        <v>93</v>
      </c>
      <c r="H498" s="93">
        <v>70</v>
      </c>
      <c r="I498" s="93">
        <v>180</v>
      </c>
      <c r="J498" s="93">
        <v>30.23</v>
      </c>
      <c r="K498" s="93" t="s">
        <v>93</v>
      </c>
      <c r="L498" s="101">
        <v>416</v>
      </c>
      <c r="M498" s="101">
        <v>0</v>
      </c>
      <c r="N498" s="101">
        <v>1.1008742732619504E+19</v>
      </c>
    </row>
    <row r="499" spans="4:14" ht="15" customHeight="1">
      <c r="D499" s="99" t="b">
        <v>0</v>
      </c>
      <c r="E499" s="94" t="s">
        <v>514</v>
      </c>
      <c r="F499" s="92" t="s">
        <v>503</v>
      </c>
      <c r="G499" s="92" t="s">
        <v>93</v>
      </c>
      <c r="H499" s="93">
        <v>77</v>
      </c>
      <c r="I499" s="93">
        <v>194</v>
      </c>
      <c r="J499" s="93">
        <v>26.03</v>
      </c>
      <c r="K499" s="93" t="s">
        <v>93</v>
      </c>
      <c r="L499" s="101">
        <v>417</v>
      </c>
      <c r="M499" s="101">
        <v>0</v>
      </c>
      <c r="N499" s="101">
        <v>3.0234958237578747E+18</v>
      </c>
    </row>
    <row r="500" spans="4:14" ht="15" customHeight="1">
      <c r="D500" s="99" t="b">
        <v>0</v>
      </c>
      <c r="E500" s="94" t="s">
        <v>515</v>
      </c>
      <c r="F500" s="92" t="s">
        <v>503</v>
      </c>
      <c r="G500" s="92" t="s">
        <v>93</v>
      </c>
      <c r="H500" s="93">
        <v>73</v>
      </c>
      <c r="I500" s="93">
        <v>225</v>
      </c>
      <c r="J500" s="93">
        <v>28.23</v>
      </c>
      <c r="K500" s="93" t="s">
        <v>93</v>
      </c>
      <c r="L500" s="101">
        <v>418</v>
      </c>
      <c r="M500" s="101">
        <v>0</v>
      </c>
      <c r="N500" s="101">
        <v>1.7123918998431822E+19</v>
      </c>
    </row>
    <row r="501" spans="4:14" ht="15" customHeight="1">
      <c r="D501" s="99" t="b">
        <v>0</v>
      </c>
      <c r="E501" s="94" t="s">
        <v>516</v>
      </c>
      <c r="F501" s="92" t="s">
        <v>503</v>
      </c>
      <c r="G501" s="92" t="s">
        <v>101</v>
      </c>
      <c r="H501" s="93">
        <v>72</v>
      </c>
      <c r="I501" s="93">
        <v>180</v>
      </c>
      <c r="J501" s="93">
        <v>25.21</v>
      </c>
      <c r="K501" s="93" t="s">
        <v>75</v>
      </c>
      <c r="L501" s="101">
        <v>419</v>
      </c>
      <c r="M501" s="101">
        <v>0</v>
      </c>
      <c r="N501" s="101">
        <v>1.345680706669048E+19</v>
      </c>
    </row>
    <row r="502" spans="4:14" ht="15" customHeight="1">
      <c r="D502" s="99" t="b">
        <v>0</v>
      </c>
      <c r="E502" s="94" t="s">
        <v>517</v>
      </c>
      <c r="F502" s="92" t="s">
        <v>503</v>
      </c>
      <c r="G502" s="92" t="s">
        <v>101</v>
      </c>
      <c r="H502" s="93">
        <v>76</v>
      </c>
      <c r="I502" s="93">
        <v>205</v>
      </c>
      <c r="J502" s="93">
        <v>25.45</v>
      </c>
      <c r="K502" s="93" t="s">
        <v>75</v>
      </c>
      <c r="L502" s="101">
        <v>420</v>
      </c>
      <c r="M502" s="101">
        <v>0</v>
      </c>
      <c r="N502" s="101">
        <v>7.7291458350827039E+18</v>
      </c>
    </row>
    <row r="503" spans="4:14" ht="15" customHeight="1">
      <c r="D503" s="99" t="b">
        <v>0</v>
      </c>
      <c r="E503" s="94" t="s">
        <v>518</v>
      </c>
      <c r="F503" s="92" t="s">
        <v>503</v>
      </c>
      <c r="G503" s="92" t="s">
        <v>101</v>
      </c>
      <c r="H503" s="93">
        <v>71</v>
      </c>
      <c r="I503" s="93">
        <v>193</v>
      </c>
      <c r="J503" s="93">
        <v>26.24</v>
      </c>
      <c r="K503" s="93" t="s">
        <v>75</v>
      </c>
      <c r="L503" s="101">
        <v>421</v>
      </c>
      <c r="M503" s="101">
        <v>0</v>
      </c>
      <c r="N503" s="101">
        <v>2.5567475550301056E+18</v>
      </c>
    </row>
    <row r="504" spans="4:14" ht="15" customHeight="1">
      <c r="D504" s="99" t="b">
        <v>0</v>
      </c>
      <c r="E504" s="94" t="s">
        <v>519</v>
      </c>
      <c r="F504" s="92" t="s">
        <v>503</v>
      </c>
      <c r="G504" s="92" t="s">
        <v>101</v>
      </c>
      <c r="H504" s="93">
        <v>76</v>
      </c>
      <c r="I504" s="93">
        <v>230</v>
      </c>
      <c r="J504" s="93">
        <v>30.15</v>
      </c>
      <c r="K504" s="93" t="s">
        <v>75</v>
      </c>
      <c r="L504" s="101">
        <v>422</v>
      </c>
      <c r="M504" s="101">
        <v>0</v>
      </c>
      <c r="N504" s="101">
        <v>1.0928244662266696E+19</v>
      </c>
    </row>
    <row r="505" spans="4:14" ht="15" customHeight="1">
      <c r="D505" s="99" t="b">
        <v>0</v>
      </c>
      <c r="E505" s="94" t="s">
        <v>520</v>
      </c>
      <c r="F505" s="92" t="s">
        <v>503</v>
      </c>
      <c r="G505" s="92" t="s">
        <v>101</v>
      </c>
      <c r="H505" s="93">
        <v>78</v>
      </c>
      <c r="I505" s="93">
        <v>230</v>
      </c>
      <c r="J505" s="93">
        <v>29.8</v>
      </c>
      <c r="K505" s="93" t="s">
        <v>75</v>
      </c>
      <c r="L505" s="101">
        <v>423</v>
      </c>
      <c r="M505" s="101">
        <v>0</v>
      </c>
      <c r="N505" s="101">
        <v>2.7043765633897902E+18</v>
      </c>
    </row>
    <row r="506" spans="4:14" ht="15" customHeight="1">
      <c r="D506" s="99" t="b">
        <v>0</v>
      </c>
      <c r="E506" s="94" t="s">
        <v>521</v>
      </c>
      <c r="F506" s="92" t="s">
        <v>503</v>
      </c>
      <c r="G506" s="92" t="s">
        <v>101</v>
      </c>
      <c r="H506" s="93">
        <v>75</v>
      </c>
      <c r="I506" s="93">
        <v>220</v>
      </c>
      <c r="J506" s="93">
        <v>33.409999999999997</v>
      </c>
      <c r="K506" s="93" t="s">
        <v>75</v>
      </c>
      <c r="L506" s="101">
        <v>424</v>
      </c>
      <c r="M506" s="101">
        <v>0</v>
      </c>
      <c r="N506" s="101">
        <v>3.1191352468166547E+17</v>
      </c>
    </row>
    <row r="507" spans="4:14" ht="15" customHeight="1">
      <c r="D507" s="99" t="b">
        <v>0</v>
      </c>
      <c r="E507" s="94" t="s">
        <v>522</v>
      </c>
      <c r="F507" s="92" t="s">
        <v>503</v>
      </c>
      <c r="G507" s="92" t="s">
        <v>101</v>
      </c>
      <c r="H507" s="93">
        <v>73</v>
      </c>
      <c r="I507" s="93">
        <v>200</v>
      </c>
      <c r="J507" s="93">
        <v>30.95</v>
      </c>
      <c r="K507" s="93" t="s">
        <v>75</v>
      </c>
      <c r="L507" s="101">
        <v>425</v>
      </c>
      <c r="M507" s="101">
        <v>0</v>
      </c>
      <c r="N507" s="101">
        <v>2.1026660534487429E+18</v>
      </c>
    </row>
    <row r="508" spans="4:14" ht="15" customHeight="1">
      <c r="D508" s="99" t="b">
        <v>0</v>
      </c>
      <c r="E508" s="94" t="s">
        <v>523</v>
      </c>
      <c r="F508" s="92" t="s">
        <v>503</v>
      </c>
      <c r="G508" s="92" t="s">
        <v>74</v>
      </c>
      <c r="H508" s="93">
        <v>78</v>
      </c>
      <c r="I508" s="93">
        <v>249</v>
      </c>
      <c r="J508" s="93">
        <v>31.17</v>
      </c>
      <c r="K508" s="93" t="s">
        <v>75</v>
      </c>
      <c r="L508" s="101">
        <v>426</v>
      </c>
      <c r="M508" s="101">
        <v>0</v>
      </c>
      <c r="N508" s="101">
        <v>1.9773147247360484E+18</v>
      </c>
    </row>
    <row r="509" spans="4:14" ht="15" customHeight="1">
      <c r="D509" s="99" t="b">
        <v>0</v>
      </c>
      <c r="E509" s="94" t="s">
        <v>524</v>
      </c>
      <c r="F509" s="92" t="s">
        <v>503</v>
      </c>
      <c r="G509" s="92" t="s">
        <v>74</v>
      </c>
      <c r="H509" s="93">
        <v>74</v>
      </c>
      <c r="I509" s="93">
        <v>190</v>
      </c>
      <c r="J509" s="93">
        <v>30.95</v>
      </c>
      <c r="K509" s="93" t="s">
        <v>75</v>
      </c>
      <c r="L509" s="101">
        <v>427</v>
      </c>
      <c r="M509" s="101">
        <v>0</v>
      </c>
      <c r="N509" s="101">
        <v>1.9438301839364321E+18</v>
      </c>
    </row>
    <row r="510" spans="4:14" ht="15" customHeight="1">
      <c r="D510" s="99" t="b">
        <v>0</v>
      </c>
      <c r="E510" s="94" t="s">
        <v>525</v>
      </c>
      <c r="F510" s="92" t="s">
        <v>503</v>
      </c>
      <c r="G510" s="92" t="s">
        <v>74</v>
      </c>
      <c r="H510" s="93">
        <v>79</v>
      </c>
      <c r="I510" s="93">
        <v>208</v>
      </c>
      <c r="J510" s="93">
        <v>29.44</v>
      </c>
      <c r="K510" s="93" t="s">
        <v>75</v>
      </c>
      <c r="L510" s="101">
        <v>428</v>
      </c>
      <c r="M510" s="101">
        <v>0</v>
      </c>
      <c r="N510" s="101">
        <v>1.7079285977484388E+19</v>
      </c>
    </row>
    <row r="511" spans="4:14" ht="15" customHeight="1">
      <c r="D511" s="99" t="b">
        <v>0</v>
      </c>
      <c r="E511" s="94" t="s">
        <v>526</v>
      </c>
      <c r="F511" s="92" t="s">
        <v>503</v>
      </c>
      <c r="G511" s="92" t="s">
        <v>74</v>
      </c>
      <c r="H511" s="93">
        <v>75</v>
      </c>
      <c r="I511" s="93">
        <v>245</v>
      </c>
      <c r="J511" s="93">
        <v>27.14</v>
      </c>
      <c r="K511" s="93" t="s">
        <v>75</v>
      </c>
      <c r="L511" s="101">
        <v>429</v>
      </c>
      <c r="M511" s="101">
        <v>0</v>
      </c>
      <c r="N511" s="101">
        <v>1.5818120727090627E+19</v>
      </c>
    </row>
    <row r="512" spans="4:14" ht="15" customHeight="1">
      <c r="D512" s="99" t="b">
        <v>0</v>
      </c>
      <c r="E512" s="94" t="s">
        <v>527</v>
      </c>
      <c r="F512" s="92" t="s">
        <v>503</v>
      </c>
      <c r="G512" s="92" t="s">
        <v>74</v>
      </c>
      <c r="H512" s="93">
        <v>76</v>
      </c>
      <c r="I512" s="93">
        <v>250</v>
      </c>
      <c r="J512" s="93">
        <v>26.21</v>
      </c>
      <c r="K512" s="93" t="s">
        <v>75</v>
      </c>
      <c r="L512" s="101">
        <v>430</v>
      </c>
      <c r="M512" s="101">
        <v>0</v>
      </c>
      <c r="N512" s="101">
        <v>1.4808437240579281E+19</v>
      </c>
    </row>
    <row r="513" spans="4:14" ht="15" customHeight="1">
      <c r="D513" s="99" t="b">
        <v>0</v>
      </c>
      <c r="E513" s="94" t="s">
        <v>528</v>
      </c>
      <c r="F513" s="92" t="s">
        <v>503</v>
      </c>
      <c r="G513" s="92" t="s">
        <v>74</v>
      </c>
      <c r="H513" s="93">
        <v>72</v>
      </c>
      <c r="I513" s="93">
        <v>160</v>
      </c>
      <c r="J513" s="93">
        <v>24.08</v>
      </c>
      <c r="K513" s="93" t="s">
        <v>75</v>
      </c>
      <c r="L513" s="101">
        <v>431</v>
      </c>
      <c r="M513" s="101">
        <v>0</v>
      </c>
      <c r="N513" s="101">
        <v>4.3614189347393459E+18</v>
      </c>
    </row>
    <row r="514" spans="4:14" ht="15" customHeight="1">
      <c r="D514" s="99" t="b">
        <v>0</v>
      </c>
      <c r="E514" s="94" t="s">
        <v>529</v>
      </c>
      <c r="F514" s="92" t="s">
        <v>503</v>
      </c>
      <c r="G514" s="92" t="s">
        <v>74</v>
      </c>
      <c r="H514" s="93">
        <v>75</v>
      </c>
      <c r="I514" s="93">
        <v>192</v>
      </c>
      <c r="J514" s="93">
        <v>23.96</v>
      </c>
      <c r="K514" s="93" t="s">
        <v>75</v>
      </c>
      <c r="L514" s="101">
        <v>432</v>
      </c>
      <c r="M514" s="101">
        <v>0</v>
      </c>
      <c r="N514" s="101">
        <v>1.6706166208292968E+19</v>
      </c>
    </row>
    <row r="515" spans="4:14" ht="15" customHeight="1">
      <c r="D515" s="99" t="b">
        <v>0</v>
      </c>
      <c r="E515" s="94" t="s">
        <v>530</v>
      </c>
      <c r="F515" s="92" t="s">
        <v>503</v>
      </c>
      <c r="G515" s="92" t="s">
        <v>74</v>
      </c>
      <c r="H515" s="93">
        <v>75</v>
      </c>
      <c r="I515" s="93">
        <v>220</v>
      </c>
      <c r="J515" s="93">
        <v>24.94</v>
      </c>
      <c r="K515" s="93" t="s">
        <v>75</v>
      </c>
      <c r="L515" s="101">
        <v>433</v>
      </c>
      <c r="M515" s="101">
        <v>0</v>
      </c>
      <c r="N515" s="101">
        <v>2.2008394466915146E+18</v>
      </c>
    </row>
    <row r="516" spans="4:14" ht="15" customHeight="1">
      <c r="D516" s="99" t="b">
        <v>0</v>
      </c>
      <c r="E516" s="94" t="s">
        <v>531</v>
      </c>
      <c r="F516" s="92" t="s">
        <v>503</v>
      </c>
      <c r="G516" s="92" t="s">
        <v>74</v>
      </c>
      <c r="H516" s="93">
        <v>70</v>
      </c>
      <c r="I516" s="93">
        <v>170</v>
      </c>
      <c r="J516" s="93">
        <v>29.56</v>
      </c>
      <c r="K516" s="93" t="s">
        <v>75</v>
      </c>
      <c r="L516" s="101">
        <v>434</v>
      </c>
      <c r="M516" s="101">
        <v>0</v>
      </c>
      <c r="N516" s="101">
        <v>1.7581711876079272E+19</v>
      </c>
    </row>
    <row r="517" spans="4:14" ht="15" customHeight="1">
      <c r="D517" s="99" t="b">
        <v>0</v>
      </c>
      <c r="E517" s="94" t="s">
        <v>532</v>
      </c>
      <c r="F517" s="92" t="s">
        <v>503</v>
      </c>
      <c r="G517" s="92" t="s">
        <v>74</v>
      </c>
      <c r="H517" s="93">
        <v>72</v>
      </c>
      <c r="I517" s="93">
        <v>197</v>
      </c>
      <c r="J517" s="93">
        <v>26.42</v>
      </c>
      <c r="K517" s="93" t="s">
        <v>75</v>
      </c>
      <c r="L517" s="101">
        <v>435</v>
      </c>
      <c r="M517" s="101">
        <v>0</v>
      </c>
      <c r="N517" s="101">
        <v>2.0081586321460065E+18</v>
      </c>
    </row>
    <row r="518" spans="4:14" ht="15" customHeight="1">
      <c r="D518" s="99" t="b">
        <v>0</v>
      </c>
      <c r="E518" s="94" t="s">
        <v>533</v>
      </c>
      <c r="F518" s="92" t="s">
        <v>503</v>
      </c>
      <c r="G518" s="92" t="s">
        <v>74</v>
      </c>
      <c r="H518" s="93">
        <v>70</v>
      </c>
      <c r="I518" s="93">
        <v>155</v>
      </c>
      <c r="J518" s="93">
        <v>23.92</v>
      </c>
      <c r="K518" s="93" t="s">
        <v>75</v>
      </c>
      <c r="L518" s="101">
        <v>436</v>
      </c>
      <c r="M518" s="101">
        <v>0</v>
      </c>
      <c r="N518" s="101">
        <v>6.8888993843403325E+18</v>
      </c>
    </row>
    <row r="519" spans="4:14" ht="15" customHeight="1">
      <c r="D519" s="99" t="b">
        <v>0</v>
      </c>
      <c r="E519" s="94" t="s">
        <v>534</v>
      </c>
      <c r="F519" s="92" t="s">
        <v>503</v>
      </c>
      <c r="G519" s="92" t="s">
        <v>74</v>
      </c>
      <c r="H519" s="93">
        <v>74</v>
      </c>
      <c r="I519" s="93">
        <v>190</v>
      </c>
      <c r="J519" s="93">
        <v>25.23</v>
      </c>
      <c r="K519" s="93" t="s">
        <v>75</v>
      </c>
      <c r="L519" s="101">
        <v>437</v>
      </c>
      <c r="M519" s="101">
        <v>0</v>
      </c>
      <c r="N519" s="101">
        <v>9.0383614226758472E+18</v>
      </c>
    </row>
    <row r="520" spans="4:14" ht="15" customHeight="1">
      <c r="D520" s="99" t="b">
        <v>0</v>
      </c>
      <c r="E520" s="94" t="s">
        <v>535</v>
      </c>
      <c r="F520" s="92" t="s">
        <v>536</v>
      </c>
      <c r="G520" s="92" t="s">
        <v>78</v>
      </c>
      <c r="H520" s="93">
        <v>71</v>
      </c>
      <c r="I520" s="93">
        <v>200</v>
      </c>
      <c r="J520" s="93">
        <v>35.82</v>
      </c>
      <c r="K520" s="93" t="s">
        <v>78</v>
      </c>
      <c r="L520" s="101">
        <v>438</v>
      </c>
      <c r="M520" s="101">
        <v>0</v>
      </c>
      <c r="N520" s="101">
        <v>5.3803974401487196E+18</v>
      </c>
    </row>
    <row r="521" spans="4:14" ht="15" customHeight="1">
      <c r="D521" s="99" t="b">
        <v>0</v>
      </c>
      <c r="E521" s="94" t="s">
        <v>537</v>
      </c>
      <c r="F521" s="92" t="s">
        <v>536</v>
      </c>
      <c r="G521" s="92" t="s">
        <v>78</v>
      </c>
      <c r="H521" s="93">
        <v>76</v>
      </c>
      <c r="I521" s="93">
        <v>220</v>
      </c>
      <c r="J521" s="93">
        <v>23.87</v>
      </c>
      <c r="K521" s="93" t="s">
        <v>78</v>
      </c>
      <c r="L521" s="101">
        <v>439</v>
      </c>
      <c r="M521" s="101">
        <v>0</v>
      </c>
      <c r="N521" s="101">
        <v>4.9802473018183055E+18</v>
      </c>
    </row>
    <row r="522" spans="4:14" ht="15" customHeight="1">
      <c r="D522" s="99" t="b">
        <v>0</v>
      </c>
      <c r="E522" s="94" t="s">
        <v>538</v>
      </c>
      <c r="F522" s="92" t="s">
        <v>536</v>
      </c>
      <c r="G522" s="92" t="s">
        <v>78</v>
      </c>
      <c r="H522" s="93">
        <v>73</v>
      </c>
      <c r="I522" s="93">
        <v>210</v>
      </c>
      <c r="J522" s="93">
        <v>32.57</v>
      </c>
      <c r="K522" s="93" t="s">
        <v>78</v>
      </c>
      <c r="L522" s="101">
        <v>440</v>
      </c>
      <c r="M522" s="101">
        <v>0</v>
      </c>
      <c r="N522" s="101">
        <v>1.3607455144093266E+19</v>
      </c>
    </row>
    <row r="523" spans="4:14" ht="15" customHeight="1">
      <c r="D523" s="99" t="b">
        <v>0</v>
      </c>
      <c r="E523" s="94" t="s">
        <v>539</v>
      </c>
      <c r="F523" s="92" t="s">
        <v>536</v>
      </c>
      <c r="G523" s="92" t="s">
        <v>82</v>
      </c>
      <c r="H523" s="93">
        <v>76</v>
      </c>
      <c r="I523" s="93">
        <v>228</v>
      </c>
      <c r="J523" s="93">
        <v>25.79</v>
      </c>
      <c r="K523" s="93" t="s">
        <v>83</v>
      </c>
      <c r="L523" s="101">
        <v>441</v>
      </c>
      <c r="M523" s="101">
        <v>0</v>
      </c>
      <c r="N523" s="101">
        <v>2.4836617543689006E+18</v>
      </c>
    </row>
    <row r="524" spans="4:14" ht="15" customHeight="1">
      <c r="D524" s="99" t="b">
        <v>0</v>
      </c>
      <c r="E524" s="94" t="s">
        <v>540</v>
      </c>
      <c r="F524" s="92" t="s">
        <v>536</v>
      </c>
      <c r="G524" s="92" t="s">
        <v>86</v>
      </c>
      <c r="H524" s="93">
        <v>71</v>
      </c>
      <c r="I524" s="93">
        <v>190</v>
      </c>
      <c r="J524" s="93">
        <v>31.47</v>
      </c>
      <c r="K524" s="93" t="s">
        <v>83</v>
      </c>
      <c r="L524" s="101">
        <v>442</v>
      </c>
      <c r="M524" s="101">
        <v>0</v>
      </c>
      <c r="N524" s="101">
        <v>1.1607360072603107E+19</v>
      </c>
    </row>
    <row r="525" spans="4:14" ht="15" customHeight="1">
      <c r="D525" s="99" t="b">
        <v>0</v>
      </c>
      <c r="E525" s="94" t="s">
        <v>541</v>
      </c>
      <c r="F525" s="92" t="s">
        <v>536</v>
      </c>
      <c r="G525" s="92" t="s">
        <v>86</v>
      </c>
      <c r="H525" s="93">
        <v>69</v>
      </c>
      <c r="I525" s="93">
        <v>160</v>
      </c>
      <c r="J525" s="93">
        <v>22.61</v>
      </c>
      <c r="K525" s="93" t="s">
        <v>83</v>
      </c>
      <c r="L525" s="101">
        <v>443</v>
      </c>
      <c r="M525" s="101">
        <v>0</v>
      </c>
      <c r="N525" s="101">
        <v>5.4789228463027313E+18</v>
      </c>
    </row>
    <row r="526" spans="4:14" ht="15" customHeight="1">
      <c r="D526" s="99" t="b">
        <v>0</v>
      </c>
      <c r="E526" s="94" t="s">
        <v>542</v>
      </c>
      <c r="F526" s="92" t="s">
        <v>536</v>
      </c>
      <c r="G526" s="92" t="s">
        <v>86</v>
      </c>
      <c r="H526" s="93">
        <v>72</v>
      </c>
      <c r="I526" s="93">
        <v>184</v>
      </c>
      <c r="J526" s="93">
        <v>24.85</v>
      </c>
      <c r="K526" s="93" t="s">
        <v>83</v>
      </c>
      <c r="L526" s="101">
        <v>444</v>
      </c>
      <c r="M526" s="101">
        <v>0</v>
      </c>
      <c r="N526" s="101">
        <v>5.3240101311429755E+18</v>
      </c>
    </row>
    <row r="527" spans="4:14" ht="15" customHeight="1">
      <c r="D527" s="99" t="b">
        <v>0</v>
      </c>
      <c r="E527" s="94" t="s">
        <v>543</v>
      </c>
      <c r="F527" s="92" t="s">
        <v>536</v>
      </c>
      <c r="G527" s="92" t="s">
        <v>88</v>
      </c>
      <c r="H527" s="93">
        <v>72</v>
      </c>
      <c r="I527" s="93">
        <v>180</v>
      </c>
      <c r="J527" s="93">
        <v>27.33</v>
      </c>
      <c r="K527" s="93" t="s">
        <v>83</v>
      </c>
      <c r="L527" s="101">
        <v>445</v>
      </c>
      <c r="M527" s="101">
        <v>0</v>
      </c>
      <c r="N527" s="101">
        <v>5.0137801121638349E+18</v>
      </c>
    </row>
    <row r="528" spans="4:14" ht="15" customHeight="1">
      <c r="D528" s="99" t="b">
        <v>0</v>
      </c>
      <c r="E528" s="94" t="s">
        <v>544</v>
      </c>
      <c r="F528" s="92" t="s">
        <v>536</v>
      </c>
      <c r="G528" s="92" t="s">
        <v>90</v>
      </c>
      <c r="H528" s="93">
        <v>69</v>
      </c>
      <c r="I528" s="93">
        <v>180</v>
      </c>
      <c r="J528" s="93">
        <v>26.67</v>
      </c>
      <c r="K528" s="93" t="s">
        <v>83</v>
      </c>
      <c r="L528" s="101">
        <v>446</v>
      </c>
      <c r="M528" s="101">
        <v>0</v>
      </c>
      <c r="N528" s="101">
        <v>3.8981811275570831E+18</v>
      </c>
    </row>
    <row r="529" spans="4:14" ht="15" customHeight="1">
      <c r="D529" s="99" t="b">
        <v>0</v>
      </c>
      <c r="E529" s="94" t="s">
        <v>545</v>
      </c>
      <c r="F529" s="92" t="s">
        <v>536</v>
      </c>
      <c r="G529" s="92" t="s">
        <v>90</v>
      </c>
      <c r="H529" s="93">
        <v>73</v>
      </c>
      <c r="I529" s="93">
        <v>200</v>
      </c>
      <c r="J529" s="93">
        <v>37.43</v>
      </c>
      <c r="K529" s="93" t="s">
        <v>83</v>
      </c>
      <c r="L529" s="101">
        <v>447</v>
      </c>
      <c r="M529" s="101">
        <v>0</v>
      </c>
      <c r="N529" s="101">
        <v>1.3334554759543734E+19</v>
      </c>
    </row>
    <row r="530" spans="4:14" ht="15" customHeight="1">
      <c r="D530" s="99" t="b">
        <v>0</v>
      </c>
      <c r="E530" s="94" t="s">
        <v>546</v>
      </c>
      <c r="F530" s="92" t="s">
        <v>536</v>
      </c>
      <c r="G530" s="92" t="s">
        <v>90</v>
      </c>
      <c r="H530" s="93">
        <v>69</v>
      </c>
      <c r="I530" s="93">
        <v>176</v>
      </c>
      <c r="J530" s="93">
        <v>29.31</v>
      </c>
      <c r="K530" s="93" t="s">
        <v>83</v>
      </c>
      <c r="L530" s="101">
        <v>448</v>
      </c>
      <c r="M530" s="101">
        <v>0</v>
      </c>
      <c r="N530" s="101">
        <v>7.7601817648491182E+18</v>
      </c>
    </row>
    <row r="531" spans="4:14" ht="15" customHeight="1">
      <c r="D531" s="99" t="b">
        <v>0</v>
      </c>
      <c r="E531" s="94" t="s">
        <v>547</v>
      </c>
      <c r="F531" s="92" t="s">
        <v>536</v>
      </c>
      <c r="G531" s="92" t="s">
        <v>93</v>
      </c>
      <c r="H531" s="93">
        <v>73</v>
      </c>
      <c r="I531" s="93">
        <v>160</v>
      </c>
      <c r="J531" s="93">
        <v>29.85</v>
      </c>
      <c r="K531" s="93" t="s">
        <v>93</v>
      </c>
      <c r="L531" s="101">
        <v>449</v>
      </c>
      <c r="M531" s="101">
        <v>0</v>
      </c>
      <c r="N531" s="101">
        <v>7.2154246438790021E+18</v>
      </c>
    </row>
    <row r="532" spans="4:14" ht="15" customHeight="1">
      <c r="D532" s="99" t="b">
        <v>0</v>
      </c>
      <c r="E532" s="94" t="s">
        <v>548</v>
      </c>
      <c r="F532" s="92" t="s">
        <v>536</v>
      </c>
      <c r="G532" s="92" t="s">
        <v>93</v>
      </c>
      <c r="H532" s="93">
        <v>74</v>
      </c>
      <c r="I532" s="93">
        <v>222</v>
      </c>
      <c r="J532" s="93">
        <v>27.93</v>
      </c>
      <c r="K532" s="93" t="s">
        <v>93</v>
      </c>
      <c r="L532" s="101">
        <v>450</v>
      </c>
      <c r="M532" s="101">
        <v>0</v>
      </c>
      <c r="N532" s="101">
        <v>4.2554576748556841E+18</v>
      </c>
    </row>
    <row r="533" spans="4:14" ht="15" customHeight="1">
      <c r="D533" s="99" t="b">
        <v>0</v>
      </c>
      <c r="E533" s="94" t="s">
        <v>549</v>
      </c>
      <c r="F533" s="92" t="s">
        <v>536</v>
      </c>
      <c r="G533" s="92" t="s">
        <v>93</v>
      </c>
      <c r="H533" s="93">
        <v>74</v>
      </c>
      <c r="I533" s="93">
        <v>211</v>
      </c>
      <c r="J533" s="93">
        <v>31.62</v>
      </c>
      <c r="K533" s="93" t="s">
        <v>93</v>
      </c>
      <c r="L533" s="101">
        <v>451</v>
      </c>
      <c r="M533" s="101">
        <v>0</v>
      </c>
      <c r="N533" s="101">
        <v>1.2252958492218792E+19</v>
      </c>
    </row>
    <row r="534" spans="4:14" ht="15" customHeight="1">
      <c r="D534" s="99" t="b">
        <v>0</v>
      </c>
      <c r="E534" s="94" t="s">
        <v>550</v>
      </c>
      <c r="F534" s="92" t="s">
        <v>536</v>
      </c>
      <c r="G534" s="92" t="s">
        <v>93</v>
      </c>
      <c r="H534" s="93">
        <v>72</v>
      </c>
      <c r="I534" s="93">
        <v>195</v>
      </c>
      <c r="J534" s="93">
        <v>30.55</v>
      </c>
      <c r="K534" s="93" t="s">
        <v>93</v>
      </c>
      <c r="L534" s="101">
        <v>452</v>
      </c>
      <c r="M534" s="101">
        <v>0</v>
      </c>
      <c r="N534" s="101">
        <v>4.8702414165081651E+18</v>
      </c>
    </row>
    <row r="535" spans="4:14" ht="15" customHeight="1">
      <c r="D535" s="99" t="b">
        <v>0</v>
      </c>
      <c r="E535" s="94" t="s">
        <v>551</v>
      </c>
      <c r="F535" s="92" t="s">
        <v>536</v>
      </c>
      <c r="G535" s="92" t="s">
        <v>93</v>
      </c>
      <c r="H535" s="93">
        <v>71</v>
      </c>
      <c r="I535" s="93">
        <v>200</v>
      </c>
      <c r="J535" s="93">
        <v>24.77</v>
      </c>
      <c r="K535" s="93" t="s">
        <v>93</v>
      </c>
      <c r="L535" s="101">
        <v>453</v>
      </c>
      <c r="M535" s="101">
        <v>0</v>
      </c>
      <c r="N535" s="101">
        <v>2.6367046172909916E+18</v>
      </c>
    </row>
    <row r="536" spans="4:14" ht="15" customHeight="1">
      <c r="D536" s="99" t="b">
        <v>0</v>
      </c>
      <c r="E536" s="94" t="s">
        <v>552</v>
      </c>
      <c r="F536" s="92" t="s">
        <v>536</v>
      </c>
      <c r="G536" s="92" t="s">
        <v>101</v>
      </c>
      <c r="H536" s="93">
        <v>72</v>
      </c>
      <c r="I536" s="93">
        <v>175</v>
      </c>
      <c r="J536" s="93">
        <v>33.770000000000003</v>
      </c>
      <c r="K536" s="93" t="s">
        <v>75</v>
      </c>
      <c r="L536" s="101">
        <v>454</v>
      </c>
      <c r="M536" s="101">
        <v>0</v>
      </c>
      <c r="N536" s="101">
        <v>2.5496445604648904E+18</v>
      </c>
    </row>
    <row r="537" spans="4:14" ht="15" customHeight="1">
      <c r="D537" s="99" t="b">
        <v>0</v>
      </c>
      <c r="E537" s="94" t="s">
        <v>553</v>
      </c>
      <c r="F537" s="92" t="s">
        <v>536</v>
      </c>
      <c r="G537" s="92" t="s">
        <v>101</v>
      </c>
      <c r="H537" s="93">
        <v>72</v>
      </c>
      <c r="I537" s="93">
        <v>206</v>
      </c>
      <c r="J537" s="93">
        <v>27.97</v>
      </c>
      <c r="K537" s="93" t="s">
        <v>75</v>
      </c>
      <c r="L537" s="101">
        <v>455</v>
      </c>
      <c r="M537" s="101">
        <v>0</v>
      </c>
      <c r="N537" s="101">
        <v>4.9525078256220262E+18</v>
      </c>
    </row>
    <row r="538" spans="4:14" ht="15" customHeight="1">
      <c r="D538" s="99" t="b">
        <v>0</v>
      </c>
      <c r="E538" s="94" t="s">
        <v>554</v>
      </c>
      <c r="F538" s="92" t="s">
        <v>536</v>
      </c>
      <c r="G538" s="92" t="s">
        <v>101</v>
      </c>
      <c r="H538" s="93">
        <v>76</v>
      </c>
      <c r="I538" s="93">
        <v>240</v>
      </c>
      <c r="J538" s="93">
        <v>27.85</v>
      </c>
      <c r="K538" s="93" t="s">
        <v>75</v>
      </c>
      <c r="L538" s="101">
        <v>456</v>
      </c>
      <c r="M538" s="101">
        <v>0</v>
      </c>
      <c r="N538" s="101">
        <v>1.5946859456247765E+19</v>
      </c>
    </row>
    <row r="539" spans="4:14" ht="15" customHeight="1">
      <c r="D539" s="99" t="b">
        <v>0</v>
      </c>
      <c r="E539" s="94" t="s">
        <v>555</v>
      </c>
      <c r="F539" s="92" t="s">
        <v>536</v>
      </c>
      <c r="G539" s="92" t="s">
        <v>101</v>
      </c>
      <c r="H539" s="93">
        <v>76</v>
      </c>
      <c r="I539" s="93">
        <v>185</v>
      </c>
      <c r="J539" s="93">
        <v>23.26</v>
      </c>
      <c r="K539" s="93" t="s">
        <v>75</v>
      </c>
      <c r="L539" s="101">
        <v>457</v>
      </c>
      <c r="M539" s="101">
        <v>0</v>
      </c>
      <c r="N539" s="101">
        <v>1.0169977942514467E+19</v>
      </c>
    </row>
    <row r="540" spans="4:14" ht="15" customHeight="1">
      <c r="D540" s="99" t="b">
        <v>0</v>
      </c>
      <c r="E540" s="94" t="s">
        <v>556</v>
      </c>
      <c r="F540" s="92" t="s">
        <v>536</v>
      </c>
      <c r="G540" s="92" t="s">
        <v>101</v>
      </c>
      <c r="H540" s="93">
        <v>76</v>
      </c>
      <c r="I540" s="93">
        <v>260</v>
      </c>
      <c r="J540" s="93">
        <v>25.38</v>
      </c>
      <c r="K540" s="93" t="s">
        <v>75</v>
      </c>
      <c r="L540" s="101">
        <v>458</v>
      </c>
      <c r="M540" s="101">
        <v>0</v>
      </c>
      <c r="N540" s="101">
        <v>1.0725334257995672E+19</v>
      </c>
    </row>
    <row r="541" spans="4:14" ht="15" customHeight="1">
      <c r="D541" s="99" t="b">
        <v>0</v>
      </c>
      <c r="E541" s="94" t="s">
        <v>557</v>
      </c>
      <c r="F541" s="92" t="s">
        <v>536</v>
      </c>
      <c r="G541" s="92" t="s">
        <v>101</v>
      </c>
      <c r="H541" s="93">
        <v>74</v>
      </c>
      <c r="I541" s="93">
        <v>185</v>
      </c>
      <c r="J541" s="93">
        <v>23.35</v>
      </c>
      <c r="K541" s="93" t="s">
        <v>75</v>
      </c>
      <c r="L541" s="101">
        <v>459</v>
      </c>
      <c r="M541" s="101">
        <v>0</v>
      </c>
      <c r="N541" s="101">
        <v>1.017016197888147E+19</v>
      </c>
    </row>
    <row r="542" spans="4:14" ht="15" customHeight="1">
      <c r="D542" s="99" t="b">
        <v>0</v>
      </c>
      <c r="E542" s="94" t="s">
        <v>558</v>
      </c>
      <c r="F542" s="92" t="s">
        <v>536</v>
      </c>
      <c r="G542" s="92" t="s">
        <v>101</v>
      </c>
      <c r="H542" s="93">
        <v>76</v>
      </c>
      <c r="I542" s="93">
        <v>221</v>
      </c>
      <c r="J542" s="93">
        <v>25.45</v>
      </c>
      <c r="K542" s="93" t="s">
        <v>75</v>
      </c>
      <c r="L542" s="101">
        <v>460</v>
      </c>
      <c r="M542" s="101">
        <v>0</v>
      </c>
      <c r="N542" s="101">
        <v>1.0621798669815398E+19</v>
      </c>
    </row>
    <row r="543" spans="4:14" ht="15" customHeight="1">
      <c r="D543" s="99" t="b">
        <v>0</v>
      </c>
      <c r="E543" s="94" t="s">
        <v>559</v>
      </c>
      <c r="F543" s="92" t="s">
        <v>536</v>
      </c>
      <c r="G543" s="92" t="s">
        <v>74</v>
      </c>
      <c r="H543" s="93">
        <v>75</v>
      </c>
      <c r="I543" s="93">
        <v>205</v>
      </c>
      <c r="J543" s="93">
        <v>26.49</v>
      </c>
      <c r="K543" s="93" t="s">
        <v>75</v>
      </c>
      <c r="L543" s="101">
        <v>461</v>
      </c>
      <c r="M543" s="101">
        <v>0</v>
      </c>
      <c r="N543" s="101">
        <v>9.8745413062407025E+18</v>
      </c>
    </row>
    <row r="544" spans="4:14" ht="15" customHeight="1">
      <c r="D544" s="99" t="b">
        <v>0</v>
      </c>
      <c r="E544" s="94" t="s">
        <v>560</v>
      </c>
      <c r="F544" s="92" t="s">
        <v>536</v>
      </c>
      <c r="G544" s="92" t="s">
        <v>74</v>
      </c>
      <c r="H544" s="93">
        <v>71</v>
      </c>
      <c r="I544" s="93">
        <v>200</v>
      </c>
      <c r="J544" s="93">
        <v>24</v>
      </c>
      <c r="K544" s="93" t="s">
        <v>75</v>
      </c>
      <c r="L544" s="101">
        <v>462</v>
      </c>
      <c r="M544" s="101">
        <v>0</v>
      </c>
      <c r="N544" s="101">
        <v>1.3571115419789674E+19</v>
      </c>
    </row>
    <row r="545" spans="4:14" ht="15" customHeight="1">
      <c r="D545" s="99" t="b">
        <v>0</v>
      </c>
      <c r="E545" s="94" t="s">
        <v>561</v>
      </c>
      <c r="F545" s="92" t="s">
        <v>536</v>
      </c>
      <c r="G545" s="92" t="s">
        <v>74</v>
      </c>
      <c r="H545" s="93">
        <v>72</v>
      </c>
      <c r="I545" s="93">
        <v>170</v>
      </c>
      <c r="J545" s="93">
        <v>24.16</v>
      </c>
      <c r="K545" s="93" t="s">
        <v>75</v>
      </c>
      <c r="L545" s="101">
        <v>463</v>
      </c>
      <c r="M545" s="101">
        <v>0</v>
      </c>
      <c r="N545" s="101">
        <v>4.8146437975675361E+18</v>
      </c>
    </row>
    <row r="546" spans="4:14" ht="15" customHeight="1">
      <c r="D546" s="99" t="b">
        <v>0</v>
      </c>
      <c r="E546" s="94" t="s">
        <v>562</v>
      </c>
      <c r="F546" s="92" t="s">
        <v>536</v>
      </c>
      <c r="G546" s="92" t="s">
        <v>74</v>
      </c>
      <c r="H546" s="93">
        <v>71</v>
      </c>
      <c r="I546" s="93">
        <v>201</v>
      </c>
      <c r="J546" s="93">
        <v>28.1</v>
      </c>
      <c r="K546" s="93" t="s">
        <v>75</v>
      </c>
      <c r="L546" s="101">
        <v>464</v>
      </c>
      <c r="M546" s="101">
        <v>0</v>
      </c>
      <c r="N546" s="101">
        <v>1.6773814734437992E+19</v>
      </c>
    </row>
    <row r="547" spans="4:14" ht="15" customHeight="1">
      <c r="D547" s="99" t="b">
        <v>0</v>
      </c>
      <c r="E547" s="94" t="s">
        <v>563</v>
      </c>
      <c r="F547" s="92" t="s">
        <v>536</v>
      </c>
      <c r="G547" s="92" t="s">
        <v>74</v>
      </c>
      <c r="H547" s="93">
        <v>73</v>
      </c>
      <c r="I547" s="93">
        <v>205</v>
      </c>
      <c r="J547" s="93">
        <v>25.65</v>
      </c>
      <c r="K547" s="93" t="s">
        <v>75</v>
      </c>
      <c r="L547" s="101">
        <v>465</v>
      </c>
      <c r="M547" s="101">
        <v>0</v>
      </c>
      <c r="N547" s="101">
        <v>1.2310143489904974E+19</v>
      </c>
    </row>
    <row r="548" spans="4:14" ht="15" customHeight="1">
      <c r="D548" s="99" t="b">
        <v>0</v>
      </c>
      <c r="E548" s="94" t="s">
        <v>564</v>
      </c>
      <c r="F548" s="92" t="s">
        <v>536</v>
      </c>
      <c r="G548" s="92" t="s">
        <v>74</v>
      </c>
      <c r="H548" s="93">
        <v>75</v>
      </c>
      <c r="I548" s="93">
        <v>185</v>
      </c>
      <c r="J548" s="93">
        <v>28.58</v>
      </c>
      <c r="K548" s="93" t="s">
        <v>75</v>
      </c>
      <c r="L548" s="101">
        <v>466</v>
      </c>
      <c r="M548" s="101">
        <v>0</v>
      </c>
      <c r="N548" s="101">
        <v>1.1488998269730535E+19</v>
      </c>
    </row>
    <row r="549" spans="4:14" ht="15" customHeight="1">
      <c r="D549" s="99" t="b">
        <v>0</v>
      </c>
      <c r="E549" s="94" t="s">
        <v>565</v>
      </c>
      <c r="F549" s="92" t="s">
        <v>536</v>
      </c>
      <c r="G549" s="92" t="s">
        <v>74</v>
      </c>
      <c r="H549" s="93">
        <v>76</v>
      </c>
      <c r="I549" s="93">
        <v>205</v>
      </c>
      <c r="J549" s="93">
        <v>32.270000000000003</v>
      </c>
      <c r="K549" s="93" t="s">
        <v>75</v>
      </c>
      <c r="L549" s="101">
        <v>467</v>
      </c>
      <c r="M549" s="101">
        <v>0</v>
      </c>
      <c r="N549" s="101">
        <v>1.4105206881948189E+19</v>
      </c>
    </row>
    <row r="550" spans="4:14" ht="15" customHeight="1">
      <c r="D550" s="99" t="b">
        <v>0</v>
      </c>
      <c r="E550" s="94" t="s">
        <v>566</v>
      </c>
      <c r="F550" s="92" t="s">
        <v>536</v>
      </c>
      <c r="G550" s="92" t="s">
        <v>74</v>
      </c>
      <c r="H550" s="93">
        <v>75</v>
      </c>
      <c r="I550" s="93">
        <v>245</v>
      </c>
      <c r="J550" s="93">
        <v>29.86</v>
      </c>
      <c r="K550" s="93" t="s">
        <v>75</v>
      </c>
      <c r="L550" s="101">
        <v>468</v>
      </c>
      <c r="M550" s="101">
        <v>0</v>
      </c>
      <c r="N550" s="101">
        <v>1.1791061012459387E+19</v>
      </c>
    </row>
    <row r="551" spans="4:14" ht="15" customHeight="1">
      <c r="D551" s="99" t="b">
        <v>0</v>
      </c>
      <c r="E551" s="94" t="s">
        <v>567</v>
      </c>
      <c r="F551" s="92" t="s">
        <v>568</v>
      </c>
      <c r="G551" s="92" t="s">
        <v>78</v>
      </c>
      <c r="H551" s="93">
        <v>71</v>
      </c>
      <c r="I551" s="93">
        <v>220</v>
      </c>
      <c r="J551" s="93">
        <v>25.14</v>
      </c>
      <c r="K551" s="93" t="s">
        <v>78</v>
      </c>
      <c r="L551" s="101">
        <v>469</v>
      </c>
      <c r="M551" s="101">
        <v>0</v>
      </c>
      <c r="N551" s="101">
        <v>6.9569486916301578E+18</v>
      </c>
    </row>
    <row r="552" spans="4:14" ht="15" customHeight="1">
      <c r="D552" s="99" t="b">
        <v>0</v>
      </c>
      <c r="E552" s="94" t="s">
        <v>569</v>
      </c>
      <c r="F552" s="92" t="s">
        <v>568</v>
      </c>
      <c r="G552" s="92" t="s">
        <v>78</v>
      </c>
      <c r="H552" s="93">
        <v>75</v>
      </c>
      <c r="I552" s="93">
        <v>210</v>
      </c>
      <c r="J552" s="93">
        <v>23.03</v>
      </c>
      <c r="K552" s="93" t="s">
        <v>78</v>
      </c>
      <c r="L552" s="101">
        <v>470</v>
      </c>
      <c r="M552" s="101">
        <v>0</v>
      </c>
      <c r="N552" s="101">
        <v>2.863948149350608E+17</v>
      </c>
    </row>
    <row r="553" spans="4:14" ht="15" customHeight="1">
      <c r="D553" s="99" t="b">
        <v>0</v>
      </c>
      <c r="E553" s="94" t="s">
        <v>570</v>
      </c>
      <c r="F553" s="92" t="s">
        <v>568</v>
      </c>
      <c r="G553" s="92" t="s">
        <v>82</v>
      </c>
      <c r="H553" s="93">
        <v>74</v>
      </c>
      <c r="I553" s="93">
        <v>220</v>
      </c>
      <c r="J553" s="93">
        <v>30.25</v>
      </c>
      <c r="K553" s="93" t="s">
        <v>83</v>
      </c>
      <c r="L553" s="101">
        <v>471</v>
      </c>
      <c r="M553" s="101">
        <v>0</v>
      </c>
      <c r="N553" s="101">
        <v>8.8031994807914557E+18</v>
      </c>
    </row>
    <row r="554" spans="4:14" ht="15" customHeight="1">
      <c r="D554" s="99" t="b">
        <v>0</v>
      </c>
      <c r="E554" s="94" t="s">
        <v>571</v>
      </c>
      <c r="F554" s="92" t="s">
        <v>568</v>
      </c>
      <c r="G554" s="92" t="s">
        <v>86</v>
      </c>
      <c r="H554" s="93">
        <v>72</v>
      </c>
      <c r="I554" s="93">
        <v>185</v>
      </c>
      <c r="J554" s="93">
        <v>30.67</v>
      </c>
      <c r="K554" s="93" t="s">
        <v>83</v>
      </c>
      <c r="L554" s="101">
        <v>472</v>
      </c>
      <c r="M554" s="101">
        <v>0</v>
      </c>
      <c r="N554" s="101">
        <v>1.2859144481796377E+19</v>
      </c>
    </row>
    <row r="555" spans="4:14" ht="15" customHeight="1">
      <c r="D555" s="99" t="b">
        <v>0</v>
      </c>
      <c r="E555" s="94" t="s">
        <v>572</v>
      </c>
      <c r="F555" s="92" t="s">
        <v>568</v>
      </c>
      <c r="G555" s="92" t="s">
        <v>86</v>
      </c>
      <c r="H555" s="93">
        <v>73</v>
      </c>
      <c r="I555" s="93">
        <v>175</v>
      </c>
      <c r="J555" s="93">
        <v>27.73</v>
      </c>
      <c r="K555" s="93" t="s">
        <v>83</v>
      </c>
      <c r="L555" s="101">
        <v>473</v>
      </c>
      <c r="M555" s="101">
        <v>0</v>
      </c>
      <c r="N555" s="101">
        <v>1.3156690965980975E+19</v>
      </c>
    </row>
    <row r="556" spans="4:14" ht="15" customHeight="1">
      <c r="D556" s="99" t="b">
        <v>0</v>
      </c>
      <c r="E556" s="94" t="s">
        <v>573</v>
      </c>
      <c r="F556" s="92" t="s">
        <v>568</v>
      </c>
      <c r="G556" s="92" t="s">
        <v>86</v>
      </c>
      <c r="H556" s="93">
        <v>73</v>
      </c>
      <c r="I556" s="93">
        <v>170</v>
      </c>
      <c r="J556" s="93">
        <v>23.34</v>
      </c>
      <c r="K556" s="93" t="s">
        <v>83</v>
      </c>
      <c r="L556" s="101">
        <v>474</v>
      </c>
      <c r="M556" s="101">
        <v>0</v>
      </c>
      <c r="N556" s="101">
        <v>1.3849926055255032E+19</v>
      </c>
    </row>
    <row r="557" spans="4:14" ht="15" customHeight="1">
      <c r="D557" s="99" t="b">
        <v>0</v>
      </c>
      <c r="E557" s="94" t="s">
        <v>574</v>
      </c>
      <c r="F557" s="92" t="s">
        <v>568</v>
      </c>
      <c r="G557" s="92" t="s">
        <v>88</v>
      </c>
      <c r="H557" s="93">
        <v>73</v>
      </c>
      <c r="I557" s="93">
        <v>180</v>
      </c>
      <c r="J557" s="93">
        <v>25.94</v>
      </c>
      <c r="K557" s="93" t="s">
        <v>83</v>
      </c>
      <c r="L557" s="101">
        <v>475</v>
      </c>
      <c r="M557" s="101">
        <v>0</v>
      </c>
      <c r="N557" s="101">
        <v>6.3180126710512722E+18</v>
      </c>
    </row>
    <row r="558" spans="4:14" ht="15" customHeight="1">
      <c r="D558" s="99" t="b">
        <v>0</v>
      </c>
      <c r="E558" s="94" t="s">
        <v>575</v>
      </c>
      <c r="F558" s="92" t="s">
        <v>568</v>
      </c>
      <c r="G558" s="92" t="s">
        <v>88</v>
      </c>
      <c r="H558" s="93">
        <v>73</v>
      </c>
      <c r="I558" s="93">
        <v>200</v>
      </c>
      <c r="J558" s="93">
        <v>31.56</v>
      </c>
      <c r="K558" s="93" t="s">
        <v>83</v>
      </c>
      <c r="L558" s="101">
        <v>476</v>
      </c>
      <c r="M558" s="101">
        <v>0</v>
      </c>
      <c r="N558" s="101">
        <v>1.5735991256391125E+19</v>
      </c>
    </row>
    <row r="559" spans="4:14" ht="15" customHeight="1">
      <c r="D559" s="99" t="b">
        <v>0</v>
      </c>
      <c r="E559" s="94" t="s">
        <v>576</v>
      </c>
      <c r="F559" s="92" t="s">
        <v>568</v>
      </c>
      <c r="G559" s="92" t="s">
        <v>90</v>
      </c>
      <c r="H559" s="93">
        <v>76</v>
      </c>
      <c r="I559" s="93">
        <v>210</v>
      </c>
      <c r="J559" s="93">
        <v>34.85</v>
      </c>
      <c r="K559" s="93" t="s">
        <v>83</v>
      </c>
      <c r="L559" s="101">
        <v>477</v>
      </c>
      <c r="M559" s="101">
        <v>0</v>
      </c>
      <c r="N559" s="101">
        <v>1.4389311092177136E+19</v>
      </c>
    </row>
    <row r="560" spans="4:14" ht="15" customHeight="1">
      <c r="D560" s="99" t="b">
        <v>0</v>
      </c>
      <c r="E560" s="94" t="s">
        <v>577</v>
      </c>
      <c r="F560" s="92" t="s">
        <v>568</v>
      </c>
      <c r="G560" s="92" t="s">
        <v>90</v>
      </c>
      <c r="H560" s="93">
        <v>72</v>
      </c>
      <c r="I560" s="93">
        <v>175</v>
      </c>
      <c r="J560" s="93">
        <v>23.98</v>
      </c>
      <c r="K560" s="93" t="s">
        <v>83</v>
      </c>
      <c r="L560" s="101">
        <v>478</v>
      </c>
      <c r="M560" s="101">
        <v>0</v>
      </c>
      <c r="N560" s="101">
        <v>5.6069731064265492E+18</v>
      </c>
    </row>
    <row r="561" spans="4:14" ht="15" customHeight="1">
      <c r="D561" s="99" t="b">
        <v>0</v>
      </c>
      <c r="E561" s="94" t="s">
        <v>578</v>
      </c>
      <c r="F561" s="92" t="s">
        <v>568</v>
      </c>
      <c r="G561" s="92" t="s">
        <v>93</v>
      </c>
      <c r="H561" s="93">
        <v>76</v>
      </c>
      <c r="I561" s="93">
        <v>220</v>
      </c>
      <c r="J561" s="93">
        <v>23.14</v>
      </c>
      <c r="K561" s="93" t="s">
        <v>93</v>
      </c>
      <c r="L561" s="101">
        <v>479</v>
      </c>
      <c r="M561" s="101">
        <v>0</v>
      </c>
      <c r="N561" s="101">
        <v>5.2671398650544282E+17</v>
      </c>
    </row>
    <row r="562" spans="4:14" ht="15" customHeight="1">
      <c r="D562" s="99" t="b">
        <v>0</v>
      </c>
      <c r="E562" s="94" t="s">
        <v>579</v>
      </c>
      <c r="F562" s="92" t="s">
        <v>568</v>
      </c>
      <c r="G562" s="92" t="s">
        <v>93</v>
      </c>
      <c r="H562" s="93">
        <v>73</v>
      </c>
      <c r="I562" s="93">
        <v>206</v>
      </c>
      <c r="J562" s="93">
        <v>28.99</v>
      </c>
      <c r="K562" s="93" t="s">
        <v>93</v>
      </c>
      <c r="L562" s="101">
        <v>480</v>
      </c>
      <c r="M562" s="101">
        <v>0</v>
      </c>
      <c r="N562" s="101">
        <v>2.4857785810928589E+18</v>
      </c>
    </row>
    <row r="563" spans="4:14" ht="15" customHeight="1">
      <c r="D563" s="99" t="b">
        <v>0</v>
      </c>
      <c r="E563" s="94" t="s">
        <v>580</v>
      </c>
      <c r="F563" s="92" t="s">
        <v>568</v>
      </c>
      <c r="G563" s="92" t="s">
        <v>93</v>
      </c>
      <c r="H563" s="93">
        <v>73</v>
      </c>
      <c r="I563" s="93">
        <v>180</v>
      </c>
      <c r="J563" s="93">
        <v>25.02</v>
      </c>
      <c r="K563" s="93" t="s">
        <v>93</v>
      </c>
      <c r="L563" s="101">
        <v>481</v>
      </c>
      <c r="M563" s="101">
        <v>0</v>
      </c>
      <c r="N563" s="101">
        <v>1.2975092498160095E+19</v>
      </c>
    </row>
    <row r="564" spans="4:14" ht="15" customHeight="1">
      <c r="D564" s="99" t="b">
        <v>0</v>
      </c>
      <c r="E564" s="94" t="s">
        <v>581</v>
      </c>
      <c r="F564" s="92" t="s">
        <v>568</v>
      </c>
      <c r="G564" s="92" t="s">
        <v>93</v>
      </c>
      <c r="H564" s="93">
        <v>73</v>
      </c>
      <c r="I564" s="93">
        <v>210</v>
      </c>
      <c r="J564" s="93">
        <v>29.85</v>
      </c>
      <c r="K564" s="93" t="s">
        <v>93</v>
      </c>
      <c r="L564" s="101">
        <v>482</v>
      </c>
      <c r="M564" s="101">
        <v>0</v>
      </c>
      <c r="N564" s="101">
        <v>1.8140967412893047E+19</v>
      </c>
    </row>
    <row r="565" spans="4:14" ht="15" customHeight="1">
      <c r="D565" s="99" t="b">
        <v>0</v>
      </c>
      <c r="E565" s="94" t="s">
        <v>582</v>
      </c>
      <c r="F565" s="92" t="s">
        <v>568</v>
      </c>
      <c r="G565" s="92" t="s">
        <v>93</v>
      </c>
      <c r="H565" s="93">
        <v>75</v>
      </c>
      <c r="I565" s="93">
        <v>195</v>
      </c>
      <c r="J565" s="93">
        <v>27.03</v>
      </c>
      <c r="K565" s="93" t="s">
        <v>93</v>
      </c>
      <c r="L565" s="101">
        <v>483</v>
      </c>
      <c r="M565" s="101">
        <v>0</v>
      </c>
      <c r="N565" s="101">
        <v>1.0973382543606524E+19</v>
      </c>
    </row>
    <row r="566" spans="4:14" ht="15" customHeight="1">
      <c r="D566" s="99" t="b">
        <v>0</v>
      </c>
      <c r="E566" s="94" t="s">
        <v>583</v>
      </c>
      <c r="F566" s="92" t="s">
        <v>568</v>
      </c>
      <c r="G566" s="92" t="s">
        <v>93</v>
      </c>
      <c r="H566" s="93">
        <v>75</v>
      </c>
      <c r="I566" s="93">
        <v>200</v>
      </c>
      <c r="J566" s="93">
        <v>25.15</v>
      </c>
      <c r="K566" s="93" t="s">
        <v>93</v>
      </c>
      <c r="L566" s="101">
        <v>484</v>
      </c>
      <c r="M566" s="101">
        <v>0</v>
      </c>
      <c r="N566" s="101">
        <v>3.8591945656489242E+18</v>
      </c>
    </row>
    <row r="567" spans="4:14" ht="15" customHeight="1">
      <c r="D567" s="99" t="b">
        <v>0</v>
      </c>
      <c r="E567" s="94" t="s">
        <v>584</v>
      </c>
      <c r="F567" s="92" t="s">
        <v>568</v>
      </c>
      <c r="G567" s="92" t="s">
        <v>93</v>
      </c>
      <c r="H567" s="93">
        <v>77</v>
      </c>
      <c r="I567" s="93">
        <v>200</v>
      </c>
      <c r="J567" s="93">
        <v>27.12</v>
      </c>
      <c r="K567" s="93" t="s">
        <v>93</v>
      </c>
      <c r="L567" s="101">
        <v>485</v>
      </c>
      <c r="M567" s="101">
        <v>0</v>
      </c>
      <c r="N567" s="101">
        <v>1.6960316107181345E+19</v>
      </c>
    </row>
    <row r="568" spans="4:14" ht="15" customHeight="1">
      <c r="D568" s="99" t="b">
        <v>0</v>
      </c>
      <c r="E568" s="94" t="s">
        <v>585</v>
      </c>
      <c r="F568" s="92" t="s">
        <v>568</v>
      </c>
      <c r="G568" s="92" t="s">
        <v>101</v>
      </c>
      <c r="H568" s="93">
        <v>73</v>
      </c>
      <c r="I568" s="93">
        <v>164</v>
      </c>
      <c r="J568" s="93">
        <v>31.63</v>
      </c>
      <c r="K568" s="93" t="s">
        <v>75</v>
      </c>
      <c r="L568" s="101">
        <v>486</v>
      </c>
      <c r="M568" s="101">
        <v>0</v>
      </c>
      <c r="N568" s="101">
        <v>3.115420927240556E+18</v>
      </c>
    </row>
    <row r="569" spans="4:14" ht="15" customHeight="1">
      <c r="D569" s="99" t="b">
        <v>0</v>
      </c>
      <c r="E569" s="94" t="s">
        <v>586</v>
      </c>
      <c r="F569" s="92" t="s">
        <v>568</v>
      </c>
      <c r="G569" s="92" t="s">
        <v>101</v>
      </c>
      <c r="H569" s="93">
        <v>72</v>
      </c>
      <c r="I569" s="93">
        <v>180</v>
      </c>
      <c r="J569" s="93">
        <v>32.619999999999997</v>
      </c>
      <c r="K569" s="93" t="s">
        <v>75</v>
      </c>
      <c r="L569" s="101">
        <v>487</v>
      </c>
      <c r="M569" s="101">
        <v>0</v>
      </c>
      <c r="N569" s="101">
        <v>9.1691174500475331E+18</v>
      </c>
    </row>
    <row r="570" spans="4:14" ht="15" customHeight="1">
      <c r="D570" s="99" t="b">
        <v>0</v>
      </c>
      <c r="E570" s="94" t="s">
        <v>587</v>
      </c>
      <c r="F570" s="92" t="s">
        <v>568</v>
      </c>
      <c r="G570" s="92" t="s">
        <v>101</v>
      </c>
      <c r="H570" s="93">
        <v>75</v>
      </c>
      <c r="I570" s="93">
        <v>220</v>
      </c>
      <c r="J570" s="93">
        <v>39.79</v>
      </c>
      <c r="K570" s="93" t="s">
        <v>75</v>
      </c>
      <c r="L570" s="101">
        <v>488</v>
      </c>
      <c r="M570" s="101">
        <v>0</v>
      </c>
      <c r="N570" s="101">
        <v>7.4155708456598907E+18</v>
      </c>
    </row>
    <row r="571" spans="4:14" ht="15" customHeight="1">
      <c r="D571" s="99" t="b">
        <v>0</v>
      </c>
      <c r="E571" s="94" t="s">
        <v>588</v>
      </c>
      <c r="F571" s="92" t="s">
        <v>568</v>
      </c>
      <c r="G571" s="92" t="s">
        <v>101</v>
      </c>
      <c r="H571" s="93">
        <v>70</v>
      </c>
      <c r="I571" s="93">
        <v>195</v>
      </c>
      <c r="J571" s="93">
        <v>34.47</v>
      </c>
      <c r="K571" s="93" t="s">
        <v>75</v>
      </c>
      <c r="L571" s="101">
        <v>489</v>
      </c>
      <c r="M571" s="101">
        <v>0</v>
      </c>
      <c r="N571" s="101">
        <v>5.3932610463260436E+18</v>
      </c>
    </row>
    <row r="572" spans="4:14" ht="15" customHeight="1">
      <c r="D572" s="99" t="b">
        <v>0</v>
      </c>
      <c r="E572" s="94" t="s">
        <v>589</v>
      </c>
      <c r="F572" s="92" t="s">
        <v>568</v>
      </c>
      <c r="G572" s="92" t="s">
        <v>101</v>
      </c>
      <c r="H572" s="93">
        <v>74</v>
      </c>
      <c r="I572" s="93">
        <v>205</v>
      </c>
      <c r="J572" s="93">
        <v>23.47</v>
      </c>
      <c r="K572" s="93" t="s">
        <v>75</v>
      </c>
      <c r="L572" s="101">
        <v>490</v>
      </c>
      <c r="M572" s="101">
        <v>0</v>
      </c>
      <c r="N572" s="101">
        <v>4.560325272574016E+18</v>
      </c>
    </row>
    <row r="573" spans="4:14" ht="15" customHeight="1">
      <c r="D573" s="99" t="b">
        <v>0</v>
      </c>
      <c r="E573" s="94" t="s">
        <v>590</v>
      </c>
      <c r="F573" s="92" t="s">
        <v>568</v>
      </c>
      <c r="G573" s="92" t="s">
        <v>101</v>
      </c>
      <c r="H573" s="93">
        <v>72</v>
      </c>
      <c r="I573" s="93">
        <v>170</v>
      </c>
      <c r="J573" s="93">
        <v>25.31</v>
      </c>
      <c r="K573" s="93" t="s">
        <v>75</v>
      </c>
      <c r="L573" s="101">
        <v>491</v>
      </c>
      <c r="M573" s="101">
        <v>0</v>
      </c>
      <c r="N573" s="101">
        <v>1.0082677279742591E+19</v>
      </c>
    </row>
    <row r="574" spans="4:14" ht="15" customHeight="1">
      <c r="D574" s="99" t="b">
        <v>0</v>
      </c>
      <c r="E574" s="94" t="s">
        <v>591</v>
      </c>
      <c r="F574" s="92" t="s">
        <v>568</v>
      </c>
      <c r="G574" s="92" t="s">
        <v>74</v>
      </c>
      <c r="H574" s="93">
        <v>80</v>
      </c>
      <c r="I574" s="93">
        <v>240</v>
      </c>
      <c r="J574" s="93">
        <v>27.1</v>
      </c>
      <c r="K574" s="93" t="s">
        <v>75</v>
      </c>
      <c r="L574" s="101">
        <v>492</v>
      </c>
      <c r="M574" s="101">
        <v>0</v>
      </c>
      <c r="N574" s="101">
        <v>5.0648383521202729E+18</v>
      </c>
    </row>
    <row r="575" spans="4:14" ht="15" customHeight="1">
      <c r="D575" s="99" t="b">
        <v>0</v>
      </c>
      <c r="E575" s="94" t="s">
        <v>592</v>
      </c>
      <c r="F575" s="92" t="s">
        <v>568</v>
      </c>
      <c r="G575" s="92" t="s">
        <v>74</v>
      </c>
      <c r="H575" s="93">
        <v>71</v>
      </c>
      <c r="I575" s="93">
        <v>210</v>
      </c>
      <c r="J575" s="93">
        <v>24.35</v>
      </c>
      <c r="K575" s="93" t="s">
        <v>75</v>
      </c>
      <c r="L575" s="101">
        <v>493</v>
      </c>
      <c r="M575" s="101">
        <v>0</v>
      </c>
      <c r="N575" s="101">
        <v>1.4625097926063827E+19</v>
      </c>
    </row>
    <row r="576" spans="4:14" ht="15" customHeight="1">
      <c r="D576" s="99" t="b">
        <v>0</v>
      </c>
      <c r="E576" s="94" t="s">
        <v>593</v>
      </c>
      <c r="F576" s="92" t="s">
        <v>568</v>
      </c>
      <c r="G576" s="92" t="s">
        <v>74</v>
      </c>
      <c r="H576" s="93">
        <v>71</v>
      </c>
      <c r="I576" s="93">
        <v>195</v>
      </c>
      <c r="J576" s="93">
        <v>23.45</v>
      </c>
      <c r="K576" s="93" t="s">
        <v>75</v>
      </c>
      <c r="L576" s="101">
        <v>494</v>
      </c>
      <c r="M576" s="101">
        <v>0</v>
      </c>
      <c r="N576" s="101">
        <v>3.0814640786681508E+18</v>
      </c>
    </row>
    <row r="577" spans="4:14" ht="15" customHeight="1">
      <c r="D577" s="99" t="b">
        <v>0</v>
      </c>
      <c r="E577" s="94" t="s">
        <v>594</v>
      </c>
      <c r="F577" s="92" t="s">
        <v>568</v>
      </c>
      <c r="G577" s="92" t="s">
        <v>74</v>
      </c>
      <c r="H577" s="93">
        <v>74</v>
      </c>
      <c r="I577" s="93">
        <v>200</v>
      </c>
      <c r="J577" s="93">
        <v>28.24</v>
      </c>
      <c r="K577" s="93" t="s">
        <v>75</v>
      </c>
      <c r="L577" s="101">
        <v>495</v>
      </c>
      <c r="M577" s="101">
        <v>0</v>
      </c>
      <c r="N577" s="101">
        <v>8.8032831931627121E+18</v>
      </c>
    </row>
    <row r="578" spans="4:14" ht="15" customHeight="1">
      <c r="D578" s="99" t="b">
        <v>0</v>
      </c>
      <c r="E578" s="94" t="s">
        <v>595</v>
      </c>
      <c r="F578" s="92" t="s">
        <v>568</v>
      </c>
      <c r="G578" s="92" t="s">
        <v>74</v>
      </c>
      <c r="H578" s="93">
        <v>74</v>
      </c>
      <c r="I578" s="93">
        <v>205</v>
      </c>
      <c r="J578" s="93">
        <v>28.77</v>
      </c>
      <c r="K578" s="93" t="s">
        <v>75</v>
      </c>
      <c r="L578" s="101">
        <v>496</v>
      </c>
      <c r="M578" s="101">
        <v>0</v>
      </c>
      <c r="N578" s="101">
        <v>8.3211242459869891E+18</v>
      </c>
    </row>
    <row r="579" spans="4:14" ht="15" customHeight="1">
      <c r="D579" s="99" t="b">
        <v>0</v>
      </c>
      <c r="E579" s="94" t="s">
        <v>596</v>
      </c>
      <c r="F579" s="92" t="s">
        <v>568</v>
      </c>
      <c r="G579" s="92" t="s">
        <v>74</v>
      </c>
      <c r="H579" s="93">
        <v>73</v>
      </c>
      <c r="I579" s="93">
        <v>192</v>
      </c>
      <c r="J579" s="93">
        <v>26.53</v>
      </c>
      <c r="K579" s="93" t="s">
        <v>75</v>
      </c>
      <c r="L579" s="101">
        <v>497</v>
      </c>
      <c r="M579" s="101">
        <v>0</v>
      </c>
      <c r="N579" s="101">
        <v>1.6828507751087694E+19</v>
      </c>
    </row>
    <row r="580" spans="4:14" ht="15" customHeight="1">
      <c r="D580" s="99" t="b">
        <v>0</v>
      </c>
      <c r="E580" s="94" t="s">
        <v>597</v>
      </c>
      <c r="F580" s="92" t="s">
        <v>568</v>
      </c>
      <c r="G580" s="92" t="s">
        <v>74</v>
      </c>
      <c r="H580" s="93">
        <v>75</v>
      </c>
      <c r="I580" s="93">
        <v>190</v>
      </c>
      <c r="J580" s="93">
        <v>25.64</v>
      </c>
      <c r="K580" s="93" t="s">
        <v>75</v>
      </c>
      <c r="L580" s="101">
        <v>498</v>
      </c>
      <c r="M580" s="101">
        <v>0</v>
      </c>
      <c r="N580" s="101">
        <v>1.946427654607414E+18</v>
      </c>
    </row>
    <row r="581" spans="4:14" ht="15" customHeight="1">
      <c r="D581" s="99" t="b">
        <v>0</v>
      </c>
      <c r="E581" s="94" t="s">
        <v>598</v>
      </c>
      <c r="F581" s="92" t="s">
        <v>568</v>
      </c>
      <c r="G581" s="92" t="s">
        <v>74</v>
      </c>
      <c r="H581" s="93">
        <v>76</v>
      </c>
      <c r="I581" s="93">
        <v>170</v>
      </c>
      <c r="J581" s="93">
        <v>25.83</v>
      </c>
      <c r="K581" s="93" t="s">
        <v>75</v>
      </c>
      <c r="L581" s="101">
        <v>499</v>
      </c>
      <c r="M581" s="101">
        <v>0</v>
      </c>
      <c r="N581" s="101">
        <v>6.7200369291617495E+18</v>
      </c>
    </row>
    <row r="582" spans="4:14" ht="15" customHeight="1">
      <c r="D582" s="99" t="b">
        <v>0</v>
      </c>
      <c r="E582" s="94" t="s">
        <v>599</v>
      </c>
      <c r="F582" s="92" t="s">
        <v>568</v>
      </c>
      <c r="G582" s="92" t="s">
        <v>74</v>
      </c>
      <c r="H582" s="93">
        <v>73</v>
      </c>
      <c r="I582" s="93">
        <v>240</v>
      </c>
      <c r="J582" s="93">
        <v>38.06</v>
      </c>
      <c r="K582" s="93" t="s">
        <v>75</v>
      </c>
      <c r="L582" s="101">
        <v>500</v>
      </c>
      <c r="M582" s="101">
        <v>0</v>
      </c>
      <c r="N582" s="101">
        <v>6.4771234857033165E+17</v>
      </c>
    </row>
    <row r="583" spans="4:14" ht="15" customHeight="1">
      <c r="D583" s="99" t="b">
        <v>0</v>
      </c>
      <c r="E583" s="94" t="s">
        <v>600</v>
      </c>
      <c r="F583" s="92" t="s">
        <v>568</v>
      </c>
      <c r="G583" s="92" t="s">
        <v>74</v>
      </c>
      <c r="H583" s="93">
        <v>77</v>
      </c>
      <c r="I583" s="93">
        <v>200</v>
      </c>
      <c r="J583" s="93">
        <v>36.380000000000003</v>
      </c>
      <c r="K583" s="93" t="s">
        <v>75</v>
      </c>
      <c r="L583" s="101">
        <v>501</v>
      </c>
      <c r="M583" s="101">
        <v>0</v>
      </c>
      <c r="N583" s="101">
        <v>1.0341405603124189E+19</v>
      </c>
    </row>
    <row r="584" spans="4:14" ht="15" customHeight="1">
      <c r="D584" s="99" t="b">
        <v>0</v>
      </c>
      <c r="E584" s="94" t="s">
        <v>601</v>
      </c>
      <c r="F584" s="92" t="s">
        <v>568</v>
      </c>
      <c r="G584" s="92" t="s">
        <v>74</v>
      </c>
      <c r="H584" s="93">
        <v>72</v>
      </c>
      <c r="I584" s="93">
        <v>205</v>
      </c>
      <c r="J584" s="93">
        <v>25.27</v>
      </c>
      <c r="K584" s="93" t="s">
        <v>75</v>
      </c>
      <c r="L584" s="101">
        <v>502</v>
      </c>
      <c r="M584" s="101">
        <v>0</v>
      </c>
      <c r="N584" s="101">
        <v>1.0697041307521778E+19</v>
      </c>
    </row>
    <row r="585" spans="4:14" ht="15" customHeight="1">
      <c r="D585" s="99" t="b">
        <v>0</v>
      </c>
      <c r="E585" s="94" t="s">
        <v>602</v>
      </c>
      <c r="F585" s="92" t="s">
        <v>568</v>
      </c>
      <c r="G585" s="92" t="s">
        <v>74</v>
      </c>
      <c r="H585" s="93">
        <v>73</v>
      </c>
      <c r="I585" s="93">
        <v>175</v>
      </c>
      <c r="J585" s="93">
        <v>27.2</v>
      </c>
      <c r="K585" s="93" t="s">
        <v>75</v>
      </c>
      <c r="L585" s="101">
        <v>503</v>
      </c>
      <c r="M585" s="101">
        <v>0</v>
      </c>
      <c r="N585" s="101">
        <v>1.065638916061023E+19</v>
      </c>
    </row>
    <row r="586" spans="4:14" ht="15" customHeight="1">
      <c r="D586" s="99" t="b">
        <v>0</v>
      </c>
      <c r="E586" s="94" t="s">
        <v>603</v>
      </c>
      <c r="F586" s="92" t="s">
        <v>568</v>
      </c>
      <c r="G586" s="92" t="s">
        <v>74</v>
      </c>
      <c r="H586" s="93">
        <v>77</v>
      </c>
      <c r="I586" s="93">
        <v>250</v>
      </c>
      <c r="J586" s="93">
        <v>31.59</v>
      </c>
      <c r="K586" s="93" t="s">
        <v>75</v>
      </c>
      <c r="L586" s="101">
        <v>504</v>
      </c>
      <c r="M586" s="101">
        <v>0</v>
      </c>
      <c r="N586" s="101">
        <v>1.9221636611295821E+18</v>
      </c>
    </row>
    <row r="587" spans="4:14" ht="15" customHeight="1">
      <c r="D587" s="99" t="b">
        <v>0</v>
      </c>
      <c r="E587" s="94" t="s">
        <v>604</v>
      </c>
      <c r="F587" s="92" t="s">
        <v>568</v>
      </c>
      <c r="G587" s="92" t="s">
        <v>74</v>
      </c>
      <c r="H587" s="93">
        <v>76</v>
      </c>
      <c r="I587" s="93">
        <v>220</v>
      </c>
      <c r="J587" s="93">
        <v>29.56</v>
      </c>
      <c r="K587" s="93" t="s">
        <v>75</v>
      </c>
      <c r="L587" s="101">
        <v>505</v>
      </c>
      <c r="M587" s="101">
        <v>0</v>
      </c>
      <c r="N587" s="101">
        <v>2.6480740057844306E+18</v>
      </c>
    </row>
    <row r="588" spans="4:14" ht="15" customHeight="1">
      <c r="D588" s="99" t="b">
        <v>0</v>
      </c>
      <c r="E588" s="94" t="s">
        <v>605</v>
      </c>
      <c r="F588" s="92" t="s">
        <v>606</v>
      </c>
      <c r="G588" s="92" t="s">
        <v>78</v>
      </c>
      <c r="H588" s="93">
        <v>71</v>
      </c>
      <c r="I588" s="93">
        <v>224</v>
      </c>
      <c r="J588" s="93">
        <v>35.5</v>
      </c>
      <c r="K588" s="93" t="s">
        <v>78</v>
      </c>
      <c r="L588" s="101">
        <v>506</v>
      </c>
      <c r="M588" s="101">
        <v>0</v>
      </c>
      <c r="N588" s="101">
        <v>1.4877249689912754E+19</v>
      </c>
    </row>
    <row r="589" spans="4:14" ht="15" customHeight="1">
      <c r="D589" s="99" t="b">
        <v>0</v>
      </c>
      <c r="E589" s="94" t="s">
        <v>607</v>
      </c>
      <c r="F589" s="92" t="s">
        <v>606</v>
      </c>
      <c r="G589" s="92" t="s">
        <v>78</v>
      </c>
      <c r="H589" s="93">
        <v>75</v>
      </c>
      <c r="I589" s="93">
        <v>210</v>
      </c>
      <c r="J589" s="93">
        <v>30.35</v>
      </c>
      <c r="K589" s="93" t="s">
        <v>78</v>
      </c>
      <c r="L589" s="101">
        <v>507</v>
      </c>
      <c r="M589" s="101">
        <v>0</v>
      </c>
      <c r="N589" s="101">
        <v>6.2644301315225672E+18</v>
      </c>
    </row>
    <row r="590" spans="4:14" ht="15" customHeight="1">
      <c r="D590" s="99" t="b">
        <v>0</v>
      </c>
      <c r="E590" s="94" t="s">
        <v>608</v>
      </c>
      <c r="F590" s="92" t="s">
        <v>606</v>
      </c>
      <c r="G590" s="92" t="s">
        <v>78</v>
      </c>
      <c r="H590" s="93">
        <v>73</v>
      </c>
      <c r="I590" s="93">
        <v>195</v>
      </c>
      <c r="J590" s="93">
        <v>24.11</v>
      </c>
      <c r="K590" s="93" t="s">
        <v>78</v>
      </c>
      <c r="L590" s="101">
        <v>508</v>
      </c>
      <c r="M590" s="101">
        <v>0</v>
      </c>
      <c r="N590" s="101">
        <v>2.721476215617598E+18</v>
      </c>
    </row>
    <row r="591" spans="4:14" ht="15" customHeight="1">
      <c r="D591" s="99" t="b">
        <v>0</v>
      </c>
      <c r="E591" s="94" t="s">
        <v>609</v>
      </c>
      <c r="F591" s="92" t="s">
        <v>606</v>
      </c>
      <c r="G591" s="92" t="s">
        <v>82</v>
      </c>
      <c r="H591" s="93">
        <v>74</v>
      </c>
      <c r="I591" s="93">
        <v>180</v>
      </c>
      <c r="J591" s="93">
        <v>23.29</v>
      </c>
      <c r="K591" s="93" t="s">
        <v>83</v>
      </c>
      <c r="L591" s="101">
        <v>509</v>
      </c>
      <c r="M591" s="101">
        <v>0</v>
      </c>
      <c r="N591" s="101">
        <v>4.6763731544306944E+18</v>
      </c>
    </row>
    <row r="592" spans="4:14" ht="15" customHeight="1">
      <c r="D592" s="99" t="b">
        <v>0</v>
      </c>
      <c r="E592" s="94" t="s">
        <v>610</v>
      </c>
      <c r="F592" s="92" t="s">
        <v>606</v>
      </c>
      <c r="G592" s="92" t="s">
        <v>82</v>
      </c>
      <c r="H592" s="93">
        <v>77</v>
      </c>
      <c r="I592" s="93">
        <v>245</v>
      </c>
      <c r="J592" s="93">
        <v>31.48</v>
      </c>
      <c r="K592" s="93" t="s">
        <v>83</v>
      </c>
      <c r="L592" s="101">
        <v>510</v>
      </c>
      <c r="M592" s="101">
        <v>0</v>
      </c>
      <c r="N592" s="101">
        <v>1.1692467362186011E+19</v>
      </c>
    </row>
    <row r="593" spans="4:14" ht="15" customHeight="1">
      <c r="D593" s="99" t="b">
        <v>0</v>
      </c>
      <c r="E593" s="94" t="s">
        <v>611</v>
      </c>
      <c r="F593" s="92" t="s">
        <v>606</v>
      </c>
      <c r="G593" s="92" t="s">
        <v>86</v>
      </c>
      <c r="H593" s="93">
        <v>71</v>
      </c>
      <c r="I593" s="93">
        <v>175</v>
      </c>
      <c r="J593" s="93">
        <v>27.23</v>
      </c>
      <c r="K593" s="93" t="s">
        <v>83</v>
      </c>
      <c r="L593" s="101">
        <v>511</v>
      </c>
      <c r="M593" s="101">
        <v>0</v>
      </c>
      <c r="N593" s="101">
        <v>1.0696436475622269E+19</v>
      </c>
    </row>
    <row r="594" spans="4:14" ht="15" customHeight="1">
      <c r="D594" s="99" t="b">
        <v>0</v>
      </c>
      <c r="E594" s="94" t="s">
        <v>612</v>
      </c>
      <c r="F594" s="92" t="s">
        <v>606</v>
      </c>
      <c r="G594" s="92" t="s">
        <v>88</v>
      </c>
      <c r="H594" s="93">
        <v>72</v>
      </c>
      <c r="I594" s="93">
        <v>180</v>
      </c>
      <c r="J594" s="93">
        <v>24.07</v>
      </c>
      <c r="K594" s="93" t="s">
        <v>83</v>
      </c>
      <c r="L594" s="101">
        <v>512</v>
      </c>
      <c r="M594" s="101">
        <v>0</v>
      </c>
      <c r="N594" s="101">
        <v>1.2413767961508213E+19</v>
      </c>
    </row>
    <row r="595" spans="4:14" ht="15" customHeight="1">
      <c r="D595" s="99" t="b">
        <v>0</v>
      </c>
      <c r="E595" s="94" t="s">
        <v>613</v>
      </c>
      <c r="F595" s="92" t="s">
        <v>606</v>
      </c>
      <c r="G595" s="92" t="s">
        <v>90</v>
      </c>
      <c r="H595" s="93">
        <v>73</v>
      </c>
      <c r="I595" s="93">
        <v>215</v>
      </c>
      <c r="J595" s="93">
        <v>28.68</v>
      </c>
      <c r="K595" s="93" t="s">
        <v>83</v>
      </c>
      <c r="L595" s="101">
        <v>513</v>
      </c>
      <c r="M595" s="101">
        <v>0</v>
      </c>
      <c r="N595" s="101">
        <v>6.2488829751710013E+18</v>
      </c>
    </row>
    <row r="596" spans="4:14" ht="15" customHeight="1">
      <c r="D596" s="99" t="b">
        <v>0</v>
      </c>
      <c r="E596" s="94" t="s">
        <v>614</v>
      </c>
      <c r="F596" s="92" t="s">
        <v>606</v>
      </c>
      <c r="G596" s="92" t="s">
        <v>90</v>
      </c>
      <c r="H596" s="93">
        <v>69</v>
      </c>
      <c r="I596" s="93">
        <v>175</v>
      </c>
      <c r="J596" s="93">
        <v>27.05</v>
      </c>
      <c r="K596" s="93" t="s">
        <v>83</v>
      </c>
      <c r="L596" s="101">
        <v>514</v>
      </c>
      <c r="M596" s="101">
        <v>0</v>
      </c>
      <c r="N596" s="101">
        <v>1.0100105635147416E+19</v>
      </c>
    </row>
    <row r="597" spans="4:14" ht="15" customHeight="1">
      <c r="D597" s="99" t="b">
        <v>0</v>
      </c>
      <c r="E597" s="94" t="s">
        <v>615</v>
      </c>
      <c r="F597" s="92" t="s">
        <v>606</v>
      </c>
      <c r="G597" s="92" t="s">
        <v>93</v>
      </c>
      <c r="H597" s="93">
        <v>73</v>
      </c>
      <c r="I597" s="93">
        <v>180</v>
      </c>
      <c r="J597" s="93">
        <v>31.15</v>
      </c>
      <c r="K597" s="93" t="s">
        <v>93</v>
      </c>
      <c r="L597" s="101">
        <v>515</v>
      </c>
      <c r="M597" s="101">
        <v>0</v>
      </c>
      <c r="N597" s="101">
        <v>9.8644202374004306E+18</v>
      </c>
    </row>
    <row r="598" spans="4:14" ht="15" customHeight="1">
      <c r="D598" s="99" t="b">
        <v>0</v>
      </c>
      <c r="E598" s="94" t="s">
        <v>616</v>
      </c>
      <c r="F598" s="92" t="s">
        <v>606</v>
      </c>
      <c r="G598" s="92" t="s">
        <v>93</v>
      </c>
      <c r="H598" s="93">
        <v>70</v>
      </c>
      <c r="I598" s="93">
        <v>195</v>
      </c>
      <c r="J598" s="93">
        <v>31.85</v>
      </c>
      <c r="K598" s="93" t="s">
        <v>93</v>
      </c>
      <c r="L598" s="101">
        <v>516</v>
      </c>
      <c r="M598" s="101">
        <v>0</v>
      </c>
      <c r="N598" s="101">
        <v>5.4953545986920561E+18</v>
      </c>
    </row>
    <row r="599" spans="4:14" ht="15" customHeight="1">
      <c r="D599" s="99" t="b">
        <v>0</v>
      </c>
      <c r="E599" s="94" t="s">
        <v>617</v>
      </c>
      <c r="F599" s="92" t="s">
        <v>606</v>
      </c>
      <c r="G599" s="92" t="s">
        <v>93</v>
      </c>
      <c r="H599" s="93">
        <v>74</v>
      </c>
      <c r="I599" s="93">
        <v>230</v>
      </c>
      <c r="J599" s="93">
        <v>31.68</v>
      </c>
      <c r="K599" s="93" t="s">
        <v>93</v>
      </c>
      <c r="L599" s="101">
        <v>517</v>
      </c>
      <c r="M599" s="101">
        <v>0</v>
      </c>
      <c r="N599" s="101">
        <v>1.3539213406842249E+19</v>
      </c>
    </row>
    <row r="600" spans="4:14" ht="15" customHeight="1">
      <c r="D600" s="99" t="b">
        <v>0</v>
      </c>
      <c r="E600" s="94" t="s">
        <v>618</v>
      </c>
      <c r="F600" s="92" t="s">
        <v>606</v>
      </c>
      <c r="G600" s="92" t="s">
        <v>93</v>
      </c>
      <c r="H600" s="93">
        <v>76</v>
      </c>
      <c r="I600" s="93">
        <v>230</v>
      </c>
      <c r="J600" s="93">
        <v>34.229999999999997</v>
      </c>
      <c r="K600" s="93" t="s">
        <v>93</v>
      </c>
      <c r="L600" s="101">
        <v>518</v>
      </c>
      <c r="M600" s="101">
        <v>0</v>
      </c>
      <c r="N600" s="101">
        <v>6.5013918263523226E+18</v>
      </c>
    </row>
    <row r="601" spans="4:14" ht="15" customHeight="1">
      <c r="D601" s="99" t="b">
        <v>0</v>
      </c>
      <c r="E601" s="94" t="s">
        <v>619</v>
      </c>
      <c r="F601" s="92" t="s">
        <v>606</v>
      </c>
      <c r="G601" s="92" t="s">
        <v>93</v>
      </c>
      <c r="H601" s="93">
        <v>73</v>
      </c>
      <c r="I601" s="93">
        <v>205</v>
      </c>
      <c r="J601" s="93">
        <v>32.01</v>
      </c>
      <c r="K601" s="93" t="s">
        <v>93</v>
      </c>
      <c r="L601" s="101">
        <v>519</v>
      </c>
      <c r="M601" s="101">
        <v>0</v>
      </c>
      <c r="N601" s="101">
        <v>1.4290587313185018E+19</v>
      </c>
    </row>
    <row r="602" spans="4:14" ht="15" customHeight="1">
      <c r="D602" s="99" t="b">
        <v>0</v>
      </c>
      <c r="E602" s="94" t="s">
        <v>620</v>
      </c>
      <c r="F602" s="92" t="s">
        <v>606</v>
      </c>
      <c r="G602" s="92" t="s">
        <v>93</v>
      </c>
      <c r="H602" s="93">
        <v>73</v>
      </c>
      <c r="I602" s="93">
        <v>215</v>
      </c>
      <c r="J602" s="93">
        <v>25.41</v>
      </c>
      <c r="K602" s="93" t="s">
        <v>93</v>
      </c>
      <c r="L602" s="101">
        <v>520</v>
      </c>
      <c r="M602" s="101">
        <v>0</v>
      </c>
      <c r="N602" s="101">
        <v>1.2297679989524189E+19</v>
      </c>
    </row>
    <row r="603" spans="4:14" ht="15" customHeight="1">
      <c r="D603" s="99" t="b">
        <v>0</v>
      </c>
      <c r="E603" s="94" t="s">
        <v>621</v>
      </c>
      <c r="F603" s="92" t="s">
        <v>606</v>
      </c>
      <c r="G603" s="92" t="s">
        <v>93</v>
      </c>
      <c r="H603" s="93">
        <v>75</v>
      </c>
      <c r="I603" s="93">
        <v>195</v>
      </c>
      <c r="J603" s="93">
        <v>24.73</v>
      </c>
      <c r="K603" s="93" t="s">
        <v>93</v>
      </c>
      <c r="L603" s="101">
        <v>521</v>
      </c>
      <c r="M603" s="101">
        <v>0</v>
      </c>
      <c r="N603" s="101">
        <v>1.1525147034992884E+19</v>
      </c>
    </row>
    <row r="604" spans="4:14" ht="15" customHeight="1">
      <c r="D604" s="99" t="b">
        <v>0</v>
      </c>
      <c r="E604" s="94" t="s">
        <v>622</v>
      </c>
      <c r="F604" s="92" t="s">
        <v>606</v>
      </c>
      <c r="G604" s="92" t="s">
        <v>93</v>
      </c>
      <c r="H604" s="93">
        <v>73</v>
      </c>
      <c r="I604" s="93">
        <v>180</v>
      </c>
      <c r="J604" s="93">
        <v>25.66</v>
      </c>
      <c r="K604" s="93" t="s">
        <v>93</v>
      </c>
      <c r="L604" s="101">
        <v>522</v>
      </c>
      <c r="M604" s="101">
        <v>0</v>
      </c>
      <c r="N604" s="101">
        <v>5.8973076326698199E+18</v>
      </c>
    </row>
    <row r="605" spans="4:14" ht="15" customHeight="1">
      <c r="D605" s="99" t="b">
        <v>0</v>
      </c>
      <c r="E605" s="94" t="s">
        <v>623</v>
      </c>
      <c r="F605" s="92" t="s">
        <v>606</v>
      </c>
      <c r="G605" s="92" t="s">
        <v>101</v>
      </c>
      <c r="H605" s="93">
        <v>79</v>
      </c>
      <c r="I605" s="93">
        <v>205</v>
      </c>
      <c r="J605" s="93">
        <v>24.5</v>
      </c>
      <c r="K605" s="93" t="s">
        <v>75</v>
      </c>
      <c r="L605" s="101">
        <v>523</v>
      </c>
      <c r="M605" s="101">
        <v>0</v>
      </c>
      <c r="N605" s="101">
        <v>1.7362336313791695E+19</v>
      </c>
    </row>
    <row r="606" spans="4:14" ht="15" customHeight="1">
      <c r="D606" s="99" t="b">
        <v>0</v>
      </c>
      <c r="E606" s="94" t="s">
        <v>624</v>
      </c>
      <c r="F606" s="92" t="s">
        <v>606</v>
      </c>
      <c r="G606" s="92" t="s">
        <v>101</v>
      </c>
      <c r="H606" s="93">
        <v>74</v>
      </c>
      <c r="I606" s="93">
        <v>180</v>
      </c>
      <c r="J606" s="93">
        <v>24.38</v>
      </c>
      <c r="K606" s="93" t="s">
        <v>75</v>
      </c>
      <c r="L606" s="101">
        <v>524</v>
      </c>
      <c r="M606" s="101">
        <v>0</v>
      </c>
      <c r="N606" s="101">
        <v>3.8485817208542019E+18</v>
      </c>
    </row>
    <row r="607" spans="4:14" ht="15" customHeight="1">
      <c r="D607" s="99" t="b">
        <v>0</v>
      </c>
      <c r="E607" s="94" t="s">
        <v>625</v>
      </c>
      <c r="F607" s="92" t="s">
        <v>606</v>
      </c>
      <c r="G607" s="92" t="s">
        <v>101</v>
      </c>
      <c r="H607" s="93">
        <v>73</v>
      </c>
      <c r="I607" s="93">
        <v>190</v>
      </c>
      <c r="J607" s="93">
        <v>26.89</v>
      </c>
      <c r="K607" s="93" t="s">
        <v>75</v>
      </c>
      <c r="L607" s="101">
        <v>525</v>
      </c>
      <c r="M607" s="101">
        <v>0</v>
      </c>
      <c r="N607" s="101">
        <v>9.8912644113363599E+18</v>
      </c>
    </row>
    <row r="608" spans="4:14" ht="15" customHeight="1">
      <c r="D608" s="99" t="b">
        <v>0</v>
      </c>
      <c r="E608" s="94" t="s">
        <v>626</v>
      </c>
      <c r="F608" s="92" t="s">
        <v>606</v>
      </c>
      <c r="G608" s="92" t="s">
        <v>101</v>
      </c>
      <c r="H608" s="93">
        <v>74</v>
      </c>
      <c r="I608" s="93">
        <v>180</v>
      </c>
      <c r="J608" s="93">
        <v>24.2</v>
      </c>
      <c r="K608" s="93" t="s">
        <v>75</v>
      </c>
      <c r="L608" s="101">
        <v>526</v>
      </c>
      <c r="M608" s="101">
        <v>0</v>
      </c>
      <c r="N608" s="101">
        <v>1.2950803965848323E+18</v>
      </c>
    </row>
    <row r="609" spans="4:14" ht="15" customHeight="1">
      <c r="D609" s="99" t="b">
        <v>0</v>
      </c>
      <c r="E609" s="94" t="s">
        <v>627</v>
      </c>
      <c r="F609" s="92" t="s">
        <v>606</v>
      </c>
      <c r="G609" s="92" t="s">
        <v>101</v>
      </c>
      <c r="H609" s="93">
        <v>77</v>
      </c>
      <c r="I609" s="93">
        <v>190</v>
      </c>
      <c r="J609" s="93">
        <v>26.97</v>
      </c>
      <c r="K609" s="93" t="s">
        <v>75</v>
      </c>
      <c r="L609" s="101">
        <v>527</v>
      </c>
      <c r="M609" s="101">
        <v>0</v>
      </c>
      <c r="N609" s="101">
        <v>4.098090157256816E+17</v>
      </c>
    </row>
    <row r="610" spans="4:14" ht="15" customHeight="1">
      <c r="D610" s="99" t="b">
        <v>0</v>
      </c>
      <c r="E610" s="94" t="s">
        <v>628</v>
      </c>
      <c r="F610" s="92" t="s">
        <v>606</v>
      </c>
      <c r="G610" s="92" t="s">
        <v>101</v>
      </c>
      <c r="H610" s="93">
        <v>75</v>
      </c>
      <c r="I610" s="93">
        <v>190</v>
      </c>
      <c r="J610" s="93">
        <v>25.21</v>
      </c>
      <c r="K610" s="93" t="s">
        <v>75</v>
      </c>
      <c r="L610" s="101">
        <v>528</v>
      </c>
      <c r="M610" s="101">
        <v>0</v>
      </c>
      <c r="N610" s="101">
        <v>6.2935357501794714E+18</v>
      </c>
    </row>
    <row r="611" spans="4:14" ht="15" customHeight="1">
      <c r="D611" s="99" t="b">
        <v>0</v>
      </c>
      <c r="E611" s="94" t="s">
        <v>629</v>
      </c>
      <c r="F611" s="92" t="s">
        <v>606</v>
      </c>
      <c r="G611" s="92" t="s">
        <v>101</v>
      </c>
      <c r="H611" s="93">
        <v>74</v>
      </c>
      <c r="I611" s="93">
        <v>220</v>
      </c>
      <c r="J611" s="93">
        <v>30.46</v>
      </c>
      <c r="K611" s="93" t="s">
        <v>75</v>
      </c>
      <c r="L611" s="101">
        <v>529</v>
      </c>
      <c r="M611" s="101">
        <v>0</v>
      </c>
      <c r="N611" s="101">
        <v>1.6054311697721764E+19</v>
      </c>
    </row>
    <row r="612" spans="4:14" ht="15" customHeight="1">
      <c r="D612" s="99" t="b">
        <v>0</v>
      </c>
      <c r="E612" s="94" t="s">
        <v>630</v>
      </c>
      <c r="F612" s="92" t="s">
        <v>606</v>
      </c>
      <c r="G612" s="92" t="s">
        <v>101</v>
      </c>
      <c r="H612" s="93">
        <v>73</v>
      </c>
      <c r="I612" s="93">
        <v>210</v>
      </c>
      <c r="J612" s="93">
        <v>28.53</v>
      </c>
      <c r="K612" s="93" t="s">
        <v>75</v>
      </c>
      <c r="L612" s="101">
        <v>530</v>
      </c>
      <c r="M612" s="101">
        <v>0</v>
      </c>
      <c r="N612" s="101">
        <v>8.524428969698602E+18</v>
      </c>
    </row>
    <row r="613" spans="4:14" ht="15" customHeight="1">
      <c r="D613" s="99" t="b">
        <v>0</v>
      </c>
      <c r="E613" s="94" t="s">
        <v>631</v>
      </c>
      <c r="F613" s="92" t="s">
        <v>606</v>
      </c>
      <c r="G613" s="92" t="s">
        <v>101</v>
      </c>
      <c r="H613" s="93">
        <v>77</v>
      </c>
      <c r="I613" s="93">
        <v>255</v>
      </c>
      <c r="J613" s="93">
        <v>25.75</v>
      </c>
      <c r="K613" s="93" t="s">
        <v>75</v>
      </c>
      <c r="L613" s="101">
        <v>531</v>
      </c>
      <c r="M613" s="101">
        <v>0</v>
      </c>
      <c r="N613" s="101">
        <v>6.6594315445392671E+18</v>
      </c>
    </row>
    <row r="614" spans="4:14" ht="15" customHeight="1">
      <c r="D614" s="99" t="b">
        <v>0</v>
      </c>
      <c r="E614" s="94" t="s">
        <v>632</v>
      </c>
      <c r="F614" s="92" t="s">
        <v>606</v>
      </c>
      <c r="G614" s="92" t="s">
        <v>101</v>
      </c>
      <c r="H614" s="93">
        <v>73</v>
      </c>
      <c r="I614" s="93">
        <v>190</v>
      </c>
      <c r="J614" s="93">
        <v>31.15</v>
      </c>
      <c r="K614" s="93" t="s">
        <v>75</v>
      </c>
      <c r="L614" s="101">
        <v>532</v>
      </c>
      <c r="M614" s="101">
        <v>0</v>
      </c>
      <c r="N614" s="101">
        <v>1.0811685497396896E+19</v>
      </c>
    </row>
    <row r="615" spans="4:14" ht="15" customHeight="1">
      <c r="D615" s="99" t="b">
        <v>0</v>
      </c>
      <c r="E615" s="94" t="s">
        <v>633</v>
      </c>
      <c r="F615" s="92" t="s">
        <v>606</v>
      </c>
      <c r="G615" s="92" t="s">
        <v>101</v>
      </c>
      <c r="H615" s="93">
        <v>77</v>
      </c>
      <c r="I615" s="93">
        <v>230</v>
      </c>
      <c r="J615" s="93">
        <v>26.48</v>
      </c>
      <c r="K615" s="93" t="s">
        <v>75</v>
      </c>
      <c r="L615" s="101">
        <v>533</v>
      </c>
      <c r="M615" s="101">
        <v>0</v>
      </c>
      <c r="N615" s="101">
        <v>2.7521086948445486E+18</v>
      </c>
    </row>
    <row r="616" spans="4:14" ht="15" customHeight="1">
      <c r="D616" s="99" t="b">
        <v>0</v>
      </c>
      <c r="E616" s="94" t="s">
        <v>634</v>
      </c>
      <c r="F616" s="92" t="s">
        <v>606</v>
      </c>
      <c r="G616" s="92" t="s">
        <v>74</v>
      </c>
      <c r="H616" s="93">
        <v>74</v>
      </c>
      <c r="I616" s="93">
        <v>200</v>
      </c>
      <c r="J616" s="93">
        <v>26.93</v>
      </c>
      <c r="K616" s="93" t="s">
        <v>75</v>
      </c>
      <c r="L616" s="101">
        <v>534</v>
      </c>
      <c r="M616" s="101">
        <v>0</v>
      </c>
      <c r="N616" s="101">
        <v>2.3758468226939965E+18</v>
      </c>
    </row>
    <row r="617" spans="4:14" ht="15" customHeight="1">
      <c r="D617" s="99" t="b">
        <v>0</v>
      </c>
      <c r="E617" s="94" t="s">
        <v>635</v>
      </c>
      <c r="F617" s="92" t="s">
        <v>606</v>
      </c>
      <c r="G617" s="92" t="s">
        <v>74</v>
      </c>
      <c r="H617" s="93">
        <v>74</v>
      </c>
      <c r="I617" s="93">
        <v>205</v>
      </c>
      <c r="J617" s="93">
        <v>29.55</v>
      </c>
      <c r="K617" s="93" t="s">
        <v>75</v>
      </c>
      <c r="L617" s="101">
        <v>535</v>
      </c>
      <c r="M617" s="101">
        <v>0</v>
      </c>
      <c r="N617" s="101">
        <v>2.3029959964079826E+18</v>
      </c>
    </row>
    <row r="618" spans="4:14" ht="15" customHeight="1">
      <c r="D618" s="99" t="b">
        <v>0</v>
      </c>
      <c r="E618" s="94" t="s">
        <v>636</v>
      </c>
      <c r="F618" s="92" t="s">
        <v>606</v>
      </c>
      <c r="G618" s="92" t="s">
        <v>74</v>
      </c>
      <c r="H618" s="93">
        <v>73</v>
      </c>
      <c r="I618" s="93">
        <v>210</v>
      </c>
      <c r="J618" s="93">
        <v>34.75</v>
      </c>
      <c r="K618" s="93" t="s">
        <v>75</v>
      </c>
      <c r="L618" s="101">
        <v>536</v>
      </c>
      <c r="M618" s="101">
        <v>0</v>
      </c>
      <c r="N618" s="101">
        <v>7.9300012831573568E+17</v>
      </c>
    </row>
    <row r="619" spans="4:14" ht="15" customHeight="1">
      <c r="D619" s="99" t="b">
        <v>0</v>
      </c>
      <c r="E619" s="94" t="s">
        <v>637</v>
      </c>
      <c r="F619" s="92" t="s">
        <v>606</v>
      </c>
      <c r="G619" s="92" t="s">
        <v>74</v>
      </c>
      <c r="H619" s="93">
        <v>77</v>
      </c>
      <c r="I619" s="93">
        <v>225</v>
      </c>
      <c r="J619" s="93">
        <v>29.71</v>
      </c>
      <c r="K619" s="93" t="s">
        <v>75</v>
      </c>
      <c r="L619" s="101">
        <v>537</v>
      </c>
      <c r="M619" s="101">
        <v>0</v>
      </c>
      <c r="N619" s="101">
        <v>5.4185345271720735E+18</v>
      </c>
    </row>
    <row r="620" spans="4:14" ht="15" customHeight="1">
      <c r="D620" s="99" t="b">
        <v>0</v>
      </c>
      <c r="E620" s="94" t="s">
        <v>638</v>
      </c>
      <c r="F620" s="92" t="s">
        <v>606</v>
      </c>
      <c r="G620" s="92" t="s">
        <v>74</v>
      </c>
      <c r="H620" s="93">
        <v>74</v>
      </c>
      <c r="I620" s="93">
        <v>215</v>
      </c>
      <c r="J620" s="93">
        <v>29.83</v>
      </c>
      <c r="K620" s="93" t="s">
        <v>75</v>
      </c>
      <c r="L620" s="101">
        <v>538</v>
      </c>
      <c r="M620" s="101">
        <v>0</v>
      </c>
      <c r="N620" s="101">
        <v>6.4744318838741791E+18</v>
      </c>
    </row>
    <row r="621" spans="4:14" ht="15" customHeight="1">
      <c r="D621" s="99" t="b">
        <v>0</v>
      </c>
      <c r="E621" s="94" t="s">
        <v>639</v>
      </c>
      <c r="F621" s="92" t="s">
        <v>606</v>
      </c>
      <c r="G621" s="92" t="s">
        <v>74</v>
      </c>
      <c r="H621" s="93">
        <v>77</v>
      </c>
      <c r="I621" s="93">
        <v>220</v>
      </c>
      <c r="J621" s="93">
        <v>33.57</v>
      </c>
      <c r="K621" s="93" t="s">
        <v>75</v>
      </c>
      <c r="L621" s="101">
        <v>539</v>
      </c>
      <c r="M621" s="101">
        <v>0</v>
      </c>
      <c r="N621" s="101">
        <v>1.2408739700434141E+19</v>
      </c>
    </row>
    <row r="622" spans="4:14" ht="15" customHeight="1">
      <c r="D622" s="99" t="b">
        <v>0</v>
      </c>
      <c r="E622" s="94" t="s">
        <v>640</v>
      </c>
      <c r="F622" s="92" t="s">
        <v>606</v>
      </c>
      <c r="G622" s="92" t="s">
        <v>74</v>
      </c>
      <c r="H622" s="93">
        <v>75</v>
      </c>
      <c r="I622" s="93">
        <v>205</v>
      </c>
      <c r="J622" s="93">
        <v>28.21</v>
      </c>
      <c r="K622" s="93" t="s">
        <v>75</v>
      </c>
      <c r="L622" s="101">
        <v>540</v>
      </c>
      <c r="M622" s="101">
        <v>0</v>
      </c>
      <c r="N622" s="101">
        <v>1.1571250562811464E+19</v>
      </c>
    </row>
    <row r="623" spans="4:14" ht="15" customHeight="1">
      <c r="D623" s="99" t="b">
        <v>0</v>
      </c>
      <c r="E623" s="94" t="s">
        <v>641</v>
      </c>
      <c r="F623" s="92" t="s">
        <v>606</v>
      </c>
      <c r="G623" s="92" t="s">
        <v>74</v>
      </c>
      <c r="H623" s="93">
        <v>77</v>
      </c>
      <c r="I623" s="93">
        <v>200</v>
      </c>
      <c r="J623" s="93">
        <v>27.54</v>
      </c>
      <c r="K623" s="93" t="s">
        <v>75</v>
      </c>
      <c r="L623" s="101">
        <v>541</v>
      </c>
      <c r="M623" s="101">
        <v>0</v>
      </c>
      <c r="N623" s="101">
        <v>1.2676453710422761E+19</v>
      </c>
    </row>
    <row r="624" spans="4:14" ht="15" customHeight="1">
      <c r="D624" s="99" t="b">
        <v>0</v>
      </c>
      <c r="E624" s="94" t="s">
        <v>642</v>
      </c>
      <c r="F624" s="92" t="s">
        <v>643</v>
      </c>
      <c r="G624" s="92" t="s">
        <v>78</v>
      </c>
      <c r="H624" s="93">
        <v>75</v>
      </c>
      <c r="I624" s="93">
        <v>220</v>
      </c>
      <c r="J624" s="93">
        <v>26.05</v>
      </c>
      <c r="K624" s="93" t="s">
        <v>78</v>
      </c>
      <c r="L624" s="101">
        <v>542</v>
      </c>
      <c r="M624" s="101">
        <v>0</v>
      </c>
      <c r="N624" s="101">
        <v>5.8335423761006582E+18</v>
      </c>
    </row>
    <row r="625" spans="4:14" ht="15" customHeight="1">
      <c r="D625" s="99" t="b">
        <v>0</v>
      </c>
      <c r="E625" s="94" t="s">
        <v>644</v>
      </c>
      <c r="F625" s="92" t="s">
        <v>643</v>
      </c>
      <c r="G625" s="92" t="s">
        <v>78</v>
      </c>
      <c r="H625" s="93">
        <v>71</v>
      </c>
      <c r="I625" s="93">
        <v>197</v>
      </c>
      <c r="J625" s="93">
        <v>23.64</v>
      </c>
      <c r="K625" s="93" t="s">
        <v>78</v>
      </c>
      <c r="L625" s="101">
        <v>543</v>
      </c>
      <c r="M625" s="101">
        <v>0</v>
      </c>
      <c r="N625" s="101">
        <v>1.6334378614377898E+19</v>
      </c>
    </row>
    <row r="626" spans="4:14" ht="15" customHeight="1">
      <c r="D626" s="99" t="b">
        <v>0</v>
      </c>
      <c r="E626" s="94" t="s">
        <v>645</v>
      </c>
      <c r="F626" s="92" t="s">
        <v>643</v>
      </c>
      <c r="G626" s="92" t="s">
        <v>82</v>
      </c>
      <c r="H626" s="93">
        <v>74</v>
      </c>
      <c r="I626" s="93">
        <v>225</v>
      </c>
      <c r="J626" s="93">
        <v>24.82</v>
      </c>
      <c r="K626" s="93" t="s">
        <v>83</v>
      </c>
      <c r="L626" s="101">
        <v>544</v>
      </c>
      <c r="M626" s="101">
        <v>0</v>
      </c>
      <c r="N626" s="101">
        <v>7.3954810399620992E+17</v>
      </c>
    </row>
    <row r="627" spans="4:14" ht="15" customHeight="1">
      <c r="D627" s="99" t="b">
        <v>0</v>
      </c>
      <c r="E627" s="94" t="s">
        <v>646</v>
      </c>
      <c r="F627" s="92" t="s">
        <v>643</v>
      </c>
      <c r="G627" s="92" t="s">
        <v>82</v>
      </c>
      <c r="H627" s="93">
        <v>70</v>
      </c>
      <c r="I627" s="93">
        <v>187</v>
      </c>
      <c r="J627" s="93">
        <v>29.8</v>
      </c>
      <c r="K627" s="93" t="s">
        <v>83</v>
      </c>
      <c r="L627" s="101">
        <v>545</v>
      </c>
      <c r="M627" s="101">
        <v>0</v>
      </c>
      <c r="N627" s="101">
        <v>1.3206382721580032E+19</v>
      </c>
    </row>
    <row r="628" spans="4:14" ht="15" customHeight="1">
      <c r="D628" s="99" t="b">
        <v>0</v>
      </c>
      <c r="E628" s="94" t="s">
        <v>647</v>
      </c>
      <c r="F628" s="92" t="s">
        <v>643</v>
      </c>
      <c r="G628" s="92" t="s">
        <v>82</v>
      </c>
      <c r="H628" s="93">
        <v>79</v>
      </c>
      <c r="I628" s="93">
        <v>245</v>
      </c>
      <c r="J628" s="93">
        <v>34.71</v>
      </c>
      <c r="K628" s="93" t="s">
        <v>83</v>
      </c>
      <c r="L628" s="101">
        <v>546</v>
      </c>
      <c r="M628" s="101">
        <v>0</v>
      </c>
      <c r="N628" s="101">
        <v>1.3329669050091177E+18</v>
      </c>
    </row>
    <row r="629" spans="4:14" ht="15" customHeight="1">
      <c r="D629" s="99" t="b">
        <v>0</v>
      </c>
      <c r="E629" s="94" t="s">
        <v>648</v>
      </c>
      <c r="F629" s="92" t="s">
        <v>643</v>
      </c>
      <c r="G629" s="92" t="s">
        <v>86</v>
      </c>
      <c r="H629" s="93">
        <v>72</v>
      </c>
      <c r="I629" s="93">
        <v>185</v>
      </c>
      <c r="J629" s="93">
        <v>29.22</v>
      </c>
      <c r="K629" s="93" t="s">
        <v>83</v>
      </c>
      <c r="L629" s="101">
        <v>547</v>
      </c>
      <c r="M629" s="101">
        <v>0</v>
      </c>
      <c r="N629" s="101">
        <v>1.3416628487678417E+19</v>
      </c>
    </row>
    <row r="630" spans="4:14" ht="15" customHeight="1">
      <c r="D630" s="99" t="b">
        <v>0</v>
      </c>
      <c r="E630" s="94" t="s">
        <v>649</v>
      </c>
      <c r="F630" s="92" t="s">
        <v>643</v>
      </c>
      <c r="G630" s="92" t="s">
        <v>88</v>
      </c>
      <c r="H630" s="93">
        <v>72</v>
      </c>
      <c r="I630" s="93">
        <v>185</v>
      </c>
      <c r="J630" s="93">
        <v>23.96</v>
      </c>
      <c r="K630" s="93" t="s">
        <v>83</v>
      </c>
      <c r="L630" s="101">
        <v>548</v>
      </c>
      <c r="M630" s="101">
        <v>0</v>
      </c>
      <c r="N630" s="101">
        <v>1.1068297699298296E+19</v>
      </c>
    </row>
    <row r="631" spans="4:14" ht="15" customHeight="1">
      <c r="D631" s="99" t="b">
        <v>0</v>
      </c>
      <c r="E631" s="94" t="s">
        <v>650</v>
      </c>
      <c r="F631" s="92" t="s">
        <v>643</v>
      </c>
      <c r="G631" s="92" t="s">
        <v>88</v>
      </c>
      <c r="H631" s="93">
        <v>70</v>
      </c>
      <c r="I631" s="93">
        <v>175</v>
      </c>
      <c r="J631" s="93">
        <v>23.87</v>
      </c>
      <c r="K631" s="93" t="s">
        <v>83</v>
      </c>
      <c r="L631" s="101">
        <v>549</v>
      </c>
      <c r="M631" s="101">
        <v>0</v>
      </c>
      <c r="N631" s="101">
        <v>9.9588291032997926E+17</v>
      </c>
    </row>
    <row r="632" spans="4:14" ht="15" customHeight="1">
      <c r="D632" s="99" t="b">
        <v>0</v>
      </c>
      <c r="E632" s="94" t="s">
        <v>651</v>
      </c>
      <c r="F632" s="92" t="s">
        <v>643</v>
      </c>
      <c r="G632" s="92" t="s">
        <v>90</v>
      </c>
      <c r="H632" s="93">
        <v>74</v>
      </c>
      <c r="I632" s="93">
        <v>200</v>
      </c>
      <c r="J632" s="93">
        <v>26.77</v>
      </c>
      <c r="K632" s="93" t="s">
        <v>83</v>
      </c>
      <c r="L632" s="101">
        <v>550</v>
      </c>
      <c r="M632" s="101">
        <v>0</v>
      </c>
      <c r="N632" s="101">
        <v>5.6842149052563292E+18</v>
      </c>
    </row>
    <row r="633" spans="4:14" ht="15" customHeight="1">
      <c r="D633" s="99" t="b">
        <v>0</v>
      </c>
      <c r="E633" s="94" t="s">
        <v>72</v>
      </c>
      <c r="F633" s="92" t="s">
        <v>643</v>
      </c>
      <c r="G633" s="92" t="s">
        <v>93</v>
      </c>
      <c r="H633" s="93">
        <v>74</v>
      </c>
      <c r="I633" s="93">
        <v>180</v>
      </c>
      <c r="J633" s="93">
        <v>23.49</v>
      </c>
      <c r="K633" s="93" t="s">
        <v>93</v>
      </c>
      <c r="L633" s="101">
        <v>551</v>
      </c>
      <c r="M633" s="101">
        <v>0</v>
      </c>
      <c r="N633" s="101">
        <v>7.1422992224106112E+17</v>
      </c>
    </row>
    <row r="634" spans="4:14" ht="15" customHeight="1">
      <c r="D634" s="99" t="b">
        <v>0</v>
      </c>
      <c r="E634" s="94" t="s">
        <v>652</v>
      </c>
      <c r="F634" s="92" t="s">
        <v>643</v>
      </c>
      <c r="G634" s="92" t="s">
        <v>93</v>
      </c>
      <c r="H634" s="93">
        <v>72</v>
      </c>
      <c r="I634" s="93">
        <v>188</v>
      </c>
      <c r="J634" s="93">
        <v>26.77</v>
      </c>
      <c r="K634" s="93" t="s">
        <v>93</v>
      </c>
      <c r="L634" s="101">
        <v>552</v>
      </c>
      <c r="M634" s="101">
        <v>0</v>
      </c>
      <c r="N634" s="101">
        <v>3.4299128034276664E+18</v>
      </c>
    </row>
    <row r="635" spans="4:14" ht="15" customHeight="1">
      <c r="D635" s="99" t="b">
        <v>0</v>
      </c>
      <c r="E635" s="94" t="s">
        <v>653</v>
      </c>
      <c r="F635" s="92" t="s">
        <v>643</v>
      </c>
      <c r="G635" s="92" t="s">
        <v>93</v>
      </c>
      <c r="H635" s="93">
        <v>73</v>
      </c>
      <c r="I635" s="93">
        <v>225</v>
      </c>
      <c r="J635" s="93">
        <v>24.51</v>
      </c>
      <c r="K635" s="93" t="s">
        <v>93</v>
      </c>
      <c r="L635" s="101">
        <v>553</v>
      </c>
      <c r="M635" s="101">
        <v>0</v>
      </c>
      <c r="N635" s="101">
        <v>2.4797752687920358E+18</v>
      </c>
    </row>
    <row r="636" spans="4:14" ht="15" customHeight="1">
      <c r="D636" s="99" t="b">
        <v>0</v>
      </c>
      <c r="E636" s="94" t="s">
        <v>654</v>
      </c>
      <c r="F636" s="92" t="s">
        <v>643</v>
      </c>
      <c r="G636" s="92" t="s">
        <v>93</v>
      </c>
      <c r="H636" s="93">
        <v>72</v>
      </c>
      <c r="I636" s="93">
        <v>200</v>
      </c>
      <c r="J636" s="93">
        <v>33.229999999999997</v>
      </c>
      <c r="K636" s="93" t="s">
        <v>93</v>
      </c>
      <c r="L636" s="101">
        <v>554</v>
      </c>
      <c r="M636" s="101">
        <v>0</v>
      </c>
      <c r="N636" s="101">
        <v>1.3328887429252198E+19</v>
      </c>
    </row>
    <row r="637" spans="4:14" ht="15" customHeight="1">
      <c r="D637" s="99" t="b">
        <v>0</v>
      </c>
      <c r="E637" s="94" t="s">
        <v>655</v>
      </c>
      <c r="F637" s="92" t="s">
        <v>643</v>
      </c>
      <c r="G637" s="92" t="s">
        <v>93</v>
      </c>
      <c r="H637" s="93">
        <v>74</v>
      </c>
      <c r="I637" s="93">
        <v>210</v>
      </c>
      <c r="J637" s="93">
        <v>31.04</v>
      </c>
      <c r="K637" s="93" t="s">
        <v>93</v>
      </c>
      <c r="L637" s="101">
        <v>555</v>
      </c>
      <c r="M637" s="101">
        <v>0</v>
      </c>
      <c r="N637" s="101">
        <v>2.7373483011361884E+18</v>
      </c>
    </row>
    <row r="638" spans="4:14" ht="15" customHeight="1">
      <c r="D638" s="99" t="b">
        <v>0</v>
      </c>
      <c r="E638" s="94" t="s">
        <v>656</v>
      </c>
      <c r="F638" s="92" t="s">
        <v>643</v>
      </c>
      <c r="G638" s="92" t="s">
        <v>101</v>
      </c>
      <c r="H638" s="93">
        <v>74</v>
      </c>
      <c r="I638" s="93">
        <v>245</v>
      </c>
      <c r="J638" s="93">
        <v>32.020000000000003</v>
      </c>
      <c r="K638" s="93" t="s">
        <v>75</v>
      </c>
      <c r="L638" s="101">
        <v>556</v>
      </c>
      <c r="M638" s="101">
        <v>0</v>
      </c>
      <c r="N638" s="101">
        <v>1.9303925368987789E+18</v>
      </c>
    </row>
    <row r="639" spans="4:14" ht="15" customHeight="1">
      <c r="D639" s="99" t="b">
        <v>0</v>
      </c>
      <c r="E639" s="94" t="s">
        <v>657</v>
      </c>
      <c r="F639" s="92" t="s">
        <v>643</v>
      </c>
      <c r="G639" s="92" t="s">
        <v>101</v>
      </c>
      <c r="H639" s="93">
        <v>76</v>
      </c>
      <c r="I639" s="93">
        <v>213</v>
      </c>
      <c r="J639" s="93">
        <v>31.44</v>
      </c>
      <c r="K639" s="93" t="s">
        <v>75</v>
      </c>
      <c r="L639" s="101">
        <v>557</v>
      </c>
      <c r="M639" s="101">
        <v>0</v>
      </c>
      <c r="N639" s="101">
        <v>3.1219451264574966E+18</v>
      </c>
    </row>
    <row r="640" spans="4:14" ht="15" customHeight="1">
      <c r="D640" s="99" t="b">
        <v>0</v>
      </c>
      <c r="E640" s="94" t="s">
        <v>658</v>
      </c>
      <c r="F640" s="92" t="s">
        <v>643</v>
      </c>
      <c r="G640" s="92" t="s">
        <v>101</v>
      </c>
      <c r="H640" s="93">
        <v>82</v>
      </c>
      <c r="I640" s="93">
        <v>231</v>
      </c>
      <c r="J640" s="93">
        <v>43.47</v>
      </c>
      <c r="K640" s="93" t="s">
        <v>75</v>
      </c>
      <c r="L640" s="101">
        <v>558</v>
      </c>
      <c r="M640" s="101">
        <v>0</v>
      </c>
      <c r="N640" s="101">
        <v>1.378980077177728E+18</v>
      </c>
    </row>
    <row r="641" spans="4:14" ht="15" customHeight="1">
      <c r="D641" s="99" t="b">
        <v>0</v>
      </c>
      <c r="E641" s="94" t="s">
        <v>659</v>
      </c>
      <c r="F641" s="92" t="s">
        <v>643</v>
      </c>
      <c r="G641" s="92" t="s">
        <v>101</v>
      </c>
      <c r="H641" s="93">
        <v>74</v>
      </c>
      <c r="I641" s="93">
        <v>165</v>
      </c>
      <c r="J641" s="93">
        <v>28.38</v>
      </c>
      <c r="K641" s="93" t="s">
        <v>75</v>
      </c>
      <c r="L641" s="101">
        <v>559</v>
      </c>
      <c r="M641" s="101">
        <v>0</v>
      </c>
      <c r="N641" s="101">
        <v>9.0424283535812454E+18</v>
      </c>
    </row>
    <row r="642" spans="4:14" ht="15" customHeight="1">
      <c r="D642" s="99" t="b">
        <v>0</v>
      </c>
      <c r="E642" s="94" t="s">
        <v>660</v>
      </c>
      <c r="F642" s="92" t="s">
        <v>643</v>
      </c>
      <c r="G642" s="92" t="s">
        <v>101</v>
      </c>
      <c r="H642" s="93">
        <v>74</v>
      </c>
      <c r="I642" s="93">
        <v>228</v>
      </c>
      <c r="J642" s="93">
        <v>27.81</v>
      </c>
      <c r="K642" s="93" t="s">
        <v>75</v>
      </c>
      <c r="L642" s="101">
        <v>560</v>
      </c>
      <c r="M642" s="101">
        <v>0</v>
      </c>
      <c r="N642" s="101">
        <v>9.2293942800138465E+18</v>
      </c>
    </row>
    <row r="643" spans="4:14" ht="15" customHeight="1">
      <c r="D643" s="99" t="b">
        <v>0</v>
      </c>
      <c r="E643" s="94" t="s">
        <v>661</v>
      </c>
      <c r="F643" s="92" t="s">
        <v>643</v>
      </c>
      <c r="G643" s="92" t="s">
        <v>101</v>
      </c>
      <c r="H643" s="93">
        <v>70</v>
      </c>
      <c r="I643" s="93">
        <v>210</v>
      </c>
      <c r="J643" s="93">
        <v>24.57</v>
      </c>
      <c r="K643" s="93" t="s">
        <v>75</v>
      </c>
      <c r="L643" s="101">
        <v>561</v>
      </c>
      <c r="M643" s="101">
        <v>0</v>
      </c>
      <c r="N643" s="101">
        <v>1.4324664776140485E+19</v>
      </c>
    </row>
    <row r="644" spans="4:14" ht="15" customHeight="1">
      <c r="D644" s="99" t="b">
        <v>0</v>
      </c>
      <c r="E644" s="94" t="s">
        <v>662</v>
      </c>
      <c r="F644" s="92" t="s">
        <v>643</v>
      </c>
      <c r="G644" s="92" t="s">
        <v>101</v>
      </c>
      <c r="H644" s="93">
        <v>73</v>
      </c>
      <c r="I644" s="93">
        <v>250</v>
      </c>
      <c r="J644" s="93">
        <v>23.34</v>
      </c>
      <c r="K644" s="93" t="s">
        <v>75</v>
      </c>
      <c r="L644" s="101">
        <v>562</v>
      </c>
      <c r="M644" s="101">
        <v>0</v>
      </c>
      <c r="N644" s="101">
        <v>8.6572703515815086E+18</v>
      </c>
    </row>
    <row r="645" spans="4:14" ht="15" customHeight="1">
      <c r="D645" s="99" t="b">
        <v>0</v>
      </c>
      <c r="E645" s="94" t="s">
        <v>663</v>
      </c>
      <c r="F645" s="92" t="s">
        <v>643</v>
      </c>
      <c r="G645" s="92" t="s">
        <v>74</v>
      </c>
      <c r="H645" s="93">
        <v>73</v>
      </c>
      <c r="I645" s="93">
        <v>191</v>
      </c>
      <c r="J645" s="93">
        <v>27.09</v>
      </c>
      <c r="K645" s="93" t="s">
        <v>75</v>
      </c>
      <c r="L645" s="101">
        <v>563</v>
      </c>
      <c r="M645" s="101">
        <v>0</v>
      </c>
      <c r="N645" s="101">
        <v>1.105243095486771E+19</v>
      </c>
    </row>
    <row r="646" spans="4:14" ht="15" customHeight="1">
      <c r="D646" s="99" t="b">
        <v>0</v>
      </c>
      <c r="E646" s="94" t="s">
        <v>574</v>
      </c>
      <c r="F646" s="92" t="s">
        <v>643</v>
      </c>
      <c r="G646" s="92" t="s">
        <v>74</v>
      </c>
      <c r="H646" s="93">
        <v>74</v>
      </c>
      <c r="I646" s="93">
        <v>190</v>
      </c>
      <c r="J646" s="93">
        <v>25.14</v>
      </c>
      <c r="K646" s="93" t="s">
        <v>75</v>
      </c>
      <c r="L646" s="101">
        <v>564</v>
      </c>
      <c r="M646" s="101">
        <v>0</v>
      </c>
      <c r="N646" s="101">
        <v>1.3483513508490619E+19</v>
      </c>
    </row>
    <row r="647" spans="4:14" ht="15" customHeight="1">
      <c r="D647" s="99" t="b">
        <v>0</v>
      </c>
      <c r="E647" s="94" t="s">
        <v>664</v>
      </c>
      <c r="F647" s="92" t="s">
        <v>643</v>
      </c>
      <c r="G647" s="92" t="s">
        <v>74</v>
      </c>
      <c r="H647" s="93">
        <v>77</v>
      </c>
      <c r="I647" s="93">
        <v>200</v>
      </c>
      <c r="J647" s="93">
        <v>27.07</v>
      </c>
      <c r="K647" s="93" t="s">
        <v>75</v>
      </c>
      <c r="L647" s="101">
        <v>565</v>
      </c>
      <c r="M647" s="101">
        <v>0</v>
      </c>
      <c r="N647" s="101">
        <v>1.1407916727771435E+19</v>
      </c>
    </row>
    <row r="648" spans="4:14" ht="15" customHeight="1">
      <c r="D648" s="99" t="b">
        <v>0</v>
      </c>
      <c r="E648" s="94" t="s">
        <v>665</v>
      </c>
      <c r="F648" s="92" t="s">
        <v>643</v>
      </c>
      <c r="G648" s="92" t="s">
        <v>74</v>
      </c>
      <c r="H648" s="93">
        <v>72</v>
      </c>
      <c r="I648" s="93">
        <v>215</v>
      </c>
      <c r="J648" s="93">
        <v>24.02</v>
      </c>
      <c r="K648" s="93" t="s">
        <v>75</v>
      </c>
      <c r="L648" s="101">
        <v>566</v>
      </c>
      <c r="M648" s="101">
        <v>0</v>
      </c>
      <c r="N648" s="101">
        <v>1.3117514088383988E+19</v>
      </c>
    </row>
    <row r="649" spans="4:14" ht="15" customHeight="1">
      <c r="D649" s="99" t="b">
        <v>0</v>
      </c>
      <c r="E649" s="94" t="s">
        <v>666</v>
      </c>
      <c r="F649" s="92" t="s">
        <v>643</v>
      </c>
      <c r="G649" s="92" t="s">
        <v>74</v>
      </c>
      <c r="H649" s="93">
        <v>76</v>
      </c>
      <c r="I649" s="93">
        <v>254</v>
      </c>
      <c r="J649" s="93">
        <v>27.6</v>
      </c>
      <c r="K649" s="93" t="s">
        <v>75</v>
      </c>
      <c r="L649" s="101">
        <v>567</v>
      </c>
      <c r="M649" s="101">
        <v>0</v>
      </c>
      <c r="N649" s="101">
        <v>1.147034684861697E+19</v>
      </c>
    </row>
    <row r="650" spans="4:14" ht="15" customHeight="1">
      <c r="D650" s="99" t="b">
        <v>0</v>
      </c>
      <c r="E650" s="94" t="s">
        <v>667</v>
      </c>
      <c r="F650" s="92" t="s">
        <v>643</v>
      </c>
      <c r="G650" s="92" t="s">
        <v>74</v>
      </c>
      <c r="H650" s="93">
        <v>73</v>
      </c>
      <c r="I650" s="93">
        <v>232</v>
      </c>
      <c r="J650" s="93">
        <v>27.99</v>
      </c>
      <c r="K650" s="93" t="s">
        <v>75</v>
      </c>
      <c r="L650" s="101">
        <v>568</v>
      </c>
      <c r="M650" s="101">
        <v>0</v>
      </c>
      <c r="N650" s="101">
        <v>1.0061865961219389E+19</v>
      </c>
    </row>
    <row r="651" spans="4:14" ht="15" customHeight="1">
      <c r="D651" s="99" t="b">
        <v>0</v>
      </c>
      <c r="E651" s="94" t="s">
        <v>668</v>
      </c>
      <c r="F651" s="92" t="s">
        <v>643</v>
      </c>
      <c r="G651" s="92" t="s">
        <v>74</v>
      </c>
      <c r="H651" s="93">
        <v>73</v>
      </c>
      <c r="I651" s="93">
        <v>180</v>
      </c>
      <c r="J651" s="93">
        <v>27.56</v>
      </c>
      <c r="K651" s="93" t="s">
        <v>75</v>
      </c>
      <c r="L651" s="101">
        <v>569</v>
      </c>
      <c r="M651" s="101">
        <v>0</v>
      </c>
      <c r="N651" s="101">
        <v>1.0730655952494143E+19</v>
      </c>
    </row>
    <row r="652" spans="4:14" ht="15" customHeight="1">
      <c r="D652" s="99" t="b">
        <v>0</v>
      </c>
      <c r="E652" s="94" t="s">
        <v>669</v>
      </c>
      <c r="F652" s="92" t="s">
        <v>670</v>
      </c>
      <c r="G652" s="92" t="s">
        <v>78</v>
      </c>
      <c r="H652" s="93">
        <v>72</v>
      </c>
      <c r="I652" s="93">
        <v>215</v>
      </c>
      <c r="J652" s="93">
        <v>28.63</v>
      </c>
      <c r="K652" s="93" t="s">
        <v>78</v>
      </c>
      <c r="L652" s="101">
        <v>570</v>
      </c>
      <c r="M652" s="101">
        <v>0</v>
      </c>
      <c r="N652" s="101">
        <v>2.4920699672582646E+18</v>
      </c>
    </row>
    <row r="653" spans="4:14" ht="15" customHeight="1">
      <c r="D653" s="99" t="b">
        <v>0</v>
      </c>
      <c r="E653" s="94" t="s">
        <v>671</v>
      </c>
      <c r="F653" s="92" t="s">
        <v>670</v>
      </c>
      <c r="G653" s="92" t="s">
        <v>78</v>
      </c>
      <c r="H653" s="93">
        <v>74</v>
      </c>
      <c r="I653" s="93">
        <v>220</v>
      </c>
      <c r="J653" s="93">
        <v>30.99</v>
      </c>
      <c r="K653" s="93" t="s">
        <v>78</v>
      </c>
      <c r="L653" s="101">
        <v>571</v>
      </c>
      <c r="M653" s="101">
        <v>0</v>
      </c>
      <c r="N653" s="101">
        <v>4.0194923095379341E+17</v>
      </c>
    </row>
    <row r="654" spans="4:14" ht="15" customHeight="1">
      <c r="D654" s="99" t="b">
        <v>0</v>
      </c>
      <c r="E654" s="94" t="s">
        <v>672</v>
      </c>
      <c r="F654" s="92" t="s">
        <v>670</v>
      </c>
      <c r="G654" s="92" t="s">
        <v>82</v>
      </c>
      <c r="H654" s="93">
        <v>74</v>
      </c>
      <c r="I654" s="93">
        <v>180</v>
      </c>
      <c r="J654" s="93">
        <v>26.33</v>
      </c>
      <c r="K654" s="93" t="s">
        <v>83</v>
      </c>
      <c r="L654" s="101">
        <v>572</v>
      </c>
      <c r="M654" s="101">
        <v>0</v>
      </c>
      <c r="N654" s="101">
        <v>1.5885420345605763E+19</v>
      </c>
    </row>
    <row r="655" spans="4:14" ht="15" customHeight="1">
      <c r="D655" s="99" t="b">
        <v>0</v>
      </c>
      <c r="E655" s="94" t="s">
        <v>673</v>
      </c>
      <c r="F655" s="92" t="s">
        <v>670</v>
      </c>
      <c r="G655" s="92" t="s">
        <v>86</v>
      </c>
      <c r="H655" s="93">
        <v>71</v>
      </c>
      <c r="I655" s="93">
        <v>200</v>
      </c>
      <c r="J655" s="93">
        <v>26.97</v>
      </c>
      <c r="K655" s="93" t="s">
        <v>83</v>
      </c>
      <c r="L655" s="101">
        <v>573</v>
      </c>
      <c r="M655" s="101">
        <v>0</v>
      </c>
      <c r="N655" s="101">
        <v>1.5519559143999594E+19</v>
      </c>
    </row>
    <row r="656" spans="4:14" ht="15" customHeight="1">
      <c r="D656" s="99" t="b">
        <v>0</v>
      </c>
      <c r="E656" s="94" t="s">
        <v>674</v>
      </c>
      <c r="F656" s="92" t="s">
        <v>670</v>
      </c>
      <c r="G656" s="92" t="s">
        <v>88</v>
      </c>
      <c r="H656" s="93">
        <v>72</v>
      </c>
      <c r="I656" s="93">
        <v>170</v>
      </c>
      <c r="J656" s="93">
        <v>22.85</v>
      </c>
      <c r="K656" s="93" t="s">
        <v>83</v>
      </c>
      <c r="L656" s="101">
        <v>574</v>
      </c>
      <c r="M656" s="101">
        <v>0</v>
      </c>
      <c r="N656" s="101">
        <v>1.1334680479144083E+19</v>
      </c>
    </row>
    <row r="657" spans="4:14" ht="15" customHeight="1">
      <c r="D657" s="99" t="b">
        <v>0</v>
      </c>
      <c r="E657" s="94" t="s">
        <v>675</v>
      </c>
      <c r="F657" s="92" t="s">
        <v>670</v>
      </c>
      <c r="G657" s="92" t="s">
        <v>88</v>
      </c>
      <c r="H657" s="93">
        <v>75</v>
      </c>
      <c r="I657" s="93">
        <v>195</v>
      </c>
      <c r="J657" s="93">
        <v>23.19</v>
      </c>
      <c r="K657" s="93" t="s">
        <v>83</v>
      </c>
      <c r="L657" s="101">
        <v>575</v>
      </c>
      <c r="M657" s="101">
        <v>0</v>
      </c>
      <c r="N657" s="101">
        <v>1.8215644832614683E+19</v>
      </c>
    </row>
    <row r="658" spans="4:14" ht="15" customHeight="1">
      <c r="D658" s="99" t="b">
        <v>0</v>
      </c>
      <c r="E658" s="94" t="s">
        <v>676</v>
      </c>
      <c r="F658" s="92" t="s">
        <v>670</v>
      </c>
      <c r="G658" s="92" t="s">
        <v>90</v>
      </c>
      <c r="H658" s="93">
        <v>74</v>
      </c>
      <c r="I658" s="93">
        <v>210</v>
      </c>
      <c r="J658" s="93">
        <v>23.87</v>
      </c>
      <c r="K658" s="93" t="s">
        <v>83</v>
      </c>
      <c r="L658" s="101">
        <v>576</v>
      </c>
      <c r="M658" s="101">
        <v>0</v>
      </c>
      <c r="N658" s="101">
        <v>1.3844421285499863E+19</v>
      </c>
    </row>
    <row r="659" spans="4:14" ht="15" customHeight="1">
      <c r="D659" s="99" t="b">
        <v>0</v>
      </c>
      <c r="E659" s="94" t="s">
        <v>677</v>
      </c>
      <c r="F659" s="92" t="s">
        <v>670</v>
      </c>
      <c r="G659" s="92" t="s">
        <v>90</v>
      </c>
      <c r="H659" s="93">
        <v>74</v>
      </c>
      <c r="I659" s="93">
        <v>200</v>
      </c>
      <c r="J659" s="93">
        <v>33.979999999999997</v>
      </c>
      <c r="K659" s="93" t="s">
        <v>83</v>
      </c>
      <c r="L659" s="101">
        <v>577</v>
      </c>
      <c r="M659" s="101">
        <v>0</v>
      </c>
      <c r="N659" s="101">
        <v>8.4356824568201134E+18</v>
      </c>
    </row>
    <row r="660" spans="4:14" ht="15" customHeight="1">
      <c r="D660" s="99" t="b">
        <v>0</v>
      </c>
      <c r="E660" s="94" t="s">
        <v>678</v>
      </c>
      <c r="F660" s="92" t="s">
        <v>670</v>
      </c>
      <c r="G660" s="92" t="s">
        <v>93</v>
      </c>
      <c r="H660" s="93">
        <v>77</v>
      </c>
      <c r="I660" s="93">
        <v>220</v>
      </c>
      <c r="J660" s="93">
        <v>28.26</v>
      </c>
      <c r="K660" s="93" t="s">
        <v>93</v>
      </c>
      <c r="L660" s="101">
        <v>578</v>
      </c>
      <c r="M660" s="101">
        <v>0</v>
      </c>
      <c r="N660" s="101">
        <v>7.5918828350576794E+18</v>
      </c>
    </row>
    <row r="661" spans="4:14" ht="15" customHeight="1">
      <c r="D661" s="99" t="b">
        <v>0</v>
      </c>
      <c r="E661" s="94" t="s">
        <v>679</v>
      </c>
      <c r="F661" s="92" t="s">
        <v>670</v>
      </c>
      <c r="G661" s="92" t="s">
        <v>93</v>
      </c>
      <c r="H661" s="93">
        <v>70</v>
      </c>
      <c r="I661" s="93">
        <v>165</v>
      </c>
      <c r="J661" s="93">
        <v>29.12</v>
      </c>
      <c r="K661" s="93" t="s">
        <v>93</v>
      </c>
      <c r="L661" s="101">
        <v>579</v>
      </c>
      <c r="M661" s="101">
        <v>0</v>
      </c>
      <c r="N661" s="101">
        <v>1.1051703523434756E+19</v>
      </c>
    </row>
    <row r="662" spans="4:14" ht="15" customHeight="1">
      <c r="D662" s="99" t="b">
        <v>0</v>
      </c>
      <c r="E662" s="94" t="s">
        <v>680</v>
      </c>
      <c r="F662" s="92" t="s">
        <v>670</v>
      </c>
      <c r="G662" s="92" t="s">
        <v>93</v>
      </c>
      <c r="H662" s="93">
        <v>71</v>
      </c>
      <c r="I662" s="93">
        <v>180</v>
      </c>
      <c r="J662" s="93">
        <v>26.18</v>
      </c>
      <c r="K662" s="93" t="s">
        <v>93</v>
      </c>
      <c r="L662" s="101">
        <v>580</v>
      </c>
      <c r="M662" s="101">
        <v>0</v>
      </c>
      <c r="N662" s="101">
        <v>8.8402248737473495E+18</v>
      </c>
    </row>
    <row r="663" spans="4:14" ht="15" customHeight="1">
      <c r="D663" s="99" t="b">
        <v>0</v>
      </c>
      <c r="E663" s="94" t="s">
        <v>681</v>
      </c>
      <c r="F663" s="92" t="s">
        <v>670</v>
      </c>
      <c r="G663" s="92" t="s">
        <v>93</v>
      </c>
      <c r="H663" s="93">
        <v>73</v>
      </c>
      <c r="I663" s="93">
        <v>200</v>
      </c>
      <c r="J663" s="93">
        <v>28.03</v>
      </c>
      <c r="K663" s="93" t="s">
        <v>93</v>
      </c>
      <c r="L663" s="101">
        <v>581</v>
      </c>
      <c r="M663" s="101">
        <v>0</v>
      </c>
      <c r="N663" s="101">
        <v>1.0070835798659731E+19</v>
      </c>
    </row>
    <row r="664" spans="4:14" ht="15" customHeight="1">
      <c r="D664" s="99" t="b">
        <v>0</v>
      </c>
      <c r="E664" s="94" t="s">
        <v>682</v>
      </c>
      <c r="F664" s="92" t="s">
        <v>670</v>
      </c>
      <c r="G664" s="92" t="s">
        <v>93</v>
      </c>
      <c r="H664" s="93">
        <v>76</v>
      </c>
      <c r="I664" s="93">
        <v>200</v>
      </c>
      <c r="J664" s="93">
        <v>23.08</v>
      </c>
      <c r="K664" s="93" t="s">
        <v>93</v>
      </c>
      <c r="L664" s="101">
        <v>582</v>
      </c>
      <c r="M664" s="101">
        <v>0</v>
      </c>
      <c r="N664" s="101">
        <v>1.5131604610883183E+19</v>
      </c>
    </row>
    <row r="665" spans="4:14" ht="15" customHeight="1">
      <c r="D665" s="99" t="b">
        <v>0</v>
      </c>
      <c r="E665" s="94" t="s">
        <v>683</v>
      </c>
      <c r="F665" s="92" t="s">
        <v>670</v>
      </c>
      <c r="G665" s="92" t="s">
        <v>93</v>
      </c>
      <c r="H665" s="93">
        <v>71</v>
      </c>
      <c r="I665" s="93">
        <v>170</v>
      </c>
      <c r="J665" s="93">
        <v>26.24</v>
      </c>
      <c r="K665" s="93" t="s">
        <v>93</v>
      </c>
      <c r="L665" s="101">
        <v>583</v>
      </c>
      <c r="M665" s="101">
        <v>0</v>
      </c>
      <c r="N665" s="101">
        <v>1.3546512780282806E+19</v>
      </c>
    </row>
    <row r="666" spans="4:14" ht="15" customHeight="1">
      <c r="D666" s="99" t="b">
        <v>0</v>
      </c>
      <c r="E666" s="94" t="s">
        <v>684</v>
      </c>
      <c r="F666" s="92" t="s">
        <v>670</v>
      </c>
      <c r="G666" s="92" t="s">
        <v>93</v>
      </c>
      <c r="H666" s="93">
        <v>75</v>
      </c>
      <c r="I666" s="93">
        <v>224</v>
      </c>
      <c r="J666" s="93">
        <v>26.63</v>
      </c>
      <c r="K666" s="93" t="s">
        <v>93</v>
      </c>
      <c r="L666" s="101">
        <v>584</v>
      </c>
      <c r="M666" s="101">
        <v>0</v>
      </c>
      <c r="N666" s="101">
        <v>7.7201683237217362E+18</v>
      </c>
    </row>
    <row r="667" spans="4:14" ht="15" customHeight="1">
      <c r="D667" s="99" t="b">
        <v>0</v>
      </c>
      <c r="E667" s="94" t="s">
        <v>685</v>
      </c>
      <c r="F667" s="92" t="s">
        <v>670</v>
      </c>
      <c r="G667" s="92" t="s">
        <v>101</v>
      </c>
      <c r="H667" s="93">
        <v>74</v>
      </c>
      <c r="I667" s="93">
        <v>220</v>
      </c>
      <c r="J667" s="93">
        <v>24.21</v>
      </c>
      <c r="K667" s="93" t="s">
        <v>75</v>
      </c>
      <c r="L667" s="101">
        <v>585</v>
      </c>
      <c r="M667" s="101">
        <v>0</v>
      </c>
      <c r="N667" s="101">
        <v>8.4438756726806508E+18</v>
      </c>
    </row>
    <row r="668" spans="4:14" ht="15" customHeight="1">
      <c r="D668" s="99" t="b">
        <v>0</v>
      </c>
      <c r="E668" s="94" t="s">
        <v>686</v>
      </c>
      <c r="F668" s="92" t="s">
        <v>670</v>
      </c>
      <c r="G668" s="92" t="s">
        <v>101</v>
      </c>
      <c r="H668" s="93">
        <v>72</v>
      </c>
      <c r="I668" s="93">
        <v>180</v>
      </c>
      <c r="J668" s="93">
        <v>23.01</v>
      </c>
      <c r="K668" s="93" t="s">
        <v>75</v>
      </c>
      <c r="L668" s="101">
        <v>586</v>
      </c>
      <c r="M668" s="101">
        <v>0</v>
      </c>
      <c r="N668" s="101">
        <v>8.8248643820723108E+18</v>
      </c>
    </row>
    <row r="669" spans="4:14" ht="15" customHeight="1">
      <c r="D669" s="99" t="b">
        <v>0</v>
      </c>
      <c r="E669" s="94" t="s">
        <v>687</v>
      </c>
      <c r="F669" s="92" t="s">
        <v>670</v>
      </c>
      <c r="G669" s="92" t="s">
        <v>101</v>
      </c>
      <c r="H669" s="93">
        <v>76</v>
      </c>
      <c r="I669" s="93">
        <v>198</v>
      </c>
      <c r="J669" s="93">
        <v>23.13</v>
      </c>
      <c r="K669" s="93" t="s">
        <v>75</v>
      </c>
      <c r="L669" s="101">
        <v>587</v>
      </c>
      <c r="M669" s="101">
        <v>0</v>
      </c>
      <c r="N669" s="101">
        <v>1.6547811312236751E+19</v>
      </c>
    </row>
    <row r="670" spans="4:14" ht="15" customHeight="1">
      <c r="D670" s="99" t="b">
        <v>0</v>
      </c>
      <c r="E670" s="94" t="s">
        <v>688</v>
      </c>
      <c r="F670" s="92" t="s">
        <v>670</v>
      </c>
      <c r="G670" s="92" t="s">
        <v>101</v>
      </c>
      <c r="H670" s="93">
        <v>79</v>
      </c>
      <c r="I670" s="93">
        <v>240</v>
      </c>
      <c r="J670" s="93">
        <v>23.08</v>
      </c>
      <c r="K670" s="93" t="s">
        <v>75</v>
      </c>
      <c r="L670" s="101">
        <v>588</v>
      </c>
      <c r="M670" s="101">
        <v>0</v>
      </c>
      <c r="N670" s="101">
        <v>1.5854813769800331E+19</v>
      </c>
    </row>
    <row r="671" spans="4:14" ht="15" customHeight="1">
      <c r="D671" s="99" t="b">
        <v>0</v>
      </c>
      <c r="E671" s="94" t="s">
        <v>689</v>
      </c>
      <c r="F671" s="92" t="s">
        <v>670</v>
      </c>
      <c r="G671" s="92" t="s">
        <v>101</v>
      </c>
      <c r="H671" s="93">
        <v>76</v>
      </c>
      <c r="I671" s="93">
        <v>239</v>
      </c>
      <c r="J671" s="93">
        <v>25.13</v>
      </c>
      <c r="K671" s="93" t="s">
        <v>75</v>
      </c>
      <c r="L671" s="101">
        <v>589</v>
      </c>
      <c r="M671" s="101">
        <v>0</v>
      </c>
      <c r="N671" s="101">
        <v>7.1174887328164659E+18</v>
      </c>
    </row>
    <row r="672" spans="4:14" ht="15" customHeight="1">
      <c r="D672" s="99" t="b">
        <v>0</v>
      </c>
      <c r="E672" s="94" t="s">
        <v>690</v>
      </c>
      <c r="F672" s="92" t="s">
        <v>670</v>
      </c>
      <c r="G672" s="92" t="s">
        <v>74</v>
      </c>
      <c r="H672" s="93">
        <v>73</v>
      </c>
      <c r="I672" s="93">
        <v>185</v>
      </c>
      <c r="J672" s="93">
        <v>24.66</v>
      </c>
      <c r="K672" s="93" t="s">
        <v>75</v>
      </c>
      <c r="L672" s="101">
        <v>590</v>
      </c>
      <c r="M672" s="101">
        <v>0</v>
      </c>
      <c r="N672" s="101">
        <v>6.5152856951017492E+18</v>
      </c>
    </row>
    <row r="673" spans="4:14" ht="15" customHeight="1">
      <c r="D673" s="99" t="b">
        <v>0</v>
      </c>
      <c r="E673" s="94" t="s">
        <v>691</v>
      </c>
      <c r="F673" s="92" t="s">
        <v>670</v>
      </c>
      <c r="G673" s="92" t="s">
        <v>74</v>
      </c>
      <c r="H673" s="93">
        <v>76</v>
      </c>
      <c r="I673" s="93">
        <v>210</v>
      </c>
      <c r="J673" s="93">
        <v>26.03</v>
      </c>
      <c r="K673" s="93" t="s">
        <v>75</v>
      </c>
      <c r="L673" s="101">
        <v>591</v>
      </c>
      <c r="M673" s="101">
        <v>0</v>
      </c>
      <c r="N673" s="101">
        <v>9.5820343889371635E+17</v>
      </c>
    </row>
    <row r="674" spans="4:14" ht="15" customHeight="1">
      <c r="D674" s="99" t="b">
        <v>0</v>
      </c>
      <c r="E674" s="94" t="s">
        <v>692</v>
      </c>
      <c r="F674" s="92" t="s">
        <v>670</v>
      </c>
      <c r="G674" s="92" t="s">
        <v>74</v>
      </c>
      <c r="H674" s="93">
        <v>78</v>
      </c>
      <c r="I674" s="93">
        <v>220</v>
      </c>
      <c r="J674" s="93">
        <v>28.7</v>
      </c>
      <c r="K674" s="93" t="s">
        <v>75</v>
      </c>
      <c r="L674" s="101">
        <v>592</v>
      </c>
      <c r="M674" s="101">
        <v>0</v>
      </c>
      <c r="N674" s="101">
        <v>7.3740373344246344E+18</v>
      </c>
    </row>
    <row r="675" spans="4:14" ht="15" customHeight="1">
      <c r="D675" s="99" t="b">
        <v>0</v>
      </c>
      <c r="E675" s="94" t="s">
        <v>693</v>
      </c>
      <c r="F675" s="92" t="s">
        <v>670</v>
      </c>
      <c r="G675" s="92" t="s">
        <v>74</v>
      </c>
      <c r="H675" s="93">
        <v>75</v>
      </c>
      <c r="I675" s="93">
        <v>200</v>
      </c>
      <c r="J675" s="93">
        <v>25.57</v>
      </c>
      <c r="K675" s="93" t="s">
        <v>75</v>
      </c>
      <c r="L675" s="101">
        <v>593</v>
      </c>
      <c r="M675" s="101">
        <v>0</v>
      </c>
      <c r="N675" s="101">
        <v>1.1128082593940105E+19</v>
      </c>
    </row>
    <row r="676" spans="4:14" ht="15" customHeight="1">
      <c r="D676" s="99" t="b">
        <v>0</v>
      </c>
      <c r="E676" s="94" t="s">
        <v>694</v>
      </c>
      <c r="F676" s="92" t="s">
        <v>670</v>
      </c>
      <c r="G676" s="92" t="s">
        <v>74</v>
      </c>
      <c r="H676" s="93">
        <v>76</v>
      </c>
      <c r="I676" s="93">
        <v>195</v>
      </c>
      <c r="J676" s="93">
        <v>24.65</v>
      </c>
      <c r="K676" s="93" t="s">
        <v>75</v>
      </c>
      <c r="L676" s="101">
        <v>594</v>
      </c>
      <c r="M676" s="101">
        <v>0</v>
      </c>
      <c r="N676" s="101">
        <v>1.5003777860056932E+19</v>
      </c>
    </row>
    <row r="677" spans="4:14" ht="15" customHeight="1">
      <c r="D677" s="99" t="b">
        <v>0</v>
      </c>
      <c r="E677" s="94" t="s">
        <v>695</v>
      </c>
      <c r="F677" s="92" t="s">
        <v>670</v>
      </c>
      <c r="G677" s="92" t="s">
        <v>74</v>
      </c>
      <c r="H677" s="93">
        <v>72</v>
      </c>
      <c r="I677" s="93">
        <v>220</v>
      </c>
      <c r="J677" s="93">
        <v>25.55</v>
      </c>
      <c r="K677" s="93" t="s">
        <v>75</v>
      </c>
      <c r="L677" s="101">
        <v>595</v>
      </c>
      <c r="M677" s="101">
        <v>0</v>
      </c>
      <c r="N677" s="101">
        <v>1.0745446050766526E+19</v>
      </c>
    </row>
    <row r="678" spans="4:14" ht="15" customHeight="1">
      <c r="D678" s="99" t="b">
        <v>0</v>
      </c>
      <c r="E678" s="94" t="s">
        <v>696</v>
      </c>
      <c r="F678" s="92" t="s">
        <v>670</v>
      </c>
      <c r="G678" s="92" t="s">
        <v>74</v>
      </c>
      <c r="H678" s="93">
        <v>72</v>
      </c>
      <c r="I678" s="93">
        <v>230</v>
      </c>
      <c r="J678" s="93">
        <v>22.27</v>
      </c>
      <c r="K678" s="93" t="s">
        <v>75</v>
      </c>
      <c r="L678" s="101">
        <v>596</v>
      </c>
      <c r="M678" s="101">
        <v>0</v>
      </c>
      <c r="N678" s="101">
        <v>1.5781788076130542E+19</v>
      </c>
    </row>
    <row r="679" spans="4:14" ht="15" customHeight="1">
      <c r="D679" s="99" t="b">
        <v>0</v>
      </c>
      <c r="E679" s="94" t="s">
        <v>697</v>
      </c>
      <c r="F679" s="92" t="s">
        <v>670</v>
      </c>
      <c r="G679" s="92" t="s">
        <v>74</v>
      </c>
      <c r="H679" s="93">
        <v>73</v>
      </c>
      <c r="I679" s="93">
        <v>170</v>
      </c>
      <c r="J679" s="93">
        <v>24.76</v>
      </c>
      <c r="K679" s="93" t="s">
        <v>75</v>
      </c>
      <c r="L679" s="101">
        <v>597</v>
      </c>
      <c r="M679" s="101">
        <v>0</v>
      </c>
      <c r="N679" s="101">
        <v>2.3206319624817935E+18</v>
      </c>
    </row>
    <row r="680" spans="4:14" ht="15" customHeight="1">
      <c r="D680" s="99" t="b">
        <v>0</v>
      </c>
      <c r="E680" s="94" t="s">
        <v>698</v>
      </c>
      <c r="F680" s="92" t="s">
        <v>670</v>
      </c>
      <c r="G680" s="92" t="s">
        <v>74</v>
      </c>
      <c r="H680" s="93">
        <v>73</v>
      </c>
      <c r="I680" s="93">
        <v>220</v>
      </c>
      <c r="J680" s="93">
        <v>23.98</v>
      </c>
      <c r="K680" s="93" t="s">
        <v>75</v>
      </c>
      <c r="L680" s="101">
        <v>598</v>
      </c>
      <c r="M680" s="101">
        <v>0</v>
      </c>
      <c r="N680" s="101">
        <v>7.4634273962692076E+18</v>
      </c>
    </row>
    <row r="681" spans="4:14" ht="15" customHeight="1">
      <c r="D681" s="99" t="b">
        <v>0</v>
      </c>
      <c r="E681" s="94" t="s">
        <v>699</v>
      </c>
      <c r="F681" s="92" t="s">
        <v>670</v>
      </c>
      <c r="G681" s="92" t="s">
        <v>74</v>
      </c>
      <c r="H681" s="93">
        <v>75</v>
      </c>
      <c r="I681" s="93">
        <v>230</v>
      </c>
      <c r="J681" s="93">
        <v>27.85</v>
      </c>
      <c r="K681" s="93" t="s">
        <v>75</v>
      </c>
      <c r="L681" s="101">
        <v>599</v>
      </c>
      <c r="M681" s="101">
        <v>0</v>
      </c>
      <c r="N681" s="101">
        <v>1.4127290780010086E+19</v>
      </c>
    </row>
    <row r="682" spans="4:14" ht="15" customHeight="1">
      <c r="D682" s="99" t="b">
        <v>0</v>
      </c>
      <c r="E682" s="94" t="s">
        <v>700</v>
      </c>
      <c r="F682" s="92" t="s">
        <v>670</v>
      </c>
      <c r="G682" s="92" t="s">
        <v>74</v>
      </c>
      <c r="H682" s="93">
        <v>71</v>
      </c>
      <c r="I682" s="93">
        <v>165</v>
      </c>
      <c r="J682" s="93">
        <v>22.14</v>
      </c>
      <c r="K682" s="93" t="s">
        <v>75</v>
      </c>
      <c r="L682" s="101">
        <v>600</v>
      </c>
      <c r="M682" s="101">
        <v>0</v>
      </c>
      <c r="N682" s="101">
        <v>1.692005893913368E+19</v>
      </c>
    </row>
    <row r="683" spans="4:14" ht="15" customHeight="1">
      <c r="D683" s="99" t="b">
        <v>0</v>
      </c>
      <c r="E683" s="94" t="s">
        <v>701</v>
      </c>
      <c r="F683" s="92" t="s">
        <v>670</v>
      </c>
      <c r="G683" s="92" t="s">
        <v>74</v>
      </c>
      <c r="H683" s="93">
        <v>76</v>
      </c>
      <c r="I683" s="93">
        <v>205</v>
      </c>
      <c r="J683" s="93">
        <v>27.05</v>
      </c>
      <c r="K683" s="93" t="s">
        <v>75</v>
      </c>
      <c r="L683" s="101">
        <v>601</v>
      </c>
      <c r="M683" s="101">
        <v>0</v>
      </c>
      <c r="N683" s="101">
        <v>1.5423041315978467E+19</v>
      </c>
    </row>
    <row r="684" spans="4:14" ht="15" customHeight="1">
      <c r="D684" s="99" t="b">
        <v>0</v>
      </c>
      <c r="E684" s="94" t="s">
        <v>702</v>
      </c>
      <c r="F684" s="92" t="s">
        <v>703</v>
      </c>
      <c r="G684" s="92" t="s">
        <v>78</v>
      </c>
      <c r="H684" s="93">
        <v>70</v>
      </c>
      <c r="I684" s="93">
        <v>192</v>
      </c>
      <c r="J684" s="93">
        <v>31.45</v>
      </c>
      <c r="K684" s="93" t="s">
        <v>78</v>
      </c>
      <c r="L684" s="101">
        <v>602</v>
      </c>
      <c r="M684" s="101">
        <v>0</v>
      </c>
      <c r="N684" s="101">
        <v>1.3058319437456867E+19</v>
      </c>
    </row>
    <row r="685" spans="4:14" ht="15" customHeight="1">
      <c r="D685" s="99" t="b">
        <v>0</v>
      </c>
      <c r="E685" s="94" t="s">
        <v>704</v>
      </c>
      <c r="F685" s="92" t="s">
        <v>703</v>
      </c>
      <c r="G685" s="92" t="s">
        <v>78</v>
      </c>
      <c r="H685" s="93">
        <v>75</v>
      </c>
      <c r="I685" s="93">
        <v>210</v>
      </c>
      <c r="J685" s="93">
        <v>32.03</v>
      </c>
      <c r="K685" s="93" t="s">
        <v>78</v>
      </c>
      <c r="L685" s="101">
        <v>603</v>
      </c>
      <c r="M685" s="101">
        <v>0</v>
      </c>
      <c r="N685" s="101">
        <v>9.2505253874932388E+18</v>
      </c>
    </row>
    <row r="686" spans="4:14" ht="15" customHeight="1">
      <c r="D686" s="99" t="b">
        <v>0</v>
      </c>
      <c r="E686" s="94" t="s">
        <v>705</v>
      </c>
      <c r="F686" s="92" t="s">
        <v>703</v>
      </c>
      <c r="G686" s="92" t="s">
        <v>78</v>
      </c>
      <c r="H686" s="93">
        <v>74</v>
      </c>
      <c r="I686" s="93">
        <v>205</v>
      </c>
      <c r="J686" s="93">
        <v>29.95</v>
      </c>
      <c r="K686" s="93" t="s">
        <v>78</v>
      </c>
      <c r="L686" s="101">
        <v>604</v>
      </c>
      <c r="M686" s="101">
        <v>0</v>
      </c>
      <c r="N686" s="101">
        <v>1.6908043894081982E+19</v>
      </c>
    </row>
    <row r="687" spans="4:14" ht="15" customHeight="1">
      <c r="D687" s="99" t="b">
        <v>0</v>
      </c>
      <c r="E687" s="94" t="s">
        <v>706</v>
      </c>
      <c r="F687" s="92" t="s">
        <v>703</v>
      </c>
      <c r="G687" s="92" t="s">
        <v>82</v>
      </c>
      <c r="H687" s="93">
        <v>75</v>
      </c>
      <c r="I687" s="93">
        <v>200</v>
      </c>
      <c r="J687" s="93">
        <v>23.47</v>
      </c>
      <c r="K687" s="93" t="s">
        <v>83</v>
      </c>
      <c r="L687" s="101">
        <v>605</v>
      </c>
      <c r="M687" s="101">
        <v>0</v>
      </c>
      <c r="N687" s="101">
        <v>1.5402401412265649E+18</v>
      </c>
    </row>
    <row r="688" spans="4:14" ht="15" customHeight="1">
      <c r="D688" s="99" t="b">
        <v>0</v>
      </c>
      <c r="E688" s="94" t="s">
        <v>707</v>
      </c>
      <c r="F688" s="92" t="s">
        <v>703</v>
      </c>
      <c r="G688" s="92" t="s">
        <v>82</v>
      </c>
      <c r="H688" s="93">
        <v>73</v>
      </c>
      <c r="I688" s="93">
        <v>210</v>
      </c>
      <c r="J688" s="93">
        <v>37.21</v>
      </c>
      <c r="K688" s="93" t="s">
        <v>83</v>
      </c>
      <c r="L688" s="101">
        <v>606</v>
      </c>
      <c r="M688" s="101">
        <v>0</v>
      </c>
      <c r="N688" s="101">
        <v>1.5663699857452089E+19</v>
      </c>
    </row>
    <row r="689" spans="4:14" ht="15" customHeight="1">
      <c r="D689" s="99" t="b">
        <v>0</v>
      </c>
      <c r="E689" s="94" t="s">
        <v>708</v>
      </c>
      <c r="F689" s="92" t="s">
        <v>703</v>
      </c>
      <c r="G689" s="92" t="s">
        <v>86</v>
      </c>
      <c r="H689" s="93">
        <v>71</v>
      </c>
      <c r="I689" s="93">
        <v>185</v>
      </c>
      <c r="J689" s="93">
        <v>25.67</v>
      </c>
      <c r="K689" s="93" t="s">
        <v>83</v>
      </c>
      <c r="L689" s="101">
        <v>607</v>
      </c>
      <c r="M689" s="101">
        <v>0</v>
      </c>
      <c r="N689" s="101">
        <v>1.2109595185896494E+18</v>
      </c>
    </row>
    <row r="690" spans="4:14" ht="15" customHeight="1">
      <c r="D690" s="99" t="b">
        <v>0</v>
      </c>
      <c r="E690" s="94" t="s">
        <v>709</v>
      </c>
      <c r="F690" s="92" t="s">
        <v>703</v>
      </c>
      <c r="G690" s="92" t="s">
        <v>88</v>
      </c>
      <c r="H690" s="93">
        <v>71</v>
      </c>
      <c r="I690" s="93">
        <v>195</v>
      </c>
      <c r="J690" s="93">
        <v>34.69</v>
      </c>
      <c r="K690" s="93" t="s">
        <v>83</v>
      </c>
      <c r="L690" s="101">
        <v>608</v>
      </c>
      <c r="M690" s="101">
        <v>0</v>
      </c>
      <c r="N690" s="101">
        <v>5.7347441435784161E+18</v>
      </c>
    </row>
    <row r="691" spans="4:14" ht="15" customHeight="1">
      <c r="D691" s="99" t="b">
        <v>0</v>
      </c>
      <c r="E691" s="94" t="s">
        <v>710</v>
      </c>
      <c r="F691" s="92" t="s">
        <v>703</v>
      </c>
      <c r="G691" s="92" t="s">
        <v>88</v>
      </c>
      <c r="H691" s="93">
        <v>72</v>
      </c>
      <c r="I691" s="93">
        <v>202</v>
      </c>
      <c r="J691" s="93">
        <v>30.04</v>
      </c>
      <c r="K691" s="93" t="s">
        <v>83</v>
      </c>
      <c r="L691" s="101">
        <v>609</v>
      </c>
      <c r="M691" s="101">
        <v>0</v>
      </c>
      <c r="N691" s="101">
        <v>8.5227942556843643E+18</v>
      </c>
    </row>
    <row r="692" spans="4:14" ht="15" customHeight="1">
      <c r="D692" s="99" t="b">
        <v>0</v>
      </c>
      <c r="E692" s="94" t="s">
        <v>711</v>
      </c>
      <c r="F692" s="92" t="s">
        <v>703</v>
      </c>
      <c r="G692" s="92" t="s">
        <v>90</v>
      </c>
      <c r="H692" s="93">
        <v>73</v>
      </c>
      <c r="I692" s="93">
        <v>205</v>
      </c>
      <c r="J692" s="93">
        <v>32.520000000000003</v>
      </c>
      <c r="K692" s="93" t="s">
        <v>83</v>
      </c>
      <c r="L692" s="101">
        <v>610</v>
      </c>
      <c r="M692" s="101">
        <v>0</v>
      </c>
      <c r="N692" s="101">
        <v>7.6073822161209487E+18</v>
      </c>
    </row>
    <row r="693" spans="4:14" ht="15" customHeight="1">
      <c r="D693" s="99" t="b">
        <v>0</v>
      </c>
      <c r="E693" s="94" t="s">
        <v>712</v>
      </c>
      <c r="F693" s="92" t="s">
        <v>703</v>
      </c>
      <c r="G693" s="92" t="s">
        <v>90</v>
      </c>
      <c r="H693" s="93">
        <v>73</v>
      </c>
      <c r="I693" s="93">
        <v>195</v>
      </c>
      <c r="J693" s="93">
        <v>24.15</v>
      </c>
      <c r="K693" s="93" t="s">
        <v>83</v>
      </c>
      <c r="L693" s="101">
        <v>611</v>
      </c>
      <c r="M693" s="101">
        <v>0</v>
      </c>
      <c r="N693" s="101">
        <v>1.6110962353233408E+19</v>
      </c>
    </row>
    <row r="694" spans="4:14" ht="15" customHeight="1">
      <c r="D694" s="99" t="b">
        <v>0</v>
      </c>
      <c r="E694" s="94" t="s">
        <v>713</v>
      </c>
      <c r="F694" s="92" t="s">
        <v>703</v>
      </c>
      <c r="G694" s="92" t="s">
        <v>90</v>
      </c>
      <c r="H694" s="93">
        <v>72</v>
      </c>
      <c r="I694" s="93">
        <v>180</v>
      </c>
      <c r="J694" s="93">
        <v>26.86</v>
      </c>
      <c r="K694" s="93" t="s">
        <v>83</v>
      </c>
      <c r="L694" s="101">
        <v>612</v>
      </c>
      <c r="M694" s="101">
        <v>0</v>
      </c>
      <c r="N694" s="101">
        <v>7.5547090877842545E+18</v>
      </c>
    </row>
    <row r="695" spans="4:14" ht="15" customHeight="1">
      <c r="D695" s="99" t="b">
        <v>0</v>
      </c>
      <c r="E695" s="94" t="s">
        <v>714</v>
      </c>
      <c r="F695" s="92" t="s">
        <v>703</v>
      </c>
      <c r="G695" s="92" t="s">
        <v>93</v>
      </c>
      <c r="H695" s="93">
        <v>69</v>
      </c>
      <c r="I695" s="93">
        <v>200</v>
      </c>
      <c r="J695" s="93">
        <v>27.94</v>
      </c>
      <c r="K695" s="93" t="s">
        <v>93</v>
      </c>
      <c r="L695" s="101">
        <v>613</v>
      </c>
      <c r="M695" s="101">
        <v>0</v>
      </c>
      <c r="N695" s="101">
        <v>7.9367434124001331E+18</v>
      </c>
    </row>
    <row r="696" spans="4:14" ht="15" customHeight="1">
      <c r="D696" s="99" t="b">
        <v>0</v>
      </c>
      <c r="E696" s="94" t="s">
        <v>715</v>
      </c>
      <c r="F696" s="92" t="s">
        <v>703</v>
      </c>
      <c r="G696" s="92" t="s">
        <v>93</v>
      </c>
      <c r="H696" s="93">
        <v>73</v>
      </c>
      <c r="I696" s="93">
        <v>185</v>
      </c>
      <c r="J696" s="93">
        <v>26.63</v>
      </c>
      <c r="K696" s="93" t="s">
        <v>93</v>
      </c>
      <c r="L696" s="101">
        <v>614</v>
      </c>
      <c r="M696" s="101">
        <v>0</v>
      </c>
      <c r="N696" s="101">
        <v>1.6674638945973193E+19</v>
      </c>
    </row>
    <row r="697" spans="4:14" ht="15" customHeight="1">
      <c r="D697" s="99" t="b">
        <v>0</v>
      </c>
      <c r="E697" s="94" t="s">
        <v>716</v>
      </c>
      <c r="F697" s="92" t="s">
        <v>703</v>
      </c>
      <c r="G697" s="92" t="s">
        <v>93</v>
      </c>
      <c r="H697" s="93">
        <v>78</v>
      </c>
      <c r="I697" s="93">
        <v>240</v>
      </c>
      <c r="J697" s="93">
        <v>27.31</v>
      </c>
      <c r="K697" s="93" t="s">
        <v>93</v>
      </c>
      <c r="L697" s="101">
        <v>615</v>
      </c>
      <c r="M697" s="101">
        <v>0</v>
      </c>
      <c r="N697" s="101">
        <v>5.7626284630886584E+18</v>
      </c>
    </row>
    <row r="698" spans="4:14" ht="15" customHeight="1">
      <c r="D698" s="99" t="b">
        <v>0</v>
      </c>
      <c r="E698" s="94" t="s">
        <v>717</v>
      </c>
      <c r="F698" s="92" t="s">
        <v>703</v>
      </c>
      <c r="G698" s="92" t="s">
        <v>93</v>
      </c>
      <c r="H698" s="93">
        <v>71</v>
      </c>
      <c r="I698" s="93">
        <v>185</v>
      </c>
      <c r="J698" s="93">
        <v>30.55</v>
      </c>
      <c r="K698" s="93" t="s">
        <v>93</v>
      </c>
      <c r="L698" s="101">
        <v>616</v>
      </c>
      <c r="M698" s="101">
        <v>0</v>
      </c>
      <c r="N698" s="101">
        <v>3.1400013643465533E+18</v>
      </c>
    </row>
    <row r="699" spans="4:14" ht="15" customHeight="1">
      <c r="D699" s="99" t="b">
        <v>0</v>
      </c>
      <c r="E699" s="94" t="s">
        <v>718</v>
      </c>
      <c r="F699" s="92" t="s">
        <v>703</v>
      </c>
      <c r="G699" s="92" t="s">
        <v>93</v>
      </c>
      <c r="H699" s="93">
        <v>73</v>
      </c>
      <c r="I699" s="93">
        <v>220</v>
      </c>
      <c r="J699" s="93">
        <v>40.68</v>
      </c>
      <c r="K699" s="93" t="s">
        <v>93</v>
      </c>
      <c r="L699" s="101">
        <v>617</v>
      </c>
      <c r="M699" s="101">
        <v>0</v>
      </c>
      <c r="N699" s="101">
        <v>1.0338450467611097E+19</v>
      </c>
    </row>
    <row r="700" spans="4:14" ht="15" customHeight="1">
      <c r="D700" s="99" t="b">
        <v>0</v>
      </c>
      <c r="E700" s="94" t="s">
        <v>719</v>
      </c>
      <c r="F700" s="92" t="s">
        <v>703</v>
      </c>
      <c r="G700" s="92" t="s">
        <v>93</v>
      </c>
      <c r="H700" s="93">
        <v>75</v>
      </c>
      <c r="I700" s="93">
        <v>205</v>
      </c>
      <c r="J700" s="93">
        <v>37.270000000000003</v>
      </c>
      <c r="K700" s="93" t="s">
        <v>93</v>
      </c>
      <c r="L700" s="101">
        <v>618</v>
      </c>
      <c r="M700" s="101">
        <v>0</v>
      </c>
      <c r="N700" s="101">
        <v>1.7948807951659526E+19</v>
      </c>
    </row>
    <row r="701" spans="4:14" ht="15" customHeight="1">
      <c r="D701" s="99" t="b">
        <v>0</v>
      </c>
      <c r="E701" s="94" t="s">
        <v>720</v>
      </c>
      <c r="F701" s="92" t="s">
        <v>703</v>
      </c>
      <c r="G701" s="92" t="s">
        <v>93</v>
      </c>
      <c r="H701" s="93">
        <v>76</v>
      </c>
      <c r="I701" s="93">
        <v>205</v>
      </c>
      <c r="J701" s="93">
        <v>25.78</v>
      </c>
      <c r="K701" s="93" t="s">
        <v>93</v>
      </c>
      <c r="L701" s="101">
        <v>619</v>
      </c>
      <c r="M701" s="101">
        <v>0</v>
      </c>
      <c r="N701" s="101">
        <v>1.3678539194021319E+19</v>
      </c>
    </row>
    <row r="702" spans="4:14" ht="15" customHeight="1">
      <c r="D702" s="99" t="b">
        <v>0</v>
      </c>
      <c r="E702" s="94" t="s">
        <v>721</v>
      </c>
      <c r="F702" s="92" t="s">
        <v>703</v>
      </c>
      <c r="G702" s="92" t="s">
        <v>93</v>
      </c>
      <c r="H702" s="93">
        <v>70</v>
      </c>
      <c r="I702" s="93">
        <v>180</v>
      </c>
      <c r="J702" s="93">
        <v>30.98</v>
      </c>
      <c r="K702" s="93" t="s">
        <v>93</v>
      </c>
      <c r="L702" s="101">
        <v>620</v>
      </c>
      <c r="M702" s="101">
        <v>0</v>
      </c>
      <c r="N702" s="101">
        <v>3.7364260047237489E+18</v>
      </c>
    </row>
    <row r="703" spans="4:14" ht="15" customHeight="1">
      <c r="D703" s="99" t="b">
        <v>0</v>
      </c>
      <c r="E703" s="94" t="s">
        <v>722</v>
      </c>
      <c r="F703" s="92" t="s">
        <v>703</v>
      </c>
      <c r="G703" s="92" t="s">
        <v>101</v>
      </c>
      <c r="H703" s="93">
        <v>74</v>
      </c>
      <c r="I703" s="93">
        <v>201</v>
      </c>
      <c r="J703" s="93">
        <v>28.41</v>
      </c>
      <c r="K703" s="93" t="s">
        <v>75</v>
      </c>
      <c r="L703" s="101">
        <v>621</v>
      </c>
      <c r="M703" s="101">
        <v>0</v>
      </c>
      <c r="N703" s="101">
        <v>1.2221443680975768E+19</v>
      </c>
    </row>
    <row r="704" spans="4:14" ht="15" customHeight="1">
      <c r="D704" s="99" t="b">
        <v>0</v>
      </c>
      <c r="E704" s="94" t="s">
        <v>723</v>
      </c>
      <c r="F704" s="92" t="s">
        <v>703</v>
      </c>
      <c r="G704" s="92" t="s">
        <v>101</v>
      </c>
      <c r="H704" s="93">
        <v>77</v>
      </c>
      <c r="I704" s="93">
        <v>190</v>
      </c>
      <c r="J704" s="93">
        <v>30.01</v>
      </c>
      <c r="K704" s="93" t="s">
        <v>75</v>
      </c>
      <c r="L704" s="101">
        <v>622</v>
      </c>
      <c r="M704" s="101">
        <v>0</v>
      </c>
      <c r="N704" s="101">
        <v>1.4810551442102876E+19</v>
      </c>
    </row>
    <row r="705" spans="4:14" ht="15" customHeight="1">
      <c r="D705" s="99" t="b">
        <v>0</v>
      </c>
      <c r="E705" s="94" t="s">
        <v>724</v>
      </c>
      <c r="F705" s="92" t="s">
        <v>703</v>
      </c>
      <c r="G705" s="92" t="s">
        <v>101</v>
      </c>
      <c r="H705" s="93">
        <v>75</v>
      </c>
      <c r="I705" s="93">
        <v>208</v>
      </c>
      <c r="J705" s="93">
        <v>31.57</v>
      </c>
      <c r="K705" s="93" t="s">
        <v>75</v>
      </c>
      <c r="L705" s="101">
        <v>623</v>
      </c>
      <c r="M705" s="101">
        <v>0</v>
      </c>
      <c r="N705" s="101">
        <v>1.6482488623492485E+19</v>
      </c>
    </row>
    <row r="706" spans="4:14" ht="15" customHeight="1">
      <c r="D706" s="99" t="b">
        <v>0</v>
      </c>
      <c r="E706" s="94" t="s">
        <v>725</v>
      </c>
      <c r="F706" s="92" t="s">
        <v>703</v>
      </c>
      <c r="G706" s="92" t="s">
        <v>101</v>
      </c>
      <c r="H706" s="93">
        <v>79</v>
      </c>
      <c r="I706" s="93">
        <v>240</v>
      </c>
      <c r="J706" s="93">
        <v>28.81</v>
      </c>
      <c r="K706" s="93" t="s">
        <v>75</v>
      </c>
      <c r="L706" s="101">
        <v>624</v>
      </c>
      <c r="M706" s="101">
        <v>0</v>
      </c>
      <c r="N706" s="101">
        <v>3.9936538697989678E+18</v>
      </c>
    </row>
    <row r="707" spans="4:14" ht="15" customHeight="1">
      <c r="D707" s="99" t="b">
        <v>0</v>
      </c>
      <c r="E707" s="94" t="s">
        <v>726</v>
      </c>
      <c r="F707" s="92" t="s">
        <v>703</v>
      </c>
      <c r="G707" s="92" t="s">
        <v>101</v>
      </c>
      <c r="H707" s="93">
        <v>72</v>
      </c>
      <c r="I707" s="93">
        <v>180</v>
      </c>
      <c r="J707" s="93">
        <v>24.09</v>
      </c>
      <c r="K707" s="93" t="s">
        <v>75</v>
      </c>
      <c r="L707" s="101">
        <v>625</v>
      </c>
      <c r="M707" s="101">
        <v>0</v>
      </c>
      <c r="N707" s="101">
        <v>1.5802766928330942E+19</v>
      </c>
    </row>
    <row r="708" spans="4:14" ht="15" customHeight="1">
      <c r="D708" s="99" t="b">
        <v>0</v>
      </c>
      <c r="E708" s="94" t="s">
        <v>727</v>
      </c>
      <c r="F708" s="92" t="s">
        <v>703</v>
      </c>
      <c r="G708" s="92" t="s">
        <v>74</v>
      </c>
      <c r="H708" s="93">
        <v>77</v>
      </c>
      <c r="I708" s="93">
        <v>230</v>
      </c>
      <c r="J708" s="93">
        <v>26.47</v>
      </c>
      <c r="K708" s="93" t="s">
        <v>75</v>
      </c>
      <c r="L708" s="101">
        <v>626</v>
      </c>
      <c r="M708" s="101">
        <v>0</v>
      </c>
      <c r="N708" s="101">
        <v>1.5453439837297138E+19</v>
      </c>
    </row>
    <row r="709" spans="4:14" ht="15" customHeight="1">
      <c r="D709" s="99" t="b">
        <v>0</v>
      </c>
      <c r="E709" s="94" t="s">
        <v>728</v>
      </c>
      <c r="F709" s="92" t="s">
        <v>703</v>
      </c>
      <c r="G709" s="92" t="s">
        <v>74</v>
      </c>
      <c r="H709" s="93">
        <v>73</v>
      </c>
      <c r="I709" s="93">
        <v>195</v>
      </c>
      <c r="J709" s="93">
        <v>30.5</v>
      </c>
      <c r="K709" s="93" t="s">
        <v>75</v>
      </c>
      <c r="L709" s="101">
        <v>627</v>
      </c>
      <c r="M709" s="101">
        <v>0</v>
      </c>
      <c r="N709" s="101">
        <v>5.5898580343322757E+18</v>
      </c>
    </row>
    <row r="710" spans="4:14" ht="15" customHeight="1">
      <c r="D710" s="99" t="b">
        <v>0</v>
      </c>
      <c r="E710" s="94" t="s">
        <v>729</v>
      </c>
      <c r="F710" s="92" t="s">
        <v>703</v>
      </c>
      <c r="G710" s="92" t="s">
        <v>74</v>
      </c>
      <c r="H710" s="93">
        <v>75</v>
      </c>
      <c r="I710" s="93">
        <v>215</v>
      </c>
      <c r="J710" s="93">
        <v>23.74</v>
      </c>
      <c r="K710" s="93" t="s">
        <v>75</v>
      </c>
      <c r="L710" s="101">
        <v>628</v>
      </c>
      <c r="M710" s="101">
        <v>0</v>
      </c>
      <c r="N710" s="101">
        <v>6.498453575274879E+18</v>
      </c>
    </row>
    <row r="711" spans="4:14" ht="15" customHeight="1">
      <c r="D711" s="99" t="b">
        <v>0</v>
      </c>
      <c r="E711" s="94" t="s">
        <v>730</v>
      </c>
      <c r="F711" s="92" t="s">
        <v>703</v>
      </c>
      <c r="G711" s="92" t="s">
        <v>74</v>
      </c>
      <c r="H711" s="93">
        <v>75</v>
      </c>
      <c r="I711" s="93">
        <v>190</v>
      </c>
      <c r="J711" s="93">
        <v>24.49</v>
      </c>
      <c r="K711" s="93" t="s">
        <v>75</v>
      </c>
      <c r="L711" s="101">
        <v>629</v>
      </c>
      <c r="M711" s="101">
        <v>0</v>
      </c>
      <c r="N711" s="101">
        <v>2.233561668840214E+18</v>
      </c>
    </row>
    <row r="712" spans="4:14" ht="15" customHeight="1">
      <c r="D712" s="99" t="b">
        <v>0</v>
      </c>
      <c r="E712" s="94" t="s">
        <v>731</v>
      </c>
      <c r="F712" s="92" t="s">
        <v>703</v>
      </c>
      <c r="G712" s="92" t="s">
        <v>74</v>
      </c>
      <c r="H712" s="93">
        <v>75</v>
      </c>
      <c r="I712" s="93">
        <v>195</v>
      </c>
      <c r="J712" s="93">
        <v>26.73</v>
      </c>
      <c r="K712" s="93" t="s">
        <v>75</v>
      </c>
      <c r="L712" s="101">
        <v>630</v>
      </c>
      <c r="M712" s="101">
        <v>0</v>
      </c>
      <c r="N712" s="101">
        <v>1.8055539273736909E+19</v>
      </c>
    </row>
    <row r="713" spans="4:14" ht="15" customHeight="1">
      <c r="D713" s="99" t="b">
        <v>0</v>
      </c>
      <c r="E713" s="94" t="s">
        <v>732</v>
      </c>
      <c r="F713" s="92" t="s">
        <v>703</v>
      </c>
      <c r="G713" s="92" t="s">
        <v>74</v>
      </c>
      <c r="H713" s="93">
        <v>73</v>
      </c>
      <c r="I713" s="93">
        <v>215</v>
      </c>
      <c r="J713" s="93">
        <v>27.01</v>
      </c>
      <c r="K713" s="93" t="s">
        <v>75</v>
      </c>
      <c r="L713" s="101">
        <v>631</v>
      </c>
      <c r="M713" s="101">
        <v>0</v>
      </c>
      <c r="N713" s="101">
        <v>1.4294931157357335E+19</v>
      </c>
    </row>
    <row r="714" spans="4:14" ht="15" customHeight="1">
      <c r="D714" s="99" t="b">
        <v>0</v>
      </c>
      <c r="E714" s="94" t="s">
        <v>733</v>
      </c>
      <c r="F714" s="92" t="s">
        <v>703</v>
      </c>
      <c r="G714" s="92" t="s">
        <v>74</v>
      </c>
      <c r="H714" s="93">
        <v>73</v>
      </c>
      <c r="I714" s="93">
        <v>215</v>
      </c>
      <c r="J714" s="93">
        <v>39.75</v>
      </c>
      <c r="K714" s="93" t="s">
        <v>75</v>
      </c>
      <c r="L714" s="101">
        <v>632</v>
      </c>
      <c r="M714" s="101">
        <v>0</v>
      </c>
      <c r="N714" s="101">
        <v>4.8140878805822812E+18</v>
      </c>
    </row>
    <row r="715" spans="4:14" ht="15" customHeight="1">
      <c r="D715" s="99" t="b">
        <v>0</v>
      </c>
      <c r="E715" s="94" t="s">
        <v>734</v>
      </c>
      <c r="F715" s="92" t="s">
        <v>703</v>
      </c>
      <c r="G715" s="92" t="s">
        <v>74</v>
      </c>
      <c r="H715" s="93">
        <v>76</v>
      </c>
      <c r="I715" s="93">
        <v>220</v>
      </c>
      <c r="J715" s="93">
        <v>27.16</v>
      </c>
      <c r="K715" s="93" t="s">
        <v>75</v>
      </c>
      <c r="L715" s="101">
        <v>633</v>
      </c>
      <c r="M715" s="101">
        <v>0</v>
      </c>
      <c r="N715" s="101">
        <v>1.8040263131191712E+19</v>
      </c>
    </row>
    <row r="716" spans="4:14" ht="15" customHeight="1">
      <c r="D716" s="99" t="b">
        <v>0</v>
      </c>
      <c r="E716" s="94" t="s">
        <v>735</v>
      </c>
      <c r="F716" s="92" t="s">
        <v>703</v>
      </c>
      <c r="G716" s="92" t="s">
        <v>74</v>
      </c>
      <c r="H716" s="93">
        <v>77</v>
      </c>
      <c r="I716" s="93">
        <v>220</v>
      </c>
      <c r="J716" s="93">
        <v>25.74</v>
      </c>
      <c r="K716" s="93" t="s">
        <v>75</v>
      </c>
      <c r="L716" s="101">
        <v>634</v>
      </c>
      <c r="M716" s="101">
        <v>0</v>
      </c>
      <c r="N716" s="101">
        <v>1.3797018790130262E+19</v>
      </c>
    </row>
    <row r="717" spans="4:14" ht="15" customHeight="1">
      <c r="D717" s="99" t="b">
        <v>0</v>
      </c>
      <c r="E717" s="94" t="s">
        <v>736</v>
      </c>
      <c r="F717" s="92" t="s">
        <v>703</v>
      </c>
      <c r="G717" s="92" t="s">
        <v>74</v>
      </c>
      <c r="H717" s="93">
        <v>75</v>
      </c>
      <c r="I717" s="93">
        <v>230</v>
      </c>
      <c r="J717" s="93">
        <v>37.43</v>
      </c>
      <c r="K717" s="93" t="s">
        <v>75</v>
      </c>
      <c r="L717" s="101">
        <v>635</v>
      </c>
      <c r="M717" s="101">
        <v>0</v>
      </c>
      <c r="N717" s="101">
        <v>6.0983155494848676E+18</v>
      </c>
    </row>
    <row r="718" spans="4:14" ht="15" customHeight="1">
      <c r="D718" s="99" t="b">
        <v>0</v>
      </c>
      <c r="E718" s="94" t="s">
        <v>737</v>
      </c>
      <c r="F718" s="92" t="s">
        <v>703</v>
      </c>
      <c r="G718" s="92" t="s">
        <v>74</v>
      </c>
      <c r="H718" s="93">
        <v>70</v>
      </c>
      <c r="I718" s="93">
        <v>195</v>
      </c>
      <c r="J718" s="93">
        <v>39.85</v>
      </c>
      <c r="K718" s="93" t="s">
        <v>75</v>
      </c>
      <c r="L718" s="101">
        <v>636</v>
      </c>
      <c r="M718" s="101">
        <v>0</v>
      </c>
      <c r="N718" s="101">
        <v>3.7711978322349348E+18</v>
      </c>
    </row>
    <row r="719" spans="4:14" ht="15" customHeight="1">
      <c r="D719" s="99" t="b">
        <v>0</v>
      </c>
      <c r="E719" s="94" t="s">
        <v>738</v>
      </c>
      <c r="F719" s="92" t="s">
        <v>739</v>
      </c>
      <c r="G719" s="92" t="s">
        <v>78</v>
      </c>
      <c r="H719" s="93">
        <v>71</v>
      </c>
      <c r="I719" s="93">
        <v>190</v>
      </c>
      <c r="J719" s="93">
        <v>28.62</v>
      </c>
      <c r="K719" s="93" t="s">
        <v>78</v>
      </c>
      <c r="L719" s="101">
        <v>637</v>
      </c>
      <c r="M719" s="101">
        <v>0</v>
      </c>
      <c r="N719" s="101">
        <v>1.1136621937409386E+19</v>
      </c>
    </row>
    <row r="720" spans="4:14" ht="15" customHeight="1">
      <c r="D720" s="99" t="b">
        <v>0</v>
      </c>
      <c r="E720" s="94" t="s">
        <v>740</v>
      </c>
      <c r="F720" s="92" t="s">
        <v>739</v>
      </c>
      <c r="G720" s="92" t="s">
        <v>78</v>
      </c>
      <c r="H720" s="93">
        <v>71</v>
      </c>
      <c r="I720" s="93">
        <v>195</v>
      </c>
      <c r="J720" s="93">
        <v>23.9</v>
      </c>
      <c r="K720" s="93" t="s">
        <v>78</v>
      </c>
      <c r="L720" s="101">
        <v>638</v>
      </c>
      <c r="M720" s="101">
        <v>0</v>
      </c>
      <c r="N720" s="101">
        <v>1.198925780497424E+19</v>
      </c>
    </row>
    <row r="721" spans="4:14" ht="15" customHeight="1">
      <c r="D721" s="99" t="b">
        <v>0</v>
      </c>
      <c r="E721" s="94" t="s">
        <v>741</v>
      </c>
      <c r="F721" s="92" t="s">
        <v>739</v>
      </c>
      <c r="G721" s="92" t="s">
        <v>78</v>
      </c>
      <c r="H721" s="93">
        <v>75</v>
      </c>
      <c r="I721" s="93">
        <v>209</v>
      </c>
      <c r="J721" s="93">
        <v>25.18</v>
      </c>
      <c r="K721" s="93" t="s">
        <v>78</v>
      </c>
      <c r="L721" s="101">
        <v>639</v>
      </c>
      <c r="M721" s="101">
        <v>0</v>
      </c>
      <c r="N721" s="101">
        <v>1.3728592465784412E+19</v>
      </c>
    </row>
    <row r="722" spans="4:14" ht="15" customHeight="1">
      <c r="D722" s="99" t="b">
        <v>0</v>
      </c>
      <c r="E722" s="94" t="s">
        <v>742</v>
      </c>
      <c r="F722" s="92" t="s">
        <v>739</v>
      </c>
      <c r="G722" s="92" t="s">
        <v>82</v>
      </c>
      <c r="H722" s="93">
        <v>74</v>
      </c>
      <c r="I722" s="93">
        <v>204</v>
      </c>
      <c r="J722" s="93">
        <v>33.53</v>
      </c>
      <c r="K722" s="93" t="s">
        <v>83</v>
      </c>
      <c r="L722" s="101">
        <v>640</v>
      </c>
      <c r="M722" s="101">
        <v>0</v>
      </c>
      <c r="N722" s="101">
        <v>9.3206454182987428E+18</v>
      </c>
    </row>
    <row r="723" spans="4:14" ht="15" customHeight="1">
      <c r="D723" s="99" t="b">
        <v>0</v>
      </c>
      <c r="E723" s="94" t="s">
        <v>743</v>
      </c>
      <c r="F723" s="92" t="s">
        <v>739</v>
      </c>
      <c r="G723" s="92" t="s">
        <v>86</v>
      </c>
      <c r="H723" s="93">
        <v>69</v>
      </c>
      <c r="I723" s="93">
        <v>170</v>
      </c>
      <c r="J723" s="93">
        <v>33.03</v>
      </c>
      <c r="K723" s="93" t="s">
        <v>83</v>
      </c>
      <c r="L723" s="101">
        <v>641</v>
      </c>
      <c r="M723" s="101">
        <v>0</v>
      </c>
      <c r="N723" s="101">
        <v>5.0010151210912195E+18</v>
      </c>
    </row>
    <row r="724" spans="4:14" ht="15" customHeight="1">
      <c r="D724" s="99" t="b">
        <v>0</v>
      </c>
      <c r="E724" s="94" t="s">
        <v>744</v>
      </c>
      <c r="F724" s="92" t="s">
        <v>739</v>
      </c>
      <c r="G724" s="92" t="s">
        <v>86</v>
      </c>
      <c r="H724" s="93">
        <v>70</v>
      </c>
      <c r="I724" s="93">
        <v>185</v>
      </c>
      <c r="J724" s="93">
        <v>31.35</v>
      </c>
      <c r="K724" s="93" t="s">
        <v>83</v>
      </c>
      <c r="L724" s="101">
        <v>642</v>
      </c>
      <c r="M724" s="101">
        <v>0</v>
      </c>
      <c r="N724" s="101">
        <v>2.0720736601012048E+17</v>
      </c>
    </row>
    <row r="725" spans="4:14" ht="15" customHeight="1">
      <c r="D725" s="99" t="b">
        <v>0</v>
      </c>
      <c r="E725" s="94" t="s">
        <v>745</v>
      </c>
      <c r="F725" s="92" t="s">
        <v>739</v>
      </c>
      <c r="G725" s="92" t="s">
        <v>88</v>
      </c>
      <c r="H725" s="93">
        <v>75</v>
      </c>
      <c r="I725" s="93">
        <v>205</v>
      </c>
      <c r="J725" s="93">
        <v>22.39</v>
      </c>
      <c r="K725" s="93" t="s">
        <v>83</v>
      </c>
      <c r="L725" s="101">
        <v>643</v>
      </c>
      <c r="M725" s="101">
        <v>0</v>
      </c>
      <c r="N725" s="101">
        <v>9.8031549605441421E+17</v>
      </c>
    </row>
    <row r="726" spans="4:14" ht="15" customHeight="1">
      <c r="D726" s="99" t="b">
        <v>0</v>
      </c>
      <c r="E726" s="94" t="s">
        <v>746</v>
      </c>
      <c r="F726" s="92" t="s">
        <v>739</v>
      </c>
      <c r="G726" s="92" t="s">
        <v>88</v>
      </c>
      <c r="H726" s="93">
        <v>72</v>
      </c>
      <c r="I726" s="93">
        <v>175</v>
      </c>
      <c r="J726" s="93">
        <v>27.99</v>
      </c>
      <c r="K726" s="93" t="s">
        <v>83</v>
      </c>
      <c r="L726" s="101">
        <v>644</v>
      </c>
      <c r="M726" s="101">
        <v>0</v>
      </c>
      <c r="N726" s="101">
        <v>7.5316872426112328E+18</v>
      </c>
    </row>
    <row r="727" spans="4:14" ht="15" customHeight="1">
      <c r="D727" s="99" t="b">
        <v>0</v>
      </c>
      <c r="E727" s="94" t="s">
        <v>747</v>
      </c>
      <c r="F727" s="92" t="s">
        <v>739</v>
      </c>
      <c r="G727" s="92" t="s">
        <v>90</v>
      </c>
      <c r="H727" s="93">
        <v>75</v>
      </c>
      <c r="I727" s="93">
        <v>210</v>
      </c>
      <c r="J727" s="93">
        <v>27.22</v>
      </c>
      <c r="K727" s="93" t="s">
        <v>83</v>
      </c>
      <c r="L727" s="101">
        <v>645</v>
      </c>
      <c r="M727" s="101">
        <v>0</v>
      </c>
      <c r="N727" s="101">
        <v>7.5607421537248102E+18</v>
      </c>
    </row>
    <row r="728" spans="4:14" ht="15" customHeight="1">
      <c r="D728" s="99" t="b">
        <v>0</v>
      </c>
      <c r="E728" s="94" t="s">
        <v>748</v>
      </c>
      <c r="F728" s="92" t="s">
        <v>739</v>
      </c>
      <c r="G728" s="92" t="s">
        <v>93</v>
      </c>
      <c r="H728" s="93">
        <v>73</v>
      </c>
      <c r="I728" s="93">
        <v>190</v>
      </c>
      <c r="J728" s="93">
        <v>27.49</v>
      </c>
      <c r="K728" s="93" t="s">
        <v>93</v>
      </c>
      <c r="L728" s="101">
        <v>646</v>
      </c>
      <c r="M728" s="101">
        <v>0</v>
      </c>
      <c r="N728" s="101">
        <v>1.4181316536353679E+19</v>
      </c>
    </row>
    <row r="729" spans="4:14" ht="15" customHeight="1">
      <c r="D729" s="99" t="b">
        <v>0</v>
      </c>
      <c r="E729" s="94" t="s">
        <v>749</v>
      </c>
      <c r="F729" s="92" t="s">
        <v>739</v>
      </c>
      <c r="G729" s="92" t="s">
        <v>93</v>
      </c>
      <c r="H729" s="93">
        <v>72</v>
      </c>
      <c r="I729" s="93">
        <v>180</v>
      </c>
      <c r="J729" s="93">
        <v>27.53</v>
      </c>
      <c r="K729" s="93" t="s">
        <v>93</v>
      </c>
      <c r="L729" s="101">
        <v>647</v>
      </c>
      <c r="M729" s="101">
        <v>0</v>
      </c>
      <c r="N729" s="101">
        <v>8.0244872984238684E+18</v>
      </c>
    </row>
    <row r="730" spans="4:14" ht="15" customHeight="1">
      <c r="D730" s="99" t="b">
        <v>0</v>
      </c>
      <c r="E730" s="94" t="s">
        <v>750</v>
      </c>
      <c r="F730" s="92" t="s">
        <v>739</v>
      </c>
      <c r="G730" s="92" t="s">
        <v>93</v>
      </c>
      <c r="H730" s="93">
        <v>72</v>
      </c>
      <c r="I730" s="93">
        <v>180</v>
      </c>
      <c r="J730" s="93">
        <v>26.26</v>
      </c>
      <c r="K730" s="93" t="s">
        <v>93</v>
      </c>
      <c r="L730" s="101">
        <v>648</v>
      </c>
      <c r="M730" s="101">
        <v>0</v>
      </c>
      <c r="N730" s="101">
        <v>8.617056562856617E+17</v>
      </c>
    </row>
    <row r="731" spans="4:14" ht="15" customHeight="1">
      <c r="D731" s="99" t="b">
        <v>0</v>
      </c>
      <c r="E731" s="94" t="s">
        <v>751</v>
      </c>
      <c r="F731" s="92" t="s">
        <v>739</v>
      </c>
      <c r="G731" s="92" t="s">
        <v>93</v>
      </c>
      <c r="H731" s="93">
        <v>72</v>
      </c>
      <c r="I731" s="93">
        <v>160</v>
      </c>
      <c r="J731" s="93">
        <v>25.18</v>
      </c>
      <c r="K731" s="93" t="s">
        <v>93</v>
      </c>
      <c r="L731" s="101">
        <v>649</v>
      </c>
      <c r="M731" s="101">
        <v>0</v>
      </c>
      <c r="N731" s="101">
        <v>3.2969288082353427E+17</v>
      </c>
    </row>
    <row r="732" spans="4:14" ht="15" customHeight="1">
      <c r="D732" s="99" t="b">
        <v>0</v>
      </c>
      <c r="E732" s="94" t="s">
        <v>752</v>
      </c>
      <c r="F732" s="92" t="s">
        <v>739</v>
      </c>
      <c r="G732" s="92" t="s">
        <v>93</v>
      </c>
      <c r="H732" s="93">
        <v>76</v>
      </c>
      <c r="I732" s="93">
        <v>235</v>
      </c>
      <c r="J732" s="93">
        <v>27.12</v>
      </c>
      <c r="K732" s="93" t="s">
        <v>93</v>
      </c>
      <c r="L732" s="101">
        <v>650</v>
      </c>
      <c r="M732" s="101">
        <v>0</v>
      </c>
      <c r="N732" s="101">
        <v>4.0179256375803878E+18</v>
      </c>
    </row>
    <row r="733" spans="4:14" ht="15" customHeight="1">
      <c r="D733" s="99" t="b">
        <v>0</v>
      </c>
      <c r="E733" s="94" t="s">
        <v>753</v>
      </c>
      <c r="F733" s="92" t="s">
        <v>739</v>
      </c>
      <c r="G733" s="92" t="s">
        <v>93</v>
      </c>
      <c r="H733" s="93">
        <v>75</v>
      </c>
      <c r="I733" s="93">
        <v>200</v>
      </c>
      <c r="J733" s="93">
        <v>27.69</v>
      </c>
      <c r="K733" s="93" t="s">
        <v>93</v>
      </c>
      <c r="L733" s="101">
        <v>651</v>
      </c>
      <c r="M733" s="101">
        <v>0</v>
      </c>
      <c r="N733" s="101">
        <v>4.1956083083811651E+18</v>
      </c>
    </row>
    <row r="734" spans="4:14" ht="15" customHeight="1">
      <c r="D734" s="99" t="b">
        <v>0</v>
      </c>
      <c r="E734" s="94" t="s">
        <v>754</v>
      </c>
      <c r="F734" s="92" t="s">
        <v>739</v>
      </c>
      <c r="G734" s="92" t="s">
        <v>93</v>
      </c>
      <c r="H734" s="93">
        <v>74</v>
      </c>
      <c r="I734" s="93">
        <v>210</v>
      </c>
      <c r="J734" s="93">
        <v>25.69</v>
      </c>
      <c r="K734" s="93" t="s">
        <v>93</v>
      </c>
      <c r="L734" s="101">
        <v>652</v>
      </c>
      <c r="M734" s="101">
        <v>0</v>
      </c>
      <c r="N734" s="101">
        <v>2.1435644141019011E+18</v>
      </c>
    </row>
    <row r="735" spans="4:14" ht="15" customHeight="1">
      <c r="D735" s="99" t="b">
        <v>0</v>
      </c>
      <c r="E735" s="94" t="s">
        <v>755</v>
      </c>
      <c r="F735" s="92" t="s">
        <v>739</v>
      </c>
      <c r="G735" s="92" t="s">
        <v>101</v>
      </c>
      <c r="H735" s="93">
        <v>69</v>
      </c>
      <c r="I735" s="93">
        <v>180</v>
      </c>
      <c r="J735" s="93">
        <v>28.11</v>
      </c>
      <c r="K735" s="93" t="s">
        <v>75</v>
      </c>
      <c r="L735" s="101">
        <v>653</v>
      </c>
      <c r="M735" s="101">
        <v>0</v>
      </c>
      <c r="N735" s="101">
        <v>8.620265845182165E+18</v>
      </c>
    </row>
    <row r="736" spans="4:14" ht="15" customHeight="1">
      <c r="D736" s="99" t="b">
        <v>0</v>
      </c>
      <c r="E736" s="94" t="s">
        <v>756</v>
      </c>
      <c r="F736" s="92" t="s">
        <v>739</v>
      </c>
      <c r="G736" s="92" t="s">
        <v>101</v>
      </c>
      <c r="H736" s="93">
        <v>73</v>
      </c>
      <c r="I736" s="93">
        <v>190</v>
      </c>
      <c r="J736" s="93">
        <v>31.21</v>
      </c>
      <c r="K736" s="93" t="s">
        <v>75</v>
      </c>
      <c r="L736" s="101">
        <v>654</v>
      </c>
      <c r="M736" s="101">
        <v>0</v>
      </c>
      <c r="N736" s="101">
        <v>1.5111525920801654E+18</v>
      </c>
    </row>
    <row r="737" spans="4:14" ht="15" customHeight="1">
      <c r="D737" s="99" t="b">
        <v>0</v>
      </c>
      <c r="E737" s="94" t="s">
        <v>757</v>
      </c>
      <c r="F737" s="92" t="s">
        <v>739</v>
      </c>
      <c r="G737" s="92" t="s">
        <v>101</v>
      </c>
      <c r="H737" s="93">
        <v>72</v>
      </c>
      <c r="I737" s="93">
        <v>197</v>
      </c>
      <c r="J737" s="93">
        <v>30.8</v>
      </c>
      <c r="K737" s="93" t="s">
        <v>75</v>
      </c>
      <c r="L737" s="101">
        <v>655</v>
      </c>
      <c r="M737" s="101">
        <v>0</v>
      </c>
      <c r="N737" s="101">
        <v>1.0788033670745639E+19</v>
      </c>
    </row>
    <row r="738" spans="4:14" ht="15" customHeight="1">
      <c r="D738" s="99" t="b">
        <v>0</v>
      </c>
      <c r="E738" s="94" t="s">
        <v>758</v>
      </c>
      <c r="F738" s="92" t="s">
        <v>739</v>
      </c>
      <c r="G738" s="92" t="s">
        <v>101</v>
      </c>
      <c r="H738" s="93">
        <v>72</v>
      </c>
      <c r="I738" s="93">
        <v>203</v>
      </c>
      <c r="J738" s="93">
        <v>30.21</v>
      </c>
      <c r="K738" s="93" t="s">
        <v>75</v>
      </c>
      <c r="L738" s="101">
        <v>656</v>
      </c>
      <c r="M738" s="101">
        <v>0</v>
      </c>
      <c r="N738" s="101">
        <v>1.0504016075218747E+19</v>
      </c>
    </row>
    <row r="739" spans="4:14" ht="15" customHeight="1">
      <c r="D739" s="99" t="b">
        <v>0</v>
      </c>
      <c r="E739" s="94" t="s">
        <v>759</v>
      </c>
      <c r="F739" s="92" t="s">
        <v>739</v>
      </c>
      <c r="G739" s="92" t="s">
        <v>101</v>
      </c>
      <c r="H739" s="93">
        <v>75</v>
      </c>
      <c r="I739" s="93">
        <v>205</v>
      </c>
      <c r="J739" s="93">
        <v>28.06</v>
      </c>
      <c r="K739" s="93" t="s">
        <v>75</v>
      </c>
      <c r="L739" s="101">
        <v>657</v>
      </c>
      <c r="M739" s="101">
        <v>0</v>
      </c>
      <c r="N739" s="101">
        <v>1.2505372662847762E+19</v>
      </c>
    </row>
    <row r="740" spans="4:14" ht="15" customHeight="1">
      <c r="D740" s="99" t="b">
        <v>0</v>
      </c>
      <c r="E740" s="94" t="s">
        <v>760</v>
      </c>
      <c r="F740" s="92" t="s">
        <v>739</v>
      </c>
      <c r="G740" s="92" t="s">
        <v>101</v>
      </c>
      <c r="H740" s="93">
        <v>77</v>
      </c>
      <c r="I740" s="93">
        <v>170</v>
      </c>
      <c r="J740" s="93">
        <v>26.52</v>
      </c>
      <c r="K740" s="93" t="s">
        <v>75</v>
      </c>
      <c r="L740" s="101">
        <v>658</v>
      </c>
      <c r="M740" s="101">
        <v>0</v>
      </c>
      <c r="N740" s="101">
        <v>2.8675506663104942E+18</v>
      </c>
    </row>
    <row r="741" spans="4:14" ht="15" customHeight="1">
      <c r="D741" s="99" t="b">
        <v>0</v>
      </c>
      <c r="E741" s="94" t="s">
        <v>761</v>
      </c>
      <c r="F741" s="92" t="s">
        <v>739</v>
      </c>
      <c r="G741" s="92" t="s">
        <v>101</v>
      </c>
      <c r="H741" s="93">
        <v>76</v>
      </c>
      <c r="I741" s="93">
        <v>200</v>
      </c>
      <c r="J741" s="93">
        <v>23.1</v>
      </c>
      <c r="K741" s="93" t="s">
        <v>75</v>
      </c>
      <c r="L741" s="101">
        <v>659</v>
      </c>
      <c r="M741" s="101">
        <v>0</v>
      </c>
      <c r="N741" s="101">
        <v>1.6641959460195768E+18</v>
      </c>
    </row>
    <row r="742" spans="4:14" ht="15" customHeight="1">
      <c r="D742" s="99" t="b">
        <v>0</v>
      </c>
      <c r="E742" s="94" t="s">
        <v>762</v>
      </c>
      <c r="F742" s="92" t="s">
        <v>739</v>
      </c>
      <c r="G742" s="92" t="s">
        <v>101</v>
      </c>
      <c r="H742" s="93">
        <v>80</v>
      </c>
      <c r="I742" s="93">
        <v>250</v>
      </c>
      <c r="J742" s="93">
        <v>25.02</v>
      </c>
      <c r="K742" s="93" t="s">
        <v>75</v>
      </c>
      <c r="L742" s="101">
        <v>660</v>
      </c>
      <c r="M742" s="101">
        <v>0</v>
      </c>
      <c r="N742" s="101">
        <v>6.7475214203489812E+18</v>
      </c>
    </row>
    <row r="743" spans="4:14" ht="15" customHeight="1">
      <c r="D743" s="99" t="b">
        <v>0</v>
      </c>
      <c r="E743" s="94" t="s">
        <v>763</v>
      </c>
      <c r="F743" s="92" t="s">
        <v>739</v>
      </c>
      <c r="G743" s="92" t="s">
        <v>101</v>
      </c>
      <c r="H743" s="93">
        <v>77</v>
      </c>
      <c r="I743" s="93">
        <v>200</v>
      </c>
      <c r="J743" s="93">
        <v>26.14</v>
      </c>
      <c r="K743" s="93" t="s">
        <v>75</v>
      </c>
      <c r="L743" s="101">
        <v>661</v>
      </c>
      <c r="M743" s="101">
        <v>0</v>
      </c>
      <c r="N743" s="101">
        <v>9.6615937569437778E+18</v>
      </c>
    </row>
    <row r="744" spans="4:14" ht="15" customHeight="1">
      <c r="D744" s="99" t="b">
        <v>0</v>
      </c>
      <c r="E744" s="94" t="s">
        <v>764</v>
      </c>
      <c r="F744" s="92" t="s">
        <v>739</v>
      </c>
      <c r="G744" s="92" t="s">
        <v>101</v>
      </c>
      <c r="H744" s="93">
        <v>76</v>
      </c>
      <c r="I744" s="93">
        <v>220</v>
      </c>
      <c r="J744" s="93">
        <v>25.38</v>
      </c>
      <c r="K744" s="93" t="s">
        <v>75</v>
      </c>
      <c r="L744" s="101">
        <v>662</v>
      </c>
      <c r="M744" s="101">
        <v>0</v>
      </c>
      <c r="N744" s="101">
        <v>1.4756697351977943E+19</v>
      </c>
    </row>
    <row r="745" spans="4:14" ht="15" customHeight="1">
      <c r="D745" s="99" t="b">
        <v>0</v>
      </c>
      <c r="E745" s="94" t="s">
        <v>765</v>
      </c>
      <c r="F745" s="92" t="s">
        <v>739</v>
      </c>
      <c r="G745" s="92" t="s">
        <v>74</v>
      </c>
      <c r="H745" s="93">
        <v>79</v>
      </c>
      <c r="I745" s="93">
        <v>200</v>
      </c>
      <c r="J745" s="93">
        <v>27.6</v>
      </c>
      <c r="K745" s="93" t="s">
        <v>75</v>
      </c>
      <c r="L745" s="101">
        <v>663</v>
      </c>
      <c r="M745" s="101">
        <v>0</v>
      </c>
      <c r="N745" s="101">
        <v>1.8152860314999828E+19</v>
      </c>
    </row>
    <row r="746" spans="4:14" ht="15" customHeight="1">
      <c r="D746" s="99" t="b">
        <v>0</v>
      </c>
      <c r="E746" s="94" t="s">
        <v>766</v>
      </c>
      <c r="F746" s="92" t="s">
        <v>739</v>
      </c>
      <c r="G746" s="92" t="s">
        <v>74</v>
      </c>
      <c r="H746" s="93">
        <v>71</v>
      </c>
      <c r="I746" s="93">
        <v>190</v>
      </c>
      <c r="J746" s="93">
        <v>25.5</v>
      </c>
      <c r="K746" s="93" t="s">
        <v>75</v>
      </c>
      <c r="L746" s="101">
        <v>664</v>
      </c>
      <c r="M746" s="101">
        <v>0</v>
      </c>
      <c r="N746" s="101">
        <v>1.706843467061357E+19</v>
      </c>
    </row>
    <row r="747" spans="4:14" ht="15" customHeight="1">
      <c r="D747" s="99" t="b">
        <v>0</v>
      </c>
      <c r="E747" s="94" t="s">
        <v>767</v>
      </c>
      <c r="F747" s="92" t="s">
        <v>739</v>
      </c>
      <c r="G747" s="92" t="s">
        <v>74</v>
      </c>
      <c r="H747" s="93">
        <v>75</v>
      </c>
      <c r="I747" s="93">
        <v>170</v>
      </c>
      <c r="J747" s="93">
        <v>24.24</v>
      </c>
      <c r="K747" s="93" t="s">
        <v>75</v>
      </c>
      <c r="L747" s="101">
        <v>665</v>
      </c>
      <c r="M747" s="101">
        <v>0</v>
      </c>
      <c r="N747" s="101">
        <v>8.318116281392854E+18</v>
      </c>
    </row>
    <row r="748" spans="4:14" ht="15" customHeight="1">
      <c r="D748" s="99" t="b">
        <v>0</v>
      </c>
      <c r="E748" s="94" t="s">
        <v>768</v>
      </c>
      <c r="F748" s="92" t="s">
        <v>739</v>
      </c>
      <c r="G748" s="92" t="s">
        <v>74</v>
      </c>
      <c r="H748" s="93">
        <v>73</v>
      </c>
      <c r="I748" s="93">
        <v>190</v>
      </c>
      <c r="J748" s="93">
        <v>23.32</v>
      </c>
      <c r="K748" s="93" t="s">
        <v>75</v>
      </c>
      <c r="L748" s="101">
        <v>666</v>
      </c>
      <c r="M748" s="101">
        <v>0</v>
      </c>
      <c r="N748" s="101">
        <v>1.3199618023565052E+19</v>
      </c>
    </row>
    <row r="749" spans="4:14" ht="15" customHeight="1">
      <c r="D749" s="99" t="b">
        <v>0</v>
      </c>
      <c r="E749" s="94" t="s">
        <v>769</v>
      </c>
      <c r="F749" s="92" t="s">
        <v>739</v>
      </c>
      <c r="G749" s="92" t="s">
        <v>74</v>
      </c>
      <c r="H749" s="93">
        <v>76</v>
      </c>
      <c r="I749" s="93">
        <v>220</v>
      </c>
      <c r="J749" s="93">
        <v>31.56</v>
      </c>
      <c r="K749" s="93" t="s">
        <v>75</v>
      </c>
      <c r="L749" s="101">
        <v>667</v>
      </c>
      <c r="M749" s="101">
        <v>0</v>
      </c>
      <c r="N749" s="101">
        <v>3.5689968598799176E+18</v>
      </c>
    </row>
    <row r="750" spans="4:14" ht="15" customHeight="1">
      <c r="D750" s="99" t="b">
        <v>0</v>
      </c>
      <c r="E750" s="94" t="s">
        <v>770</v>
      </c>
      <c r="F750" s="92" t="s">
        <v>739</v>
      </c>
      <c r="G750" s="92" t="s">
        <v>74</v>
      </c>
      <c r="H750" s="93">
        <v>77</v>
      </c>
      <c r="I750" s="93">
        <v>215</v>
      </c>
      <c r="J750" s="93">
        <v>34.19</v>
      </c>
      <c r="K750" s="93" t="s">
        <v>75</v>
      </c>
      <c r="L750" s="101">
        <v>668</v>
      </c>
      <c r="M750" s="101">
        <v>0</v>
      </c>
      <c r="N750" s="101">
        <v>7.1802056085906094E+18</v>
      </c>
    </row>
    <row r="751" spans="4:14" ht="15" customHeight="1">
      <c r="D751" s="99" t="b">
        <v>0</v>
      </c>
      <c r="E751" s="94" t="s">
        <v>771</v>
      </c>
      <c r="F751" s="92" t="s">
        <v>739</v>
      </c>
      <c r="G751" s="92" t="s">
        <v>74</v>
      </c>
      <c r="H751" s="93">
        <v>73</v>
      </c>
      <c r="I751" s="93">
        <v>206</v>
      </c>
      <c r="J751" s="93">
        <v>36.78</v>
      </c>
      <c r="K751" s="93" t="s">
        <v>75</v>
      </c>
      <c r="L751" s="101">
        <v>669</v>
      </c>
      <c r="M751" s="101">
        <v>0</v>
      </c>
      <c r="N751" s="101">
        <v>2.1380549424694121E+18</v>
      </c>
    </row>
    <row r="752" spans="4:14" ht="15" customHeight="1">
      <c r="D752" s="99" t="b">
        <v>0</v>
      </c>
      <c r="E752" s="94" t="s">
        <v>772</v>
      </c>
      <c r="F752" s="92" t="s">
        <v>739</v>
      </c>
      <c r="G752" s="92" t="s">
        <v>74</v>
      </c>
      <c r="H752" s="93">
        <v>76</v>
      </c>
      <c r="I752" s="93">
        <v>215</v>
      </c>
      <c r="J752" s="93">
        <v>27.73</v>
      </c>
      <c r="K752" s="93" t="s">
        <v>75</v>
      </c>
      <c r="L752" s="101">
        <v>670</v>
      </c>
      <c r="M752" s="101">
        <v>0</v>
      </c>
      <c r="N752" s="101">
        <v>1.2008547036109935E+19</v>
      </c>
    </row>
    <row r="753" spans="4:14" ht="15" customHeight="1">
      <c r="D753" s="99" t="b">
        <v>0</v>
      </c>
      <c r="E753" s="94" t="s">
        <v>773</v>
      </c>
      <c r="F753" s="92" t="s">
        <v>73</v>
      </c>
      <c r="G753" s="92" t="s">
        <v>78</v>
      </c>
      <c r="H753" s="93">
        <v>70</v>
      </c>
      <c r="I753" s="93">
        <v>185</v>
      </c>
      <c r="J753" s="93">
        <v>34.880000000000003</v>
      </c>
      <c r="K753" s="93" t="s">
        <v>78</v>
      </c>
      <c r="L753" s="101">
        <v>671</v>
      </c>
      <c r="M753" s="101">
        <v>0</v>
      </c>
      <c r="N753" s="101">
        <v>1.16540313838387E+19</v>
      </c>
    </row>
    <row r="754" spans="4:14" ht="15" customHeight="1">
      <c r="D754" s="99" t="b">
        <v>0</v>
      </c>
      <c r="E754" s="94" t="s">
        <v>774</v>
      </c>
      <c r="F754" s="92" t="s">
        <v>73</v>
      </c>
      <c r="G754" s="92" t="s">
        <v>78</v>
      </c>
      <c r="H754" s="93">
        <v>75</v>
      </c>
      <c r="I754" s="93">
        <v>235</v>
      </c>
      <c r="J754" s="93">
        <v>31</v>
      </c>
      <c r="K754" s="93" t="s">
        <v>78</v>
      </c>
      <c r="L754" s="101">
        <v>672</v>
      </c>
      <c r="M754" s="101">
        <v>0</v>
      </c>
      <c r="N754" s="101">
        <v>1.0118353905725755E+18</v>
      </c>
    </row>
    <row r="755" spans="4:14" ht="15" customHeight="1">
      <c r="D755" s="99" t="b">
        <v>0</v>
      </c>
      <c r="E755" s="94" t="s">
        <v>775</v>
      </c>
      <c r="F755" s="92" t="s">
        <v>73</v>
      </c>
      <c r="G755" s="92" t="s">
        <v>82</v>
      </c>
      <c r="H755" s="93">
        <v>73</v>
      </c>
      <c r="I755" s="93">
        <v>188</v>
      </c>
      <c r="J755" s="93">
        <v>48.52</v>
      </c>
      <c r="K755" s="93" t="s">
        <v>83</v>
      </c>
      <c r="L755" s="101">
        <v>673</v>
      </c>
      <c r="M755" s="101">
        <v>0</v>
      </c>
      <c r="N755" s="101">
        <v>1.5380671980911901E+19</v>
      </c>
    </row>
    <row r="756" spans="4:14" ht="15" customHeight="1">
      <c r="D756" s="99" t="b">
        <v>0</v>
      </c>
      <c r="E756" s="94" t="s">
        <v>776</v>
      </c>
      <c r="F756" s="92" t="s">
        <v>73</v>
      </c>
      <c r="G756" s="92" t="s">
        <v>82</v>
      </c>
      <c r="H756" s="93">
        <v>75</v>
      </c>
      <c r="I756" s="93">
        <v>230</v>
      </c>
      <c r="J756" s="93">
        <v>34.68</v>
      </c>
      <c r="K756" s="93" t="s">
        <v>83</v>
      </c>
      <c r="L756" s="101">
        <v>674</v>
      </c>
      <c r="M756" s="101">
        <v>0</v>
      </c>
      <c r="N756" s="101">
        <v>1.466980933358122E+19</v>
      </c>
    </row>
    <row r="757" spans="4:14" ht="15" customHeight="1">
      <c r="D757" s="99" t="b">
        <v>0</v>
      </c>
      <c r="E757" s="94" t="s">
        <v>777</v>
      </c>
      <c r="F757" s="92" t="s">
        <v>73</v>
      </c>
      <c r="G757" s="92" t="s">
        <v>86</v>
      </c>
      <c r="H757" s="93">
        <v>70</v>
      </c>
      <c r="I757" s="93">
        <v>195</v>
      </c>
      <c r="J757" s="93">
        <v>37.380000000000003</v>
      </c>
      <c r="K757" s="93" t="s">
        <v>83</v>
      </c>
      <c r="L757" s="101">
        <v>675</v>
      </c>
      <c r="M757" s="101">
        <v>0</v>
      </c>
      <c r="N757" s="101">
        <v>5.4074916701617466E+17</v>
      </c>
    </row>
    <row r="758" spans="4:14" ht="15" customHeight="1">
      <c r="D758" s="99" t="b">
        <v>0</v>
      </c>
      <c r="E758" s="94" t="s">
        <v>778</v>
      </c>
      <c r="F758" s="92" t="s">
        <v>73</v>
      </c>
      <c r="G758" s="92" t="s">
        <v>86</v>
      </c>
      <c r="H758" s="93">
        <v>69</v>
      </c>
      <c r="I758" s="93">
        <v>168</v>
      </c>
      <c r="J758" s="93">
        <v>24.33</v>
      </c>
      <c r="K758" s="93" t="s">
        <v>83</v>
      </c>
      <c r="L758" s="101">
        <v>676</v>
      </c>
      <c r="M758" s="101">
        <v>0</v>
      </c>
      <c r="N758" s="101">
        <v>6.3091211540137779E+18</v>
      </c>
    </row>
    <row r="759" spans="4:14" ht="15" customHeight="1">
      <c r="D759" s="99" t="b">
        <v>0</v>
      </c>
      <c r="E759" s="94" t="s">
        <v>779</v>
      </c>
      <c r="F759" s="92" t="s">
        <v>73</v>
      </c>
      <c r="G759" s="92" t="s">
        <v>88</v>
      </c>
      <c r="H759" s="93">
        <v>71</v>
      </c>
      <c r="I759" s="93">
        <v>190</v>
      </c>
      <c r="J759" s="93">
        <v>37.299999999999997</v>
      </c>
      <c r="K759" s="93" t="s">
        <v>83</v>
      </c>
      <c r="L759" s="101">
        <v>677</v>
      </c>
      <c r="M759" s="101">
        <v>0</v>
      </c>
      <c r="N759" s="101">
        <v>5.242258816851584E+18</v>
      </c>
    </row>
    <row r="760" spans="4:14" ht="15" customHeight="1">
      <c r="D760" s="99" t="b">
        <v>0</v>
      </c>
      <c r="E760" s="94" t="s">
        <v>780</v>
      </c>
      <c r="F760" s="92" t="s">
        <v>73</v>
      </c>
      <c r="G760" s="92" t="s">
        <v>88</v>
      </c>
      <c r="H760" s="93">
        <v>72</v>
      </c>
      <c r="I760" s="93">
        <v>160</v>
      </c>
      <c r="J760" s="93">
        <v>23.72</v>
      </c>
      <c r="K760" s="93" t="s">
        <v>83</v>
      </c>
      <c r="L760" s="101">
        <v>678</v>
      </c>
      <c r="M760" s="101">
        <v>0</v>
      </c>
      <c r="N760" s="101">
        <v>9.4445367351252339E+17</v>
      </c>
    </row>
    <row r="761" spans="4:14" ht="15" customHeight="1">
      <c r="D761" s="99" t="b">
        <v>0</v>
      </c>
      <c r="E761" s="94" t="s">
        <v>781</v>
      </c>
      <c r="F761" s="92" t="s">
        <v>73</v>
      </c>
      <c r="G761" s="92" t="s">
        <v>90</v>
      </c>
      <c r="H761" s="93">
        <v>72</v>
      </c>
      <c r="I761" s="93">
        <v>200</v>
      </c>
      <c r="J761" s="93">
        <v>24.19</v>
      </c>
      <c r="K761" s="93" t="s">
        <v>83</v>
      </c>
      <c r="L761" s="101">
        <v>679</v>
      </c>
      <c r="M761" s="101">
        <v>0</v>
      </c>
      <c r="N761" s="101">
        <v>1.3144244443552836E+19</v>
      </c>
    </row>
    <row r="762" spans="4:14" ht="15" customHeight="1">
      <c r="D762" s="99" t="b">
        <v>0</v>
      </c>
      <c r="E762" s="94" t="s">
        <v>782</v>
      </c>
      <c r="F762" s="92" t="s">
        <v>73</v>
      </c>
      <c r="G762" s="92" t="s">
        <v>93</v>
      </c>
      <c r="H762" s="93">
        <v>73</v>
      </c>
      <c r="I762" s="93">
        <v>200</v>
      </c>
      <c r="J762" s="93">
        <v>25.7</v>
      </c>
      <c r="K762" s="93" t="s">
        <v>93</v>
      </c>
      <c r="L762" s="101">
        <v>680</v>
      </c>
      <c r="M762" s="101">
        <v>0</v>
      </c>
      <c r="N762" s="101">
        <v>1.3797791183263226E+17</v>
      </c>
    </row>
    <row r="763" spans="4:14" ht="15" customHeight="1">
      <c r="D763" s="99" t="b">
        <v>0</v>
      </c>
      <c r="E763" s="94" t="s">
        <v>783</v>
      </c>
      <c r="F763" s="92" t="s">
        <v>73</v>
      </c>
      <c r="G763" s="92" t="s">
        <v>93</v>
      </c>
      <c r="H763" s="93">
        <v>70</v>
      </c>
      <c r="I763" s="93">
        <v>189</v>
      </c>
      <c r="J763" s="93">
        <v>29.06</v>
      </c>
      <c r="K763" s="93" t="s">
        <v>93</v>
      </c>
      <c r="L763" s="101">
        <v>681</v>
      </c>
      <c r="M763" s="101">
        <v>0</v>
      </c>
      <c r="N763" s="101">
        <v>1.4202729972625E+19</v>
      </c>
    </row>
    <row r="764" spans="4:14" ht="15" customHeight="1">
      <c r="D764" s="99" t="b">
        <v>0</v>
      </c>
      <c r="E764" s="94" t="s">
        <v>784</v>
      </c>
      <c r="F764" s="92" t="s">
        <v>73</v>
      </c>
      <c r="G764" s="92" t="s">
        <v>93</v>
      </c>
      <c r="H764" s="93">
        <v>70</v>
      </c>
      <c r="I764" s="93">
        <v>180</v>
      </c>
      <c r="J764" s="93">
        <v>33.479999999999997</v>
      </c>
      <c r="K764" s="93" t="s">
        <v>93</v>
      </c>
      <c r="L764" s="101">
        <v>682</v>
      </c>
      <c r="M764" s="101">
        <v>0</v>
      </c>
      <c r="N764" s="101">
        <v>1.5299073765022648E+19</v>
      </c>
    </row>
    <row r="765" spans="4:14" ht="15" customHeight="1">
      <c r="D765" s="99" t="b">
        <v>0</v>
      </c>
      <c r="E765" s="94" t="s">
        <v>785</v>
      </c>
      <c r="F765" s="92" t="s">
        <v>73</v>
      </c>
      <c r="G765" s="92" t="s">
        <v>93</v>
      </c>
      <c r="H765" s="93">
        <v>73</v>
      </c>
      <c r="I765" s="93">
        <v>190</v>
      </c>
      <c r="J765" s="93">
        <v>29.85</v>
      </c>
      <c r="K765" s="93" t="s">
        <v>93</v>
      </c>
      <c r="L765" s="101">
        <v>683</v>
      </c>
      <c r="M765" s="101">
        <v>0</v>
      </c>
      <c r="N765" s="101">
        <v>1.2807041735946824E+19</v>
      </c>
    </row>
    <row r="766" spans="4:14" ht="15" customHeight="1">
      <c r="D766" s="99" t="b">
        <v>0</v>
      </c>
      <c r="E766" s="94" t="s">
        <v>786</v>
      </c>
      <c r="F766" s="92" t="s">
        <v>73</v>
      </c>
      <c r="G766" s="92" t="s">
        <v>93</v>
      </c>
      <c r="H766" s="93">
        <v>76</v>
      </c>
      <c r="I766" s="93">
        <v>200</v>
      </c>
      <c r="J766" s="93">
        <v>34.299999999999997</v>
      </c>
      <c r="K766" s="93" t="s">
        <v>93</v>
      </c>
      <c r="L766" s="101">
        <v>684</v>
      </c>
      <c r="M766" s="101">
        <v>0</v>
      </c>
      <c r="N766" s="101">
        <v>1.5747476145194146E+19</v>
      </c>
    </row>
    <row r="767" spans="4:14" ht="15" customHeight="1">
      <c r="D767" s="99" t="b">
        <v>0</v>
      </c>
      <c r="E767" s="94" t="s">
        <v>787</v>
      </c>
      <c r="F767" s="92" t="s">
        <v>73</v>
      </c>
      <c r="G767" s="92" t="s">
        <v>93</v>
      </c>
      <c r="H767" s="93">
        <v>75</v>
      </c>
      <c r="I767" s="93">
        <v>220</v>
      </c>
      <c r="J767" s="93">
        <v>40.659999999999997</v>
      </c>
      <c r="K767" s="93" t="s">
        <v>93</v>
      </c>
      <c r="L767" s="101">
        <v>685</v>
      </c>
      <c r="M767" s="101">
        <v>0</v>
      </c>
      <c r="N767" s="101">
        <v>7.4427689358471168E+18</v>
      </c>
    </row>
    <row r="768" spans="4:14" ht="15" customHeight="1">
      <c r="D768" s="99" t="b">
        <v>0</v>
      </c>
      <c r="E768" s="94" t="s">
        <v>788</v>
      </c>
      <c r="F768" s="92" t="s">
        <v>73</v>
      </c>
      <c r="G768" s="92" t="s">
        <v>93</v>
      </c>
      <c r="H768" s="93">
        <v>72</v>
      </c>
      <c r="I768" s="93">
        <v>187</v>
      </c>
      <c r="J768" s="93">
        <v>21.9</v>
      </c>
      <c r="K768" s="93" t="s">
        <v>93</v>
      </c>
      <c r="L768" s="101">
        <v>686</v>
      </c>
      <c r="M768" s="101">
        <v>0</v>
      </c>
      <c r="N768" s="101">
        <v>8.9908596793981256E+18</v>
      </c>
    </row>
    <row r="769" spans="4:14" ht="15" customHeight="1">
      <c r="D769" s="99" t="b">
        <v>0</v>
      </c>
      <c r="E769" s="94" t="s">
        <v>789</v>
      </c>
      <c r="F769" s="92" t="s">
        <v>73</v>
      </c>
      <c r="G769" s="92" t="s">
        <v>101</v>
      </c>
      <c r="H769" s="93">
        <v>73</v>
      </c>
      <c r="I769" s="93">
        <v>240</v>
      </c>
      <c r="J769" s="93">
        <v>27.39</v>
      </c>
      <c r="K769" s="93" t="s">
        <v>75</v>
      </c>
      <c r="L769" s="101">
        <v>687</v>
      </c>
      <c r="M769" s="101">
        <v>0</v>
      </c>
      <c r="N769" s="101">
        <v>2.8441180744728653E+18</v>
      </c>
    </row>
    <row r="770" spans="4:14" ht="15" customHeight="1">
      <c r="D770" s="99" t="b">
        <v>0</v>
      </c>
      <c r="E770" s="94" t="s">
        <v>790</v>
      </c>
      <c r="F770" s="92" t="s">
        <v>73</v>
      </c>
      <c r="G770" s="92" t="s">
        <v>101</v>
      </c>
      <c r="H770" s="93">
        <v>79</v>
      </c>
      <c r="I770" s="93">
        <v>190</v>
      </c>
      <c r="J770" s="93">
        <v>23.13</v>
      </c>
      <c r="K770" s="93" t="s">
        <v>75</v>
      </c>
      <c r="L770" s="101">
        <v>688</v>
      </c>
      <c r="M770" s="101">
        <v>0</v>
      </c>
      <c r="N770" s="101">
        <v>1.6058080657725751E+19</v>
      </c>
    </row>
    <row r="771" spans="4:14" ht="15" customHeight="1">
      <c r="D771" s="99" t="b">
        <v>0</v>
      </c>
      <c r="E771" s="94" t="s">
        <v>791</v>
      </c>
      <c r="F771" s="92" t="s">
        <v>73</v>
      </c>
      <c r="G771" s="92" t="s">
        <v>101</v>
      </c>
      <c r="H771" s="93">
        <v>71</v>
      </c>
      <c r="I771" s="93">
        <v>180</v>
      </c>
      <c r="J771" s="93">
        <v>35.35</v>
      </c>
      <c r="K771" s="93" t="s">
        <v>75</v>
      </c>
      <c r="L771" s="101">
        <v>689</v>
      </c>
      <c r="M771" s="101">
        <v>0</v>
      </c>
      <c r="N771" s="101">
        <v>3.3319908907309357E+17</v>
      </c>
    </row>
    <row r="772" spans="4:14" ht="15" customHeight="1">
      <c r="D772" s="99" t="b">
        <v>0</v>
      </c>
      <c r="E772" s="94" t="s">
        <v>792</v>
      </c>
      <c r="F772" s="92" t="s">
        <v>73</v>
      </c>
      <c r="G772" s="92" t="s">
        <v>101</v>
      </c>
      <c r="H772" s="93">
        <v>72</v>
      </c>
      <c r="I772" s="93">
        <v>185</v>
      </c>
      <c r="J772" s="93">
        <v>40.93</v>
      </c>
      <c r="K772" s="93" t="s">
        <v>75</v>
      </c>
      <c r="L772" s="101">
        <v>690</v>
      </c>
      <c r="M772" s="101">
        <v>0</v>
      </c>
      <c r="N772" s="101">
        <v>9.7897227125406986E+18</v>
      </c>
    </row>
    <row r="773" spans="4:14" ht="15" customHeight="1">
      <c r="D773" s="99" t="b">
        <v>0</v>
      </c>
      <c r="E773" s="94" t="s">
        <v>793</v>
      </c>
      <c r="F773" s="92" t="s">
        <v>73</v>
      </c>
      <c r="G773" s="92" t="s">
        <v>101</v>
      </c>
      <c r="H773" s="93">
        <v>74</v>
      </c>
      <c r="I773" s="93">
        <v>210</v>
      </c>
      <c r="J773" s="93">
        <v>33.67</v>
      </c>
      <c r="K773" s="93" t="s">
        <v>75</v>
      </c>
      <c r="L773" s="101">
        <v>691</v>
      </c>
      <c r="M773" s="101">
        <v>0</v>
      </c>
      <c r="N773" s="101">
        <v>9.2952908611529424E+16</v>
      </c>
    </row>
    <row r="774" spans="4:14" ht="15" customHeight="1">
      <c r="D774" s="99" t="b">
        <v>0</v>
      </c>
      <c r="E774" s="94" t="s">
        <v>794</v>
      </c>
      <c r="F774" s="92" t="s">
        <v>73</v>
      </c>
      <c r="G774" s="92" t="s">
        <v>101</v>
      </c>
      <c r="H774" s="93">
        <v>74</v>
      </c>
      <c r="I774" s="93">
        <v>220</v>
      </c>
      <c r="J774" s="93">
        <v>37.39</v>
      </c>
      <c r="K774" s="93" t="s">
        <v>75</v>
      </c>
      <c r="L774" s="101">
        <v>692</v>
      </c>
      <c r="M774" s="101">
        <v>0</v>
      </c>
      <c r="N774" s="101">
        <v>7.0740922511758868E+18</v>
      </c>
    </row>
    <row r="775" spans="4:14" ht="15" customHeight="1">
      <c r="D775" s="99" t="b">
        <v>0</v>
      </c>
      <c r="E775" s="94" t="s">
        <v>795</v>
      </c>
      <c r="F775" s="92" t="s">
        <v>73</v>
      </c>
      <c r="G775" s="92" t="s">
        <v>101</v>
      </c>
      <c r="H775" s="93">
        <v>74</v>
      </c>
      <c r="I775" s="93">
        <v>219</v>
      </c>
      <c r="J775" s="93">
        <v>27.97</v>
      </c>
      <c r="K775" s="93" t="s">
        <v>75</v>
      </c>
      <c r="L775" s="101">
        <v>693</v>
      </c>
      <c r="M775" s="101">
        <v>0</v>
      </c>
      <c r="N775" s="101">
        <v>1.1675812779685972E+19</v>
      </c>
    </row>
    <row r="776" spans="4:14" ht="15" customHeight="1">
      <c r="D776" s="99" t="b">
        <v>0</v>
      </c>
      <c r="E776" s="94" t="s">
        <v>796</v>
      </c>
      <c r="F776" s="92" t="s">
        <v>73</v>
      </c>
      <c r="G776" s="92" t="s">
        <v>101</v>
      </c>
      <c r="H776" s="93">
        <v>72</v>
      </c>
      <c r="I776" s="93">
        <v>190</v>
      </c>
      <c r="J776" s="93">
        <v>25.54</v>
      </c>
      <c r="K776" s="93" t="s">
        <v>75</v>
      </c>
      <c r="L776" s="101">
        <v>694</v>
      </c>
      <c r="M776" s="101">
        <v>0</v>
      </c>
      <c r="N776" s="101">
        <v>2.5684118881919089E+18</v>
      </c>
    </row>
    <row r="777" spans="4:14" ht="15" customHeight="1">
      <c r="D777" s="99" t="b">
        <v>0</v>
      </c>
      <c r="E777" s="94" t="s">
        <v>797</v>
      </c>
      <c r="F777" s="92" t="s">
        <v>73</v>
      </c>
      <c r="G777" s="92" t="s">
        <v>101</v>
      </c>
      <c r="H777" s="93">
        <v>76</v>
      </c>
      <c r="I777" s="93">
        <v>193</v>
      </c>
      <c r="J777" s="93">
        <v>25.81</v>
      </c>
      <c r="K777" s="93" t="s">
        <v>75</v>
      </c>
      <c r="L777" s="101">
        <v>695</v>
      </c>
      <c r="M777" s="101">
        <v>0</v>
      </c>
      <c r="N777" s="101">
        <v>1.6373252376121438E+19</v>
      </c>
    </row>
    <row r="778" spans="4:14" ht="15" customHeight="1">
      <c r="D778" s="99" t="b">
        <v>0</v>
      </c>
      <c r="E778" s="94" t="s">
        <v>798</v>
      </c>
      <c r="F778" s="92" t="s">
        <v>73</v>
      </c>
      <c r="G778" s="92" t="s">
        <v>74</v>
      </c>
      <c r="H778" s="93">
        <v>76</v>
      </c>
      <c r="I778" s="93">
        <v>175</v>
      </c>
      <c r="J778" s="93">
        <v>22.53</v>
      </c>
      <c r="K778" s="93" t="s">
        <v>75</v>
      </c>
      <c r="L778" s="101">
        <v>696</v>
      </c>
      <c r="M778" s="101">
        <v>0</v>
      </c>
      <c r="N778" s="101">
        <v>2.0657925315278084E+16</v>
      </c>
    </row>
    <row r="779" spans="4:14" ht="15" customHeight="1">
      <c r="D779" s="99" t="b">
        <v>0</v>
      </c>
      <c r="E779" s="94" t="s">
        <v>799</v>
      </c>
      <c r="F779" s="92" t="s">
        <v>73</v>
      </c>
      <c r="G779" s="92" t="s">
        <v>74</v>
      </c>
      <c r="H779" s="93">
        <v>72</v>
      </c>
      <c r="I779" s="93">
        <v>180</v>
      </c>
      <c r="J779" s="93">
        <v>22.86</v>
      </c>
      <c r="K779" s="93" t="s">
        <v>75</v>
      </c>
      <c r="L779" s="101">
        <v>697</v>
      </c>
      <c r="M779" s="101">
        <v>0</v>
      </c>
      <c r="N779" s="101">
        <v>1.6442807215140891E+19</v>
      </c>
    </row>
    <row r="780" spans="4:14" ht="15" customHeight="1">
      <c r="D780" s="99" t="b">
        <v>0</v>
      </c>
      <c r="E780" s="94" t="s">
        <v>800</v>
      </c>
      <c r="F780" s="92" t="s">
        <v>73</v>
      </c>
      <c r="G780" s="92" t="s">
        <v>74</v>
      </c>
      <c r="H780" s="93">
        <v>72</v>
      </c>
      <c r="I780" s="93">
        <v>215</v>
      </c>
      <c r="J780" s="93">
        <v>24.07</v>
      </c>
      <c r="K780" s="93" t="s">
        <v>75</v>
      </c>
      <c r="L780" s="101">
        <v>698</v>
      </c>
      <c r="M780" s="101">
        <v>0</v>
      </c>
      <c r="N780" s="101">
        <v>1.8566606360963535E+18</v>
      </c>
    </row>
    <row r="781" spans="4:14" ht="15" customHeight="1">
      <c r="D781" s="99" t="b">
        <v>0</v>
      </c>
      <c r="E781" s="94" t="s">
        <v>801</v>
      </c>
      <c r="F781" s="92" t="s">
        <v>73</v>
      </c>
      <c r="G781" s="92" t="s">
        <v>74</v>
      </c>
      <c r="H781" s="93">
        <v>71</v>
      </c>
      <c r="I781" s="93">
        <v>210</v>
      </c>
      <c r="J781" s="93">
        <v>29.5</v>
      </c>
      <c r="K781" s="93" t="s">
        <v>75</v>
      </c>
      <c r="L781" s="101">
        <v>699</v>
      </c>
      <c r="M781" s="101">
        <v>0</v>
      </c>
      <c r="N781" s="101">
        <v>6.3710959777173934E+18</v>
      </c>
    </row>
    <row r="782" spans="4:14" ht="15" customHeight="1">
      <c r="D782" s="99" t="b">
        <v>0</v>
      </c>
      <c r="E782" s="94" t="s">
        <v>802</v>
      </c>
      <c r="F782" s="92" t="s">
        <v>73</v>
      </c>
      <c r="G782" s="92" t="s">
        <v>74</v>
      </c>
      <c r="H782" s="93">
        <v>72</v>
      </c>
      <c r="I782" s="93">
        <v>200</v>
      </c>
      <c r="J782" s="93">
        <v>30.03</v>
      </c>
      <c r="K782" s="93" t="s">
        <v>75</v>
      </c>
      <c r="L782" s="101">
        <v>700</v>
      </c>
      <c r="M782" s="101">
        <v>0</v>
      </c>
      <c r="N782" s="101">
        <v>7.9006096519562854E+18</v>
      </c>
    </row>
    <row r="783" spans="4:14" ht="15" customHeight="1">
      <c r="D783" s="99" t="b">
        <v>0</v>
      </c>
      <c r="E783" s="94" t="s">
        <v>803</v>
      </c>
      <c r="F783" s="92" t="s">
        <v>73</v>
      </c>
      <c r="G783" s="92" t="s">
        <v>74</v>
      </c>
      <c r="H783" s="93">
        <v>72</v>
      </c>
      <c r="I783" s="93">
        <v>190</v>
      </c>
      <c r="J783" s="93">
        <v>27.38</v>
      </c>
      <c r="K783" s="93" t="s">
        <v>75</v>
      </c>
      <c r="L783" s="101">
        <v>701</v>
      </c>
      <c r="M783" s="101">
        <v>0</v>
      </c>
      <c r="N783" s="101">
        <v>5.4162908735532923E+18</v>
      </c>
    </row>
    <row r="784" spans="4:14" ht="15" customHeight="1">
      <c r="D784" s="99" t="b">
        <v>0</v>
      </c>
      <c r="E784" s="94" t="s">
        <v>804</v>
      </c>
      <c r="F784" s="92" t="s">
        <v>73</v>
      </c>
      <c r="G784" s="92" t="s">
        <v>74</v>
      </c>
      <c r="H784" s="93">
        <v>70</v>
      </c>
      <c r="I784" s="93">
        <v>185</v>
      </c>
      <c r="J784" s="93">
        <v>30.51</v>
      </c>
      <c r="K784" s="93" t="s">
        <v>75</v>
      </c>
      <c r="L784" s="101">
        <v>702</v>
      </c>
      <c r="M784" s="101">
        <v>0</v>
      </c>
      <c r="N784" s="101">
        <v>1.2790120230943664E+19</v>
      </c>
    </row>
    <row r="785" spans="4:14" ht="15" customHeight="1">
      <c r="D785" s="99" t="b">
        <v>0</v>
      </c>
      <c r="E785" s="94" t="s">
        <v>805</v>
      </c>
      <c r="F785" s="92" t="s">
        <v>73</v>
      </c>
      <c r="G785" s="92" t="s">
        <v>74</v>
      </c>
      <c r="H785" s="93">
        <v>77</v>
      </c>
      <c r="I785" s="93">
        <v>220</v>
      </c>
      <c r="J785" s="93">
        <v>28.3</v>
      </c>
      <c r="K785" s="93" t="s">
        <v>75</v>
      </c>
      <c r="L785" s="101">
        <v>703</v>
      </c>
      <c r="M785" s="101">
        <v>0</v>
      </c>
      <c r="N785" s="101">
        <v>1.4726847690798301E+19</v>
      </c>
    </row>
    <row r="786" spans="4:14" ht="15" customHeight="1">
      <c r="D786" s="99" t="b">
        <v>0</v>
      </c>
      <c r="E786" s="94" t="s">
        <v>806</v>
      </c>
      <c r="F786" s="92" t="s">
        <v>73</v>
      </c>
      <c r="G786" s="92" t="s">
        <v>74</v>
      </c>
      <c r="H786" s="93">
        <v>74</v>
      </c>
      <c r="I786" s="93">
        <v>170</v>
      </c>
      <c r="J786" s="93">
        <v>29.84</v>
      </c>
      <c r="K786" s="93" t="s">
        <v>75</v>
      </c>
      <c r="L786" s="101">
        <v>704</v>
      </c>
      <c r="M786" s="101">
        <v>0</v>
      </c>
      <c r="N786" s="101">
        <v>1.4261205902723277E+19</v>
      </c>
    </row>
    <row r="787" spans="4:14" ht="15" customHeight="1">
      <c r="D787" s="99" t="b">
        <v>0</v>
      </c>
      <c r="E787" s="94" t="s">
        <v>807</v>
      </c>
      <c r="F787" s="92" t="s">
        <v>73</v>
      </c>
      <c r="G787" s="92" t="s">
        <v>74</v>
      </c>
      <c r="H787" s="93">
        <v>72</v>
      </c>
      <c r="I787" s="93">
        <v>195</v>
      </c>
      <c r="J787" s="93">
        <v>33.409999999999997</v>
      </c>
      <c r="K787" s="93" t="s">
        <v>75</v>
      </c>
      <c r="L787" s="101">
        <v>705</v>
      </c>
      <c r="M787" s="101">
        <v>0</v>
      </c>
      <c r="N787" s="101">
        <v>5.2742469435997318E+17</v>
      </c>
    </row>
    <row r="788" spans="4:14" ht="15" customHeight="1">
      <c r="D788" s="99" t="b">
        <v>0</v>
      </c>
      <c r="E788" s="94" t="s">
        <v>808</v>
      </c>
      <c r="F788" s="92" t="s">
        <v>73</v>
      </c>
      <c r="G788" s="92" t="s">
        <v>74</v>
      </c>
      <c r="H788" s="93">
        <v>76</v>
      </c>
      <c r="I788" s="93">
        <v>205</v>
      </c>
      <c r="J788" s="93">
        <v>33.6</v>
      </c>
      <c r="K788" s="93" t="s">
        <v>75</v>
      </c>
      <c r="L788" s="101">
        <v>706</v>
      </c>
      <c r="M788" s="101">
        <v>0</v>
      </c>
      <c r="N788" s="101">
        <v>8.106980804431786E+18</v>
      </c>
    </row>
    <row r="789" spans="4:14" ht="15" customHeight="1">
      <c r="D789" s="99" t="b">
        <v>0</v>
      </c>
      <c r="E789" s="94" t="s">
        <v>809</v>
      </c>
      <c r="F789" s="92" t="s">
        <v>73</v>
      </c>
      <c r="G789" s="92" t="s">
        <v>74</v>
      </c>
      <c r="H789" s="93">
        <v>71</v>
      </c>
      <c r="I789" s="93">
        <v>195</v>
      </c>
      <c r="J789" s="93">
        <v>35.6</v>
      </c>
      <c r="K789" s="93" t="s">
        <v>75</v>
      </c>
      <c r="L789" s="101">
        <v>707</v>
      </c>
      <c r="M789" s="101">
        <v>0</v>
      </c>
      <c r="N789" s="101">
        <v>9.0361991621670584E+18</v>
      </c>
    </row>
    <row r="790" spans="4:14" ht="15" customHeight="1">
      <c r="D790" s="99" t="b">
        <v>0</v>
      </c>
      <c r="E790" s="94" t="s">
        <v>810</v>
      </c>
      <c r="F790" s="92" t="s">
        <v>73</v>
      </c>
      <c r="G790" s="92" t="s">
        <v>74</v>
      </c>
      <c r="H790" s="93">
        <v>76</v>
      </c>
      <c r="I790" s="93">
        <v>210</v>
      </c>
      <c r="J790" s="93">
        <v>24.19</v>
      </c>
      <c r="K790" s="93" t="s">
        <v>75</v>
      </c>
      <c r="L790" s="101">
        <v>708</v>
      </c>
      <c r="M790" s="101">
        <v>0</v>
      </c>
      <c r="N790" s="101">
        <v>9.6735749547057234E+18</v>
      </c>
    </row>
    <row r="791" spans="4:14" ht="15" customHeight="1">
      <c r="D791" s="99" t="b">
        <v>0</v>
      </c>
      <c r="E791" s="94" t="s">
        <v>811</v>
      </c>
      <c r="F791" s="92" t="s">
        <v>812</v>
      </c>
      <c r="G791" s="92" t="s">
        <v>78</v>
      </c>
      <c r="H791" s="93">
        <v>71</v>
      </c>
      <c r="I791" s="93">
        <v>190</v>
      </c>
      <c r="J791" s="93">
        <v>37.880000000000003</v>
      </c>
      <c r="K791" s="93" t="s">
        <v>78</v>
      </c>
      <c r="L791" s="101">
        <v>709</v>
      </c>
      <c r="M791" s="101">
        <v>0</v>
      </c>
      <c r="N791" s="101">
        <v>7.1125002769592269E+18</v>
      </c>
    </row>
    <row r="792" spans="4:14" ht="15" customHeight="1">
      <c r="D792" s="99" t="b">
        <v>0</v>
      </c>
      <c r="E792" s="94" t="s">
        <v>813</v>
      </c>
      <c r="F792" s="92" t="s">
        <v>812</v>
      </c>
      <c r="G792" s="92" t="s">
        <v>78</v>
      </c>
      <c r="H792" s="93">
        <v>73</v>
      </c>
      <c r="I792" s="93">
        <v>190</v>
      </c>
      <c r="J792" s="93">
        <v>27.56</v>
      </c>
      <c r="K792" s="93" t="s">
        <v>78</v>
      </c>
      <c r="L792" s="101">
        <v>710</v>
      </c>
      <c r="M792" s="101">
        <v>0</v>
      </c>
      <c r="N792" s="101">
        <v>2.3919719369837466E+18</v>
      </c>
    </row>
    <row r="793" spans="4:14" ht="15" customHeight="1">
      <c r="D793" s="99" t="b">
        <v>0</v>
      </c>
      <c r="E793" s="94" t="s">
        <v>814</v>
      </c>
      <c r="F793" s="92" t="s">
        <v>812</v>
      </c>
      <c r="G793" s="92" t="s">
        <v>78</v>
      </c>
      <c r="H793" s="93">
        <v>70</v>
      </c>
      <c r="I793" s="93">
        <v>180</v>
      </c>
      <c r="J793" s="93">
        <v>24.42</v>
      </c>
      <c r="K793" s="93" t="s">
        <v>78</v>
      </c>
      <c r="L793" s="101">
        <v>711</v>
      </c>
      <c r="M793" s="101">
        <v>0</v>
      </c>
      <c r="N793" s="101">
        <v>9.9002232685021061E+18</v>
      </c>
    </row>
    <row r="794" spans="4:14" ht="15" customHeight="1">
      <c r="D794" s="99" t="b">
        <v>0</v>
      </c>
      <c r="E794" s="94" t="s">
        <v>815</v>
      </c>
      <c r="F794" s="92" t="s">
        <v>812</v>
      </c>
      <c r="G794" s="92" t="s">
        <v>82</v>
      </c>
      <c r="H794" s="93">
        <v>73</v>
      </c>
      <c r="I794" s="93">
        <v>220</v>
      </c>
      <c r="J794" s="93">
        <v>31.05</v>
      </c>
      <c r="K794" s="93" t="s">
        <v>83</v>
      </c>
      <c r="L794" s="101">
        <v>712</v>
      </c>
      <c r="M794" s="101">
        <v>0</v>
      </c>
      <c r="N794" s="101">
        <v>1.0254757511485364E+19</v>
      </c>
    </row>
    <row r="795" spans="4:14" ht="15" customHeight="1">
      <c r="D795" s="99" t="b">
        <v>0</v>
      </c>
      <c r="E795" s="94" t="s">
        <v>816</v>
      </c>
      <c r="F795" s="92" t="s">
        <v>812</v>
      </c>
      <c r="G795" s="92" t="s">
        <v>82</v>
      </c>
      <c r="H795" s="93">
        <v>73</v>
      </c>
      <c r="I795" s="93">
        <v>190</v>
      </c>
      <c r="J795" s="93">
        <v>31.56</v>
      </c>
      <c r="K795" s="93" t="s">
        <v>83</v>
      </c>
      <c r="L795" s="101">
        <v>713</v>
      </c>
      <c r="M795" s="101">
        <v>0</v>
      </c>
      <c r="N795" s="101">
        <v>1.7348115131370209E+19</v>
      </c>
    </row>
    <row r="796" spans="4:14" ht="15" customHeight="1">
      <c r="D796" s="99" t="b">
        <v>0</v>
      </c>
      <c r="E796" s="94" t="s">
        <v>817</v>
      </c>
      <c r="F796" s="92" t="s">
        <v>812</v>
      </c>
      <c r="G796" s="92" t="s">
        <v>86</v>
      </c>
      <c r="H796" s="93">
        <v>72</v>
      </c>
      <c r="I796" s="93">
        <v>186</v>
      </c>
      <c r="J796" s="93">
        <v>35.549999999999997</v>
      </c>
      <c r="K796" s="93" t="s">
        <v>83</v>
      </c>
      <c r="L796" s="101">
        <v>714</v>
      </c>
      <c r="M796" s="101">
        <v>0</v>
      </c>
      <c r="N796" s="101">
        <v>2.6605961845150956E+18</v>
      </c>
    </row>
    <row r="797" spans="4:14" ht="15" customHeight="1">
      <c r="D797" s="99" t="b">
        <v>0</v>
      </c>
      <c r="E797" s="94" t="s">
        <v>818</v>
      </c>
      <c r="F797" s="92" t="s">
        <v>812</v>
      </c>
      <c r="G797" s="92" t="s">
        <v>86</v>
      </c>
      <c r="H797" s="93">
        <v>71</v>
      </c>
      <c r="I797" s="93">
        <v>185</v>
      </c>
      <c r="J797" s="93">
        <v>41.21</v>
      </c>
      <c r="K797" s="93" t="s">
        <v>83</v>
      </c>
      <c r="L797" s="101">
        <v>715</v>
      </c>
      <c r="M797" s="101">
        <v>0</v>
      </c>
      <c r="N797" s="101">
        <v>1.3087454918833634E+17</v>
      </c>
    </row>
    <row r="798" spans="4:14" ht="15" customHeight="1">
      <c r="D798" s="99" t="b">
        <v>0</v>
      </c>
      <c r="E798" s="94" t="s">
        <v>819</v>
      </c>
      <c r="F798" s="92" t="s">
        <v>812</v>
      </c>
      <c r="G798" s="92" t="s">
        <v>86</v>
      </c>
      <c r="H798" s="93">
        <v>71</v>
      </c>
      <c r="I798" s="93">
        <v>190</v>
      </c>
      <c r="J798" s="93">
        <v>27.12</v>
      </c>
      <c r="K798" s="93" t="s">
        <v>83</v>
      </c>
      <c r="L798" s="101">
        <v>716</v>
      </c>
      <c r="M798" s="101">
        <v>0</v>
      </c>
      <c r="N798" s="101">
        <v>6.2001855165873818E+18</v>
      </c>
    </row>
    <row r="799" spans="4:14" ht="15" customHeight="1">
      <c r="D799" s="99" t="b">
        <v>0</v>
      </c>
      <c r="E799" s="94" t="s">
        <v>820</v>
      </c>
      <c r="F799" s="92" t="s">
        <v>812</v>
      </c>
      <c r="G799" s="92" t="s">
        <v>86</v>
      </c>
      <c r="H799" s="93">
        <v>71</v>
      </c>
      <c r="I799" s="93">
        <v>180</v>
      </c>
      <c r="J799" s="93">
        <v>26.97</v>
      </c>
      <c r="K799" s="93" t="s">
        <v>83</v>
      </c>
      <c r="L799" s="101">
        <v>717</v>
      </c>
      <c r="M799" s="101">
        <v>0</v>
      </c>
      <c r="N799" s="101">
        <v>5.5300983555807048E+18</v>
      </c>
    </row>
    <row r="800" spans="4:14" ht="15" customHeight="1">
      <c r="D800" s="99" t="b">
        <v>0</v>
      </c>
      <c r="E800" s="94" t="s">
        <v>821</v>
      </c>
      <c r="F800" s="92" t="s">
        <v>812</v>
      </c>
      <c r="G800" s="92" t="s">
        <v>86</v>
      </c>
      <c r="H800" s="93">
        <v>72</v>
      </c>
      <c r="I800" s="93">
        <v>190</v>
      </c>
      <c r="J800" s="93">
        <v>28.92</v>
      </c>
      <c r="K800" s="93" t="s">
        <v>83</v>
      </c>
      <c r="L800" s="101">
        <v>718</v>
      </c>
      <c r="M800" s="101">
        <v>0</v>
      </c>
      <c r="N800" s="101">
        <v>1.5834794941772259E+19</v>
      </c>
    </row>
    <row r="801" spans="4:14" ht="15" customHeight="1">
      <c r="D801" s="99" t="b">
        <v>0</v>
      </c>
      <c r="E801" s="94" t="s">
        <v>822</v>
      </c>
      <c r="F801" s="92" t="s">
        <v>812</v>
      </c>
      <c r="G801" s="92" t="s">
        <v>88</v>
      </c>
      <c r="H801" s="93">
        <v>72</v>
      </c>
      <c r="I801" s="93">
        <v>170</v>
      </c>
      <c r="J801" s="93">
        <v>30.06</v>
      </c>
      <c r="K801" s="93" t="s">
        <v>83</v>
      </c>
      <c r="L801" s="101">
        <v>719</v>
      </c>
      <c r="M801" s="101">
        <v>0</v>
      </c>
      <c r="N801" s="101">
        <v>1.3354439799524114E+19</v>
      </c>
    </row>
    <row r="802" spans="4:14" ht="15" customHeight="1">
      <c r="D802" s="99" t="b">
        <v>0</v>
      </c>
      <c r="E802" s="94" t="s">
        <v>823</v>
      </c>
      <c r="F802" s="92" t="s">
        <v>812</v>
      </c>
      <c r="G802" s="92" t="s">
        <v>90</v>
      </c>
      <c r="H802" s="93">
        <v>74</v>
      </c>
      <c r="I802" s="93">
        <v>210</v>
      </c>
      <c r="J802" s="93">
        <v>31.51</v>
      </c>
      <c r="K802" s="93" t="s">
        <v>83</v>
      </c>
      <c r="L802" s="101">
        <v>720</v>
      </c>
      <c r="M802" s="101">
        <v>0</v>
      </c>
      <c r="N802" s="101">
        <v>5.4345413867441094E+17</v>
      </c>
    </row>
    <row r="803" spans="4:14" ht="15" customHeight="1">
      <c r="D803" s="99" t="b">
        <v>0</v>
      </c>
      <c r="E803" s="94" t="s">
        <v>824</v>
      </c>
      <c r="F803" s="92" t="s">
        <v>812</v>
      </c>
      <c r="G803" s="92" t="s">
        <v>93</v>
      </c>
      <c r="H803" s="93">
        <v>74</v>
      </c>
      <c r="I803" s="93">
        <v>240</v>
      </c>
      <c r="J803" s="93">
        <v>30.69</v>
      </c>
      <c r="K803" s="93" t="s">
        <v>93</v>
      </c>
      <c r="L803" s="101">
        <v>721</v>
      </c>
      <c r="M803" s="101">
        <v>0</v>
      </c>
      <c r="N803" s="101">
        <v>4.4651468997205489E+18</v>
      </c>
    </row>
    <row r="804" spans="4:14" ht="15" customHeight="1">
      <c r="D804" s="99" t="b">
        <v>0</v>
      </c>
      <c r="E804" s="94" t="s">
        <v>825</v>
      </c>
      <c r="F804" s="92" t="s">
        <v>812</v>
      </c>
      <c r="G804" s="92" t="s">
        <v>93</v>
      </c>
      <c r="H804" s="93">
        <v>74</v>
      </c>
      <c r="I804" s="93">
        <v>220</v>
      </c>
      <c r="J804" s="93">
        <v>30.19</v>
      </c>
      <c r="K804" s="93" t="s">
        <v>93</v>
      </c>
      <c r="L804" s="101">
        <v>722</v>
      </c>
      <c r="M804" s="101">
        <v>0</v>
      </c>
      <c r="N804" s="101">
        <v>1.2077289118458634E+19</v>
      </c>
    </row>
    <row r="805" spans="4:14" ht="15" customHeight="1">
      <c r="D805" s="99" t="b">
        <v>0</v>
      </c>
      <c r="E805" s="94" t="s">
        <v>826</v>
      </c>
      <c r="F805" s="92" t="s">
        <v>812</v>
      </c>
      <c r="G805" s="92" t="s">
        <v>93</v>
      </c>
      <c r="H805" s="93">
        <v>71</v>
      </c>
      <c r="I805" s="93">
        <v>180</v>
      </c>
      <c r="J805" s="93">
        <v>38.11</v>
      </c>
      <c r="K805" s="93" t="s">
        <v>93</v>
      </c>
      <c r="L805" s="101">
        <v>723</v>
      </c>
      <c r="M805" s="101">
        <v>0</v>
      </c>
      <c r="N805" s="101">
        <v>1.445625545008555E+19</v>
      </c>
    </row>
    <row r="806" spans="4:14" ht="15" customHeight="1">
      <c r="D806" s="99" t="b">
        <v>0</v>
      </c>
      <c r="E806" s="94" t="s">
        <v>827</v>
      </c>
      <c r="F806" s="92" t="s">
        <v>812</v>
      </c>
      <c r="G806" s="92" t="s">
        <v>93</v>
      </c>
      <c r="H806" s="93">
        <v>72</v>
      </c>
      <c r="I806" s="93">
        <v>210</v>
      </c>
      <c r="J806" s="93">
        <v>28.68</v>
      </c>
      <c r="K806" s="93" t="s">
        <v>93</v>
      </c>
      <c r="L806" s="101">
        <v>724</v>
      </c>
      <c r="M806" s="101">
        <v>0</v>
      </c>
      <c r="N806" s="101">
        <v>1.2813215326046898E+19</v>
      </c>
    </row>
    <row r="807" spans="4:14" ht="15" customHeight="1">
      <c r="D807" s="99" t="b">
        <v>0</v>
      </c>
      <c r="E807" s="94" t="s">
        <v>828</v>
      </c>
      <c r="F807" s="92" t="s">
        <v>812</v>
      </c>
      <c r="G807" s="92" t="s">
        <v>93</v>
      </c>
      <c r="H807" s="93">
        <v>75</v>
      </c>
      <c r="I807" s="93">
        <v>210</v>
      </c>
      <c r="J807" s="93">
        <v>27.44</v>
      </c>
      <c r="K807" s="93" t="s">
        <v>93</v>
      </c>
      <c r="L807" s="101">
        <v>725</v>
      </c>
      <c r="M807" s="101">
        <v>0</v>
      </c>
      <c r="N807" s="101">
        <v>8.4991651004498504E+18</v>
      </c>
    </row>
    <row r="808" spans="4:14" ht="15" customHeight="1">
      <c r="D808" s="99" t="b">
        <v>0</v>
      </c>
      <c r="E808" s="94" t="s">
        <v>829</v>
      </c>
      <c r="F808" s="92" t="s">
        <v>812</v>
      </c>
      <c r="G808" s="92" t="s">
        <v>101</v>
      </c>
      <c r="H808" s="93">
        <v>72</v>
      </c>
      <c r="I808" s="93">
        <v>195</v>
      </c>
      <c r="J808" s="93">
        <v>24.63</v>
      </c>
      <c r="K808" s="93" t="s">
        <v>75</v>
      </c>
      <c r="L808" s="101">
        <v>726</v>
      </c>
      <c r="M808" s="101">
        <v>0</v>
      </c>
      <c r="N808" s="101">
        <v>7.048181372723136E+16</v>
      </c>
    </row>
    <row r="809" spans="4:14" ht="15" customHeight="1">
      <c r="D809" s="99" t="b">
        <v>0</v>
      </c>
      <c r="E809" s="94" t="s">
        <v>830</v>
      </c>
      <c r="F809" s="92" t="s">
        <v>812</v>
      </c>
      <c r="G809" s="92" t="s">
        <v>101</v>
      </c>
      <c r="H809" s="93">
        <v>71</v>
      </c>
      <c r="I809" s="93">
        <v>160</v>
      </c>
      <c r="J809" s="93">
        <v>28.11</v>
      </c>
      <c r="K809" s="93" t="s">
        <v>75</v>
      </c>
      <c r="L809" s="101">
        <v>727</v>
      </c>
      <c r="M809" s="101">
        <v>0</v>
      </c>
      <c r="N809" s="101">
        <v>2.8054921166109599E+18</v>
      </c>
    </row>
    <row r="810" spans="4:14" ht="15" customHeight="1">
      <c r="D810" s="99" t="b">
        <v>0</v>
      </c>
      <c r="E810" s="94" t="s">
        <v>831</v>
      </c>
      <c r="F810" s="92" t="s">
        <v>812</v>
      </c>
      <c r="G810" s="92" t="s">
        <v>101</v>
      </c>
      <c r="H810" s="93">
        <v>72</v>
      </c>
      <c r="I810" s="93">
        <v>180</v>
      </c>
      <c r="J810" s="93">
        <v>28.9</v>
      </c>
      <c r="K810" s="93" t="s">
        <v>75</v>
      </c>
      <c r="L810" s="101">
        <v>728</v>
      </c>
      <c r="M810" s="101">
        <v>0</v>
      </c>
      <c r="N810" s="101">
        <v>1.2826932042528543E+18</v>
      </c>
    </row>
    <row r="811" spans="4:14" ht="15" customHeight="1">
      <c r="D811" s="99" t="b">
        <v>0</v>
      </c>
      <c r="E811" s="94" t="s">
        <v>832</v>
      </c>
      <c r="F811" s="92" t="s">
        <v>812</v>
      </c>
      <c r="G811" s="92" t="s">
        <v>101</v>
      </c>
      <c r="H811" s="93">
        <v>72</v>
      </c>
      <c r="I811" s="93">
        <v>205</v>
      </c>
      <c r="J811" s="93">
        <v>24.11</v>
      </c>
      <c r="K811" s="93" t="s">
        <v>75</v>
      </c>
      <c r="L811" s="101">
        <v>729</v>
      </c>
      <c r="M811" s="101">
        <v>0</v>
      </c>
      <c r="N811" s="101">
        <v>1.2782154051418092E+19</v>
      </c>
    </row>
    <row r="812" spans="4:14" ht="15" customHeight="1">
      <c r="D812" s="99" t="b">
        <v>0</v>
      </c>
      <c r="E812" s="94" t="s">
        <v>833</v>
      </c>
      <c r="F812" s="92" t="s">
        <v>812</v>
      </c>
      <c r="G812" s="92" t="s">
        <v>101</v>
      </c>
      <c r="H812" s="93">
        <v>72</v>
      </c>
      <c r="I812" s="93">
        <v>200</v>
      </c>
      <c r="J812" s="93">
        <v>40.53</v>
      </c>
      <c r="K812" s="93" t="s">
        <v>75</v>
      </c>
      <c r="L812" s="101">
        <v>730</v>
      </c>
      <c r="M812" s="101">
        <v>0</v>
      </c>
      <c r="N812" s="101">
        <v>5.7727485992634276E+18</v>
      </c>
    </row>
    <row r="813" spans="4:14" ht="15" customHeight="1">
      <c r="D813" s="99" t="b">
        <v>0</v>
      </c>
      <c r="E813" s="94" t="s">
        <v>834</v>
      </c>
      <c r="F813" s="92" t="s">
        <v>812</v>
      </c>
      <c r="G813" s="92" t="s">
        <v>101</v>
      </c>
      <c r="H813" s="93">
        <v>72</v>
      </c>
      <c r="I813" s="93">
        <v>185</v>
      </c>
      <c r="J813" s="93">
        <v>29.5</v>
      </c>
      <c r="K813" s="93" t="s">
        <v>75</v>
      </c>
      <c r="L813" s="101">
        <v>731</v>
      </c>
      <c r="M813" s="101">
        <v>0</v>
      </c>
      <c r="N813" s="101">
        <v>1.7845491827329337E+19</v>
      </c>
    </row>
    <row r="814" spans="4:14" ht="15" customHeight="1">
      <c r="D814" s="99" t="b">
        <v>0</v>
      </c>
      <c r="E814" s="94" t="s">
        <v>835</v>
      </c>
      <c r="F814" s="92" t="s">
        <v>812</v>
      </c>
      <c r="G814" s="92" t="s">
        <v>101</v>
      </c>
      <c r="H814" s="93">
        <v>74</v>
      </c>
      <c r="I814" s="93">
        <v>245</v>
      </c>
      <c r="J814" s="93">
        <v>28.62</v>
      </c>
      <c r="K814" s="93" t="s">
        <v>75</v>
      </c>
      <c r="L814" s="101">
        <v>732</v>
      </c>
      <c r="M814" s="101">
        <v>0</v>
      </c>
      <c r="N814" s="101">
        <v>1.3121479750643151E+19</v>
      </c>
    </row>
    <row r="815" spans="4:14" ht="15" customHeight="1">
      <c r="D815" s="99" t="b">
        <v>0</v>
      </c>
      <c r="E815" s="94" t="s">
        <v>836</v>
      </c>
      <c r="F815" s="92" t="s">
        <v>812</v>
      </c>
      <c r="G815" s="92" t="s">
        <v>74</v>
      </c>
      <c r="H815" s="93">
        <v>74</v>
      </c>
      <c r="I815" s="93">
        <v>190</v>
      </c>
      <c r="J815" s="93">
        <v>26.42</v>
      </c>
      <c r="K815" s="93" t="s">
        <v>75</v>
      </c>
      <c r="L815" s="101">
        <v>733</v>
      </c>
      <c r="M815" s="101">
        <v>0</v>
      </c>
      <c r="N815" s="101">
        <v>1.7140099445194443E+19</v>
      </c>
    </row>
    <row r="816" spans="4:14" ht="15" customHeight="1">
      <c r="D816" s="99" t="b">
        <v>0</v>
      </c>
      <c r="E816" s="94" t="s">
        <v>837</v>
      </c>
      <c r="F816" s="92" t="s">
        <v>812</v>
      </c>
      <c r="G816" s="92" t="s">
        <v>74</v>
      </c>
      <c r="H816" s="93">
        <v>77</v>
      </c>
      <c r="I816" s="93">
        <v>210</v>
      </c>
      <c r="J816" s="93">
        <v>30.18</v>
      </c>
      <c r="K816" s="93" t="s">
        <v>75</v>
      </c>
      <c r="L816" s="101">
        <v>734</v>
      </c>
      <c r="M816" s="101">
        <v>0</v>
      </c>
      <c r="N816" s="101">
        <v>1.6659105559048131E+19</v>
      </c>
    </row>
    <row r="817" spans="4:14" ht="15" customHeight="1">
      <c r="D817" s="99" t="b">
        <v>0</v>
      </c>
      <c r="E817" s="94" t="s">
        <v>838</v>
      </c>
      <c r="F817" s="92" t="s">
        <v>812</v>
      </c>
      <c r="G817" s="92" t="s">
        <v>74</v>
      </c>
      <c r="H817" s="93">
        <v>75</v>
      </c>
      <c r="I817" s="93">
        <v>200</v>
      </c>
      <c r="J817" s="93">
        <v>33.75</v>
      </c>
      <c r="K817" s="93" t="s">
        <v>75</v>
      </c>
      <c r="L817" s="101">
        <v>735</v>
      </c>
      <c r="M817" s="101">
        <v>0</v>
      </c>
      <c r="N817" s="101">
        <v>1.2871988571114574E+19</v>
      </c>
    </row>
    <row r="818" spans="4:14" ht="15" customHeight="1">
      <c r="D818" s="99" t="b">
        <v>0</v>
      </c>
      <c r="E818" s="94" t="s">
        <v>839</v>
      </c>
      <c r="F818" s="92" t="s">
        <v>812</v>
      </c>
      <c r="G818" s="92" t="s">
        <v>74</v>
      </c>
      <c r="H818" s="93">
        <v>73</v>
      </c>
      <c r="I818" s="93">
        <v>200</v>
      </c>
      <c r="J818" s="93">
        <v>30.06</v>
      </c>
      <c r="K818" s="93" t="s">
        <v>75</v>
      </c>
      <c r="L818" s="101">
        <v>736</v>
      </c>
      <c r="M818" s="101">
        <v>0</v>
      </c>
      <c r="N818" s="101">
        <v>1.3035574705104728E+19</v>
      </c>
    </row>
    <row r="819" spans="4:14" ht="15" customHeight="1">
      <c r="D819" s="99" t="b">
        <v>0</v>
      </c>
      <c r="E819" s="94" t="s">
        <v>840</v>
      </c>
      <c r="F819" s="92" t="s">
        <v>812</v>
      </c>
      <c r="G819" s="92" t="s">
        <v>74</v>
      </c>
      <c r="H819" s="93">
        <v>75</v>
      </c>
      <c r="I819" s="93">
        <v>222</v>
      </c>
      <c r="J819" s="93">
        <v>29.22</v>
      </c>
      <c r="K819" s="93" t="s">
        <v>75</v>
      </c>
      <c r="L819" s="101">
        <v>737</v>
      </c>
      <c r="M819" s="101">
        <v>0</v>
      </c>
      <c r="N819" s="101">
        <v>4.1660878383186232E+18</v>
      </c>
    </row>
    <row r="820" spans="4:14" ht="15" customHeight="1">
      <c r="D820" s="99" t="b">
        <v>0</v>
      </c>
      <c r="E820" s="94" t="s">
        <v>841</v>
      </c>
      <c r="F820" s="92" t="s">
        <v>812</v>
      </c>
      <c r="G820" s="92" t="s">
        <v>74</v>
      </c>
      <c r="H820" s="93">
        <v>73</v>
      </c>
      <c r="I820" s="93">
        <v>215</v>
      </c>
      <c r="J820" s="93">
        <v>24.47</v>
      </c>
      <c r="K820" s="93" t="s">
        <v>75</v>
      </c>
      <c r="L820" s="101">
        <v>738</v>
      </c>
      <c r="M820" s="101">
        <v>0</v>
      </c>
      <c r="N820" s="101">
        <v>1.536656067223091E+19</v>
      </c>
    </row>
    <row r="821" spans="4:14" ht="15" customHeight="1">
      <c r="D821" s="99" t="b">
        <v>0</v>
      </c>
      <c r="E821" s="94" t="s">
        <v>842</v>
      </c>
      <c r="F821" s="92" t="s">
        <v>812</v>
      </c>
      <c r="G821" s="92" t="s">
        <v>74</v>
      </c>
      <c r="H821" s="93">
        <v>76</v>
      </c>
      <c r="I821" s="93">
        <v>240</v>
      </c>
      <c r="J821" s="93">
        <v>24.94</v>
      </c>
      <c r="K821" s="93" t="s">
        <v>75</v>
      </c>
      <c r="L821" s="101">
        <v>739</v>
      </c>
      <c r="M821" s="101">
        <v>0</v>
      </c>
      <c r="N821" s="101">
        <v>3.5294272123697608E+18</v>
      </c>
    </row>
    <row r="822" spans="4:14" ht="15" customHeight="1">
      <c r="D822" s="99" t="b">
        <v>0</v>
      </c>
      <c r="E822" s="94" t="s">
        <v>843</v>
      </c>
      <c r="F822" s="92" t="s">
        <v>812</v>
      </c>
      <c r="G822" s="92" t="s">
        <v>74</v>
      </c>
      <c r="H822" s="93">
        <v>72</v>
      </c>
      <c r="I822" s="93">
        <v>170</v>
      </c>
      <c r="J822" s="93">
        <v>28.77</v>
      </c>
      <c r="K822" s="93" t="s">
        <v>75</v>
      </c>
      <c r="L822" s="101">
        <v>740</v>
      </c>
      <c r="M822" s="101">
        <v>0</v>
      </c>
      <c r="N822" s="101">
        <v>4.5889362643030866E+18</v>
      </c>
    </row>
    <row r="823" spans="4:14" ht="15" customHeight="1">
      <c r="D823" s="99" t="b">
        <v>0</v>
      </c>
      <c r="E823" s="94" t="s">
        <v>844</v>
      </c>
      <c r="F823" s="92" t="s">
        <v>812</v>
      </c>
      <c r="G823" s="92" t="s">
        <v>74</v>
      </c>
      <c r="H823" s="93">
        <v>77</v>
      </c>
      <c r="I823" s="93">
        <v>220</v>
      </c>
      <c r="J823" s="93">
        <v>28.54</v>
      </c>
      <c r="K823" s="93" t="s">
        <v>75</v>
      </c>
      <c r="L823" s="101">
        <v>741</v>
      </c>
      <c r="M823" s="101">
        <v>0</v>
      </c>
      <c r="N823" s="101">
        <v>6.7772734238794025E+18</v>
      </c>
    </row>
    <row r="824" spans="4:14" ht="15" customHeight="1">
      <c r="D824" s="99" t="b">
        <v>0</v>
      </c>
      <c r="E824" s="94" t="s">
        <v>845</v>
      </c>
      <c r="F824" s="92" t="s">
        <v>812</v>
      </c>
      <c r="G824" s="92" t="s">
        <v>74</v>
      </c>
      <c r="H824" s="93">
        <v>75</v>
      </c>
      <c r="I824" s="93">
        <v>156</v>
      </c>
      <c r="J824" s="93">
        <v>27.32</v>
      </c>
      <c r="K824" s="93" t="s">
        <v>75</v>
      </c>
      <c r="L824" s="101">
        <v>742</v>
      </c>
      <c r="M824" s="101">
        <v>0</v>
      </c>
      <c r="N824" s="101">
        <v>3.35949452391857E+18</v>
      </c>
    </row>
    <row r="825" spans="4:14" ht="15" customHeight="1">
      <c r="D825" s="99" t="b">
        <v>0</v>
      </c>
      <c r="E825" s="94" t="s">
        <v>846</v>
      </c>
      <c r="F825" s="92" t="s">
        <v>847</v>
      </c>
      <c r="G825" s="92" t="s">
        <v>78</v>
      </c>
      <c r="H825" s="93">
        <v>72</v>
      </c>
      <c r="I825" s="93">
        <v>190</v>
      </c>
      <c r="J825" s="93">
        <v>35.119999999999997</v>
      </c>
      <c r="K825" s="93" t="s">
        <v>78</v>
      </c>
      <c r="L825" s="101">
        <v>743</v>
      </c>
      <c r="M825" s="101">
        <v>0</v>
      </c>
      <c r="N825" s="101">
        <v>4.624087601821312E+18</v>
      </c>
    </row>
    <row r="826" spans="4:14" ht="15" customHeight="1">
      <c r="D826" s="99" t="b">
        <v>0</v>
      </c>
      <c r="E826" s="94" t="s">
        <v>848</v>
      </c>
      <c r="F826" s="92" t="s">
        <v>847</v>
      </c>
      <c r="G826" s="92" t="s">
        <v>78</v>
      </c>
      <c r="H826" s="93">
        <v>71</v>
      </c>
      <c r="I826" s="93">
        <v>202</v>
      </c>
      <c r="J826" s="93">
        <v>24.04</v>
      </c>
      <c r="K826" s="93" t="s">
        <v>78</v>
      </c>
      <c r="L826" s="101">
        <v>744</v>
      </c>
      <c r="M826" s="101">
        <v>0</v>
      </c>
      <c r="N826" s="101">
        <v>8.8183204098278892E+18</v>
      </c>
    </row>
    <row r="827" spans="4:14" ht="15" customHeight="1">
      <c r="D827" s="99" t="b">
        <v>0</v>
      </c>
      <c r="E827" s="94" t="s">
        <v>849</v>
      </c>
      <c r="F827" s="92" t="s">
        <v>847</v>
      </c>
      <c r="G827" s="92" t="s">
        <v>82</v>
      </c>
      <c r="H827" s="93">
        <v>71</v>
      </c>
      <c r="I827" s="93">
        <v>221</v>
      </c>
      <c r="J827" s="93">
        <v>36.39</v>
      </c>
      <c r="K827" s="93" t="s">
        <v>83</v>
      </c>
      <c r="L827" s="101">
        <v>745</v>
      </c>
      <c r="M827" s="101">
        <v>0</v>
      </c>
      <c r="N827" s="101">
        <v>1.7338173110341241E+19</v>
      </c>
    </row>
    <row r="828" spans="4:14" ht="15" customHeight="1">
      <c r="D828" s="99" t="b">
        <v>0</v>
      </c>
      <c r="E828" s="94" t="s">
        <v>850</v>
      </c>
      <c r="F828" s="92" t="s">
        <v>847</v>
      </c>
      <c r="G828" s="92" t="s">
        <v>82</v>
      </c>
      <c r="H828" s="93">
        <v>75</v>
      </c>
      <c r="I828" s="93">
        <v>200</v>
      </c>
      <c r="J828" s="93">
        <v>22.81</v>
      </c>
      <c r="K828" s="93" t="s">
        <v>83</v>
      </c>
      <c r="L828" s="101">
        <v>746</v>
      </c>
      <c r="M828" s="101">
        <v>0</v>
      </c>
      <c r="N828" s="101">
        <v>9.401118353853737E+18</v>
      </c>
    </row>
    <row r="829" spans="4:14" ht="15" customHeight="1">
      <c r="D829" s="99" t="b">
        <v>0</v>
      </c>
      <c r="E829" s="94" t="s">
        <v>851</v>
      </c>
      <c r="F829" s="92" t="s">
        <v>847</v>
      </c>
      <c r="G829" s="92" t="s">
        <v>82</v>
      </c>
      <c r="H829" s="93">
        <v>72</v>
      </c>
      <c r="I829" s="93">
        <v>190</v>
      </c>
      <c r="J829" s="93">
        <v>33.6</v>
      </c>
      <c r="K829" s="93" t="s">
        <v>83</v>
      </c>
      <c r="L829" s="101">
        <v>747</v>
      </c>
      <c r="M829" s="101">
        <v>0</v>
      </c>
      <c r="N829" s="101">
        <v>1.1414342620952013E+19</v>
      </c>
    </row>
    <row r="830" spans="4:14" ht="15" customHeight="1">
      <c r="D830" s="99" t="b">
        <v>0</v>
      </c>
      <c r="E830" s="94" t="s">
        <v>852</v>
      </c>
      <c r="F830" s="92" t="s">
        <v>847</v>
      </c>
      <c r="G830" s="92" t="s">
        <v>86</v>
      </c>
      <c r="H830" s="93">
        <v>73</v>
      </c>
      <c r="I830" s="93">
        <v>210</v>
      </c>
      <c r="J830" s="93">
        <v>38.979999999999997</v>
      </c>
      <c r="K830" s="93" t="s">
        <v>83</v>
      </c>
      <c r="L830" s="101">
        <v>748</v>
      </c>
      <c r="M830" s="101">
        <v>0</v>
      </c>
      <c r="N830" s="101">
        <v>1.6951339571050533E+19</v>
      </c>
    </row>
    <row r="831" spans="4:14" ht="15" customHeight="1">
      <c r="D831" s="99" t="b">
        <v>0</v>
      </c>
      <c r="E831" s="94" t="s">
        <v>853</v>
      </c>
      <c r="F831" s="92" t="s">
        <v>847</v>
      </c>
      <c r="G831" s="92" t="s">
        <v>86</v>
      </c>
      <c r="H831" s="93">
        <v>73</v>
      </c>
      <c r="I831" s="93">
        <v>190</v>
      </c>
      <c r="J831" s="93">
        <v>34.39</v>
      </c>
      <c r="K831" s="93" t="s">
        <v>83</v>
      </c>
      <c r="L831" s="101">
        <v>749</v>
      </c>
      <c r="M831" s="101">
        <v>0</v>
      </c>
      <c r="N831" s="101">
        <v>4.3449059022733563E+18</v>
      </c>
    </row>
    <row r="832" spans="4:14" ht="15" customHeight="1">
      <c r="D832" s="99" t="b">
        <v>0</v>
      </c>
      <c r="E832" s="94" t="s">
        <v>854</v>
      </c>
      <c r="F832" s="92" t="s">
        <v>847</v>
      </c>
      <c r="G832" s="92" t="s">
        <v>86</v>
      </c>
      <c r="H832" s="93">
        <v>71</v>
      </c>
      <c r="I832" s="93">
        <v>200</v>
      </c>
      <c r="J832" s="93">
        <v>33.15</v>
      </c>
      <c r="K832" s="93" t="s">
        <v>83</v>
      </c>
      <c r="L832" s="101">
        <v>750</v>
      </c>
      <c r="M832" s="101">
        <v>0</v>
      </c>
      <c r="N832" s="101">
        <v>5.7022757061094728E+18</v>
      </c>
    </row>
    <row r="833" spans="4:14" ht="15" customHeight="1">
      <c r="D833" s="99" t="b">
        <v>0</v>
      </c>
      <c r="E833" s="94" t="s">
        <v>855</v>
      </c>
      <c r="F833" s="92" t="s">
        <v>847</v>
      </c>
      <c r="G833" s="92" t="s">
        <v>88</v>
      </c>
      <c r="H833" s="93">
        <v>70</v>
      </c>
      <c r="I833" s="93">
        <v>165</v>
      </c>
      <c r="J833" s="93">
        <v>29.35</v>
      </c>
      <c r="K833" s="93" t="s">
        <v>83</v>
      </c>
      <c r="L833" s="101">
        <v>751</v>
      </c>
      <c r="M833" s="101">
        <v>0</v>
      </c>
      <c r="N833" s="101">
        <v>1.6356916123886983E+19</v>
      </c>
    </row>
    <row r="834" spans="4:14" ht="15" customHeight="1">
      <c r="D834" s="99" t="b">
        <v>0</v>
      </c>
      <c r="E834" s="94" t="s">
        <v>856</v>
      </c>
      <c r="F834" s="92" t="s">
        <v>847</v>
      </c>
      <c r="G834" s="92" t="s">
        <v>90</v>
      </c>
      <c r="H834" s="93">
        <v>75</v>
      </c>
      <c r="I834" s="93">
        <v>190</v>
      </c>
      <c r="J834" s="93">
        <v>26.59</v>
      </c>
      <c r="K834" s="93" t="s">
        <v>83</v>
      </c>
      <c r="L834" s="101">
        <v>752</v>
      </c>
      <c r="M834" s="101">
        <v>0</v>
      </c>
      <c r="N834" s="101">
        <v>1.2293530403188896E+19</v>
      </c>
    </row>
    <row r="835" spans="4:14" ht="15" customHeight="1">
      <c r="D835" s="99" t="b">
        <v>0</v>
      </c>
      <c r="E835" s="94" t="s">
        <v>857</v>
      </c>
      <c r="F835" s="92" t="s">
        <v>847</v>
      </c>
      <c r="G835" s="92" t="s">
        <v>90</v>
      </c>
      <c r="H835" s="93">
        <v>71</v>
      </c>
      <c r="I835" s="93">
        <v>185</v>
      </c>
      <c r="J835" s="93">
        <v>23.46</v>
      </c>
      <c r="K835" s="93" t="s">
        <v>83</v>
      </c>
      <c r="L835" s="101">
        <v>753</v>
      </c>
      <c r="M835" s="101">
        <v>0</v>
      </c>
      <c r="N835" s="101">
        <v>1.0206098255318374E+19</v>
      </c>
    </row>
    <row r="836" spans="4:14" ht="15" customHeight="1">
      <c r="D836" s="99" t="b">
        <v>0</v>
      </c>
      <c r="E836" s="94" t="s">
        <v>858</v>
      </c>
      <c r="F836" s="92" t="s">
        <v>847</v>
      </c>
      <c r="G836" s="92" t="s">
        <v>93</v>
      </c>
      <c r="H836" s="93">
        <v>76</v>
      </c>
      <c r="I836" s="93">
        <v>230</v>
      </c>
      <c r="J836" s="93">
        <v>22.43</v>
      </c>
      <c r="K836" s="93" t="s">
        <v>93</v>
      </c>
      <c r="L836" s="101">
        <v>754</v>
      </c>
      <c r="M836" s="101">
        <v>0</v>
      </c>
      <c r="N836" s="101">
        <v>8.3558415194210273E+18</v>
      </c>
    </row>
    <row r="837" spans="4:14" ht="15" customHeight="1">
      <c r="D837" s="99" t="b">
        <v>0</v>
      </c>
      <c r="E837" s="94" t="s">
        <v>859</v>
      </c>
      <c r="F837" s="92" t="s">
        <v>847</v>
      </c>
      <c r="G837" s="92" t="s">
        <v>93</v>
      </c>
      <c r="H837" s="93">
        <v>73</v>
      </c>
      <c r="I837" s="93">
        <v>208</v>
      </c>
      <c r="J837" s="93">
        <v>24.89</v>
      </c>
      <c r="K837" s="93" t="s">
        <v>93</v>
      </c>
      <c r="L837" s="101">
        <v>755</v>
      </c>
      <c r="M837" s="101">
        <v>0</v>
      </c>
      <c r="N837" s="101">
        <v>1.0696735761993681E+19</v>
      </c>
    </row>
    <row r="838" spans="4:14" ht="15" customHeight="1">
      <c r="D838" s="99" t="b">
        <v>0</v>
      </c>
      <c r="E838" s="94" t="s">
        <v>860</v>
      </c>
      <c r="F838" s="92" t="s">
        <v>847</v>
      </c>
      <c r="G838" s="92" t="s">
        <v>93</v>
      </c>
      <c r="H838" s="93">
        <v>68</v>
      </c>
      <c r="I838" s="93">
        <v>209</v>
      </c>
      <c r="J838" s="93">
        <v>24.67</v>
      </c>
      <c r="K838" s="93" t="s">
        <v>93</v>
      </c>
      <c r="L838" s="101">
        <v>756</v>
      </c>
      <c r="M838" s="101">
        <v>0</v>
      </c>
      <c r="N838" s="101">
        <v>3.7990281913436349E+18</v>
      </c>
    </row>
    <row r="839" spans="4:14" ht="15" customHeight="1">
      <c r="D839" s="99" t="b">
        <v>0</v>
      </c>
      <c r="E839" s="94" t="s">
        <v>861</v>
      </c>
      <c r="F839" s="92" t="s">
        <v>847</v>
      </c>
      <c r="G839" s="92" t="s">
        <v>93</v>
      </c>
      <c r="H839" s="93">
        <v>71</v>
      </c>
      <c r="I839" s="93">
        <v>175</v>
      </c>
      <c r="J839" s="93">
        <v>26.17</v>
      </c>
      <c r="K839" s="93" t="s">
        <v>93</v>
      </c>
      <c r="L839" s="101">
        <v>757</v>
      </c>
      <c r="M839" s="101">
        <v>0</v>
      </c>
      <c r="N839" s="101">
        <v>2.3539917652551767E+18</v>
      </c>
    </row>
    <row r="840" spans="4:14" ht="15" customHeight="1">
      <c r="D840" s="99" t="b">
        <v>0</v>
      </c>
      <c r="E840" s="94" t="s">
        <v>862</v>
      </c>
      <c r="F840" s="92" t="s">
        <v>847</v>
      </c>
      <c r="G840" s="92" t="s">
        <v>93</v>
      </c>
      <c r="H840" s="93">
        <v>72</v>
      </c>
      <c r="I840" s="93">
        <v>180</v>
      </c>
      <c r="J840" s="93">
        <v>29.54</v>
      </c>
      <c r="K840" s="93" t="s">
        <v>93</v>
      </c>
      <c r="L840" s="101">
        <v>758</v>
      </c>
      <c r="M840" s="101">
        <v>0</v>
      </c>
      <c r="N840" s="101">
        <v>8.1969407850427136E+18</v>
      </c>
    </row>
    <row r="841" spans="4:14" ht="15" customHeight="1">
      <c r="D841" s="99" t="b">
        <v>0</v>
      </c>
      <c r="E841" s="94" t="s">
        <v>863</v>
      </c>
      <c r="F841" s="92" t="s">
        <v>847</v>
      </c>
      <c r="G841" s="92" t="s">
        <v>93</v>
      </c>
      <c r="H841" s="93">
        <v>74</v>
      </c>
      <c r="I841" s="93">
        <v>200</v>
      </c>
      <c r="J841" s="93">
        <v>39.49</v>
      </c>
      <c r="K841" s="93" t="s">
        <v>93</v>
      </c>
      <c r="L841" s="101">
        <v>759</v>
      </c>
      <c r="M841" s="101">
        <v>0</v>
      </c>
      <c r="N841" s="101">
        <v>2.6455471716460493E+18</v>
      </c>
    </row>
    <row r="842" spans="4:14" ht="15" customHeight="1">
      <c r="D842" s="99" t="b">
        <v>0</v>
      </c>
      <c r="E842" s="94" t="s">
        <v>864</v>
      </c>
      <c r="F842" s="92" t="s">
        <v>847</v>
      </c>
      <c r="G842" s="92" t="s">
        <v>101</v>
      </c>
      <c r="H842" s="93">
        <v>77</v>
      </c>
      <c r="I842" s="93">
        <v>205</v>
      </c>
      <c r="J842" s="93">
        <v>34.08</v>
      </c>
      <c r="K842" s="93" t="s">
        <v>75</v>
      </c>
      <c r="L842" s="101">
        <v>760</v>
      </c>
      <c r="M842" s="101">
        <v>0</v>
      </c>
      <c r="N842" s="101">
        <v>1.9683543526502868E+18</v>
      </c>
    </row>
    <row r="843" spans="4:14" ht="15" customHeight="1">
      <c r="D843" s="99" t="b">
        <v>0</v>
      </c>
      <c r="E843" s="94" t="s">
        <v>865</v>
      </c>
      <c r="F843" s="92" t="s">
        <v>847</v>
      </c>
      <c r="G843" s="92" t="s">
        <v>101</v>
      </c>
      <c r="H843" s="93">
        <v>72</v>
      </c>
      <c r="I843" s="93">
        <v>200</v>
      </c>
      <c r="J843" s="93">
        <v>30.52</v>
      </c>
      <c r="K843" s="93" t="s">
        <v>75</v>
      </c>
      <c r="L843" s="101">
        <v>761</v>
      </c>
      <c r="M843" s="101">
        <v>0</v>
      </c>
      <c r="N843" s="101">
        <v>9.6537518566739579E+18</v>
      </c>
    </row>
    <row r="844" spans="4:14" ht="15" customHeight="1">
      <c r="D844" s="99" t="b">
        <v>0</v>
      </c>
      <c r="E844" s="94" t="s">
        <v>866</v>
      </c>
      <c r="F844" s="92" t="s">
        <v>847</v>
      </c>
      <c r="G844" s="92" t="s">
        <v>101</v>
      </c>
      <c r="H844" s="93">
        <v>76</v>
      </c>
      <c r="I844" s="93">
        <v>250</v>
      </c>
      <c r="J844" s="93">
        <v>28.77</v>
      </c>
      <c r="K844" s="93" t="s">
        <v>75</v>
      </c>
      <c r="L844" s="101">
        <v>762</v>
      </c>
      <c r="M844" s="101">
        <v>0</v>
      </c>
      <c r="N844" s="101">
        <v>7.6807386363930102E+18</v>
      </c>
    </row>
    <row r="845" spans="4:14" ht="15" customHeight="1">
      <c r="D845" s="99" t="b">
        <v>0</v>
      </c>
      <c r="E845" s="94" t="s">
        <v>867</v>
      </c>
      <c r="F845" s="92" t="s">
        <v>847</v>
      </c>
      <c r="G845" s="92" t="s">
        <v>101</v>
      </c>
      <c r="H845" s="93">
        <v>78</v>
      </c>
      <c r="I845" s="93">
        <v>210</v>
      </c>
      <c r="J845" s="93">
        <v>33.75</v>
      </c>
      <c r="K845" s="93" t="s">
        <v>75</v>
      </c>
      <c r="L845" s="101">
        <v>763</v>
      </c>
      <c r="M845" s="101">
        <v>0</v>
      </c>
      <c r="N845" s="101">
        <v>1.6670826239949709E+19</v>
      </c>
    </row>
    <row r="846" spans="4:14" ht="15" customHeight="1">
      <c r="D846" s="99" t="b">
        <v>0</v>
      </c>
      <c r="E846" s="94" t="s">
        <v>868</v>
      </c>
      <c r="F846" s="92" t="s">
        <v>847</v>
      </c>
      <c r="G846" s="92" t="s">
        <v>101</v>
      </c>
      <c r="H846" s="93">
        <v>81</v>
      </c>
      <c r="I846" s="93">
        <v>230</v>
      </c>
      <c r="J846" s="93">
        <v>32.69</v>
      </c>
      <c r="K846" s="93" t="s">
        <v>75</v>
      </c>
      <c r="L846" s="101">
        <v>764</v>
      </c>
      <c r="M846" s="101">
        <v>0</v>
      </c>
      <c r="N846" s="101">
        <v>1.0188975171703081E+19</v>
      </c>
    </row>
    <row r="847" spans="4:14" ht="15" customHeight="1">
      <c r="D847" s="99" t="b">
        <v>0</v>
      </c>
      <c r="E847" s="94" t="s">
        <v>869</v>
      </c>
      <c r="F847" s="92" t="s">
        <v>847</v>
      </c>
      <c r="G847" s="92" t="s">
        <v>101</v>
      </c>
      <c r="H847" s="93">
        <v>72</v>
      </c>
      <c r="I847" s="93">
        <v>244</v>
      </c>
      <c r="J847" s="93">
        <v>22.59</v>
      </c>
      <c r="K847" s="93" t="s">
        <v>75</v>
      </c>
      <c r="L847" s="101">
        <v>765</v>
      </c>
      <c r="M847" s="101">
        <v>0</v>
      </c>
      <c r="N847" s="101">
        <v>7.440770596143231E+18</v>
      </c>
    </row>
    <row r="848" spans="4:14" ht="15" customHeight="1">
      <c r="D848" s="99" t="b">
        <v>0</v>
      </c>
      <c r="E848" s="94" t="s">
        <v>870</v>
      </c>
      <c r="F848" s="92" t="s">
        <v>847</v>
      </c>
      <c r="G848" s="92" t="s">
        <v>74</v>
      </c>
      <c r="H848" s="93">
        <v>73</v>
      </c>
      <c r="I848" s="93">
        <v>202</v>
      </c>
      <c r="J848" s="93">
        <v>37.04</v>
      </c>
      <c r="K848" s="93" t="s">
        <v>75</v>
      </c>
      <c r="L848" s="101">
        <v>766</v>
      </c>
      <c r="M848" s="101">
        <v>0</v>
      </c>
      <c r="N848" s="101">
        <v>1.6965703148826046E+19</v>
      </c>
    </row>
    <row r="849" spans="4:14" ht="15" customHeight="1">
      <c r="D849" s="99" t="b">
        <v>0</v>
      </c>
      <c r="E849" s="94" t="s">
        <v>871</v>
      </c>
      <c r="F849" s="92" t="s">
        <v>847</v>
      </c>
      <c r="G849" s="92" t="s">
        <v>74</v>
      </c>
      <c r="H849" s="93">
        <v>76</v>
      </c>
      <c r="I849" s="93">
        <v>240</v>
      </c>
      <c r="J849" s="93">
        <v>22.7</v>
      </c>
      <c r="K849" s="93" t="s">
        <v>75</v>
      </c>
      <c r="L849" s="101">
        <v>767</v>
      </c>
      <c r="M849" s="101">
        <v>0</v>
      </c>
      <c r="N849" s="101">
        <v>4.5646130076241984E+17</v>
      </c>
    </row>
    <row r="850" spans="4:14" ht="15" customHeight="1">
      <c r="D850" s="99" t="b">
        <v>0</v>
      </c>
      <c r="E850" s="94" t="s">
        <v>872</v>
      </c>
      <c r="F850" s="92" t="s">
        <v>847</v>
      </c>
      <c r="G850" s="92" t="s">
        <v>74</v>
      </c>
      <c r="H850" s="93">
        <v>72</v>
      </c>
      <c r="I850" s="93">
        <v>200</v>
      </c>
      <c r="J850" s="93">
        <v>25.6</v>
      </c>
      <c r="K850" s="93" t="s">
        <v>75</v>
      </c>
      <c r="L850" s="101">
        <v>768</v>
      </c>
      <c r="M850" s="101">
        <v>0</v>
      </c>
      <c r="N850" s="101">
        <v>5.9541130403703726E+18</v>
      </c>
    </row>
    <row r="851" spans="4:14" ht="15" customHeight="1">
      <c r="D851" s="99" t="b">
        <v>0</v>
      </c>
      <c r="E851" s="94" t="s">
        <v>873</v>
      </c>
      <c r="F851" s="92" t="s">
        <v>847</v>
      </c>
      <c r="G851" s="92" t="s">
        <v>74</v>
      </c>
      <c r="H851" s="93">
        <v>72</v>
      </c>
      <c r="I851" s="93">
        <v>215</v>
      </c>
      <c r="J851" s="93">
        <v>27.23</v>
      </c>
      <c r="K851" s="93" t="s">
        <v>75</v>
      </c>
      <c r="L851" s="101">
        <v>769</v>
      </c>
      <c r="M851" s="101">
        <v>0</v>
      </c>
      <c r="N851" s="101">
        <v>4.9992050568789402E+18</v>
      </c>
    </row>
    <row r="852" spans="4:14" ht="15" customHeight="1">
      <c r="D852" s="99" t="b">
        <v>0</v>
      </c>
      <c r="E852" s="94" t="s">
        <v>874</v>
      </c>
      <c r="F852" s="92" t="s">
        <v>847</v>
      </c>
      <c r="G852" s="92" t="s">
        <v>74</v>
      </c>
      <c r="H852" s="93">
        <v>74</v>
      </c>
      <c r="I852" s="93">
        <v>177</v>
      </c>
      <c r="J852" s="93">
        <v>25.74</v>
      </c>
      <c r="K852" s="93" t="s">
        <v>75</v>
      </c>
      <c r="L852" s="101">
        <v>770</v>
      </c>
      <c r="M852" s="101">
        <v>0</v>
      </c>
      <c r="N852" s="101">
        <v>6.2850956514781297E+18</v>
      </c>
    </row>
    <row r="853" spans="4:14" ht="15" customHeight="1">
      <c r="D853" s="99" t="b">
        <v>0</v>
      </c>
      <c r="E853" s="94" t="s">
        <v>875</v>
      </c>
      <c r="F853" s="92" t="s">
        <v>847</v>
      </c>
      <c r="G853" s="92" t="s">
        <v>74</v>
      </c>
      <c r="H853" s="93">
        <v>76</v>
      </c>
      <c r="I853" s="93">
        <v>210</v>
      </c>
      <c r="J853" s="93">
        <v>30.29</v>
      </c>
      <c r="K853" s="93" t="s">
        <v>75</v>
      </c>
      <c r="L853" s="101">
        <v>771</v>
      </c>
      <c r="M853" s="101">
        <v>0</v>
      </c>
      <c r="N853" s="101">
        <v>4.6517083403151534E+18</v>
      </c>
    </row>
    <row r="854" spans="4:14" ht="15" customHeight="1">
      <c r="D854" s="99" t="b">
        <v>0</v>
      </c>
      <c r="E854" s="94" t="s">
        <v>876</v>
      </c>
      <c r="F854" s="92" t="s">
        <v>847</v>
      </c>
      <c r="G854" s="92" t="s">
        <v>74</v>
      </c>
      <c r="H854" s="93">
        <v>73</v>
      </c>
      <c r="I854" s="93">
        <v>170</v>
      </c>
      <c r="J854" s="93">
        <v>26.72</v>
      </c>
      <c r="K854" s="93" t="s">
        <v>75</v>
      </c>
      <c r="L854" s="101">
        <v>772</v>
      </c>
      <c r="M854" s="101">
        <v>0</v>
      </c>
      <c r="N854" s="101">
        <v>2.3124757153491451E+18</v>
      </c>
    </row>
    <row r="855" spans="4:14" ht="15" customHeight="1">
      <c r="D855" s="99" t="b">
        <v>0</v>
      </c>
      <c r="E855" s="94" t="s">
        <v>877</v>
      </c>
      <c r="F855" s="92" t="s">
        <v>847</v>
      </c>
      <c r="G855" s="92" t="s">
        <v>74</v>
      </c>
      <c r="H855" s="93">
        <v>76</v>
      </c>
      <c r="I855" s="93">
        <v>215</v>
      </c>
      <c r="J855" s="93">
        <v>33.9</v>
      </c>
      <c r="K855" s="93" t="s">
        <v>75</v>
      </c>
      <c r="L855" s="101">
        <v>773</v>
      </c>
      <c r="M855" s="101">
        <v>0</v>
      </c>
      <c r="N855" s="101">
        <v>9.1967036057068877E+17</v>
      </c>
    </row>
    <row r="856" spans="4:14" ht="15" customHeight="1">
      <c r="D856" s="99" t="b">
        <v>0</v>
      </c>
      <c r="E856" s="94" t="s">
        <v>878</v>
      </c>
      <c r="F856" s="92" t="s">
        <v>847</v>
      </c>
      <c r="G856" s="92" t="s">
        <v>74</v>
      </c>
      <c r="H856" s="93">
        <v>75</v>
      </c>
      <c r="I856" s="93">
        <v>217</v>
      </c>
      <c r="J856" s="93">
        <v>29.86</v>
      </c>
      <c r="K856" s="93" t="s">
        <v>75</v>
      </c>
      <c r="L856" s="101">
        <v>774</v>
      </c>
      <c r="M856" s="101">
        <v>0</v>
      </c>
      <c r="N856" s="101">
        <v>7.7990720650752553E+18</v>
      </c>
    </row>
    <row r="857" spans="4:14" ht="15" customHeight="1">
      <c r="D857" s="99" t="b">
        <v>0</v>
      </c>
      <c r="E857" s="94" t="s">
        <v>879</v>
      </c>
      <c r="F857" s="92" t="s">
        <v>847</v>
      </c>
      <c r="G857" s="92" t="s">
        <v>74</v>
      </c>
      <c r="H857" s="93">
        <v>70</v>
      </c>
      <c r="I857" s="93">
        <v>198</v>
      </c>
      <c r="J857" s="93">
        <v>36.130000000000003</v>
      </c>
      <c r="K857" s="93" t="s">
        <v>75</v>
      </c>
      <c r="L857" s="101">
        <v>775</v>
      </c>
      <c r="M857" s="101">
        <v>0</v>
      </c>
      <c r="N857" s="101">
        <v>1.2042646754127679E+19</v>
      </c>
    </row>
    <row r="858" spans="4:14" ht="15" customHeight="1">
      <c r="D858" s="99" t="b">
        <v>0</v>
      </c>
      <c r="E858" s="94" t="s">
        <v>880</v>
      </c>
      <c r="F858" s="92" t="s">
        <v>881</v>
      </c>
      <c r="G858" s="92" t="s">
        <v>78</v>
      </c>
      <c r="H858" s="93">
        <v>71</v>
      </c>
      <c r="I858" s="93">
        <v>200</v>
      </c>
      <c r="J858" s="93">
        <v>27.54</v>
      </c>
      <c r="K858" s="93" t="s">
        <v>78</v>
      </c>
      <c r="L858" s="101">
        <v>776</v>
      </c>
      <c r="M858" s="101">
        <v>0</v>
      </c>
      <c r="N858" s="101">
        <v>1.0147526939336758E+18</v>
      </c>
    </row>
    <row r="859" spans="4:14" ht="15" customHeight="1">
      <c r="D859" s="99" t="b">
        <v>0</v>
      </c>
      <c r="E859" s="94" t="s">
        <v>882</v>
      </c>
      <c r="F859" s="92" t="s">
        <v>881</v>
      </c>
      <c r="G859" s="92" t="s">
        <v>78</v>
      </c>
      <c r="H859" s="93">
        <v>74</v>
      </c>
      <c r="I859" s="93">
        <v>220</v>
      </c>
      <c r="J859" s="93">
        <v>31.49</v>
      </c>
      <c r="K859" s="93" t="s">
        <v>78</v>
      </c>
      <c r="L859" s="101">
        <v>777</v>
      </c>
      <c r="M859" s="101">
        <v>0</v>
      </c>
      <c r="N859" s="101">
        <v>1.5064768024719999E+19</v>
      </c>
    </row>
    <row r="860" spans="4:14" ht="15" customHeight="1">
      <c r="D860" s="99" t="b">
        <v>0</v>
      </c>
      <c r="E860" s="94" t="s">
        <v>883</v>
      </c>
      <c r="F860" s="92" t="s">
        <v>881</v>
      </c>
      <c r="G860" s="92" t="s">
        <v>78</v>
      </c>
      <c r="H860" s="93">
        <v>72</v>
      </c>
      <c r="I860" s="93">
        <v>170</v>
      </c>
      <c r="J860" s="93">
        <v>28.1</v>
      </c>
      <c r="K860" s="93" t="s">
        <v>78</v>
      </c>
      <c r="L860" s="101">
        <v>778</v>
      </c>
      <c r="M860" s="101">
        <v>0</v>
      </c>
      <c r="N860" s="101">
        <v>8.1017337923607101E+18</v>
      </c>
    </row>
    <row r="861" spans="4:14" ht="15" customHeight="1">
      <c r="D861" s="99" t="b">
        <v>0</v>
      </c>
      <c r="E861" s="94" t="s">
        <v>884</v>
      </c>
      <c r="F861" s="92" t="s">
        <v>881</v>
      </c>
      <c r="G861" s="92" t="s">
        <v>78</v>
      </c>
      <c r="H861" s="93">
        <v>73</v>
      </c>
      <c r="I861" s="93">
        <v>200</v>
      </c>
      <c r="J861" s="93">
        <v>34.07</v>
      </c>
      <c r="K861" s="93" t="s">
        <v>78</v>
      </c>
      <c r="L861" s="101">
        <v>779</v>
      </c>
      <c r="M861" s="101">
        <v>0</v>
      </c>
      <c r="N861" s="101">
        <v>7.4390951569478912E+18</v>
      </c>
    </row>
    <row r="862" spans="4:14" ht="15" customHeight="1">
      <c r="D862" s="99" t="b">
        <v>0</v>
      </c>
      <c r="E862" s="94" t="s">
        <v>885</v>
      </c>
      <c r="F862" s="92" t="s">
        <v>881</v>
      </c>
      <c r="G862" s="92" t="s">
        <v>82</v>
      </c>
      <c r="H862" s="93">
        <v>76</v>
      </c>
      <c r="I862" s="93">
        <v>230</v>
      </c>
      <c r="J862" s="93">
        <v>27.28</v>
      </c>
      <c r="K862" s="93" t="s">
        <v>83</v>
      </c>
      <c r="L862" s="101">
        <v>780</v>
      </c>
      <c r="M862" s="101">
        <v>0</v>
      </c>
      <c r="N862" s="101">
        <v>6.9225056043531602E+18</v>
      </c>
    </row>
    <row r="863" spans="4:14" ht="15" customHeight="1">
      <c r="D863" s="99" t="b">
        <v>0</v>
      </c>
      <c r="E863" s="94" t="s">
        <v>886</v>
      </c>
      <c r="F863" s="92" t="s">
        <v>881</v>
      </c>
      <c r="G863" s="92" t="s">
        <v>82</v>
      </c>
      <c r="H863" s="93">
        <v>76</v>
      </c>
      <c r="I863" s="93">
        <v>231</v>
      </c>
      <c r="J863" s="93">
        <v>30.8</v>
      </c>
      <c r="K863" s="93" t="s">
        <v>83</v>
      </c>
      <c r="L863" s="101">
        <v>781</v>
      </c>
      <c r="M863" s="101">
        <v>0</v>
      </c>
      <c r="N863" s="101">
        <v>3.3353303751074524E+18</v>
      </c>
    </row>
    <row r="864" spans="4:14" ht="15" customHeight="1">
      <c r="D864" s="99" t="b">
        <v>0</v>
      </c>
      <c r="E864" s="94" t="s">
        <v>887</v>
      </c>
      <c r="F864" s="92" t="s">
        <v>881</v>
      </c>
      <c r="G864" s="92" t="s">
        <v>86</v>
      </c>
      <c r="H864" s="93">
        <v>73</v>
      </c>
      <c r="I864" s="93">
        <v>183</v>
      </c>
      <c r="J864" s="93">
        <v>28.2</v>
      </c>
      <c r="K864" s="93" t="s">
        <v>83</v>
      </c>
      <c r="L864" s="101">
        <v>782</v>
      </c>
      <c r="M864" s="101">
        <v>0</v>
      </c>
      <c r="N864" s="101">
        <v>7.4330980444665016E+18</v>
      </c>
    </row>
    <row r="865" spans="4:14" ht="15" customHeight="1">
      <c r="D865" s="99" t="b">
        <v>0</v>
      </c>
      <c r="E865" s="94" t="s">
        <v>888</v>
      </c>
      <c r="F865" s="92" t="s">
        <v>881</v>
      </c>
      <c r="G865" s="92" t="s">
        <v>86</v>
      </c>
      <c r="H865" s="93">
        <v>71</v>
      </c>
      <c r="I865" s="93">
        <v>192</v>
      </c>
      <c r="J865" s="93">
        <v>27.9</v>
      </c>
      <c r="K865" s="93" t="s">
        <v>83</v>
      </c>
      <c r="L865" s="101">
        <v>783</v>
      </c>
      <c r="M865" s="101">
        <v>0</v>
      </c>
      <c r="N865" s="101">
        <v>1.0072528021711225E+19</v>
      </c>
    </row>
    <row r="866" spans="4:14" ht="15" customHeight="1">
      <c r="D866" s="99" t="b">
        <v>0</v>
      </c>
      <c r="E866" s="94" t="s">
        <v>889</v>
      </c>
      <c r="F866" s="92" t="s">
        <v>881</v>
      </c>
      <c r="G866" s="92" t="s">
        <v>88</v>
      </c>
      <c r="H866" s="93">
        <v>68</v>
      </c>
      <c r="I866" s="93">
        <v>167</v>
      </c>
      <c r="J866" s="93">
        <v>28.26</v>
      </c>
      <c r="K866" s="93" t="s">
        <v>83</v>
      </c>
      <c r="L866" s="101">
        <v>784</v>
      </c>
      <c r="M866" s="101">
        <v>0</v>
      </c>
      <c r="N866" s="101">
        <v>1.7848930977842713E+19</v>
      </c>
    </row>
    <row r="867" spans="4:14" ht="15" customHeight="1">
      <c r="D867" s="99" t="b">
        <v>0</v>
      </c>
      <c r="E867" s="94" t="s">
        <v>890</v>
      </c>
      <c r="F867" s="92" t="s">
        <v>881</v>
      </c>
      <c r="G867" s="92" t="s">
        <v>90</v>
      </c>
      <c r="H867" s="93">
        <v>71</v>
      </c>
      <c r="I867" s="93">
        <v>190</v>
      </c>
      <c r="J867" s="93">
        <v>30.96</v>
      </c>
      <c r="K867" s="93" t="s">
        <v>83</v>
      </c>
      <c r="L867" s="101">
        <v>785</v>
      </c>
      <c r="M867" s="101">
        <v>0</v>
      </c>
      <c r="N867" s="101">
        <v>4.6391016234967245E+18</v>
      </c>
    </row>
    <row r="868" spans="4:14" ht="15" customHeight="1">
      <c r="D868" s="99" t="b">
        <v>0</v>
      </c>
      <c r="E868" s="94" t="s">
        <v>891</v>
      </c>
      <c r="F868" s="92" t="s">
        <v>881</v>
      </c>
      <c r="G868" s="92" t="s">
        <v>93</v>
      </c>
      <c r="H868" s="93">
        <v>71</v>
      </c>
      <c r="I868" s="93">
        <v>180</v>
      </c>
      <c r="J868" s="93">
        <v>24.18</v>
      </c>
      <c r="K868" s="93" t="s">
        <v>93</v>
      </c>
      <c r="L868" s="101">
        <v>786</v>
      </c>
      <c r="M868" s="101">
        <v>0</v>
      </c>
      <c r="N868" s="101">
        <v>1.6799334188075727E+19</v>
      </c>
    </row>
    <row r="869" spans="4:14" ht="15" customHeight="1">
      <c r="D869" s="99" t="b">
        <v>0</v>
      </c>
      <c r="E869" s="94" t="s">
        <v>892</v>
      </c>
      <c r="F869" s="92" t="s">
        <v>881</v>
      </c>
      <c r="G869" s="92" t="s">
        <v>93</v>
      </c>
      <c r="H869" s="93">
        <v>74</v>
      </c>
      <c r="I869" s="93">
        <v>180</v>
      </c>
      <c r="J869" s="93">
        <v>27.52</v>
      </c>
      <c r="K869" s="93" t="s">
        <v>93</v>
      </c>
      <c r="L869" s="101">
        <v>787</v>
      </c>
      <c r="M869" s="101">
        <v>0</v>
      </c>
      <c r="N869" s="101">
        <v>9.6168273681062769E+18</v>
      </c>
    </row>
    <row r="870" spans="4:14" ht="15" customHeight="1">
      <c r="D870" s="99" t="b">
        <v>0</v>
      </c>
      <c r="E870" s="94" t="s">
        <v>893</v>
      </c>
      <c r="F870" s="92" t="s">
        <v>881</v>
      </c>
      <c r="G870" s="92" t="s">
        <v>93</v>
      </c>
      <c r="H870" s="93">
        <v>77</v>
      </c>
      <c r="I870" s="93">
        <v>215</v>
      </c>
      <c r="J870" s="93">
        <v>27.78</v>
      </c>
      <c r="K870" s="93" t="s">
        <v>93</v>
      </c>
      <c r="L870" s="101">
        <v>788</v>
      </c>
      <c r="M870" s="101">
        <v>0</v>
      </c>
      <c r="N870" s="101">
        <v>2.3166266547723213E+18</v>
      </c>
    </row>
    <row r="871" spans="4:14" ht="15" customHeight="1">
      <c r="D871" s="99" t="b">
        <v>0</v>
      </c>
      <c r="E871" s="94" t="s">
        <v>894</v>
      </c>
      <c r="F871" s="92" t="s">
        <v>881</v>
      </c>
      <c r="G871" s="92" t="s">
        <v>93</v>
      </c>
      <c r="H871" s="93">
        <v>69</v>
      </c>
      <c r="I871" s="93">
        <v>160</v>
      </c>
      <c r="J871" s="93">
        <v>26.25</v>
      </c>
      <c r="K871" s="93" t="s">
        <v>93</v>
      </c>
      <c r="L871" s="101">
        <v>789</v>
      </c>
      <c r="M871" s="101">
        <v>0</v>
      </c>
      <c r="N871" s="101">
        <v>7.7348074294280991E+18</v>
      </c>
    </row>
    <row r="872" spans="4:14" ht="15" customHeight="1">
      <c r="D872" s="99" t="b">
        <v>0</v>
      </c>
      <c r="E872" s="94" t="s">
        <v>895</v>
      </c>
      <c r="F872" s="92" t="s">
        <v>881</v>
      </c>
      <c r="G872" s="92" t="s">
        <v>93</v>
      </c>
      <c r="H872" s="93">
        <v>72</v>
      </c>
      <c r="I872" s="93">
        <v>205</v>
      </c>
      <c r="J872" s="93">
        <v>29.5</v>
      </c>
      <c r="K872" s="93" t="s">
        <v>93</v>
      </c>
      <c r="L872" s="101">
        <v>790</v>
      </c>
      <c r="M872" s="101">
        <v>0</v>
      </c>
      <c r="N872" s="101">
        <v>1.4382724049183949E+19</v>
      </c>
    </row>
    <row r="873" spans="4:14" ht="15" customHeight="1">
      <c r="D873" s="99" t="b">
        <v>0</v>
      </c>
      <c r="E873" s="94" t="s">
        <v>896</v>
      </c>
      <c r="F873" s="92" t="s">
        <v>881</v>
      </c>
      <c r="G873" s="92" t="s">
        <v>93</v>
      </c>
      <c r="H873" s="93">
        <v>76</v>
      </c>
      <c r="I873" s="93">
        <v>223</v>
      </c>
      <c r="J873" s="93">
        <v>30.39</v>
      </c>
      <c r="K873" s="93" t="s">
        <v>93</v>
      </c>
      <c r="L873" s="101">
        <v>791</v>
      </c>
      <c r="M873" s="101">
        <v>0</v>
      </c>
      <c r="N873" s="101">
        <v>1.2237135775359105E+19</v>
      </c>
    </row>
    <row r="874" spans="4:14" ht="15" customHeight="1">
      <c r="D874" s="99" t="b">
        <v>0</v>
      </c>
      <c r="E874" s="94" t="s">
        <v>897</v>
      </c>
      <c r="F874" s="92" t="s">
        <v>881</v>
      </c>
      <c r="G874" s="92" t="s">
        <v>101</v>
      </c>
      <c r="H874" s="93">
        <v>75</v>
      </c>
      <c r="I874" s="93">
        <v>175</v>
      </c>
      <c r="J874" s="93">
        <v>23.18</v>
      </c>
      <c r="K874" s="93" t="s">
        <v>75</v>
      </c>
      <c r="L874" s="101">
        <v>792</v>
      </c>
      <c r="M874" s="101">
        <v>0</v>
      </c>
      <c r="N874" s="101">
        <v>1.0115305964952807E+19</v>
      </c>
    </row>
    <row r="875" spans="4:14" ht="15" customHeight="1">
      <c r="D875" s="99" t="b">
        <v>0</v>
      </c>
      <c r="E875" s="94" t="s">
        <v>898</v>
      </c>
      <c r="F875" s="92" t="s">
        <v>881</v>
      </c>
      <c r="G875" s="92" t="s">
        <v>101</v>
      </c>
      <c r="H875" s="93">
        <v>76</v>
      </c>
      <c r="I875" s="93">
        <v>170</v>
      </c>
      <c r="J875" s="93">
        <v>25.81</v>
      </c>
      <c r="K875" s="93" t="s">
        <v>75</v>
      </c>
      <c r="L875" s="101">
        <v>793</v>
      </c>
      <c r="M875" s="101">
        <v>0</v>
      </c>
      <c r="N875" s="101">
        <v>4.6670938760009032E+18</v>
      </c>
    </row>
    <row r="876" spans="4:14" ht="15" customHeight="1">
      <c r="D876" s="99" t="b">
        <v>0</v>
      </c>
      <c r="E876" s="94" t="s">
        <v>899</v>
      </c>
      <c r="F876" s="92" t="s">
        <v>881</v>
      </c>
      <c r="G876" s="92" t="s">
        <v>101</v>
      </c>
      <c r="H876" s="93">
        <v>75</v>
      </c>
      <c r="I876" s="93">
        <v>190</v>
      </c>
      <c r="J876" s="93">
        <v>23.01</v>
      </c>
      <c r="K876" s="93" t="s">
        <v>75</v>
      </c>
      <c r="L876" s="101">
        <v>794</v>
      </c>
      <c r="M876" s="101">
        <v>0</v>
      </c>
      <c r="N876" s="101">
        <v>1.3202805252126989E+17</v>
      </c>
    </row>
    <row r="877" spans="4:14" ht="15" customHeight="1">
      <c r="D877" s="99" t="b">
        <v>0</v>
      </c>
      <c r="E877" s="94" t="s">
        <v>900</v>
      </c>
      <c r="F877" s="92" t="s">
        <v>881</v>
      </c>
      <c r="G877" s="92" t="s">
        <v>101</v>
      </c>
      <c r="H877" s="93">
        <v>76</v>
      </c>
      <c r="I877" s="93">
        <v>240</v>
      </c>
      <c r="J877" s="93">
        <v>31.72</v>
      </c>
      <c r="K877" s="93" t="s">
        <v>75</v>
      </c>
      <c r="L877" s="101">
        <v>795</v>
      </c>
      <c r="M877" s="101">
        <v>0</v>
      </c>
      <c r="N877" s="101">
        <v>3.2950749267412393E+18</v>
      </c>
    </row>
    <row r="878" spans="4:14" ht="15" customHeight="1">
      <c r="D878" s="99" t="b">
        <v>0</v>
      </c>
      <c r="E878" s="94" t="s">
        <v>901</v>
      </c>
      <c r="F878" s="92" t="s">
        <v>881</v>
      </c>
      <c r="G878" s="92" t="s">
        <v>101</v>
      </c>
      <c r="H878" s="93">
        <v>72</v>
      </c>
      <c r="I878" s="93">
        <v>175</v>
      </c>
      <c r="J878" s="93">
        <v>44.28</v>
      </c>
      <c r="K878" s="93" t="s">
        <v>75</v>
      </c>
      <c r="L878" s="101">
        <v>796</v>
      </c>
      <c r="M878" s="101">
        <v>0</v>
      </c>
      <c r="N878" s="101">
        <v>8.1681767908637819E+18</v>
      </c>
    </row>
    <row r="879" spans="4:14" ht="15" customHeight="1">
      <c r="D879" s="99" t="b">
        <v>0</v>
      </c>
      <c r="E879" s="94" t="s">
        <v>902</v>
      </c>
      <c r="F879" s="92" t="s">
        <v>881</v>
      </c>
      <c r="G879" s="92" t="s">
        <v>101</v>
      </c>
      <c r="H879" s="93">
        <v>74</v>
      </c>
      <c r="I879" s="93">
        <v>230</v>
      </c>
      <c r="J879" s="93">
        <v>36.909999999999997</v>
      </c>
      <c r="K879" s="93" t="s">
        <v>75</v>
      </c>
      <c r="L879" s="101">
        <v>797</v>
      </c>
      <c r="M879" s="101">
        <v>0</v>
      </c>
      <c r="N879" s="101">
        <v>8.4088158732496302E+18</v>
      </c>
    </row>
    <row r="880" spans="4:14" ht="15" customHeight="1">
      <c r="D880" s="99" t="b">
        <v>0</v>
      </c>
      <c r="E880" s="94" t="s">
        <v>903</v>
      </c>
      <c r="F880" s="92" t="s">
        <v>881</v>
      </c>
      <c r="G880" s="92" t="s">
        <v>101</v>
      </c>
      <c r="H880" s="93">
        <v>76</v>
      </c>
      <c r="I880" s="93">
        <v>223</v>
      </c>
      <c r="J880" s="93">
        <v>26.54</v>
      </c>
      <c r="K880" s="93" t="s">
        <v>75</v>
      </c>
      <c r="L880" s="101">
        <v>798</v>
      </c>
      <c r="M880" s="101">
        <v>0</v>
      </c>
      <c r="N880" s="101">
        <v>1.7876072283061025E+18</v>
      </c>
    </row>
    <row r="881" spans="4:14" ht="15" customHeight="1">
      <c r="D881" s="99" t="b">
        <v>0</v>
      </c>
      <c r="E881" s="94" t="s">
        <v>904</v>
      </c>
      <c r="F881" s="92" t="s">
        <v>881</v>
      </c>
      <c r="G881" s="92" t="s">
        <v>101</v>
      </c>
      <c r="H881" s="93">
        <v>74</v>
      </c>
      <c r="I881" s="93">
        <v>196</v>
      </c>
      <c r="J881" s="93">
        <v>29.27</v>
      </c>
      <c r="K881" s="93" t="s">
        <v>75</v>
      </c>
      <c r="L881" s="101">
        <v>799</v>
      </c>
      <c r="M881" s="101">
        <v>0</v>
      </c>
      <c r="N881" s="101">
        <v>1.7056050210117741E+19</v>
      </c>
    </row>
    <row r="882" spans="4:14" ht="15" customHeight="1">
      <c r="D882" s="99" t="b">
        <v>0</v>
      </c>
      <c r="E882" s="94" t="s">
        <v>905</v>
      </c>
      <c r="F882" s="92" t="s">
        <v>881</v>
      </c>
      <c r="G882" s="92" t="s">
        <v>74</v>
      </c>
      <c r="H882" s="93">
        <v>72</v>
      </c>
      <c r="I882" s="93">
        <v>167</v>
      </c>
      <c r="J882" s="93">
        <v>30.51</v>
      </c>
      <c r="K882" s="93" t="s">
        <v>75</v>
      </c>
      <c r="L882" s="101">
        <v>800</v>
      </c>
      <c r="M882" s="101">
        <v>0</v>
      </c>
      <c r="N882" s="101">
        <v>2.8747309854624343E+18</v>
      </c>
    </row>
    <row r="883" spans="4:14" ht="15" customHeight="1">
      <c r="D883" s="99" t="b">
        <v>0</v>
      </c>
      <c r="E883" s="94" t="s">
        <v>906</v>
      </c>
      <c r="F883" s="92" t="s">
        <v>881</v>
      </c>
      <c r="G883" s="92" t="s">
        <v>74</v>
      </c>
      <c r="H883" s="93">
        <v>75</v>
      </c>
      <c r="I883" s="93">
        <v>195</v>
      </c>
      <c r="J883" s="93">
        <v>31.28</v>
      </c>
      <c r="K883" s="93" t="s">
        <v>75</v>
      </c>
      <c r="L883" s="101">
        <v>801</v>
      </c>
      <c r="M883" s="101">
        <v>0</v>
      </c>
      <c r="N883" s="101">
        <v>1.4560433748891165E+19</v>
      </c>
    </row>
    <row r="884" spans="4:14" ht="15" customHeight="1">
      <c r="D884" s="99" t="b">
        <v>0</v>
      </c>
      <c r="E884" s="94" t="s">
        <v>907</v>
      </c>
      <c r="F884" s="92" t="s">
        <v>881</v>
      </c>
      <c r="G884" s="92" t="s">
        <v>74</v>
      </c>
      <c r="H884" s="93">
        <v>78</v>
      </c>
      <c r="I884" s="93">
        <v>190</v>
      </c>
      <c r="J884" s="93">
        <v>26.51</v>
      </c>
      <c r="K884" s="93" t="s">
        <v>75</v>
      </c>
      <c r="L884" s="101">
        <v>802</v>
      </c>
      <c r="M884" s="101">
        <v>0</v>
      </c>
      <c r="N884" s="101">
        <v>1.4496051497300691E+19</v>
      </c>
    </row>
    <row r="885" spans="4:14" ht="15" customHeight="1">
      <c r="D885" s="99" t="b">
        <v>0</v>
      </c>
      <c r="E885" s="94" t="s">
        <v>908</v>
      </c>
      <c r="F885" s="92" t="s">
        <v>881</v>
      </c>
      <c r="G885" s="92" t="s">
        <v>74</v>
      </c>
      <c r="H885" s="93">
        <v>77</v>
      </c>
      <c r="I885" s="93">
        <v>250</v>
      </c>
      <c r="J885" s="93">
        <v>34.869999999999997</v>
      </c>
      <c r="K885" s="93" t="s">
        <v>75</v>
      </c>
      <c r="L885" s="101">
        <v>803</v>
      </c>
      <c r="M885" s="101">
        <v>0</v>
      </c>
      <c r="N885" s="101">
        <v>9.118916727206143E+18</v>
      </c>
    </row>
    <row r="886" spans="4:14" ht="15" customHeight="1">
      <c r="D886" s="99" t="b">
        <v>0</v>
      </c>
      <c r="E886" s="94" t="s">
        <v>909</v>
      </c>
      <c r="F886" s="92" t="s">
        <v>881</v>
      </c>
      <c r="G886" s="92" t="s">
        <v>74</v>
      </c>
      <c r="H886" s="93">
        <v>70</v>
      </c>
      <c r="I886" s="93">
        <v>190</v>
      </c>
      <c r="J886" s="93">
        <v>39.28</v>
      </c>
      <c r="K886" s="93" t="s">
        <v>75</v>
      </c>
      <c r="L886" s="101">
        <v>804</v>
      </c>
      <c r="M886" s="101">
        <v>0</v>
      </c>
      <c r="N886" s="101">
        <v>1.6622945170110454E+19</v>
      </c>
    </row>
    <row r="887" spans="4:14" ht="15" customHeight="1">
      <c r="D887" s="99" t="b">
        <v>0</v>
      </c>
      <c r="E887" s="94" t="s">
        <v>910</v>
      </c>
      <c r="F887" s="92" t="s">
        <v>881</v>
      </c>
      <c r="G887" s="92" t="s">
        <v>74</v>
      </c>
      <c r="H887" s="93">
        <v>72</v>
      </c>
      <c r="I887" s="93">
        <v>190</v>
      </c>
      <c r="J887" s="93">
        <v>28.56</v>
      </c>
      <c r="K887" s="93" t="s">
        <v>75</v>
      </c>
      <c r="L887" s="101">
        <v>805</v>
      </c>
      <c r="M887" s="101">
        <v>0</v>
      </c>
      <c r="N887" s="101">
        <v>8.3436646953197128E+18</v>
      </c>
    </row>
    <row r="888" spans="4:14" ht="15" customHeight="1">
      <c r="D888" s="99" t="b">
        <v>0</v>
      </c>
      <c r="E888" s="94" t="s">
        <v>911</v>
      </c>
      <c r="F888" s="92" t="s">
        <v>881</v>
      </c>
      <c r="G888" s="92" t="s">
        <v>74</v>
      </c>
      <c r="H888" s="93">
        <v>79</v>
      </c>
      <c r="I888" s="93">
        <v>190</v>
      </c>
      <c r="J888" s="93">
        <v>27.82</v>
      </c>
      <c r="K888" s="93" t="s">
        <v>75</v>
      </c>
      <c r="L888" s="101">
        <v>806</v>
      </c>
      <c r="M888" s="101">
        <v>0</v>
      </c>
      <c r="N888" s="101">
        <v>8.0303318820262144E+18</v>
      </c>
    </row>
    <row r="889" spans="4:14" ht="15" customHeight="1">
      <c r="D889" s="99" t="b">
        <v>0</v>
      </c>
      <c r="E889" s="94" t="s">
        <v>912</v>
      </c>
      <c r="F889" s="92" t="s">
        <v>881</v>
      </c>
      <c r="G889" s="92" t="s">
        <v>74</v>
      </c>
      <c r="H889" s="93">
        <v>74</v>
      </c>
      <c r="I889" s="93">
        <v>170</v>
      </c>
      <c r="J889" s="93">
        <v>25.94</v>
      </c>
      <c r="K889" s="93" t="s">
        <v>75</v>
      </c>
      <c r="L889" s="101">
        <v>807</v>
      </c>
      <c r="M889" s="101">
        <v>0</v>
      </c>
      <c r="N889" s="101">
        <v>1.4763317533929087E+19</v>
      </c>
    </row>
    <row r="890" spans="4:14" ht="15" customHeight="1">
      <c r="D890" s="99" t="b">
        <v>0</v>
      </c>
      <c r="E890" s="94" t="s">
        <v>913</v>
      </c>
      <c r="F890" s="92" t="s">
        <v>881</v>
      </c>
      <c r="G890" s="92" t="s">
        <v>74</v>
      </c>
      <c r="H890" s="93">
        <v>71</v>
      </c>
      <c r="I890" s="93">
        <v>160</v>
      </c>
      <c r="J890" s="93">
        <v>28.53</v>
      </c>
      <c r="K890" s="93" t="s">
        <v>75</v>
      </c>
      <c r="L890" s="101">
        <v>808</v>
      </c>
      <c r="M890" s="101">
        <v>0</v>
      </c>
      <c r="N890" s="101">
        <v>4.0059566150260209E+18</v>
      </c>
    </row>
    <row r="891" spans="4:14" ht="15" customHeight="1">
      <c r="D891" s="99" t="b">
        <v>0</v>
      </c>
      <c r="E891" s="94" t="s">
        <v>914</v>
      </c>
      <c r="F891" s="92" t="s">
        <v>881</v>
      </c>
      <c r="G891" s="92" t="s">
        <v>74</v>
      </c>
      <c r="H891" s="93">
        <v>68</v>
      </c>
      <c r="I891" s="93">
        <v>150</v>
      </c>
      <c r="J891" s="93">
        <v>22.11</v>
      </c>
      <c r="K891" s="93" t="s">
        <v>75</v>
      </c>
      <c r="L891" s="101">
        <v>809</v>
      </c>
      <c r="M891" s="101">
        <v>0</v>
      </c>
      <c r="N891" s="101">
        <v>4.350903409841026E+18</v>
      </c>
    </row>
    <row r="892" spans="4:14" ht="15" customHeight="1">
      <c r="D892" s="99" t="b">
        <v>0</v>
      </c>
      <c r="E892" s="94" t="s">
        <v>915</v>
      </c>
      <c r="F892" s="92" t="s">
        <v>881</v>
      </c>
      <c r="G892" s="92" t="s">
        <v>74</v>
      </c>
      <c r="H892" s="93">
        <v>77</v>
      </c>
      <c r="I892" s="93">
        <v>225</v>
      </c>
      <c r="J892" s="93">
        <v>27.71</v>
      </c>
      <c r="K892" s="93" t="s">
        <v>75</v>
      </c>
      <c r="L892" s="101">
        <v>810</v>
      </c>
      <c r="M892" s="101">
        <v>0</v>
      </c>
      <c r="N892" s="101">
        <v>1.46981836745762E+19</v>
      </c>
    </row>
    <row r="893" spans="4:14" ht="15" customHeight="1">
      <c r="D893" s="99" t="b">
        <v>0</v>
      </c>
      <c r="E893" s="94" t="s">
        <v>916</v>
      </c>
      <c r="F893" s="92" t="s">
        <v>917</v>
      </c>
      <c r="G893" s="92" t="s">
        <v>78</v>
      </c>
      <c r="H893" s="93">
        <v>75</v>
      </c>
      <c r="I893" s="93">
        <v>220</v>
      </c>
      <c r="J893" s="93">
        <v>37.380000000000003</v>
      </c>
      <c r="K893" s="93" t="s">
        <v>78</v>
      </c>
      <c r="L893" s="101">
        <v>811</v>
      </c>
      <c r="M893" s="101">
        <v>0</v>
      </c>
      <c r="N893" s="101">
        <v>1.6760722592226243E+19</v>
      </c>
    </row>
    <row r="894" spans="4:14" ht="15" customHeight="1">
      <c r="D894" s="99" t="b">
        <v>0</v>
      </c>
      <c r="E894" s="94" t="s">
        <v>918</v>
      </c>
      <c r="F894" s="92" t="s">
        <v>917</v>
      </c>
      <c r="G894" s="92" t="s">
        <v>78</v>
      </c>
      <c r="H894" s="93">
        <v>71</v>
      </c>
      <c r="I894" s="93">
        <v>209</v>
      </c>
      <c r="J894" s="93">
        <v>30.67</v>
      </c>
      <c r="K894" s="93" t="s">
        <v>78</v>
      </c>
      <c r="L894" s="101">
        <v>812</v>
      </c>
      <c r="M894" s="101">
        <v>0</v>
      </c>
      <c r="N894" s="101">
        <v>5.957503944850135E+17</v>
      </c>
    </row>
    <row r="895" spans="4:14" ht="15" customHeight="1">
      <c r="D895" s="99" t="b">
        <v>0</v>
      </c>
      <c r="E895" s="94" t="s">
        <v>919</v>
      </c>
      <c r="F895" s="92" t="s">
        <v>917</v>
      </c>
      <c r="G895" s="92" t="s">
        <v>78</v>
      </c>
      <c r="H895" s="93">
        <v>72</v>
      </c>
      <c r="I895" s="93">
        <v>210</v>
      </c>
      <c r="J895" s="93">
        <v>30.48</v>
      </c>
      <c r="K895" s="93" t="s">
        <v>78</v>
      </c>
      <c r="L895" s="101">
        <v>813</v>
      </c>
      <c r="M895" s="101">
        <v>0</v>
      </c>
      <c r="N895" s="101">
        <v>1.5427627478229654E+19</v>
      </c>
    </row>
    <row r="896" spans="4:14" ht="15" customHeight="1">
      <c r="D896" s="99" t="b">
        <v>0</v>
      </c>
      <c r="E896" s="94" t="s">
        <v>920</v>
      </c>
      <c r="F896" s="92" t="s">
        <v>917</v>
      </c>
      <c r="G896" s="92" t="s">
        <v>78</v>
      </c>
      <c r="H896" s="93">
        <v>70</v>
      </c>
      <c r="I896" s="93">
        <v>176</v>
      </c>
      <c r="J896" s="93">
        <v>27.12</v>
      </c>
      <c r="K896" s="93" t="s">
        <v>78</v>
      </c>
      <c r="L896" s="101">
        <v>814</v>
      </c>
      <c r="M896" s="101">
        <v>0</v>
      </c>
      <c r="N896" s="101">
        <v>1.952312225982912E+18</v>
      </c>
    </row>
    <row r="897" spans="4:14" ht="15" customHeight="1">
      <c r="D897" s="99" t="b">
        <v>0</v>
      </c>
      <c r="E897" s="94" t="s">
        <v>921</v>
      </c>
      <c r="F897" s="92" t="s">
        <v>917</v>
      </c>
      <c r="G897" s="92" t="s">
        <v>82</v>
      </c>
      <c r="H897" s="93">
        <v>72</v>
      </c>
      <c r="I897" s="93">
        <v>260</v>
      </c>
      <c r="J897" s="93">
        <v>22.81</v>
      </c>
      <c r="K897" s="93" t="s">
        <v>83</v>
      </c>
      <c r="L897" s="101">
        <v>815</v>
      </c>
      <c r="M897" s="101">
        <v>0</v>
      </c>
      <c r="N897" s="101">
        <v>3.9689145687460772E+18</v>
      </c>
    </row>
    <row r="898" spans="4:14" ht="15" customHeight="1">
      <c r="D898" s="99" t="b">
        <v>0</v>
      </c>
      <c r="E898" s="94" t="s">
        <v>922</v>
      </c>
      <c r="F898" s="92" t="s">
        <v>917</v>
      </c>
      <c r="G898" s="92" t="s">
        <v>86</v>
      </c>
      <c r="H898" s="93">
        <v>72</v>
      </c>
      <c r="I898" s="93">
        <v>195</v>
      </c>
      <c r="J898" s="93">
        <v>24.46</v>
      </c>
      <c r="K898" s="93" t="s">
        <v>83</v>
      </c>
      <c r="L898" s="101">
        <v>816</v>
      </c>
      <c r="M898" s="101">
        <v>0</v>
      </c>
      <c r="N898" s="101">
        <v>1.2654619962203189E+19</v>
      </c>
    </row>
    <row r="899" spans="4:14" ht="15" customHeight="1">
      <c r="D899" s="99" t="b">
        <v>0</v>
      </c>
      <c r="E899" s="94" t="s">
        <v>923</v>
      </c>
      <c r="F899" s="92" t="s">
        <v>917</v>
      </c>
      <c r="G899" s="92" t="s">
        <v>86</v>
      </c>
      <c r="H899" s="93">
        <v>73</v>
      </c>
      <c r="I899" s="93">
        <v>190</v>
      </c>
      <c r="J899" s="93">
        <v>34.729999999999997</v>
      </c>
      <c r="K899" s="93" t="s">
        <v>83</v>
      </c>
      <c r="L899" s="101">
        <v>817</v>
      </c>
      <c r="M899" s="101">
        <v>0</v>
      </c>
      <c r="N899" s="101">
        <v>1.8083802849406149E+19</v>
      </c>
    </row>
    <row r="900" spans="4:14" ht="15" customHeight="1">
      <c r="D900" s="99" t="b">
        <v>0</v>
      </c>
      <c r="E900" s="94" t="s">
        <v>924</v>
      </c>
      <c r="F900" s="92" t="s">
        <v>917</v>
      </c>
      <c r="G900" s="92" t="s">
        <v>88</v>
      </c>
      <c r="H900" s="93">
        <v>72</v>
      </c>
      <c r="I900" s="93">
        <v>184</v>
      </c>
      <c r="J900" s="93">
        <v>36.53</v>
      </c>
      <c r="K900" s="93" t="s">
        <v>83</v>
      </c>
      <c r="L900" s="101">
        <v>818</v>
      </c>
      <c r="M900" s="101">
        <v>0</v>
      </c>
      <c r="N900" s="101">
        <v>5.4371732531797084E+18</v>
      </c>
    </row>
    <row r="901" spans="4:14" ht="15" customHeight="1">
      <c r="D901" s="99" t="b">
        <v>0</v>
      </c>
      <c r="E901" s="94" t="s">
        <v>925</v>
      </c>
      <c r="F901" s="92" t="s">
        <v>917</v>
      </c>
      <c r="G901" s="92" t="s">
        <v>88</v>
      </c>
      <c r="H901" s="93">
        <v>74</v>
      </c>
      <c r="I901" s="93">
        <v>180</v>
      </c>
      <c r="J901" s="93">
        <v>24.53</v>
      </c>
      <c r="K901" s="93" t="s">
        <v>83</v>
      </c>
      <c r="L901" s="101">
        <v>819</v>
      </c>
      <c r="M901" s="101">
        <v>0</v>
      </c>
      <c r="N901" s="101">
        <v>8.3936406320672717E+18</v>
      </c>
    </row>
    <row r="902" spans="4:14" ht="15" customHeight="1">
      <c r="D902" s="99" t="b">
        <v>0</v>
      </c>
      <c r="E902" s="94" t="s">
        <v>926</v>
      </c>
      <c r="F902" s="92" t="s">
        <v>917</v>
      </c>
      <c r="G902" s="92" t="s">
        <v>88</v>
      </c>
      <c r="H902" s="93">
        <v>72</v>
      </c>
      <c r="I902" s="93">
        <v>195</v>
      </c>
      <c r="J902" s="93">
        <v>27.17</v>
      </c>
      <c r="K902" s="93" t="s">
        <v>83</v>
      </c>
      <c r="L902" s="101">
        <v>820</v>
      </c>
      <c r="M902" s="101">
        <v>0</v>
      </c>
      <c r="N902" s="101">
        <v>1.6575038301297406E+19</v>
      </c>
    </row>
    <row r="903" spans="4:14" ht="15" customHeight="1">
      <c r="D903" s="99" t="b">
        <v>0</v>
      </c>
      <c r="E903" s="94" t="s">
        <v>927</v>
      </c>
      <c r="F903" s="92" t="s">
        <v>917</v>
      </c>
      <c r="G903" s="92" t="s">
        <v>90</v>
      </c>
      <c r="H903" s="93">
        <v>72</v>
      </c>
      <c r="I903" s="93">
        <v>195</v>
      </c>
      <c r="J903" s="93">
        <v>26.9</v>
      </c>
      <c r="K903" s="93" t="s">
        <v>83</v>
      </c>
      <c r="L903" s="101">
        <v>821</v>
      </c>
      <c r="M903" s="101">
        <v>0</v>
      </c>
      <c r="N903" s="101">
        <v>1.8200938183469345E+19</v>
      </c>
    </row>
    <row r="904" spans="4:14" ht="15" customHeight="1">
      <c r="D904" s="99" t="b">
        <v>0</v>
      </c>
      <c r="E904" s="94" t="s">
        <v>928</v>
      </c>
      <c r="F904" s="92" t="s">
        <v>917</v>
      </c>
      <c r="G904" s="92" t="s">
        <v>90</v>
      </c>
      <c r="H904" s="93">
        <v>75</v>
      </c>
      <c r="I904" s="93">
        <v>219</v>
      </c>
      <c r="J904" s="93">
        <v>33.67</v>
      </c>
      <c r="K904" s="93" t="s">
        <v>83</v>
      </c>
      <c r="L904" s="101">
        <v>822</v>
      </c>
      <c r="M904" s="101">
        <v>0</v>
      </c>
      <c r="N904" s="101">
        <v>8.8009584798755021E+18</v>
      </c>
    </row>
    <row r="905" spans="4:14" ht="15" customHeight="1">
      <c r="D905" s="99" t="b">
        <v>0</v>
      </c>
      <c r="E905" s="94" t="s">
        <v>929</v>
      </c>
      <c r="F905" s="92" t="s">
        <v>917</v>
      </c>
      <c r="G905" s="92" t="s">
        <v>93</v>
      </c>
      <c r="H905" s="93">
        <v>72</v>
      </c>
      <c r="I905" s="93">
        <v>225</v>
      </c>
      <c r="J905" s="93">
        <v>29.14</v>
      </c>
      <c r="K905" s="93" t="s">
        <v>93</v>
      </c>
      <c r="L905" s="101">
        <v>823</v>
      </c>
      <c r="M905" s="101">
        <v>0</v>
      </c>
      <c r="N905" s="101">
        <v>9.5325983578535608E+18</v>
      </c>
    </row>
    <row r="906" spans="4:14" ht="15" customHeight="1">
      <c r="D906" s="99" t="b">
        <v>0</v>
      </c>
      <c r="E906" s="94" t="s">
        <v>930</v>
      </c>
      <c r="F906" s="92" t="s">
        <v>917</v>
      </c>
      <c r="G906" s="92" t="s">
        <v>93</v>
      </c>
      <c r="H906" s="93">
        <v>73</v>
      </c>
      <c r="I906" s="93">
        <v>212</v>
      </c>
      <c r="J906" s="93">
        <v>32.61</v>
      </c>
      <c r="K906" s="93" t="s">
        <v>93</v>
      </c>
      <c r="L906" s="101">
        <v>824</v>
      </c>
      <c r="M906" s="101">
        <v>0</v>
      </c>
      <c r="N906" s="101">
        <v>5.8196689500432722E+18</v>
      </c>
    </row>
    <row r="907" spans="4:14" ht="15" customHeight="1">
      <c r="D907" s="99" t="b">
        <v>0</v>
      </c>
      <c r="E907" s="94" t="s">
        <v>931</v>
      </c>
      <c r="F907" s="92" t="s">
        <v>917</v>
      </c>
      <c r="G907" s="92" t="s">
        <v>93</v>
      </c>
      <c r="H907" s="93">
        <v>74</v>
      </c>
      <c r="I907" s="93">
        <v>202</v>
      </c>
      <c r="J907" s="93">
        <v>33.869999999999997</v>
      </c>
      <c r="K907" s="93" t="s">
        <v>93</v>
      </c>
      <c r="L907" s="101">
        <v>825</v>
      </c>
      <c r="M907" s="101">
        <v>0</v>
      </c>
      <c r="N907" s="101">
        <v>3.282424109109502E+18</v>
      </c>
    </row>
    <row r="908" spans="4:14" ht="15" customHeight="1">
      <c r="D908" s="99" t="b">
        <v>0</v>
      </c>
      <c r="E908" s="94" t="s">
        <v>932</v>
      </c>
      <c r="F908" s="92" t="s">
        <v>917</v>
      </c>
      <c r="G908" s="92" t="s">
        <v>93</v>
      </c>
      <c r="H908" s="93">
        <v>72</v>
      </c>
      <c r="I908" s="93">
        <v>185</v>
      </c>
      <c r="J908" s="93">
        <v>24.41</v>
      </c>
      <c r="K908" s="93" t="s">
        <v>93</v>
      </c>
      <c r="L908" s="101">
        <v>826</v>
      </c>
      <c r="M908" s="101">
        <v>0</v>
      </c>
      <c r="N908" s="101">
        <v>1.5337086267759731E+19</v>
      </c>
    </row>
    <row r="909" spans="4:14" ht="15" customHeight="1">
      <c r="D909" s="99" t="b">
        <v>0</v>
      </c>
      <c r="E909" s="94" t="s">
        <v>933</v>
      </c>
      <c r="F909" s="92" t="s">
        <v>917</v>
      </c>
      <c r="G909" s="92" t="s">
        <v>93</v>
      </c>
      <c r="H909" s="93">
        <v>78</v>
      </c>
      <c r="I909" s="93">
        <v>200</v>
      </c>
      <c r="J909" s="93">
        <v>24.94</v>
      </c>
      <c r="K909" s="93" t="s">
        <v>93</v>
      </c>
      <c r="L909" s="101">
        <v>827</v>
      </c>
      <c r="M909" s="101">
        <v>0</v>
      </c>
      <c r="N909" s="101">
        <v>9.8565081815471091E+17</v>
      </c>
    </row>
    <row r="910" spans="4:14" ht="15" customHeight="1">
      <c r="D910" s="99" t="b">
        <v>0</v>
      </c>
      <c r="E910" s="94" t="s">
        <v>934</v>
      </c>
      <c r="F910" s="92" t="s">
        <v>917</v>
      </c>
      <c r="G910" s="92" t="s">
        <v>93</v>
      </c>
      <c r="H910" s="93">
        <v>75</v>
      </c>
      <c r="I910" s="93">
        <v>209</v>
      </c>
      <c r="J910" s="93">
        <v>27.36</v>
      </c>
      <c r="K910" s="93" t="s">
        <v>93</v>
      </c>
      <c r="L910" s="101">
        <v>828</v>
      </c>
      <c r="M910" s="101">
        <v>0</v>
      </c>
      <c r="N910" s="101">
        <v>6.8930867323126753E+18</v>
      </c>
    </row>
    <row r="911" spans="4:14" ht="15" customHeight="1">
      <c r="D911" s="99" t="b">
        <v>0</v>
      </c>
      <c r="E911" s="94" t="s">
        <v>935</v>
      </c>
      <c r="F911" s="92" t="s">
        <v>917</v>
      </c>
      <c r="G911" s="92" t="s">
        <v>93</v>
      </c>
      <c r="H911" s="93">
        <v>72</v>
      </c>
      <c r="I911" s="93">
        <v>200</v>
      </c>
      <c r="J911" s="93">
        <v>26.33</v>
      </c>
      <c r="K911" s="93" t="s">
        <v>93</v>
      </c>
      <c r="L911" s="101">
        <v>829</v>
      </c>
      <c r="M911" s="101">
        <v>0</v>
      </c>
      <c r="N911" s="101">
        <v>1.8020671616422826E+19</v>
      </c>
    </row>
    <row r="912" spans="4:14" ht="15" customHeight="1">
      <c r="D912" s="99" t="b">
        <v>0</v>
      </c>
      <c r="E912" s="94" t="s">
        <v>936</v>
      </c>
      <c r="F912" s="92" t="s">
        <v>917</v>
      </c>
      <c r="G912" s="92" t="s">
        <v>93</v>
      </c>
      <c r="H912" s="93">
        <v>74</v>
      </c>
      <c r="I912" s="93">
        <v>195</v>
      </c>
      <c r="J912" s="93">
        <v>25.72</v>
      </c>
      <c r="K912" s="93" t="s">
        <v>93</v>
      </c>
      <c r="L912" s="101">
        <v>830</v>
      </c>
      <c r="M912" s="101">
        <v>0</v>
      </c>
      <c r="N912" s="101">
        <v>1.0033824450809549E+19</v>
      </c>
    </row>
    <row r="913" spans="4:14" ht="15" customHeight="1">
      <c r="D913" s="99" t="b">
        <v>0</v>
      </c>
      <c r="E913" s="94" t="s">
        <v>937</v>
      </c>
      <c r="F913" s="92" t="s">
        <v>917</v>
      </c>
      <c r="G913" s="92" t="s">
        <v>101</v>
      </c>
      <c r="H913" s="93">
        <v>75</v>
      </c>
      <c r="I913" s="93">
        <v>228</v>
      </c>
      <c r="J913" s="93">
        <v>28.7</v>
      </c>
      <c r="K913" s="93" t="s">
        <v>75</v>
      </c>
      <c r="L913" s="101">
        <v>831</v>
      </c>
      <c r="M913" s="101">
        <v>0</v>
      </c>
      <c r="N913" s="101">
        <v>1.3766880785022136E+19</v>
      </c>
    </row>
    <row r="914" spans="4:14" ht="15" customHeight="1">
      <c r="D914" s="99" t="b">
        <v>0</v>
      </c>
      <c r="E914" s="94" t="s">
        <v>938</v>
      </c>
      <c r="F914" s="92" t="s">
        <v>917</v>
      </c>
      <c r="G914" s="92" t="s">
        <v>101</v>
      </c>
      <c r="H914" s="93">
        <v>75</v>
      </c>
      <c r="I914" s="93">
        <v>210</v>
      </c>
      <c r="J914" s="93">
        <v>28.53</v>
      </c>
      <c r="K914" s="93" t="s">
        <v>75</v>
      </c>
      <c r="L914" s="101">
        <v>832</v>
      </c>
      <c r="M914" s="101">
        <v>0</v>
      </c>
      <c r="N914" s="101">
        <v>9.4690816915943793E+18</v>
      </c>
    </row>
    <row r="915" spans="4:14" ht="15" customHeight="1">
      <c r="D915" s="99" t="b">
        <v>0</v>
      </c>
      <c r="E915" s="94" t="s">
        <v>939</v>
      </c>
      <c r="F915" s="92" t="s">
        <v>917</v>
      </c>
      <c r="G915" s="92" t="s">
        <v>101</v>
      </c>
      <c r="H915" s="93">
        <v>76</v>
      </c>
      <c r="I915" s="93">
        <v>190</v>
      </c>
      <c r="J915" s="93">
        <v>26.07</v>
      </c>
      <c r="K915" s="93" t="s">
        <v>75</v>
      </c>
      <c r="L915" s="101">
        <v>833</v>
      </c>
      <c r="M915" s="101">
        <v>0</v>
      </c>
      <c r="N915" s="101">
        <v>1.1217849391318006E+19</v>
      </c>
    </row>
    <row r="916" spans="4:14" ht="15" customHeight="1">
      <c r="D916" s="99" t="b">
        <v>0</v>
      </c>
      <c r="E916" s="94" t="s">
        <v>940</v>
      </c>
      <c r="F916" s="92" t="s">
        <v>917</v>
      </c>
      <c r="G916" s="92" t="s">
        <v>101</v>
      </c>
      <c r="H916" s="93">
        <v>74</v>
      </c>
      <c r="I916" s="93">
        <v>212</v>
      </c>
      <c r="J916" s="93">
        <v>27.31</v>
      </c>
      <c r="K916" s="93" t="s">
        <v>75</v>
      </c>
      <c r="L916" s="101">
        <v>834</v>
      </c>
      <c r="M916" s="101">
        <v>0</v>
      </c>
      <c r="N916" s="101">
        <v>7.9592879433176433E+18</v>
      </c>
    </row>
    <row r="917" spans="4:14" ht="15" customHeight="1">
      <c r="D917" s="99" t="b">
        <v>0</v>
      </c>
      <c r="E917" s="94" t="s">
        <v>941</v>
      </c>
      <c r="F917" s="92" t="s">
        <v>917</v>
      </c>
      <c r="G917" s="92" t="s">
        <v>101</v>
      </c>
      <c r="H917" s="93">
        <v>74</v>
      </c>
      <c r="I917" s="93">
        <v>190</v>
      </c>
      <c r="J917" s="93">
        <v>23.26</v>
      </c>
      <c r="K917" s="93" t="s">
        <v>75</v>
      </c>
      <c r="L917" s="101">
        <v>835</v>
      </c>
      <c r="M917" s="101">
        <v>0</v>
      </c>
      <c r="N917" s="101">
        <v>4.5576848772539712E+17</v>
      </c>
    </row>
    <row r="918" spans="4:14" ht="15" customHeight="1">
      <c r="D918" s="99" t="b">
        <v>0</v>
      </c>
      <c r="E918" s="94" t="s">
        <v>942</v>
      </c>
      <c r="F918" s="92" t="s">
        <v>917</v>
      </c>
      <c r="G918" s="92" t="s">
        <v>101</v>
      </c>
      <c r="H918" s="93">
        <v>73</v>
      </c>
      <c r="I918" s="93">
        <v>218</v>
      </c>
      <c r="J918" s="93">
        <v>28.62</v>
      </c>
      <c r="K918" s="93" t="s">
        <v>75</v>
      </c>
      <c r="L918" s="101">
        <v>836</v>
      </c>
      <c r="M918" s="101">
        <v>0</v>
      </c>
      <c r="N918" s="101">
        <v>1.1101582216168741E+19</v>
      </c>
    </row>
    <row r="919" spans="4:14" ht="15" customHeight="1">
      <c r="D919" s="99" t="b">
        <v>0</v>
      </c>
      <c r="E919" s="94" t="s">
        <v>943</v>
      </c>
      <c r="F919" s="92" t="s">
        <v>917</v>
      </c>
      <c r="G919" s="92" t="s">
        <v>101</v>
      </c>
      <c r="H919" s="93">
        <v>74</v>
      </c>
      <c r="I919" s="93">
        <v>220</v>
      </c>
      <c r="J919" s="93">
        <v>32.159999999999997</v>
      </c>
      <c r="K919" s="93" t="s">
        <v>75</v>
      </c>
      <c r="L919" s="101">
        <v>837</v>
      </c>
      <c r="M919" s="101">
        <v>0</v>
      </c>
      <c r="N919" s="101">
        <v>1.6573174082190795E+19</v>
      </c>
    </row>
    <row r="920" spans="4:14" ht="15" customHeight="1">
      <c r="D920" s="99" t="b">
        <v>0</v>
      </c>
      <c r="E920" s="94" t="s">
        <v>944</v>
      </c>
      <c r="F920" s="92" t="s">
        <v>917</v>
      </c>
      <c r="G920" s="92" t="s">
        <v>74</v>
      </c>
      <c r="H920" s="93">
        <v>71</v>
      </c>
      <c r="I920" s="93">
        <v>190</v>
      </c>
      <c r="J920" s="93">
        <v>38.43</v>
      </c>
      <c r="K920" s="93" t="s">
        <v>75</v>
      </c>
      <c r="L920" s="101">
        <v>838</v>
      </c>
      <c r="M920" s="101">
        <v>0</v>
      </c>
      <c r="N920" s="101">
        <v>3.3941902726750054E+18</v>
      </c>
    </row>
    <row r="921" spans="4:14" ht="15" customHeight="1">
      <c r="D921" s="99" t="b">
        <v>0</v>
      </c>
      <c r="E921" s="94" t="s">
        <v>945</v>
      </c>
      <c r="F921" s="92" t="s">
        <v>917</v>
      </c>
      <c r="G921" s="92" t="s">
        <v>74</v>
      </c>
      <c r="H921" s="93">
        <v>74</v>
      </c>
      <c r="I921" s="93">
        <v>235</v>
      </c>
      <c r="J921" s="93">
        <v>31.81</v>
      </c>
      <c r="K921" s="93" t="s">
        <v>75</v>
      </c>
      <c r="L921" s="101">
        <v>839</v>
      </c>
      <c r="M921" s="101">
        <v>0</v>
      </c>
      <c r="N921" s="101">
        <v>1.2007802195983897E+19</v>
      </c>
    </row>
    <row r="922" spans="4:14" ht="15" customHeight="1">
      <c r="D922" s="99" t="b">
        <v>0</v>
      </c>
      <c r="E922" s="94" t="s">
        <v>946</v>
      </c>
      <c r="F922" s="92" t="s">
        <v>917</v>
      </c>
      <c r="G922" s="92" t="s">
        <v>74</v>
      </c>
      <c r="H922" s="93">
        <v>75</v>
      </c>
      <c r="I922" s="93">
        <v>210</v>
      </c>
      <c r="J922" s="93">
        <v>29.1</v>
      </c>
      <c r="K922" s="93" t="s">
        <v>75</v>
      </c>
      <c r="L922" s="101">
        <v>840</v>
      </c>
      <c r="M922" s="101">
        <v>0</v>
      </c>
      <c r="N922" s="101">
        <v>1.6878988431781814E+19</v>
      </c>
    </row>
    <row r="923" spans="4:14" ht="15" customHeight="1">
      <c r="D923" s="99" t="b">
        <v>0</v>
      </c>
      <c r="E923" s="94" t="s">
        <v>947</v>
      </c>
      <c r="F923" s="92" t="s">
        <v>917</v>
      </c>
      <c r="G923" s="92" t="s">
        <v>74</v>
      </c>
      <c r="H923" s="93">
        <v>76</v>
      </c>
      <c r="I923" s="93">
        <v>200</v>
      </c>
      <c r="J923" s="93">
        <v>31.28</v>
      </c>
      <c r="K923" s="93" t="s">
        <v>75</v>
      </c>
      <c r="L923" s="101">
        <v>841</v>
      </c>
      <c r="M923" s="101">
        <v>0</v>
      </c>
      <c r="N923" s="101">
        <v>1.7488242485829818E+19</v>
      </c>
    </row>
    <row r="924" spans="4:14" ht="15" customHeight="1">
      <c r="D924" s="99" t="b">
        <v>0</v>
      </c>
      <c r="E924" s="94" t="s">
        <v>948</v>
      </c>
      <c r="F924" s="92" t="s">
        <v>917</v>
      </c>
      <c r="G924" s="92" t="s">
        <v>74</v>
      </c>
      <c r="H924" s="93">
        <v>74</v>
      </c>
      <c r="I924" s="93">
        <v>188</v>
      </c>
      <c r="J924" s="93">
        <v>29.17</v>
      </c>
      <c r="K924" s="93" t="s">
        <v>75</v>
      </c>
      <c r="L924" s="101">
        <v>842</v>
      </c>
      <c r="M924" s="101">
        <v>0</v>
      </c>
      <c r="N924" s="101">
        <v>1.5607377142287999E+19</v>
      </c>
    </row>
    <row r="925" spans="4:14" ht="15" customHeight="1">
      <c r="D925" s="99" t="b">
        <v>0</v>
      </c>
      <c r="E925" s="94" t="s">
        <v>949</v>
      </c>
      <c r="F925" s="92" t="s">
        <v>917</v>
      </c>
      <c r="G925" s="92" t="s">
        <v>74</v>
      </c>
      <c r="H925" s="93">
        <v>76</v>
      </c>
      <c r="I925" s="93">
        <v>210</v>
      </c>
      <c r="J925" s="93">
        <v>25.89</v>
      </c>
      <c r="K925" s="93" t="s">
        <v>75</v>
      </c>
      <c r="L925" s="101">
        <v>843</v>
      </c>
      <c r="M925" s="101">
        <v>0</v>
      </c>
      <c r="N925" s="101">
        <v>1.6609769747773002E+19</v>
      </c>
    </row>
    <row r="926" spans="4:14" ht="15" customHeight="1">
      <c r="D926" s="99" t="b">
        <v>0</v>
      </c>
      <c r="E926" s="94" t="s">
        <v>950</v>
      </c>
      <c r="F926" s="92" t="s">
        <v>917</v>
      </c>
      <c r="G926" s="92" t="s">
        <v>74</v>
      </c>
      <c r="H926" s="93">
        <v>76</v>
      </c>
      <c r="I926" s="93">
        <v>235</v>
      </c>
      <c r="J926" s="93">
        <v>26.13</v>
      </c>
      <c r="K926" s="93" t="s">
        <v>75</v>
      </c>
      <c r="L926" s="101">
        <v>844</v>
      </c>
      <c r="M926" s="101">
        <v>0</v>
      </c>
      <c r="N926" s="101">
        <v>1.3893609126443928E+19</v>
      </c>
    </row>
    <row r="927" spans="4:14" ht="15" customHeight="1">
      <c r="D927" s="99" t="b">
        <v>0</v>
      </c>
      <c r="E927" s="94" t="s">
        <v>951</v>
      </c>
      <c r="F927" s="92" t="s">
        <v>917</v>
      </c>
      <c r="G927" s="92" t="s">
        <v>74</v>
      </c>
      <c r="H927" s="93">
        <v>73</v>
      </c>
      <c r="I927" s="93">
        <v>188</v>
      </c>
      <c r="J927" s="93">
        <v>29.13</v>
      </c>
      <c r="K927" s="93" t="s">
        <v>75</v>
      </c>
      <c r="L927" s="101">
        <v>845</v>
      </c>
      <c r="M927" s="101">
        <v>0</v>
      </c>
      <c r="N927" s="101">
        <v>3.6362428862376289E+18</v>
      </c>
    </row>
    <row r="928" spans="4:14" ht="15" customHeight="1">
      <c r="D928" s="99" t="b">
        <v>0</v>
      </c>
      <c r="E928" s="94" t="s">
        <v>952</v>
      </c>
      <c r="F928" s="92" t="s">
        <v>953</v>
      </c>
      <c r="G928" s="92" t="s">
        <v>78</v>
      </c>
      <c r="H928" s="93">
        <v>75</v>
      </c>
      <c r="I928" s="93">
        <v>215</v>
      </c>
      <c r="J928" s="93">
        <v>28.92</v>
      </c>
      <c r="K928" s="93" t="s">
        <v>78</v>
      </c>
      <c r="L928" s="101">
        <v>846</v>
      </c>
      <c r="M928" s="101">
        <v>0</v>
      </c>
      <c r="N928" s="101">
        <v>2.9067113431581357E+17</v>
      </c>
    </row>
    <row r="929" spans="4:14" ht="15" customHeight="1">
      <c r="D929" s="99" t="b">
        <v>0</v>
      </c>
      <c r="E929" s="94" t="s">
        <v>954</v>
      </c>
      <c r="F929" s="92" t="s">
        <v>953</v>
      </c>
      <c r="G929" s="92" t="s">
        <v>78</v>
      </c>
      <c r="H929" s="93">
        <v>75</v>
      </c>
      <c r="I929" s="93">
        <v>216</v>
      </c>
      <c r="J929" s="93">
        <v>26.01</v>
      </c>
      <c r="K929" s="93" t="s">
        <v>78</v>
      </c>
      <c r="L929" s="101">
        <v>847</v>
      </c>
      <c r="M929" s="101">
        <v>0</v>
      </c>
      <c r="N929" s="101">
        <v>9.9944461249669857E+18</v>
      </c>
    </row>
    <row r="930" spans="4:14" ht="15" customHeight="1">
      <c r="D930" s="99" t="b">
        <v>0</v>
      </c>
      <c r="E930" s="94" t="s">
        <v>955</v>
      </c>
      <c r="F930" s="92" t="s">
        <v>953</v>
      </c>
      <c r="G930" s="92" t="s">
        <v>82</v>
      </c>
      <c r="H930" s="93">
        <v>74</v>
      </c>
      <c r="I930" s="93">
        <v>220</v>
      </c>
      <c r="J930" s="93">
        <v>24.81</v>
      </c>
      <c r="K930" s="93" t="s">
        <v>83</v>
      </c>
      <c r="L930" s="101">
        <v>848</v>
      </c>
      <c r="M930" s="101">
        <v>0</v>
      </c>
      <c r="N930" s="101">
        <v>6.1623396057173176E+18</v>
      </c>
    </row>
    <row r="931" spans="4:14" ht="15" customHeight="1">
      <c r="D931" s="99" t="b">
        <v>0</v>
      </c>
      <c r="E931" s="94" t="s">
        <v>956</v>
      </c>
      <c r="F931" s="92" t="s">
        <v>953</v>
      </c>
      <c r="G931" s="92" t="s">
        <v>86</v>
      </c>
      <c r="H931" s="93">
        <v>68</v>
      </c>
      <c r="I931" s="93">
        <v>180</v>
      </c>
      <c r="J931" s="93">
        <v>28.79</v>
      </c>
      <c r="K931" s="93" t="s">
        <v>83</v>
      </c>
      <c r="L931" s="101">
        <v>849</v>
      </c>
      <c r="M931" s="101">
        <v>0</v>
      </c>
      <c r="N931" s="101">
        <v>1.7230588714088217E+19</v>
      </c>
    </row>
    <row r="932" spans="4:14" ht="15" customHeight="1">
      <c r="D932" s="99" t="b">
        <v>0</v>
      </c>
      <c r="E932" s="94" t="s">
        <v>957</v>
      </c>
      <c r="F932" s="92" t="s">
        <v>953</v>
      </c>
      <c r="G932" s="92" t="s">
        <v>86</v>
      </c>
      <c r="H932" s="93">
        <v>72</v>
      </c>
      <c r="I932" s="93">
        <v>185</v>
      </c>
      <c r="J932" s="93">
        <v>33.770000000000003</v>
      </c>
      <c r="K932" s="93" t="s">
        <v>83</v>
      </c>
      <c r="L932" s="101">
        <v>850</v>
      </c>
      <c r="M932" s="101">
        <v>0</v>
      </c>
      <c r="N932" s="101">
        <v>7.9326244544001597E+18</v>
      </c>
    </row>
    <row r="933" spans="4:14" ht="15" customHeight="1">
      <c r="D933" s="99" t="b">
        <v>0</v>
      </c>
      <c r="E933" s="94" t="s">
        <v>958</v>
      </c>
      <c r="F933" s="92" t="s">
        <v>953</v>
      </c>
      <c r="G933" s="92" t="s">
        <v>88</v>
      </c>
      <c r="H933" s="93">
        <v>75</v>
      </c>
      <c r="I933" s="93">
        <v>200</v>
      </c>
      <c r="J933" s="93">
        <v>33.85</v>
      </c>
      <c r="K933" s="93" t="s">
        <v>83</v>
      </c>
      <c r="L933" s="101">
        <v>851</v>
      </c>
      <c r="M933" s="101">
        <v>0</v>
      </c>
      <c r="N933" s="101">
        <v>8.5130001706823537E+18</v>
      </c>
    </row>
    <row r="934" spans="4:14" ht="15" customHeight="1">
      <c r="D934" s="99" t="b">
        <v>0</v>
      </c>
      <c r="E934" s="94" t="s">
        <v>959</v>
      </c>
      <c r="F934" s="92" t="s">
        <v>953</v>
      </c>
      <c r="G934" s="92" t="s">
        <v>88</v>
      </c>
      <c r="H934" s="93">
        <v>71</v>
      </c>
      <c r="I934" s="93">
        <v>210</v>
      </c>
      <c r="J934" s="93">
        <v>27.36</v>
      </c>
      <c r="K934" s="93" t="s">
        <v>83</v>
      </c>
      <c r="L934" s="101">
        <v>852</v>
      </c>
      <c r="M934" s="101">
        <v>0</v>
      </c>
      <c r="N934" s="101">
        <v>1.4462851739894166E+19</v>
      </c>
    </row>
    <row r="935" spans="4:14" ht="15" customHeight="1">
      <c r="D935" s="99" t="b">
        <v>0</v>
      </c>
      <c r="E935" s="94" t="s">
        <v>960</v>
      </c>
      <c r="F935" s="92" t="s">
        <v>953</v>
      </c>
      <c r="G935" s="92" t="s">
        <v>93</v>
      </c>
      <c r="H935" s="93">
        <v>70</v>
      </c>
      <c r="I935" s="93">
        <v>220</v>
      </c>
      <c r="J935" s="93">
        <v>26.01</v>
      </c>
      <c r="K935" s="93" t="s">
        <v>93</v>
      </c>
      <c r="L935" s="101">
        <v>853</v>
      </c>
      <c r="M935" s="101">
        <v>0</v>
      </c>
      <c r="N935" s="101">
        <v>6.3092169419678935E+18</v>
      </c>
    </row>
    <row r="936" spans="4:14" ht="15" customHeight="1">
      <c r="D936" s="99" t="b">
        <v>0</v>
      </c>
      <c r="E936" s="94" t="s">
        <v>961</v>
      </c>
      <c r="F936" s="92" t="s">
        <v>953</v>
      </c>
      <c r="G936" s="92" t="s">
        <v>93</v>
      </c>
      <c r="H936" s="93">
        <v>72</v>
      </c>
      <c r="I936" s="93">
        <v>185</v>
      </c>
      <c r="J936" s="93">
        <v>29.95</v>
      </c>
      <c r="K936" s="93" t="s">
        <v>93</v>
      </c>
      <c r="L936" s="101">
        <v>854</v>
      </c>
      <c r="M936" s="101">
        <v>0</v>
      </c>
      <c r="N936" s="101">
        <v>1.4091429260954157E+19</v>
      </c>
    </row>
    <row r="937" spans="4:14" ht="15" customHeight="1">
      <c r="D937" s="99" t="b">
        <v>0</v>
      </c>
      <c r="E937" s="94" t="s">
        <v>962</v>
      </c>
      <c r="F937" s="92" t="s">
        <v>953</v>
      </c>
      <c r="G937" s="92" t="s">
        <v>93</v>
      </c>
      <c r="H937" s="93">
        <v>73</v>
      </c>
      <c r="I937" s="93">
        <v>231</v>
      </c>
      <c r="J937" s="93">
        <v>28.12</v>
      </c>
      <c r="K937" s="93" t="s">
        <v>93</v>
      </c>
      <c r="L937" s="101">
        <v>855</v>
      </c>
      <c r="M937" s="101">
        <v>0</v>
      </c>
      <c r="N937" s="101">
        <v>2.6304217619819254E+18</v>
      </c>
    </row>
    <row r="938" spans="4:14" ht="15" customHeight="1">
      <c r="D938" s="99" t="b">
        <v>0</v>
      </c>
      <c r="E938" s="94" t="s">
        <v>963</v>
      </c>
      <c r="F938" s="92" t="s">
        <v>953</v>
      </c>
      <c r="G938" s="92" t="s">
        <v>93</v>
      </c>
      <c r="H938" s="93">
        <v>72</v>
      </c>
      <c r="I938" s="93">
        <v>210</v>
      </c>
      <c r="J938" s="93">
        <v>32.869999999999997</v>
      </c>
      <c r="K938" s="93" t="s">
        <v>93</v>
      </c>
      <c r="L938" s="101">
        <v>856</v>
      </c>
      <c r="M938" s="101">
        <v>0</v>
      </c>
      <c r="N938" s="101">
        <v>8.0428689279391242E+18</v>
      </c>
    </row>
    <row r="939" spans="4:14" ht="15" customHeight="1">
      <c r="D939" s="99" t="b">
        <v>0</v>
      </c>
      <c r="E939" s="94" t="s">
        <v>964</v>
      </c>
      <c r="F939" s="92" t="s">
        <v>953</v>
      </c>
      <c r="G939" s="92" t="s">
        <v>93</v>
      </c>
      <c r="H939" s="93">
        <v>75</v>
      </c>
      <c r="I939" s="93">
        <v>195</v>
      </c>
      <c r="J939" s="93">
        <v>31.2</v>
      </c>
      <c r="K939" s="93" t="s">
        <v>93</v>
      </c>
      <c r="L939" s="101">
        <v>857</v>
      </c>
      <c r="M939" s="101">
        <v>0</v>
      </c>
      <c r="N939" s="101">
        <v>9.6601174416452096E+18</v>
      </c>
    </row>
    <row r="940" spans="4:14" ht="15" customHeight="1">
      <c r="D940" s="99" t="b">
        <v>0</v>
      </c>
      <c r="E940" s="94" t="s">
        <v>965</v>
      </c>
      <c r="F940" s="92" t="s">
        <v>953</v>
      </c>
      <c r="G940" s="92" t="s">
        <v>93</v>
      </c>
      <c r="H940" s="93">
        <v>74</v>
      </c>
      <c r="I940" s="93">
        <v>200</v>
      </c>
      <c r="J940" s="93">
        <v>34.14</v>
      </c>
      <c r="K940" s="93" t="s">
        <v>93</v>
      </c>
      <c r="L940" s="101">
        <v>858</v>
      </c>
      <c r="M940" s="101">
        <v>0</v>
      </c>
      <c r="N940" s="101">
        <v>1.3492611330590657E+19</v>
      </c>
    </row>
    <row r="941" spans="4:14" ht="15" customHeight="1">
      <c r="D941" s="99" t="b">
        <v>0</v>
      </c>
      <c r="E941" s="94" t="s">
        <v>966</v>
      </c>
      <c r="F941" s="92" t="s">
        <v>953</v>
      </c>
      <c r="G941" s="92" t="s">
        <v>93</v>
      </c>
      <c r="H941" s="93">
        <v>70</v>
      </c>
      <c r="I941" s="93">
        <v>205</v>
      </c>
      <c r="J941" s="93">
        <v>36.11</v>
      </c>
      <c r="K941" s="93" t="s">
        <v>93</v>
      </c>
      <c r="L941" s="101">
        <v>859</v>
      </c>
      <c r="M941" s="101">
        <v>0</v>
      </c>
      <c r="N941" s="101">
        <v>1.5587361142302065E+19</v>
      </c>
    </row>
    <row r="942" spans="4:14" ht="15" customHeight="1">
      <c r="D942" s="99" t="b">
        <v>0</v>
      </c>
      <c r="E942" s="94" t="s">
        <v>967</v>
      </c>
      <c r="F942" s="92" t="s">
        <v>953</v>
      </c>
      <c r="G942" s="92" t="s">
        <v>101</v>
      </c>
      <c r="H942" s="93">
        <v>76</v>
      </c>
      <c r="I942" s="93">
        <v>200</v>
      </c>
      <c r="J942" s="93">
        <v>26.31</v>
      </c>
      <c r="K942" s="93" t="s">
        <v>75</v>
      </c>
      <c r="L942" s="101">
        <v>860</v>
      </c>
      <c r="M942" s="101">
        <v>0</v>
      </c>
      <c r="N942" s="101">
        <v>9.5451850198081024E+18</v>
      </c>
    </row>
    <row r="943" spans="4:14" ht="15" customHeight="1">
      <c r="D943" s="99" t="b">
        <v>0</v>
      </c>
      <c r="E943" s="94" t="s">
        <v>968</v>
      </c>
      <c r="F943" s="92" t="s">
        <v>953</v>
      </c>
      <c r="G943" s="92" t="s">
        <v>101</v>
      </c>
      <c r="H943" s="93">
        <v>71</v>
      </c>
      <c r="I943" s="93">
        <v>190</v>
      </c>
      <c r="J943" s="93">
        <v>27.5</v>
      </c>
      <c r="K943" s="93" t="s">
        <v>75</v>
      </c>
      <c r="L943" s="101">
        <v>861</v>
      </c>
      <c r="M943" s="101">
        <v>0</v>
      </c>
      <c r="N943" s="101">
        <v>6.0736371869501389E+18</v>
      </c>
    </row>
    <row r="944" spans="4:14" ht="15" customHeight="1">
      <c r="D944" s="99" t="b">
        <v>0</v>
      </c>
      <c r="E944" s="94" t="s">
        <v>72</v>
      </c>
      <c r="F944" s="92" t="s">
        <v>953</v>
      </c>
      <c r="G944" s="92" t="s">
        <v>101</v>
      </c>
      <c r="H944" s="93">
        <v>82</v>
      </c>
      <c r="I944" s="93">
        <v>250</v>
      </c>
      <c r="J944" s="93">
        <v>27.77</v>
      </c>
      <c r="K944" s="93" t="s">
        <v>75</v>
      </c>
      <c r="L944" s="101">
        <v>862</v>
      </c>
      <c r="M944" s="101">
        <v>0</v>
      </c>
      <c r="N944" s="101">
        <v>1.0614918004028539E+19</v>
      </c>
    </row>
    <row r="945" spans="4:14" ht="15" customHeight="1">
      <c r="D945" s="99" t="b">
        <v>0</v>
      </c>
      <c r="E945" s="94" t="s">
        <v>969</v>
      </c>
      <c r="F945" s="92" t="s">
        <v>953</v>
      </c>
      <c r="G945" s="92" t="s">
        <v>101</v>
      </c>
      <c r="H945" s="93">
        <v>72</v>
      </c>
      <c r="I945" s="93">
        <v>185</v>
      </c>
      <c r="J945" s="93">
        <v>40.880000000000003</v>
      </c>
      <c r="K945" s="93" t="s">
        <v>75</v>
      </c>
      <c r="L945" s="101">
        <v>863</v>
      </c>
      <c r="M945" s="101">
        <v>0</v>
      </c>
      <c r="N945" s="101">
        <v>9.5508468180609311E+18</v>
      </c>
    </row>
    <row r="946" spans="4:14" ht="15" customHeight="1">
      <c r="D946" s="99" t="b">
        <v>0</v>
      </c>
      <c r="E946" s="94" t="s">
        <v>970</v>
      </c>
      <c r="F946" s="92" t="s">
        <v>953</v>
      </c>
      <c r="G946" s="92" t="s">
        <v>101</v>
      </c>
      <c r="H946" s="93">
        <v>73</v>
      </c>
      <c r="I946" s="93">
        <v>180</v>
      </c>
      <c r="J946" s="93">
        <v>25.75</v>
      </c>
      <c r="K946" s="93" t="s">
        <v>75</v>
      </c>
      <c r="L946" s="101">
        <v>864</v>
      </c>
      <c r="M946" s="101">
        <v>0</v>
      </c>
      <c r="N946" s="101">
        <v>1.5354748370027452E+19</v>
      </c>
    </row>
    <row r="947" spans="4:14" ht="15" customHeight="1">
      <c r="D947" s="99" t="b">
        <v>0</v>
      </c>
      <c r="E947" s="94" t="s">
        <v>971</v>
      </c>
      <c r="F947" s="92" t="s">
        <v>953</v>
      </c>
      <c r="G947" s="92" t="s">
        <v>74</v>
      </c>
      <c r="H947" s="93">
        <v>74</v>
      </c>
      <c r="I947" s="93">
        <v>170</v>
      </c>
      <c r="J947" s="93">
        <v>31.41</v>
      </c>
      <c r="K947" s="93" t="s">
        <v>75</v>
      </c>
      <c r="L947" s="101">
        <v>865</v>
      </c>
      <c r="M947" s="101">
        <v>0</v>
      </c>
      <c r="N947" s="101">
        <v>9.4803976700637307E+18</v>
      </c>
    </row>
    <row r="948" spans="4:14" ht="15" customHeight="1">
      <c r="D948" s="99" t="b">
        <v>0</v>
      </c>
      <c r="E948" s="94" t="s">
        <v>972</v>
      </c>
      <c r="F948" s="92" t="s">
        <v>953</v>
      </c>
      <c r="G948" s="92" t="s">
        <v>74</v>
      </c>
      <c r="H948" s="93">
        <v>71</v>
      </c>
      <c r="I948" s="93">
        <v>180</v>
      </c>
      <c r="J948" s="93">
        <v>30.84</v>
      </c>
      <c r="K948" s="93" t="s">
        <v>75</v>
      </c>
      <c r="L948" s="101">
        <v>866</v>
      </c>
      <c r="M948" s="101">
        <v>0</v>
      </c>
      <c r="N948" s="101">
        <v>3.4006857921775375E+18</v>
      </c>
    </row>
    <row r="949" spans="4:14" ht="15" customHeight="1">
      <c r="D949" s="99" t="b">
        <v>0</v>
      </c>
      <c r="E949" s="94" t="s">
        <v>973</v>
      </c>
      <c r="F949" s="92" t="s">
        <v>953</v>
      </c>
      <c r="G949" s="92" t="s">
        <v>74</v>
      </c>
      <c r="H949" s="93">
        <v>75</v>
      </c>
      <c r="I949" s="93">
        <v>208</v>
      </c>
      <c r="J949" s="93">
        <v>30.57</v>
      </c>
      <c r="K949" s="93" t="s">
        <v>75</v>
      </c>
      <c r="L949" s="101">
        <v>867</v>
      </c>
      <c r="M949" s="101">
        <v>0</v>
      </c>
      <c r="N949" s="101">
        <v>1.4767282288524321E+19</v>
      </c>
    </row>
    <row r="950" spans="4:14" ht="15" customHeight="1">
      <c r="D950" s="99" t="b">
        <v>0</v>
      </c>
      <c r="E950" s="94" t="s">
        <v>974</v>
      </c>
      <c r="F950" s="92" t="s">
        <v>953</v>
      </c>
      <c r="G950" s="92" t="s">
        <v>74</v>
      </c>
      <c r="H950" s="93">
        <v>77</v>
      </c>
      <c r="I950" s="93">
        <v>235</v>
      </c>
      <c r="J950" s="93">
        <v>39.79</v>
      </c>
      <c r="K950" s="93" t="s">
        <v>75</v>
      </c>
      <c r="L950" s="101">
        <v>868</v>
      </c>
      <c r="M950" s="101">
        <v>0</v>
      </c>
      <c r="N950" s="101">
        <v>6.3560078769564027E+18</v>
      </c>
    </row>
    <row r="951" spans="4:14" ht="15" customHeight="1">
      <c r="D951" s="99" t="b">
        <v>0</v>
      </c>
      <c r="E951" s="94" t="s">
        <v>975</v>
      </c>
      <c r="F951" s="92" t="s">
        <v>953</v>
      </c>
      <c r="G951" s="92" t="s">
        <v>74</v>
      </c>
      <c r="H951" s="93">
        <v>72</v>
      </c>
      <c r="I951" s="93">
        <v>215</v>
      </c>
      <c r="J951" s="93">
        <v>39.380000000000003</v>
      </c>
      <c r="K951" s="93" t="s">
        <v>75</v>
      </c>
      <c r="L951" s="101">
        <v>869</v>
      </c>
      <c r="M951" s="101">
        <v>0</v>
      </c>
      <c r="N951" s="101">
        <v>9.5928342763398083E+18</v>
      </c>
    </row>
    <row r="952" spans="4:14" ht="15" customHeight="1">
      <c r="D952" s="99" t="b">
        <v>0</v>
      </c>
      <c r="E952" s="94" t="s">
        <v>976</v>
      </c>
      <c r="F952" s="92" t="s">
        <v>953</v>
      </c>
      <c r="G952" s="92" t="s">
        <v>74</v>
      </c>
      <c r="H952" s="93">
        <v>74</v>
      </c>
      <c r="I952" s="93">
        <v>244</v>
      </c>
      <c r="J952" s="93">
        <v>29.42</v>
      </c>
      <c r="K952" s="93" t="s">
        <v>75</v>
      </c>
      <c r="L952" s="101">
        <v>870</v>
      </c>
      <c r="M952" s="101">
        <v>0</v>
      </c>
      <c r="N952" s="101">
        <v>1.7059855304794888E+19</v>
      </c>
    </row>
    <row r="953" spans="4:14" ht="15" customHeight="1">
      <c r="D953" s="99" t="b">
        <v>0</v>
      </c>
      <c r="E953" s="94" t="s">
        <v>977</v>
      </c>
      <c r="F953" s="92" t="s">
        <v>953</v>
      </c>
      <c r="G953" s="92" t="s">
        <v>74</v>
      </c>
      <c r="H953" s="93">
        <v>72</v>
      </c>
      <c r="I953" s="93">
        <v>220</v>
      </c>
      <c r="J953" s="93">
        <v>26.19</v>
      </c>
      <c r="K953" s="93" t="s">
        <v>75</v>
      </c>
      <c r="L953" s="101">
        <v>871</v>
      </c>
      <c r="M953" s="101">
        <v>0</v>
      </c>
      <c r="N953" s="101">
        <v>1.5180608989423634E+19</v>
      </c>
    </row>
    <row r="954" spans="4:14" ht="15" customHeight="1">
      <c r="D954" s="99" t="b">
        <v>0</v>
      </c>
      <c r="E954" s="94" t="s">
        <v>978</v>
      </c>
      <c r="F954" s="92" t="s">
        <v>953</v>
      </c>
      <c r="G954" s="92" t="s">
        <v>74</v>
      </c>
      <c r="H954" s="93">
        <v>73</v>
      </c>
      <c r="I954" s="93">
        <v>185</v>
      </c>
      <c r="J954" s="93">
        <v>23.74</v>
      </c>
      <c r="K954" s="93" t="s">
        <v>75</v>
      </c>
      <c r="L954" s="101">
        <v>872</v>
      </c>
      <c r="M954" s="101">
        <v>0</v>
      </c>
      <c r="N954" s="101">
        <v>6.8944642160009298E+18</v>
      </c>
    </row>
    <row r="955" spans="4:14" ht="15" customHeight="1">
      <c r="D955" s="99" t="b">
        <v>0</v>
      </c>
      <c r="E955" s="94" t="s">
        <v>979</v>
      </c>
      <c r="F955" s="92" t="s">
        <v>953</v>
      </c>
      <c r="G955" s="92" t="s">
        <v>74</v>
      </c>
      <c r="H955" s="93">
        <v>78</v>
      </c>
      <c r="I955" s="93">
        <v>230</v>
      </c>
      <c r="J955" s="93">
        <v>26.03</v>
      </c>
      <c r="K955" s="93" t="s">
        <v>75</v>
      </c>
      <c r="L955" s="101">
        <v>873</v>
      </c>
      <c r="M955" s="101">
        <v>0</v>
      </c>
      <c r="N955" s="101">
        <v>3.6011810684459054E+18</v>
      </c>
    </row>
    <row r="956" spans="4:14" ht="15" customHeight="1">
      <c r="D956" s="99" t="b">
        <v>0</v>
      </c>
      <c r="E956" s="94" t="s">
        <v>980</v>
      </c>
      <c r="F956" s="92" t="s">
        <v>953</v>
      </c>
      <c r="G956" s="92" t="s">
        <v>74</v>
      </c>
      <c r="H956" s="93">
        <v>77</v>
      </c>
      <c r="I956" s="93">
        <v>190</v>
      </c>
      <c r="J956" s="93">
        <v>28.59</v>
      </c>
      <c r="K956" s="93" t="s">
        <v>75</v>
      </c>
      <c r="L956" s="101">
        <v>874</v>
      </c>
      <c r="M956" s="101">
        <v>0</v>
      </c>
      <c r="N956" s="101">
        <v>6.1190154652221481E+18</v>
      </c>
    </row>
    <row r="957" spans="4:14" ht="15" customHeight="1">
      <c r="D957" s="99" t="b">
        <v>0</v>
      </c>
      <c r="E957" s="94" t="s">
        <v>981</v>
      </c>
      <c r="F957" s="92" t="s">
        <v>953</v>
      </c>
      <c r="G957" s="92" t="s">
        <v>74</v>
      </c>
      <c r="H957" s="93">
        <v>73</v>
      </c>
      <c r="I957" s="93">
        <v>200</v>
      </c>
      <c r="J957" s="93">
        <v>26.77</v>
      </c>
      <c r="K957" s="93" t="s">
        <v>75</v>
      </c>
      <c r="L957" s="101">
        <v>875</v>
      </c>
      <c r="M957" s="101">
        <v>0</v>
      </c>
      <c r="N957" s="101">
        <v>1.4738621617832227E+19</v>
      </c>
    </row>
    <row r="958" spans="4:14" ht="15" customHeight="1">
      <c r="D958" s="99" t="b">
        <v>0</v>
      </c>
      <c r="E958" s="94" t="s">
        <v>982</v>
      </c>
      <c r="F958" s="92" t="s">
        <v>953</v>
      </c>
      <c r="G958" s="92" t="s">
        <v>74</v>
      </c>
      <c r="H958" s="93">
        <v>73</v>
      </c>
      <c r="I958" s="93">
        <v>180</v>
      </c>
      <c r="J958" s="93">
        <v>27.21</v>
      </c>
      <c r="K958" s="93" t="s">
        <v>75</v>
      </c>
      <c r="L958" s="101">
        <v>876</v>
      </c>
      <c r="M958" s="101">
        <v>0</v>
      </c>
      <c r="N958" s="101">
        <v>1.621868699602219E+19</v>
      </c>
    </row>
    <row r="959" spans="4:14" ht="15" customHeight="1">
      <c r="D959" s="99" t="b">
        <v>0</v>
      </c>
      <c r="E959" s="94" t="s">
        <v>983</v>
      </c>
      <c r="F959" s="92" t="s">
        <v>953</v>
      </c>
      <c r="G959" s="92" t="s">
        <v>74</v>
      </c>
      <c r="H959" s="93">
        <v>73</v>
      </c>
      <c r="I959" s="93">
        <v>190</v>
      </c>
      <c r="J959" s="93">
        <v>24.87</v>
      </c>
      <c r="K959" s="93" t="s">
        <v>75</v>
      </c>
      <c r="L959" s="101">
        <v>877</v>
      </c>
      <c r="M959" s="101">
        <v>0</v>
      </c>
      <c r="N959" s="101">
        <v>2.4793563724921585E+18</v>
      </c>
    </row>
    <row r="960" spans="4:14" ht="15" customHeight="1">
      <c r="D960" s="99" t="b">
        <v>0</v>
      </c>
      <c r="E960" s="94" t="s">
        <v>984</v>
      </c>
      <c r="F960" s="92" t="s">
        <v>985</v>
      </c>
      <c r="G960" s="92" t="s">
        <v>78</v>
      </c>
      <c r="H960" s="93">
        <v>73</v>
      </c>
      <c r="I960" s="93">
        <v>196</v>
      </c>
      <c r="J960" s="93">
        <v>30.26</v>
      </c>
      <c r="K960" s="93" t="s">
        <v>78</v>
      </c>
      <c r="L960" s="101">
        <v>878</v>
      </c>
      <c r="M960" s="101">
        <v>0</v>
      </c>
      <c r="N960" s="101">
        <v>2.1861759526949105E+18</v>
      </c>
    </row>
    <row r="961" spans="4:14" ht="15" customHeight="1">
      <c r="D961" s="99" t="b">
        <v>0</v>
      </c>
      <c r="E961" s="94" t="s">
        <v>986</v>
      </c>
      <c r="F961" s="92" t="s">
        <v>985</v>
      </c>
      <c r="G961" s="92" t="s">
        <v>78</v>
      </c>
      <c r="H961" s="93">
        <v>73</v>
      </c>
      <c r="I961" s="93">
        <v>180</v>
      </c>
      <c r="J961" s="93">
        <v>22.34</v>
      </c>
      <c r="K961" s="93" t="s">
        <v>78</v>
      </c>
      <c r="L961" s="101">
        <v>879</v>
      </c>
      <c r="M961" s="101">
        <v>0</v>
      </c>
      <c r="N961" s="101">
        <v>1.4053593047859745E+18</v>
      </c>
    </row>
    <row r="962" spans="4:14" ht="15" customHeight="1">
      <c r="D962" s="99" t="b">
        <v>0</v>
      </c>
      <c r="E962" s="94" t="s">
        <v>987</v>
      </c>
      <c r="F962" s="92" t="s">
        <v>985</v>
      </c>
      <c r="G962" s="92" t="s">
        <v>82</v>
      </c>
      <c r="H962" s="93">
        <v>76</v>
      </c>
      <c r="I962" s="93">
        <v>230</v>
      </c>
      <c r="J962" s="93">
        <v>26.2</v>
      </c>
      <c r="K962" s="93" t="s">
        <v>83</v>
      </c>
      <c r="L962" s="101">
        <v>880</v>
      </c>
      <c r="M962" s="101">
        <v>0</v>
      </c>
      <c r="N962" s="101">
        <v>5.5044365678189353E+18</v>
      </c>
    </row>
    <row r="963" spans="4:14" ht="15" customHeight="1">
      <c r="D963" s="99" t="b">
        <v>0</v>
      </c>
      <c r="E963" s="94" t="s">
        <v>988</v>
      </c>
      <c r="F963" s="92" t="s">
        <v>985</v>
      </c>
      <c r="G963" s="92" t="s">
        <v>82</v>
      </c>
      <c r="H963" s="93">
        <v>75</v>
      </c>
      <c r="I963" s="93">
        <v>224</v>
      </c>
      <c r="J963" s="93">
        <v>28.45</v>
      </c>
      <c r="K963" s="93" t="s">
        <v>83</v>
      </c>
      <c r="L963" s="101">
        <v>881</v>
      </c>
      <c r="M963" s="101">
        <v>0</v>
      </c>
      <c r="N963" s="101">
        <v>7.6787577314257736E+18</v>
      </c>
    </row>
    <row r="964" spans="4:14" ht="15" customHeight="1">
      <c r="D964" s="99" t="b">
        <v>0</v>
      </c>
      <c r="E964" s="94" t="s">
        <v>989</v>
      </c>
      <c r="F964" s="92" t="s">
        <v>985</v>
      </c>
      <c r="G964" s="92" t="s">
        <v>86</v>
      </c>
      <c r="H964" s="93">
        <v>70</v>
      </c>
      <c r="I964" s="93">
        <v>160</v>
      </c>
      <c r="J964" s="93">
        <v>27.63</v>
      </c>
      <c r="K964" s="93" t="s">
        <v>83</v>
      </c>
      <c r="L964" s="101">
        <v>882</v>
      </c>
      <c r="M964" s="101">
        <v>0</v>
      </c>
      <c r="N964" s="101">
        <v>1.0604760967199996E+19</v>
      </c>
    </row>
    <row r="965" spans="4:14" ht="15" customHeight="1">
      <c r="D965" s="99" t="b">
        <v>0</v>
      </c>
      <c r="E965" s="94" t="s">
        <v>990</v>
      </c>
      <c r="F965" s="92" t="s">
        <v>985</v>
      </c>
      <c r="G965" s="92" t="s">
        <v>88</v>
      </c>
      <c r="H965" s="93">
        <v>73</v>
      </c>
      <c r="I965" s="93">
        <v>178</v>
      </c>
      <c r="J965" s="93">
        <v>25.93</v>
      </c>
      <c r="K965" s="93" t="s">
        <v>83</v>
      </c>
      <c r="L965" s="101">
        <v>883</v>
      </c>
      <c r="M965" s="101">
        <v>0</v>
      </c>
      <c r="N965" s="101">
        <v>3.8077214659792809E+18</v>
      </c>
    </row>
    <row r="966" spans="4:14" ht="15" customHeight="1">
      <c r="D966" s="99" t="b">
        <v>0</v>
      </c>
      <c r="E966" s="94" t="s">
        <v>991</v>
      </c>
      <c r="F966" s="92" t="s">
        <v>985</v>
      </c>
      <c r="G966" s="92" t="s">
        <v>88</v>
      </c>
      <c r="H966" s="93">
        <v>72</v>
      </c>
      <c r="I966" s="93">
        <v>205</v>
      </c>
      <c r="J966" s="93">
        <v>28.94</v>
      </c>
      <c r="K966" s="93" t="s">
        <v>83</v>
      </c>
      <c r="L966" s="101">
        <v>884</v>
      </c>
      <c r="M966" s="101">
        <v>0</v>
      </c>
      <c r="N966" s="101">
        <v>1.8215030836867758E+19</v>
      </c>
    </row>
    <row r="967" spans="4:14" ht="15" customHeight="1">
      <c r="D967" s="99" t="b">
        <v>0</v>
      </c>
      <c r="E967" s="94" t="s">
        <v>992</v>
      </c>
      <c r="F967" s="92" t="s">
        <v>985</v>
      </c>
      <c r="G967" s="92" t="s">
        <v>88</v>
      </c>
      <c r="H967" s="93">
        <v>73</v>
      </c>
      <c r="I967" s="93">
        <v>185</v>
      </c>
      <c r="J967" s="93">
        <v>26.8</v>
      </c>
      <c r="K967" s="93" t="s">
        <v>83</v>
      </c>
      <c r="L967" s="101">
        <v>885</v>
      </c>
      <c r="M967" s="101">
        <v>0</v>
      </c>
      <c r="N967" s="101">
        <v>1.6196156425211154E+19</v>
      </c>
    </row>
    <row r="968" spans="4:14" ht="15" customHeight="1">
      <c r="D968" s="99" t="b">
        <v>0</v>
      </c>
      <c r="E968" s="94" t="s">
        <v>993</v>
      </c>
      <c r="F968" s="92" t="s">
        <v>985</v>
      </c>
      <c r="G968" s="92" t="s">
        <v>90</v>
      </c>
      <c r="H968" s="93">
        <v>75</v>
      </c>
      <c r="I968" s="93">
        <v>210</v>
      </c>
      <c r="J968" s="93">
        <v>22.42</v>
      </c>
      <c r="K968" s="93" t="s">
        <v>83</v>
      </c>
      <c r="L968" s="101">
        <v>886</v>
      </c>
      <c r="M968" s="101">
        <v>0</v>
      </c>
      <c r="N968" s="101">
        <v>4.6513207775799112E+18</v>
      </c>
    </row>
    <row r="969" spans="4:14" ht="15" customHeight="1">
      <c r="D969" s="99" t="b">
        <v>0</v>
      </c>
      <c r="E969" s="94" t="s">
        <v>994</v>
      </c>
      <c r="F969" s="92" t="s">
        <v>985</v>
      </c>
      <c r="G969" s="92" t="s">
        <v>93</v>
      </c>
      <c r="H969" s="93">
        <v>74</v>
      </c>
      <c r="I969" s="93">
        <v>180</v>
      </c>
      <c r="J969" s="93">
        <v>27.26</v>
      </c>
      <c r="K969" s="93" t="s">
        <v>93</v>
      </c>
      <c r="L969" s="101">
        <v>887</v>
      </c>
      <c r="M969" s="101">
        <v>0</v>
      </c>
      <c r="N969" s="101">
        <v>1.1926170801610015E+19</v>
      </c>
    </row>
    <row r="970" spans="4:14" ht="15" customHeight="1">
      <c r="D970" s="99" t="b">
        <v>0</v>
      </c>
      <c r="E970" s="94" t="s">
        <v>995</v>
      </c>
      <c r="F970" s="92" t="s">
        <v>985</v>
      </c>
      <c r="G970" s="92" t="s">
        <v>93</v>
      </c>
      <c r="H970" s="93">
        <v>73</v>
      </c>
      <c r="I970" s="93">
        <v>190</v>
      </c>
      <c r="J970" s="93">
        <v>28.38</v>
      </c>
      <c r="K970" s="93" t="s">
        <v>93</v>
      </c>
      <c r="L970" s="101">
        <v>888</v>
      </c>
      <c r="M970" s="101">
        <v>0</v>
      </c>
      <c r="N970" s="101">
        <v>1.0811042046304081E+18</v>
      </c>
    </row>
    <row r="971" spans="4:14" ht="15" customHeight="1">
      <c r="D971" s="99" t="b">
        <v>0</v>
      </c>
      <c r="E971" s="94" t="s">
        <v>996</v>
      </c>
      <c r="F971" s="92" t="s">
        <v>985</v>
      </c>
      <c r="G971" s="92" t="s">
        <v>93</v>
      </c>
      <c r="H971" s="93">
        <v>73</v>
      </c>
      <c r="I971" s="93">
        <v>200</v>
      </c>
      <c r="J971" s="93">
        <v>25.23</v>
      </c>
      <c r="K971" s="93" t="s">
        <v>93</v>
      </c>
      <c r="L971" s="101">
        <v>889</v>
      </c>
      <c r="M971" s="101">
        <v>0</v>
      </c>
      <c r="N971" s="101">
        <v>1.1907964503955085E+19</v>
      </c>
    </row>
    <row r="972" spans="4:14" ht="15" customHeight="1">
      <c r="D972" s="99" t="b">
        <v>0</v>
      </c>
      <c r="E972" s="94" t="s">
        <v>997</v>
      </c>
      <c r="F972" s="92" t="s">
        <v>985</v>
      </c>
      <c r="G972" s="92" t="s">
        <v>93</v>
      </c>
      <c r="H972" s="93">
        <v>76</v>
      </c>
      <c r="I972" s="93">
        <v>257</v>
      </c>
      <c r="J972" s="93">
        <v>28.16</v>
      </c>
      <c r="K972" s="93" t="s">
        <v>93</v>
      </c>
      <c r="L972" s="101">
        <v>890</v>
      </c>
      <c r="M972" s="101">
        <v>0</v>
      </c>
      <c r="N972" s="101">
        <v>1.0754875914235429E+19</v>
      </c>
    </row>
    <row r="973" spans="4:14" ht="15" customHeight="1">
      <c r="D973" s="99" t="b">
        <v>0</v>
      </c>
      <c r="E973" s="94" t="s">
        <v>998</v>
      </c>
      <c r="F973" s="92" t="s">
        <v>985</v>
      </c>
      <c r="G973" s="92" t="s">
        <v>93</v>
      </c>
      <c r="H973" s="93">
        <v>73</v>
      </c>
      <c r="I973" s="93">
        <v>190</v>
      </c>
      <c r="J973" s="93">
        <v>28.48</v>
      </c>
      <c r="K973" s="93" t="s">
        <v>93</v>
      </c>
      <c r="L973" s="101">
        <v>891</v>
      </c>
      <c r="M973" s="101">
        <v>0</v>
      </c>
      <c r="N973" s="101">
        <v>3.6545958381525827E+18</v>
      </c>
    </row>
    <row r="974" spans="4:14" ht="15" customHeight="1">
      <c r="D974" s="99" t="b">
        <v>0</v>
      </c>
      <c r="E974" s="94" t="s">
        <v>999</v>
      </c>
      <c r="F974" s="92" t="s">
        <v>985</v>
      </c>
      <c r="G974" s="92" t="s">
        <v>93</v>
      </c>
      <c r="H974" s="93">
        <v>75</v>
      </c>
      <c r="I974" s="93">
        <v>220</v>
      </c>
      <c r="J974" s="93">
        <v>26.78</v>
      </c>
      <c r="K974" s="93" t="s">
        <v>93</v>
      </c>
      <c r="L974" s="101">
        <v>892</v>
      </c>
      <c r="M974" s="101">
        <v>0</v>
      </c>
      <c r="N974" s="101">
        <v>2.9038662665637693E+18</v>
      </c>
    </row>
    <row r="975" spans="4:14" ht="15" customHeight="1">
      <c r="D975" s="99" t="b">
        <v>0</v>
      </c>
      <c r="E975" s="94" t="s">
        <v>1000</v>
      </c>
      <c r="F975" s="92" t="s">
        <v>985</v>
      </c>
      <c r="G975" s="92" t="s">
        <v>93</v>
      </c>
      <c r="H975" s="93">
        <v>70</v>
      </c>
      <c r="I975" s="93">
        <v>165</v>
      </c>
      <c r="J975" s="93">
        <v>25.24</v>
      </c>
      <c r="K975" s="93" t="s">
        <v>93</v>
      </c>
      <c r="L975" s="101">
        <v>893</v>
      </c>
      <c r="M975" s="101">
        <v>0</v>
      </c>
      <c r="N975" s="101">
        <v>1.1542672076057563E+19</v>
      </c>
    </row>
    <row r="976" spans="4:14" ht="15" customHeight="1">
      <c r="D976" s="99" t="b">
        <v>0</v>
      </c>
      <c r="E976" s="94" t="s">
        <v>1001</v>
      </c>
      <c r="F976" s="92" t="s">
        <v>985</v>
      </c>
      <c r="G976" s="92" t="s">
        <v>101</v>
      </c>
      <c r="H976" s="93">
        <v>77</v>
      </c>
      <c r="I976" s="93">
        <v>205</v>
      </c>
      <c r="J976" s="93">
        <v>27.45</v>
      </c>
      <c r="K976" s="93" t="s">
        <v>75</v>
      </c>
      <c r="L976" s="101">
        <v>894</v>
      </c>
      <c r="M976" s="101">
        <v>0</v>
      </c>
      <c r="N976" s="101">
        <v>1.7517773083136983E+19</v>
      </c>
    </row>
    <row r="977" spans="4:14" ht="15" customHeight="1">
      <c r="D977" s="99" t="b">
        <v>0</v>
      </c>
      <c r="E977" s="94" t="s">
        <v>1002</v>
      </c>
      <c r="F977" s="92" t="s">
        <v>985</v>
      </c>
      <c r="G977" s="92" t="s">
        <v>101</v>
      </c>
      <c r="H977" s="93">
        <v>72</v>
      </c>
      <c r="I977" s="93">
        <v>200</v>
      </c>
      <c r="J977" s="93">
        <v>29.05</v>
      </c>
      <c r="K977" s="93" t="s">
        <v>75</v>
      </c>
      <c r="L977" s="101">
        <v>895</v>
      </c>
      <c r="M977" s="101">
        <v>0</v>
      </c>
      <c r="N977" s="101">
        <v>1.6033773427032304E+19</v>
      </c>
    </row>
    <row r="978" spans="4:14" ht="15" customHeight="1">
      <c r="D978" s="99" t="b">
        <v>0</v>
      </c>
      <c r="E978" s="94" t="s">
        <v>1003</v>
      </c>
      <c r="F978" s="92" t="s">
        <v>985</v>
      </c>
      <c r="G978" s="92" t="s">
        <v>101</v>
      </c>
      <c r="H978" s="93">
        <v>77</v>
      </c>
      <c r="I978" s="93">
        <v>208</v>
      </c>
      <c r="J978" s="93">
        <v>29.08</v>
      </c>
      <c r="K978" s="93" t="s">
        <v>75</v>
      </c>
      <c r="L978" s="101">
        <v>896</v>
      </c>
      <c r="M978" s="101">
        <v>0</v>
      </c>
      <c r="N978" s="101">
        <v>3.6006723182526597E+18</v>
      </c>
    </row>
    <row r="979" spans="4:14" ht="15" customHeight="1">
      <c r="D979" s="99" t="b">
        <v>0</v>
      </c>
      <c r="E979" s="94" t="s">
        <v>1004</v>
      </c>
      <c r="F979" s="92" t="s">
        <v>985</v>
      </c>
      <c r="G979" s="92" t="s">
        <v>101</v>
      </c>
      <c r="H979" s="93">
        <v>74</v>
      </c>
      <c r="I979" s="93">
        <v>185</v>
      </c>
      <c r="J979" s="93">
        <v>25.84</v>
      </c>
      <c r="K979" s="93" t="s">
        <v>75</v>
      </c>
      <c r="L979" s="101">
        <v>897</v>
      </c>
      <c r="M979" s="101">
        <v>0</v>
      </c>
      <c r="N979" s="101">
        <v>4.8564453710040996E+18</v>
      </c>
    </row>
    <row r="980" spans="4:14" ht="15" customHeight="1">
      <c r="D980" s="99" t="b">
        <v>0</v>
      </c>
      <c r="E980" s="94" t="s">
        <v>1005</v>
      </c>
      <c r="F980" s="92" t="s">
        <v>985</v>
      </c>
      <c r="G980" s="92" t="s">
        <v>101</v>
      </c>
      <c r="H980" s="93">
        <v>75</v>
      </c>
      <c r="I980" s="93">
        <v>215</v>
      </c>
      <c r="J980" s="93">
        <v>25.4</v>
      </c>
      <c r="K980" s="93" t="s">
        <v>75</v>
      </c>
      <c r="L980" s="101">
        <v>898</v>
      </c>
      <c r="M980" s="101">
        <v>0</v>
      </c>
      <c r="N980" s="101">
        <v>1.032254241726796E+19</v>
      </c>
    </row>
    <row r="981" spans="4:14" ht="15" customHeight="1">
      <c r="D981" s="99" t="b">
        <v>0</v>
      </c>
      <c r="E981" s="94" t="s">
        <v>1006</v>
      </c>
      <c r="F981" s="92" t="s">
        <v>985</v>
      </c>
      <c r="G981" s="92" t="s">
        <v>101</v>
      </c>
      <c r="H981" s="93">
        <v>75</v>
      </c>
      <c r="I981" s="93">
        <v>170</v>
      </c>
      <c r="J981" s="93">
        <v>26.54</v>
      </c>
      <c r="K981" s="93" t="s">
        <v>75</v>
      </c>
      <c r="L981" s="101">
        <v>899</v>
      </c>
      <c r="M981" s="101">
        <v>0</v>
      </c>
      <c r="N981" s="101">
        <v>1.3506693537277587E+19</v>
      </c>
    </row>
    <row r="982" spans="4:14" ht="15" customHeight="1">
      <c r="D982" s="99" t="b">
        <v>0</v>
      </c>
      <c r="E982" s="94" t="s">
        <v>1007</v>
      </c>
      <c r="F982" s="92" t="s">
        <v>985</v>
      </c>
      <c r="G982" s="92" t="s">
        <v>74</v>
      </c>
      <c r="H982" s="93">
        <v>75</v>
      </c>
      <c r="I982" s="93">
        <v>235</v>
      </c>
      <c r="J982" s="93">
        <v>22.73</v>
      </c>
      <c r="K982" s="93" t="s">
        <v>75</v>
      </c>
      <c r="L982" s="101">
        <v>900</v>
      </c>
      <c r="M982" s="101">
        <v>0</v>
      </c>
      <c r="N982" s="101">
        <v>1.2463377776407831E+18</v>
      </c>
    </row>
    <row r="983" spans="4:14" ht="15" customHeight="1">
      <c r="D983" s="99" t="b">
        <v>0</v>
      </c>
      <c r="E983" s="94" t="s">
        <v>1008</v>
      </c>
      <c r="F983" s="92" t="s">
        <v>985</v>
      </c>
      <c r="G983" s="92" t="s">
        <v>74</v>
      </c>
      <c r="H983" s="93">
        <v>75</v>
      </c>
      <c r="I983" s="93">
        <v>210</v>
      </c>
      <c r="J983" s="93">
        <v>28.53</v>
      </c>
      <c r="K983" s="93" t="s">
        <v>75</v>
      </c>
      <c r="L983" s="101">
        <v>901</v>
      </c>
      <c r="M983" s="101">
        <v>0</v>
      </c>
      <c r="N983" s="101">
        <v>1.0978068801470034E+18</v>
      </c>
    </row>
    <row r="984" spans="4:14" ht="15" customHeight="1">
      <c r="D984" s="99" t="b">
        <v>0</v>
      </c>
      <c r="E984" s="94" t="s">
        <v>1009</v>
      </c>
      <c r="F984" s="92" t="s">
        <v>985</v>
      </c>
      <c r="G984" s="92" t="s">
        <v>74</v>
      </c>
      <c r="H984" s="93">
        <v>72</v>
      </c>
      <c r="I984" s="93">
        <v>170</v>
      </c>
      <c r="J984" s="93">
        <v>25.37</v>
      </c>
      <c r="K984" s="93" t="s">
        <v>75</v>
      </c>
      <c r="L984" s="101">
        <v>902</v>
      </c>
      <c r="M984" s="101">
        <v>0</v>
      </c>
      <c r="N984" s="101">
        <v>1.0074272349982181E+19</v>
      </c>
    </row>
    <row r="985" spans="4:14" ht="15" customHeight="1">
      <c r="D985" s="99" t="b">
        <v>0</v>
      </c>
      <c r="E985" s="94" t="s">
        <v>1010</v>
      </c>
      <c r="F985" s="92" t="s">
        <v>985</v>
      </c>
      <c r="G985" s="92" t="s">
        <v>74</v>
      </c>
      <c r="H985" s="93">
        <v>74</v>
      </c>
      <c r="I985" s="93">
        <v>180</v>
      </c>
      <c r="J985" s="93">
        <v>25.35</v>
      </c>
      <c r="K985" s="93" t="s">
        <v>75</v>
      </c>
      <c r="L985" s="101">
        <v>903</v>
      </c>
      <c r="M985" s="101">
        <v>0</v>
      </c>
      <c r="N985" s="101">
        <v>1.5459242402004081E+19</v>
      </c>
    </row>
    <row r="986" spans="4:14" ht="15" customHeight="1">
      <c r="D986" s="99" t="b">
        <v>0</v>
      </c>
      <c r="E986" s="94" t="s">
        <v>1011</v>
      </c>
      <c r="F986" s="92" t="s">
        <v>985</v>
      </c>
      <c r="G986" s="92" t="s">
        <v>74</v>
      </c>
      <c r="H986" s="93">
        <v>71</v>
      </c>
      <c r="I986" s="93">
        <v>170</v>
      </c>
      <c r="J986" s="93">
        <v>26.43</v>
      </c>
      <c r="K986" s="93" t="s">
        <v>75</v>
      </c>
      <c r="L986" s="101">
        <v>904</v>
      </c>
      <c r="M986" s="101">
        <v>0</v>
      </c>
      <c r="N986" s="101">
        <v>5.1013837902101094E+18</v>
      </c>
    </row>
    <row r="987" spans="4:14" ht="15" customHeight="1">
      <c r="D987" s="99" t="b">
        <v>0</v>
      </c>
      <c r="E987" s="94" t="s">
        <v>1012</v>
      </c>
      <c r="F987" s="92" t="s">
        <v>985</v>
      </c>
      <c r="G987" s="92" t="s">
        <v>74</v>
      </c>
      <c r="H987" s="93">
        <v>76</v>
      </c>
      <c r="I987" s="93">
        <v>190</v>
      </c>
      <c r="J987" s="93">
        <v>25.43</v>
      </c>
      <c r="K987" s="93" t="s">
        <v>75</v>
      </c>
      <c r="L987" s="101">
        <v>905</v>
      </c>
      <c r="M987" s="101">
        <v>0</v>
      </c>
      <c r="N987" s="101">
        <v>1.6778253117032945E+18</v>
      </c>
    </row>
    <row r="988" spans="4:14" ht="15" customHeight="1">
      <c r="D988" s="99" t="b">
        <v>0</v>
      </c>
      <c r="E988" s="94" t="s">
        <v>1013</v>
      </c>
      <c r="F988" s="92" t="s">
        <v>985</v>
      </c>
      <c r="G988" s="92" t="s">
        <v>74</v>
      </c>
      <c r="H988" s="93">
        <v>71</v>
      </c>
      <c r="I988" s="93">
        <v>150</v>
      </c>
      <c r="J988" s="93">
        <v>29.23</v>
      </c>
      <c r="K988" s="93" t="s">
        <v>75</v>
      </c>
      <c r="L988" s="101">
        <v>906</v>
      </c>
      <c r="M988" s="101">
        <v>0</v>
      </c>
      <c r="N988" s="101">
        <v>7.148025713727273E+18</v>
      </c>
    </row>
    <row r="989" spans="4:14" ht="15" customHeight="1">
      <c r="D989" s="99" t="b">
        <v>0</v>
      </c>
      <c r="E989" s="94" t="s">
        <v>1014</v>
      </c>
      <c r="F989" s="92" t="s">
        <v>985</v>
      </c>
      <c r="G989" s="92" t="s">
        <v>74</v>
      </c>
      <c r="H989" s="93">
        <v>75</v>
      </c>
      <c r="I989" s="93">
        <v>230</v>
      </c>
      <c r="J989" s="93">
        <v>30.22</v>
      </c>
      <c r="K989" s="93" t="s">
        <v>75</v>
      </c>
      <c r="L989" s="101">
        <v>907</v>
      </c>
      <c r="M989" s="101">
        <v>0</v>
      </c>
      <c r="N989" s="101">
        <v>1.5387753073584333E+19</v>
      </c>
    </row>
    <row r="990" spans="4:14" ht="15" customHeight="1">
      <c r="D990" s="99" t="b">
        <v>0</v>
      </c>
      <c r="E990" s="94" t="s">
        <v>1015</v>
      </c>
      <c r="F990" s="92" t="s">
        <v>985</v>
      </c>
      <c r="G990" s="92" t="s">
        <v>74</v>
      </c>
      <c r="H990" s="93">
        <v>76</v>
      </c>
      <c r="I990" s="93">
        <v>203</v>
      </c>
      <c r="J990" s="93">
        <v>32.299999999999997</v>
      </c>
      <c r="K990" s="93" t="s">
        <v>75</v>
      </c>
      <c r="L990" s="101">
        <v>908</v>
      </c>
      <c r="M990" s="101">
        <v>0</v>
      </c>
      <c r="N990" s="101">
        <v>4.0153734962056059E+18</v>
      </c>
    </row>
    <row r="991" spans="4:14" ht="15" customHeight="1">
      <c r="D991" s="99" t="b">
        <v>0</v>
      </c>
      <c r="E991" s="94" t="s">
        <v>1016</v>
      </c>
      <c r="F991" s="92" t="s">
        <v>985</v>
      </c>
      <c r="G991" s="92" t="s">
        <v>74</v>
      </c>
      <c r="H991" s="93">
        <v>83</v>
      </c>
      <c r="I991" s="93">
        <v>260</v>
      </c>
      <c r="J991" s="93">
        <v>28.42</v>
      </c>
      <c r="K991" s="93" t="s">
        <v>75</v>
      </c>
      <c r="L991" s="101">
        <v>909</v>
      </c>
      <c r="M991" s="101">
        <v>0</v>
      </c>
      <c r="N991" s="101">
        <v>1.5846013272775676E+19</v>
      </c>
    </row>
    <row r="992" spans="4:14" ht="15" customHeight="1">
      <c r="D992" s="99" t="b">
        <v>0</v>
      </c>
      <c r="E992" s="94" t="s">
        <v>1017</v>
      </c>
      <c r="F992" s="92" t="s">
        <v>985</v>
      </c>
      <c r="G992" s="92" t="s">
        <v>74</v>
      </c>
      <c r="H992" s="93">
        <v>75</v>
      </c>
      <c r="I992" s="93">
        <v>246</v>
      </c>
      <c r="J992" s="93">
        <v>25.24</v>
      </c>
      <c r="K992" s="93" t="s">
        <v>75</v>
      </c>
      <c r="L992" s="101">
        <v>910</v>
      </c>
      <c r="M992" s="101">
        <v>0</v>
      </c>
      <c r="N992" s="101">
        <v>1.3699210216667666E+18</v>
      </c>
    </row>
    <row r="993" spans="4:14" ht="15" customHeight="1">
      <c r="D993" s="99" t="b">
        <v>0</v>
      </c>
      <c r="E993" s="94" t="s">
        <v>1018</v>
      </c>
      <c r="F993" s="92" t="s">
        <v>985</v>
      </c>
      <c r="G993" s="92" t="s">
        <v>74</v>
      </c>
      <c r="H993" s="93">
        <v>74</v>
      </c>
      <c r="I993" s="93">
        <v>186</v>
      </c>
      <c r="J993" s="93">
        <v>29.13</v>
      </c>
      <c r="K993" s="93" t="s">
        <v>75</v>
      </c>
      <c r="L993" s="101">
        <v>911</v>
      </c>
      <c r="M993" s="101">
        <v>0</v>
      </c>
      <c r="N993" s="101">
        <v>1.7456423352136903E+19</v>
      </c>
    </row>
    <row r="994" spans="4:14" ht="15" customHeight="1">
      <c r="D994" s="99" t="b">
        <v>0</v>
      </c>
      <c r="E994" s="94" t="s">
        <v>1019</v>
      </c>
      <c r="F994" s="92" t="s">
        <v>985</v>
      </c>
      <c r="G994" s="92" t="s">
        <v>74</v>
      </c>
      <c r="H994" s="93">
        <v>76</v>
      </c>
      <c r="I994" s="93">
        <v>210</v>
      </c>
      <c r="J994" s="93">
        <v>24.63</v>
      </c>
      <c r="K994" s="93" t="s">
        <v>75</v>
      </c>
      <c r="L994" s="101">
        <v>912</v>
      </c>
      <c r="M994" s="101">
        <v>0</v>
      </c>
      <c r="N994" s="101">
        <v>2.3517482570028718E+18</v>
      </c>
    </row>
    <row r="995" spans="4:14" ht="15" customHeight="1">
      <c r="D995" s="99" t="b">
        <v>0</v>
      </c>
      <c r="E995" s="94" t="s">
        <v>1020</v>
      </c>
      <c r="F995" s="92" t="s">
        <v>985</v>
      </c>
      <c r="G995" s="92" t="s">
        <v>74</v>
      </c>
      <c r="H995" s="93">
        <v>72</v>
      </c>
      <c r="I995" s="93">
        <v>198</v>
      </c>
      <c r="J995" s="93">
        <v>24.95</v>
      </c>
      <c r="K995" s="93" t="s">
        <v>75</v>
      </c>
      <c r="L995" s="101">
        <v>913</v>
      </c>
      <c r="M995" s="101">
        <v>0</v>
      </c>
      <c r="N995" s="101">
        <v>1.1815159477312467E+19</v>
      </c>
    </row>
    <row r="996" spans="4:14" ht="15" customHeight="1">
      <c r="D996" s="99" t="b">
        <v>0</v>
      </c>
      <c r="E996" s="94" t="s">
        <v>1021</v>
      </c>
      <c r="F996" s="92" t="s">
        <v>1022</v>
      </c>
      <c r="G996" s="92" t="s">
        <v>78</v>
      </c>
      <c r="H996" s="93">
        <v>72</v>
      </c>
      <c r="I996" s="93">
        <v>210</v>
      </c>
      <c r="J996" s="93">
        <v>28.06</v>
      </c>
      <c r="K996" s="93" t="s">
        <v>78</v>
      </c>
      <c r="L996" s="101">
        <v>914</v>
      </c>
      <c r="M996" s="101">
        <v>0</v>
      </c>
      <c r="N996" s="101">
        <v>1.7670569045832944E+19</v>
      </c>
    </row>
    <row r="997" spans="4:14" ht="15" customHeight="1">
      <c r="D997" s="99" t="b">
        <v>0</v>
      </c>
      <c r="E997" s="94" t="s">
        <v>1023</v>
      </c>
      <c r="F997" s="92" t="s">
        <v>1022</v>
      </c>
      <c r="G997" s="92" t="s">
        <v>78</v>
      </c>
      <c r="H997" s="93">
        <v>75</v>
      </c>
      <c r="I997" s="93">
        <v>215</v>
      </c>
      <c r="J997" s="93">
        <v>25.86</v>
      </c>
      <c r="K997" s="93" t="s">
        <v>78</v>
      </c>
      <c r="L997" s="101">
        <v>915</v>
      </c>
      <c r="M997" s="101">
        <v>0</v>
      </c>
      <c r="N997" s="101">
        <v>5.7209589935207199E+18</v>
      </c>
    </row>
    <row r="998" spans="4:14" ht="15" customHeight="1">
      <c r="D998" s="99" t="b">
        <v>0</v>
      </c>
      <c r="E998" s="94" t="s">
        <v>1024</v>
      </c>
      <c r="F998" s="92" t="s">
        <v>1022</v>
      </c>
      <c r="G998" s="92" t="s">
        <v>82</v>
      </c>
      <c r="H998" s="93">
        <v>75</v>
      </c>
      <c r="I998" s="93">
        <v>180</v>
      </c>
      <c r="J998" s="93">
        <v>27.32</v>
      </c>
      <c r="K998" s="93" t="s">
        <v>83</v>
      </c>
      <c r="L998" s="101">
        <v>916</v>
      </c>
      <c r="M998" s="101">
        <v>0</v>
      </c>
      <c r="N998" s="101">
        <v>1.6574316941968468E+19</v>
      </c>
    </row>
    <row r="999" spans="4:14" ht="15" customHeight="1">
      <c r="D999" s="99" t="b">
        <v>0</v>
      </c>
      <c r="E999" s="94" t="s">
        <v>1025</v>
      </c>
      <c r="F999" s="92" t="s">
        <v>1022</v>
      </c>
      <c r="G999" s="92" t="s">
        <v>82</v>
      </c>
      <c r="H999" s="93">
        <v>72</v>
      </c>
      <c r="I999" s="93">
        <v>200</v>
      </c>
      <c r="J999" s="93">
        <v>25.91</v>
      </c>
      <c r="K999" s="93" t="s">
        <v>83</v>
      </c>
      <c r="L999" s="101">
        <v>917</v>
      </c>
      <c r="M999" s="101">
        <v>0</v>
      </c>
      <c r="N999" s="101">
        <v>2.9686640732645126E+17</v>
      </c>
    </row>
    <row r="1000" spans="4:14" ht="15" customHeight="1">
      <c r="D1000" s="99" t="b">
        <v>0</v>
      </c>
      <c r="E1000" s="94" t="s">
        <v>1026</v>
      </c>
      <c r="F1000" s="92" t="s">
        <v>1022</v>
      </c>
      <c r="G1000" s="92" t="s">
        <v>82</v>
      </c>
      <c r="H1000" s="93">
        <v>77</v>
      </c>
      <c r="I1000" s="93">
        <v>245</v>
      </c>
      <c r="J1000" s="93">
        <v>26.63</v>
      </c>
      <c r="K1000" s="93" t="s">
        <v>83</v>
      </c>
      <c r="L1000" s="101">
        <v>918</v>
      </c>
      <c r="M1000" s="101">
        <v>0</v>
      </c>
      <c r="N1000" s="101">
        <v>5.2491997339638415E+18</v>
      </c>
    </row>
    <row r="1001" spans="4:14" ht="15" customHeight="1">
      <c r="D1001" s="99" t="b">
        <v>0</v>
      </c>
      <c r="E1001" s="94" t="s">
        <v>1027</v>
      </c>
      <c r="F1001" s="92" t="s">
        <v>1022</v>
      </c>
      <c r="G1001" s="92" t="s">
        <v>86</v>
      </c>
      <c r="H1001" s="93">
        <v>73</v>
      </c>
      <c r="I1001" s="93">
        <v>200</v>
      </c>
      <c r="J1001" s="93">
        <v>25.95</v>
      </c>
      <c r="K1001" s="93" t="s">
        <v>83</v>
      </c>
      <c r="L1001" s="101">
        <v>919</v>
      </c>
      <c r="M1001" s="101">
        <v>0</v>
      </c>
      <c r="N1001" s="101">
        <v>1.206230135612083E+19</v>
      </c>
    </row>
    <row r="1002" spans="4:14" ht="15" customHeight="1">
      <c r="D1002" s="99" t="b">
        <v>0</v>
      </c>
      <c r="E1002" s="94" t="s">
        <v>1028</v>
      </c>
      <c r="F1002" s="92" t="s">
        <v>1022</v>
      </c>
      <c r="G1002" s="92" t="s">
        <v>88</v>
      </c>
      <c r="H1002" s="93">
        <v>72</v>
      </c>
      <c r="I1002" s="93">
        <v>192</v>
      </c>
      <c r="J1002" s="93">
        <v>29.17</v>
      </c>
      <c r="K1002" s="93" t="s">
        <v>83</v>
      </c>
      <c r="L1002" s="101">
        <v>920</v>
      </c>
      <c r="M1002" s="101">
        <v>0</v>
      </c>
      <c r="N1002" s="101">
        <v>7.544832857469271E+18</v>
      </c>
    </row>
    <row r="1003" spans="4:14" ht="15" customHeight="1">
      <c r="D1003" s="99" t="b">
        <v>0</v>
      </c>
      <c r="E1003" s="94" t="s">
        <v>1029</v>
      </c>
      <c r="F1003" s="92" t="s">
        <v>1022</v>
      </c>
      <c r="G1003" s="92" t="s">
        <v>90</v>
      </c>
      <c r="H1003" s="93">
        <v>70</v>
      </c>
      <c r="I1003" s="93">
        <v>192</v>
      </c>
      <c r="J1003" s="93">
        <v>29.19</v>
      </c>
      <c r="K1003" s="93" t="s">
        <v>83</v>
      </c>
      <c r="L1003" s="101">
        <v>921</v>
      </c>
      <c r="M1003" s="101">
        <v>0</v>
      </c>
      <c r="N1003" s="101">
        <v>1.025810838992485E+19</v>
      </c>
    </row>
    <row r="1004" spans="4:14" ht="15" customHeight="1">
      <c r="D1004" s="99" t="b">
        <v>0</v>
      </c>
      <c r="E1004" s="94" t="s">
        <v>1030</v>
      </c>
      <c r="F1004" s="92" t="s">
        <v>1022</v>
      </c>
      <c r="G1004" s="92" t="s">
        <v>93</v>
      </c>
      <c r="H1004" s="93">
        <v>74</v>
      </c>
      <c r="I1004" s="93">
        <v>200</v>
      </c>
      <c r="J1004" s="93">
        <v>28.44</v>
      </c>
      <c r="K1004" s="93" t="s">
        <v>93</v>
      </c>
      <c r="L1004" s="101">
        <v>922</v>
      </c>
      <c r="M1004" s="101">
        <v>0</v>
      </c>
      <c r="N1004" s="101">
        <v>9.4910582426101862E+18</v>
      </c>
    </row>
    <row r="1005" spans="4:14" ht="15" customHeight="1">
      <c r="D1005" s="99" t="b">
        <v>0</v>
      </c>
      <c r="E1005" s="94" t="s">
        <v>1031</v>
      </c>
      <c r="F1005" s="92" t="s">
        <v>1022</v>
      </c>
      <c r="G1005" s="92" t="s">
        <v>93</v>
      </c>
      <c r="H1005" s="93">
        <v>72</v>
      </c>
      <c r="I1005" s="93">
        <v>192</v>
      </c>
      <c r="J1005" s="93">
        <v>26.36</v>
      </c>
      <c r="K1005" s="93" t="s">
        <v>93</v>
      </c>
      <c r="L1005" s="101">
        <v>923</v>
      </c>
      <c r="M1005" s="101">
        <v>0</v>
      </c>
      <c r="N1005" s="101">
        <v>1.8179200003411681E+19</v>
      </c>
    </row>
    <row r="1006" spans="4:14" ht="15" customHeight="1">
      <c r="D1006" s="99" t="b">
        <v>0</v>
      </c>
      <c r="E1006" s="94" t="s">
        <v>1032</v>
      </c>
      <c r="F1006" s="92" t="s">
        <v>1022</v>
      </c>
      <c r="G1006" s="92" t="s">
        <v>93</v>
      </c>
      <c r="H1006" s="93">
        <v>74</v>
      </c>
      <c r="I1006" s="93">
        <v>205</v>
      </c>
      <c r="J1006" s="93">
        <v>28.29</v>
      </c>
      <c r="K1006" s="93" t="s">
        <v>93</v>
      </c>
      <c r="L1006" s="101">
        <v>924</v>
      </c>
      <c r="M1006" s="101">
        <v>0</v>
      </c>
      <c r="N1006" s="101">
        <v>2.3732762073885834E+18</v>
      </c>
    </row>
    <row r="1007" spans="4:14" ht="15" customHeight="1">
      <c r="D1007" s="99" t="b">
        <v>0</v>
      </c>
      <c r="E1007" s="94" t="s">
        <v>1033</v>
      </c>
      <c r="F1007" s="92" t="s">
        <v>1022</v>
      </c>
      <c r="G1007" s="92" t="s">
        <v>93</v>
      </c>
      <c r="H1007" s="93">
        <v>72</v>
      </c>
      <c r="I1007" s="93">
        <v>190</v>
      </c>
      <c r="J1007" s="93">
        <v>29.45</v>
      </c>
      <c r="K1007" s="93" t="s">
        <v>93</v>
      </c>
      <c r="L1007" s="101">
        <v>925</v>
      </c>
      <c r="M1007" s="101">
        <v>0</v>
      </c>
      <c r="N1007" s="101">
        <v>1.7165681627451959E+19</v>
      </c>
    </row>
    <row r="1008" spans="4:14" ht="15" customHeight="1">
      <c r="D1008" s="99" t="b">
        <v>0</v>
      </c>
      <c r="E1008" s="94" t="s">
        <v>1034</v>
      </c>
      <c r="F1008" s="92" t="s">
        <v>1022</v>
      </c>
      <c r="G1008" s="92" t="s">
        <v>93</v>
      </c>
      <c r="H1008" s="93">
        <v>71</v>
      </c>
      <c r="I1008" s="93">
        <v>186</v>
      </c>
      <c r="J1008" s="93">
        <v>25.34</v>
      </c>
      <c r="K1008" s="93" t="s">
        <v>93</v>
      </c>
      <c r="L1008" s="101">
        <v>926</v>
      </c>
      <c r="M1008" s="101">
        <v>0</v>
      </c>
      <c r="N1008" s="101">
        <v>1.4078850819111086E+19</v>
      </c>
    </row>
    <row r="1009" spans="4:14" ht="15" customHeight="1">
      <c r="D1009" s="99" t="b">
        <v>0</v>
      </c>
      <c r="E1009" s="94" t="s">
        <v>1035</v>
      </c>
      <c r="F1009" s="92" t="s">
        <v>1022</v>
      </c>
      <c r="G1009" s="92" t="s">
        <v>93</v>
      </c>
      <c r="H1009" s="93">
        <v>70</v>
      </c>
      <c r="I1009" s="93">
        <v>170</v>
      </c>
      <c r="J1009" s="93">
        <v>26.86</v>
      </c>
      <c r="K1009" s="93" t="s">
        <v>93</v>
      </c>
      <c r="L1009" s="101">
        <v>927</v>
      </c>
      <c r="M1009" s="101">
        <v>0</v>
      </c>
      <c r="N1009" s="101">
        <v>8.1162777153764342E+18</v>
      </c>
    </row>
    <row r="1010" spans="4:14" ht="15" customHeight="1">
      <c r="D1010" s="99" t="b">
        <v>0</v>
      </c>
      <c r="E1010" s="94" t="s">
        <v>1036</v>
      </c>
      <c r="F1010" s="92" t="s">
        <v>1022</v>
      </c>
      <c r="G1010" s="92" t="s">
        <v>93</v>
      </c>
      <c r="H1010" s="93">
        <v>71</v>
      </c>
      <c r="I1010" s="93">
        <v>197</v>
      </c>
      <c r="J1010" s="93">
        <v>26.36</v>
      </c>
      <c r="K1010" s="93" t="s">
        <v>93</v>
      </c>
      <c r="L1010" s="101">
        <v>928</v>
      </c>
      <c r="M1010" s="101">
        <v>0</v>
      </c>
      <c r="N1010" s="101">
        <v>8.1110536595901051E+18</v>
      </c>
    </row>
    <row r="1011" spans="4:14" ht="15" customHeight="1">
      <c r="D1011" s="99" t="b">
        <v>0</v>
      </c>
      <c r="E1011" s="94" t="s">
        <v>1037</v>
      </c>
      <c r="F1011" s="92" t="s">
        <v>1022</v>
      </c>
      <c r="G1011" s="92" t="s">
        <v>101</v>
      </c>
      <c r="H1011" s="93">
        <v>76</v>
      </c>
      <c r="I1011" s="93">
        <v>219</v>
      </c>
      <c r="J1011" s="93">
        <v>27.39</v>
      </c>
      <c r="K1011" s="93" t="s">
        <v>75</v>
      </c>
      <c r="L1011" s="101">
        <v>929</v>
      </c>
      <c r="M1011" s="101">
        <v>0</v>
      </c>
      <c r="N1011" s="101">
        <v>2.7747865259904758E+18</v>
      </c>
    </row>
    <row r="1012" spans="4:14" ht="15" customHeight="1">
      <c r="D1012" s="99" t="b">
        <v>0</v>
      </c>
      <c r="E1012" s="94" t="s">
        <v>1038</v>
      </c>
      <c r="F1012" s="92" t="s">
        <v>1022</v>
      </c>
      <c r="G1012" s="92" t="s">
        <v>101</v>
      </c>
      <c r="H1012" s="93">
        <v>74</v>
      </c>
      <c r="I1012" s="93">
        <v>200</v>
      </c>
      <c r="J1012" s="93">
        <v>25.84</v>
      </c>
      <c r="K1012" s="93" t="s">
        <v>75</v>
      </c>
      <c r="L1012" s="101">
        <v>930</v>
      </c>
      <c r="M1012" s="101">
        <v>0</v>
      </c>
      <c r="N1012" s="101">
        <v>1.7788823428380834E+19</v>
      </c>
    </row>
    <row r="1013" spans="4:14" ht="15" customHeight="1">
      <c r="D1013" s="99" t="b">
        <v>0</v>
      </c>
      <c r="E1013" s="94" t="s">
        <v>1039</v>
      </c>
      <c r="F1013" s="92" t="s">
        <v>1022</v>
      </c>
      <c r="G1013" s="92" t="s">
        <v>101</v>
      </c>
      <c r="H1013" s="93">
        <v>76</v>
      </c>
      <c r="I1013" s="93">
        <v>220</v>
      </c>
      <c r="J1013" s="93">
        <v>25.08</v>
      </c>
      <c r="K1013" s="93" t="s">
        <v>75</v>
      </c>
      <c r="L1013" s="101">
        <v>931</v>
      </c>
      <c r="M1013" s="101">
        <v>0</v>
      </c>
      <c r="N1013" s="101">
        <v>5.4159499824837294E+18</v>
      </c>
    </row>
    <row r="1014" spans="4:14" ht="15" customHeight="1">
      <c r="D1014" s="99" t="b">
        <v>0</v>
      </c>
      <c r="E1014" s="94" t="s">
        <v>1040</v>
      </c>
      <c r="F1014" s="92" t="s">
        <v>1022</v>
      </c>
      <c r="G1014" s="92" t="s">
        <v>101</v>
      </c>
      <c r="H1014" s="93">
        <v>74</v>
      </c>
      <c r="I1014" s="93">
        <v>207</v>
      </c>
      <c r="J1014" s="93">
        <v>23.87</v>
      </c>
      <c r="K1014" s="93" t="s">
        <v>75</v>
      </c>
      <c r="L1014" s="101">
        <v>932</v>
      </c>
      <c r="M1014" s="101">
        <v>0</v>
      </c>
      <c r="N1014" s="101">
        <v>1.9639336401388951E+18</v>
      </c>
    </row>
    <row r="1015" spans="4:14" ht="15" customHeight="1">
      <c r="D1015" s="99" t="b">
        <v>0</v>
      </c>
      <c r="E1015" s="94" t="s">
        <v>1041</v>
      </c>
      <c r="F1015" s="92" t="s">
        <v>1022</v>
      </c>
      <c r="G1015" s="92" t="s">
        <v>101</v>
      </c>
      <c r="H1015" s="93">
        <v>74</v>
      </c>
      <c r="I1015" s="93">
        <v>225</v>
      </c>
      <c r="J1015" s="93">
        <v>24.68</v>
      </c>
      <c r="K1015" s="93" t="s">
        <v>75</v>
      </c>
      <c r="L1015" s="101">
        <v>933</v>
      </c>
      <c r="M1015" s="101">
        <v>0</v>
      </c>
      <c r="N1015" s="101">
        <v>9.244705114678014E+18</v>
      </c>
    </row>
    <row r="1016" spans="4:14" ht="15" customHeight="1">
      <c r="D1016" s="99" t="b">
        <v>0</v>
      </c>
      <c r="E1016" s="94" t="s">
        <v>1042</v>
      </c>
      <c r="F1016" s="92" t="s">
        <v>1022</v>
      </c>
      <c r="G1016" s="92" t="s">
        <v>101</v>
      </c>
      <c r="H1016" s="93">
        <v>74</v>
      </c>
      <c r="I1016" s="93">
        <v>207</v>
      </c>
      <c r="J1016" s="93">
        <v>24.64</v>
      </c>
      <c r="K1016" s="93" t="s">
        <v>75</v>
      </c>
      <c r="L1016" s="101">
        <v>934</v>
      </c>
      <c r="M1016" s="101">
        <v>0</v>
      </c>
      <c r="N1016" s="101">
        <v>1.1215687097743585E+19</v>
      </c>
    </row>
    <row r="1017" spans="4:14" ht="15" customHeight="1">
      <c r="D1017" s="99" t="b">
        <v>0</v>
      </c>
      <c r="E1017" s="94" t="s">
        <v>1043</v>
      </c>
      <c r="F1017" s="92" t="s">
        <v>1022</v>
      </c>
      <c r="G1017" s="92" t="s">
        <v>101</v>
      </c>
      <c r="H1017" s="93">
        <v>75</v>
      </c>
      <c r="I1017" s="93">
        <v>212</v>
      </c>
      <c r="J1017" s="93">
        <v>29.19</v>
      </c>
      <c r="K1017" s="93" t="s">
        <v>75</v>
      </c>
      <c r="L1017" s="101">
        <v>935</v>
      </c>
      <c r="M1017" s="101">
        <v>0</v>
      </c>
      <c r="N1017" s="101">
        <v>1.6043609509266833E+19</v>
      </c>
    </row>
    <row r="1018" spans="4:14" ht="15" customHeight="1">
      <c r="D1018" s="99" t="b">
        <v>0</v>
      </c>
      <c r="E1018" s="94" t="s">
        <v>1044</v>
      </c>
      <c r="F1018" s="92" t="s">
        <v>1022</v>
      </c>
      <c r="G1018" s="92" t="s">
        <v>101</v>
      </c>
      <c r="H1018" s="93">
        <v>75</v>
      </c>
      <c r="I1018" s="93">
        <v>225</v>
      </c>
      <c r="J1018" s="93">
        <v>28.84</v>
      </c>
      <c r="K1018" s="93" t="s">
        <v>75</v>
      </c>
      <c r="L1018" s="101">
        <v>936</v>
      </c>
      <c r="M1018" s="101">
        <v>0</v>
      </c>
      <c r="N1018" s="101">
        <v>5.2406480438123049E+18</v>
      </c>
    </row>
    <row r="1019" spans="4:14" ht="15" customHeight="1">
      <c r="D1019" s="99" t="b">
        <v>0</v>
      </c>
      <c r="E1019" s="94" t="s">
        <v>1045</v>
      </c>
      <c r="F1019" s="92" t="s">
        <v>1022</v>
      </c>
      <c r="G1019" s="92" t="s">
        <v>101</v>
      </c>
      <c r="H1019" s="93">
        <v>71</v>
      </c>
      <c r="I1019" s="93">
        <v>170</v>
      </c>
      <c r="J1019" s="93">
        <v>25.33</v>
      </c>
      <c r="K1019" s="93" t="s">
        <v>75</v>
      </c>
      <c r="L1019" s="101">
        <v>937</v>
      </c>
      <c r="M1019" s="101">
        <v>0</v>
      </c>
      <c r="N1019" s="101">
        <v>1.2352084457429283E+19</v>
      </c>
    </row>
    <row r="1020" spans="4:14" ht="15" customHeight="1">
      <c r="D1020" s="99" t="b">
        <v>0</v>
      </c>
      <c r="E1020" s="94" t="s">
        <v>1046</v>
      </c>
      <c r="F1020" s="92" t="s">
        <v>1022</v>
      </c>
      <c r="G1020" s="92" t="s">
        <v>101</v>
      </c>
      <c r="H1020" s="93">
        <v>71</v>
      </c>
      <c r="I1020" s="93">
        <v>190</v>
      </c>
      <c r="J1020" s="93">
        <v>24.45</v>
      </c>
      <c r="K1020" s="93" t="s">
        <v>75</v>
      </c>
      <c r="L1020" s="101">
        <v>938</v>
      </c>
      <c r="M1020" s="101">
        <v>0</v>
      </c>
      <c r="N1020" s="101">
        <v>1.1314115150233201E+19</v>
      </c>
    </row>
    <row r="1021" spans="4:14" ht="15" customHeight="1">
      <c r="D1021" s="99" t="b">
        <v>0</v>
      </c>
      <c r="E1021" s="94" t="s">
        <v>1047</v>
      </c>
      <c r="F1021" s="92" t="s">
        <v>1022</v>
      </c>
      <c r="G1021" s="92" t="s">
        <v>74</v>
      </c>
      <c r="H1021" s="93">
        <v>74</v>
      </c>
      <c r="I1021" s="93">
        <v>210</v>
      </c>
      <c r="J1021" s="93">
        <v>28.32</v>
      </c>
      <c r="K1021" s="93" t="s">
        <v>75</v>
      </c>
      <c r="L1021" s="101">
        <v>939</v>
      </c>
      <c r="M1021" s="101">
        <v>0</v>
      </c>
      <c r="N1021" s="101">
        <v>1.2106266885251668E+19</v>
      </c>
    </row>
    <row r="1022" spans="4:14" ht="15" customHeight="1">
      <c r="D1022" s="99" t="b">
        <v>0</v>
      </c>
      <c r="E1022" s="94" t="s">
        <v>1048</v>
      </c>
      <c r="F1022" s="92" t="s">
        <v>1022</v>
      </c>
      <c r="G1022" s="92" t="s">
        <v>74</v>
      </c>
      <c r="H1022" s="93">
        <v>77</v>
      </c>
      <c r="I1022" s="93">
        <v>230</v>
      </c>
      <c r="J1022" s="93">
        <v>32.340000000000003</v>
      </c>
      <c r="K1022" s="93" t="s">
        <v>75</v>
      </c>
      <c r="L1022" s="101">
        <v>940</v>
      </c>
      <c r="M1022" s="101">
        <v>0</v>
      </c>
      <c r="N1022" s="101">
        <v>8.8288315897909033E+18</v>
      </c>
    </row>
    <row r="1023" spans="4:14" ht="15" customHeight="1">
      <c r="D1023" s="99" t="b">
        <v>0</v>
      </c>
      <c r="E1023" s="94" t="s">
        <v>1049</v>
      </c>
      <c r="F1023" s="92" t="s">
        <v>1022</v>
      </c>
      <c r="G1023" s="92" t="s">
        <v>74</v>
      </c>
      <c r="H1023" s="93">
        <v>71</v>
      </c>
      <c r="I1023" s="93">
        <v>210</v>
      </c>
      <c r="J1023" s="93">
        <v>34.97</v>
      </c>
      <c r="K1023" s="93" t="s">
        <v>75</v>
      </c>
      <c r="L1023" s="101">
        <v>941</v>
      </c>
      <c r="M1023" s="101">
        <v>0</v>
      </c>
      <c r="N1023" s="101">
        <v>1.4358039428252603E+18</v>
      </c>
    </row>
    <row r="1024" spans="4:14" ht="15" customHeight="1">
      <c r="D1024" s="99" t="b">
        <v>0</v>
      </c>
      <c r="E1024" s="94" t="s">
        <v>1050</v>
      </c>
      <c r="F1024" s="92" t="s">
        <v>1022</v>
      </c>
      <c r="G1024" s="92" t="s">
        <v>74</v>
      </c>
      <c r="H1024" s="93">
        <v>74</v>
      </c>
      <c r="I1024" s="93">
        <v>200</v>
      </c>
      <c r="J1024" s="93">
        <v>32.04</v>
      </c>
      <c r="K1024" s="93" t="s">
        <v>75</v>
      </c>
      <c r="L1024" s="101">
        <v>942</v>
      </c>
      <c r="M1024" s="101">
        <v>0</v>
      </c>
      <c r="N1024" s="101">
        <v>5.0675750120476508E+18</v>
      </c>
    </row>
    <row r="1025" spans="4:14" ht="15" customHeight="1">
      <c r="D1025" s="99" t="b">
        <v>0</v>
      </c>
      <c r="E1025" s="94" t="s">
        <v>1051</v>
      </c>
      <c r="F1025" s="92" t="s">
        <v>1022</v>
      </c>
      <c r="G1025" s="92" t="s">
        <v>74</v>
      </c>
      <c r="H1025" s="93">
        <v>75</v>
      </c>
      <c r="I1025" s="93">
        <v>238</v>
      </c>
      <c r="J1025" s="93">
        <v>23.49</v>
      </c>
      <c r="K1025" s="93" t="s">
        <v>75</v>
      </c>
      <c r="L1025" s="101">
        <v>943</v>
      </c>
      <c r="M1025" s="101">
        <v>0</v>
      </c>
      <c r="N1025" s="101">
        <v>7.6323404767234703E+18</v>
      </c>
    </row>
    <row r="1026" spans="4:14" ht="15" customHeight="1">
      <c r="D1026" s="99" t="b">
        <v>0</v>
      </c>
      <c r="E1026" s="94" t="s">
        <v>1052</v>
      </c>
      <c r="F1026" s="92" t="s">
        <v>1022</v>
      </c>
      <c r="G1026" s="92" t="s">
        <v>74</v>
      </c>
      <c r="H1026" s="93">
        <v>77</v>
      </c>
      <c r="I1026" s="93">
        <v>234</v>
      </c>
      <c r="J1026" s="93">
        <v>26.09</v>
      </c>
      <c r="K1026" s="93" t="s">
        <v>75</v>
      </c>
      <c r="L1026" s="101">
        <v>944</v>
      </c>
      <c r="M1026" s="101">
        <v>0</v>
      </c>
      <c r="N1026" s="101">
        <v>6.1185802238249562E+17</v>
      </c>
    </row>
    <row r="1027" spans="4:14" ht="15" customHeight="1">
      <c r="D1027" s="99" t="b">
        <v>0</v>
      </c>
      <c r="E1027" s="94" t="s">
        <v>1053</v>
      </c>
      <c r="F1027" s="92" t="s">
        <v>1022</v>
      </c>
      <c r="G1027" s="92" t="s">
        <v>74</v>
      </c>
      <c r="H1027" s="93">
        <v>76</v>
      </c>
      <c r="I1027" s="93">
        <v>222</v>
      </c>
      <c r="J1027" s="93">
        <v>26.41</v>
      </c>
      <c r="K1027" s="93" t="s">
        <v>75</v>
      </c>
      <c r="L1027" s="101">
        <v>945</v>
      </c>
      <c r="M1027" s="101">
        <v>0</v>
      </c>
      <c r="N1027" s="101">
        <v>8.0433323218498724E+18</v>
      </c>
    </row>
    <row r="1028" spans="4:14" ht="15" customHeight="1">
      <c r="D1028" s="99" t="b">
        <v>0</v>
      </c>
      <c r="E1028" s="94" t="s">
        <v>1054</v>
      </c>
      <c r="F1028" s="92" t="s">
        <v>1022</v>
      </c>
      <c r="G1028" s="92" t="s">
        <v>74</v>
      </c>
      <c r="H1028" s="93">
        <v>74</v>
      </c>
      <c r="I1028" s="93">
        <v>200</v>
      </c>
      <c r="J1028" s="93">
        <v>26.55</v>
      </c>
      <c r="K1028" s="93" t="s">
        <v>75</v>
      </c>
      <c r="L1028" s="101">
        <v>946</v>
      </c>
      <c r="M1028" s="101">
        <v>0</v>
      </c>
      <c r="N1028" s="101">
        <v>9.3180525010464788E+18</v>
      </c>
    </row>
    <row r="1029" spans="4:14" ht="15" customHeight="1">
      <c r="D1029" s="99" t="b">
        <v>0</v>
      </c>
      <c r="E1029" s="94" t="s">
        <v>1055</v>
      </c>
      <c r="F1029" s="92" t="s">
        <v>1022</v>
      </c>
      <c r="G1029" s="92" t="s">
        <v>74</v>
      </c>
      <c r="H1029" s="93">
        <v>76</v>
      </c>
      <c r="I1029" s="93">
        <v>190</v>
      </c>
      <c r="J1029" s="93">
        <v>24.62</v>
      </c>
      <c r="K1029" s="93" t="s">
        <v>75</v>
      </c>
      <c r="L1029" s="101">
        <v>947</v>
      </c>
      <c r="M1029" s="101">
        <v>0</v>
      </c>
      <c r="N1029" s="101">
        <v>5.7474974687801764E+18</v>
      </c>
    </row>
    <row r="1030" spans="4:14" ht="15" customHeight="1">
      <c r="D1030" s="99" t="b">
        <v>0</v>
      </c>
      <c r="E1030" s="94" t="s">
        <v>1056</v>
      </c>
      <c r="F1030" s="92" t="s">
        <v>1022</v>
      </c>
      <c r="G1030" s="92" t="s">
        <v>74</v>
      </c>
      <c r="H1030" s="93">
        <v>72</v>
      </c>
      <c r="I1030" s="93">
        <v>170</v>
      </c>
      <c r="J1030" s="93">
        <v>28.49</v>
      </c>
      <c r="K1030" s="93" t="s">
        <v>75</v>
      </c>
      <c r="L1030" s="101">
        <v>948</v>
      </c>
      <c r="M1030" s="101">
        <v>0</v>
      </c>
      <c r="N1030" s="101">
        <v>5.9387314786759506E+18</v>
      </c>
    </row>
    <row r="1031" spans="4:14" ht="15" customHeight="1">
      <c r="D1031" s="99" t="b">
        <v>0</v>
      </c>
      <c r="E1031" s="94" t="s">
        <v>1057</v>
      </c>
      <c r="F1031" s="92" t="s">
        <v>1058</v>
      </c>
      <c r="G1031" s="92" t="s">
        <v>78</v>
      </c>
      <c r="H1031" s="93">
        <v>71</v>
      </c>
      <c r="I1031" s="93">
        <v>220</v>
      </c>
      <c r="J1031" s="93">
        <v>32.61</v>
      </c>
      <c r="K1031" s="93" t="s">
        <v>78</v>
      </c>
      <c r="L1031" s="101">
        <v>949</v>
      </c>
      <c r="M1031" s="101">
        <v>0</v>
      </c>
      <c r="N1031" s="101">
        <v>9.0876823221531679E+18</v>
      </c>
    </row>
    <row r="1032" spans="4:14" ht="15" customHeight="1">
      <c r="D1032" s="99" t="b">
        <v>0</v>
      </c>
      <c r="E1032" s="94" t="s">
        <v>1059</v>
      </c>
      <c r="F1032" s="92" t="s">
        <v>1058</v>
      </c>
      <c r="G1032" s="92" t="s">
        <v>78</v>
      </c>
      <c r="H1032" s="93">
        <v>72</v>
      </c>
      <c r="I1032" s="93">
        <v>223</v>
      </c>
      <c r="J1032" s="93">
        <v>28.06</v>
      </c>
      <c r="K1032" s="93" t="s">
        <v>78</v>
      </c>
      <c r="L1032" s="101">
        <v>950</v>
      </c>
      <c r="M1032" s="101">
        <v>0</v>
      </c>
      <c r="N1032" s="101">
        <v>1.6292604825361621E+19</v>
      </c>
    </row>
    <row r="1033" spans="4:14" ht="15" customHeight="1">
      <c r="D1033" s="99" t="b">
        <v>0</v>
      </c>
      <c r="E1033" s="94" t="s">
        <v>1060</v>
      </c>
      <c r="F1033" s="92" t="s">
        <v>1058</v>
      </c>
      <c r="G1033" s="92" t="s">
        <v>82</v>
      </c>
      <c r="H1033" s="93">
        <v>75</v>
      </c>
      <c r="I1033" s="93">
        <v>210</v>
      </c>
      <c r="J1033" s="93">
        <v>28.08</v>
      </c>
      <c r="K1033" s="93" t="s">
        <v>83</v>
      </c>
      <c r="L1033" s="101">
        <v>951</v>
      </c>
      <c r="M1033" s="101">
        <v>0</v>
      </c>
      <c r="N1033" s="101">
        <v>9.9688145788278047E+18</v>
      </c>
    </row>
    <row r="1034" spans="4:14" ht="15" customHeight="1">
      <c r="D1034" s="99" t="b">
        <v>0</v>
      </c>
      <c r="E1034" s="94" t="s">
        <v>1061</v>
      </c>
      <c r="F1034" s="92" t="s">
        <v>1058</v>
      </c>
      <c r="G1034" s="92" t="s">
        <v>82</v>
      </c>
      <c r="H1034" s="93">
        <v>73</v>
      </c>
      <c r="I1034" s="93">
        <v>215</v>
      </c>
      <c r="J1034" s="93">
        <v>37.340000000000003</v>
      </c>
      <c r="K1034" s="93" t="s">
        <v>83</v>
      </c>
      <c r="L1034" s="101">
        <v>952</v>
      </c>
      <c r="M1034" s="101">
        <v>0</v>
      </c>
      <c r="N1034" s="101">
        <v>1.0272305963820583E+19</v>
      </c>
    </row>
    <row r="1035" spans="4:14" ht="15" customHeight="1">
      <c r="D1035" s="99" t="b">
        <v>0</v>
      </c>
      <c r="E1035" s="94" t="s">
        <v>1062</v>
      </c>
      <c r="F1035" s="92" t="s">
        <v>1058</v>
      </c>
      <c r="G1035" s="92" t="s">
        <v>86</v>
      </c>
      <c r="H1035" s="93">
        <v>68</v>
      </c>
      <c r="I1035" s="93">
        <v>196</v>
      </c>
      <c r="J1035" s="93">
        <v>35.25</v>
      </c>
      <c r="K1035" s="93" t="s">
        <v>83</v>
      </c>
      <c r="L1035" s="101">
        <v>953</v>
      </c>
      <c r="M1035" s="101">
        <v>0</v>
      </c>
      <c r="N1035" s="101">
        <v>1.2233187086074259E+19</v>
      </c>
    </row>
    <row r="1036" spans="4:14" ht="15" customHeight="1">
      <c r="D1036" s="99" t="b">
        <v>0</v>
      </c>
      <c r="E1036" s="94" t="s">
        <v>1063</v>
      </c>
      <c r="F1036" s="92" t="s">
        <v>1058</v>
      </c>
      <c r="G1036" s="92" t="s">
        <v>86</v>
      </c>
      <c r="H1036" s="93">
        <v>72</v>
      </c>
      <c r="I1036" s="93">
        <v>175</v>
      </c>
      <c r="J1036" s="93">
        <v>24.77</v>
      </c>
      <c r="K1036" s="93" t="s">
        <v>83</v>
      </c>
      <c r="L1036" s="101">
        <v>954</v>
      </c>
      <c r="M1036" s="101">
        <v>0</v>
      </c>
      <c r="N1036" s="101">
        <v>6.0755132154208205E+18</v>
      </c>
    </row>
    <row r="1037" spans="4:14" ht="15" customHeight="1">
      <c r="D1037" s="99" t="b">
        <v>0</v>
      </c>
      <c r="E1037" s="94" t="s">
        <v>1064</v>
      </c>
      <c r="F1037" s="92" t="s">
        <v>1058</v>
      </c>
      <c r="G1037" s="92" t="s">
        <v>88</v>
      </c>
      <c r="H1037" s="93">
        <v>69</v>
      </c>
      <c r="I1037" s="93">
        <v>175</v>
      </c>
      <c r="J1037" s="93">
        <v>39.85</v>
      </c>
      <c r="K1037" s="93" t="s">
        <v>83</v>
      </c>
      <c r="L1037" s="101">
        <v>955</v>
      </c>
      <c r="M1037" s="101">
        <v>0</v>
      </c>
      <c r="N1037" s="101">
        <v>6.1562195862530232E+18</v>
      </c>
    </row>
    <row r="1038" spans="4:14" ht="15" customHeight="1">
      <c r="D1038" s="99" t="b">
        <v>0</v>
      </c>
      <c r="E1038" s="94" t="s">
        <v>1065</v>
      </c>
      <c r="F1038" s="92" t="s">
        <v>1058</v>
      </c>
      <c r="G1038" s="92" t="s">
        <v>90</v>
      </c>
      <c r="H1038" s="93">
        <v>73</v>
      </c>
      <c r="I1038" s="93">
        <v>189</v>
      </c>
      <c r="J1038" s="93">
        <v>35.49</v>
      </c>
      <c r="K1038" s="93" t="s">
        <v>83</v>
      </c>
      <c r="L1038" s="101">
        <v>956</v>
      </c>
      <c r="M1038" s="101">
        <v>0</v>
      </c>
      <c r="N1038" s="101">
        <v>2.1437710408202396E+18</v>
      </c>
    </row>
    <row r="1039" spans="4:14" ht="15" customHeight="1">
      <c r="D1039" s="99" t="b">
        <v>0</v>
      </c>
      <c r="E1039" s="94" t="s">
        <v>1066</v>
      </c>
      <c r="F1039" s="92" t="s">
        <v>1058</v>
      </c>
      <c r="G1039" s="92" t="s">
        <v>90</v>
      </c>
      <c r="H1039" s="93">
        <v>73</v>
      </c>
      <c r="I1039" s="93">
        <v>205</v>
      </c>
      <c r="J1039" s="93">
        <v>31.84</v>
      </c>
      <c r="K1039" s="93" t="s">
        <v>83</v>
      </c>
      <c r="L1039" s="101">
        <v>957</v>
      </c>
      <c r="M1039" s="101">
        <v>0</v>
      </c>
      <c r="N1039" s="101">
        <v>1.405446890221612E+19</v>
      </c>
    </row>
    <row r="1040" spans="4:14" ht="15" customHeight="1">
      <c r="D1040" s="99" t="b">
        <v>0</v>
      </c>
      <c r="E1040" s="94" t="s">
        <v>1067</v>
      </c>
      <c r="F1040" s="92" t="s">
        <v>1058</v>
      </c>
      <c r="G1040" s="92" t="s">
        <v>93</v>
      </c>
      <c r="H1040" s="93">
        <v>75</v>
      </c>
      <c r="I1040" s="93">
        <v>210</v>
      </c>
      <c r="J1040" s="93">
        <v>26.67</v>
      </c>
      <c r="K1040" s="93" t="s">
        <v>93</v>
      </c>
      <c r="L1040" s="101">
        <v>958</v>
      </c>
      <c r="M1040" s="101">
        <v>0</v>
      </c>
      <c r="N1040" s="101">
        <v>8.4481377953769789E+18</v>
      </c>
    </row>
    <row r="1041" spans="4:14" ht="15" customHeight="1">
      <c r="D1041" s="99" t="b">
        <v>0</v>
      </c>
      <c r="E1041" s="94" t="s">
        <v>1068</v>
      </c>
      <c r="F1041" s="92" t="s">
        <v>1058</v>
      </c>
      <c r="G1041" s="92" t="s">
        <v>93</v>
      </c>
      <c r="H1041" s="93">
        <v>70</v>
      </c>
      <c r="I1041" s="93">
        <v>180</v>
      </c>
      <c r="J1041" s="93">
        <v>34.75</v>
      </c>
      <c r="K1041" s="93" t="s">
        <v>93</v>
      </c>
      <c r="L1041" s="101">
        <v>959</v>
      </c>
      <c r="M1041" s="101">
        <v>0</v>
      </c>
      <c r="N1041" s="101">
        <v>1.2698067368572316E+19</v>
      </c>
    </row>
    <row r="1042" spans="4:14" ht="15" customHeight="1">
      <c r="D1042" s="99" t="b">
        <v>0</v>
      </c>
      <c r="E1042" s="94" t="s">
        <v>1069</v>
      </c>
      <c r="F1042" s="92" t="s">
        <v>1058</v>
      </c>
      <c r="G1042" s="92" t="s">
        <v>93</v>
      </c>
      <c r="H1042" s="93">
        <v>70</v>
      </c>
      <c r="I1042" s="93">
        <v>180</v>
      </c>
      <c r="J1042" s="93">
        <v>28.91</v>
      </c>
      <c r="K1042" s="93" t="s">
        <v>93</v>
      </c>
      <c r="L1042" s="101">
        <v>960</v>
      </c>
      <c r="M1042" s="101">
        <v>0</v>
      </c>
      <c r="N1042" s="101">
        <v>8.5502986930502687E+18</v>
      </c>
    </row>
    <row r="1043" spans="4:14" ht="15" customHeight="1">
      <c r="D1043" s="99" t="b">
        <v>0</v>
      </c>
      <c r="E1043" s="94" t="s">
        <v>1070</v>
      </c>
      <c r="F1043" s="92" t="s">
        <v>1058</v>
      </c>
      <c r="G1043" s="92" t="s">
        <v>93</v>
      </c>
      <c r="H1043" s="93">
        <v>74</v>
      </c>
      <c r="I1043" s="93">
        <v>197</v>
      </c>
      <c r="J1043" s="93">
        <v>32.729999999999997</v>
      </c>
      <c r="K1043" s="93" t="s">
        <v>93</v>
      </c>
      <c r="L1043" s="101">
        <v>961</v>
      </c>
      <c r="M1043" s="101">
        <v>0</v>
      </c>
      <c r="N1043" s="101">
        <v>1.5377946026400115E+19</v>
      </c>
    </row>
    <row r="1044" spans="4:14" ht="15" customHeight="1">
      <c r="D1044" s="99" t="b">
        <v>0</v>
      </c>
      <c r="E1044" s="94" t="s">
        <v>1071</v>
      </c>
      <c r="F1044" s="92" t="s">
        <v>1058</v>
      </c>
      <c r="G1044" s="92" t="s">
        <v>93</v>
      </c>
      <c r="H1044" s="93">
        <v>75</v>
      </c>
      <c r="I1044" s="93">
        <v>220</v>
      </c>
      <c r="J1044" s="93">
        <v>35.72</v>
      </c>
      <c r="K1044" s="93" t="s">
        <v>93</v>
      </c>
      <c r="L1044" s="101">
        <v>962</v>
      </c>
      <c r="M1044" s="101">
        <v>0</v>
      </c>
      <c r="N1044" s="101">
        <v>9.6384638238604493E+18</v>
      </c>
    </row>
    <row r="1045" spans="4:14" ht="15" customHeight="1">
      <c r="D1045" s="99" t="b">
        <v>0</v>
      </c>
      <c r="E1045" s="94" t="s">
        <v>1072</v>
      </c>
      <c r="F1045" s="92" t="s">
        <v>1058</v>
      </c>
      <c r="G1045" s="92" t="s">
        <v>93</v>
      </c>
      <c r="H1045" s="93">
        <v>74</v>
      </c>
      <c r="I1045" s="93">
        <v>228</v>
      </c>
      <c r="J1045" s="93">
        <v>42.6</v>
      </c>
      <c r="K1045" s="93" t="s">
        <v>93</v>
      </c>
      <c r="L1045" s="101">
        <v>963</v>
      </c>
      <c r="M1045" s="101">
        <v>0</v>
      </c>
      <c r="N1045" s="101">
        <v>2.2806092912664138E+18</v>
      </c>
    </row>
    <row r="1046" spans="4:14" ht="15" customHeight="1">
      <c r="D1046" s="99" t="b">
        <v>0</v>
      </c>
      <c r="E1046" s="94" t="s">
        <v>1073</v>
      </c>
      <c r="F1046" s="92" t="s">
        <v>1058</v>
      </c>
      <c r="G1046" s="92" t="s">
        <v>93</v>
      </c>
      <c r="H1046" s="93">
        <v>74</v>
      </c>
      <c r="I1046" s="93">
        <v>190</v>
      </c>
      <c r="J1046" s="93">
        <v>26.22</v>
      </c>
      <c r="K1046" s="93" t="s">
        <v>93</v>
      </c>
      <c r="L1046" s="101">
        <v>964</v>
      </c>
      <c r="M1046" s="101">
        <v>0</v>
      </c>
      <c r="N1046" s="101">
        <v>4.4118841394184499E+17</v>
      </c>
    </row>
    <row r="1047" spans="4:14" ht="15" customHeight="1">
      <c r="D1047" s="99" t="b">
        <v>0</v>
      </c>
      <c r="E1047" s="94" t="s">
        <v>1074</v>
      </c>
      <c r="F1047" s="92" t="s">
        <v>1058</v>
      </c>
      <c r="G1047" s="92" t="s">
        <v>101</v>
      </c>
      <c r="H1047" s="93">
        <v>73</v>
      </c>
      <c r="I1047" s="93">
        <v>204</v>
      </c>
      <c r="J1047" s="93">
        <v>21.85</v>
      </c>
      <c r="K1047" s="93" t="s">
        <v>75</v>
      </c>
      <c r="L1047" s="101">
        <v>965</v>
      </c>
      <c r="M1047" s="101">
        <v>0</v>
      </c>
      <c r="N1047" s="101">
        <v>5.5556665528089303E+18</v>
      </c>
    </row>
    <row r="1048" spans="4:14" ht="15" customHeight="1">
      <c r="D1048" s="99" t="b">
        <v>0</v>
      </c>
      <c r="E1048" s="94" t="s">
        <v>1075</v>
      </c>
      <c r="F1048" s="92" t="s">
        <v>1058</v>
      </c>
      <c r="G1048" s="92" t="s">
        <v>101</v>
      </c>
      <c r="H1048" s="93">
        <v>74</v>
      </c>
      <c r="I1048" s="93">
        <v>165</v>
      </c>
      <c r="J1048" s="93">
        <v>24.28</v>
      </c>
      <c r="K1048" s="93" t="s">
        <v>75</v>
      </c>
      <c r="L1048" s="101">
        <v>966</v>
      </c>
      <c r="M1048" s="101">
        <v>0</v>
      </c>
      <c r="N1048" s="101">
        <v>7.114699354412162E+18</v>
      </c>
    </row>
    <row r="1049" spans="4:14" ht="15" customHeight="1">
      <c r="D1049" s="99" t="b">
        <v>0</v>
      </c>
      <c r="E1049" s="94" t="s">
        <v>1076</v>
      </c>
      <c r="F1049" s="92" t="s">
        <v>1058</v>
      </c>
      <c r="G1049" s="92" t="s">
        <v>101</v>
      </c>
      <c r="H1049" s="93">
        <v>75</v>
      </c>
      <c r="I1049" s="93">
        <v>216</v>
      </c>
      <c r="J1049" s="93">
        <v>22.41</v>
      </c>
      <c r="K1049" s="93" t="s">
        <v>75</v>
      </c>
      <c r="L1049" s="101">
        <v>967</v>
      </c>
      <c r="M1049" s="101">
        <v>0</v>
      </c>
      <c r="N1049" s="101">
        <v>6.1132226379800627E+18</v>
      </c>
    </row>
    <row r="1050" spans="4:14" ht="15" customHeight="1">
      <c r="D1050" s="99" t="b">
        <v>0</v>
      </c>
      <c r="E1050" s="94" t="s">
        <v>1077</v>
      </c>
      <c r="F1050" s="92" t="s">
        <v>1058</v>
      </c>
      <c r="G1050" s="92" t="s">
        <v>101</v>
      </c>
      <c r="H1050" s="93">
        <v>77</v>
      </c>
      <c r="I1050" s="93">
        <v>220</v>
      </c>
      <c r="J1050" s="93">
        <v>32.56</v>
      </c>
      <c r="K1050" s="93" t="s">
        <v>75</v>
      </c>
      <c r="L1050" s="101">
        <v>968</v>
      </c>
      <c r="M1050" s="101">
        <v>0</v>
      </c>
      <c r="N1050" s="101">
        <v>6.2350725328583404E+18</v>
      </c>
    </row>
    <row r="1051" spans="4:14" ht="15" customHeight="1">
      <c r="D1051" s="99" t="b">
        <v>0</v>
      </c>
      <c r="E1051" s="94" t="s">
        <v>1078</v>
      </c>
      <c r="F1051" s="92" t="s">
        <v>1058</v>
      </c>
      <c r="G1051" s="92" t="s">
        <v>101</v>
      </c>
      <c r="H1051" s="93">
        <v>73</v>
      </c>
      <c r="I1051" s="93">
        <v>208</v>
      </c>
      <c r="J1051" s="93">
        <v>32.74</v>
      </c>
      <c r="K1051" s="93" t="s">
        <v>75</v>
      </c>
      <c r="L1051" s="101">
        <v>969</v>
      </c>
      <c r="M1051" s="101">
        <v>0</v>
      </c>
      <c r="N1051" s="101">
        <v>1.690603909713885E+19</v>
      </c>
    </row>
    <row r="1052" spans="4:14" ht="15" customHeight="1">
      <c r="D1052" s="99" t="b">
        <v>0</v>
      </c>
      <c r="E1052" s="94" t="s">
        <v>1079</v>
      </c>
      <c r="F1052" s="92" t="s">
        <v>1058</v>
      </c>
      <c r="G1052" s="92" t="s">
        <v>101</v>
      </c>
      <c r="H1052" s="93">
        <v>74</v>
      </c>
      <c r="I1052" s="93">
        <v>210</v>
      </c>
      <c r="J1052" s="93">
        <v>26.39</v>
      </c>
      <c r="K1052" s="93" t="s">
        <v>75</v>
      </c>
      <c r="L1052" s="101">
        <v>970</v>
      </c>
      <c r="M1052" s="101">
        <v>0</v>
      </c>
      <c r="N1052" s="101">
        <v>1.074894016905055E+19</v>
      </c>
    </row>
    <row r="1053" spans="4:14" ht="15" customHeight="1">
      <c r="D1053" s="99" t="b">
        <v>0</v>
      </c>
      <c r="E1053" s="94" t="s">
        <v>1080</v>
      </c>
      <c r="F1053" s="92" t="s">
        <v>1058</v>
      </c>
      <c r="G1053" s="92" t="s">
        <v>101</v>
      </c>
      <c r="H1053" s="93">
        <v>76</v>
      </c>
      <c r="I1053" s="93">
        <v>215</v>
      </c>
      <c r="J1053" s="93">
        <v>28.8</v>
      </c>
      <c r="K1053" s="93" t="s">
        <v>75</v>
      </c>
      <c r="L1053" s="101">
        <v>971</v>
      </c>
      <c r="M1053" s="101">
        <v>0</v>
      </c>
      <c r="N1053" s="101">
        <v>1.5868064246073305E+19</v>
      </c>
    </row>
    <row r="1054" spans="4:14" ht="15" customHeight="1">
      <c r="D1054" s="99" t="b">
        <v>0</v>
      </c>
      <c r="E1054" s="94" t="s">
        <v>1081</v>
      </c>
      <c r="F1054" s="92" t="s">
        <v>1058</v>
      </c>
      <c r="G1054" s="92" t="s">
        <v>74</v>
      </c>
      <c r="H1054" s="93">
        <v>74</v>
      </c>
      <c r="I1054" s="93">
        <v>195</v>
      </c>
      <c r="J1054" s="93">
        <v>28.2</v>
      </c>
      <c r="K1054" s="93" t="s">
        <v>75</v>
      </c>
      <c r="L1054" s="101">
        <v>972</v>
      </c>
      <c r="M1054" s="101">
        <v>0</v>
      </c>
      <c r="N1054" s="101">
        <v>1.3250692765009256E+19</v>
      </c>
    </row>
    <row r="1055" spans="4:14" ht="15" customHeight="1">
      <c r="D1055" s="99" t="b">
        <v>0</v>
      </c>
      <c r="E1055" s="94" t="s">
        <v>1082</v>
      </c>
      <c r="F1055" s="92" t="s">
        <v>1058</v>
      </c>
      <c r="G1055" s="92" t="s">
        <v>74</v>
      </c>
      <c r="H1055" s="93">
        <v>75</v>
      </c>
      <c r="I1055" s="93">
        <v>200</v>
      </c>
      <c r="J1055" s="93">
        <v>26.52</v>
      </c>
      <c r="K1055" s="93" t="s">
        <v>75</v>
      </c>
      <c r="L1055" s="101">
        <v>973</v>
      </c>
      <c r="M1055" s="101">
        <v>0</v>
      </c>
      <c r="N1055" s="101">
        <v>1.7376756024953577E+19</v>
      </c>
    </row>
    <row r="1056" spans="4:14" ht="15" customHeight="1">
      <c r="D1056" s="99" t="b">
        <v>0</v>
      </c>
      <c r="E1056" s="94" t="s">
        <v>1083</v>
      </c>
      <c r="F1056" s="92" t="s">
        <v>1058</v>
      </c>
      <c r="G1056" s="92" t="s">
        <v>74</v>
      </c>
      <c r="H1056" s="93">
        <v>73</v>
      </c>
      <c r="I1056" s="93">
        <v>215</v>
      </c>
      <c r="J1056" s="93">
        <v>34.520000000000003</v>
      </c>
      <c r="K1056" s="93" t="s">
        <v>75</v>
      </c>
      <c r="L1056" s="101">
        <v>974</v>
      </c>
      <c r="M1056" s="101">
        <v>0</v>
      </c>
      <c r="N1056" s="101">
        <v>3.4031335763034701E+18</v>
      </c>
    </row>
    <row r="1057" spans="4:14" ht="15" customHeight="1">
      <c r="D1057" s="99" t="b">
        <v>0</v>
      </c>
      <c r="E1057" s="94" t="s">
        <v>1084</v>
      </c>
      <c r="F1057" s="92" t="s">
        <v>1058</v>
      </c>
      <c r="G1057" s="92" t="s">
        <v>74</v>
      </c>
      <c r="H1057" s="93">
        <v>76</v>
      </c>
      <c r="I1057" s="93">
        <v>229</v>
      </c>
      <c r="J1057" s="93">
        <v>34.32</v>
      </c>
      <c r="K1057" s="93" t="s">
        <v>75</v>
      </c>
      <c r="L1057" s="101">
        <v>975</v>
      </c>
      <c r="M1057" s="101">
        <v>0</v>
      </c>
      <c r="N1057" s="101">
        <v>1.2221429774728669E+19</v>
      </c>
    </row>
    <row r="1058" spans="4:14" ht="15" customHeight="1">
      <c r="D1058" s="99" t="b">
        <v>0</v>
      </c>
      <c r="E1058" s="94" t="s">
        <v>1085</v>
      </c>
      <c r="F1058" s="92" t="s">
        <v>1058</v>
      </c>
      <c r="G1058" s="92" t="s">
        <v>74</v>
      </c>
      <c r="H1058" s="93">
        <v>78</v>
      </c>
      <c r="I1058" s="93">
        <v>240</v>
      </c>
      <c r="J1058" s="93">
        <v>26.98</v>
      </c>
      <c r="K1058" s="93" t="s">
        <v>75</v>
      </c>
      <c r="L1058" s="101">
        <v>976</v>
      </c>
      <c r="M1058" s="101">
        <v>0</v>
      </c>
      <c r="N1058" s="101">
        <v>4.580154859388976E+17</v>
      </c>
    </row>
    <row r="1059" spans="4:14" ht="15" customHeight="1">
      <c r="D1059" s="99" t="b">
        <v>0</v>
      </c>
      <c r="E1059" s="94" t="s">
        <v>1086</v>
      </c>
      <c r="F1059" s="92" t="s">
        <v>1058</v>
      </c>
      <c r="G1059" s="92" t="s">
        <v>74</v>
      </c>
      <c r="H1059" s="93">
        <v>75</v>
      </c>
      <c r="I1059" s="93">
        <v>207</v>
      </c>
      <c r="J1059" s="93">
        <v>28.86</v>
      </c>
      <c r="K1059" s="93" t="s">
        <v>75</v>
      </c>
      <c r="L1059" s="101">
        <v>977</v>
      </c>
      <c r="M1059" s="101">
        <v>0</v>
      </c>
      <c r="N1059" s="101">
        <v>1.1675516311192953E+19</v>
      </c>
    </row>
    <row r="1060" spans="4:14" ht="15" customHeight="1">
      <c r="D1060" s="99" t="b">
        <v>0</v>
      </c>
      <c r="E1060" s="94" t="s">
        <v>1087</v>
      </c>
      <c r="F1060" s="92" t="s">
        <v>1058</v>
      </c>
      <c r="G1060" s="92" t="s">
        <v>74</v>
      </c>
      <c r="H1060" s="93">
        <v>73</v>
      </c>
      <c r="I1060" s="93">
        <v>205</v>
      </c>
      <c r="J1060" s="93">
        <v>24.96</v>
      </c>
      <c r="K1060" s="93" t="s">
        <v>75</v>
      </c>
      <c r="L1060" s="101">
        <v>978</v>
      </c>
      <c r="M1060" s="101">
        <v>0</v>
      </c>
      <c r="N1060" s="101">
        <v>6.3172740172855798E+18</v>
      </c>
    </row>
    <row r="1061" spans="4:14" ht="15" customHeight="1">
      <c r="D1061" s="99" t="b">
        <v>0</v>
      </c>
      <c r="E1061" s="94" t="s">
        <v>1088</v>
      </c>
      <c r="F1061" s="92" t="s">
        <v>1058</v>
      </c>
      <c r="G1061" s="92" t="s">
        <v>74</v>
      </c>
      <c r="H1061" s="93">
        <v>77</v>
      </c>
      <c r="I1061" s="93">
        <v>208</v>
      </c>
      <c r="J1061" s="93">
        <v>25.3</v>
      </c>
      <c r="K1061" s="93" t="s">
        <v>75</v>
      </c>
      <c r="L1061" s="101">
        <v>979</v>
      </c>
      <c r="M1061" s="101">
        <v>0</v>
      </c>
      <c r="N1061" s="101">
        <v>1.6103826724636195E+19</v>
      </c>
    </row>
    <row r="1062" spans="4:14" ht="15" customHeight="1">
      <c r="D1062" s="99" t="b">
        <v>0</v>
      </c>
      <c r="E1062" s="94" t="s">
        <v>1089</v>
      </c>
      <c r="F1062" s="92" t="s">
        <v>1058</v>
      </c>
      <c r="G1062" s="92" t="s">
        <v>74</v>
      </c>
      <c r="H1062" s="93">
        <v>74</v>
      </c>
      <c r="I1062" s="93">
        <v>185</v>
      </c>
      <c r="J1062" s="93">
        <v>27.06</v>
      </c>
      <c r="K1062" s="93" t="s">
        <v>75</v>
      </c>
      <c r="L1062" s="101">
        <v>980</v>
      </c>
      <c r="M1062" s="101">
        <v>0</v>
      </c>
      <c r="N1062" s="101">
        <v>3.7751747558774113E+18</v>
      </c>
    </row>
    <row r="1063" spans="4:14" ht="15" customHeight="1">
      <c r="D1063" s="99" t="b">
        <v>0</v>
      </c>
      <c r="E1063" s="94" t="s">
        <v>1090</v>
      </c>
      <c r="F1063" s="92" t="s">
        <v>1058</v>
      </c>
      <c r="G1063" s="92" t="s">
        <v>74</v>
      </c>
      <c r="H1063" s="93">
        <v>72</v>
      </c>
      <c r="I1063" s="93">
        <v>190</v>
      </c>
      <c r="J1063" s="93">
        <v>25.44</v>
      </c>
      <c r="K1063" s="93" t="s">
        <v>75</v>
      </c>
      <c r="L1063" s="101">
        <v>981</v>
      </c>
      <c r="M1063" s="101">
        <v>0</v>
      </c>
      <c r="N1063" s="101">
        <v>6.5445994451962921E+18</v>
      </c>
    </row>
    <row r="1064" spans="4:14" ht="15" customHeight="1">
      <c r="D1064" s="99" t="b">
        <v>0</v>
      </c>
      <c r="E1064" s="94" t="s">
        <v>1091</v>
      </c>
      <c r="F1064" s="92" t="s">
        <v>1058</v>
      </c>
      <c r="G1064" s="92" t="s">
        <v>74</v>
      </c>
      <c r="H1064" s="93">
        <v>74</v>
      </c>
      <c r="I1064" s="93">
        <v>170</v>
      </c>
      <c r="J1064" s="93">
        <v>25.53</v>
      </c>
      <c r="K1064" s="93" t="s">
        <v>75</v>
      </c>
      <c r="L1064" s="101">
        <v>982</v>
      </c>
      <c r="M1064" s="101">
        <v>0</v>
      </c>
      <c r="N1064" s="101">
        <v>4.1949766471829299E+18</v>
      </c>
    </row>
    <row r="1065" spans="4:14" ht="15" customHeight="1">
      <c r="D1065" s="99" t="b">
        <v>0</v>
      </c>
      <c r="E1065" s="94" t="s">
        <v>1092</v>
      </c>
      <c r="F1065" s="92" t="s">
        <v>1093</v>
      </c>
      <c r="G1065" s="92" t="s">
        <v>78</v>
      </c>
      <c r="H1065" s="93">
        <v>72</v>
      </c>
      <c r="I1065" s="93">
        <v>208</v>
      </c>
      <c r="J1065" s="93">
        <v>34.869999999999997</v>
      </c>
      <c r="K1065" s="93" t="s">
        <v>78</v>
      </c>
      <c r="L1065" s="101">
        <v>983</v>
      </c>
      <c r="M1065" s="101">
        <v>0</v>
      </c>
      <c r="N1065" s="101">
        <v>9.0993643382320118E+18</v>
      </c>
    </row>
    <row r="1066" spans="4:14" ht="15" customHeight="1">
      <c r="D1066" s="99" t="b">
        <v>0</v>
      </c>
      <c r="E1066" s="94" t="s">
        <v>1094</v>
      </c>
      <c r="F1066" s="92" t="s">
        <v>1093</v>
      </c>
      <c r="G1066" s="92" t="s">
        <v>78</v>
      </c>
      <c r="H1066" s="93">
        <v>71</v>
      </c>
      <c r="I1066" s="93">
        <v>225</v>
      </c>
      <c r="J1066" s="93">
        <v>24.63</v>
      </c>
      <c r="K1066" s="93" t="s">
        <v>78</v>
      </c>
      <c r="L1066" s="101">
        <v>984</v>
      </c>
      <c r="M1066" s="101">
        <v>0</v>
      </c>
      <c r="N1066" s="101">
        <v>9.5371651123553321E+18</v>
      </c>
    </row>
    <row r="1067" spans="4:14" ht="15" customHeight="1">
      <c r="D1067" s="99" t="b">
        <v>0</v>
      </c>
      <c r="E1067" s="94" t="s">
        <v>1095</v>
      </c>
      <c r="F1067" s="92" t="s">
        <v>1093</v>
      </c>
      <c r="G1067" s="92" t="s">
        <v>82</v>
      </c>
      <c r="H1067" s="93">
        <v>73</v>
      </c>
      <c r="I1067" s="93">
        <v>190</v>
      </c>
      <c r="J1067" s="93">
        <v>27.99</v>
      </c>
      <c r="K1067" s="93" t="s">
        <v>83</v>
      </c>
      <c r="L1067" s="101">
        <v>985</v>
      </c>
      <c r="M1067" s="101">
        <v>0</v>
      </c>
      <c r="N1067" s="101">
        <v>6.9336565687846584E+18</v>
      </c>
    </row>
    <row r="1068" spans="4:14" ht="15" customHeight="1">
      <c r="D1068" s="99" t="b">
        <v>0</v>
      </c>
      <c r="E1068" s="94" t="s">
        <v>1096</v>
      </c>
      <c r="F1068" s="92" t="s">
        <v>1093</v>
      </c>
      <c r="G1068" s="92" t="s">
        <v>82</v>
      </c>
      <c r="H1068" s="93">
        <v>75</v>
      </c>
      <c r="I1068" s="93">
        <v>225</v>
      </c>
      <c r="J1068" s="93">
        <v>27.12</v>
      </c>
      <c r="K1068" s="93" t="s">
        <v>83</v>
      </c>
      <c r="L1068" s="101">
        <v>986</v>
      </c>
      <c r="M1068" s="101">
        <v>0</v>
      </c>
      <c r="N1068" s="101">
        <v>1.4228818936866712E+19</v>
      </c>
    </row>
    <row r="1069" spans="4:14" ht="15" customHeight="1">
      <c r="D1069" s="99" t="b">
        <v>0</v>
      </c>
      <c r="E1069" s="94" t="s">
        <v>1097</v>
      </c>
      <c r="F1069" s="92" t="s">
        <v>1093</v>
      </c>
      <c r="G1069" s="92" t="s">
        <v>86</v>
      </c>
      <c r="H1069" s="93">
        <v>73</v>
      </c>
      <c r="I1069" s="93">
        <v>185</v>
      </c>
      <c r="J1069" s="93">
        <v>31.14</v>
      </c>
      <c r="K1069" s="93" t="s">
        <v>83</v>
      </c>
      <c r="L1069" s="101">
        <v>987</v>
      </c>
      <c r="M1069" s="101">
        <v>0</v>
      </c>
      <c r="N1069" s="101">
        <v>1.010906741057905E+19</v>
      </c>
    </row>
    <row r="1070" spans="4:14" ht="15" customHeight="1">
      <c r="D1070" s="99" t="b">
        <v>0</v>
      </c>
      <c r="E1070" s="94" t="s">
        <v>1098</v>
      </c>
      <c r="F1070" s="92" t="s">
        <v>1093</v>
      </c>
      <c r="G1070" s="92" t="s">
        <v>86</v>
      </c>
      <c r="H1070" s="93">
        <v>67</v>
      </c>
      <c r="I1070" s="93">
        <v>180</v>
      </c>
      <c r="J1070" s="93">
        <v>30.21</v>
      </c>
      <c r="K1070" s="93" t="s">
        <v>83</v>
      </c>
      <c r="L1070" s="101">
        <v>988</v>
      </c>
      <c r="M1070" s="101">
        <v>0</v>
      </c>
      <c r="N1070" s="101">
        <v>2.0772456551629914E+18</v>
      </c>
    </row>
    <row r="1071" spans="4:14" ht="15" customHeight="1">
      <c r="D1071" s="99" t="b">
        <v>0</v>
      </c>
      <c r="E1071" s="94" t="s">
        <v>1099</v>
      </c>
      <c r="F1071" s="92" t="s">
        <v>1093</v>
      </c>
      <c r="G1071" s="92" t="s">
        <v>88</v>
      </c>
      <c r="H1071" s="93">
        <v>67</v>
      </c>
      <c r="I1071" s="93">
        <v>165</v>
      </c>
      <c r="J1071" s="93">
        <v>32.11</v>
      </c>
      <c r="K1071" s="93" t="s">
        <v>83</v>
      </c>
      <c r="L1071" s="101">
        <v>989</v>
      </c>
      <c r="M1071" s="101">
        <v>0</v>
      </c>
      <c r="N1071" s="101">
        <v>1.8263706048897188E+19</v>
      </c>
    </row>
    <row r="1072" spans="4:14" ht="15" customHeight="1">
      <c r="D1072" s="99" t="b">
        <v>0</v>
      </c>
      <c r="E1072" s="94" t="s">
        <v>1100</v>
      </c>
      <c r="F1072" s="92" t="s">
        <v>1093</v>
      </c>
      <c r="G1072" s="92" t="s">
        <v>90</v>
      </c>
      <c r="H1072" s="93">
        <v>76</v>
      </c>
      <c r="I1072" s="93">
        <v>240</v>
      </c>
      <c r="J1072" s="93">
        <v>31.91</v>
      </c>
      <c r="K1072" s="93" t="s">
        <v>83</v>
      </c>
      <c r="L1072" s="101">
        <v>990</v>
      </c>
      <c r="M1072" s="101">
        <v>0</v>
      </c>
      <c r="N1072" s="101">
        <v>2.7462962654133279E+18</v>
      </c>
    </row>
    <row r="1073" spans="4:14" ht="15" customHeight="1">
      <c r="D1073" s="99" t="b">
        <v>0</v>
      </c>
      <c r="E1073" s="94" t="s">
        <v>1101</v>
      </c>
      <c r="F1073" s="92" t="s">
        <v>1093</v>
      </c>
      <c r="G1073" s="92" t="s">
        <v>90</v>
      </c>
      <c r="H1073" s="93">
        <v>74</v>
      </c>
      <c r="I1073" s="93">
        <v>220</v>
      </c>
      <c r="J1073" s="93">
        <v>34.44</v>
      </c>
      <c r="K1073" s="93" t="s">
        <v>83</v>
      </c>
      <c r="L1073" s="101">
        <v>991</v>
      </c>
      <c r="M1073" s="101">
        <v>0</v>
      </c>
      <c r="N1073" s="101">
        <v>8.295974889525762E+18</v>
      </c>
    </row>
    <row r="1074" spans="4:14" ht="15" customHeight="1">
      <c r="D1074" s="99" t="b">
        <v>0</v>
      </c>
      <c r="E1074" s="94" t="s">
        <v>1102</v>
      </c>
      <c r="F1074" s="92" t="s">
        <v>1093</v>
      </c>
      <c r="G1074" s="92" t="s">
        <v>93</v>
      </c>
      <c r="H1074" s="93">
        <v>73</v>
      </c>
      <c r="I1074" s="93">
        <v>212</v>
      </c>
      <c r="J1074" s="93">
        <v>36.68</v>
      </c>
      <c r="K1074" s="93" t="s">
        <v>93</v>
      </c>
      <c r="L1074" s="101">
        <v>992</v>
      </c>
      <c r="M1074" s="101">
        <v>0</v>
      </c>
      <c r="N1074" s="101">
        <v>1.8154779201020189E+19</v>
      </c>
    </row>
    <row r="1075" spans="4:14" ht="15" customHeight="1">
      <c r="D1075" s="99" t="b">
        <v>0</v>
      </c>
      <c r="E1075" s="94" t="s">
        <v>1103</v>
      </c>
      <c r="F1075" s="92" t="s">
        <v>1093</v>
      </c>
      <c r="G1075" s="92" t="s">
        <v>93</v>
      </c>
      <c r="H1075" s="93">
        <v>70</v>
      </c>
      <c r="I1075" s="93">
        <v>163</v>
      </c>
      <c r="J1075" s="93">
        <v>37.659999999999997</v>
      </c>
      <c r="K1075" s="93" t="s">
        <v>93</v>
      </c>
      <c r="L1075" s="101">
        <v>993</v>
      </c>
      <c r="M1075" s="101">
        <v>0</v>
      </c>
      <c r="N1075" s="101">
        <v>1.4201539602527775E+19</v>
      </c>
    </row>
    <row r="1076" spans="4:14" ht="15" customHeight="1">
      <c r="D1076" s="99" t="b">
        <v>0</v>
      </c>
      <c r="E1076" s="94" t="s">
        <v>1104</v>
      </c>
      <c r="F1076" s="92" t="s">
        <v>1093</v>
      </c>
      <c r="G1076" s="92" t="s">
        <v>93</v>
      </c>
      <c r="H1076" s="93">
        <v>75</v>
      </c>
      <c r="I1076" s="93">
        <v>215</v>
      </c>
      <c r="J1076" s="93">
        <v>30.98</v>
      </c>
      <c r="K1076" s="93" t="s">
        <v>93</v>
      </c>
      <c r="L1076" s="101">
        <v>994</v>
      </c>
      <c r="M1076" s="101">
        <v>0</v>
      </c>
      <c r="N1076" s="101">
        <v>1.8182524248459897E+19</v>
      </c>
    </row>
    <row r="1077" spans="4:14" ht="15" customHeight="1">
      <c r="D1077" s="99" t="b">
        <v>0</v>
      </c>
      <c r="E1077" s="94" t="s">
        <v>1105</v>
      </c>
      <c r="F1077" s="92" t="s">
        <v>1093</v>
      </c>
      <c r="G1077" s="92" t="s">
        <v>93</v>
      </c>
      <c r="H1077" s="93">
        <v>70</v>
      </c>
      <c r="I1077" s="93">
        <v>175</v>
      </c>
      <c r="J1077" s="93">
        <v>27.07</v>
      </c>
      <c r="K1077" s="93" t="s">
        <v>93</v>
      </c>
      <c r="L1077" s="101">
        <v>995</v>
      </c>
      <c r="M1077" s="101">
        <v>0</v>
      </c>
      <c r="N1077" s="101">
        <v>7.0154633597643459E+18</v>
      </c>
    </row>
    <row r="1078" spans="4:14" ht="15" customHeight="1">
      <c r="D1078" s="99" t="b">
        <v>0</v>
      </c>
      <c r="E1078" s="94" t="s">
        <v>1106</v>
      </c>
      <c r="F1078" s="92" t="s">
        <v>1093</v>
      </c>
      <c r="G1078" s="92" t="s">
        <v>93</v>
      </c>
      <c r="H1078" s="93">
        <v>72</v>
      </c>
      <c r="I1078" s="93">
        <v>205</v>
      </c>
      <c r="J1078" s="93">
        <v>29.11</v>
      </c>
      <c r="K1078" s="93" t="s">
        <v>93</v>
      </c>
      <c r="L1078" s="101">
        <v>996</v>
      </c>
      <c r="M1078" s="101">
        <v>0</v>
      </c>
      <c r="N1078" s="101">
        <v>1.6137066773924215E+19</v>
      </c>
    </row>
    <row r="1079" spans="4:14" ht="15" customHeight="1">
      <c r="D1079" s="99" t="b">
        <v>0</v>
      </c>
      <c r="E1079" s="94" t="s">
        <v>1107</v>
      </c>
      <c r="F1079" s="92" t="s">
        <v>1093</v>
      </c>
      <c r="G1079" s="92" t="s">
        <v>93</v>
      </c>
      <c r="H1079" s="93">
        <v>77</v>
      </c>
      <c r="I1079" s="93">
        <v>210</v>
      </c>
      <c r="J1079" s="93">
        <v>25.82</v>
      </c>
      <c r="K1079" s="93" t="s">
        <v>93</v>
      </c>
      <c r="L1079" s="101">
        <v>997</v>
      </c>
      <c r="M1079" s="101">
        <v>0</v>
      </c>
      <c r="N1079" s="101">
        <v>2.3411443729464023E+18</v>
      </c>
    </row>
    <row r="1080" spans="4:14" ht="15" customHeight="1">
      <c r="D1080" s="99" t="b">
        <v>0</v>
      </c>
      <c r="E1080" s="94" t="s">
        <v>1108</v>
      </c>
      <c r="F1080" s="92" t="s">
        <v>1093</v>
      </c>
      <c r="G1080" s="92" t="s">
        <v>101</v>
      </c>
      <c r="H1080" s="93">
        <v>79</v>
      </c>
      <c r="I1080" s="93">
        <v>205</v>
      </c>
      <c r="J1080" s="93">
        <v>25.5</v>
      </c>
      <c r="K1080" s="93" t="s">
        <v>75</v>
      </c>
      <c r="L1080" s="101">
        <v>998</v>
      </c>
      <c r="M1080" s="101">
        <v>0</v>
      </c>
      <c r="N1080" s="101">
        <v>1.7043910766303615E+19</v>
      </c>
    </row>
    <row r="1081" spans="4:14" ht="15" customHeight="1">
      <c r="D1081" s="99" t="b">
        <v>0</v>
      </c>
      <c r="E1081" s="94" t="s">
        <v>1109</v>
      </c>
      <c r="F1081" s="92" t="s">
        <v>1093</v>
      </c>
      <c r="G1081" s="92" t="s">
        <v>101</v>
      </c>
      <c r="H1081" s="93">
        <v>78</v>
      </c>
      <c r="I1081" s="93">
        <v>208</v>
      </c>
      <c r="J1081" s="93">
        <v>29.57</v>
      </c>
      <c r="K1081" s="93" t="s">
        <v>75</v>
      </c>
      <c r="L1081" s="101">
        <v>999</v>
      </c>
      <c r="M1081" s="101">
        <v>0</v>
      </c>
      <c r="N1081" s="101">
        <v>3.9484738139056838E+17</v>
      </c>
    </row>
    <row r="1082" spans="4:14" ht="15" customHeight="1">
      <c r="D1082" s="99" t="b">
        <v>0</v>
      </c>
      <c r="E1082" s="94" t="s">
        <v>1110</v>
      </c>
      <c r="F1082" s="92" t="s">
        <v>1093</v>
      </c>
      <c r="G1082" s="92" t="s">
        <v>101</v>
      </c>
      <c r="H1082" s="93">
        <v>74</v>
      </c>
      <c r="I1082" s="93">
        <v>215</v>
      </c>
      <c r="J1082" s="93">
        <v>25.37</v>
      </c>
      <c r="K1082" s="93" t="s">
        <v>75</v>
      </c>
      <c r="L1082" s="101">
        <v>1000</v>
      </c>
      <c r="M1082" s="101">
        <v>0</v>
      </c>
      <c r="N1082" s="101">
        <v>1.0868444061666857E+19</v>
      </c>
    </row>
    <row r="1083" spans="4:14" ht="15" customHeight="1">
      <c r="D1083" s="99" t="b">
        <v>0</v>
      </c>
      <c r="E1083" s="94" t="s">
        <v>1111</v>
      </c>
      <c r="F1083" s="92" t="s">
        <v>1093</v>
      </c>
      <c r="G1083" s="92" t="s">
        <v>101</v>
      </c>
      <c r="H1083" s="93">
        <v>75</v>
      </c>
      <c r="I1083" s="93">
        <v>180</v>
      </c>
      <c r="J1083" s="93">
        <v>33.99</v>
      </c>
      <c r="K1083" s="93" t="s">
        <v>75</v>
      </c>
      <c r="L1083" s="101">
        <v>1001</v>
      </c>
      <c r="M1083" s="101">
        <v>0</v>
      </c>
      <c r="N1083" s="101">
        <v>1.265811038090657E+19</v>
      </c>
    </row>
    <row r="1084" spans="4:14" ht="15" customHeight="1">
      <c r="D1084" s="99" t="b">
        <v>0</v>
      </c>
      <c r="E1084" s="94" t="s">
        <v>1112</v>
      </c>
      <c r="F1084" s="92" t="s">
        <v>1093</v>
      </c>
      <c r="G1084" s="92" t="s">
        <v>101</v>
      </c>
      <c r="H1084" s="93">
        <v>75</v>
      </c>
      <c r="I1084" s="93">
        <v>200</v>
      </c>
      <c r="J1084" s="93">
        <v>29.86</v>
      </c>
      <c r="K1084" s="93" t="s">
        <v>75</v>
      </c>
      <c r="L1084" s="101">
        <v>1002</v>
      </c>
      <c r="M1084" s="101">
        <v>0</v>
      </c>
      <c r="N1084" s="101">
        <v>1.2680459806842028E+19</v>
      </c>
    </row>
    <row r="1085" spans="4:14" ht="15" customHeight="1">
      <c r="D1085" s="99" t="b">
        <v>0</v>
      </c>
      <c r="E1085" s="94" t="s">
        <v>1113</v>
      </c>
      <c r="F1085" s="92" t="s">
        <v>1093</v>
      </c>
      <c r="G1085" s="92" t="s">
        <v>101</v>
      </c>
      <c r="H1085" s="93">
        <v>78</v>
      </c>
      <c r="I1085" s="93">
        <v>230</v>
      </c>
      <c r="J1085" s="93">
        <v>31.84</v>
      </c>
      <c r="K1085" s="93" t="s">
        <v>75</v>
      </c>
      <c r="L1085" s="101">
        <v>1003</v>
      </c>
      <c r="M1085" s="101">
        <v>0</v>
      </c>
      <c r="N1085" s="101">
        <v>1.3458200692871416E+19</v>
      </c>
    </row>
    <row r="1086" spans="4:14" ht="15" customHeight="1">
      <c r="D1086" s="99" t="b">
        <v>0</v>
      </c>
      <c r="E1086" s="94" t="s">
        <v>1114</v>
      </c>
      <c r="F1086" s="92" t="s">
        <v>1093</v>
      </c>
      <c r="G1086" s="92" t="s">
        <v>74</v>
      </c>
      <c r="H1086" s="93">
        <v>76</v>
      </c>
      <c r="I1086" s="93">
        <v>211</v>
      </c>
      <c r="J1086" s="93">
        <v>38.31</v>
      </c>
      <c r="K1086" s="93" t="s">
        <v>75</v>
      </c>
      <c r="L1086" s="101">
        <v>1004</v>
      </c>
      <c r="M1086" s="101">
        <v>0</v>
      </c>
      <c r="N1086" s="101">
        <v>3.386258770291306E+18</v>
      </c>
    </row>
    <row r="1087" spans="4:14" ht="15" customHeight="1">
      <c r="D1087" s="99" t="b">
        <v>0</v>
      </c>
      <c r="E1087" s="94" t="s">
        <v>1115</v>
      </c>
      <c r="F1087" s="92" t="s">
        <v>1093</v>
      </c>
      <c r="G1087" s="92" t="s">
        <v>74</v>
      </c>
      <c r="H1087" s="93">
        <v>75</v>
      </c>
      <c r="I1087" s="93">
        <v>230</v>
      </c>
      <c r="J1087" s="93">
        <v>34.479999999999997</v>
      </c>
      <c r="K1087" s="93" t="s">
        <v>75</v>
      </c>
      <c r="L1087" s="101">
        <v>1005</v>
      </c>
      <c r="M1087" s="101">
        <v>0</v>
      </c>
      <c r="N1087" s="101">
        <v>6.5570399837058355E+18</v>
      </c>
    </row>
    <row r="1088" spans="4:14" ht="15" customHeight="1">
      <c r="D1088" s="99" t="b">
        <v>0</v>
      </c>
      <c r="E1088" s="94" t="s">
        <v>1116</v>
      </c>
      <c r="F1088" s="92" t="s">
        <v>1093</v>
      </c>
      <c r="G1088" s="92" t="s">
        <v>74</v>
      </c>
      <c r="H1088" s="93">
        <v>69</v>
      </c>
      <c r="I1088" s="93">
        <v>190</v>
      </c>
      <c r="J1088" s="93">
        <v>36.880000000000003</v>
      </c>
      <c r="K1088" s="93" t="s">
        <v>75</v>
      </c>
      <c r="L1088" s="101">
        <v>1006</v>
      </c>
      <c r="M1088" s="101">
        <v>0</v>
      </c>
      <c r="N1088" s="101">
        <v>1.2618108616944509E+19</v>
      </c>
    </row>
    <row r="1089" spans="4:14" ht="15" customHeight="1">
      <c r="D1089" s="99" t="b">
        <v>0</v>
      </c>
      <c r="E1089" s="94" t="s">
        <v>1117</v>
      </c>
      <c r="F1089" s="92" t="s">
        <v>1093</v>
      </c>
      <c r="G1089" s="92" t="s">
        <v>74</v>
      </c>
      <c r="H1089" s="93">
        <v>75</v>
      </c>
      <c r="I1089" s="93">
        <v>220</v>
      </c>
      <c r="J1089" s="93">
        <v>32.340000000000003</v>
      </c>
      <c r="K1089" s="93" t="s">
        <v>75</v>
      </c>
      <c r="L1089" s="101">
        <v>1007</v>
      </c>
      <c r="M1089" s="101">
        <v>0</v>
      </c>
      <c r="N1089" s="101">
        <v>1.3307626679336751E+19</v>
      </c>
    </row>
    <row r="1090" spans="4:14" ht="15" customHeight="1">
      <c r="D1090" s="99" t="b">
        <v>0</v>
      </c>
      <c r="E1090" s="94" t="s">
        <v>1118</v>
      </c>
      <c r="F1090" s="92" t="s">
        <v>1093</v>
      </c>
      <c r="G1090" s="92" t="s">
        <v>74</v>
      </c>
      <c r="H1090" s="93">
        <v>72</v>
      </c>
      <c r="I1090" s="93">
        <v>180</v>
      </c>
      <c r="J1090" s="93">
        <v>31.58</v>
      </c>
      <c r="K1090" s="93" t="s">
        <v>75</v>
      </c>
      <c r="L1090" s="101">
        <v>1008</v>
      </c>
      <c r="M1090" s="101">
        <v>0</v>
      </c>
      <c r="N1090" s="101">
        <v>1.5276104377470527E+19</v>
      </c>
    </row>
    <row r="1091" spans="4:14" ht="15" customHeight="1">
      <c r="D1091" s="99" t="b">
        <v>0</v>
      </c>
      <c r="E1091" s="94" t="s">
        <v>1119</v>
      </c>
      <c r="F1091" s="92" t="s">
        <v>1093</v>
      </c>
      <c r="G1091" s="92" t="s">
        <v>74</v>
      </c>
      <c r="H1091" s="93">
        <v>75</v>
      </c>
      <c r="I1091" s="93">
        <v>205</v>
      </c>
      <c r="J1091" s="93">
        <v>28.89</v>
      </c>
      <c r="K1091" s="93" t="s">
        <v>75</v>
      </c>
      <c r="L1091" s="101">
        <v>1009</v>
      </c>
      <c r="M1091" s="101">
        <v>0</v>
      </c>
      <c r="N1091" s="101">
        <v>2.2613003272355098E+18</v>
      </c>
    </row>
    <row r="1092" spans="4:14" ht="15" customHeight="1">
      <c r="D1092" s="99" t="b">
        <v>0</v>
      </c>
      <c r="E1092" s="94" t="s">
        <v>1120</v>
      </c>
      <c r="F1092" s="92" t="s">
        <v>1093</v>
      </c>
      <c r="G1092" s="92" t="s">
        <v>74</v>
      </c>
      <c r="H1092" s="93">
        <v>73</v>
      </c>
      <c r="I1092" s="93">
        <v>190</v>
      </c>
      <c r="J1092" s="93">
        <v>25.08</v>
      </c>
      <c r="K1092" s="93" t="s">
        <v>75</v>
      </c>
      <c r="L1092" s="101">
        <v>1010</v>
      </c>
      <c r="M1092" s="101">
        <v>0</v>
      </c>
      <c r="N1092" s="101">
        <v>2.4389043090973384E+18</v>
      </c>
    </row>
    <row r="1093" spans="4:14" ht="15" customHeight="1">
      <c r="D1093" s="99" t="b">
        <v>0</v>
      </c>
      <c r="E1093" s="94" t="s">
        <v>1121</v>
      </c>
      <c r="F1093" s="92" t="s">
        <v>1093</v>
      </c>
      <c r="G1093" s="92" t="s">
        <v>74</v>
      </c>
      <c r="H1093" s="93">
        <v>74</v>
      </c>
      <c r="I1093" s="93">
        <v>180</v>
      </c>
      <c r="J1093" s="93">
        <v>25.73</v>
      </c>
      <c r="K1093" s="93" t="s">
        <v>75</v>
      </c>
      <c r="L1093" s="101">
        <v>1011</v>
      </c>
      <c r="M1093" s="101">
        <v>0</v>
      </c>
      <c r="N1093" s="101">
        <v>2.944673631282582E+18</v>
      </c>
    </row>
    <row r="1094" spans="4:14" ht="15" customHeight="1">
      <c r="D1094" s="99" t="b">
        <v>0</v>
      </c>
      <c r="E1094" s="94" t="s">
        <v>1122</v>
      </c>
      <c r="F1094" s="92" t="s">
        <v>1093</v>
      </c>
      <c r="G1094" s="92" t="s">
        <v>74</v>
      </c>
      <c r="H1094" s="93">
        <v>75</v>
      </c>
      <c r="I1094" s="93">
        <v>205</v>
      </c>
      <c r="J1094" s="93">
        <v>25.19</v>
      </c>
      <c r="K1094" s="93" t="s">
        <v>75</v>
      </c>
      <c r="L1094" s="101">
        <v>1012</v>
      </c>
      <c r="M1094" s="101">
        <v>0</v>
      </c>
      <c r="N1094" s="101">
        <v>3.2137523395265751E+18</v>
      </c>
    </row>
    <row r="1095" spans="4:14" ht="15" customHeight="1">
      <c r="D1095" s="99" t="b">
        <v>0</v>
      </c>
      <c r="E1095" s="94" t="s">
        <v>1123</v>
      </c>
      <c r="F1095" s="92" t="s">
        <v>1093</v>
      </c>
      <c r="G1095" s="92" t="s">
        <v>74</v>
      </c>
      <c r="H1095" s="93">
        <v>75</v>
      </c>
      <c r="I1095" s="93">
        <v>190</v>
      </c>
      <c r="J1095" s="93">
        <v>31.01</v>
      </c>
      <c r="K1095" s="93" t="s">
        <v>75</v>
      </c>
      <c r="L1095" s="101">
        <v>1013</v>
      </c>
      <c r="M1095" s="101">
        <v>0</v>
      </c>
      <c r="N1095" s="101">
        <v>8.1552631330788137E+18</v>
      </c>
    </row>
    <row r="1096" spans="4:14" ht="15" customHeight="1">
      <c r="D1096" s="100" t="b">
        <v>0</v>
      </c>
      <c r="E1096" s="95" t="s">
        <v>1124</v>
      </c>
      <c r="F1096" s="96" t="s">
        <v>1093</v>
      </c>
      <c r="G1096" s="96" t="s">
        <v>74</v>
      </c>
      <c r="H1096" s="93">
        <v>73</v>
      </c>
      <c r="I1096" s="93">
        <v>195</v>
      </c>
      <c r="J1096" s="93">
        <v>27.92</v>
      </c>
      <c r="K1096" s="93" t="s">
        <v>75</v>
      </c>
      <c r="L1096" s="101">
        <v>1014</v>
      </c>
      <c r="M1096" s="101">
        <v>0</v>
      </c>
      <c r="N1096" s="101">
        <v>1.6754131292753981E+19</v>
      </c>
    </row>
  </sheetData>
  <mergeCells count="1">
    <mergeCell ref="E15:F15"/>
  </mergeCells>
  <phoneticPr fontId="21" type="noConversion"/>
  <conditionalFormatting sqref="E25:G32 E38:G42 E48:G56">
    <cfRule type="cellIs" dxfId="1068" priority="22" operator="equal">
      <formula>0</formula>
    </cfRule>
  </conditionalFormatting>
  <conditionalFormatting sqref="D82:D1096">
    <cfRule type="cellIs" dxfId="1067" priority="21" operator="notEqual">
      <formula>FALSE</formula>
    </cfRule>
  </conditionalFormatting>
  <conditionalFormatting sqref="E9:K9">
    <cfRule type="cellIs" dxfId="1066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065" priority="16"/>
  </conditionalFormatting>
  <conditionalFormatting sqref="E7:K7">
    <cfRule type="cellIs" dxfId="1064" priority="14" operator="notEqual">
      <formula>"Definition"</formula>
    </cfRule>
  </conditionalFormatting>
  <conditionalFormatting sqref="E15">
    <cfRule type="cellIs" dxfId="1063" priority="13" operator="notEqual">
      <formula>"Description"</formula>
    </cfRule>
  </conditionalFormatting>
  <conditionalFormatting sqref="E60:G67">
    <cfRule type="cellIs" dxfId="1062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K32 H38:K42 H48:K56">
    <cfRule type="cellIs" dxfId="1044" priority="3" operator="equal">
      <formula>0</formula>
    </cfRule>
  </conditionalFormatting>
  <conditionalFormatting sqref="H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K67">
    <cfRule type="cellIs" dxfId="10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024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20.77734375" style="12" bestFit="1" customWidth="1"/>
    <col min="4" max="4" width="11" style="12" bestFit="1" customWidth="1"/>
    <col min="5" max="5" width="13.44140625" style="12" bestFit="1" customWidth="1"/>
    <col min="6" max="6" width="12" style="12" bestFit="1" customWidth="1"/>
    <col min="7" max="7" width="12.6640625" style="12" bestFit="1" customWidth="1"/>
    <col min="8" max="8" width="9.5546875" style="12" bestFit="1" customWidth="1"/>
    <col min="9" max="9" width="14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MLB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2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3" t="s">
        <v>66</v>
      </c>
      <c r="J8" s="105" t="s">
        <v>50</v>
      </c>
      <c r="K8" s="105" t="s">
        <v>51</v>
      </c>
      <c r="L8" s="105" t="s">
        <v>55</v>
      </c>
    </row>
    <row r="9" spans="2:17" ht="15" customHeight="1">
      <c r="C9" s="102" t="s">
        <v>519</v>
      </c>
      <c r="D9" s="55"/>
      <c r="E9" s="55"/>
      <c r="F9" s="55"/>
      <c r="G9" s="55"/>
      <c r="H9" s="55"/>
      <c r="I9" s="55"/>
      <c r="J9" s="106">
        <v>0</v>
      </c>
      <c r="K9" s="107"/>
      <c r="L9" s="108">
        <v>9.8522167487684722E-4</v>
      </c>
    </row>
    <row r="10" spans="2:17" ht="15" customHeight="1">
      <c r="C10" s="102" t="s">
        <v>486</v>
      </c>
      <c r="D10" s="55"/>
      <c r="E10" s="55"/>
      <c r="F10" s="55"/>
      <c r="G10" s="55"/>
      <c r="H10" s="55"/>
      <c r="I10" s="55"/>
      <c r="J10" s="106">
        <v>0</v>
      </c>
      <c r="K10" s="107"/>
      <c r="L10" s="108">
        <v>9.8522167487684722E-4</v>
      </c>
    </row>
    <row r="11" spans="2:17" ht="15" customHeight="1">
      <c r="C11" s="102" t="s">
        <v>119</v>
      </c>
      <c r="D11" s="55"/>
      <c r="E11" s="55"/>
      <c r="F11" s="55"/>
      <c r="G11" s="55"/>
      <c r="H11" s="55"/>
      <c r="I11" s="55"/>
      <c r="J11" s="106">
        <v>0</v>
      </c>
      <c r="K11" s="107"/>
      <c r="L11" s="108">
        <v>9.8522167487684722E-4</v>
      </c>
    </row>
    <row r="12" spans="2:17" ht="15" customHeight="1">
      <c r="C12" s="102" t="s">
        <v>677</v>
      </c>
      <c r="D12" s="55"/>
      <c r="E12" s="55"/>
      <c r="F12" s="55"/>
      <c r="G12" s="55"/>
      <c r="H12" s="55"/>
      <c r="I12" s="55"/>
      <c r="J12" s="106">
        <v>0</v>
      </c>
      <c r="K12" s="107"/>
      <c r="L12" s="108">
        <v>9.8522167487684722E-4</v>
      </c>
    </row>
    <row r="13" spans="2:17" ht="15" customHeight="1">
      <c r="C13" s="102" t="s">
        <v>759</v>
      </c>
      <c r="D13" s="55"/>
      <c r="E13" s="55"/>
      <c r="F13" s="55"/>
      <c r="G13" s="55"/>
      <c r="H13" s="55"/>
      <c r="I13" s="55"/>
      <c r="J13" s="106">
        <v>0</v>
      </c>
      <c r="K13" s="107"/>
      <c r="L13" s="108">
        <v>9.8522167487684722E-4</v>
      </c>
    </row>
    <row r="14" spans="2:17" ht="15" customHeight="1">
      <c r="C14" s="102" t="s">
        <v>252</v>
      </c>
      <c r="D14" s="55"/>
      <c r="E14" s="55"/>
      <c r="F14" s="55"/>
      <c r="G14" s="55"/>
      <c r="H14" s="55"/>
      <c r="I14" s="55"/>
      <c r="J14" s="106">
        <v>0</v>
      </c>
      <c r="K14" s="107"/>
      <c r="L14" s="108">
        <v>9.8522167487684722E-4</v>
      </c>
    </row>
    <row r="15" spans="2:17" ht="15" customHeight="1">
      <c r="C15" s="102" t="s">
        <v>725</v>
      </c>
      <c r="D15" s="55"/>
      <c r="E15" s="55"/>
      <c r="F15" s="55"/>
      <c r="G15" s="55"/>
      <c r="H15" s="55"/>
      <c r="I15" s="55"/>
      <c r="J15" s="106">
        <v>0</v>
      </c>
      <c r="K15" s="107"/>
      <c r="L15" s="108">
        <v>9.8522167487684722E-4</v>
      </c>
    </row>
    <row r="16" spans="2:17" ht="15" customHeight="1">
      <c r="C16" s="102" t="s">
        <v>805</v>
      </c>
      <c r="D16" s="55"/>
      <c r="E16" s="55"/>
      <c r="F16" s="55"/>
      <c r="G16" s="55"/>
      <c r="H16" s="55"/>
      <c r="I16" s="55"/>
      <c r="J16" s="106">
        <v>0</v>
      </c>
      <c r="K16" s="107"/>
      <c r="L16" s="108">
        <v>9.8522167487684722E-4</v>
      </c>
    </row>
    <row r="17" spans="3:12" ht="15" customHeight="1">
      <c r="C17" s="102" t="s">
        <v>507</v>
      </c>
      <c r="D17" s="55"/>
      <c r="E17" s="55"/>
      <c r="F17" s="55"/>
      <c r="G17" s="55"/>
      <c r="H17" s="55"/>
      <c r="I17" s="55"/>
      <c r="J17" s="106">
        <v>0</v>
      </c>
      <c r="K17" s="107"/>
      <c r="L17" s="108">
        <v>9.8522167487684722E-4</v>
      </c>
    </row>
    <row r="18" spans="3:12" ht="15" customHeight="1">
      <c r="C18" s="102" t="s">
        <v>1098</v>
      </c>
      <c r="D18" s="55"/>
      <c r="E18" s="55"/>
      <c r="F18" s="55"/>
      <c r="G18" s="55"/>
      <c r="H18" s="55"/>
      <c r="I18" s="55"/>
      <c r="J18" s="106">
        <v>0</v>
      </c>
      <c r="K18" s="107"/>
      <c r="L18" s="108">
        <v>9.8522167487684722E-4</v>
      </c>
    </row>
    <row r="19" spans="3:12" ht="15" customHeight="1">
      <c r="C19" s="102" t="s">
        <v>895</v>
      </c>
      <c r="D19" s="55"/>
      <c r="E19" s="55"/>
      <c r="F19" s="55"/>
      <c r="G19" s="55"/>
      <c r="H19" s="55"/>
      <c r="I19" s="55"/>
      <c r="J19" s="106">
        <v>0</v>
      </c>
      <c r="K19" s="107"/>
      <c r="L19" s="108">
        <v>9.8522167487684722E-4</v>
      </c>
    </row>
    <row r="20" spans="3:12" ht="15" customHeight="1">
      <c r="C20" s="102" t="s">
        <v>890</v>
      </c>
      <c r="D20" s="55"/>
      <c r="E20" s="55"/>
      <c r="F20" s="55"/>
      <c r="G20" s="55"/>
      <c r="H20" s="55"/>
      <c r="I20" s="55"/>
      <c r="J20" s="106">
        <v>0</v>
      </c>
      <c r="K20" s="107"/>
      <c r="L20" s="108">
        <v>9.8522167487684722E-4</v>
      </c>
    </row>
    <row r="21" spans="3:12" ht="15" customHeight="1">
      <c r="C21" s="102" t="s">
        <v>76</v>
      </c>
      <c r="D21" s="55"/>
      <c r="E21" s="55"/>
      <c r="F21" s="55"/>
      <c r="G21" s="55"/>
      <c r="H21" s="55"/>
      <c r="I21" s="55"/>
      <c r="J21" s="106">
        <v>0</v>
      </c>
      <c r="K21" s="107"/>
      <c r="L21" s="108">
        <v>9.8522167487684722E-4</v>
      </c>
    </row>
    <row r="22" spans="3:12" ht="15" customHeight="1">
      <c r="C22" s="102" t="s">
        <v>716</v>
      </c>
      <c r="D22" s="55"/>
      <c r="E22" s="55"/>
      <c r="F22" s="55"/>
      <c r="G22" s="55"/>
      <c r="H22" s="55"/>
      <c r="I22" s="55"/>
      <c r="J22" s="106">
        <v>0</v>
      </c>
      <c r="K22" s="107"/>
      <c r="L22" s="108">
        <v>9.8522167487684722E-4</v>
      </c>
    </row>
    <row r="23" spans="3:12" ht="15" customHeight="1">
      <c r="C23" s="102" t="s">
        <v>904</v>
      </c>
      <c r="D23" s="55"/>
      <c r="E23" s="55"/>
      <c r="F23" s="55"/>
      <c r="G23" s="55"/>
      <c r="H23" s="55"/>
      <c r="I23" s="55"/>
      <c r="J23" s="106">
        <v>0</v>
      </c>
      <c r="K23" s="107"/>
      <c r="L23" s="108">
        <v>9.8522167487684722E-4</v>
      </c>
    </row>
    <row r="24" spans="3:12" ht="15" customHeight="1">
      <c r="C24" s="102" t="s">
        <v>822</v>
      </c>
      <c r="D24" s="55"/>
      <c r="E24" s="55"/>
      <c r="F24" s="55"/>
      <c r="G24" s="55"/>
      <c r="H24" s="55"/>
      <c r="I24" s="55"/>
      <c r="J24" s="106">
        <v>0</v>
      </c>
      <c r="K24" s="107"/>
      <c r="L24" s="108">
        <v>9.8522167487684722E-4</v>
      </c>
    </row>
    <row r="25" spans="3:12" ht="15" customHeight="1">
      <c r="C25" s="102" t="s">
        <v>378</v>
      </c>
      <c r="D25" s="55"/>
      <c r="E25" s="55"/>
      <c r="F25" s="55"/>
      <c r="G25" s="55"/>
      <c r="H25" s="55"/>
      <c r="I25" s="55"/>
      <c r="J25" s="106">
        <v>0</v>
      </c>
      <c r="K25" s="107"/>
      <c r="L25" s="108">
        <v>9.8522167487684722E-4</v>
      </c>
    </row>
    <row r="26" spans="3:12" ht="15" customHeight="1">
      <c r="C26" s="102" t="s">
        <v>1097</v>
      </c>
      <c r="D26" s="55"/>
      <c r="E26" s="55"/>
      <c r="F26" s="55"/>
      <c r="G26" s="55"/>
      <c r="H26" s="55"/>
      <c r="I26" s="55"/>
      <c r="J26" s="106">
        <v>0</v>
      </c>
      <c r="K26" s="107"/>
      <c r="L26" s="108">
        <v>9.8522167487684722E-4</v>
      </c>
    </row>
    <row r="27" spans="3:12" ht="15" customHeight="1">
      <c r="C27" s="102" t="s">
        <v>1024</v>
      </c>
      <c r="D27" s="55"/>
      <c r="E27" s="55"/>
      <c r="F27" s="55"/>
      <c r="G27" s="55"/>
      <c r="H27" s="55"/>
      <c r="I27" s="55"/>
      <c r="J27" s="106">
        <v>0</v>
      </c>
      <c r="K27" s="107"/>
      <c r="L27" s="108">
        <v>9.8522167487684722E-4</v>
      </c>
    </row>
    <row r="28" spans="3:12" ht="15" customHeight="1">
      <c r="C28" s="102" t="s">
        <v>103</v>
      </c>
      <c r="D28" s="55"/>
      <c r="E28" s="55"/>
      <c r="F28" s="55"/>
      <c r="G28" s="55"/>
      <c r="H28" s="55"/>
      <c r="I28" s="55"/>
      <c r="J28" s="106">
        <v>0</v>
      </c>
      <c r="K28" s="107"/>
      <c r="L28" s="108">
        <v>9.8522167487684722E-4</v>
      </c>
    </row>
    <row r="29" spans="3:12" ht="15" customHeight="1">
      <c r="C29" s="102" t="s">
        <v>261</v>
      </c>
      <c r="D29" s="55"/>
      <c r="E29" s="55"/>
      <c r="F29" s="55"/>
      <c r="G29" s="55"/>
      <c r="H29" s="55"/>
      <c r="I29" s="55"/>
      <c r="J29" s="106">
        <v>0</v>
      </c>
      <c r="K29" s="107"/>
      <c r="L29" s="108">
        <v>9.8522167487684722E-4</v>
      </c>
    </row>
    <row r="30" spans="3:12" ht="15" customHeight="1">
      <c r="C30" s="102" t="s">
        <v>92</v>
      </c>
      <c r="D30" s="55"/>
      <c r="E30" s="55"/>
      <c r="F30" s="55"/>
      <c r="G30" s="55"/>
      <c r="H30" s="55"/>
      <c r="I30" s="55"/>
      <c r="J30" s="106">
        <v>0</v>
      </c>
      <c r="K30" s="107"/>
      <c r="L30" s="108">
        <v>9.8522167487684722E-4</v>
      </c>
    </row>
    <row r="31" spans="3:12" ht="15" customHeight="1">
      <c r="C31" s="102" t="s">
        <v>1108</v>
      </c>
      <c r="D31" s="55"/>
      <c r="E31" s="55"/>
      <c r="F31" s="55"/>
      <c r="G31" s="55"/>
      <c r="H31" s="55"/>
      <c r="I31" s="55"/>
      <c r="J31" s="106">
        <v>0</v>
      </c>
      <c r="K31" s="107"/>
      <c r="L31" s="108">
        <v>9.8522167487684722E-4</v>
      </c>
    </row>
    <row r="32" spans="3:12" ht="15" customHeight="1">
      <c r="C32" s="102" t="s">
        <v>373</v>
      </c>
      <c r="D32" s="55"/>
      <c r="E32" s="55"/>
      <c r="F32" s="55"/>
      <c r="G32" s="55"/>
      <c r="H32" s="55"/>
      <c r="I32" s="55"/>
      <c r="J32" s="106">
        <v>0</v>
      </c>
      <c r="K32" s="107"/>
      <c r="L32" s="108">
        <v>9.8522167487684722E-4</v>
      </c>
    </row>
    <row r="33" spans="3:12" ht="15" customHeight="1">
      <c r="C33" s="102" t="s">
        <v>955</v>
      </c>
      <c r="D33" s="55"/>
      <c r="E33" s="55"/>
      <c r="F33" s="55"/>
      <c r="G33" s="55"/>
      <c r="H33" s="55"/>
      <c r="I33" s="55"/>
      <c r="J33" s="106">
        <v>0</v>
      </c>
      <c r="K33" s="107"/>
      <c r="L33" s="108">
        <v>9.8522167487684722E-4</v>
      </c>
    </row>
    <row r="34" spans="3:12" ht="15" customHeight="1">
      <c r="C34" s="102" t="s">
        <v>493</v>
      </c>
      <c r="D34" s="55"/>
      <c r="E34" s="55"/>
      <c r="F34" s="55"/>
      <c r="G34" s="55"/>
      <c r="H34" s="55"/>
      <c r="I34" s="55"/>
      <c r="J34" s="106">
        <v>0</v>
      </c>
      <c r="K34" s="107"/>
      <c r="L34" s="108">
        <v>9.8522167487684722E-4</v>
      </c>
    </row>
    <row r="35" spans="3:12" ht="15" customHeight="1">
      <c r="C35" s="102" t="s">
        <v>284</v>
      </c>
      <c r="D35" s="55"/>
      <c r="E35" s="55"/>
      <c r="F35" s="55"/>
      <c r="G35" s="55"/>
      <c r="H35" s="55"/>
      <c r="I35" s="55"/>
      <c r="J35" s="106">
        <v>0</v>
      </c>
      <c r="K35" s="107"/>
      <c r="L35" s="108">
        <v>9.8522167487684722E-4</v>
      </c>
    </row>
    <row r="36" spans="3:12" ht="15" customHeight="1">
      <c r="C36" s="102" t="s">
        <v>789</v>
      </c>
      <c r="D36" s="55"/>
      <c r="E36" s="55"/>
      <c r="F36" s="55"/>
      <c r="G36" s="55"/>
      <c r="H36" s="55"/>
      <c r="I36" s="55"/>
      <c r="J36" s="106">
        <v>0</v>
      </c>
      <c r="K36" s="107"/>
      <c r="L36" s="108">
        <v>9.8522167487684722E-4</v>
      </c>
    </row>
    <row r="37" spans="3:12" ht="15" customHeight="1">
      <c r="C37" s="102" t="s">
        <v>1096</v>
      </c>
      <c r="D37" s="55"/>
      <c r="E37" s="55"/>
      <c r="F37" s="55"/>
      <c r="G37" s="55"/>
      <c r="H37" s="55"/>
      <c r="I37" s="55"/>
      <c r="J37" s="106">
        <v>0</v>
      </c>
      <c r="K37" s="107"/>
      <c r="L37" s="108">
        <v>9.8522167487684722E-4</v>
      </c>
    </row>
    <row r="38" spans="3:12" ht="15" customHeight="1">
      <c r="C38" s="102" t="s">
        <v>650</v>
      </c>
      <c r="D38" s="55"/>
      <c r="E38" s="55"/>
      <c r="F38" s="55"/>
      <c r="G38" s="55"/>
      <c r="H38" s="55"/>
      <c r="I38" s="55"/>
      <c r="J38" s="106">
        <v>0</v>
      </c>
      <c r="K38" s="107"/>
      <c r="L38" s="108">
        <v>9.8522167487684722E-4</v>
      </c>
    </row>
    <row r="39" spans="3:12" ht="15" customHeight="1">
      <c r="C39" s="102" t="s">
        <v>542</v>
      </c>
      <c r="D39" s="55"/>
      <c r="E39" s="55"/>
      <c r="F39" s="55"/>
      <c r="G39" s="55"/>
      <c r="H39" s="55"/>
      <c r="I39" s="55"/>
      <c r="J39" s="106">
        <v>0</v>
      </c>
      <c r="K39" s="107"/>
      <c r="L39" s="108">
        <v>9.8522167487684722E-4</v>
      </c>
    </row>
    <row r="40" spans="3:12" ht="15" customHeight="1">
      <c r="C40" s="102" t="s">
        <v>125</v>
      </c>
      <c r="D40" s="55"/>
      <c r="E40" s="55"/>
      <c r="F40" s="55"/>
      <c r="G40" s="55"/>
      <c r="H40" s="55"/>
      <c r="I40" s="55"/>
      <c r="J40" s="106">
        <v>0</v>
      </c>
      <c r="K40" s="107"/>
      <c r="L40" s="108">
        <v>9.8522167487684722E-4</v>
      </c>
    </row>
    <row r="41" spans="3:12" ht="15" customHeight="1">
      <c r="C41" s="102" t="s">
        <v>193</v>
      </c>
      <c r="D41" s="55"/>
      <c r="E41" s="55"/>
      <c r="F41" s="55"/>
      <c r="G41" s="55"/>
      <c r="H41" s="55"/>
      <c r="I41" s="55"/>
      <c r="J41" s="106">
        <v>0</v>
      </c>
      <c r="K41" s="107"/>
      <c r="L41" s="108">
        <v>9.8522167487684722E-4</v>
      </c>
    </row>
    <row r="42" spans="3:12" ht="15" customHeight="1">
      <c r="C42" s="102" t="s">
        <v>998</v>
      </c>
      <c r="D42" s="55"/>
      <c r="E42" s="55"/>
      <c r="F42" s="55"/>
      <c r="G42" s="55"/>
      <c r="H42" s="55"/>
      <c r="I42" s="55"/>
      <c r="J42" s="106">
        <v>0</v>
      </c>
      <c r="K42" s="107"/>
      <c r="L42" s="108">
        <v>9.8522167487684722E-4</v>
      </c>
    </row>
    <row r="43" spans="3:12" ht="15" customHeight="1">
      <c r="C43" s="102" t="s">
        <v>710</v>
      </c>
      <c r="D43" s="55"/>
      <c r="E43" s="55"/>
      <c r="F43" s="55"/>
      <c r="G43" s="55"/>
      <c r="H43" s="55"/>
      <c r="I43" s="55"/>
      <c r="J43" s="106">
        <v>0</v>
      </c>
      <c r="K43" s="107"/>
      <c r="L43" s="108">
        <v>9.8522167487684722E-4</v>
      </c>
    </row>
    <row r="44" spans="3:12" ht="15" customHeight="1">
      <c r="C44" s="102" t="s">
        <v>514</v>
      </c>
      <c r="D44" s="55"/>
      <c r="E44" s="55"/>
      <c r="F44" s="55"/>
      <c r="G44" s="55"/>
      <c r="H44" s="55"/>
      <c r="I44" s="55"/>
      <c r="J44" s="106">
        <v>0</v>
      </c>
      <c r="K44" s="107"/>
      <c r="L44" s="108">
        <v>9.8522167487684722E-4</v>
      </c>
    </row>
    <row r="45" spans="3:12" ht="15" customHeight="1">
      <c r="C45" s="102" t="s">
        <v>304</v>
      </c>
      <c r="D45" s="55"/>
      <c r="E45" s="55"/>
      <c r="F45" s="55"/>
      <c r="G45" s="55"/>
      <c r="H45" s="55"/>
      <c r="I45" s="55"/>
      <c r="J45" s="106">
        <v>0</v>
      </c>
      <c r="K45" s="107"/>
      <c r="L45" s="108">
        <v>9.8522167487684722E-4</v>
      </c>
    </row>
    <row r="46" spans="3:12" ht="15" customHeight="1">
      <c r="C46" s="102" t="s">
        <v>541</v>
      </c>
      <c r="D46" s="55"/>
      <c r="E46" s="55"/>
      <c r="F46" s="55"/>
      <c r="G46" s="55"/>
      <c r="H46" s="55"/>
      <c r="I46" s="55"/>
      <c r="J46" s="106">
        <v>0</v>
      </c>
      <c r="K46" s="107"/>
      <c r="L46" s="108">
        <v>9.8522167487684722E-4</v>
      </c>
    </row>
    <row r="47" spans="3:12" ht="15" customHeight="1">
      <c r="C47" s="102" t="s">
        <v>615</v>
      </c>
      <c r="D47" s="55"/>
      <c r="E47" s="55"/>
      <c r="F47" s="55"/>
      <c r="G47" s="55"/>
      <c r="H47" s="55"/>
      <c r="I47" s="55"/>
      <c r="J47" s="106">
        <v>0</v>
      </c>
      <c r="K47" s="107"/>
      <c r="L47" s="108">
        <v>9.8522167487684722E-4</v>
      </c>
    </row>
    <row r="48" spans="3:12" ht="15" customHeight="1">
      <c r="C48" s="102" t="s">
        <v>679</v>
      </c>
      <c r="D48" s="55"/>
      <c r="E48" s="55"/>
      <c r="F48" s="55"/>
      <c r="G48" s="55"/>
      <c r="H48" s="55"/>
      <c r="I48" s="55"/>
      <c r="J48" s="106">
        <v>0</v>
      </c>
      <c r="K48" s="107"/>
      <c r="L48" s="108">
        <v>9.8522167487684722E-4</v>
      </c>
    </row>
    <row r="49" spans="3:12" ht="15" customHeight="1">
      <c r="C49" s="102" t="s">
        <v>898</v>
      </c>
      <c r="D49" s="55"/>
      <c r="E49" s="55"/>
      <c r="F49" s="55"/>
      <c r="G49" s="55"/>
      <c r="H49" s="55"/>
      <c r="I49" s="55"/>
      <c r="J49" s="106">
        <v>0</v>
      </c>
      <c r="K49" s="107"/>
      <c r="L49" s="108">
        <v>9.8522167487684722E-4</v>
      </c>
    </row>
    <row r="50" spans="3:12" ht="15" customHeight="1">
      <c r="C50" s="102" t="s">
        <v>741</v>
      </c>
      <c r="D50" s="55"/>
      <c r="E50" s="55"/>
      <c r="F50" s="55"/>
      <c r="G50" s="55"/>
      <c r="H50" s="55"/>
      <c r="I50" s="55"/>
      <c r="J50" s="106">
        <v>0</v>
      </c>
      <c r="K50" s="107"/>
      <c r="L50" s="108">
        <v>9.8522167487684722E-4</v>
      </c>
    </row>
    <row r="51" spans="3:12" ht="15" customHeight="1">
      <c r="C51" s="102" t="s">
        <v>799</v>
      </c>
      <c r="D51" s="55"/>
      <c r="E51" s="55"/>
      <c r="F51" s="55"/>
      <c r="G51" s="55"/>
      <c r="H51" s="55"/>
      <c r="I51" s="55"/>
      <c r="J51" s="106">
        <v>0</v>
      </c>
      <c r="K51" s="107"/>
      <c r="L51" s="108">
        <v>9.8522167487684722E-4</v>
      </c>
    </row>
    <row r="52" spans="3:12" ht="15" customHeight="1">
      <c r="C52" s="102" t="s">
        <v>912</v>
      </c>
      <c r="D52" s="55"/>
      <c r="E52" s="55"/>
      <c r="F52" s="55"/>
      <c r="G52" s="55"/>
      <c r="H52" s="55"/>
      <c r="I52" s="55"/>
      <c r="J52" s="106">
        <v>0</v>
      </c>
      <c r="K52" s="107"/>
      <c r="L52" s="108">
        <v>9.8522167487684722E-4</v>
      </c>
    </row>
    <row r="53" spans="3:12" ht="15" customHeight="1">
      <c r="C53" s="102" t="s">
        <v>778</v>
      </c>
      <c r="D53" s="55"/>
      <c r="E53" s="55"/>
      <c r="F53" s="55"/>
      <c r="G53" s="55"/>
      <c r="H53" s="55"/>
      <c r="I53" s="55"/>
      <c r="J53" s="106">
        <v>0</v>
      </c>
      <c r="K53" s="107"/>
      <c r="L53" s="108">
        <v>9.8522167487684722E-4</v>
      </c>
    </row>
    <row r="54" spans="3:12" ht="15" customHeight="1">
      <c r="C54" s="102" t="s">
        <v>859</v>
      </c>
      <c r="D54" s="55"/>
      <c r="E54" s="55"/>
      <c r="F54" s="55"/>
      <c r="G54" s="55"/>
      <c r="H54" s="55"/>
      <c r="I54" s="55"/>
      <c r="J54" s="106">
        <v>0</v>
      </c>
      <c r="K54" s="107"/>
      <c r="L54" s="108">
        <v>9.8522167487684722E-4</v>
      </c>
    </row>
    <row r="55" spans="3:12" ht="15" customHeight="1">
      <c r="C55" s="102" t="s">
        <v>441</v>
      </c>
      <c r="D55" s="55"/>
      <c r="E55" s="55"/>
      <c r="F55" s="55"/>
      <c r="G55" s="55"/>
      <c r="H55" s="55"/>
      <c r="I55" s="55"/>
      <c r="J55" s="106">
        <v>0</v>
      </c>
      <c r="K55" s="107"/>
      <c r="L55" s="108">
        <v>9.8522167487684722E-4</v>
      </c>
    </row>
    <row r="56" spans="3:12" ht="15" customHeight="1">
      <c r="C56" s="102" t="s">
        <v>979</v>
      </c>
      <c r="D56" s="55"/>
      <c r="E56" s="55"/>
      <c r="F56" s="55"/>
      <c r="G56" s="55"/>
      <c r="H56" s="55"/>
      <c r="I56" s="55"/>
      <c r="J56" s="106">
        <v>0</v>
      </c>
      <c r="K56" s="107"/>
      <c r="L56" s="108">
        <v>9.8522167487684722E-4</v>
      </c>
    </row>
    <row r="57" spans="3:12" ht="15" customHeight="1">
      <c r="C57" s="102" t="s">
        <v>359</v>
      </c>
      <c r="D57" s="55"/>
      <c r="E57" s="55"/>
      <c r="F57" s="55"/>
      <c r="G57" s="55"/>
      <c r="H57" s="55"/>
      <c r="I57" s="55"/>
      <c r="J57" s="106">
        <v>0</v>
      </c>
      <c r="K57" s="107"/>
      <c r="L57" s="108">
        <v>9.8522167487684722E-4</v>
      </c>
    </row>
    <row r="58" spans="3:12" ht="15" customHeight="1">
      <c r="C58" s="102" t="s">
        <v>145</v>
      </c>
      <c r="D58" s="55"/>
      <c r="E58" s="55"/>
      <c r="F58" s="55"/>
      <c r="G58" s="55"/>
      <c r="H58" s="55"/>
      <c r="I58" s="55"/>
      <c r="J58" s="106">
        <v>0</v>
      </c>
      <c r="K58" s="107"/>
      <c r="L58" s="108">
        <v>9.8522167487684722E-4</v>
      </c>
    </row>
    <row r="59" spans="3:12" ht="15" customHeight="1">
      <c r="C59" s="102" t="s">
        <v>581</v>
      </c>
      <c r="D59" s="55"/>
      <c r="E59" s="55"/>
      <c r="F59" s="55"/>
      <c r="G59" s="55"/>
      <c r="H59" s="55"/>
      <c r="I59" s="55"/>
      <c r="J59" s="106">
        <v>0</v>
      </c>
      <c r="K59" s="107"/>
      <c r="L59" s="108">
        <v>9.8522167487684722E-4</v>
      </c>
    </row>
    <row r="60" spans="3:12" ht="15" customHeight="1">
      <c r="C60" s="102" t="s">
        <v>857</v>
      </c>
      <c r="D60" s="55"/>
      <c r="E60" s="55"/>
      <c r="F60" s="55"/>
      <c r="G60" s="55"/>
      <c r="H60" s="55"/>
      <c r="I60" s="55"/>
      <c r="J60" s="106">
        <v>0</v>
      </c>
      <c r="K60" s="107"/>
      <c r="L60" s="108">
        <v>9.8522167487684722E-4</v>
      </c>
    </row>
    <row r="61" spans="3:12" ht="15" customHeight="1">
      <c r="C61" s="102" t="s">
        <v>231</v>
      </c>
      <c r="D61" s="55"/>
      <c r="E61" s="55"/>
      <c r="F61" s="55"/>
      <c r="G61" s="55"/>
      <c r="H61" s="55"/>
      <c r="I61" s="55"/>
      <c r="J61" s="106">
        <v>0</v>
      </c>
      <c r="K61" s="107"/>
      <c r="L61" s="108">
        <v>9.8522167487684722E-4</v>
      </c>
    </row>
    <row r="62" spans="3:12" ht="15" customHeight="1">
      <c r="C62" s="102" t="s">
        <v>312</v>
      </c>
      <c r="D62" s="55"/>
      <c r="E62" s="55"/>
      <c r="F62" s="55"/>
      <c r="G62" s="55"/>
      <c r="H62" s="55"/>
      <c r="I62" s="55"/>
      <c r="J62" s="106">
        <v>0</v>
      </c>
      <c r="K62" s="107"/>
      <c r="L62" s="108">
        <v>9.8522167487684722E-4</v>
      </c>
    </row>
    <row r="63" spans="3:12" ht="15" customHeight="1">
      <c r="C63" s="102" t="s">
        <v>298</v>
      </c>
      <c r="D63" s="55"/>
      <c r="E63" s="55"/>
      <c r="F63" s="55"/>
      <c r="G63" s="55"/>
      <c r="H63" s="55"/>
      <c r="I63" s="55"/>
      <c r="J63" s="106">
        <v>0</v>
      </c>
      <c r="K63" s="107"/>
      <c r="L63" s="108">
        <v>9.8522167487684722E-4</v>
      </c>
    </row>
    <row r="64" spans="3:12" ht="15" customHeight="1">
      <c r="C64" s="102" t="s">
        <v>440</v>
      </c>
      <c r="D64" s="55"/>
      <c r="E64" s="55"/>
      <c r="F64" s="55"/>
      <c r="G64" s="55"/>
      <c r="H64" s="55"/>
      <c r="I64" s="55"/>
      <c r="J64" s="106">
        <v>0</v>
      </c>
      <c r="K64" s="107"/>
      <c r="L64" s="108">
        <v>9.8522167487684722E-4</v>
      </c>
    </row>
    <row r="65" spans="3:12" ht="15" customHeight="1">
      <c r="C65" s="102" t="s">
        <v>628</v>
      </c>
      <c r="D65" s="55"/>
      <c r="E65" s="55"/>
      <c r="F65" s="55"/>
      <c r="G65" s="55"/>
      <c r="H65" s="55"/>
      <c r="I65" s="55"/>
      <c r="J65" s="106">
        <v>0</v>
      </c>
      <c r="K65" s="107"/>
      <c r="L65" s="108">
        <v>9.8522167487684722E-4</v>
      </c>
    </row>
    <row r="66" spans="3:12" ht="15" customHeight="1">
      <c r="C66" s="102" t="s">
        <v>622</v>
      </c>
      <c r="D66" s="55"/>
      <c r="E66" s="55"/>
      <c r="F66" s="55"/>
      <c r="G66" s="55"/>
      <c r="H66" s="55"/>
      <c r="I66" s="55"/>
      <c r="J66" s="106">
        <v>0</v>
      </c>
      <c r="K66" s="107"/>
      <c r="L66" s="108">
        <v>9.8522167487684722E-4</v>
      </c>
    </row>
    <row r="67" spans="3:12" ht="15" customHeight="1">
      <c r="C67" s="102" t="s">
        <v>439</v>
      </c>
      <c r="D67" s="55"/>
      <c r="E67" s="55"/>
      <c r="F67" s="55"/>
      <c r="G67" s="55"/>
      <c r="H67" s="55"/>
      <c r="I67" s="55"/>
      <c r="J67" s="106">
        <v>0</v>
      </c>
      <c r="K67" s="107"/>
      <c r="L67" s="108">
        <v>9.8522167487684722E-4</v>
      </c>
    </row>
    <row r="68" spans="3:12" ht="15" customHeight="1">
      <c r="C68" s="102" t="s">
        <v>686</v>
      </c>
      <c r="D68" s="55"/>
      <c r="E68" s="55"/>
      <c r="F68" s="55"/>
      <c r="G68" s="55"/>
      <c r="H68" s="55"/>
      <c r="I68" s="55"/>
      <c r="J68" s="106">
        <v>0</v>
      </c>
      <c r="K68" s="107"/>
      <c r="L68" s="108">
        <v>9.8522167487684722E-4</v>
      </c>
    </row>
    <row r="69" spans="3:12" ht="15" customHeight="1">
      <c r="C69" s="102" t="s">
        <v>1110</v>
      </c>
      <c r="D69" s="55"/>
      <c r="E69" s="55"/>
      <c r="F69" s="55"/>
      <c r="G69" s="55"/>
      <c r="H69" s="55"/>
      <c r="I69" s="55"/>
      <c r="J69" s="106">
        <v>0</v>
      </c>
      <c r="K69" s="107"/>
      <c r="L69" s="108">
        <v>9.8522167487684722E-4</v>
      </c>
    </row>
    <row r="70" spans="3:12" ht="15" customHeight="1">
      <c r="C70" s="102" t="s">
        <v>908</v>
      </c>
      <c r="D70" s="55"/>
      <c r="E70" s="55"/>
      <c r="F70" s="55"/>
      <c r="G70" s="55"/>
      <c r="H70" s="55"/>
      <c r="I70" s="55"/>
      <c r="J70" s="106">
        <v>0</v>
      </c>
      <c r="K70" s="107"/>
      <c r="L70" s="108">
        <v>9.8522167487684722E-4</v>
      </c>
    </row>
    <row r="71" spans="3:12" ht="15" customHeight="1">
      <c r="C71" s="102" t="s">
        <v>269</v>
      </c>
      <c r="D71" s="55"/>
      <c r="E71" s="55"/>
      <c r="F71" s="55"/>
      <c r="G71" s="55"/>
      <c r="H71" s="55"/>
      <c r="I71" s="55"/>
      <c r="J71" s="106">
        <v>0</v>
      </c>
      <c r="K71" s="107"/>
      <c r="L71" s="108">
        <v>9.8522167487684722E-4</v>
      </c>
    </row>
    <row r="72" spans="3:12" ht="15" customHeight="1">
      <c r="C72" s="102" t="s">
        <v>613</v>
      </c>
      <c r="D72" s="55"/>
      <c r="E72" s="55"/>
      <c r="F72" s="55"/>
      <c r="G72" s="55"/>
      <c r="H72" s="55"/>
      <c r="I72" s="55"/>
      <c r="J72" s="106">
        <v>0</v>
      </c>
      <c r="K72" s="107"/>
      <c r="L72" s="108">
        <v>9.8522167487684722E-4</v>
      </c>
    </row>
    <row r="73" spans="3:12" ht="15" customHeight="1">
      <c r="C73" s="102" t="s">
        <v>1084</v>
      </c>
      <c r="D73" s="55"/>
      <c r="E73" s="55"/>
      <c r="F73" s="55"/>
      <c r="G73" s="55"/>
      <c r="H73" s="55"/>
      <c r="I73" s="55"/>
      <c r="J73" s="106">
        <v>0</v>
      </c>
      <c r="K73" s="107"/>
      <c r="L73" s="108">
        <v>9.8522167487684722E-4</v>
      </c>
    </row>
    <row r="74" spans="3:12" ht="15" customHeight="1">
      <c r="C74" s="102" t="s">
        <v>91</v>
      </c>
      <c r="D74" s="55"/>
      <c r="E74" s="55"/>
      <c r="F74" s="55"/>
      <c r="G74" s="55"/>
      <c r="H74" s="55"/>
      <c r="I74" s="55"/>
      <c r="J74" s="106">
        <v>0</v>
      </c>
      <c r="K74" s="107"/>
      <c r="L74" s="108">
        <v>9.8522167487684722E-4</v>
      </c>
    </row>
    <row r="75" spans="3:12" ht="15" customHeight="1">
      <c r="C75" s="102" t="s">
        <v>999</v>
      </c>
      <c r="D75" s="55"/>
      <c r="E75" s="55"/>
      <c r="F75" s="55"/>
      <c r="G75" s="55"/>
      <c r="H75" s="55"/>
      <c r="I75" s="55"/>
      <c r="J75" s="106">
        <v>0</v>
      </c>
      <c r="K75" s="107"/>
      <c r="L75" s="108">
        <v>9.8522167487684722E-4</v>
      </c>
    </row>
    <row r="76" spans="3:12" ht="15" customHeight="1">
      <c r="C76" s="102" t="s">
        <v>523</v>
      </c>
      <c r="D76" s="55"/>
      <c r="E76" s="55"/>
      <c r="F76" s="55"/>
      <c r="G76" s="55"/>
      <c r="H76" s="55"/>
      <c r="I76" s="55"/>
      <c r="J76" s="106">
        <v>0</v>
      </c>
      <c r="K76" s="107"/>
      <c r="L76" s="108">
        <v>9.8522167487684722E-4</v>
      </c>
    </row>
    <row r="77" spans="3:12" ht="15" customHeight="1">
      <c r="C77" s="102" t="s">
        <v>407</v>
      </c>
      <c r="D77" s="55"/>
      <c r="E77" s="55"/>
      <c r="F77" s="55"/>
      <c r="G77" s="55"/>
      <c r="H77" s="55"/>
      <c r="I77" s="55"/>
      <c r="J77" s="106">
        <v>0</v>
      </c>
      <c r="K77" s="107"/>
      <c r="L77" s="108">
        <v>9.8522167487684722E-4</v>
      </c>
    </row>
    <row r="78" spans="3:12" ht="15" customHeight="1">
      <c r="C78" s="102" t="s">
        <v>1072</v>
      </c>
      <c r="D78" s="55"/>
      <c r="E78" s="55"/>
      <c r="F78" s="55"/>
      <c r="G78" s="55"/>
      <c r="H78" s="55"/>
      <c r="I78" s="55"/>
      <c r="J78" s="106">
        <v>0</v>
      </c>
      <c r="K78" s="107"/>
      <c r="L78" s="108">
        <v>9.8522167487684722E-4</v>
      </c>
    </row>
    <row r="79" spans="3:12" ht="15" customHeight="1">
      <c r="C79" s="102" t="s">
        <v>1080</v>
      </c>
      <c r="D79" s="55"/>
      <c r="E79" s="55"/>
      <c r="F79" s="55"/>
      <c r="G79" s="55"/>
      <c r="H79" s="55"/>
      <c r="I79" s="55"/>
      <c r="J79" s="106">
        <v>0</v>
      </c>
      <c r="K79" s="107"/>
      <c r="L79" s="108">
        <v>9.8522167487684722E-4</v>
      </c>
    </row>
    <row r="80" spans="3:12" ht="15" customHeight="1">
      <c r="C80" s="102" t="s">
        <v>173</v>
      </c>
      <c r="D80" s="55"/>
      <c r="E80" s="55"/>
      <c r="F80" s="55"/>
      <c r="G80" s="55"/>
      <c r="H80" s="55"/>
      <c r="I80" s="55"/>
      <c r="J80" s="106">
        <v>0</v>
      </c>
      <c r="K80" s="107"/>
      <c r="L80" s="108">
        <v>9.8522167487684722E-4</v>
      </c>
    </row>
    <row r="81" spans="3:12" ht="15" customHeight="1">
      <c r="C81" s="102" t="s">
        <v>1010</v>
      </c>
      <c r="D81" s="55"/>
      <c r="E81" s="55"/>
      <c r="F81" s="55"/>
      <c r="G81" s="55"/>
      <c r="H81" s="55"/>
      <c r="I81" s="55"/>
      <c r="J81" s="106">
        <v>0</v>
      </c>
      <c r="K81" s="107"/>
      <c r="L81" s="108">
        <v>9.8522167487684722E-4</v>
      </c>
    </row>
    <row r="82" spans="3:12" ht="15" customHeight="1">
      <c r="C82" s="102" t="s">
        <v>368</v>
      </c>
      <c r="D82" s="55"/>
      <c r="E82" s="55"/>
      <c r="F82" s="55"/>
      <c r="G82" s="55"/>
      <c r="H82" s="55"/>
      <c r="I82" s="55"/>
      <c r="J82" s="106">
        <v>0</v>
      </c>
      <c r="K82" s="107"/>
      <c r="L82" s="108">
        <v>9.8522167487684722E-4</v>
      </c>
    </row>
    <row r="83" spans="3:12" ht="15" customHeight="1">
      <c r="C83" s="102" t="s">
        <v>232</v>
      </c>
      <c r="D83" s="55"/>
      <c r="E83" s="55"/>
      <c r="F83" s="55"/>
      <c r="G83" s="55"/>
      <c r="H83" s="55"/>
      <c r="I83" s="55"/>
      <c r="J83" s="106">
        <v>0</v>
      </c>
      <c r="K83" s="107"/>
      <c r="L83" s="108">
        <v>9.8522167487684722E-4</v>
      </c>
    </row>
    <row r="84" spans="3:12" ht="15" customHeight="1">
      <c r="C84" s="102" t="s">
        <v>939</v>
      </c>
      <c r="D84" s="55"/>
      <c r="E84" s="55"/>
      <c r="F84" s="55"/>
      <c r="G84" s="55"/>
      <c r="H84" s="55"/>
      <c r="I84" s="55"/>
      <c r="J84" s="106">
        <v>0</v>
      </c>
      <c r="K84" s="107"/>
      <c r="L84" s="108">
        <v>9.8522167487684722E-4</v>
      </c>
    </row>
    <row r="85" spans="3:12" ht="15" customHeight="1">
      <c r="C85" s="102" t="s">
        <v>782</v>
      </c>
      <c r="D85" s="55"/>
      <c r="E85" s="55"/>
      <c r="F85" s="55"/>
      <c r="G85" s="55"/>
      <c r="H85" s="55"/>
      <c r="I85" s="55"/>
      <c r="J85" s="106">
        <v>0</v>
      </c>
      <c r="K85" s="107"/>
      <c r="L85" s="108">
        <v>9.8522167487684722E-4</v>
      </c>
    </row>
    <row r="86" spans="3:12" ht="15" customHeight="1">
      <c r="C86" s="102" t="s">
        <v>942</v>
      </c>
      <c r="D86" s="55"/>
      <c r="E86" s="55"/>
      <c r="F86" s="55"/>
      <c r="G86" s="55"/>
      <c r="H86" s="55"/>
      <c r="I86" s="55"/>
      <c r="J86" s="106">
        <v>0</v>
      </c>
      <c r="K86" s="107"/>
      <c r="L86" s="108">
        <v>9.8522167487684722E-4</v>
      </c>
    </row>
    <row r="87" spans="3:12" ht="15" customHeight="1">
      <c r="C87" s="102" t="s">
        <v>406</v>
      </c>
      <c r="D87" s="55"/>
      <c r="E87" s="55"/>
      <c r="F87" s="55"/>
      <c r="G87" s="55"/>
      <c r="H87" s="55"/>
      <c r="I87" s="55"/>
      <c r="J87" s="106">
        <v>0</v>
      </c>
      <c r="K87" s="107"/>
      <c r="L87" s="108">
        <v>9.8522167487684722E-4</v>
      </c>
    </row>
    <row r="88" spans="3:12" ht="15" customHeight="1">
      <c r="C88" s="102" t="s">
        <v>1057</v>
      </c>
      <c r="D88" s="55"/>
      <c r="E88" s="55"/>
      <c r="F88" s="55"/>
      <c r="G88" s="55"/>
      <c r="H88" s="55"/>
      <c r="I88" s="55"/>
      <c r="J88" s="106">
        <v>0</v>
      </c>
      <c r="K88" s="107"/>
      <c r="L88" s="108">
        <v>9.8522167487684722E-4</v>
      </c>
    </row>
    <row r="89" spans="3:12" ht="15" customHeight="1">
      <c r="C89" s="102" t="s">
        <v>989</v>
      </c>
      <c r="D89" s="55"/>
      <c r="E89" s="55"/>
      <c r="F89" s="55"/>
      <c r="G89" s="55"/>
      <c r="H89" s="55"/>
      <c r="I89" s="55"/>
      <c r="J89" s="106">
        <v>0</v>
      </c>
      <c r="K89" s="107"/>
      <c r="L89" s="108">
        <v>9.8522167487684722E-4</v>
      </c>
    </row>
    <row r="90" spans="3:12" ht="15" customHeight="1">
      <c r="C90" s="102" t="s">
        <v>729</v>
      </c>
      <c r="D90" s="55"/>
      <c r="E90" s="55"/>
      <c r="F90" s="55"/>
      <c r="G90" s="55"/>
      <c r="H90" s="55"/>
      <c r="I90" s="55"/>
      <c r="J90" s="106">
        <v>0</v>
      </c>
      <c r="K90" s="107"/>
      <c r="L90" s="108">
        <v>9.8522167487684722E-4</v>
      </c>
    </row>
    <row r="91" spans="3:12" ht="15" customHeight="1">
      <c r="C91" s="102" t="s">
        <v>926</v>
      </c>
      <c r="D91" s="55"/>
      <c r="E91" s="55"/>
      <c r="F91" s="55"/>
      <c r="G91" s="55"/>
      <c r="H91" s="55"/>
      <c r="I91" s="55"/>
      <c r="J91" s="106">
        <v>0</v>
      </c>
      <c r="K91" s="107"/>
      <c r="L91" s="108">
        <v>9.8522167487684722E-4</v>
      </c>
    </row>
    <row r="92" spans="3:12" ht="15" customHeight="1">
      <c r="C92" s="102" t="s">
        <v>1090</v>
      </c>
      <c r="D92" s="55"/>
      <c r="E92" s="55"/>
      <c r="F92" s="55"/>
      <c r="G92" s="55"/>
      <c r="H92" s="55"/>
      <c r="I92" s="55"/>
      <c r="J92" s="106">
        <v>0</v>
      </c>
      <c r="K92" s="107"/>
      <c r="L92" s="108">
        <v>9.8522167487684722E-4</v>
      </c>
    </row>
    <row r="93" spans="3:12" ht="15" customHeight="1">
      <c r="C93" s="102" t="s">
        <v>1001</v>
      </c>
      <c r="D93" s="55"/>
      <c r="E93" s="55"/>
      <c r="F93" s="55"/>
      <c r="G93" s="55"/>
      <c r="H93" s="55"/>
      <c r="I93" s="55"/>
      <c r="J93" s="106">
        <v>0</v>
      </c>
      <c r="K93" s="107"/>
      <c r="L93" s="108">
        <v>9.8522167487684722E-4</v>
      </c>
    </row>
    <row r="94" spans="3:12" ht="15" customHeight="1">
      <c r="C94" s="102" t="s">
        <v>809</v>
      </c>
      <c r="D94" s="55"/>
      <c r="E94" s="55"/>
      <c r="F94" s="55"/>
      <c r="G94" s="55"/>
      <c r="H94" s="55"/>
      <c r="I94" s="55"/>
      <c r="J94" s="106">
        <v>0</v>
      </c>
      <c r="K94" s="107"/>
      <c r="L94" s="108">
        <v>9.8522167487684722E-4</v>
      </c>
    </row>
    <row r="95" spans="3:12" ht="15" customHeight="1">
      <c r="C95" s="102" t="s">
        <v>597</v>
      </c>
      <c r="D95" s="55"/>
      <c r="E95" s="55"/>
      <c r="F95" s="55"/>
      <c r="G95" s="55"/>
      <c r="H95" s="55"/>
      <c r="I95" s="55"/>
      <c r="J95" s="106">
        <v>0</v>
      </c>
      <c r="K95" s="107"/>
      <c r="L95" s="108">
        <v>9.8522167487684722E-4</v>
      </c>
    </row>
    <row r="96" spans="3:12" ht="15" customHeight="1">
      <c r="C96" s="102" t="s">
        <v>639</v>
      </c>
      <c r="D96" s="55"/>
      <c r="E96" s="55"/>
      <c r="F96" s="55"/>
      <c r="G96" s="55"/>
      <c r="H96" s="55"/>
      <c r="I96" s="55"/>
      <c r="J96" s="106">
        <v>0</v>
      </c>
      <c r="K96" s="107"/>
      <c r="L96" s="108">
        <v>9.8522167487684722E-4</v>
      </c>
    </row>
    <row r="97" spans="3:12" ht="15" customHeight="1">
      <c r="C97" s="102" t="s">
        <v>599</v>
      </c>
      <c r="D97" s="55"/>
      <c r="E97" s="55"/>
      <c r="F97" s="55"/>
      <c r="G97" s="55"/>
      <c r="H97" s="55"/>
      <c r="I97" s="55"/>
      <c r="J97" s="106">
        <v>0</v>
      </c>
      <c r="K97" s="107"/>
      <c r="L97" s="108">
        <v>9.8522167487684722E-4</v>
      </c>
    </row>
    <row r="98" spans="3:12" ht="15" customHeight="1">
      <c r="C98" s="102" t="s">
        <v>306</v>
      </c>
      <c r="D98" s="55"/>
      <c r="E98" s="55"/>
      <c r="F98" s="55"/>
      <c r="G98" s="55"/>
      <c r="H98" s="55"/>
      <c r="I98" s="55"/>
      <c r="J98" s="106">
        <v>0</v>
      </c>
      <c r="K98" s="107"/>
      <c r="L98" s="108">
        <v>9.8522167487684722E-4</v>
      </c>
    </row>
    <row r="99" spans="3:12" ht="15" customHeight="1">
      <c r="C99" s="102" t="s">
        <v>267</v>
      </c>
      <c r="D99" s="55"/>
      <c r="E99" s="55"/>
      <c r="F99" s="55"/>
      <c r="G99" s="55"/>
      <c r="H99" s="55"/>
      <c r="I99" s="55"/>
      <c r="J99" s="106">
        <v>0</v>
      </c>
      <c r="K99" s="107"/>
      <c r="L99" s="108">
        <v>9.8522167487684722E-4</v>
      </c>
    </row>
    <row r="100" spans="3:12" ht="15" customHeight="1">
      <c r="C100" s="102" t="s">
        <v>147</v>
      </c>
      <c r="D100" s="55"/>
      <c r="E100" s="55"/>
      <c r="F100" s="55"/>
      <c r="G100" s="55"/>
      <c r="H100" s="55"/>
      <c r="I100" s="55"/>
      <c r="J100" s="106">
        <v>0</v>
      </c>
      <c r="K100" s="107"/>
      <c r="L100" s="108">
        <v>9.8522167487684722E-4</v>
      </c>
    </row>
    <row r="101" spans="3:12" ht="15" customHeight="1">
      <c r="C101" s="102" t="s">
        <v>273</v>
      </c>
      <c r="D101" s="55"/>
      <c r="E101" s="55"/>
      <c r="F101" s="55"/>
      <c r="G101" s="55"/>
      <c r="H101" s="55"/>
      <c r="I101" s="55"/>
      <c r="J101" s="106">
        <v>0</v>
      </c>
      <c r="K101" s="107"/>
      <c r="L101" s="108">
        <v>9.8522167487684722E-4</v>
      </c>
    </row>
    <row r="102" spans="3:12" ht="15" customHeight="1">
      <c r="C102" s="102" t="s">
        <v>730</v>
      </c>
      <c r="D102" s="55"/>
      <c r="E102" s="55"/>
      <c r="F102" s="55"/>
      <c r="G102" s="55"/>
      <c r="H102" s="55"/>
      <c r="I102" s="55"/>
      <c r="J102" s="106">
        <v>0</v>
      </c>
      <c r="K102" s="107"/>
      <c r="L102" s="108">
        <v>9.8522167487684722E-4</v>
      </c>
    </row>
    <row r="103" spans="3:12" ht="15" customHeight="1">
      <c r="C103" s="102" t="s">
        <v>556</v>
      </c>
      <c r="D103" s="55"/>
      <c r="E103" s="55"/>
      <c r="F103" s="55"/>
      <c r="G103" s="55"/>
      <c r="H103" s="55"/>
      <c r="I103" s="55"/>
      <c r="J103" s="106">
        <v>0</v>
      </c>
      <c r="K103" s="107"/>
      <c r="L103" s="108">
        <v>9.8522167487684722E-4</v>
      </c>
    </row>
    <row r="104" spans="3:12" ht="15" customHeight="1">
      <c r="C104" s="102" t="s">
        <v>148</v>
      </c>
      <c r="D104" s="55"/>
      <c r="E104" s="55"/>
      <c r="F104" s="55"/>
      <c r="G104" s="55"/>
      <c r="H104" s="55"/>
      <c r="I104" s="55"/>
      <c r="J104" s="106">
        <v>0</v>
      </c>
      <c r="K104" s="107"/>
      <c r="L104" s="108">
        <v>9.8522167487684722E-4</v>
      </c>
    </row>
    <row r="105" spans="3:12" ht="15" customHeight="1">
      <c r="C105" s="102" t="s">
        <v>811</v>
      </c>
      <c r="D105" s="55"/>
      <c r="E105" s="55"/>
      <c r="F105" s="55"/>
      <c r="G105" s="55"/>
      <c r="H105" s="55"/>
      <c r="I105" s="55"/>
      <c r="J105" s="106">
        <v>0</v>
      </c>
      <c r="K105" s="107"/>
      <c r="L105" s="108">
        <v>9.8522167487684722E-4</v>
      </c>
    </row>
    <row r="106" spans="3:12" ht="15" customHeight="1">
      <c r="C106" s="102" t="s">
        <v>1026</v>
      </c>
      <c r="D106" s="55"/>
      <c r="E106" s="55"/>
      <c r="F106" s="55"/>
      <c r="G106" s="55"/>
      <c r="H106" s="55"/>
      <c r="I106" s="55"/>
      <c r="J106" s="106">
        <v>0</v>
      </c>
      <c r="K106" s="107"/>
      <c r="L106" s="108">
        <v>9.8522167487684722E-4</v>
      </c>
    </row>
    <row r="107" spans="3:12" ht="15" customHeight="1">
      <c r="C107" s="102" t="s">
        <v>279</v>
      </c>
      <c r="D107" s="55"/>
      <c r="E107" s="55"/>
      <c r="F107" s="55"/>
      <c r="G107" s="55"/>
      <c r="H107" s="55"/>
      <c r="I107" s="55"/>
      <c r="J107" s="106">
        <v>0</v>
      </c>
      <c r="K107" s="107"/>
      <c r="L107" s="108">
        <v>9.8522167487684722E-4</v>
      </c>
    </row>
    <row r="108" spans="3:12" ht="15" customHeight="1">
      <c r="C108" s="102" t="s">
        <v>753</v>
      </c>
      <c r="D108" s="55"/>
      <c r="E108" s="55"/>
      <c r="F108" s="55"/>
      <c r="G108" s="55"/>
      <c r="H108" s="55"/>
      <c r="I108" s="55"/>
      <c r="J108" s="106">
        <v>0</v>
      </c>
      <c r="K108" s="107"/>
      <c r="L108" s="108">
        <v>9.8522167487684722E-4</v>
      </c>
    </row>
    <row r="109" spans="3:12" ht="15" customHeight="1">
      <c r="C109" s="102" t="s">
        <v>1089</v>
      </c>
      <c r="D109" s="55"/>
      <c r="E109" s="55"/>
      <c r="F109" s="55"/>
      <c r="G109" s="55"/>
      <c r="H109" s="55"/>
      <c r="I109" s="55"/>
      <c r="J109" s="106">
        <v>0</v>
      </c>
      <c r="K109" s="107"/>
      <c r="L109" s="108">
        <v>9.8522167487684722E-4</v>
      </c>
    </row>
    <row r="110" spans="3:12" ht="15" customHeight="1">
      <c r="C110" s="102" t="s">
        <v>837</v>
      </c>
      <c r="D110" s="55"/>
      <c r="E110" s="55"/>
      <c r="F110" s="55"/>
      <c r="G110" s="55"/>
      <c r="H110" s="55"/>
      <c r="I110" s="55"/>
      <c r="J110" s="106">
        <v>0</v>
      </c>
      <c r="K110" s="107"/>
      <c r="L110" s="108">
        <v>9.8522167487684722E-4</v>
      </c>
    </row>
    <row r="111" spans="3:12" ht="15" customHeight="1">
      <c r="C111" s="102" t="s">
        <v>866</v>
      </c>
      <c r="D111" s="55"/>
      <c r="E111" s="55"/>
      <c r="F111" s="55"/>
      <c r="G111" s="55"/>
      <c r="H111" s="55"/>
      <c r="I111" s="55"/>
      <c r="J111" s="106">
        <v>0</v>
      </c>
      <c r="K111" s="107"/>
      <c r="L111" s="108">
        <v>9.8522167487684722E-4</v>
      </c>
    </row>
    <row r="112" spans="3:12" ht="15" customHeight="1">
      <c r="C112" s="102" t="s">
        <v>734</v>
      </c>
      <c r="D112" s="55"/>
      <c r="E112" s="55"/>
      <c r="F112" s="55"/>
      <c r="G112" s="55"/>
      <c r="H112" s="55"/>
      <c r="I112" s="55"/>
      <c r="J112" s="106">
        <v>0</v>
      </c>
      <c r="K112" s="107"/>
      <c r="L112" s="108">
        <v>9.8522167487684722E-4</v>
      </c>
    </row>
    <row r="113" spans="3:12" ht="15" customHeight="1">
      <c r="C113" s="102" t="s">
        <v>1120</v>
      </c>
      <c r="D113" s="55"/>
      <c r="E113" s="55"/>
      <c r="F113" s="55"/>
      <c r="G113" s="55"/>
      <c r="H113" s="55"/>
      <c r="I113" s="55"/>
      <c r="J113" s="106">
        <v>0</v>
      </c>
      <c r="K113" s="107"/>
      <c r="L113" s="108">
        <v>9.8522167487684722E-4</v>
      </c>
    </row>
    <row r="114" spans="3:12" ht="15" customHeight="1">
      <c r="C114" s="102" t="s">
        <v>478</v>
      </c>
      <c r="D114" s="55"/>
      <c r="E114" s="55"/>
      <c r="F114" s="55"/>
      <c r="G114" s="55"/>
      <c r="H114" s="55"/>
      <c r="I114" s="55"/>
      <c r="J114" s="106">
        <v>0</v>
      </c>
      <c r="K114" s="107"/>
      <c r="L114" s="108">
        <v>9.8522167487684722E-4</v>
      </c>
    </row>
    <row r="115" spans="3:12" ht="15" customHeight="1">
      <c r="C115" s="102" t="s">
        <v>1117</v>
      </c>
      <c r="D115" s="55"/>
      <c r="E115" s="55"/>
      <c r="F115" s="55"/>
      <c r="G115" s="55"/>
      <c r="H115" s="55"/>
      <c r="I115" s="55"/>
      <c r="J115" s="106">
        <v>0</v>
      </c>
      <c r="K115" s="107"/>
      <c r="L115" s="108">
        <v>9.8522167487684722E-4</v>
      </c>
    </row>
    <row r="116" spans="3:12" ht="15" customHeight="1">
      <c r="C116" s="102" t="s">
        <v>931</v>
      </c>
      <c r="D116" s="55"/>
      <c r="E116" s="55"/>
      <c r="F116" s="55"/>
      <c r="G116" s="55"/>
      <c r="H116" s="55"/>
      <c r="I116" s="55"/>
      <c r="J116" s="106">
        <v>0</v>
      </c>
      <c r="K116" s="107"/>
      <c r="L116" s="108">
        <v>9.8522167487684722E-4</v>
      </c>
    </row>
    <row r="117" spans="3:12" ht="15" customHeight="1">
      <c r="C117" s="102" t="s">
        <v>831</v>
      </c>
      <c r="D117" s="55"/>
      <c r="E117" s="55"/>
      <c r="F117" s="55"/>
      <c r="G117" s="55"/>
      <c r="H117" s="55"/>
      <c r="I117" s="55"/>
      <c r="J117" s="106">
        <v>0</v>
      </c>
      <c r="K117" s="107"/>
      <c r="L117" s="108">
        <v>9.8522167487684722E-4</v>
      </c>
    </row>
    <row r="118" spans="3:12" ht="15" customHeight="1">
      <c r="C118" s="102" t="s">
        <v>97</v>
      </c>
      <c r="D118" s="55"/>
      <c r="E118" s="55"/>
      <c r="F118" s="55"/>
      <c r="G118" s="55"/>
      <c r="H118" s="55"/>
      <c r="I118" s="55"/>
      <c r="J118" s="106">
        <v>0</v>
      </c>
      <c r="K118" s="107"/>
      <c r="L118" s="108">
        <v>9.8522167487684722E-4</v>
      </c>
    </row>
    <row r="119" spans="3:12" ht="15" customHeight="1">
      <c r="C119" s="102" t="s">
        <v>338</v>
      </c>
      <c r="D119" s="55"/>
      <c r="E119" s="55"/>
      <c r="F119" s="55"/>
      <c r="G119" s="55"/>
      <c r="H119" s="55"/>
      <c r="I119" s="55"/>
      <c r="J119" s="106">
        <v>0</v>
      </c>
      <c r="K119" s="107"/>
      <c r="L119" s="108">
        <v>9.8522167487684722E-4</v>
      </c>
    </row>
    <row r="120" spans="3:12" ht="15" customHeight="1">
      <c r="C120" s="102" t="s">
        <v>529</v>
      </c>
      <c r="D120" s="55"/>
      <c r="E120" s="55"/>
      <c r="F120" s="55"/>
      <c r="G120" s="55"/>
      <c r="H120" s="55"/>
      <c r="I120" s="55"/>
      <c r="J120" s="106">
        <v>0</v>
      </c>
      <c r="K120" s="107"/>
      <c r="L120" s="108">
        <v>9.8522167487684722E-4</v>
      </c>
    </row>
    <row r="121" spans="3:12" ht="15" customHeight="1">
      <c r="C121" s="102" t="s">
        <v>668</v>
      </c>
      <c r="D121" s="55"/>
      <c r="E121" s="55"/>
      <c r="F121" s="55"/>
      <c r="G121" s="55"/>
      <c r="H121" s="55"/>
      <c r="I121" s="55"/>
      <c r="J121" s="106">
        <v>0</v>
      </c>
      <c r="K121" s="107"/>
      <c r="L121" s="108">
        <v>9.8522167487684722E-4</v>
      </c>
    </row>
    <row r="122" spans="3:12" ht="15" customHeight="1">
      <c r="C122" s="102" t="s">
        <v>487</v>
      </c>
      <c r="D122" s="55"/>
      <c r="E122" s="55"/>
      <c r="F122" s="55"/>
      <c r="G122" s="55"/>
      <c r="H122" s="55"/>
      <c r="I122" s="55"/>
      <c r="J122" s="106">
        <v>0</v>
      </c>
      <c r="K122" s="107"/>
      <c r="L122" s="108">
        <v>9.8522167487684722E-4</v>
      </c>
    </row>
    <row r="123" spans="3:12" ht="15" customHeight="1">
      <c r="C123" s="102" t="s">
        <v>663</v>
      </c>
      <c r="D123" s="55"/>
      <c r="E123" s="55"/>
      <c r="F123" s="55"/>
      <c r="G123" s="55"/>
      <c r="H123" s="55"/>
      <c r="I123" s="55"/>
      <c r="J123" s="106">
        <v>0</v>
      </c>
      <c r="K123" s="107"/>
      <c r="L123" s="108">
        <v>9.8522167487684722E-4</v>
      </c>
    </row>
    <row r="124" spans="3:12" ht="15" customHeight="1">
      <c r="C124" s="102" t="s">
        <v>199</v>
      </c>
      <c r="D124" s="55"/>
      <c r="E124" s="55"/>
      <c r="F124" s="55"/>
      <c r="G124" s="55"/>
      <c r="H124" s="55"/>
      <c r="I124" s="55"/>
      <c r="J124" s="106">
        <v>0</v>
      </c>
      <c r="K124" s="107"/>
      <c r="L124" s="108">
        <v>9.8522167487684722E-4</v>
      </c>
    </row>
    <row r="125" spans="3:12" ht="15" customHeight="1">
      <c r="C125" s="102" t="s">
        <v>708</v>
      </c>
      <c r="D125" s="55"/>
      <c r="E125" s="55"/>
      <c r="F125" s="55"/>
      <c r="G125" s="55"/>
      <c r="H125" s="55"/>
      <c r="I125" s="55"/>
      <c r="J125" s="106">
        <v>0</v>
      </c>
      <c r="K125" s="107"/>
      <c r="L125" s="108">
        <v>9.8522167487684722E-4</v>
      </c>
    </row>
    <row r="126" spans="3:12" ht="15" customHeight="1">
      <c r="C126" s="102" t="s">
        <v>660</v>
      </c>
      <c r="D126" s="55"/>
      <c r="E126" s="55"/>
      <c r="F126" s="55"/>
      <c r="G126" s="55"/>
      <c r="H126" s="55"/>
      <c r="I126" s="55"/>
      <c r="J126" s="106">
        <v>0</v>
      </c>
      <c r="K126" s="107"/>
      <c r="L126" s="108">
        <v>9.8522167487684722E-4</v>
      </c>
    </row>
    <row r="127" spans="3:12" ht="15" customHeight="1">
      <c r="C127" s="102" t="s">
        <v>567</v>
      </c>
      <c r="D127" s="55"/>
      <c r="E127" s="55"/>
      <c r="F127" s="55"/>
      <c r="G127" s="55"/>
      <c r="H127" s="55"/>
      <c r="I127" s="55"/>
      <c r="J127" s="106">
        <v>0</v>
      </c>
      <c r="K127" s="107"/>
      <c r="L127" s="108">
        <v>9.8522167487684722E-4</v>
      </c>
    </row>
    <row r="128" spans="3:12" ht="15" customHeight="1">
      <c r="C128" s="102" t="s">
        <v>216</v>
      </c>
      <c r="D128" s="55"/>
      <c r="E128" s="55"/>
      <c r="F128" s="55"/>
      <c r="G128" s="55"/>
      <c r="H128" s="55"/>
      <c r="I128" s="55"/>
      <c r="J128" s="106">
        <v>0</v>
      </c>
      <c r="K128" s="107"/>
      <c r="L128" s="108">
        <v>9.8522167487684722E-4</v>
      </c>
    </row>
    <row r="129" spans="3:12" ht="15" customHeight="1">
      <c r="C129" s="102" t="s">
        <v>404</v>
      </c>
      <c r="D129" s="55"/>
      <c r="E129" s="55"/>
      <c r="F129" s="55"/>
      <c r="G129" s="55"/>
      <c r="H129" s="55"/>
      <c r="I129" s="55"/>
      <c r="J129" s="106">
        <v>0</v>
      </c>
      <c r="K129" s="107"/>
      <c r="L129" s="108">
        <v>9.8522167487684722E-4</v>
      </c>
    </row>
    <row r="130" spans="3:12" ht="15" customHeight="1">
      <c r="C130" s="102" t="s">
        <v>342</v>
      </c>
      <c r="D130" s="55"/>
      <c r="E130" s="55"/>
      <c r="F130" s="55"/>
      <c r="G130" s="55"/>
      <c r="H130" s="55"/>
      <c r="I130" s="55"/>
      <c r="J130" s="106">
        <v>0</v>
      </c>
      <c r="K130" s="107"/>
      <c r="L130" s="108">
        <v>9.8522167487684722E-4</v>
      </c>
    </row>
    <row r="131" spans="3:12" ht="15" customHeight="1">
      <c r="C131" s="102" t="s">
        <v>1009</v>
      </c>
      <c r="D131" s="55"/>
      <c r="E131" s="55"/>
      <c r="F131" s="55"/>
      <c r="G131" s="55"/>
      <c r="H131" s="55"/>
      <c r="I131" s="55"/>
      <c r="J131" s="106">
        <v>0</v>
      </c>
      <c r="K131" s="107"/>
      <c r="L131" s="108">
        <v>9.8522167487684722E-4</v>
      </c>
    </row>
    <row r="132" spans="3:12" ht="15" customHeight="1">
      <c r="C132" s="102" t="s">
        <v>903</v>
      </c>
      <c r="D132" s="55"/>
      <c r="E132" s="55"/>
      <c r="F132" s="55"/>
      <c r="G132" s="55"/>
      <c r="H132" s="55"/>
      <c r="I132" s="55"/>
      <c r="J132" s="106">
        <v>0</v>
      </c>
      <c r="K132" s="107"/>
      <c r="L132" s="108">
        <v>9.8522167487684722E-4</v>
      </c>
    </row>
    <row r="133" spans="3:12" ht="15" customHeight="1">
      <c r="C133" s="102" t="s">
        <v>877</v>
      </c>
      <c r="D133" s="55"/>
      <c r="E133" s="55"/>
      <c r="F133" s="55"/>
      <c r="G133" s="55"/>
      <c r="H133" s="55"/>
      <c r="I133" s="55"/>
      <c r="J133" s="106">
        <v>0</v>
      </c>
      <c r="K133" s="107"/>
      <c r="L133" s="108">
        <v>9.8522167487684722E-4</v>
      </c>
    </row>
    <row r="134" spans="3:12" ht="15" customHeight="1">
      <c r="C134" s="102" t="s">
        <v>455</v>
      </c>
      <c r="D134" s="55"/>
      <c r="E134" s="55"/>
      <c r="F134" s="55"/>
      <c r="G134" s="55"/>
      <c r="H134" s="55"/>
      <c r="I134" s="55"/>
      <c r="J134" s="106">
        <v>0</v>
      </c>
      <c r="K134" s="107"/>
      <c r="L134" s="108">
        <v>9.8522167487684722E-4</v>
      </c>
    </row>
    <row r="135" spans="3:12" ht="15" customHeight="1">
      <c r="C135" s="102" t="s">
        <v>319</v>
      </c>
      <c r="D135" s="55"/>
      <c r="E135" s="55"/>
      <c r="F135" s="55"/>
      <c r="G135" s="55"/>
      <c r="H135" s="55"/>
      <c r="I135" s="55"/>
      <c r="J135" s="106">
        <v>0</v>
      </c>
      <c r="K135" s="107"/>
      <c r="L135" s="108">
        <v>9.8522167487684722E-4</v>
      </c>
    </row>
    <row r="136" spans="3:12" ht="15" customHeight="1">
      <c r="C136" s="102" t="s">
        <v>113</v>
      </c>
      <c r="D136" s="55"/>
      <c r="E136" s="55"/>
      <c r="F136" s="55"/>
      <c r="G136" s="55"/>
      <c r="H136" s="55"/>
      <c r="I136" s="55"/>
      <c r="J136" s="106">
        <v>0</v>
      </c>
      <c r="K136" s="107"/>
      <c r="L136" s="108">
        <v>9.8522167487684722E-4</v>
      </c>
    </row>
    <row r="137" spans="3:12" ht="15" customHeight="1">
      <c r="C137" s="102" t="s">
        <v>769</v>
      </c>
      <c r="D137" s="55"/>
      <c r="E137" s="55"/>
      <c r="F137" s="55"/>
      <c r="G137" s="55"/>
      <c r="H137" s="55"/>
      <c r="I137" s="55"/>
      <c r="J137" s="106">
        <v>0</v>
      </c>
      <c r="K137" s="107"/>
      <c r="L137" s="108">
        <v>9.8522167487684722E-4</v>
      </c>
    </row>
    <row r="138" spans="3:12" ht="15" customHeight="1">
      <c r="C138" s="102" t="s">
        <v>966</v>
      </c>
      <c r="D138" s="55"/>
      <c r="E138" s="55"/>
      <c r="F138" s="55"/>
      <c r="G138" s="55"/>
      <c r="H138" s="55"/>
      <c r="I138" s="55"/>
      <c r="J138" s="106">
        <v>0</v>
      </c>
      <c r="K138" s="107"/>
      <c r="L138" s="108">
        <v>9.8522167487684722E-4</v>
      </c>
    </row>
    <row r="139" spans="3:12" ht="15" customHeight="1">
      <c r="C139" s="102" t="s">
        <v>757</v>
      </c>
      <c r="D139" s="55"/>
      <c r="E139" s="55"/>
      <c r="F139" s="55"/>
      <c r="G139" s="55"/>
      <c r="H139" s="55"/>
      <c r="I139" s="55"/>
      <c r="J139" s="106">
        <v>0</v>
      </c>
      <c r="K139" s="107"/>
      <c r="L139" s="108">
        <v>9.8522167487684722E-4</v>
      </c>
    </row>
    <row r="140" spans="3:12" ht="15" customHeight="1">
      <c r="C140" s="102" t="s">
        <v>569</v>
      </c>
      <c r="D140" s="55"/>
      <c r="E140" s="55"/>
      <c r="F140" s="55"/>
      <c r="G140" s="55"/>
      <c r="H140" s="55"/>
      <c r="I140" s="55"/>
      <c r="J140" s="106">
        <v>0</v>
      </c>
      <c r="K140" s="107"/>
      <c r="L140" s="108">
        <v>9.8522167487684722E-4</v>
      </c>
    </row>
    <row r="141" spans="3:12" ht="15" customHeight="1">
      <c r="C141" s="102" t="s">
        <v>129</v>
      </c>
      <c r="D141" s="55"/>
      <c r="E141" s="55"/>
      <c r="F141" s="55"/>
      <c r="G141" s="55"/>
      <c r="H141" s="55"/>
      <c r="I141" s="55"/>
      <c r="J141" s="106">
        <v>0</v>
      </c>
      <c r="K141" s="107"/>
      <c r="L141" s="108">
        <v>9.8522167487684722E-4</v>
      </c>
    </row>
    <row r="142" spans="3:12" ht="15" customHeight="1">
      <c r="C142" s="102" t="s">
        <v>85</v>
      </c>
      <c r="D142" s="55"/>
      <c r="E142" s="55"/>
      <c r="F142" s="55"/>
      <c r="G142" s="55"/>
      <c r="H142" s="55"/>
      <c r="I142" s="55"/>
      <c r="J142" s="106">
        <v>0</v>
      </c>
      <c r="K142" s="107"/>
      <c r="L142" s="108">
        <v>9.8522167487684722E-4</v>
      </c>
    </row>
    <row r="143" spans="3:12" ht="15" customHeight="1">
      <c r="C143" s="102" t="s">
        <v>1055</v>
      </c>
      <c r="D143" s="55"/>
      <c r="E143" s="55"/>
      <c r="F143" s="55"/>
      <c r="G143" s="55"/>
      <c r="H143" s="55"/>
      <c r="I143" s="55"/>
      <c r="J143" s="106">
        <v>0</v>
      </c>
      <c r="K143" s="107"/>
      <c r="L143" s="108">
        <v>9.8522167487684722E-4</v>
      </c>
    </row>
    <row r="144" spans="3:12" ht="15" customHeight="1">
      <c r="C144" s="102" t="s">
        <v>910</v>
      </c>
      <c r="D144" s="55"/>
      <c r="E144" s="55"/>
      <c r="F144" s="55"/>
      <c r="G144" s="55"/>
      <c r="H144" s="55"/>
      <c r="I144" s="55"/>
      <c r="J144" s="106">
        <v>0</v>
      </c>
      <c r="K144" s="107"/>
      <c r="L144" s="108">
        <v>9.8522167487684722E-4</v>
      </c>
    </row>
    <row r="145" spans="3:12" ht="15" customHeight="1">
      <c r="C145" s="102" t="s">
        <v>984</v>
      </c>
      <c r="D145" s="55"/>
      <c r="E145" s="55"/>
      <c r="F145" s="55"/>
      <c r="G145" s="55"/>
      <c r="H145" s="55"/>
      <c r="I145" s="55"/>
      <c r="J145" s="106">
        <v>0</v>
      </c>
      <c r="K145" s="107"/>
      <c r="L145" s="108">
        <v>9.8522167487684722E-4</v>
      </c>
    </row>
    <row r="146" spans="3:12" ht="15" customHeight="1">
      <c r="C146" s="102" t="s">
        <v>728</v>
      </c>
      <c r="D146" s="55"/>
      <c r="E146" s="55"/>
      <c r="F146" s="55"/>
      <c r="G146" s="55"/>
      <c r="H146" s="55"/>
      <c r="I146" s="55"/>
      <c r="J146" s="106">
        <v>0</v>
      </c>
      <c r="K146" s="107"/>
      <c r="L146" s="108">
        <v>9.8522167487684722E-4</v>
      </c>
    </row>
    <row r="147" spans="3:12" ht="15" customHeight="1">
      <c r="C147" s="102" t="s">
        <v>944</v>
      </c>
      <c r="D147" s="55"/>
      <c r="E147" s="55"/>
      <c r="F147" s="55"/>
      <c r="G147" s="55"/>
      <c r="H147" s="55"/>
      <c r="I147" s="55"/>
      <c r="J147" s="106">
        <v>0</v>
      </c>
      <c r="K147" s="107"/>
      <c r="L147" s="108">
        <v>9.8522167487684722E-4</v>
      </c>
    </row>
    <row r="148" spans="3:12" ht="15" customHeight="1">
      <c r="C148" s="102" t="s">
        <v>246</v>
      </c>
      <c r="D148" s="55"/>
      <c r="E148" s="55"/>
      <c r="F148" s="55"/>
      <c r="G148" s="55"/>
      <c r="H148" s="55"/>
      <c r="I148" s="55"/>
      <c r="J148" s="106">
        <v>0</v>
      </c>
      <c r="K148" s="107"/>
      <c r="L148" s="108">
        <v>9.8522167487684722E-4</v>
      </c>
    </row>
    <row r="149" spans="3:12" ht="15" customHeight="1">
      <c r="C149" s="102" t="s">
        <v>421</v>
      </c>
      <c r="D149" s="55"/>
      <c r="E149" s="55"/>
      <c r="F149" s="55"/>
      <c r="G149" s="55"/>
      <c r="H149" s="55"/>
      <c r="I149" s="55"/>
      <c r="J149" s="106">
        <v>0</v>
      </c>
      <c r="K149" s="107"/>
      <c r="L149" s="108">
        <v>9.8522167487684722E-4</v>
      </c>
    </row>
    <row r="150" spans="3:12" ht="15" customHeight="1">
      <c r="C150" s="102" t="s">
        <v>525</v>
      </c>
      <c r="D150" s="55"/>
      <c r="E150" s="55"/>
      <c r="F150" s="55"/>
      <c r="G150" s="55"/>
      <c r="H150" s="55"/>
      <c r="I150" s="55"/>
      <c r="J150" s="106">
        <v>0</v>
      </c>
      <c r="K150" s="107"/>
      <c r="L150" s="108">
        <v>9.8522167487684722E-4</v>
      </c>
    </row>
    <row r="151" spans="3:12" ht="15" customHeight="1">
      <c r="C151" s="102" t="s">
        <v>1087</v>
      </c>
      <c r="D151" s="55"/>
      <c r="E151" s="55"/>
      <c r="F151" s="55"/>
      <c r="G151" s="55"/>
      <c r="H151" s="55"/>
      <c r="I151" s="55"/>
      <c r="J151" s="106">
        <v>0</v>
      </c>
      <c r="K151" s="107"/>
      <c r="L151" s="108">
        <v>9.8522167487684722E-4</v>
      </c>
    </row>
    <row r="152" spans="3:12" ht="15" customHeight="1">
      <c r="C152" s="102" t="s">
        <v>723</v>
      </c>
      <c r="D152" s="55"/>
      <c r="E152" s="55"/>
      <c r="F152" s="55"/>
      <c r="G152" s="55"/>
      <c r="H152" s="55"/>
      <c r="I152" s="55"/>
      <c r="J152" s="106">
        <v>0</v>
      </c>
      <c r="K152" s="107"/>
      <c r="L152" s="108">
        <v>9.8522167487684722E-4</v>
      </c>
    </row>
    <row r="153" spans="3:12" ht="15" customHeight="1">
      <c r="C153" s="102" t="s">
        <v>819</v>
      </c>
      <c r="D153" s="55"/>
      <c r="E153" s="55"/>
      <c r="F153" s="55"/>
      <c r="G153" s="55"/>
      <c r="H153" s="55"/>
      <c r="I153" s="55"/>
      <c r="J153" s="106">
        <v>0</v>
      </c>
      <c r="K153" s="107"/>
      <c r="L153" s="108">
        <v>9.8522167487684722E-4</v>
      </c>
    </row>
    <row r="154" spans="3:12" ht="15" customHeight="1">
      <c r="C154" s="102" t="s">
        <v>1053</v>
      </c>
      <c r="D154" s="55"/>
      <c r="E154" s="55"/>
      <c r="F154" s="55"/>
      <c r="G154" s="55"/>
      <c r="H154" s="55"/>
      <c r="I154" s="55"/>
      <c r="J154" s="106">
        <v>0</v>
      </c>
      <c r="K154" s="107"/>
      <c r="L154" s="108">
        <v>9.8522167487684722E-4</v>
      </c>
    </row>
    <row r="155" spans="3:12" ht="15" customHeight="1">
      <c r="C155" s="102" t="s">
        <v>717</v>
      </c>
      <c r="D155" s="55"/>
      <c r="E155" s="55"/>
      <c r="F155" s="55"/>
      <c r="G155" s="55"/>
      <c r="H155" s="55"/>
      <c r="I155" s="55"/>
      <c r="J155" s="106">
        <v>0</v>
      </c>
      <c r="K155" s="107"/>
      <c r="L155" s="108">
        <v>9.8522167487684722E-4</v>
      </c>
    </row>
    <row r="156" spans="3:12" ht="15" customHeight="1">
      <c r="C156" s="102" t="s">
        <v>621</v>
      </c>
      <c r="D156" s="55"/>
      <c r="E156" s="55"/>
      <c r="F156" s="55"/>
      <c r="G156" s="55"/>
      <c r="H156" s="55"/>
      <c r="I156" s="55"/>
      <c r="J156" s="106">
        <v>0</v>
      </c>
      <c r="K156" s="107"/>
      <c r="L156" s="108">
        <v>9.8522167487684722E-4</v>
      </c>
    </row>
    <row r="157" spans="3:12" ht="15" customHeight="1">
      <c r="C157" s="102" t="s">
        <v>755</v>
      </c>
      <c r="D157" s="55"/>
      <c r="E157" s="55"/>
      <c r="F157" s="55"/>
      <c r="G157" s="55"/>
      <c r="H157" s="55"/>
      <c r="I157" s="55"/>
      <c r="J157" s="106">
        <v>0</v>
      </c>
      <c r="K157" s="107"/>
      <c r="L157" s="108">
        <v>9.8522167487684722E-4</v>
      </c>
    </row>
    <row r="158" spans="3:12" ht="15" customHeight="1">
      <c r="C158" s="102" t="s">
        <v>243</v>
      </c>
      <c r="D158" s="55"/>
      <c r="E158" s="55"/>
      <c r="F158" s="55"/>
      <c r="G158" s="55"/>
      <c r="H158" s="55"/>
      <c r="I158" s="55"/>
      <c r="J158" s="106">
        <v>0</v>
      </c>
      <c r="K158" s="107"/>
      <c r="L158" s="108">
        <v>9.8522167487684722E-4</v>
      </c>
    </row>
    <row r="159" spans="3:12" ht="15" customHeight="1">
      <c r="C159" s="102" t="s">
        <v>500</v>
      </c>
      <c r="D159" s="55"/>
      <c r="E159" s="55"/>
      <c r="F159" s="55"/>
      <c r="G159" s="55"/>
      <c r="H159" s="55"/>
      <c r="I159" s="55"/>
      <c r="J159" s="106">
        <v>0</v>
      </c>
      <c r="K159" s="107"/>
      <c r="L159" s="108">
        <v>9.8522167487684722E-4</v>
      </c>
    </row>
    <row r="160" spans="3:12" ht="15" customHeight="1">
      <c r="C160" s="102" t="s">
        <v>408</v>
      </c>
      <c r="D160" s="55"/>
      <c r="E160" s="55"/>
      <c r="F160" s="55"/>
      <c r="G160" s="55"/>
      <c r="H160" s="55"/>
      <c r="I160" s="55"/>
      <c r="J160" s="106">
        <v>0</v>
      </c>
      <c r="K160" s="107"/>
      <c r="L160" s="108">
        <v>9.8522167487684722E-4</v>
      </c>
    </row>
    <row r="161" spans="3:12" ht="15" customHeight="1">
      <c r="C161" s="102" t="s">
        <v>311</v>
      </c>
      <c r="D161" s="55"/>
      <c r="E161" s="55"/>
      <c r="F161" s="55"/>
      <c r="G161" s="55"/>
      <c r="H161" s="55"/>
      <c r="I161" s="55"/>
      <c r="J161" s="106">
        <v>0</v>
      </c>
      <c r="K161" s="107"/>
      <c r="L161" s="108">
        <v>9.8522167487684722E-4</v>
      </c>
    </row>
    <row r="162" spans="3:12" ht="15" customHeight="1">
      <c r="C162" s="102" t="s">
        <v>785</v>
      </c>
      <c r="D162" s="55"/>
      <c r="E162" s="55"/>
      <c r="F162" s="55"/>
      <c r="G162" s="55"/>
      <c r="H162" s="55"/>
      <c r="I162" s="55"/>
      <c r="J162" s="106">
        <v>0</v>
      </c>
      <c r="K162" s="107"/>
      <c r="L162" s="108">
        <v>9.8522167487684722E-4</v>
      </c>
    </row>
    <row r="163" spans="3:12" ht="15" customHeight="1">
      <c r="C163" s="102" t="s">
        <v>776</v>
      </c>
      <c r="D163" s="55"/>
      <c r="E163" s="55"/>
      <c r="F163" s="55"/>
      <c r="G163" s="55"/>
      <c r="H163" s="55"/>
      <c r="I163" s="55"/>
      <c r="J163" s="106">
        <v>0</v>
      </c>
      <c r="K163" s="107"/>
      <c r="L163" s="108">
        <v>9.8522167487684722E-4</v>
      </c>
    </row>
    <row r="164" spans="3:12" ht="15" customHeight="1">
      <c r="C164" s="102" t="s">
        <v>335</v>
      </c>
      <c r="D164" s="55"/>
      <c r="E164" s="55"/>
      <c r="F164" s="55"/>
      <c r="G164" s="55"/>
      <c r="H164" s="55"/>
      <c r="I164" s="55"/>
      <c r="J164" s="106">
        <v>0</v>
      </c>
      <c r="K164" s="107"/>
      <c r="L164" s="108">
        <v>9.8522167487684722E-4</v>
      </c>
    </row>
    <row r="165" spans="3:12" ht="15" customHeight="1">
      <c r="C165" s="102" t="s">
        <v>824</v>
      </c>
      <c r="D165" s="55"/>
      <c r="E165" s="55"/>
      <c r="F165" s="55"/>
      <c r="G165" s="55"/>
      <c r="H165" s="55"/>
      <c r="I165" s="55"/>
      <c r="J165" s="106">
        <v>0</v>
      </c>
      <c r="K165" s="107"/>
      <c r="L165" s="108">
        <v>9.8522167487684722E-4</v>
      </c>
    </row>
    <row r="166" spans="3:12" ht="15" customHeight="1">
      <c r="C166" s="102" t="s">
        <v>624</v>
      </c>
      <c r="D166" s="55"/>
      <c r="E166" s="55"/>
      <c r="F166" s="55"/>
      <c r="G166" s="55"/>
      <c r="H166" s="55"/>
      <c r="I166" s="55"/>
      <c r="J166" s="106">
        <v>0</v>
      </c>
      <c r="K166" s="107"/>
      <c r="L166" s="108">
        <v>9.8522167487684722E-4</v>
      </c>
    </row>
    <row r="167" spans="3:12" ht="15" customHeight="1">
      <c r="C167" s="102" t="s">
        <v>697</v>
      </c>
      <c r="D167" s="55"/>
      <c r="E167" s="55"/>
      <c r="F167" s="55"/>
      <c r="G167" s="55"/>
      <c r="H167" s="55"/>
      <c r="I167" s="55"/>
      <c r="J167" s="106">
        <v>0</v>
      </c>
      <c r="K167" s="107"/>
      <c r="L167" s="108">
        <v>9.8522167487684722E-4</v>
      </c>
    </row>
    <row r="168" spans="3:12" ht="15" customHeight="1">
      <c r="C168" s="102" t="s">
        <v>653</v>
      </c>
      <c r="D168" s="55"/>
      <c r="E168" s="55"/>
      <c r="F168" s="55"/>
      <c r="G168" s="55"/>
      <c r="H168" s="55"/>
      <c r="I168" s="55"/>
      <c r="J168" s="106">
        <v>0</v>
      </c>
      <c r="K168" s="107"/>
      <c r="L168" s="108">
        <v>9.8522167487684722E-4</v>
      </c>
    </row>
    <row r="169" spans="3:12" ht="15" customHeight="1">
      <c r="C169" s="102" t="s">
        <v>883</v>
      </c>
      <c r="D169" s="55"/>
      <c r="E169" s="55"/>
      <c r="F169" s="55"/>
      <c r="G169" s="55"/>
      <c r="H169" s="55"/>
      <c r="I169" s="55"/>
      <c r="J169" s="106">
        <v>0</v>
      </c>
      <c r="K169" s="107"/>
      <c r="L169" s="108">
        <v>9.8522167487684722E-4</v>
      </c>
    </row>
    <row r="170" spans="3:12" ht="15" customHeight="1">
      <c r="C170" s="102" t="s">
        <v>554</v>
      </c>
      <c r="D170" s="55"/>
      <c r="E170" s="55"/>
      <c r="F170" s="55"/>
      <c r="G170" s="55"/>
      <c r="H170" s="55"/>
      <c r="I170" s="55"/>
      <c r="J170" s="106">
        <v>0</v>
      </c>
      <c r="K170" s="107"/>
      <c r="L170" s="108">
        <v>9.8522167487684722E-4</v>
      </c>
    </row>
    <row r="171" spans="3:12" ht="15" customHeight="1">
      <c r="C171" s="102" t="s">
        <v>941</v>
      </c>
      <c r="D171" s="55"/>
      <c r="E171" s="55"/>
      <c r="F171" s="55"/>
      <c r="G171" s="55"/>
      <c r="H171" s="55"/>
      <c r="I171" s="55"/>
      <c r="J171" s="106">
        <v>0</v>
      </c>
      <c r="K171" s="107"/>
      <c r="L171" s="108">
        <v>9.8522167487684722E-4</v>
      </c>
    </row>
    <row r="172" spans="3:12" ht="15" customHeight="1">
      <c r="C172" s="102" t="s">
        <v>631</v>
      </c>
      <c r="D172" s="55"/>
      <c r="E172" s="55"/>
      <c r="F172" s="55"/>
      <c r="G172" s="55"/>
      <c r="H172" s="55"/>
      <c r="I172" s="55"/>
      <c r="J172" s="106">
        <v>0</v>
      </c>
      <c r="K172" s="107"/>
      <c r="L172" s="108">
        <v>9.8522167487684722E-4</v>
      </c>
    </row>
    <row r="173" spans="3:12" ht="15" customHeight="1">
      <c r="C173" s="102" t="s">
        <v>239</v>
      </c>
      <c r="D173" s="55"/>
      <c r="E173" s="55"/>
      <c r="F173" s="55"/>
      <c r="G173" s="55"/>
      <c r="H173" s="55"/>
      <c r="I173" s="55"/>
      <c r="J173" s="106">
        <v>0</v>
      </c>
      <c r="K173" s="107"/>
      <c r="L173" s="108">
        <v>9.8522167487684722E-4</v>
      </c>
    </row>
    <row r="174" spans="3:12" ht="15" customHeight="1">
      <c r="C174" s="102" t="s">
        <v>415</v>
      </c>
      <c r="D174" s="55"/>
      <c r="E174" s="55"/>
      <c r="F174" s="55"/>
      <c r="G174" s="55"/>
      <c r="H174" s="55"/>
      <c r="I174" s="55"/>
      <c r="J174" s="106">
        <v>0</v>
      </c>
      <c r="K174" s="107"/>
      <c r="L174" s="108">
        <v>9.8522167487684722E-4</v>
      </c>
    </row>
    <row r="175" spans="3:12" ht="15" customHeight="1">
      <c r="C175" s="102" t="s">
        <v>517</v>
      </c>
      <c r="D175" s="55"/>
      <c r="E175" s="55"/>
      <c r="F175" s="55"/>
      <c r="G175" s="55"/>
      <c r="H175" s="55"/>
      <c r="I175" s="55"/>
      <c r="J175" s="106">
        <v>0</v>
      </c>
      <c r="K175" s="107"/>
      <c r="L175" s="108">
        <v>9.8522167487684722E-4</v>
      </c>
    </row>
    <row r="176" spans="3:12" ht="15" customHeight="1">
      <c r="C176" s="102" t="s">
        <v>155</v>
      </c>
      <c r="D176" s="55"/>
      <c r="E176" s="55"/>
      <c r="F176" s="55"/>
      <c r="G176" s="55"/>
      <c r="H176" s="55"/>
      <c r="I176" s="55"/>
      <c r="J176" s="106">
        <v>0</v>
      </c>
      <c r="K176" s="107"/>
      <c r="L176" s="108">
        <v>9.8522167487684722E-4</v>
      </c>
    </row>
    <row r="177" spans="3:12" ht="15" customHeight="1">
      <c r="C177" s="102" t="s">
        <v>614</v>
      </c>
      <c r="D177" s="55"/>
      <c r="E177" s="55"/>
      <c r="F177" s="55"/>
      <c r="G177" s="55"/>
      <c r="H177" s="55"/>
      <c r="I177" s="55"/>
      <c r="J177" s="106">
        <v>0</v>
      </c>
      <c r="K177" s="107"/>
      <c r="L177" s="108">
        <v>9.8522167487684722E-4</v>
      </c>
    </row>
    <row r="178" spans="3:12" ht="15" customHeight="1">
      <c r="C178" s="102" t="s">
        <v>393</v>
      </c>
      <c r="D178" s="55"/>
      <c r="E178" s="55"/>
      <c r="F178" s="55"/>
      <c r="G178" s="55"/>
      <c r="H178" s="55"/>
      <c r="I178" s="55"/>
      <c r="J178" s="106">
        <v>0</v>
      </c>
      <c r="K178" s="107"/>
      <c r="L178" s="108">
        <v>9.8522167487684722E-4</v>
      </c>
    </row>
    <row r="179" spans="3:12" ht="15" customHeight="1">
      <c r="C179" s="102" t="s">
        <v>385</v>
      </c>
      <c r="D179" s="55"/>
      <c r="E179" s="55"/>
      <c r="F179" s="55"/>
      <c r="G179" s="55"/>
      <c r="H179" s="55"/>
      <c r="I179" s="55"/>
      <c r="J179" s="106">
        <v>0</v>
      </c>
      <c r="K179" s="107"/>
      <c r="L179" s="108">
        <v>9.8522167487684722E-4</v>
      </c>
    </row>
    <row r="180" spans="3:12" ht="15" customHeight="1">
      <c r="C180" s="102" t="s">
        <v>869</v>
      </c>
      <c r="D180" s="55"/>
      <c r="E180" s="55"/>
      <c r="F180" s="55"/>
      <c r="G180" s="55"/>
      <c r="H180" s="55"/>
      <c r="I180" s="55"/>
      <c r="J180" s="106">
        <v>0</v>
      </c>
      <c r="K180" s="107"/>
      <c r="L180" s="108">
        <v>9.8522167487684722E-4</v>
      </c>
    </row>
    <row r="181" spans="3:12" ht="15" customHeight="1">
      <c r="C181" s="102" t="s">
        <v>111</v>
      </c>
      <c r="D181" s="55"/>
      <c r="E181" s="55"/>
      <c r="F181" s="55"/>
      <c r="G181" s="55"/>
      <c r="H181" s="55"/>
      <c r="I181" s="55"/>
      <c r="J181" s="106">
        <v>0</v>
      </c>
      <c r="K181" s="107"/>
      <c r="L181" s="108">
        <v>9.8522167487684722E-4</v>
      </c>
    </row>
    <row r="182" spans="3:12" ht="15" customHeight="1">
      <c r="C182" s="102" t="s">
        <v>1020</v>
      </c>
      <c r="D182" s="55"/>
      <c r="E182" s="55"/>
      <c r="F182" s="55"/>
      <c r="G182" s="55"/>
      <c r="H182" s="55"/>
      <c r="I182" s="55"/>
      <c r="J182" s="106">
        <v>0</v>
      </c>
      <c r="K182" s="107"/>
      <c r="L182" s="108">
        <v>9.8522167487684722E-4</v>
      </c>
    </row>
    <row r="183" spans="3:12" ht="15" customHeight="1">
      <c r="C183" s="102" t="s">
        <v>353</v>
      </c>
      <c r="D183" s="55"/>
      <c r="E183" s="55"/>
      <c r="F183" s="55"/>
      <c r="G183" s="55"/>
      <c r="H183" s="55"/>
      <c r="I183" s="55"/>
      <c r="J183" s="106">
        <v>0</v>
      </c>
      <c r="K183" s="107"/>
      <c r="L183" s="108">
        <v>9.8522167487684722E-4</v>
      </c>
    </row>
    <row r="184" spans="3:12" ht="15" customHeight="1">
      <c r="C184" s="102" t="s">
        <v>288</v>
      </c>
      <c r="D184" s="55"/>
      <c r="E184" s="55"/>
      <c r="F184" s="55"/>
      <c r="G184" s="55"/>
      <c r="H184" s="55"/>
      <c r="I184" s="55"/>
      <c r="J184" s="106">
        <v>0</v>
      </c>
      <c r="K184" s="107"/>
      <c r="L184" s="108">
        <v>9.8522167487684722E-4</v>
      </c>
    </row>
    <row r="185" spans="3:12" ht="15" customHeight="1">
      <c r="C185" s="102" t="s">
        <v>704</v>
      </c>
      <c r="D185" s="55"/>
      <c r="E185" s="55"/>
      <c r="F185" s="55"/>
      <c r="G185" s="55"/>
      <c r="H185" s="55"/>
      <c r="I185" s="55"/>
      <c r="J185" s="106">
        <v>0</v>
      </c>
      <c r="K185" s="107"/>
      <c r="L185" s="108">
        <v>9.8522167487684722E-4</v>
      </c>
    </row>
    <row r="186" spans="3:12" ht="15" customHeight="1">
      <c r="C186" s="102" t="s">
        <v>426</v>
      </c>
      <c r="D186" s="55"/>
      <c r="E186" s="55"/>
      <c r="F186" s="55"/>
      <c r="G186" s="55"/>
      <c r="H186" s="55"/>
      <c r="I186" s="55"/>
      <c r="J186" s="106">
        <v>0</v>
      </c>
      <c r="K186" s="107"/>
      <c r="L186" s="108">
        <v>9.8522167487684722E-4</v>
      </c>
    </row>
    <row r="187" spans="3:12" ht="15" customHeight="1">
      <c r="C187" s="102" t="s">
        <v>603</v>
      </c>
      <c r="D187" s="55"/>
      <c r="E187" s="55"/>
      <c r="F187" s="55"/>
      <c r="G187" s="55"/>
      <c r="H187" s="55"/>
      <c r="I187" s="55"/>
      <c r="J187" s="106">
        <v>0</v>
      </c>
      <c r="K187" s="107"/>
      <c r="L187" s="108">
        <v>9.8522167487684722E-4</v>
      </c>
    </row>
    <row r="188" spans="3:12" ht="15" customHeight="1">
      <c r="C188" s="102" t="s">
        <v>844</v>
      </c>
      <c r="D188" s="55"/>
      <c r="E188" s="55"/>
      <c r="F188" s="55"/>
      <c r="G188" s="55"/>
      <c r="H188" s="55"/>
      <c r="I188" s="55"/>
      <c r="J188" s="106">
        <v>0</v>
      </c>
      <c r="K188" s="107"/>
      <c r="L188" s="108">
        <v>9.8522167487684722E-4</v>
      </c>
    </row>
    <row r="189" spans="3:12" ht="15" customHeight="1">
      <c r="C189" s="102" t="s">
        <v>651</v>
      </c>
      <c r="D189" s="55"/>
      <c r="E189" s="55"/>
      <c r="F189" s="55"/>
      <c r="G189" s="55"/>
      <c r="H189" s="55"/>
      <c r="I189" s="55"/>
      <c r="J189" s="106">
        <v>0</v>
      </c>
      <c r="K189" s="107"/>
      <c r="L189" s="108">
        <v>9.8522167487684722E-4</v>
      </c>
    </row>
    <row r="190" spans="3:12" ht="15" customHeight="1">
      <c r="C190" s="102" t="s">
        <v>793</v>
      </c>
      <c r="D190" s="55"/>
      <c r="E190" s="55"/>
      <c r="F190" s="55"/>
      <c r="G190" s="55"/>
      <c r="H190" s="55"/>
      <c r="I190" s="55"/>
      <c r="J190" s="106">
        <v>0</v>
      </c>
      <c r="K190" s="107"/>
      <c r="L190" s="108">
        <v>9.8522167487684722E-4</v>
      </c>
    </row>
    <row r="191" spans="3:12" ht="15" customHeight="1">
      <c r="C191" s="102" t="s">
        <v>136</v>
      </c>
      <c r="D191" s="55"/>
      <c r="E191" s="55"/>
      <c r="F191" s="55"/>
      <c r="G191" s="55"/>
      <c r="H191" s="55"/>
      <c r="I191" s="55"/>
      <c r="J191" s="106">
        <v>0</v>
      </c>
      <c r="K191" s="107"/>
      <c r="L191" s="108">
        <v>9.8522167487684722E-4</v>
      </c>
    </row>
    <row r="192" spans="3:12" ht="15" customHeight="1">
      <c r="C192" s="102" t="s">
        <v>828</v>
      </c>
      <c r="D192" s="55"/>
      <c r="E192" s="55"/>
      <c r="F192" s="55"/>
      <c r="G192" s="55"/>
      <c r="H192" s="55"/>
      <c r="I192" s="55"/>
      <c r="J192" s="106">
        <v>0</v>
      </c>
      <c r="K192" s="107"/>
      <c r="L192" s="108">
        <v>9.8522167487684722E-4</v>
      </c>
    </row>
    <row r="193" spans="3:12" ht="15" customHeight="1">
      <c r="C193" s="102" t="s">
        <v>887</v>
      </c>
      <c r="D193" s="55"/>
      <c r="E193" s="55"/>
      <c r="F193" s="55"/>
      <c r="G193" s="55"/>
      <c r="H193" s="55"/>
      <c r="I193" s="55"/>
      <c r="J193" s="106">
        <v>0</v>
      </c>
      <c r="K193" s="107"/>
      <c r="L193" s="108">
        <v>9.8522167487684722E-4</v>
      </c>
    </row>
    <row r="194" spans="3:12" ht="15" customHeight="1">
      <c r="C194" s="102" t="s">
        <v>316</v>
      </c>
      <c r="D194" s="55"/>
      <c r="E194" s="55"/>
      <c r="F194" s="55"/>
      <c r="G194" s="55"/>
      <c r="H194" s="55"/>
      <c r="I194" s="55"/>
      <c r="J194" s="106">
        <v>0</v>
      </c>
      <c r="K194" s="107"/>
      <c r="L194" s="108">
        <v>9.8522167487684722E-4</v>
      </c>
    </row>
    <row r="195" spans="3:12" ht="15" customHeight="1">
      <c r="C195" s="102" t="s">
        <v>874</v>
      </c>
      <c r="D195" s="55"/>
      <c r="E195" s="55"/>
      <c r="F195" s="55"/>
      <c r="G195" s="55"/>
      <c r="H195" s="55"/>
      <c r="I195" s="55"/>
      <c r="J195" s="106">
        <v>0</v>
      </c>
      <c r="K195" s="107"/>
      <c r="L195" s="108">
        <v>9.8522167487684722E-4</v>
      </c>
    </row>
    <row r="196" spans="3:12" ht="15" customHeight="1">
      <c r="C196" s="102" t="s">
        <v>576</v>
      </c>
      <c r="D196" s="55"/>
      <c r="E196" s="55"/>
      <c r="F196" s="55"/>
      <c r="G196" s="55"/>
      <c r="H196" s="55"/>
      <c r="I196" s="55"/>
      <c r="J196" s="106">
        <v>0</v>
      </c>
      <c r="K196" s="107"/>
      <c r="L196" s="108">
        <v>9.8522167487684722E-4</v>
      </c>
    </row>
    <row r="197" spans="3:12" ht="15" customHeight="1">
      <c r="C197" s="102" t="s">
        <v>170</v>
      </c>
      <c r="D197" s="55"/>
      <c r="E197" s="55"/>
      <c r="F197" s="55"/>
      <c r="G197" s="55"/>
      <c r="H197" s="55"/>
      <c r="I197" s="55"/>
      <c r="J197" s="106">
        <v>0</v>
      </c>
      <c r="K197" s="107"/>
      <c r="L197" s="108">
        <v>9.8522167487684722E-4</v>
      </c>
    </row>
    <row r="198" spans="3:12" ht="15" customHeight="1">
      <c r="C198" s="102" t="s">
        <v>1014</v>
      </c>
      <c r="D198" s="55"/>
      <c r="E198" s="55"/>
      <c r="F198" s="55"/>
      <c r="G198" s="55"/>
      <c r="H198" s="55"/>
      <c r="I198" s="55"/>
      <c r="J198" s="106">
        <v>0</v>
      </c>
      <c r="K198" s="107"/>
      <c r="L198" s="108">
        <v>9.8522167487684722E-4</v>
      </c>
    </row>
    <row r="199" spans="3:12" ht="15" customHeight="1">
      <c r="C199" s="102" t="s">
        <v>320</v>
      </c>
      <c r="D199" s="55"/>
      <c r="E199" s="55"/>
      <c r="F199" s="55"/>
      <c r="G199" s="55"/>
      <c r="H199" s="55"/>
      <c r="I199" s="55"/>
      <c r="J199" s="106">
        <v>0</v>
      </c>
      <c r="K199" s="107"/>
      <c r="L199" s="108">
        <v>9.8522167487684722E-4</v>
      </c>
    </row>
    <row r="200" spans="3:12" ht="15" customHeight="1">
      <c r="C200" s="102" t="s">
        <v>820</v>
      </c>
      <c r="D200" s="55"/>
      <c r="E200" s="55"/>
      <c r="F200" s="55"/>
      <c r="G200" s="55"/>
      <c r="H200" s="55"/>
      <c r="I200" s="55"/>
      <c r="J200" s="106">
        <v>0</v>
      </c>
      <c r="K200" s="107"/>
      <c r="L200" s="108">
        <v>9.8522167487684722E-4</v>
      </c>
    </row>
    <row r="201" spans="3:12" ht="15" customHeight="1">
      <c r="C201" s="102" t="s">
        <v>938</v>
      </c>
      <c r="D201" s="55"/>
      <c r="E201" s="55"/>
      <c r="F201" s="55"/>
      <c r="G201" s="55"/>
      <c r="H201" s="55"/>
      <c r="I201" s="55"/>
      <c r="J201" s="106">
        <v>0</v>
      </c>
      <c r="K201" s="107"/>
      <c r="L201" s="108">
        <v>9.8522167487684722E-4</v>
      </c>
    </row>
    <row r="202" spans="3:12" ht="15" customHeight="1">
      <c r="C202" s="102" t="s">
        <v>1113</v>
      </c>
      <c r="D202" s="55"/>
      <c r="E202" s="55"/>
      <c r="F202" s="55"/>
      <c r="G202" s="55"/>
      <c r="H202" s="55"/>
      <c r="I202" s="55"/>
      <c r="J202" s="106">
        <v>0</v>
      </c>
      <c r="K202" s="107"/>
      <c r="L202" s="108">
        <v>9.8522167487684722E-4</v>
      </c>
    </row>
    <row r="203" spans="3:12" ht="15" customHeight="1">
      <c r="C203" s="102" t="s">
        <v>884</v>
      </c>
      <c r="D203" s="55"/>
      <c r="E203" s="55"/>
      <c r="F203" s="55"/>
      <c r="G203" s="55"/>
      <c r="H203" s="55"/>
      <c r="I203" s="55"/>
      <c r="J203" s="106">
        <v>0</v>
      </c>
      <c r="K203" s="107"/>
      <c r="L203" s="108">
        <v>9.8522167487684722E-4</v>
      </c>
    </row>
    <row r="204" spans="3:12" ht="15" customHeight="1">
      <c r="C204" s="102" t="s">
        <v>715</v>
      </c>
      <c r="D204" s="55"/>
      <c r="E204" s="55"/>
      <c r="F204" s="55"/>
      <c r="G204" s="55"/>
      <c r="H204" s="55"/>
      <c r="I204" s="55"/>
      <c r="J204" s="106">
        <v>0</v>
      </c>
      <c r="K204" s="107"/>
      <c r="L204" s="108">
        <v>9.8522167487684722E-4</v>
      </c>
    </row>
    <row r="205" spans="3:12" ht="15" customHeight="1">
      <c r="C205" s="102" t="s">
        <v>1035</v>
      </c>
      <c r="D205" s="55"/>
      <c r="E205" s="55"/>
      <c r="F205" s="55"/>
      <c r="G205" s="55"/>
      <c r="H205" s="55"/>
      <c r="I205" s="55"/>
      <c r="J205" s="106">
        <v>0</v>
      </c>
      <c r="K205" s="107"/>
      <c r="L205" s="108">
        <v>9.8522167487684722E-4</v>
      </c>
    </row>
    <row r="206" spans="3:12" ht="15" customHeight="1">
      <c r="C206" s="102" t="s">
        <v>1107</v>
      </c>
      <c r="D206" s="55"/>
      <c r="E206" s="55"/>
      <c r="F206" s="55"/>
      <c r="G206" s="55"/>
      <c r="H206" s="55"/>
      <c r="I206" s="55"/>
      <c r="J206" s="106">
        <v>0</v>
      </c>
      <c r="K206" s="107"/>
      <c r="L206" s="108">
        <v>9.8522167487684722E-4</v>
      </c>
    </row>
    <row r="207" spans="3:12" ht="15" customHeight="1">
      <c r="C207" s="102" t="s">
        <v>84</v>
      </c>
      <c r="D207" s="55"/>
      <c r="E207" s="55"/>
      <c r="F207" s="55"/>
      <c r="G207" s="55"/>
      <c r="H207" s="55"/>
      <c r="I207" s="55"/>
      <c r="J207" s="106">
        <v>0</v>
      </c>
      <c r="K207" s="107"/>
      <c r="L207" s="108">
        <v>9.8522167487684722E-4</v>
      </c>
    </row>
    <row r="208" spans="3:12" ht="15" customHeight="1">
      <c r="C208" s="102" t="s">
        <v>538</v>
      </c>
      <c r="D208" s="55"/>
      <c r="E208" s="55"/>
      <c r="F208" s="55"/>
      <c r="G208" s="55"/>
      <c r="H208" s="55"/>
      <c r="I208" s="55"/>
      <c r="J208" s="106">
        <v>0</v>
      </c>
      <c r="K208" s="107"/>
      <c r="L208" s="108">
        <v>9.8522167487684722E-4</v>
      </c>
    </row>
    <row r="209" spans="3:12" ht="15" customHeight="1">
      <c r="C209" s="102" t="s">
        <v>740</v>
      </c>
      <c r="D209" s="55"/>
      <c r="E209" s="55"/>
      <c r="F209" s="55"/>
      <c r="G209" s="55"/>
      <c r="H209" s="55"/>
      <c r="I209" s="55"/>
      <c r="J209" s="106">
        <v>0</v>
      </c>
      <c r="K209" s="107"/>
      <c r="L209" s="108">
        <v>9.8522167487684722E-4</v>
      </c>
    </row>
    <row r="210" spans="3:12" ht="15" customHeight="1">
      <c r="C210" s="102" t="s">
        <v>1122</v>
      </c>
      <c r="D210" s="55"/>
      <c r="E210" s="55"/>
      <c r="F210" s="55"/>
      <c r="G210" s="55"/>
      <c r="H210" s="55"/>
      <c r="I210" s="55"/>
      <c r="J210" s="106">
        <v>0</v>
      </c>
      <c r="K210" s="107"/>
      <c r="L210" s="108">
        <v>9.8522167487684722E-4</v>
      </c>
    </row>
    <row r="211" spans="3:12" ht="15" customHeight="1">
      <c r="C211" s="102" t="s">
        <v>117</v>
      </c>
      <c r="D211" s="55"/>
      <c r="E211" s="55"/>
      <c r="F211" s="55"/>
      <c r="G211" s="55"/>
      <c r="H211" s="55"/>
      <c r="I211" s="55"/>
      <c r="J211" s="106">
        <v>0</v>
      </c>
      <c r="K211" s="107"/>
      <c r="L211" s="108">
        <v>9.8522167487684722E-4</v>
      </c>
    </row>
    <row r="212" spans="3:12" ht="15" customHeight="1">
      <c r="C212" s="102" t="s">
        <v>392</v>
      </c>
      <c r="D212" s="55"/>
      <c r="E212" s="55"/>
      <c r="F212" s="55"/>
      <c r="G212" s="55"/>
      <c r="H212" s="55"/>
      <c r="I212" s="55"/>
      <c r="J212" s="106">
        <v>0</v>
      </c>
      <c r="K212" s="107"/>
      <c r="L212" s="108">
        <v>9.8522167487684722E-4</v>
      </c>
    </row>
    <row r="213" spans="3:12" ht="15" customHeight="1">
      <c r="C213" s="102" t="s">
        <v>179</v>
      </c>
      <c r="D213" s="55"/>
      <c r="E213" s="55"/>
      <c r="F213" s="55"/>
      <c r="G213" s="55"/>
      <c r="H213" s="55"/>
      <c r="I213" s="55"/>
      <c r="J213" s="106">
        <v>0</v>
      </c>
      <c r="K213" s="107"/>
      <c r="L213" s="108">
        <v>9.8522167487684722E-4</v>
      </c>
    </row>
    <row r="214" spans="3:12" ht="15" customHeight="1">
      <c r="C214" s="102" t="s">
        <v>892</v>
      </c>
      <c r="D214" s="55"/>
      <c r="E214" s="55"/>
      <c r="F214" s="55"/>
      <c r="G214" s="55"/>
      <c r="H214" s="55"/>
      <c r="I214" s="55"/>
      <c r="J214" s="106">
        <v>0</v>
      </c>
      <c r="K214" s="107"/>
      <c r="L214" s="108">
        <v>9.8522167487684722E-4</v>
      </c>
    </row>
    <row r="215" spans="3:12" ht="15" customHeight="1">
      <c r="C215" s="102" t="s">
        <v>843</v>
      </c>
      <c r="D215" s="55"/>
      <c r="E215" s="55"/>
      <c r="F215" s="55"/>
      <c r="G215" s="55"/>
      <c r="H215" s="55"/>
      <c r="I215" s="55"/>
      <c r="J215" s="106">
        <v>0</v>
      </c>
      <c r="K215" s="107"/>
      <c r="L215" s="108">
        <v>9.8522167487684722E-4</v>
      </c>
    </row>
    <row r="216" spans="3:12" ht="15" customHeight="1">
      <c r="C216" s="102" t="s">
        <v>1008</v>
      </c>
      <c r="D216" s="55"/>
      <c r="E216" s="55"/>
      <c r="F216" s="55"/>
      <c r="G216" s="55"/>
      <c r="H216" s="55"/>
      <c r="I216" s="55"/>
      <c r="J216" s="106">
        <v>0</v>
      </c>
      <c r="K216" s="107"/>
      <c r="L216" s="108">
        <v>9.8522167487684722E-4</v>
      </c>
    </row>
    <row r="217" spans="3:12" ht="15" customHeight="1">
      <c r="C217" s="102" t="s">
        <v>331</v>
      </c>
      <c r="D217" s="55"/>
      <c r="E217" s="55"/>
      <c r="F217" s="55"/>
      <c r="G217" s="55"/>
      <c r="H217" s="55"/>
      <c r="I217" s="55"/>
      <c r="J217" s="106">
        <v>0</v>
      </c>
      <c r="K217" s="107"/>
      <c r="L217" s="108">
        <v>9.8522167487684722E-4</v>
      </c>
    </row>
    <row r="218" spans="3:12" ht="15" customHeight="1">
      <c r="C218" s="102" t="s">
        <v>1000</v>
      </c>
      <c r="D218" s="55"/>
      <c r="E218" s="55"/>
      <c r="F218" s="55"/>
      <c r="G218" s="55"/>
      <c r="H218" s="55"/>
      <c r="I218" s="55"/>
      <c r="J218" s="106">
        <v>0</v>
      </c>
      <c r="K218" s="107"/>
      <c r="L218" s="108">
        <v>9.8522167487684722E-4</v>
      </c>
    </row>
    <row r="219" spans="3:12" ht="15" customHeight="1">
      <c r="C219" s="102" t="s">
        <v>642</v>
      </c>
      <c r="D219" s="55"/>
      <c r="E219" s="55"/>
      <c r="F219" s="55"/>
      <c r="G219" s="55"/>
      <c r="H219" s="55"/>
      <c r="I219" s="55"/>
      <c r="J219" s="106">
        <v>0</v>
      </c>
      <c r="K219" s="107"/>
      <c r="L219" s="108">
        <v>9.8522167487684722E-4</v>
      </c>
    </row>
    <row r="220" spans="3:12" ht="15" customHeight="1">
      <c r="C220" s="102" t="s">
        <v>471</v>
      </c>
      <c r="D220" s="55"/>
      <c r="E220" s="55"/>
      <c r="F220" s="55"/>
      <c r="G220" s="55"/>
      <c r="H220" s="55"/>
      <c r="I220" s="55"/>
      <c r="J220" s="106">
        <v>0</v>
      </c>
      <c r="K220" s="107"/>
      <c r="L220" s="108">
        <v>9.8522167487684722E-4</v>
      </c>
    </row>
    <row r="221" spans="3:12" ht="15" customHeight="1">
      <c r="C221" s="102" t="s">
        <v>571</v>
      </c>
      <c r="D221" s="55"/>
      <c r="E221" s="55"/>
      <c r="F221" s="55"/>
      <c r="G221" s="55"/>
      <c r="H221" s="55"/>
      <c r="I221" s="55"/>
      <c r="J221" s="106">
        <v>0</v>
      </c>
      <c r="K221" s="107"/>
      <c r="L221" s="108">
        <v>9.8522167487684722E-4</v>
      </c>
    </row>
    <row r="222" spans="3:12" ht="15" customHeight="1">
      <c r="C222" s="102" t="s">
        <v>72</v>
      </c>
      <c r="D222" s="55"/>
      <c r="E222" s="55"/>
      <c r="F222" s="55"/>
      <c r="G222" s="55"/>
      <c r="H222" s="55"/>
      <c r="I222" s="55"/>
      <c r="J222" s="106">
        <v>0</v>
      </c>
      <c r="K222" s="107"/>
      <c r="L222" s="108">
        <v>1.9704433497536944E-3</v>
      </c>
    </row>
    <row r="223" spans="3:12" ht="15" customHeight="1">
      <c r="C223" s="102" t="s">
        <v>590</v>
      </c>
      <c r="D223" s="55"/>
      <c r="E223" s="55"/>
      <c r="F223" s="55"/>
      <c r="G223" s="55"/>
      <c r="H223" s="55"/>
      <c r="I223" s="55"/>
      <c r="J223" s="106">
        <v>0</v>
      </c>
      <c r="K223" s="107"/>
      <c r="L223" s="108">
        <v>9.8522167487684722E-4</v>
      </c>
    </row>
    <row r="224" spans="3:12" ht="15" customHeight="1">
      <c r="C224" s="102" t="s">
        <v>978</v>
      </c>
      <c r="D224" s="55"/>
      <c r="E224" s="55"/>
      <c r="F224" s="55"/>
      <c r="G224" s="55"/>
      <c r="H224" s="55"/>
      <c r="I224" s="55"/>
      <c r="J224" s="106">
        <v>0</v>
      </c>
      <c r="K224" s="107"/>
      <c r="L224" s="108">
        <v>9.8522167487684722E-4</v>
      </c>
    </row>
    <row r="225" spans="3:12" ht="15" customHeight="1">
      <c r="C225" s="102" t="s">
        <v>937</v>
      </c>
      <c r="D225" s="55"/>
      <c r="E225" s="55"/>
      <c r="F225" s="55"/>
      <c r="G225" s="55"/>
      <c r="H225" s="55"/>
      <c r="I225" s="55"/>
      <c r="J225" s="106">
        <v>0</v>
      </c>
      <c r="K225" s="107"/>
      <c r="L225" s="108">
        <v>9.8522167487684722E-4</v>
      </c>
    </row>
    <row r="226" spans="3:12" ht="15" customHeight="1">
      <c r="C226" s="102" t="s">
        <v>906</v>
      </c>
      <c r="D226" s="55"/>
      <c r="E226" s="55"/>
      <c r="F226" s="55"/>
      <c r="G226" s="55"/>
      <c r="H226" s="55"/>
      <c r="I226" s="55"/>
      <c r="J226" s="106">
        <v>0</v>
      </c>
      <c r="K226" s="107"/>
      <c r="L226" s="108">
        <v>9.8522167487684722E-4</v>
      </c>
    </row>
    <row r="227" spans="3:12" ht="15" customHeight="1">
      <c r="C227" s="102" t="s">
        <v>968</v>
      </c>
      <c r="D227" s="55"/>
      <c r="E227" s="55"/>
      <c r="F227" s="55"/>
      <c r="G227" s="55"/>
      <c r="H227" s="55"/>
      <c r="I227" s="55"/>
      <c r="J227" s="106">
        <v>0</v>
      </c>
      <c r="K227" s="107"/>
      <c r="L227" s="108">
        <v>9.8522167487684722E-4</v>
      </c>
    </row>
    <row r="228" spans="3:12" ht="15" customHeight="1">
      <c r="C228" s="102" t="s">
        <v>618</v>
      </c>
      <c r="D228" s="55"/>
      <c r="E228" s="55"/>
      <c r="F228" s="55"/>
      <c r="G228" s="55"/>
      <c r="H228" s="55"/>
      <c r="I228" s="55"/>
      <c r="J228" s="106">
        <v>0</v>
      </c>
      <c r="K228" s="107"/>
      <c r="L228" s="108">
        <v>9.8522167487684722E-4</v>
      </c>
    </row>
    <row r="229" spans="3:12" ht="15" customHeight="1">
      <c r="C229" s="102" t="s">
        <v>241</v>
      </c>
      <c r="D229" s="55"/>
      <c r="E229" s="55"/>
      <c r="F229" s="55"/>
      <c r="G229" s="55"/>
      <c r="H229" s="55"/>
      <c r="I229" s="55"/>
      <c r="J229" s="106">
        <v>0</v>
      </c>
      <c r="K229" s="107"/>
      <c r="L229" s="108">
        <v>9.8522167487684722E-4</v>
      </c>
    </row>
    <row r="230" spans="3:12" ht="15" customHeight="1">
      <c r="C230" s="102" t="s">
        <v>746</v>
      </c>
      <c r="D230" s="55"/>
      <c r="E230" s="55"/>
      <c r="F230" s="55"/>
      <c r="G230" s="55"/>
      <c r="H230" s="55"/>
      <c r="I230" s="55"/>
      <c r="J230" s="106">
        <v>0</v>
      </c>
      <c r="K230" s="107"/>
      <c r="L230" s="108">
        <v>9.8522167487684722E-4</v>
      </c>
    </row>
    <row r="231" spans="3:12" ht="15" customHeight="1">
      <c r="C231" s="102" t="s">
        <v>202</v>
      </c>
      <c r="D231" s="55"/>
      <c r="E231" s="55"/>
      <c r="F231" s="55"/>
      <c r="G231" s="55"/>
      <c r="H231" s="55"/>
      <c r="I231" s="55"/>
      <c r="J231" s="106">
        <v>0</v>
      </c>
      <c r="K231" s="107"/>
      <c r="L231" s="108">
        <v>9.8522167487684722E-4</v>
      </c>
    </row>
    <row r="232" spans="3:12" ht="15" customHeight="1">
      <c r="C232" s="102" t="s">
        <v>680</v>
      </c>
      <c r="D232" s="55"/>
      <c r="E232" s="55"/>
      <c r="F232" s="55"/>
      <c r="G232" s="55"/>
      <c r="H232" s="55"/>
      <c r="I232" s="55"/>
      <c r="J232" s="106">
        <v>0</v>
      </c>
      <c r="K232" s="107"/>
      <c r="L232" s="108">
        <v>9.8522167487684722E-4</v>
      </c>
    </row>
    <row r="233" spans="3:12" ht="15" customHeight="1">
      <c r="C233" s="102" t="s">
        <v>897</v>
      </c>
      <c r="D233" s="55"/>
      <c r="E233" s="55"/>
      <c r="F233" s="55"/>
      <c r="G233" s="55"/>
      <c r="H233" s="55"/>
      <c r="I233" s="55"/>
      <c r="J233" s="106">
        <v>0</v>
      </c>
      <c r="K233" s="107"/>
      <c r="L233" s="108">
        <v>9.8522167487684722E-4</v>
      </c>
    </row>
    <row r="234" spans="3:12" ht="15" customHeight="1">
      <c r="C234" s="102" t="s">
        <v>645</v>
      </c>
      <c r="D234" s="55"/>
      <c r="E234" s="55"/>
      <c r="F234" s="55"/>
      <c r="G234" s="55"/>
      <c r="H234" s="55"/>
      <c r="I234" s="55"/>
      <c r="J234" s="106">
        <v>0</v>
      </c>
      <c r="K234" s="107"/>
      <c r="L234" s="108">
        <v>9.8522167487684722E-4</v>
      </c>
    </row>
    <row r="235" spans="3:12" ht="15" customHeight="1">
      <c r="C235" s="102" t="s">
        <v>933</v>
      </c>
      <c r="D235" s="55"/>
      <c r="E235" s="55"/>
      <c r="F235" s="55"/>
      <c r="G235" s="55"/>
      <c r="H235" s="55"/>
      <c r="I235" s="55"/>
      <c r="J235" s="106">
        <v>0</v>
      </c>
      <c r="K235" s="107"/>
      <c r="L235" s="108">
        <v>9.8522167487684722E-4</v>
      </c>
    </row>
    <row r="236" spans="3:12" ht="15" customHeight="1">
      <c r="C236" s="102" t="s">
        <v>928</v>
      </c>
      <c r="D236" s="55"/>
      <c r="E236" s="55"/>
      <c r="F236" s="55"/>
      <c r="G236" s="55"/>
      <c r="H236" s="55"/>
      <c r="I236" s="55"/>
      <c r="J236" s="106">
        <v>0</v>
      </c>
      <c r="K236" s="107"/>
      <c r="L236" s="108">
        <v>9.8522167487684722E-4</v>
      </c>
    </row>
    <row r="237" spans="3:12" ht="15" customHeight="1">
      <c r="C237" s="102" t="s">
        <v>98</v>
      </c>
      <c r="D237" s="55"/>
      <c r="E237" s="55"/>
      <c r="F237" s="55"/>
      <c r="G237" s="55"/>
      <c r="H237" s="55"/>
      <c r="I237" s="55"/>
      <c r="J237" s="106">
        <v>0</v>
      </c>
      <c r="K237" s="107"/>
      <c r="L237" s="108">
        <v>9.8522167487684722E-4</v>
      </c>
    </row>
    <row r="238" spans="3:12" ht="15" customHeight="1">
      <c r="C238" s="102" t="s">
        <v>749</v>
      </c>
      <c r="D238" s="55"/>
      <c r="E238" s="55"/>
      <c r="F238" s="55"/>
      <c r="G238" s="55"/>
      <c r="H238" s="55"/>
      <c r="I238" s="55"/>
      <c r="J238" s="106">
        <v>0</v>
      </c>
      <c r="K238" s="107"/>
      <c r="L238" s="108">
        <v>9.8522167487684722E-4</v>
      </c>
    </row>
    <row r="239" spans="3:12" ht="15" customHeight="1">
      <c r="C239" s="102" t="s">
        <v>818</v>
      </c>
      <c r="D239" s="55"/>
      <c r="E239" s="55"/>
      <c r="F239" s="55"/>
      <c r="G239" s="55"/>
      <c r="H239" s="55"/>
      <c r="I239" s="55"/>
      <c r="J239" s="106">
        <v>0</v>
      </c>
      <c r="K239" s="107"/>
      <c r="L239" s="108">
        <v>9.8522167487684722E-4</v>
      </c>
    </row>
    <row r="240" spans="3:12" ht="15" customHeight="1">
      <c r="C240" s="102" t="s">
        <v>214</v>
      </c>
      <c r="D240" s="55"/>
      <c r="E240" s="55"/>
      <c r="F240" s="55"/>
      <c r="G240" s="55"/>
      <c r="H240" s="55"/>
      <c r="I240" s="55"/>
      <c r="J240" s="106">
        <v>0</v>
      </c>
      <c r="K240" s="107"/>
      <c r="L240" s="108">
        <v>9.8522167487684722E-4</v>
      </c>
    </row>
    <row r="241" spans="3:12" ht="15" customHeight="1">
      <c r="C241" s="102" t="s">
        <v>924</v>
      </c>
      <c r="D241" s="55"/>
      <c r="E241" s="55"/>
      <c r="F241" s="55"/>
      <c r="G241" s="55"/>
      <c r="H241" s="55"/>
      <c r="I241" s="55"/>
      <c r="J241" s="106">
        <v>0</v>
      </c>
      <c r="K241" s="107"/>
      <c r="L241" s="108">
        <v>9.8522167487684722E-4</v>
      </c>
    </row>
    <row r="242" spans="3:12" ht="15" customHeight="1">
      <c r="C242" s="102" t="s">
        <v>212</v>
      </c>
      <c r="D242" s="55"/>
      <c r="E242" s="55"/>
      <c r="F242" s="55"/>
      <c r="G242" s="55"/>
      <c r="H242" s="55"/>
      <c r="I242" s="55"/>
      <c r="J242" s="106">
        <v>0</v>
      </c>
      <c r="K242" s="107"/>
      <c r="L242" s="108">
        <v>9.8522167487684722E-4</v>
      </c>
    </row>
    <row r="243" spans="3:12" ht="15" customHeight="1">
      <c r="C243" s="102" t="s">
        <v>339</v>
      </c>
      <c r="D243" s="55"/>
      <c r="E243" s="55"/>
      <c r="F243" s="55"/>
      <c r="G243" s="55"/>
      <c r="H243" s="55"/>
      <c r="I243" s="55"/>
      <c r="J243" s="106">
        <v>0</v>
      </c>
      <c r="K243" s="107"/>
      <c r="L243" s="108">
        <v>9.8522167487684722E-4</v>
      </c>
    </row>
    <row r="244" spans="3:12" ht="15" customHeight="1">
      <c r="C244" s="102" t="s">
        <v>570</v>
      </c>
      <c r="D244" s="55"/>
      <c r="E244" s="55"/>
      <c r="F244" s="55"/>
      <c r="G244" s="55"/>
      <c r="H244" s="55"/>
      <c r="I244" s="55"/>
      <c r="J244" s="106">
        <v>0</v>
      </c>
      <c r="K244" s="107"/>
      <c r="L244" s="108">
        <v>9.8522167487684722E-4</v>
      </c>
    </row>
    <row r="245" spans="3:12" ht="15" customHeight="1">
      <c r="C245" s="102" t="s">
        <v>991</v>
      </c>
      <c r="D245" s="55"/>
      <c r="E245" s="55"/>
      <c r="F245" s="55"/>
      <c r="G245" s="55"/>
      <c r="H245" s="55"/>
      <c r="I245" s="55"/>
      <c r="J245" s="106">
        <v>0</v>
      </c>
      <c r="K245" s="107"/>
      <c r="L245" s="108">
        <v>9.8522167487684722E-4</v>
      </c>
    </row>
    <row r="246" spans="3:12" ht="15" customHeight="1">
      <c r="C246" s="102" t="s">
        <v>203</v>
      </c>
      <c r="D246" s="55"/>
      <c r="E246" s="55"/>
      <c r="F246" s="55"/>
      <c r="G246" s="55"/>
      <c r="H246" s="55"/>
      <c r="I246" s="55"/>
      <c r="J246" s="106">
        <v>0</v>
      </c>
      <c r="K246" s="107"/>
      <c r="L246" s="108">
        <v>9.8522167487684722E-4</v>
      </c>
    </row>
    <row r="247" spans="3:12" ht="15" customHeight="1">
      <c r="C247" s="102" t="s">
        <v>341</v>
      </c>
      <c r="D247" s="55"/>
      <c r="E247" s="55"/>
      <c r="F247" s="55"/>
      <c r="G247" s="55"/>
      <c r="H247" s="55"/>
      <c r="I247" s="55"/>
      <c r="J247" s="106">
        <v>0</v>
      </c>
      <c r="K247" s="107"/>
      <c r="L247" s="108">
        <v>9.8522167487684722E-4</v>
      </c>
    </row>
    <row r="248" spans="3:12" ht="15" customHeight="1">
      <c r="C248" s="102" t="s">
        <v>162</v>
      </c>
      <c r="D248" s="55"/>
      <c r="E248" s="55"/>
      <c r="F248" s="55"/>
      <c r="G248" s="55"/>
      <c r="H248" s="55"/>
      <c r="I248" s="55"/>
      <c r="J248" s="106">
        <v>0</v>
      </c>
      <c r="K248" s="107"/>
      <c r="L248" s="108">
        <v>9.8522167487684722E-4</v>
      </c>
    </row>
    <row r="249" spans="3:12" ht="15" customHeight="1">
      <c r="C249" s="102" t="s">
        <v>1050</v>
      </c>
      <c r="D249" s="55"/>
      <c r="E249" s="55"/>
      <c r="F249" s="55"/>
      <c r="G249" s="55"/>
      <c r="H249" s="55"/>
      <c r="I249" s="55"/>
      <c r="J249" s="106">
        <v>0</v>
      </c>
      <c r="K249" s="107"/>
      <c r="L249" s="108">
        <v>9.8522167487684722E-4</v>
      </c>
    </row>
    <row r="250" spans="3:12" ht="15" customHeight="1">
      <c r="C250" s="102" t="s">
        <v>916</v>
      </c>
      <c r="D250" s="55"/>
      <c r="E250" s="55"/>
      <c r="F250" s="55"/>
      <c r="G250" s="55"/>
      <c r="H250" s="55"/>
      <c r="I250" s="55"/>
      <c r="J250" s="106">
        <v>0</v>
      </c>
      <c r="K250" s="107"/>
      <c r="L250" s="108">
        <v>9.8522167487684722E-4</v>
      </c>
    </row>
    <row r="251" spans="3:12" ht="15" customHeight="1">
      <c r="C251" s="102" t="s">
        <v>779</v>
      </c>
      <c r="D251" s="55"/>
      <c r="E251" s="55"/>
      <c r="F251" s="55"/>
      <c r="G251" s="55"/>
      <c r="H251" s="55"/>
      <c r="I251" s="55"/>
      <c r="J251" s="106">
        <v>0</v>
      </c>
      <c r="K251" s="107"/>
      <c r="L251" s="108">
        <v>9.8522167487684722E-4</v>
      </c>
    </row>
    <row r="252" spans="3:12" ht="15" customHeight="1">
      <c r="C252" s="102" t="s">
        <v>280</v>
      </c>
      <c r="D252" s="55"/>
      <c r="E252" s="55"/>
      <c r="F252" s="55"/>
      <c r="G252" s="55"/>
      <c r="H252" s="55"/>
      <c r="I252" s="55"/>
      <c r="J252" s="106">
        <v>0</v>
      </c>
      <c r="K252" s="107"/>
      <c r="L252" s="108">
        <v>9.8522167487684722E-4</v>
      </c>
    </row>
    <row r="253" spans="3:12" ht="15" customHeight="1">
      <c r="C253" s="102" t="s">
        <v>263</v>
      </c>
      <c r="D253" s="55"/>
      <c r="E253" s="55"/>
      <c r="F253" s="55"/>
      <c r="G253" s="55"/>
      <c r="H253" s="55"/>
      <c r="I253" s="55"/>
      <c r="J253" s="106">
        <v>0</v>
      </c>
      <c r="K253" s="107"/>
      <c r="L253" s="108">
        <v>9.8522167487684722E-4</v>
      </c>
    </row>
    <row r="254" spans="3:12" ht="15" customHeight="1">
      <c r="C254" s="102" t="s">
        <v>427</v>
      </c>
      <c r="D254" s="55"/>
      <c r="E254" s="55"/>
      <c r="F254" s="55"/>
      <c r="G254" s="55"/>
      <c r="H254" s="55"/>
      <c r="I254" s="55"/>
      <c r="J254" s="106">
        <v>0</v>
      </c>
      <c r="K254" s="107"/>
      <c r="L254" s="108">
        <v>9.8522167487684722E-4</v>
      </c>
    </row>
    <row r="255" spans="3:12" ht="15" customHeight="1">
      <c r="C255" s="102" t="s">
        <v>673</v>
      </c>
      <c r="D255" s="55"/>
      <c r="E255" s="55"/>
      <c r="F255" s="55"/>
      <c r="G255" s="55"/>
      <c r="H255" s="55"/>
      <c r="I255" s="55"/>
      <c r="J255" s="106">
        <v>0</v>
      </c>
      <c r="K255" s="107"/>
      <c r="L255" s="108">
        <v>9.8522167487684722E-4</v>
      </c>
    </row>
    <row r="256" spans="3:12" ht="15" customHeight="1">
      <c r="C256" s="102" t="s">
        <v>840</v>
      </c>
      <c r="D256" s="55"/>
      <c r="E256" s="55"/>
      <c r="F256" s="55"/>
      <c r="G256" s="55"/>
      <c r="H256" s="55"/>
      <c r="I256" s="55"/>
      <c r="J256" s="106">
        <v>0</v>
      </c>
      <c r="K256" s="107"/>
      <c r="L256" s="108">
        <v>9.8522167487684722E-4</v>
      </c>
    </row>
    <row r="257" spans="3:12" ht="15" customHeight="1">
      <c r="C257" s="102" t="s">
        <v>662</v>
      </c>
      <c r="D257" s="55"/>
      <c r="E257" s="55"/>
      <c r="F257" s="55"/>
      <c r="G257" s="55"/>
      <c r="H257" s="55"/>
      <c r="I257" s="55"/>
      <c r="J257" s="106">
        <v>0</v>
      </c>
      <c r="K257" s="107"/>
      <c r="L257" s="108">
        <v>9.8522167487684722E-4</v>
      </c>
    </row>
    <row r="258" spans="3:12" ht="15" customHeight="1">
      <c r="C258" s="102" t="s">
        <v>104</v>
      </c>
      <c r="D258" s="55"/>
      <c r="E258" s="55"/>
      <c r="F258" s="55"/>
      <c r="G258" s="55"/>
      <c r="H258" s="55"/>
      <c r="I258" s="55"/>
      <c r="J258" s="106">
        <v>0</v>
      </c>
      <c r="K258" s="107"/>
      <c r="L258" s="108">
        <v>9.8522167487684722E-4</v>
      </c>
    </row>
    <row r="259" spans="3:12" ht="15" customHeight="1">
      <c r="C259" s="102" t="s">
        <v>888</v>
      </c>
      <c r="D259" s="55"/>
      <c r="E259" s="55"/>
      <c r="F259" s="55"/>
      <c r="G259" s="55"/>
      <c r="H259" s="55"/>
      <c r="I259" s="55"/>
      <c r="J259" s="106">
        <v>0</v>
      </c>
      <c r="K259" s="107"/>
      <c r="L259" s="108">
        <v>9.8522167487684722E-4</v>
      </c>
    </row>
    <row r="260" spans="3:12" ht="15" customHeight="1">
      <c r="C260" s="102" t="s">
        <v>110</v>
      </c>
      <c r="D260" s="55"/>
      <c r="E260" s="55"/>
      <c r="F260" s="55"/>
      <c r="G260" s="55"/>
      <c r="H260" s="55"/>
      <c r="I260" s="55"/>
      <c r="J260" s="106">
        <v>0</v>
      </c>
      <c r="K260" s="107"/>
      <c r="L260" s="108">
        <v>9.8522167487684722E-4</v>
      </c>
    </row>
    <row r="261" spans="3:12" ht="15" customHeight="1">
      <c r="C261" s="102" t="s">
        <v>134</v>
      </c>
      <c r="D261" s="55"/>
      <c r="E261" s="55"/>
      <c r="F261" s="55"/>
      <c r="G261" s="55"/>
      <c r="H261" s="55"/>
      <c r="I261" s="55"/>
      <c r="J261" s="106">
        <v>0</v>
      </c>
      <c r="K261" s="107"/>
      <c r="L261" s="108">
        <v>9.8522167487684722E-4</v>
      </c>
    </row>
    <row r="262" spans="3:12" ht="15" customHeight="1">
      <c r="C262" s="102" t="s">
        <v>313</v>
      </c>
      <c r="D262" s="55"/>
      <c r="E262" s="55"/>
      <c r="F262" s="55"/>
      <c r="G262" s="55"/>
      <c r="H262" s="55"/>
      <c r="I262" s="55"/>
      <c r="J262" s="106">
        <v>0</v>
      </c>
      <c r="K262" s="107"/>
      <c r="L262" s="108">
        <v>9.8522167487684722E-4</v>
      </c>
    </row>
    <row r="263" spans="3:12" ht="15" customHeight="1">
      <c r="C263" s="102" t="s">
        <v>182</v>
      </c>
      <c r="D263" s="55"/>
      <c r="E263" s="55"/>
      <c r="F263" s="55"/>
      <c r="G263" s="55"/>
      <c r="H263" s="55"/>
      <c r="I263" s="55"/>
      <c r="J263" s="106">
        <v>0</v>
      </c>
      <c r="K263" s="107"/>
      <c r="L263" s="108">
        <v>9.8522167487684722E-4</v>
      </c>
    </row>
    <row r="264" spans="3:12" ht="15" customHeight="1">
      <c r="C264" s="102" t="s">
        <v>617</v>
      </c>
      <c r="D264" s="55"/>
      <c r="E264" s="55"/>
      <c r="F264" s="55"/>
      <c r="G264" s="55"/>
      <c r="H264" s="55"/>
      <c r="I264" s="55"/>
      <c r="J264" s="106">
        <v>0</v>
      </c>
      <c r="K264" s="107"/>
      <c r="L264" s="108">
        <v>9.8522167487684722E-4</v>
      </c>
    </row>
    <row r="265" spans="3:12" ht="15" customHeight="1">
      <c r="C265" s="102" t="s">
        <v>940</v>
      </c>
      <c r="D265" s="55"/>
      <c r="E265" s="55"/>
      <c r="F265" s="55"/>
      <c r="G265" s="55"/>
      <c r="H265" s="55"/>
      <c r="I265" s="55"/>
      <c r="J265" s="106">
        <v>0</v>
      </c>
      <c r="K265" s="107"/>
      <c r="L265" s="108">
        <v>9.8522167487684722E-4</v>
      </c>
    </row>
    <row r="266" spans="3:12" ht="15" customHeight="1">
      <c r="C266" s="102" t="s">
        <v>1068</v>
      </c>
      <c r="D266" s="55"/>
      <c r="E266" s="55"/>
      <c r="F266" s="55"/>
      <c r="G266" s="55"/>
      <c r="H266" s="55"/>
      <c r="I266" s="55"/>
      <c r="J266" s="106">
        <v>0</v>
      </c>
      <c r="K266" s="107"/>
      <c r="L266" s="108">
        <v>9.8522167487684722E-4</v>
      </c>
    </row>
    <row r="267" spans="3:12" ht="15" customHeight="1">
      <c r="C267" s="102" t="s">
        <v>795</v>
      </c>
      <c r="D267" s="55"/>
      <c r="E267" s="55"/>
      <c r="F267" s="55"/>
      <c r="G267" s="55"/>
      <c r="H267" s="55"/>
      <c r="I267" s="55"/>
      <c r="J267" s="106">
        <v>0</v>
      </c>
      <c r="K267" s="107"/>
      <c r="L267" s="108">
        <v>9.8522167487684722E-4</v>
      </c>
    </row>
    <row r="268" spans="3:12" ht="15" customHeight="1">
      <c r="C268" s="102" t="s">
        <v>144</v>
      </c>
      <c r="D268" s="55"/>
      <c r="E268" s="55"/>
      <c r="F268" s="55"/>
      <c r="G268" s="55"/>
      <c r="H268" s="55"/>
      <c r="I268" s="55"/>
      <c r="J268" s="106">
        <v>0</v>
      </c>
      <c r="K268" s="107"/>
      <c r="L268" s="108">
        <v>9.8522167487684722E-4</v>
      </c>
    </row>
    <row r="269" spans="3:12" ht="15" customHeight="1">
      <c r="C269" s="102" t="s">
        <v>839</v>
      </c>
      <c r="D269" s="55"/>
      <c r="E269" s="55"/>
      <c r="F269" s="55"/>
      <c r="G269" s="55"/>
      <c r="H269" s="55"/>
      <c r="I269" s="55"/>
      <c r="J269" s="106">
        <v>0</v>
      </c>
      <c r="K269" s="107"/>
      <c r="L269" s="108">
        <v>9.8522167487684722E-4</v>
      </c>
    </row>
    <row r="270" spans="3:12" ht="15" customHeight="1">
      <c r="C270" s="102" t="s">
        <v>444</v>
      </c>
      <c r="D270" s="55"/>
      <c r="E270" s="55"/>
      <c r="F270" s="55"/>
      <c r="G270" s="55"/>
      <c r="H270" s="55"/>
      <c r="I270" s="55"/>
      <c r="J270" s="106">
        <v>0</v>
      </c>
      <c r="K270" s="107"/>
      <c r="L270" s="108">
        <v>9.8522167487684722E-4</v>
      </c>
    </row>
    <row r="271" spans="3:12" ht="15" customHeight="1">
      <c r="C271" s="102" t="s">
        <v>238</v>
      </c>
      <c r="D271" s="55"/>
      <c r="E271" s="55"/>
      <c r="F271" s="55"/>
      <c r="G271" s="55"/>
      <c r="H271" s="55"/>
      <c r="I271" s="55"/>
      <c r="J271" s="106">
        <v>0</v>
      </c>
      <c r="K271" s="107"/>
      <c r="L271" s="108">
        <v>9.8522167487684722E-4</v>
      </c>
    </row>
    <row r="272" spans="3:12" ht="15" customHeight="1">
      <c r="C272" s="102" t="s">
        <v>1099</v>
      </c>
      <c r="D272" s="55"/>
      <c r="E272" s="55"/>
      <c r="F272" s="55"/>
      <c r="G272" s="55"/>
      <c r="H272" s="55"/>
      <c r="I272" s="55"/>
      <c r="J272" s="106">
        <v>0</v>
      </c>
      <c r="K272" s="107"/>
      <c r="L272" s="108">
        <v>9.8522167487684722E-4</v>
      </c>
    </row>
    <row r="273" spans="3:12" ht="15" customHeight="1">
      <c r="C273" s="102" t="s">
        <v>200</v>
      </c>
      <c r="D273" s="55"/>
      <c r="E273" s="55"/>
      <c r="F273" s="55"/>
      <c r="G273" s="55"/>
      <c r="H273" s="55"/>
      <c r="I273" s="55"/>
      <c r="J273" s="106">
        <v>0</v>
      </c>
      <c r="K273" s="107"/>
      <c r="L273" s="108">
        <v>9.8522167487684722E-4</v>
      </c>
    </row>
    <row r="274" spans="3:12" ht="15" customHeight="1">
      <c r="C274" s="102" t="s">
        <v>784</v>
      </c>
      <c r="D274" s="55"/>
      <c r="E274" s="55"/>
      <c r="F274" s="55"/>
      <c r="G274" s="55"/>
      <c r="H274" s="55"/>
      <c r="I274" s="55"/>
      <c r="J274" s="106">
        <v>0</v>
      </c>
      <c r="K274" s="107"/>
      <c r="L274" s="108">
        <v>9.8522167487684722E-4</v>
      </c>
    </row>
    <row r="275" spans="3:12" ht="15" customHeight="1">
      <c r="C275" s="102" t="s">
        <v>464</v>
      </c>
      <c r="D275" s="55"/>
      <c r="E275" s="55"/>
      <c r="F275" s="55"/>
      <c r="G275" s="55"/>
      <c r="H275" s="55"/>
      <c r="I275" s="55"/>
      <c r="J275" s="106">
        <v>0</v>
      </c>
      <c r="K275" s="107"/>
      <c r="L275" s="108">
        <v>9.8522167487684722E-4</v>
      </c>
    </row>
    <row r="276" spans="3:12" ht="15" customHeight="1">
      <c r="C276" s="102" t="s">
        <v>705</v>
      </c>
      <c r="D276" s="55"/>
      <c r="E276" s="55"/>
      <c r="F276" s="55"/>
      <c r="G276" s="55"/>
      <c r="H276" s="55"/>
      <c r="I276" s="55"/>
      <c r="J276" s="106">
        <v>0</v>
      </c>
      <c r="K276" s="107"/>
      <c r="L276" s="108">
        <v>9.8522167487684722E-4</v>
      </c>
    </row>
    <row r="277" spans="3:12" ht="15" customHeight="1">
      <c r="C277" s="102" t="s">
        <v>277</v>
      </c>
      <c r="D277" s="55"/>
      <c r="E277" s="55"/>
      <c r="F277" s="55"/>
      <c r="G277" s="55"/>
      <c r="H277" s="55"/>
      <c r="I277" s="55"/>
      <c r="J277" s="106">
        <v>0</v>
      </c>
      <c r="K277" s="107"/>
      <c r="L277" s="108">
        <v>9.8522167487684722E-4</v>
      </c>
    </row>
    <row r="278" spans="3:12" ht="15" customHeight="1">
      <c r="C278" s="102" t="s">
        <v>736</v>
      </c>
      <c r="D278" s="55"/>
      <c r="E278" s="55"/>
      <c r="F278" s="55"/>
      <c r="G278" s="55"/>
      <c r="H278" s="55"/>
      <c r="I278" s="55"/>
      <c r="J278" s="106">
        <v>0</v>
      </c>
      <c r="K278" s="107"/>
      <c r="L278" s="108">
        <v>9.8522167487684722E-4</v>
      </c>
    </row>
    <row r="279" spans="3:12" ht="15" customHeight="1">
      <c r="C279" s="102" t="s">
        <v>781</v>
      </c>
      <c r="D279" s="55"/>
      <c r="E279" s="55"/>
      <c r="F279" s="55"/>
      <c r="G279" s="55"/>
      <c r="H279" s="55"/>
      <c r="I279" s="55"/>
      <c r="J279" s="106">
        <v>0</v>
      </c>
      <c r="K279" s="107"/>
      <c r="L279" s="108">
        <v>9.8522167487684722E-4</v>
      </c>
    </row>
    <row r="280" spans="3:12" ht="15" customHeight="1">
      <c r="C280" s="102" t="s">
        <v>533</v>
      </c>
      <c r="D280" s="55"/>
      <c r="E280" s="55"/>
      <c r="F280" s="55"/>
      <c r="G280" s="55"/>
      <c r="H280" s="55"/>
      <c r="I280" s="55"/>
      <c r="J280" s="106">
        <v>0</v>
      </c>
      <c r="K280" s="107"/>
      <c r="L280" s="108">
        <v>9.8522167487684722E-4</v>
      </c>
    </row>
    <row r="281" spans="3:12" ht="15" customHeight="1">
      <c r="C281" s="102" t="s">
        <v>412</v>
      </c>
      <c r="D281" s="55"/>
      <c r="E281" s="55"/>
      <c r="F281" s="55"/>
      <c r="G281" s="55"/>
      <c r="H281" s="55"/>
      <c r="I281" s="55"/>
      <c r="J281" s="106">
        <v>0</v>
      </c>
      <c r="K281" s="107"/>
      <c r="L281" s="108">
        <v>9.8522167487684722E-4</v>
      </c>
    </row>
    <row r="282" spans="3:12" ht="15" customHeight="1">
      <c r="C282" s="102" t="s">
        <v>860</v>
      </c>
      <c r="D282" s="55"/>
      <c r="E282" s="55"/>
      <c r="F282" s="55"/>
      <c r="G282" s="55"/>
      <c r="H282" s="55"/>
      <c r="I282" s="55"/>
      <c r="J282" s="106">
        <v>0</v>
      </c>
      <c r="K282" s="107"/>
      <c r="L282" s="108">
        <v>9.8522167487684722E-4</v>
      </c>
    </row>
    <row r="283" spans="3:12" ht="15" customHeight="1">
      <c r="C283" s="102" t="s">
        <v>949</v>
      </c>
      <c r="D283" s="55"/>
      <c r="E283" s="55"/>
      <c r="F283" s="55"/>
      <c r="G283" s="55"/>
      <c r="H283" s="55"/>
      <c r="I283" s="55"/>
      <c r="J283" s="106">
        <v>0</v>
      </c>
      <c r="K283" s="107"/>
      <c r="L283" s="108">
        <v>9.8522167487684722E-4</v>
      </c>
    </row>
    <row r="284" spans="3:12" ht="15" customHeight="1">
      <c r="C284" s="102" t="s">
        <v>760</v>
      </c>
      <c r="D284" s="55"/>
      <c r="E284" s="55"/>
      <c r="F284" s="55"/>
      <c r="G284" s="55"/>
      <c r="H284" s="55"/>
      <c r="I284" s="55"/>
      <c r="J284" s="106">
        <v>0</v>
      </c>
      <c r="K284" s="107"/>
      <c r="L284" s="108">
        <v>9.8522167487684722E-4</v>
      </c>
    </row>
    <row r="285" spans="3:12" ht="15" customHeight="1">
      <c r="C285" s="102" t="s">
        <v>566</v>
      </c>
      <c r="D285" s="55"/>
      <c r="E285" s="55"/>
      <c r="F285" s="55"/>
      <c r="G285" s="55"/>
      <c r="H285" s="55"/>
      <c r="I285" s="55"/>
      <c r="J285" s="106">
        <v>0</v>
      </c>
      <c r="K285" s="107"/>
      <c r="L285" s="108">
        <v>9.8522167487684722E-4</v>
      </c>
    </row>
    <row r="286" spans="3:12" ht="15" customHeight="1">
      <c r="C286" s="102" t="s">
        <v>303</v>
      </c>
      <c r="D286" s="55"/>
      <c r="E286" s="55"/>
      <c r="F286" s="55"/>
      <c r="G286" s="55"/>
      <c r="H286" s="55"/>
      <c r="I286" s="55"/>
      <c r="J286" s="106">
        <v>0</v>
      </c>
      <c r="K286" s="107"/>
      <c r="L286" s="108">
        <v>9.8522167487684722E-4</v>
      </c>
    </row>
    <row r="287" spans="3:12" ht="15" customHeight="1">
      <c r="C287" s="102" t="s">
        <v>867</v>
      </c>
      <c r="D287" s="55"/>
      <c r="E287" s="55"/>
      <c r="F287" s="55"/>
      <c r="G287" s="55"/>
      <c r="H287" s="55"/>
      <c r="I287" s="55"/>
      <c r="J287" s="106">
        <v>0</v>
      </c>
      <c r="K287" s="107"/>
      <c r="L287" s="108">
        <v>9.8522167487684722E-4</v>
      </c>
    </row>
    <row r="288" spans="3:12" ht="15" customHeight="1">
      <c r="C288" s="102" t="s">
        <v>610</v>
      </c>
      <c r="D288" s="55"/>
      <c r="E288" s="55"/>
      <c r="F288" s="55"/>
      <c r="G288" s="55"/>
      <c r="H288" s="55"/>
      <c r="I288" s="55"/>
      <c r="J288" s="106">
        <v>0</v>
      </c>
      <c r="K288" s="107"/>
      <c r="L288" s="108">
        <v>9.8522167487684722E-4</v>
      </c>
    </row>
    <row r="289" spans="3:12" ht="15" customHeight="1">
      <c r="C289" s="102" t="s">
        <v>946</v>
      </c>
      <c r="D289" s="55"/>
      <c r="E289" s="55"/>
      <c r="F289" s="55"/>
      <c r="G289" s="55"/>
      <c r="H289" s="55"/>
      <c r="I289" s="55"/>
      <c r="J289" s="106">
        <v>0</v>
      </c>
      <c r="K289" s="107"/>
      <c r="L289" s="108">
        <v>9.8522167487684722E-4</v>
      </c>
    </row>
    <row r="290" spans="3:12" ht="15" customHeight="1">
      <c r="C290" s="102" t="s">
        <v>209</v>
      </c>
      <c r="D290" s="55"/>
      <c r="E290" s="55"/>
      <c r="F290" s="55"/>
      <c r="G290" s="55"/>
      <c r="H290" s="55"/>
      <c r="I290" s="55"/>
      <c r="J290" s="106">
        <v>0</v>
      </c>
      <c r="K290" s="107"/>
      <c r="L290" s="108">
        <v>9.8522167487684722E-4</v>
      </c>
    </row>
    <row r="291" spans="3:12" ht="15" customHeight="1">
      <c r="C291" s="102" t="s">
        <v>401</v>
      </c>
      <c r="D291" s="55"/>
      <c r="E291" s="55"/>
      <c r="F291" s="55"/>
      <c r="G291" s="55"/>
      <c r="H291" s="55"/>
      <c r="I291" s="55"/>
      <c r="J291" s="106">
        <v>0</v>
      </c>
      <c r="K291" s="107"/>
      <c r="L291" s="108">
        <v>9.8522167487684722E-4</v>
      </c>
    </row>
    <row r="292" spans="3:12" ht="15" customHeight="1">
      <c r="C292" s="102" t="s">
        <v>264</v>
      </c>
      <c r="D292" s="55"/>
      <c r="E292" s="55"/>
      <c r="F292" s="55"/>
      <c r="G292" s="55"/>
      <c r="H292" s="55"/>
      <c r="I292" s="55"/>
      <c r="J292" s="106">
        <v>0</v>
      </c>
      <c r="K292" s="107"/>
      <c r="L292" s="108">
        <v>9.8522167487684722E-4</v>
      </c>
    </row>
    <row r="293" spans="3:12" ht="15" customHeight="1">
      <c r="C293" s="102" t="s">
        <v>689</v>
      </c>
      <c r="D293" s="55"/>
      <c r="E293" s="55"/>
      <c r="F293" s="55"/>
      <c r="G293" s="55"/>
      <c r="H293" s="55"/>
      <c r="I293" s="55"/>
      <c r="J293" s="106">
        <v>0</v>
      </c>
      <c r="K293" s="107"/>
      <c r="L293" s="108">
        <v>9.8522167487684722E-4</v>
      </c>
    </row>
    <row r="294" spans="3:12" ht="15" customHeight="1">
      <c r="C294" s="102" t="s">
        <v>974</v>
      </c>
      <c r="D294" s="55"/>
      <c r="E294" s="55"/>
      <c r="F294" s="55"/>
      <c r="G294" s="55"/>
      <c r="H294" s="55"/>
      <c r="I294" s="55"/>
      <c r="J294" s="106">
        <v>0</v>
      </c>
      <c r="K294" s="107"/>
      <c r="L294" s="108">
        <v>9.8522167487684722E-4</v>
      </c>
    </row>
    <row r="295" spans="3:12" ht="15" customHeight="1">
      <c r="C295" s="102" t="s">
        <v>657</v>
      </c>
      <c r="D295" s="55"/>
      <c r="E295" s="55"/>
      <c r="F295" s="55"/>
      <c r="G295" s="55"/>
      <c r="H295" s="55"/>
      <c r="I295" s="55"/>
      <c r="J295" s="106">
        <v>0</v>
      </c>
      <c r="K295" s="107"/>
      <c r="L295" s="108">
        <v>9.8522167487684722E-4</v>
      </c>
    </row>
    <row r="296" spans="3:12" ht="15" customHeight="1">
      <c r="C296" s="102" t="s">
        <v>299</v>
      </c>
      <c r="D296" s="55"/>
      <c r="E296" s="55"/>
      <c r="F296" s="55"/>
      <c r="G296" s="55"/>
      <c r="H296" s="55"/>
      <c r="I296" s="55"/>
      <c r="J296" s="106">
        <v>0</v>
      </c>
      <c r="K296" s="107"/>
      <c r="L296" s="108">
        <v>9.8522167487684722E-4</v>
      </c>
    </row>
    <row r="297" spans="3:12" ht="15" customHeight="1">
      <c r="C297" s="102" t="s">
        <v>187</v>
      </c>
      <c r="D297" s="55"/>
      <c r="E297" s="55"/>
      <c r="F297" s="55"/>
      <c r="G297" s="55"/>
      <c r="H297" s="55"/>
      <c r="I297" s="55"/>
      <c r="J297" s="106">
        <v>0</v>
      </c>
      <c r="K297" s="107"/>
      <c r="L297" s="108">
        <v>9.8522167487684722E-4</v>
      </c>
    </row>
    <row r="298" spans="3:12" ht="15" customHeight="1">
      <c r="C298" s="102" t="s">
        <v>664</v>
      </c>
      <c r="D298" s="55"/>
      <c r="E298" s="55"/>
      <c r="F298" s="55"/>
      <c r="G298" s="55"/>
      <c r="H298" s="55"/>
      <c r="I298" s="55"/>
      <c r="J298" s="106">
        <v>0</v>
      </c>
      <c r="K298" s="107"/>
      <c r="L298" s="108">
        <v>9.8522167487684722E-4</v>
      </c>
    </row>
    <row r="299" spans="3:12" ht="15" customHeight="1">
      <c r="C299" s="102" t="s">
        <v>936</v>
      </c>
      <c r="D299" s="55"/>
      <c r="E299" s="55"/>
      <c r="F299" s="55"/>
      <c r="G299" s="55"/>
      <c r="H299" s="55"/>
      <c r="I299" s="55"/>
      <c r="J299" s="106">
        <v>0</v>
      </c>
      <c r="K299" s="107"/>
      <c r="L299" s="108">
        <v>9.8522167487684722E-4</v>
      </c>
    </row>
    <row r="300" spans="3:12" ht="15" customHeight="1">
      <c r="C300" s="102" t="s">
        <v>803</v>
      </c>
      <c r="D300" s="55"/>
      <c r="E300" s="55"/>
      <c r="F300" s="55"/>
      <c r="G300" s="55"/>
      <c r="H300" s="55"/>
      <c r="I300" s="55"/>
      <c r="J300" s="106">
        <v>0</v>
      </c>
      <c r="K300" s="107"/>
      <c r="L300" s="108">
        <v>9.8522167487684722E-4</v>
      </c>
    </row>
    <row r="301" spans="3:12" ht="15" customHeight="1">
      <c r="C301" s="102" t="s">
        <v>530</v>
      </c>
      <c r="D301" s="55"/>
      <c r="E301" s="55"/>
      <c r="F301" s="55"/>
      <c r="G301" s="55"/>
      <c r="H301" s="55"/>
      <c r="I301" s="55"/>
      <c r="J301" s="106">
        <v>0</v>
      </c>
      <c r="K301" s="107"/>
      <c r="L301" s="108">
        <v>9.8522167487684722E-4</v>
      </c>
    </row>
    <row r="302" spans="3:12" ht="15" customHeight="1">
      <c r="C302" s="102" t="s">
        <v>175</v>
      </c>
      <c r="D302" s="55"/>
      <c r="E302" s="55"/>
      <c r="F302" s="55"/>
      <c r="G302" s="55"/>
      <c r="H302" s="55"/>
      <c r="I302" s="55"/>
      <c r="J302" s="106">
        <v>0</v>
      </c>
      <c r="K302" s="107"/>
      <c r="L302" s="108">
        <v>9.8522167487684722E-4</v>
      </c>
    </row>
    <row r="303" spans="3:12" ht="15" customHeight="1">
      <c r="C303" s="102" t="s">
        <v>192</v>
      </c>
      <c r="D303" s="55"/>
      <c r="E303" s="55"/>
      <c r="F303" s="55"/>
      <c r="G303" s="55"/>
      <c r="H303" s="55"/>
      <c r="I303" s="55"/>
      <c r="J303" s="106">
        <v>0</v>
      </c>
      <c r="K303" s="107"/>
      <c r="L303" s="108">
        <v>9.8522167487684722E-4</v>
      </c>
    </row>
    <row r="304" spans="3:12" ht="15" customHeight="1">
      <c r="C304" s="102" t="s">
        <v>665</v>
      </c>
      <c r="D304" s="55"/>
      <c r="E304" s="55"/>
      <c r="F304" s="55"/>
      <c r="G304" s="55"/>
      <c r="H304" s="55"/>
      <c r="I304" s="55"/>
      <c r="J304" s="106">
        <v>0</v>
      </c>
      <c r="K304" s="107"/>
      <c r="L304" s="108">
        <v>9.8522167487684722E-4</v>
      </c>
    </row>
    <row r="305" spans="3:12" ht="15" customHeight="1">
      <c r="C305" s="102" t="s">
        <v>575</v>
      </c>
      <c r="D305" s="55"/>
      <c r="E305" s="55"/>
      <c r="F305" s="55"/>
      <c r="G305" s="55"/>
      <c r="H305" s="55"/>
      <c r="I305" s="55"/>
      <c r="J305" s="106">
        <v>0</v>
      </c>
      <c r="K305" s="107"/>
      <c r="L305" s="108">
        <v>9.8522167487684722E-4</v>
      </c>
    </row>
    <row r="306" spans="3:12" ht="15" customHeight="1">
      <c r="C306" s="102" t="s">
        <v>485</v>
      </c>
      <c r="D306" s="55"/>
      <c r="E306" s="55"/>
      <c r="F306" s="55"/>
      <c r="G306" s="55"/>
      <c r="H306" s="55"/>
      <c r="I306" s="55"/>
      <c r="J306" s="106">
        <v>0</v>
      </c>
      <c r="K306" s="107"/>
      <c r="L306" s="108">
        <v>9.8522167487684722E-4</v>
      </c>
    </row>
    <row r="307" spans="3:12" ht="15" customHeight="1">
      <c r="C307" s="102" t="s">
        <v>363</v>
      </c>
      <c r="D307" s="55"/>
      <c r="E307" s="55"/>
      <c r="F307" s="55"/>
      <c r="G307" s="55"/>
      <c r="H307" s="55"/>
      <c r="I307" s="55"/>
      <c r="J307" s="106">
        <v>0</v>
      </c>
      <c r="K307" s="107"/>
      <c r="L307" s="108">
        <v>9.8522167487684722E-4</v>
      </c>
    </row>
    <row r="308" spans="3:12" ht="15" customHeight="1">
      <c r="C308" s="102" t="s">
        <v>247</v>
      </c>
      <c r="D308" s="55"/>
      <c r="E308" s="55"/>
      <c r="F308" s="55"/>
      <c r="G308" s="55"/>
      <c r="H308" s="55"/>
      <c r="I308" s="55"/>
      <c r="J308" s="106">
        <v>0</v>
      </c>
      <c r="K308" s="107"/>
      <c r="L308" s="108">
        <v>9.8522167487684722E-4</v>
      </c>
    </row>
    <row r="309" spans="3:12" ht="15" customHeight="1">
      <c r="C309" s="102" t="s">
        <v>712</v>
      </c>
      <c r="D309" s="55"/>
      <c r="E309" s="55"/>
      <c r="F309" s="55"/>
      <c r="G309" s="55"/>
      <c r="H309" s="55"/>
      <c r="I309" s="55"/>
      <c r="J309" s="106">
        <v>0</v>
      </c>
      <c r="K309" s="107"/>
      <c r="L309" s="108">
        <v>9.8522167487684722E-4</v>
      </c>
    </row>
    <row r="310" spans="3:12" ht="15" customHeight="1">
      <c r="C310" s="102" t="s">
        <v>413</v>
      </c>
      <c r="D310" s="55"/>
      <c r="E310" s="55"/>
      <c r="F310" s="55"/>
      <c r="G310" s="55"/>
      <c r="H310" s="55"/>
      <c r="I310" s="55"/>
      <c r="J310" s="106">
        <v>0</v>
      </c>
      <c r="K310" s="107"/>
      <c r="L310" s="108">
        <v>9.8522167487684722E-4</v>
      </c>
    </row>
    <row r="311" spans="3:12" ht="15" customHeight="1">
      <c r="C311" s="102" t="s">
        <v>1059</v>
      </c>
      <c r="D311" s="55"/>
      <c r="E311" s="55"/>
      <c r="F311" s="55"/>
      <c r="G311" s="55"/>
      <c r="H311" s="55"/>
      <c r="I311" s="55"/>
      <c r="J311" s="106">
        <v>0</v>
      </c>
      <c r="K311" s="107"/>
      <c r="L311" s="108">
        <v>9.8522167487684722E-4</v>
      </c>
    </row>
    <row r="312" spans="3:12" ht="15" customHeight="1">
      <c r="C312" s="102" t="s">
        <v>411</v>
      </c>
      <c r="D312" s="55"/>
      <c r="E312" s="55"/>
      <c r="F312" s="55"/>
      <c r="G312" s="55"/>
      <c r="H312" s="55"/>
      <c r="I312" s="55"/>
      <c r="J312" s="106">
        <v>0</v>
      </c>
      <c r="K312" s="107"/>
      <c r="L312" s="108">
        <v>9.8522167487684722E-4</v>
      </c>
    </row>
    <row r="313" spans="3:12" ht="15" customHeight="1">
      <c r="C313" s="102" t="s">
        <v>726</v>
      </c>
      <c r="D313" s="55"/>
      <c r="E313" s="55"/>
      <c r="F313" s="55"/>
      <c r="G313" s="55"/>
      <c r="H313" s="55"/>
      <c r="I313" s="55"/>
      <c r="J313" s="106">
        <v>0</v>
      </c>
      <c r="K313" s="107"/>
      <c r="L313" s="108">
        <v>9.8522167487684722E-4</v>
      </c>
    </row>
    <row r="314" spans="3:12" ht="15" customHeight="1">
      <c r="C314" s="102" t="s">
        <v>879</v>
      </c>
      <c r="D314" s="55"/>
      <c r="E314" s="55"/>
      <c r="F314" s="55"/>
      <c r="G314" s="55"/>
      <c r="H314" s="55"/>
      <c r="I314" s="55"/>
      <c r="J314" s="106">
        <v>0</v>
      </c>
      <c r="K314" s="107"/>
      <c r="L314" s="108">
        <v>9.8522167487684722E-4</v>
      </c>
    </row>
    <row r="315" spans="3:12" ht="15" customHeight="1">
      <c r="C315" s="102" t="s">
        <v>448</v>
      </c>
      <c r="D315" s="55"/>
      <c r="E315" s="55"/>
      <c r="F315" s="55"/>
      <c r="G315" s="55"/>
      <c r="H315" s="55"/>
      <c r="I315" s="55"/>
      <c r="J315" s="106">
        <v>0</v>
      </c>
      <c r="K315" s="107"/>
      <c r="L315" s="108">
        <v>9.8522167487684722E-4</v>
      </c>
    </row>
    <row r="316" spans="3:12" ht="15" customHeight="1">
      <c r="C316" s="102" t="s">
        <v>1007</v>
      </c>
      <c r="D316" s="55"/>
      <c r="E316" s="55"/>
      <c r="F316" s="55"/>
      <c r="G316" s="55"/>
      <c r="H316" s="55"/>
      <c r="I316" s="55"/>
      <c r="J316" s="106">
        <v>0</v>
      </c>
      <c r="K316" s="107"/>
      <c r="L316" s="108">
        <v>9.8522167487684722E-4</v>
      </c>
    </row>
    <row r="317" spans="3:12" ht="15" customHeight="1">
      <c r="C317" s="102" t="s">
        <v>783</v>
      </c>
      <c r="D317" s="55"/>
      <c r="E317" s="55"/>
      <c r="F317" s="55"/>
      <c r="G317" s="55"/>
      <c r="H317" s="55"/>
      <c r="I317" s="55"/>
      <c r="J317" s="106">
        <v>0</v>
      </c>
      <c r="K317" s="107"/>
      <c r="L317" s="108">
        <v>9.8522167487684722E-4</v>
      </c>
    </row>
    <row r="318" spans="3:12" ht="15" customHeight="1">
      <c r="C318" s="102" t="s">
        <v>661</v>
      </c>
      <c r="D318" s="55"/>
      <c r="E318" s="55"/>
      <c r="F318" s="55"/>
      <c r="G318" s="55"/>
      <c r="H318" s="55"/>
      <c r="I318" s="55"/>
      <c r="J318" s="106">
        <v>0</v>
      </c>
      <c r="K318" s="107"/>
      <c r="L318" s="108">
        <v>9.8522167487684722E-4</v>
      </c>
    </row>
    <row r="319" spans="3:12" ht="15" customHeight="1">
      <c r="C319" s="102" t="s">
        <v>821</v>
      </c>
      <c r="D319" s="55"/>
      <c r="E319" s="55"/>
      <c r="F319" s="55"/>
      <c r="G319" s="55"/>
      <c r="H319" s="55"/>
      <c r="I319" s="55"/>
      <c r="J319" s="106">
        <v>0</v>
      </c>
      <c r="K319" s="107"/>
      <c r="L319" s="108">
        <v>9.8522167487684722E-4</v>
      </c>
    </row>
    <row r="320" spans="3:12" ht="15" customHeight="1">
      <c r="C320" s="102" t="s">
        <v>655</v>
      </c>
      <c r="D320" s="55"/>
      <c r="E320" s="55"/>
      <c r="F320" s="55"/>
      <c r="G320" s="55"/>
      <c r="H320" s="55"/>
      <c r="I320" s="55"/>
      <c r="J320" s="106">
        <v>0</v>
      </c>
      <c r="K320" s="107"/>
      <c r="L320" s="108">
        <v>9.8522167487684722E-4</v>
      </c>
    </row>
    <row r="321" spans="3:12" ht="15" customHeight="1">
      <c r="C321" s="102" t="s">
        <v>270</v>
      </c>
      <c r="D321" s="55"/>
      <c r="E321" s="55"/>
      <c r="F321" s="55"/>
      <c r="G321" s="55"/>
      <c r="H321" s="55"/>
      <c r="I321" s="55"/>
      <c r="J321" s="106">
        <v>0</v>
      </c>
      <c r="K321" s="107"/>
      <c r="L321" s="108">
        <v>9.8522167487684722E-4</v>
      </c>
    </row>
    <row r="322" spans="3:12" ht="15" customHeight="1">
      <c r="C322" s="102" t="s">
        <v>494</v>
      </c>
      <c r="D322" s="55"/>
      <c r="E322" s="55"/>
      <c r="F322" s="55"/>
      <c r="G322" s="55"/>
      <c r="H322" s="55"/>
      <c r="I322" s="55"/>
      <c r="J322" s="106">
        <v>0</v>
      </c>
      <c r="K322" s="107"/>
      <c r="L322" s="108">
        <v>9.8522167487684722E-4</v>
      </c>
    </row>
    <row r="323" spans="3:12" ht="15" customHeight="1">
      <c r="C323" s="102" t="s">
        <v>201</v>
      </c>
      <c r="D323" s="55"/>
      <c r="E323" s="55"/>
      <c r="F323" s="55"/>
      <c r="G323" s="55"/>
      <c r="H323" s="55"/>
      <c r="I323" s="55"/>
      <c r="J323" s="106">
        <v>0</v>
      </c>
      <c r="K323" s="107"/>
      <c r="L323" s="108">
        <v>9.8522167487684722E-4</v>
      </c>
    </row>
    <row r="324" spans="3:12" ht="15" customHeight="1">
      <c r="C324" s="102" t="s">
        <v>724</v>
      </c>
      <c r="D324" s="55"/>
      <c r="E324" s="55"/>
      <c r="F324" s="55"/>
      <c r="G324" s="55"/>
      <c r="H324" s="55"/>
      <c r="I324" s="55"/>
      <c r="J324" s="106">
        <v>0</v>
      </c>
      <c r="K324" s="107"/>
      <c r="L324" s="108">
        <v>9.8522167487684722E-4</v>
      </c>
    </row>
    <row r="325" spans="3:12" ht="15" customHeight="1">
      <c r="C325" s="102" t="s">
        <v>394</v>
      </c>
      <c r="D325" s="55"/>
      <c r="E325" s="55"/>
      <c r="F325" s="55"/>
      <c r="G325" s="55"/>
      <c r="H325" s="55"/>
      <c r="I325" s="55"/>
      <c r="J325" s="106">
        <v>0</v>
      </c>
      <c r="K325" s="107"/>
      <c r="L325" s="108">
        <v>9.8522167487684722E-4</v>
      </c>
    </row>
    <row r="326" spans="3:12" ht="15" customHeight="1">
      <c r="C326" s="102" t="s">
        <v>683</v>
      </c>
      <c r="D326" s="55"/>
      <c r="E326" s="55"/>
      <c r="F326" s="55"/>
      <c r="G326" s="55"/>
      <c r="H326" s="55"/>
      <c r="I326" s="55"/>
      <c r="J326" s="106">
        <v>0</v>
      </c>
      <c r="K326" s="107"/>
      <c r="L326" s="108">
        <v>9.8522167487684722E-4</v>
      </c>
    </row>
    <row r="327" spans="3:12" ht="15" customHeight="1">
      <c r="C327" s="102" t="s">
        <v>873</v>
      </c>
      <c r="D327" s="55"/>
      <c r="E327" s="55"/>
      <c r="F327" s="55"/>
      <c r="G327" s="55"/>
      <c r="H327" s="55"/>
      <c r="I327" s="55"/>
      <c r="J327" s="106">
        <v>0</v>
      </c>
      <c r="K327" s="107"/>
      <c r="L327" s="108">
        <v>9.8522167487684722E-4</v>
      </c>
    </row>
    <row r="328" spans="3:12" ht="15" customHeight="1">
      <c r="C328" s="102" t="s">
        <v>161</v>
      </c>
      <c r="D328" s="55"/>
      <c r="E328" s="55"/>
      <c r="F328" s="55"/>
      <c r="G328" s="55"/>
      <c r="H328" s="55"/>
      <c r="I328" s="55"/>
      <c r="J328" s="106">
        <v>0</v>
      </c>
      <c r="K328" s="107"/>
      <c r="L328" s="108">
        <v>9.8522167487684722E-4</v>
      </c>
    </row>
    <row r="329" spans="3:12" ht="15" customHeight="1">
      <c r="C329" s="102" t="s">
        <v>100</v>
      </c>
      <c r="D329" s="55"/>
      <c r="E329" s="55"/>
      <c r="F329" s="55"/>
      <c r="G329" s="55"/>
      <c r="H329" s="55"/>
      <c r="I329" s="55"/>
      <c r="J329" s="106">
        <v>0</v>
      </c>
      <c r="K329" s="107"/>
      <c r="L329" s="108">
        <v>9.8522167487684722E-4</v>
      </c>
    </row>
    <row r="330" spans="3:12" ht="15" customHeight="1">
      <c r="C330" s="102" t="s">
        <v>176</v>
      </c>
      <c r="D330" s="55"/>
      <c r="E330" s="55"/>
      <c r="F330" s="55"/>
      <c r="G330" s="55"/>
      <c r="H330" s="55"/>
      <c r="I330" s="55"/>
      <c r="J330" s="106">
        <v>0</v>
      </c>
      <c r="K330" s="107"/>
      <c r="L330" s="108">
        <v>9.8522167487684722E-4</v>
      </c>
    </row>
    <row r="331" spans="3:12" ht="15" customHeight="1">
      <c r="C331" s="102" t="s">
        <v>437</v>
      </c>
      <c r="D331" s="55"/>
      <c r="E331" s="55"/>
      <c r="F331" s="55"/>
      <c r="G331" s="55"/>
      <c r="H331" s="55"/>
      <c r="I331" s="55"/>
      <c r="J331" s="106">
        <v>0</v>
      </c>
      <c r="K331" s="107"/>
      <c r="L331" s="108">
        <v>9.8522167487684722E-4</v>
      </c>
    </row>
    <row r="332" spans="3:12" ht="15" customHeight="1">
      <c r="C332" s="102" t="s">
        <v>283</v>
      </c>
      <c r="D332" s="55"/>
      <c r="E332" s="55"/>
      <c r="F332" s="55"/>
      <c r="G332" s="55"/>
      <c r="H332" s="55"/>
      <c r="I332" s="55"/>
      <c r="J332" s="106">
        <v>0</v>
      </c>
      <c r="K332" s="107"/>
      <c r="L332" s="108">
        <v>9.8522167487684722E-4</v>
      </c>
    </row>
    <row r="333" spans="3:12" ht="15" customHeight="1">
      <c r="C333" s="102" t="s">
        <v>913</v>
      </c>
      <c r="D333" s="55"/>
      <c r="E333" s="55"/>
      <c r="F333" s="55"/>
      <c r="G333" s="55"/>
      <c r="H333" s="55"/>
      <c r="I333" s="55"/>
      <c r="J333" s="106">
        <v>0</v>
      </c>
      <c r="K333" s="107"/>
      <c r="L333" s="108">
        <v>9.8522167487684722E-4</v>
      </c>
    </row>
    <row r="334" spans="3:12" ht="15" customHeight="1">
      <c r="C334" s="102" t="s">
        <v>845</v>
      </c>
      <c r="D334" s="55"/>
      <c r="E334" s="55"/>
      <c r="F334" s="55"/>
      <c r="G334" s="55"/>
      <c r="H334" s="55"/>
      <c r="I334" s="55"/>
      <c r="J334" s="106">
        <v>0</v>
      </c>
      <c r="K334" s="107"/>
      <c r="L334" s="108">
        <v>9.8522167487684722E-4</v>
      </c>
    </row>
    <row r="335" spans="3:12" ht="15" customHeight="1">
      <c r="C335" s="102" t="s">
        <v>914</v>
      </c>
      <c r="D335" s="55"/>
      <c r="E335" s="55"/>
      <c r="F335" s="55"/>
      <c r="G335" s="55"/>
      <c r="H335" s="55"/>
      <c r="I335" s="55"/>
      <c r="J335" s="106">
        <v>0</v>
      </c>
      <c r="K335" s="107"/>
      <c r="L335" s="108">
        <v>9.8522167487684722E-4</v>
      </c>
    </row>
    <row r="336" spans="3:12" ht="15" customHeight="1">
      <c r="C336" s="102" t="s">
        <v>251</v>
      </c>
      <c r="D336" s="55"/>
      <c r="E336" s="55"/>
      <c r="F336" s="55"/>
      <c r="G336" s="55"/>
      <c r="H336" s="55"/>
      <c r="I336" s="55"/>
      <c r="J336" s="106">
        <v>0</v>
      </c>
      <c r="K336" s="107"/>
      <c r="L336" s="108">
        <v>9.8522167487684722E-4</v>
      </c>
    </row>
    <row r="337" spans="3:12" ht="15" customHeight="1">
      <c r="C337" s="102" t="s">
        <v>992</v>
      </c>
      <c r="D337" s="55"/>
      <c r="E337" s="55"/>
      <c r="F337" s="55"/>
      <c r="G337" s="55"/>
      <c r="H337" s="55"/>
      <c r="I337" s="55"/>
      <c r="J337" s="106">
        <v>0</v>
      </c>
      <c r="K337" s="107"/>
      <c r="L337" s="108">
        <v>9.8522167487684722E-4</v>
      </c>
    </row>
    <row r="338" spans="3:12" ht="15" customHeight="1">
      <c r="C338" s="102" t="s">
        <v>381</v>
      </c>
      <c r="D338" s="55"/>
      <c r="E338" s="55"/>
      <c r="F338" s="55"/>
      <c r="G338" s="55"/>
      <c r="H338" s="55"/>
      <c r="I338" s="55"/>
      <c r="J338" s="106">
        <v>0</v>
      </c>
      <c r="K338" s="107"/>
      <c r="L338" s="108">
        <v>9.8522167487684722E-4</v>
      </c>
    </row>
    <row r="339" spans="3:12" ht="15" customHeight="1">
      <c r="C339" s="102" t="s">
        <v>248</v>
      </c>
      <c r="D339" s="55"/>
      <c r="E339" s="55"/>
      <c r="F339" s="55"/>
      <c r="G339" s="55"/>
      <c r="H339" s="55"/>
      <c r="I339" s="55"/>
      <c r="J339" s="106">
        <v>0</v>
      </c>
      <c r="K339" s="107"/>
      <c r="L339" s="108">
        <v>9.8522167487684722E-4</v>
      </c>
    </row>
    <row r="340" spans="3:12" ht="15" customHeight="1">
      <c r="C340" s="102" t="s">
        <v>829</v>
      </c>
      <c r="D340" s="55"/>
      <c r="E340" s="55"/>
      <c r="F340" s="55"/>
      <c r="G340" s="55"/>
      <c r="H340" s="55"/>
      <c r="I340" s="55"/>
      <c r="J340" s="106">
        <v>0</v>
      </c>
      <c r="K340" s="107"/>
      <c r="L340" s="108">
        <v>9.8522167487684722E-4</v>
      </c>
    </row>
    <row r="341" spans="3:12" ht="15" customHeight="1">
      <c r="C341" s="102" t="s">
        <v>352</v>
      </c>
      <c r="D341" s="55"/>
      <c r="E341" s="55"/>
      <c r="F341" s="55"/>
      <c r="G341" s="55"/>
      <c r="H341" s="55"/>
      <c r="I341" s="55"/>
      <c r="J341" s="106">
        <v>0</v>
      </c>
      <c r="K341" s="107"/>
      <c r="L341" s="108">
        <v>9.8522167487684722E-4</v>
      </c>
    </row>
    <row r="342" spans="3:12" ht="15" customHeight="1">
      <c r="C342" s="102" t="s">
        <v>945</v>
      </c>
      <c r="D342" s="55"/>
      <c r="E342" s="55"/>
      <c r="F342" s="55"/>
      <c r="G342" s="55"/>
      <c r="H342" s="55"/>
      <c r="I342" s="55"/>
      <c r="J342" s="106">
        <v>0</v>
      </c>
      <c r="K342" s="107"/>
      <c r="L342" s="108">
        <v>9.8522167487684722E-4</v>
      </c>
    </row>
    <row r="343" spans="3:12" ht="15" customHeight="1">
      <c r="C343" s="102" t="s">
        <v>492</v>
      </c>
      <c r="D343" s="55"/>
      <c r="E343" s="55"/>
      <c r="F343" s="55"/>
      <c r="G343" s="55"/>
      <c r="H343" s="55"/>
      <c r="I343" s="55"/>
      <c r="J343" s="106">
        <v>0</v>
      </c>
      <c r="K343" s="107"/>
      <c r="L343" s="108">
        <v>9.8522167487684722E-4</v>
      </c>
    </row>
    <row r="344" spans="3:12" ht="15" customHeight="1">
      <c r="C344" s="102" t="s">
        <v>557</v>
      </c>
      <c r="D344" s="55"/>
      <c r="E344" s="55"/>
      <c r="F344" s="55"/>
      <c r="G344" s="55"/>
      <c r="H344" s="55"/>
      <c r="I344" s="55"/>
      <c r="J344" s="106">
        <v>0</v>
      </c>
      <c r="K344" s="107"/>
      <c r="L344" s="108">
        <v>9.8522167487684722E-4</v>
      </c>
    </row>
    <row r="345" spans="3:12" ht="15" customHeight="1">
      <c r="C345" s="102" t="s">
        <v>185</v>
      </c>
      <c r="D345" s="55"/>
      <c r="E345" s="55"/>
      <c r="F345" s="55"/>
      <c r="G345" s="55"/>
      <c r="H345" s="55"/>
      <c r="I345" s="55"/>
      <c r="J345" s="106">
        <v>0</v>
      </c>
      <c r="K345" s="107"/>
      <c r="L345" s="108">
        <v>9.8522167487684722E-4</v>
      </c>
    </row>
    <row r="346" spans="3:12" ht="15" customHeight="1">
      <c r="C346" s="102" t="s">
        <v>532</v>
      </c>
      <c r="D346" s="55"/>
      <c r="E346" s="55"/>
      <c r="F346" s="55"/>
      <c r="G346" s="55"/>
      <c r="H346" s="55"/>
      <c r="I346" s="55"/>
      <c r="J346" s="106">
        <v>0</v>
      </c>
      <c r="K346" s="107"/>
      <c r="L346" s="108">
        <v>9.8522167487684722E-4</v>
      </c>
    </row>
    <row r="347" spans="3:12" ht="15" customHeight="1">
      <c r="C347" s="102" t="s">
        <v>481</v>
      </c>
      <c r="D347" s="55"/>
      <c r="E347" s="55"/>
      <c r="F347" s="55"/>
      <c r="G347" s="55"/>
      <c r="H347" s="55"/>
      <c r="I347" s="55"/>
      <c r="J347" s="106">
        <v>0</v>
      </c>
      <c r="K347" s="107"/>
      <c r="L347" s="108">
        <v>9.8522167487684722E-4</v>
      </c>
    </row>
    <row r="348" spans="3:12" ht="15" customHeight="1">
      <c r="C348" s="102" t="s">
        <v>491</v>
      </c>
      <c r="D348" s="55"/>
      <c r="E348" s="55"/>
      <c r="F348" s="55"/>
      <c r="G348" s="55"/>
      <c r="H348" s="55"/>
      <c r="I348" s="55"/>
      <c r="J348" s="106">
        <v>0</v>
      </c>
      <c r="K348" s="107"/>
      <c r="L348" s="108">
        <v>9.8522167487684722E-4</v>
      </c>
    </row>
    <row r="349" spans="3:12" ht="15" customHeight="1">
      <c r="C349" s="102" t="s">
        <v>234</v>
      </c>
      <c r="D349" s="55"/>
      <c r="E349" s="55"/>
      <c r="F349" s="55"/>
      <c r="G349" s="55"/>
      <c r="H349" s="55"/>
      <c r="I349" s="55"/>
      <c r="J349" s="106">
        <v>0</v>
      </c>
      <c r="K349" s="107"/>
      <c r="L349" s="108">
        <v>9.8522167487684722E-4</v>
      </c>
    </row>
    <row r="350" spans="3:12" ht="15" customHeight="1">
      <c r="C350" s="102" t="s">
        <v>1073</v>
      </c>
      <c r="D350" s="55"/>
      <c r="E350" s="55"/>
      <c r="F350" s="55"/>
      <c r="G350" s="55"/>
      <c r="H350" s="55"/>
      <c r="I350" s="55"/>
      <c r="J350" s="106">
        <v>0</v>
      </c>
      <c r="K350" s="107"/>
      <c r="L350" s="108">
        <v>9.8522167487684722E-4</v>
      </c>
    </row>
    <row r="351" spans="3:12" ht="15" customHeight="1">
      <c r="C351" s="102" t="s">
        <v>95</v>
      </c>
      <c r="D351" s="55"/>
      <c r="E351" s="55"/>
      <c r="F351" s="55"/>
      <c r="G351" s="55"/>
      <c r="H351" s="55"/>
      <c r="I351" s="55"/>
      <c r="J351" s="106">
        <v>0</v>
      </c>
      <c r="K351" s="107"/>
      <c r="L351" s="108">
        <v>9.8522167487684722E-4</v>
      </c>
    </row>
    <row r="352" spans="3:12" ht="15" customHeight="1">
      <c r="C352" s="102" t="s">
        <v>900</v>
      </c>
      <c r="D352" s="55"/>
      <c r="E352" s="55"/>
      <c r="F352" s="55"/>
      <c r="G352" s="55"/>
      <c r="H352" s="55"/>
      <c r="I352" s="55"/>
      <c r="J352" s="106">
        <v>0</v>
      </c>
      <c r="K352" s="107"/>
      <c r="L352" s="108">
        <v>9.8522167487684722E-4</v>
      </c>
    </row>
    <row r="353" spans="3:12" ht="15" customHeight="1">
      <c r="C353" s="102" t="s">
        <v>1029</v>
      </c>
      <c r="D353" s="55"/>
      <c r="E353" s="55"/>
      <c r="F353" s="55"/>
      <c r="G353" s="55"/>
      <c r="H353" s="55"/>
      <c r="I353" s="55"/>
      <c r="J353" s="106">
        <v>0</v>
      </c>
      <c r="K353" s="107"/>
      <c r="L353" s="108">
        <v>9.8522167487684722E-4</v>
      </c>
    </row>
    <row r="354" spans="3:12" ht="15" customHeight="1">
      <c r="C354" s="102" t="s">
        <v>934</v>
      </c>
      <c r="D354" s="55"/>
      <c r="E354" s="55"/>
      <c r="F354" s="55"/>
      <c r="G354" s="55"/>
      <c r="H354" s="55"/>
      <c r="I354" s="55"/>
      <c r="J354" s="106">
        <v>0</v>
      </c>
      <c r="K354" s="107"/>
      <c r="L354" s="108">
        <v>9.8522167487684722E-4</v>
      </c>
    </row>
    <row r="355" spans="3:12" ht="15" customHeight="1">
      <c r="C355" s="102" t="s">
        <v>168</v>
      </c>
      <c r="D355" s="55"/>
      <c r="E355" s="55"/>
      <c r="F355" s="55"/>
      <c r="G355" s="55"/>
      <c r="H355" s="55"/>
      <c r="I355" s="55"/>
      <c r="J355" s="106">
        <v>0</v>
      </c>
      <c r="K355" s="107"/>
      <c r="L355" s="108">
        <v>9.8522167487684722E-4</v>
      </c>
    </row>
    <row r="356" spans="3:12" ht="15" customHeight="1">
      <c r="C356" s="102" t="s">
        <v>747</v>
      </c>
      <c r="D356" s="55"/>
      <c r="E356" s="55"/>
      <c r="F356" s="55"/>
      <c r="G356" s="55"/>
      <c r="H356" s="55"/>
      <c r="I356" s="55"/>
      <c r="J356" s="106">
        <v>0</v>
      </c>
      <c r="K356" s="107"/>
      <c r="L356" s="108">
        <v>9.8522167487684722E-4</v>
      </c>
    </row>
    <row r="357" spans="3:12" ht="15" customHeight="1">
      <c r="C357" s="102" t="s">
        <v>1092</v>
      </c>
      <c r="D357" s="55"/>
      <c r="E357" s="55"/>
      <c r="F357" s="55"/>
      <c r="G357" s="55"/>
      <c r="H357" s="55"/>
      <c r="I357" s="55"/>
      <c r="J357" s="106">
        <v>0</v>
      </c>
      <c r="K357" s="107"/>
      <c r="L357" s="108">
        <v>9.8522167487684722E-4</v>
      </c>
    </row>
    <row r="358" spans="3:12" ht="15" customHeight="1">
      <c r="C358" s="102" t="s">
        <v>732</v>
      </c>
      <c r="D358" s="55"/>
      <c r="E358" s="55"/>
      <c r="F358" s="55"/>
      <c r="G358" s="55"/>
      <c r="H358" s="55"/>
      <c r="I358" s="55"/>
      <c r="J358" s="106">
        <v>0</v>
      </c>
      <c r="K358" s="107"/>
      <c r="L358" s="108">
        <v>9.8522167487684722E-4</v>
      </c>
    </row>
    <row r="359" spans="3:12" ht="15" customHeight="1">
      <c r="C359" s="102" t="s">
        <v>167</v>
      </c>
      <c r="D359" s="55"/>
      <c r="E359" s="55"/>
      <c r="F359" s="55"/>
      <c r="G359" s="55"/>
      <c r="H359" s="55"/>
      <c r="I359" s="55"/>
      <c r="J359" s="106">
        <v>0</v>
      </c>
      <c r="K359" s="107"/>
      <c r="L359" s="108">
        <v>9.8522167487684722E-4</v>
      </c>
    </row>
    <row r="360" spans="3:12" ht="15" customHeight="1">
      <c r="C360" s="102" t="s">
        <v>344</v>
      </c>
      <c r="D360" s="55"/>
      <c r="E360" s="55"/>
      <c r="F360" s="55"/>
      <c r="G360" s="55"/>
      <c r="H360" s="55"/>
      <c r="I360" s="55"/>
      <c r="J360" s="106">
        <v>0</v>
      </c>
      <c r="K360" s="107"/>
      <c r="L360" s="108">
        <v>9.8522167487684722E-4</v>
      </c>
    </row>
    <row r="361" spans="3:12" ht="15" customHeight="1">
      <c r="C361" s="102" t="s">
        <v>138</v>
      </c>
      <c r="D361" s="55"/>
      <c r="E361" s="55"/>
      <c r="F361" s="55"/>
      <c r="G361" s="55"/>
      <c r="H361" s="55"/>
      <c r="I361" s="55"/>
      <c r="J361" s="106">
        <v>0</v>
      </c>
      <c r="K361" s="107"/>
      <c r="L361" s="108">
        <v>9.8522167487684722E-4</v>
      </c>
    </row>
    <row r="362" spans="3:12" ht="15" customHeight="1">
      <c r="C362" s="102" t="s">
        <v>958</v>
      </c>
      <c r="D362" s="55"/>
      <c r="E362" s="55"/>
      <c r="F362" s="55"/>
      <c r="G362" s="55"/>
      <c r="H362" s="55"/>
      <c r="I362" s="55"/>
      <c r="J362" s="106">
        <v>0</v>
      </c>
      <c r="K362" s="107"/>
      <c r="L362" s="108">
        <v>9.8522167487684722E-4</v>
      </c>
    </row>
    <row r="363" spans="3:12" ht="15" customHeight="1">
      <c r="C363" s="102" t="s">
        <v>905</v>
      </c>
      <c r="D363" s="55"/>
      <c r="E363" s="55"/>
      <c r="F363" s="55"/>
      <c r="G363" s="55"/>
      <c r="H363" s="55"/>
      <c r="I363" s="55"/>
      <c r="J363" s="106">
        <v>0</v>
      </c>
      <c r="K363" s="107"/>
      <c r="L363" s="108">
        <v>9.8522167487684722E-4</v>
      </c>
    </row>
    <row r="364" spans="3:12" ht="15" customHeight="1">
      <c r="C364" s="102" t="s">
        <v>930</v>
      </c>
      <c r="D364" s="55"/>
      <c r="E364" s="55"/>
      <c r="F364" s="55"/>
      <c r="G364" s="55"/>
      <c r="H364" s="55"/>
      <c r="I364" s="55"/>
      <c r="J364" s="106">
        <v>0</v>
      </c>
      <c r="K364" s="107"/>
      <c r="L364" s="108">
        <v>9.8522167487684722E-4</v>
      </c>
    </row>
    <row r="365" spans="3:12" ht="15" customHeight="1">
      <c r="C365" s="102" t="s">
        <v>190</v>
      </c>
      <c r="D365" s="55"/>
      <c r="E365" s="55"/>
      <c r="F365" s="55"/>
      <c r="G365" s="55"/>
      <c r="H365" s="55"/>
      <c r="I365" s="55"/>
      <c r="J365" s="106">
        <v>0</v>
      </c>
      <c r="K365" s="107"/>
      <c r="L365" s="108">
        <v>9.8522167487684722E-4</v>
      </c>
    </row>
    <row r="366" spans="3:12" ht="15" customHeight="1">
      <c r="C366" s="102" t="s">
        <v>389</v>
      </c>
      <c r="D366" s="55"/>
      <c r="E366" s="55"/>
      <c r="F366" s="55"/>
      <c r="G366" s="55"/>
      <c r="H366" s="55"/>
      <c r="I366" s="55"/>
      <c r="J366" s="106">
        <v>0</v>
      </c>
      <c r="K366" s="107"/>
      <c r="L366" s="108">
        <v>9.8522167487684722E-4</v>
      </c>
    </row>
    <row r="367" spans="3:12" ht="15" customHeight="1">
      <c r="C367" s="102" t="s">
        <v>608</v>
      </c>
      <c r="D367" s="55"/>
      <c r="E367" s="55"/>
      <c r="F367" s="55"/>
      <c r="G367" s="55"/>
      <c r="H367" s="55"/>
      <c r="I367" s="55"/>
      <c r="J367" s="106">
        <v>0</v>
      </c>
      <c r="K367" s="107"/>
      <c r="L367" s="108">
        <v>9.8522167487684722E-4</v>
      </c>
    </row>
    <row r="368" spans="3:12" ht="15" customHeight="1">
      <c r="C368" s="102" t="s">
        <v>467</v>
      </c>
      <c r="D368" s="55"/>
      <c r="E368" s="55"/>
      <c r="F368" s="55"/>
      <c r="G368" s="55"/>
      <c r="H368" s="55"/>
      <c r="I368" s="55"/>
      <c r="J368" s="106">
        <v>0</v>
      </c>
      <c r="K368" s="107"/>
      <c r="L368" s="108">
        <v>9.8522167487684722E-4</v>
      </c>
    </row>
    <row r="369" spans="3:12" ht="15" customHeight="1">
      <c r="C369" s="102" t="s">
        <v>453</v>
      </c>
      <c r="D369" s="55"/>
      <c r="E369" s="55"/>
      <c r="F369" s="55"/>
      <c r="G369" s="55"/>
      <c r="H369" s="55"/>
      <c r="I369" s="55"/>
      <c r="J369" s="106">
        <v>0</v>
      </c>
      <c r="K369" s="107"/>
      <c r="L369" s="108">
        <v>9.8522167487684722E-4</v>
      </c>
    </row>
    <row r="370" spans="3:12" ht="15" customHeight="1">
      <c r="C370" s="102" t="s">
        <v>560</v>
      </c>
      <c r="D370" s="55"/>
      <c r="E370" s="55"/>
      <c r="F370" s="55"/>
      <c r="G370" s="55"/>
      <c r="H370" s="55"/>
      <c r="I370" s="55"/>
      <c r="J370" s="106">
        <v>0</v>
      </c>
      <c r="K370" s="107"/>
      <c r="L370" s="108">
        <v>9.8522167487684722E-4</v>
      </c>
    </row>
    <row r="371" spans="3:12" ht="15" customHeight="1">
      <c r="C371" s="102" t="s">
        <v>235</v>
      </c>
      <c r="D371" s="55"/>
      <c r="E371" s="55"/>
      <c r="F371" s="55"/>
      <c r="G371" s="55"/>
      <c r="H371" s="55"/>
      <c r="I371" s="55"/>
      <c r="J371" s="106">
        <v>0</v>
      </c>
      <c r="K371" s="107"/>
      <c r="L371" s="108">
        <v>9.8522167487684722E-4</v>
      </c>
    </row>
    <row r="372" spans="3:12" ht="15" customHeight="1">
      <c r="C372" s="102" t="s">
        <v>948</v>
      </c>
      <c r="D372" s="55"/>
      <c r="E372" s="55"/>
      <c r="F372" s="55"/>
      <c r="G372" s="55"/>
      <c r="H372" s="55"/>
      <c r="I372" s="55"/>
      <c r="J372" s="106">
        <v>0</v>
      </c>
      <c r="K372" s="107"/>
      <c r="L372" s="108">
        <v>9.8522167487684722E-4</v>
      </c>
    </row>
    <row r="373" spans="3:12" ht="15" customHeight="1">
      <c r="C373" s="102" t="s">
        <v>951</v>
      </c>
      <c r="D373" s="55"/>
      <c r="E373" s="55"/>
      <c r="F373" s="55"/>
      <c r="G373" s="55"/>
      <c r="H373" s="55"/>
      <c r="I373" s="55"/>
      <c r="J373" s="106">
        <v>0</v>
      </c>
      <c r="K373" s="107"/>
      <c r="L373" s="108">
        <v>9.8522167487684722E-4</v>
      </c>
    </row>
    <row r="374" spans="3:12" ht="15" customHeight="1">
      <c r="C374" s="102" t="s">
        <v>186</v>
      </c>
      <c r="D374" s="55"/>
      <c r="E374" s="55"/>
      <c r="F374" s="55"/>
      <c r="G374" s="55"/>
      <c r="H374" s="55"/>
      <c r="I374" s="55"/>
      <c r="J374" s="106">
        <v>0</v>
      </c>
      <c r="K374" s="107"/>
      <c r="L374" s="108">
        <v>9.8522167487684722E-4</v>
      </c>
    </row>
    <row r="375" spans="3:12" ht="15" customHeight="1">
      <c r="C375" s="102" t="s">
        <v>969</v>
      </c>
      <c r="D375" s="55"/>
      <c r="E375" s="55"/>
      <c r="F375" s="55"/>
      <c r="G375" s="55"/>
      <c r="H375" s="55"/>
      <c r="I375" s="55"/>
      <c r="J375" s="106">
        <v>0</v>
      </c>
      <c r="K375" s="107"/>
      <c r="L375" s="108">
        <v>9.8522167487684722E-4</v>
      </c>
    </row>
    <row r="376" spans="3:12" ht="15" customHeight="1">
      <c r="C376" s="102" t="s">
        <v>410</v>
      </c>
      <c r="D376" s="55"/>
      <c r="E376" s="55"/>
      <c r="F376" s="55"/>
      <c r="G376" s="55"/>
      <c r="H376" s="55"/>
      <c r="I376" s="55"/>
      <c r="J376" s="106">
        <v>0</v>
      </c>
      <c r="K376" s="107"/>
      <c r="L376" s="108">
        <v>9.8522167487684722E-4</v>
      </c>
    </row>
    <row r="377" spans="3:12" ht="15" customHeight="1">
      <c r="C377" s="102" t="s">
        <v>502</v>
      </c>
      <c r="D377" s="55"/>
      <c r="E377" s="55"/>
      <c r="F377" s="55"/>
      <c r="G377" s="55"/>
      <c r="H377" s="55"/>
      <c r="I377" s="55"/>
      <c r="J377" s="106">
        <v>0</v>
      </c>
      <c r="K377" s="107"/>
      <c r="L377" s="108">
        <v>9.8522167487684722E-4</v>
      </c>
    </row>
    <row r="378" spans="3:12" ht="15" customHeight="1">
      <c r="C378" s="102" t="s">
        <v>808</v>
      </c>
      <c r="D378" s="55"/>
      <c r="E378" s="55"/>
      <c r="F378" s="55"/>
      <c r="G378" s="55"/>
      <c r="H378" s="55"/>
      <c r="I378" s="55"/>
      <c r="J378" s="106">
        <v>0</v>
      </c>
      <c r="K378" s="107"/>
      <c r="L378" s="108">
        <v>9.8522167487684722E-4</v>
      </c>
    </row>
    <row r="379" spans="3:12" ht="15" customHeight="1">
      <c r="C379" s="102" t="s">
        <v>470</v>
      </c>
      <c r="D379" s="55"/>
      <c r="E379" s="55"/>
      <c r="F379" s="55"/>
      <c r="G379" s="55"/>
      <c r="H379" s="55"/>
      <c r="I379" s="55"/>
      <c r="J379" s="106">
        <v>0</v>
      </c>
      <c r="K379" s="107"/>
      <c r="L379" s="108">
        <v>9.8522167487684722E-4</v>
      </c>
    </row>
    <row r="380" spans="3:12" ht="15" customHeight="1">
      <c r="C380" s="102" t="s">
        <v>518</v>
      </c>
      <c r="D380" s="55"/>
      <c r="E380" s="55"/>
      <c r="F380" s="55"/>
      <c r="G380" s="55"/>
      <c r="H380" s="55"/>
      <c r="I380" s="55"/>
      <c r="J380" s="106">
        <v>0</v>
      </c>
      <c r="K380" s="107"/>
      <c r="L380" s="108">
        <v>9.8522167487684722E-4</v>
      </c>
    </row>
    <row r="381" spans="3:12" ht="15" customHeight="1">
      <c r="C381" s="102" t="s">
        <v>476</v>
      </c>
      <c r="D381" s="55"/>
      <c r="E381" s="55"/>
      <c r="F381" s="55"/>
      <c r="G381" s="55"/>
      <c r="H381" s="55"/>
      <c r="I381" s="55"/>
      <c r="J381" s="106">
        <v>0</v>
      </c>
      <c r="K381" s="107"/>
      <c r="L381" s="108">
        <v>9.8522167487684722E-4</v>
      </c>
    </row>
    <row r="382" spans="3:12" ht="15" customHeight="1">
      <c r="C382" s="102" t="s">
        <v>675</v>
      </c>
      <c r="D382" s="55"/>
      <c r="E382" s="55"/>
      <c r="F382" s="55"/>
      <c r="G382" s="55"/>
      <c r="H382" s="55"/>
      <c r="I382" s="55"/>
      <c r="J382" s="106">
        <v>0</v>
      </c>
      <c r="K382" s="107"/>
      <c r="L382" s="108">
        <v>9.8522167487684722E-4</v>
      </c>
    </row>
    <row r="383" spans="3:12" ht="15" customHeight="1">
      <c r="C383" s="102" t="s">
        <v>102</v>
      </c>
      <c r="D383" s="55"/>
      <c r="E383" s="55"/>
      <c r="F383" s="55"/>
      <c r="G383" s="55"/>
      <c r="H383" s="55"/>
      <c r="I383" s="55"/>
      <c r="J383" s="106">
        <v>0</v>
      </c>
      <c r="K383" s="107"/>
      <c r="L383" s="108">
        <v>9.8522167487684722E-4</v>
      </c>
    </row>
    <row r="384" spans="3:12" ht="15" customHeight="1">
      <c r="C384" s="102" t="s">
        <v>976</v>
      </c>
      <c r="D384" s="55"/>
      <c r="E384" s="55"/>
      <c r="F384" s="55"/>
      <c r="G384" s="55"/>
      <c r="H384" s="55"/>
      <c r="I384" s="55"/>
      <c r="J384" s="106">
        <v>0</v>
      </c>
      <c r="K384" s="107"/>
      <c r="L384" s="108">
        <v>9.8522167487684722E-4</v>
      </c>
    </row>
    <row r="385" spans="3:12" ht="15" customHeight="1">
      <c r="C385" s="102" t="s">
        <v>137</v>
      </c>
      <c r="D385" s="55"/>
      <c r="E385" s="55"/>
      <c r="F385" s="55"/>
      <c r="G385" s="55"/>
      <c r="H385" s="55"/>
      <c r="I385" s="55"/>
      <c r="J385" s="106">
        <v>0</v>
      </c>
      <c r="K385" s="107"/>
      <c r="L385" s="108">
        <v>9.8522167487684722E-4</v>
      </c>
    </row>
    <row r="386" spans="3:12" ht="15" customHeight="1">
      <c r="C386" s="102" t="s">
        <v>183</v>
      </c>
      <c r="D386" s="55"/>
      <c r="E386" s="55"/>
      <c r="F386" s="55"/>
      <c r="G386" s="55"/>
      <c r="H386" s="55"/>
      <c r="I386" s="55"/>
      <c r="J386" s="106">
        <v>0</v>
      </c>
      <c r="K386" s="107"/>
      <c r="L386" s="108">
        <v>9.8522167487684722E-4</v>
      </c>
    </row>
    <row r="387" spans="3:12" ht="15" customHeight="1">
      <c r="C387" s="102" t="s">
        <v>814</v>
      </c>
      <c r="D387" s="55"/>
      <c r="E387" s="55"/>
      <c r="F387" s="55"/>
      <c r="G387" s="55"/>
      <c r="H387" s="55"/>
      <c r="I387" s="55"/>
      <c r="J387" s="106">
        <v>0</v>
      </c>
      <c r="K387" s="107"/>
      <c r="L387" s="108">
        <v>9.8522167487684722E-4</v>
      </c>
    </row>
    <row r="388" spans="3:12" ht="15" customHeight="1">
      <c r="C388" s="102" t="s">
        <v>229</v>
      </c>
      <c r="D388" s="55"/>
      <c r="E388" s="55"/>
      <c r="F388" s="55"/>
      <c r="G388" s="55"/>
      <c r="H388" s="55"/>
      <c r="I388" s="55"/>
      <c r="J388" s="106">
        <v>0</v>
      </c>
      <c r="K388" s="107"/>
      <c r="L388" s="108">
        <v>9.8522167487684722E-4</v>
      </c>
    </row>
    <row r="389" spans="3:12" ht="15" customHeight="1">
      <c r="C389" s="102" t="s">
        <v>605</v>
      </c>
      <c r="D389" s="55"/>
      <c r="E389" s="55"/>
      <c r="F389" s="55"/>
      <c r="G389" s="55"/>
      <c r="H389" s="55"/>
      <c r="I389" s="55"/>
      <c r="J389" s="106">
        <v>0</v>
      </c>
      <c r="K389" s="107"/>
      <c r="L389" s="108">
        <v>9.8522167487684722E-4</v>
      </c>
    </row>
    <row r="390" spans="3:12" ht="15" customHeight="1">
      <c r="C390" s="102" t="s">
        <v>699</v>
      </c>
      <c r="D390" s="55"/>
      <c r="E390" s="55"/>
      <c r="F390" s="55"/>
      <c r="G390" s="55"/>
      <c r="H390" s="55"/>
      <c r="I390" s="55"/>
      <c r="J390" s="106">
        <v>0</v>
      </c>
      <c r="K390" s="107"/>
      <c r="L390" s="108">
        <v>9.8522167487684722E-4</v>
      </c>
    </row>
    <row r="391" spans="3:12" ht="15" customHeight="1">
      <c r="C391" s="102" t="s">
        <v>307</v>
      </c>
      <c r="D391" s="55"/>
      <c r="E391" s="55"/>
      <c r="F391" s="55"/>
      <c r="G391" s="55"/>
      <c r="H391" s="55"/>
      <c r="I391" s="55"/>
      <c r="J391" s="106">
        <v>0</v>
      </c>
      <c r="K391" s="107"/>
      <c r="L391" s="108">
        <v>9.8522167487684722E-4</v>
      </c>
    </row>
    <row r="392" spans="3:12" ht="15" customHeight="1">
      <c r="C392" s="102" t="s">
        <v>213</v>
      </c>
      <c r="D392" s="55"/>
      <c r="E392" s="55"/>
      <c r="F392" s="55"/>
      <c r="G392" s="55"/>
      <c r="H392" s="55"/>
      <c r="I392" s="55"/>
      <c r="J392" s="106">
        <v>0</v>
      </c>
      <c r="K392" s="107"/>
      <c r="L392" s="108">
        <v>9.8522167487684722E-4</v>
      </c>
    </row>
    <row r="393" spans="3:12" ht="15" customHeight="1">
      <c r="C393" s="102" t="s">
        <v>872</v>
      </c>
      <c r="D393" s="55"/>
      <c r="E393" s="55"/>
      <c r="F393" s="55"/>
      <c r="G393" s="55"/>
      <c r="H393" s="55"/>
      <c r="I393" s="55"/>
      <c r="J393" s="106">
        <v>0</v>
      </c>
      <c r="K393" s="107"/>
      <c r="L393" s="108">
        <v>9.8522167487684722E-4</v>
      </c>
    </row>
    <row r="394" spans="3:12" ht="15" customHeight="1">
      <c r="C394" s="102" t="s">
        <v>384</v>
      </c>
      <c r="D394" s="55"/>
      <c r="E394" s="55"/>
      <c r="F394" s="55"/>
      <c r="G394" s="55"/>
      <c r="H394" s="55"/>
      <c r="I394" s="55"/>
      <c r="J394" s="106">
        <v>0</v>
      </c>
      <c r="K394" s="107"/>
      <c r="L394" s="108">
        <v>9.8522167487684722E-4</v>
      </c>
    </row>
    <row r="395" spans="3:12" ht="15" customHeight="1">
      <c r="C395" s="102" t="s">
        <v>159</v>
      </c>
      <c r="D395" s="55"/>
      <c r="E395" s="55"/>
      <c r="F395" s="55"/>
      <c r="G395" s="55"/>
      <c r="H395" s="55"/>
      <c r="I395" s="55"/>
      <c r="J395" s="106">
        <v>0</v>
      </c>
      <c r="K395" s="107"/>
      <c r="L395" s="108">
        <v>9.8522167487684722E-4</v>
      </c>
    </row>
    <row r="396" spans="3:12" ht="15" customHeight="1">
      <c r="C396" s="102" t="s">
        <v>1021</v>
      </c>
      <c r="D396" s="55"/>
      <c r="E396" s="55"/>
      <c r="F396" s="55"/>
      <c r="G396" s="55"/>
      <c r="H396" s="55"/>
      <c r="I396" s="55"/>
      <c r="J396" s="106">
        <v>0</v>
      </c>
      <c r="K396" s="107"/>
      <c r="L396" s="108">
        <v>9.8522167487684722E-4</v>
      </c>
    </row>
    <row r="397" spans="3:12" ht="15" customHeight="1">
      <c r="C397" s="102" t="s">
        <v>813</v>
      </c>
      <c r="D397" s="55"/>
      <c r="E397" s="55"/>
      <c r="F397" s="55"/>
      <c r="G397" s="55"/>
      <c r="H397" s="55"/>
      <c r="I397" s="55"/>
      <c r="J397" s="106">
        <v>0</v>
      </c>
      <c r="K397" s="107"/>
      <c r="L397" s="108">
        <v>9.8522167487684722E-4</v>
      </c>
    </row>
    <row r="398" spans="3:12" ht="15" customHeight="1">
      <c r="C398" s="102" t="s">
        <v>315</v>
      </c>
      <c r="D398" s="55"/>
      <c r="E398" s="55"/>
      <c r="F398" s="55"/>
      <c r="G398" s="55"/>
      <c r="H398" s="55"/>
      <c r="I398" s="55"/>
      <c r="J398" s="106">
        <v>0</v>
      </c>
      <c r="K398" s="107"/>
      <c r="L398" s="108">
        <v>9.8522167487684722E-4</v>
      </c>
    </row>
    <row r="399" spans="3:12" ht="15" customHeight="1">
      <c r="C399" s="102" t="s">
        <v>291</v>
      </c>
      <c r="D399" s="55"/>
      <c r="E399" s="55"/>
      <c r="F399" s="55"/>
      <c r="G399" s="55"/>
      <c r="H399" s="55"/>
      <c r="I399" s="55"/>
      <c r="J399" s="106">
        <v>0</v>
      </c>
      <c r="K399" s="107"/>
      <c r="L399" s="108">
        <v>9.8522167487684722E-4</v>
      </c>
    </row>
    <row r="400" spans="3:12" ht="15" customHeight="1">
      <c r="C400" s="102" t="s">
        <v>473</v>
      </c>
      <c r="D400" s="55"/>
      <c r="E400" s="55"/>
      <c r="F400" s="55"/>
      <c r="G400" s="55"/>
      <c r="H400" s="55"/>
      <c r="I400" s="55"/>
      <c r="J400" s="106">
        <v>0</v>
      </c>
      <c r="K400" s="107"/>
      <c r="L400" s="108">
        <v>9.8522167487684722E-4</v>
      </c>
    </row>
    <row r="401" spans="3:12" ht="15" customHeight="1">
      <c r="C401" s="102" t="s">
        <v>1045</v>
      </c>
      <c r="D401" s="55"/>
      <c r="E401" s="55"/>
      <c r="F401" s="55"/>
      <c r="G401" s="55"/>
      <c r="H401" s="55"/>
      <c r="I401" s="55"/>
      <c r="J401" s="106">
        <v>0</v>
      </c>
      <c r="K401" s="107"/>
      <c r="L401" s="108">
        <v>9.8522167487684722E-4</v>
      </c>
    </row>
    <row r="402" spans="3:12" ht="15" customHeight="1">
      <c r="C402" s="102" t="s">
        <v>379</v>
      </c>
      <c r="D402" s="55"/>
      <c r="E402" s="55"/>
      <c r="F402" s="55"/>
      <c r="G402" s="55"/>
      <c r="H402" s="55"/>
      <c r="I402" s="55"/>
      <c r="J402" s="106">
        <v>0</v>
      </c>
      <c r="K402" s="107"/>
      <c r="L402" s="108">
        <v>9.8522167487684722E-4</v>
      </c>
    </row>
    <row r="403" spans="3:12" ht="15" customHeight="1">
      <c r="C403" s="102" t="s">
        <v>327</v>
      </c>
      <c r="D403" s="55"/>
      <c r="E403" s="55"/>
      <c r="F403" s="55"/>
      <c r="G403" s="55"/>
      <c r="H403" s="55"/>
      <c r="I403" s="55"/>
      <c r="J403" s="106">
        <v>0</v>
      </c>
      <c r="K403" s="107"/>
      <c r="L403" s="108">
        <v>9.8522167487684722E-4</v>
      </c>
    </row>
    <row r="404" spans="3:12" ht="15" customHeight="1">
      <c r="C404" s="102" t="s">
        <v>218</v>
      </c>
      <c r="D404" s="55"/>
      <c r="E404" s="55"/>
      <c r="F404" s="55"/>
      <c r="G404" s="55"/>
      <c r="H404" s="55"/>
      <c r="I404" s="55"/>
      <c r="J404" s="106">
        <v>0</v>
      </c>
      <c r="K404" s="107"/>
      <c r="L404" s="108">
        <v>9.8522167487684722E-4</v>
      </c>
    </row>
    <row r="405" spans="3:12" ht="15" customHeight="1">
      <c r="C405" s="102" t="s">
        <v>920</v>
      </c>
      <c r="D405" s="55"/>
      <c r="E405" s="55"/>
      <c r="F405" s="55"/>
      <c r="G405" s="55"/>
      <c r="H405" s="55"/>
      <c r="I405" s="55"/>
      <c r="J405" s="106">
        <v>0</v>
      </c>
      <c r="K405" s="107"/>
      <c r="L405" s="108">
        <v>9.8522167487684722E-4</v>
      </c>
    </row>
    <row r="406" spans="3:12" ht="15" customHeight="1">
      <c r="C406" s="102" t="s">
        <v>197</v>
      </c>
      <c r="D406" s="55"/>
      <c r="E406" s="55"/>
      <c r="F406" s="55"/>
      <c r="G406" s="55"/>
      <c r="H406" s="55"/>
      <c r="I406" s="55"/>
      <c r="J406" s="106">
        <v>0</v>
      </c>
      <c r="K406" s="107"/>
      <c r="L406" s="108">
        <v>9.8522167487684722E-4</v>
      </c>
    </row>
    <row r="407" spans="3:12" ht="15" customHeight="1">
      <c r="C407" s="102" t="s">
        <v>925</v>
      </c>
      <c r="D407" s="55"/>
      <c r="E407" s="55"/>
      <c r="F407" s="55"/>
      <c r="G407" s="55"/>
      <c r="H407" s="55"/>
      <c r="I407" s="55"/>
      <c r="J407" s="106">
        <v>0</v>
      </c>
      <c r="K407" s="107"/>
      <c r="L407" s="108">
        <v>9.8522167487684722E-4</v>
      </c>
    </row>
    <row r="408" spans="3:12" ht="15" customHeight="1">
      <c r="C408" s="102" t="s">
        <v>391</v>
      </c>
      <c r="D408" s="55"/>
      <c r="E408" s="55"/>
      <c r="F408" s="55"/>
      <c r="G408" s="55"/>
      <c r="H408" s="55"/>
      <c r="I408" s="55"/>
      <c r="J408" s="106">
        <v>0</v>
      </c>
      <c r="K408" s="107"/>
      <c r="L408" s="108">
        <v>9.8522167487684722E-4</v>
      </c>
    </row>
    <row r="409" spans="3:12" ht="15" customHeight="1">
      <c r="C409" s="102" t="s">
        <v>417</v>
      </c>
      <c r="D409" s="55"/>
      <c r="E409" s="55"/>
      <c r="F409" s="55"/>
      <c r="G409" s="55"/>
      <c r="H409" s="55"/>
      <c r="I409" s="55"/>
      <c r="J409" s="106">
        <v>0</v>
      </c>
      <c r="K409" s="107"/>
      <c r="L409" s="108">
        <v>9.8522167487684722E-4</v>
      </c>
    </row>
    <row r="410" spans="3:12" ht="15" customHeight="1">
      <c r="C410" s="102" t="s">
        <v>962</v>
      </c>
      <c r="D410" s="55"/>
      <c r="E410" s="55"/>
      <c r="F410" s="55"/>
      <c r="G410" s="55"/>
      <c r="H410" s="55"/>
      <c r="I410" s="55"/>
      <c r="J410" s="106">
        <v>0</v>
      </c>
      <c r="K410" s="107"/>
      <c r="L410" s="108">
        <v>9.8522167487684722E-4</v>
      </c>
    </row>
    <row r="411" spans="3:12" ht="15" customHeight="1">
      <c r="C411" s="102" t="s">
        <v>1086</v>
      </c>
      <c r="D411" s="55"/>
      <c r="E411" s="55"/>
      <c r="F411" s="55"/>
      <c r="G411" s="55"/>
      <c r="H411" s="55"/>
      <c r="I411" s="55"/>
      <c r="J411" s="106">
        <v>0</v>
      </c>
      <c r="K411" s="107"/>
      <c r="L411" s="108">
        <v>9.8522167487684722E-4</v>
      </c>
    </row>
    <row r="412" spans="3:12" ht="15" customHeight="1">
      <c r="C412" s="102" t="s">
        <v>1028</v>
      </c>
      <c r="D412" s="55"/>
      <c r="E412" s="55"/>
      <c r="F412" s="55"/>
      <c r="G412" s="55"/>
      <c r="H412" s="55"/>
      <c r="I412" s="55"/>
      <c r="J412" s="106">
        <v>0</v>
      </c>
      <c r="K412" s="107"/>
      <c r="L412" s="108">
        <v>9.8522167487684722E-4</v>
      </c>
    </row>
    <row r="413" spans="3:12" ht="15" customHeight="1">
      <c r="C413" s="102" t="s">
        <v>616</v>
      </c>
      <c r="D413" s="55"/>
      <c r="E413" s="55"/>
      <c r="F413" s="55"/>
      <c r="G413" s="55"/>
      <c r="H413" s="55"/>
      <c r="I413" s="55"/>
      <c r="J413" s="106">
        <v>0</v>
      </c>
      <c r="K413" s="107"/>
      <c r="L413" s="108">
        <v>9.8522167487684722E-4</v>
      </c>
    </row>
    <row r="414" spans="3:12" ht="15" customHeight="1">
      <c r="C414" s="102" t="s">
        <v>416</v>
      </c>
      <c r="D414" s="55"/>
      <c r="E414" s="55"/>
      <c r="F414" s="55"/>
      <c r="G414" s="55"/>
      <c r="H414" s="55"/>
      <c r="I414" s="55"/>
      <c r="J414" s="106">
        <v>0</v>
      </c>
      <c r="K414" s="107"/>
      <c r="L414" s="108">
        <v>9.8522167487684722E-4</v>
      </c>
    </row>
    <row r="415" spans="3:12" ht="15" customHeight="1">
      <c r="C415" s="102" t="s">
        <v>425</v>
      </c>
      <c r="D415" s="55"/>
      <c r="E415" s="55"/>
      <c r="F415" s="55"/>
      <c r="G415" s="55"/>
      <c r="H415" s="55"/>
      <c r="I415" s="55"/>
      <c r="J415" s="106">
        <v>0</v>
      </c>
      <c r="K415" s="107"/>
      <c r="L415" s="108">
        <v>9.8522167487684722E-4</v>
      </c>
    </row>
    <row r="416" spans="3:12" ht="15" customHeight="1">
      <c r="C416" s="102" t="s">
        <v>970</v>
      </c>
      <c r="D416" s="55"/>
      <c r="E416" s="55"/>
      <c r="F416" s="55"/>
      <c r="G416" s="55"/>
      <c r="H416" s="55"/>
      <c r="I416" s="55"/>
      <c r="J416" s="106">
        <v>0</v>
      </c>
      <c r="K416" s="107"/>
      <c r="L416" s="108">
        <v>9.8522167487684722E-4</v>
      </c>
    </row>
    <row r="417" spans="3:12" ht="15" customHeight="1">
      <c r="C417" s="102" t="s">
        <v>242</v>
      </c>
      <c r="D417" s="55"/>
      <c r="E417" s="55"/>
      <c r="F417" s="55"/>
      <c r="G417" s="55"/>
      <c r="H417" s="55"/>
      <c r="I417" s="55"/>
      <c r="J417" s="106">
        <v>0</v>
      </c>
      <c r="K417" s="107"/>
      <c r="L417" s="108">
        <v>9.8522167487684722E-4</v>
      </c>
    </row>
    <row r="418" spans="3:12" ht="15" customHeight="1">
      <c r="C418" s="102" t="s">
        <v>396</v>
      </c>
      <c r="D418" s="55"/>
      <c r="E418" s="55"/>
      <c r="F418" s="55"/>
      <c r="G418" s="55"/>
      <c r="H418" s="55"/>
      <c r="I418" s="55"/>
      <c r="J418" s="106">
        <v>0</v>
      </c>
      <c r="K418" s="107"/>
      <c r="L418" s="108">
        <v>9.8522167487684722E-4</v>
      </c>
    </row>
    <row r="419" spans="3:12" ht="15" customHeight="1">
      <c r="C419" s="102" t="s">
        <v>115</v>
      </c>
      <c r="D419" s="55"/>
      <c r="E419" s="55"/>
      <c r="F419" s="55"/>
      <c r="G419" s="55"/>
      <c r="H419" s="55"/>
      <c r="I419" s="55"/>
      <c r="J419" s="106">
        <v>0</v>
      </c>
      <c r="K419" s="107"/>
      <c r="L419" s="108">
        <v>9.8522167487684722E-4</v>
      </c>
    </row>
    <row r="420" spans="3:12" ht="15" customHeight="1">
      <c r="C420" s="102" t="s">
        <v>850</v>
      </c>
      <c r="D420" s="55"/>
      <c r="E420" s="55"/>
      <c r="F420" s="55"/>
      <c r="G420" s="55"/>
      <c r="H420" s="55"/>
      <c r="I420" s="55"/>
      <c r="J420" s="106">
        <v>0</v>
      </c>
      <c r="K420" s="107"/>
      <c r="L420" s="108">
        <v>9.8522167487684722E-4</v>
      </c>
    </row>
    <row r="421" spans="3:12" ht="15" customHeight="1">
      <c r="C421" s="102" t="s">
        <v>420</v>
      </c>
      <c r="D421" s="55"/>
      <c r="E421" s="55"/>
      <c r="F421" s="55"/>
      <c r="G421" s="55"/>
      <c r="H421" s="55"/>
      <c r="I421" s="55"/>
      <c r="J421" s="106">
        <v>0</v>
      </c>
      <c r="K421" s="107"/>
      <c r="L421" s="108">
        <v>9.8522167487684722E-4</v>
      </c>
    </row>
    <row r="422" spans="3:12" ht="15" customHeight="1">
      <c r="C422" s="102" t="s">
        <v>743</v>
      </c>
      <c r="D422" s="55"/>
      <c r="E422" s="55"/>
      <c r="F422" s="55"/>
      <c r="G422" s="55"/>
      <c r="H422" s="55"/>
      <c r="I422" s="55"/>
      <c r="J422" s="106">
        <v>0</v>
      </c>
      <c r="K422" s="107"/>
      <c r="L422" s="108">
        <v>9.8522167487684722E-4</v>
      </c>
    </row>
    <row r="423" spans="3:12" ht="15" customHeight="1">
      <c r="C423" s="102" t="s">
        <v>901</v>
      </c>
      <c r="D423" s="55"/>
      <c r="E423" s="55"/>
      <c r="F423" s="55"/>
      <c r="G423" s="55"/>
      <c r="H423" s="55"/>
      <c r="I423" s="55"/>
      <c r="J423" s="106">
        <v>0</v>
      </c>
      <c r="K423" s="107"/>
      <c r="L423" s="108">
        <v>9.8522167487684722E-4</v>
      </c>
    </row>
    <row r="424" spans="3:12" ht="15" customHeight="1">
      <c r="C424" s="102" t="s">
        <v>112</v>
      </c>
      <c r="D424" s="55"/>
      <c r="E424" s="55"/>
      <c r="F424" s="55"/>
      <c r="G424" s="55"/>
      <c r="H424" s="55"/>
      <c r="I424" s="55"/>
      <c r="J424" s="106">
        <v>0</v>
      </c>
      <c r="K424" s="107"/>
      <c r="L424" s="108">
        <v>9.8522167487684722E-4</v>
      </c>
    </row>
    <row r="425" spans="3:12" ht="15" customHeight="1">
      <c r="C425" s="102" t="s">
        <v>735</v>
      </c>
      <c r="D425" s="55"/>
      <c r="E425" s="55"/>
      <c r="F425" s="55"/>
      <c r="G425" s="55"/>
      <c r="H425" s="55"/>
      <c r="I425" s="55"/>
      <c r="J425" s="106">
        <v>0</v>
      </c>
      <c r="K425" s="107"/>
      <c r="L425" s="108">
        <v>9.8522167487684722E-4</v>
      </c>
    </row>
    <row r="426" spans="3:12" ht="15" customHeight="1">
      <c r="C426" s="102" t="s">
        <v>106</v>
      </c>
      <c r="D426" s="55"/>
      <c r="E426" s="55"/>
      <c r="F426" s="55"/>
      <c r="G426" s="55"/>
      <c r="H426" s="55"/>
      <c r="I426" s="55"/>
      <c r="J426" s="106">
        <v>0</v>
      </c>
      <c r="K426" s="107"/>
      <c r="L426" s="108">
        <v>9.8522167487684722E-4</v>
      </c>
    </row>
    <row r="427" spans="3:12" ht="15" customHeight="1">
      <c r="C427" s="102" t="s">
        <v>388</v>
      </c>
      <c r="D427" s="55"/>
      <c r="E427" s="55"/>
      <c r="F427" s="55"/>
      <c r="G427" s="55"/>
      <c r="H427" s="55"/>
      <c r="I427" s="55"/>
      <c r="J427" s="106">
        <v>0</v>
      </c>
      <c r="K427" s="107"/>
      <c r="L427" s="108">
        <v>9.8522167487684722E-4</v>
      </c>
    </row>
    <row r="428" spans="3:12" ht="15" customHeight="1">
      <c r="C428" s="102" t="s">
        <v>543</v>
      </c>
      <c r="D428" s="55"/>
      <c r="E428" s="55"/>
      <c r="F428" s="55"/>
      <c r="G428" s="55"/>
      <c r="H428" s="55"/>
      <c r="I428" s="55"/>
      <c r="J428" s="106">
        <v>0</v>
      </c>
      <c r="K428" s="107"/>
      <c r="L428" s="108">
        <v>9.8522167487684722E-4</v>
      </c>
    </row>
    <row r="429" spans="3:12" ht="15" customHeight="1">
      <c r="C429" s="102" t="s">
        <v>1030</v>
      </c>
      <c r="D429" s="55"/>
      <c r="E429" s="55"/>
      <c r="F429" s="55"/>
      <c r="G429" s="55"/>
      <c r="H429" s="55"/>
      <c r="I429" s="55"/>
      <c r="J429" s="106">
        <v>0</v>
      </c>
      <c r="K429" s="107"/>
      <c r="L429" s="108">
        <v>9.8522167487684722E-4</v>
      </c>
    </row>
    <row r="430" spans="3:12" ht="15" customHeight="1">
      <c r="C430" s="102" t="s">
        <v>1012</v>
      </c>
      <c r="D430" s="55"/>
      <c r="E430" s="55"/>
      <c r="F430" s="55"/>
      <c r="G430" s="55"/>
      <c r="H430" s="55"/>
      <c r="I430" s="55"/>
      <c r="J430" s="106">
        <v>0</v>
      </c>
      <c r="K430" s="107"/>
      <c r="L430" s="108">
        <v>9.8522167487684722E-4</v>
      </c>
    </row>
    <row r="431" spans="3:12" ht="15" customHeight="1">
      <c r="C431" s="102" t="s">
        <v>257</v>
      </c>
      <c r="D431" s="55"/>
      <c r="E431" s="55"/>
      <c r="F431" s="55"/>
      <c r="G431" s="55"/>
      <c r="H431" s="55"/>
      <c r="I431" s="55"/>
      <c r="J431" s="106">
        <v>0</v>
      </c>
      <c r="K431" s="107"/>
      <c r="L431" s="108">
        <v>9.8522167487684722E-4</v>
      </c>
    </row>
    <row r="432" spans="3:12" ht="15" customHeight="1">
      <c r="C432" s="102" t="s">
        <v>1069</v>
      </c>
      <c r="D432" s="55"/>
      <c r="E432" s="55"/>
      <c r="F432" s="55"/>
      <c r="G432" s="55"/>
      <c r="H432" s="55"/>
      <c r="I432" s="55"/>
      <c r="J432" s="106">
        <v>0</v>
      </c>
      <c r="K432" s="107"/>
      <c r="L432" s="108">
        <v>9.8522167487684722E-4</v>
      </c>
    </row>
    <row r="433" spans="3:12" ht="15" customHeight="1">
      <c r="C433" s="102" t="s">
        <v>531</v>
      </c>
      <c r="D433" s="55"/>
      <c r="E433" s="55"/>
      <c r="F433" s="55"/>
      <c r="G433" s="55"/>
      <c r="H433" s="55"/>
      <c r="I433" s="55"/>
      <c r="J433" s="106">
        <v>0</v>
      </c>
      <c r="K433" s="107"/>
      <c r="L433" s="108">
        <v>9.8522167487684722E-4</v>
      </c>
    </row>
    <row r="434" spans="3:12" ht="15" customHeight="1">
      <c r="C434" s="102" t="s">
        <v>354</v>
      </c>
      <c r="D434" s="55"/>
      <c r="E434" s="55"/>
      <c r="F434" s="55"/>
      <c r="G434" s="55"/>
      <c r="H434" s="55"/>
      <c r="I434" s="55"/>
      <c r="J434" s="106">
        <v>0</v>
      </c>
      <c r="K434" s="107"/>
      <c r="L434" s="108">
        <v>9.8522167487684722E-4</v>
      </c>
    </row>
    <row r="435" spans="3:12" ht="15" customHeight="1">
      <c r="C435" s="102" t="s">
        <v>419</v>
      </c>
      <c r="D435" s="55"/>
      <c r="E435" s="55"/>
      <c r="F435" s="55"/>
      <c r="G435" s="55"/>
      <c r="H435" s="55"/>
      <c r="I435" s="55"/>
      <c r="J435" s="106">
        <v>0</v>
      </c>
      <c r="K435" s="107"/>
      <c r="L435" s="108">
        <v>9.8522167487684722E-4</v>
      </c>
    </row>
    <row r="436" spans="3:12" ht="15" customHeight="1">
      <c r="C436" s="102" t="s">
        <v>762</v>
      </c>
      <c r="D436" s="55"/>
      <c r="E436" s="55"/>
      <c r="F436" s="55"/>
      <c r="G436" s="55"/>
      <c r="H436" s="55"/>
      <c r="I436" s="55"/>
      <c r="J436" s="106">
        <v>0</v>
      </c>
      <c r="K436" s="107"/>
      <c r="L436" s="108">
        <v>9.8522167487684722E-4</v>
      </c>
    </row>
    <row r="437" spans="3:12" ht="15" customHeight="1">
      <c r="C437" s="102" t="s">
        <v>1115</v>
      </c>
      <c r="D437" s="55"/>
      <c r="E437" s="55"/>
      <c r="F437" s="55"/>
      <c r="G437" s="55"/>
      <c r="H437" s="55"/>
      <c r="I437" s="55"/>
      <c r="J437" s="106">
        <v>0</v>
      </c>
      <c r="K437" s="107"/>
      <c r="L437" s="108">
        <v>9.8522167487684722E-4</v>
      </c>
    </row>
    <row r="438" spans="3:12" ht="15" customHeight="1">
      <c r="C438" s="102" t="s">
        <v>835</v>
      </c>
      <c r="D438" s="55"/>
      <c r="E438" s="55"/>
      <c r="F438" s="55"/>
      <c r="G438" s="55"/>
      <c r="H438" s="55"/>
      <c r="I438" s="55"/>
      <c r="J438" s="106">
        <v>0</v>
      </c>
      <c r="K438" s="107"/>
      <c r="L438" s="108">
        <v>9.8522167487684722E-4</v>
      </c>
    </row>
    <row r="439" spans="3:12" ht="15" customHeight="1">
      <c r="C439" s="102" t="s">
        <v>260</v>
      </c>
      <c r="D439" s="55"/>
      <c r="E439" s="55"/>
      <c r="F439" s="55"/>
      <c r="G439" s="55"/>
      <c r="H439" s="55"/>
      <c r="I439" s="55"/>
      <c r="J439" s="106">
        <v>0</v>
      </c>
      <c r="K439" s="107"/>
      <c r="L439" s="108">
        <v>9.8522167487684722E-4</v>
      </c>
    </row>
    <row r="440" spans="3:12" ht="15" customHeight="1">
      <c r="C440" s="102" t="s">
        <v>551</v>
      </c>
      <c r="D440" s="55"/>
      <c r="E440" s="55"/>
      <c r="F440" s="55"/>
      <c r="G440" s="55"/>
      <c r="H440" s="55"/>
      <c r="I440" s="55"/>
      <c r="J440" s="106">
        <v>0</v>
      </c>
      <c r="K440" s="107"/>
      <c r="L440" s="108">
        <v>9.8522167487684722E-4</v>
      </c>
    </row>
    <row r="441" spans="3:12" ht="15" customHeight="1">
      <c r="C441" s="102" t="s">
        <v>825</v>
      </c>
      <c r="D441" s="55"/>
      <c r="E441" s="55"/>
      <c r="F441" s="55"/>
      <c r="G441" s="55"/>
      <c r="H441" s="55"/>
      <c r="I441" s="55"/>
      <c r="J441" s="106">
        <v>0</v>
      </c>
      <c r="K441" s="107"/>
      <c r="L441" s="108">
        <v>9.8522167487684722E-4</v>
      </c>
    </row>
    <row r="442" spans="3:12" ht="15" customHeight="1">
      <c r="C442" s="102" t="s">
        <v>432</v>
      </c>
      <c r="D442" s="55"/>
      <c r="E442" s="55"/>
      <c r="F442" s="55"/>
      <c r="G442" s="55"/>
      <c r="H442" s="55"/>
      <c r="I442" s="55"/>
      <c r="J442" s="106">
        <v>0</v>
      </c>
      <c r="K442" s="107"/>
      <c r="L442" s="108">
        <v>9.8522167487684722E-4</v>
      </c>
    </row>
    <row r="443" spans="3:12" ht="15" customHeight="1">
      <c r="C443" s="102" t="s">
        <v>630</v>
      </c>
      <c r="D443" s="55"/>
      <c r="E443" s="55"/>
      <c r="F443" s="55"/>
      <c r="G443" s="55"/>
      <c r="H443" s="55"/>
      <c r="I443" s="55"/>
      <c r="J443" s="106">
        <v>0</v>
      </c>
      <c r="K443" s="107"/>
      <c r="L443" s="108">
        <v>9.8522167487684722E-4</v>
      </c>
    </row>
    <row r="444" spans="3:12" ht="15" customHeight="1">
      <c r="C444" s="102" t="s">
        <v>236</v>
      </c>
      <c r="D444" s="55"/>
      <c r="E444" s="55"/>
      <c r="F444" s="55"/>
      <c r="G444" s="55"/>
      <c r="H444" s="55"/>
      <c r="I444" s="55"/>
      <c r="J444" s="106">
        <v>0</v>
      </c>
      <c r="K444" s="107"/>
      <c r="L444" s="108">
        <v>9.8522167487684722E-4</v>
      </c>
    </row>
    <row r="445" spans="3:12" ht="15" customHeight="1">
      <c r="C445" s="102" t="s">
        <v>504</v>
      </c>
      <c r="D445" s="55"/>
      <c r="E445" s="55"/>
      <c r="F445" s="55"/>
      <c r="G445" s="55"/>
      <c r="H445" s="55"/>
      <c r="I445" s="55"/>
      <c r="J445" s="106">
        <v>0</v>
      </c>
      <c r="K445" s="107"/>
      <c r="L445" s="108">
        <v>9.8522167487684722E-4</v>
      </c>
    </row>
    <row r="446" spans="3:12" ht="15" customHeight="1">
      <c r="C446" s="102" t="s">
        <v>861</v>
      </c>
      <c r="D446" s="55"/>
      <c r="E446" s="55"/>
      <c r="F446" s="55"/>
      <c r="G446" s="55"/>
      <c r="H446" s="55"/>
      <c r="I446" s="55"/>
      <c r="J446" s="106">
        <v>0</v>
      </c>
      <c r="K446" s="107"/>
      <c r="L446" s="108">
        <v>9.8522167487684722E-4</v>
      </c>
    </row>
    <row r="447" spans="3:12" ht="15" customHeight="1">
      <c r="C447" s="102" t="s">
        <v>864</v>
      </c>
      <c r="D447" s="55"/>
      <c r="E447" s="55"/>
      <c r="F447" s="55"/>
      <c r="G447" s="55"/>
      <c r="H447" s="55"/>
      <c r="I447" s="55"/>
      <c r="J447" s="106">
        <v>0</v>
      </c>
      <c r="K447" s="107"/>
      <c r="L447" s="108">
        <v>9.8522167487684722E-4</v>
      </c>
    </row>
    <row r="448" spans="3:12" ht="15" customHeight="1">
      <c r="C448" s="102" t="s">
        <v>508</v>
      </c>
      <c r="D448" s="55"/>
      <c r="E448" s="55"/>
      <c r="F448" s="55"/>
      <c r="G448" s="55"/>
      <c r="H448" s="55"/>
      <c r="I448" s="55"/>
      <c r="J448" s="106">
        <v>0</v>
      </c>
      <c r="K448" s="107"/>
      <c r="L448" s="108">
        <v>9.8522167487684722E-4</v>
      </c>
    </row>
    <row r="449" spans="3:12" ht="15" customHeight="1">
      <c r="C449" s="102" t="s">
        <v>547</v>
      </c>
      <c r="D449" s="55"/>
      <c r="E449" s="55"/>
      <c r="F449" s="55"/>
      <c r="G449" s="55"/>
      <c r="H449" s="55"/>
      <c r="I449" s="55"/>
      <c r="J449" s="106">
        <v>0</v>
      </c>
      <c r="K449" s="107"/>
      <c r="L449" s="108">
        <v>9.8522167487684722E-4</v>
      </c>
    </row>
    <row r="450" spans="3:12" ht="15" customHeight="1">
      <c r="C450" s="102" t="s">
        <v>800</v>
      </c>
      <c r="D450" s="55"/>
      <c r="E450" s="55"/>
      <c r="F450" s="55"/>
      <c r="G450" s="55"/>
      <c r="H450" s="55"/>
      <c r="I450" s="55"/>
      <c r="J450" s="106">
        <v>0</v>
      </c>
      <c r="K450" s="107"/>
      <c r="L450" s="108">
        <v>9.8522167487684722E-4</v>
      </c>
    </row>
    <row r="451" spans="3:12" ht="15" customHeight="1">
      <c r="C451" s="102" t="s">
        <v>189</v>
      </c>
      <c r="D451" s="55"/>
      <c r="E451" s="55"/>
      <c r="F451" s="55"/>
      <c r="G451" s="55"/>
      <c r="H451" s="55"/>
      <c r="I451" s="55"/>
      <c r="J451" s="106">
        <v>0</v>
      </c>
      <c r="K451" s="107"/>
      <c r="L451" s="108">
        <v>9.8522167487684722E-4</v>
      </c>
    </row>
    <row r="452" spans="3:12" ht="15" customHeight="1">
      <c r="C452" s="102" t="s">
        <v>276</v>
      </c>
      <c r="D452" s="55"/>
      <c r="E452" s="55"/>
      <c r="F452" s="55"/>
      <c r="G452" s="55"/>
      <c r="H452" s="55"/>
      <c r="I452" s="55"/>
      <c r="J452" s="106">
        <v>0</v>
      </c>
      <c r="K452" s="107"/>
      <c r="L452" s="108">
        <v>9.8522167487684722E-4</v>
      </c>
    </row>
    <row r="453" spans="3:12" ht="15" customHeight="1">
      <c r="C453" s="102" t="s">
        <v>217</v>
      </c>
      <c r="D453" s="55"/>
      <c r="E453" s="55"/>
      <c r="F453" s="55"/>
      <c r="G453" s="55"/>
      <c r="H453" s="55"/>
      <c r="I453" s="55"/>
      <c r="J453" s="106">
        <v>0</v>
      </c>
      <c r="K453" s="107"/>
      <c r="L453" s="108">
        <v>9.8522167487684722E-4</v>
      </c>
    </row>
    <row r="454" spans="3:12" ht="15" customHeight="1">
      <c r="C454" s="102" t="s">
        <v>702</v>
      </c>
      <c r="D454" s="55"/>
      <c r="E454" s="55"/>
      <c r="F454" s="55"/>
      <c r="G454" s="55"/>
      <c r="H454" s="55"/>
      <c r="I454" s="55"/>
      <c r="J454" s="106">
        <v>0</v>
      </c>
      <c r="K454" s="107"/>
      <c r="L454" s="108">
        <v>9.8522167487684722E-4</v>
      </c>
    </row>
    <row r="455" spans="3:12" ht="15" customHeight="1">
      <c r="C455" s="102" t="s">
        <v>141</v>
      </c>
      <c r="D455" s="55"/>
      <c r="E455" s="55"/>
      <c r="F455" s="55"/>
      <c r="G455" s="55"/>
      <c r="H455" s="55"/>
      <c r="I455" s="55"/>
      <c r="J455" s="106">
        <v>0</v>
      </c>
      <c r="K455" s="107"/>
      <c r="L455" s="108">
        <v>9.8522167487684722E-4</v>
      </c>
    </row>
    <row r="456" spans="3:12" ht="15" customHeight="1">
      <c r="C456" s="102" t="s">
        <v>293</v>
      </c>
      <c r="D456" s="55"/>
      <c r="E456" s="55"/>
      <c r="F456" s="55"/>
      <c r="G456" s="55"/>
      <c r="H456" s="55"/>
      <c r="I456" s="55"/>
      <c r="J456" s="106">
        <v>0</v>
      </c>
      <c r="K456" s="107"/>
      <c r="L456" s="108">
        <v>9.8522167487684722E-4</v>
      </c>
    </row>
    <row r="457" spans="3:12" ht="15" customHeight="1">
      <c r="C457" s="102" t="s">
        <v>99</v>
      </c>
      <c r="D457" s="55"/>
      <c r="E457" s="55"/>
      <c r="F457" s="55"/>
      <c r="G457" s="55"/>
      <c r="H457" s="55"/>
      <c r="I457" s="55"/>
      <c r="J457" s="106">
        <v>0</v>
      </c>
      <c r="K457" s="107"/>
      <c r="L457" s="108">
        <v>9.8522167487684722E-4</v>
      </c>
    </row>
    <row r="458" spans="3:12" ht="15" customHeight="1">
      <c r="C458" s="102" t="s">
        <v>285</v>
      </c>
      <c r="D458" s="55"/>
      <c r="E458" s="55"/>
      <c r="F458" s="55"/>
      <c r="G458" s="55"/>
      <c r="H458" s="55"/>
      <c r="I458" s="55"/>
      <c r="J458" s="106">
        <v>0</v>
      </c>
      <c r="K458" s="107"/>
      <c r="L458" s="108">
        <v>9.8522167487684722E-4</v>
      </c>
    </row>
    <row r="459" spans="3:12" ht="15" customHeight="1">
      <c r="C459" s="102" t="s">
        <v>893</v>
      </c>
      <c r="D459" s="55"/>
      <c r="E459" s="55"/>
      <c r="F459" s="55"/>
      <c r="G459" s="55"/>
      <c r="H459" s="55"/>
      <c r="I459" s="55"/>
      <c r="J459" s="106">
        <v>0</v>
      </c>
      <c r="K459" s="107"/>
      <c r="L459" s="108">
        <v>9.8522167487684722E-4</v>
      </c>
    </row>
    <row r="460" spans="3:12" ht="15" customHeight="1">
      <c r="C460" s="102" t="s">
        <v>528</v>
      </c>
      <c r="D460" s="55"/>
      <c r="E460" s="55"/>
      <c r="F460" s="55"/>
      <c r="G460" s="55"/>
      <c r="H460" s="55"/>
      <c r="I460" s="55"/>
      <c r="J460" s="106">
        <v>0</v>
      </c>
      <c r="K460" s="107"/>
      <c r="L460" s="108">
        <v>9.8522167487684722E-4</v>
      </c>
    </row>
    <row r="461" spans="3:12" ht="15" customHeight="1">
      <c r="C461" s="102" t="s">
        <v>754</v>
      </c>
      <c r="D461" s="55"/>
      <c r="E461" s="55"/>
      <c r="F461" s="55"/>
      <c r="G461" s="55"/>
      <c r="H461" s="55"/>
      <c r="I461" s="55"/>
      <c r="J461" s="106">
        <v>0</v>
      </c>
      <c r="K461" s="107"/>
      <c r="L461" s="108">
        <v>9.8522167487684722E-4</v>
      </c>
    </row>
    <row r="462" spans="3:12" ht="15" customHeight="1">
      <c r="C462" s="102" t="s">
        <v>545</v>
      </c>
      <c r="D462" s="55"/>
      <c r="E462" s="55"/>
      <c r="F462" s="55"/>
      <c r="G462" s="55"/>
      <c r="H462" s="55"/>
      <c r="I462" s="55"/>
      <c r="J462" s="106">
        <v>0</v>
      </c>
      <c r="K462" s="107"/>
      <c r="L462" s="108">
        <v>9.8522167487684722E-4</v>
      </c>
    </row>
    <row r="463" spans="3:12" ht="15" customHeight="1">
      <c r="C463" s="102" t="s">
        <v>718</v>
      </c>
      <c r="D463" s="55"/>
      <c r="E463" s="55"/>
      <c r="F463" s="55"/>
      <c r="G463" s="55"/>
      <c r="H463" s="55"/>
      <c r="I463" s="55"/>
      <c r="J463" s="106">
        <v>0</v>
      </c>
      <c r="K463" s="107"/>
      <c r="L463" s="108">
        <v>9.8522167487684722E-4</v>
      </c>
    </row>
    <row r="464" spans="3:12" ht="15" customHeight="1">
      <c r="C464" s="102" t="s">
        <v>654</v>
      </c>
      <c r="D464" s="55"/>
      <c r="E464" s="55"/>
      <c r="F464" s="55"/>
      <c r="G464" s="55"/>
      <c r="H464" s="55"/>
      <c r="I464" s="55"/>
      <c r="J464" s="106">
        <v>0</v>
      </c>
      <c r="K464" s="107"/>
      <c r="L464" s="108">
        <v>9.8522167487684722E-4</v>
      </c>
    </row>
    <row r="465" spans="3:12" ht="15" customHeight="1">
      <c r="C465" s="102" t="s">
        <v>94</v>
      </c>
      <c r="D465" s="55"/>
      <c r="E465" s="55"/>
      <c r="F465" s="55"/>
      <c r="G465" s="55"/>
      <c r="H465" s="55"/>
      <c r="I465" s="55"/>
      <c r="J465" s="106">
        <v>0</v>
      </c>
      <c r="K465" s="107"/>
      <c r="L465" s="108">
        <v>9.8522167487684722E-4</v>
      </c>
    </row>
    <row r="466" spans="3:12" ht="15" customHeight="1">
      <c r="C466" s="102" t="s">
        <v>763</v>
      </c>
      <c r="D466" s="55"/>
      <c r="E466" s="55"/>
      <c r="F466" s="55"/>
      <c r="G466" s="55"/>
      <c r="H466" s="55"/>
      <c r="I466" s="55"/>
      <c r="J466" s="106">
        <v>0</v>
      </c>
      <c r="K466" s="107"/>
      <c r="L466" s="108">
        <v>9.8522167487684722E-4</v>
      </c>
    </row>
    <row r="467" spans="3:12" ht="15" customHeight="1">
      <c r="C467" s="102" t="s">
        <v>578</v>
      </c>
      <c r="D467" s="55"/>
      <c r="E467" s="55"/>
      <c r="F467" s="55"/>
      <c r="G467" s="55"/>
      <c r="H467" s="55"/>
      <c r="I467" s="55"/>
      <c r="J467" s="106">
        <v>0</v>
      </c>
      <c r="K467" s="107"/>
      <c r="L467" s="108">
        <v>9.8522167487684722E-4</v>
      </c>
    </row>
    <row r="468" spans="3:12" ht="15" customHeight="1">
      <c r="C468" s="102" t="s">
        <v>314</v>
      </c>
      <c r="D468" s="55"/>
      <c r="E468" s="55"/>
      <c r="F468" s="55"/>
      <c r="G468" s="55"/>
      <c r="H468" s="55"/>
      <c r="I468" s="55"/>
      <c r="J468" s="106">
        <v>0</v>
      </c>
      <c r="K468" s="107"/>
      <c r="L468" s="108">
        <v>9.8522167487684722E-4</v>
      </c>
    </row>
    <row r="469" spans="3:12" ht="15" customHeight="1">
      <c r="C469" s="102" t="s">
        <v>852</v>
      </c>
      <c r="D469" s="55"/>
      <c r="E469" s="55"/>
      <c r="F469" s="55"/>
      <c r="G469" s="55"/>
      <c r="H469" s="55"/>
      <c r="I469" s="55"/>
      <c r="J469" s="106">
        <v>0</v>
      </c>
      <c r="K469" s="107"/>
      <c r="L469" s="108">
        <v>9.8522167487684722E-4</v>
      </c>
    </row>
    <row r="470" spans="3:12" ht="15" customHeight="1">
      <c r="C470" s="102" t="s">
        <v>713</v>
      </c>
      <c r="D470" s="55"/>
      <c r="E470" s="55"/>
      <c r="F470" s="55"/>
      <c r="G470" s="55"/>
      <c r="H470" s="55"/>
      <c r="I470" s="55"/>
      <c r="J470" s="106">
        <v>0</v>
      </c>
      <c r="K470" s="107"/>
      <c r="L470" s="108">
        <v>9.8522167487684722E-4</v>
      </c>
    </row>
    <row r="471" spans="3:12" ht="15" customHeight="1">
      <c r="C471" s="102" t="s">
        <v>153</v>
      </c>
      <c r="D471" s="55"/>
      <c r="E471" s="55"/>
      <c r="F471" s="55"/>
      <c r="G471" s="55"/>
      <c r="H471" s="55"/>
      <c r="I471" s="55"/>
      <c r="J471" s="106">
        <v>0</v>
      </c>
      <c r="K471" s="107"/>
      <c r="L471" s="108">
        <v>9.8522167487684722E-4</v>
      </c>
    </row>
    <row r="472" spans="3:12" ht="15" customHeight="1">
      <c r="C472" s="102" t="s">
        <v>423</v>
      </c>
      <c r="D472" s="55"/>
      <c r="E472" s="55"/>
      <c r="F472" s="55"/>
      <c r="G472" s="55"/>
      <c r="H472" s="55"/>
      <c r="I472" s="55"/>
      <c r="J472" s="106">
        <v>0</v>
      </c>
      <c r="K472" s="107"/>
      <c r="L472" s="108">
        <v>9.8522167487684722E-4</v>
      </c>
    </row>
    <row r="473" spans="3:12" ht="15" customHeight="1">
      <c r="C473" s="102" t="s">
        <v>750</v>
      </c>
      <c r="D473" s="55"/>
      <c r="E473" s="55"/>
      <c r="F473" s="55"/>
      <c r="G473" s="55"/>
      <c r="H473" s="55"/>
      <c r="I473" s="55"/>
      <c r="J473" s="106">
        <v>0</v>
      </c>
      <c r="K473" s="107"/>
      <c r="L473" s="108">
        <v>9.8522167487684722E-4</v>
      </c>
    </row>
    <row r="474" spans="3:12" ht="15" customHeight="1">
      <c r="C474" s="102" t="s">
        <v>943</v>
      </c>
      <c r="D474" s="55"/>
      <c r="E474" s="55"/>
      <c r="F474" s="55"/>
      <c r="G474" s="55"/>
      <c r="H474" s="55"/>
      <c r="I474" s="55"/>
      <c r="J474" s="106">
        <v>0</v>
      </c>
      <c r="K474" s="107"/>
      <c r="L474" s="108">
        <v>9.8522167487684722E-4</v>
      </c>
    </row>
    <row r="475" spans="3:12" ht="15" customHeight="1">
      <c r="C475" s="102" t="s">
        <v>387</v>
      </c>
      <c r="D475" s="55"/>
      <c r="E475" s="55"/>
      <c r="F475" s="55"/>
      <c r="G475" s="55"/>
      <c r="H475" s="55"/>
      <c r="I475" s="55"/>
      <c r="J475" s="106">
        <v>0</v>
      </c>
      <c r="K475" s="107"/>
      <c r="L475" s="108">
        <v>9.8522167487684722E-4</v>
      </c>
    </row>
    <row r="476" spans="3:12" ht="15" customHeight="1">
      <c r="C476" s="102" t="s">
        <v>178</v>
      </c>
      <c r="D476" s="55"/>
      <c r="E476" s="55"/>
      <c r="F476" s="55"/>
      <c r="G476" s="55"/>
      <c r="H476" s="55"/>
      <c r="I476" s="55"/>
      <c r="J476" s="106">
        <v>0</v>
      </c>
      <c r="K476" s="107"/>
      <c r="L476" s="108">
        <v>9.8522167487684722E-4</v>
      </c>
    </row>
    <row r="477" spans="3:12" ht="15" customHeight="1">
      <c r="C477" s="102" t="s">
        <v>534</v>
      </c>
      <c r="D477" s="55"/>
      <c r="E477" s="55"/>
      <c r="F477" s="55"/>
      <c r="G477" s="55"/>
      <c r="H477" s="55"/>
      <c r="I477" s="55"/>
      <c r="J477" s="106">
        <v>0</v>
      </c>
      <c r="K477" s="107"/>
      <c r="L477" s="108">
        <v>9.8522167487684722E-4</v>
      </c>
    </row>
    <row r="478" spans="3:12" ht="15" customHeight="1">
      <c r="C478" s="102" t="s">
        <v>772</v>
      </c>
      <c r="D478" s="55"/>
      <c r="E478" s="55"/>
      <c r="F478" s="55"/>
      <c r="G478" s="55"/>
      <c r="H478" s="55"/>
      <c r="I478" s="55"/>
      <c r="J478" s="106">
        <v>0</v>
      </c>
      <c r="K478" s="107"/>
      <c r="L478" s="108">
        <v>9.8522167487684722E-4</v>
      </c>
    </row>
    <row r="479" spans="3:12" ht="15" customHeight="1">
      <c r="C479" s="102" t="s">
        <v>346</v>
      </c>
      <c r="D479" s="55"/>
      <c r="E479" s="55"/>
      <c r="F479" s="55"/>
      <c r="G479" s="55"/>
      <c r="H479" s="55"/>
      <c r="I479" s="55"/>
      <c r="J479" s="106">
        <v>0</v>
      </c>
      <c r="K479" s="107"/>
      <c r="L479" s="108">
        <v>9.8522167487684722E-4</v>
      </c>
    </row>
    <row r="480" spans="3:12" ht="15" customHeight="1">
      <c r="C480" s="102" t="s">
        <v>118</v>
      </c>
      <c r="D480" s="55"/>
      <c r="E480" s="55"/>
      <c r="F480" s="55"/>
      <c r="G480" s="55"/>
      <c r="H480" s="55"/>
      <c r="I480" s="55"/>
      <c r="J480" s="106">
        <v>0</v>
      </c>
      <c r="K480" s="107"/>
      <c r="L480" s="108">
        <v>9.8522167487684722E-4</v>
      </c>
    </row>
    <row r="481" spans="3:12" ht="15" customHeight="1">
      <c r="C481" s="102" t="s">
        <v>682</v>
      </c>
      <c r="D481" s="55"/>
      <c r="E481" s="55"/>
      <c r="F481" s="55"/>
      <c r="G481" s="55"/>
      <c r="H481" s="55"/>
      <c r="I481" s="55"/>
      <c r="J481" s="106">
        <v>0</v>
      </c>
      <c r="K481" s="107"/>
      <c r="L481" s="108">
        <v>9.8522167487684722E-4</v>
      </c>
    </row>
    <row r="482" spans="3:12" ht="15" customHeight="1">
      <c r="C482" s="102" t="s">
        <v>376</v>
      </c>
      <c r="D482" s="55"/>
      <c r="E482" s="55"/>
      <c r="F482" s="55"/>
      <c r="G482" s="55"/>
      <c r="H482" s="55"/>
      <c r="I482" s="55"/>
      <c r="J482" s="106">
        <v>0</v>
      </c>
      <c r="K482" s="107"/>
      <c r="L482" s="108">
        <v>9.8522167487684722E-4</v>
      </c>
    </row>
    <row r="483" spans="3:12" ht="15" customHeight="1">
      <c r="C483" s="102" t="s">
        <v>244</v>
      </c>
      <c r="D483" s="55"/>
      <c r="E483" s="55"/>
      <c r="F483" s="55"/>
      <c r="G483" s="55"/>
      <c r="H483" s="55"/>
      <c r="I483" s="55"/>
      <c r="J483" s="106">
        <v>0</v>
      </c>
      <c r="K483" s="107"/>
      <c r="L483" s="108">
        <v>9.8522167487684722E-4</v>
      </c>
    </row>
    <row r="484" spans="3:12" ht="15" customHeight="1">
      <c r="C484" s="102" t="s">
        <v>133</v>
      </c>
      <c r="D484" s="55"/>
      <c r="E484" s="55"/>
      <c r="F484" s="55"/>
      <c r="G484" s="55"/>
      <c r="H484" s="55"/>
      <c r="I484" s="55"/>
      <c r="J484" s="106">
        <v>0</v>
      </c>
      <c r="K484" s="107"/>
      <c r="L484" s="108">
        <v>9.8522167487684722E-4</v>
      </c>
    </row>
    <row r="485" spans="3:12" ht="15" customHeight="1">
      <c r="C485" s="102" t="s">
        <v>1017</v>
      </c>
      <c r="D485" s="55"/>
      <c r="E485" s="55"/>
      <c r="F485" s="55"/>
      <c r="G485" s="55"/>
      <c r="H485" s="55"/>
      <c r="I485" s="55"/>
      <c r="J485" s="106">
        <v>0</v>
      </c>
      <c r="K485" s="107"/>
      <c r="L485" s="108">
        <v>9.8522167487684722E-4</v>
      </c>
    </row>
    <row r="486" spans="3:12" ht="15" customHeight="1">
      <c r="C486" s="102" t="s">
        <v>563</v>
      </c>
      <c r="D486" s="55"/>
      <c r="E486" s="55"/>
      <c r="F486" s="55"/>
      <c r="G486" s="55"/>
      <c r="H486" s="55"/>
      <c r="I486" s="55"/>
      <c r="J486" s="106">
        <v>0</v>
      </c>
      <c r="K486" s="107"/>
      <c r="L486" s="108">
        <v>9.8522167487684722E-4</v>
      </c>
    </row>
    <row r="487" spans="3:12" ht="15" customHeight="1">
      <c r="C487" s="102" t="s">
        <v>986</v>
      </c>
      <c r="D487" s="55"/>
      <c r="E487" s="55"/>
      <c r="F487" s="55"/>
      <c r="G487" s="55"/>
      <c r="H487" s="55"/>
      <c r="I487" s="55"/>
      <c r="J487" s="106">
        <v>0</v>
      </c>
      <c r="K487" s="107"/>
      <c r="L487" s="108">
        <v>9.8522167487684722E-4</v>
      </c>
    </row>
    <row r="488" spans="3:12" ht="15" customHeight="1">
      <c r="C488" s="102" t="s">
        <v>230</v>
      </c>
      <c r="D488" s="55"/>
      <c r="E488" s="55"/>
      <c r="F488" s="55"/>
      <c r="G488" s="55"/>
      <c r="H488" s="55"/>
      <c r="I488" s="55"/>
      <c r="J488" s="106">
        <v>0</v>
      </c>
      <c r="K488" s="107"/>
      <c r="L488" s="108">
        <v>9.8522167487684722E-4</v>
      </c>
    </row>
    <row r="489" spans="3:12" ht="15" customHeight="1">
      <c r="C489" s="102" t="s">
        <v>911</v>
      </c>
      <c r="D489" s="55"/>
      <c r="E489" s="55"/>
      <c r="F489" s="55"/>
      <c r="G489" s="55"/>
      <c r="H489" s="55"/>
      <c r="I489" s="55"/>
      <c r="J489" s="106">
        <v>0</v>
      </c>
      <c r="K489" s="107"/>
      <c r="L489" s="108">
        <v>9.8522167487684722E-4</v>
      </c>
    </row>
    <row r="490" spans="3:12" ht="15" customHeight="1">
      <c r="C490" s="102" t="s">
        <v>1102</v>
      </c>
      <c r="D490" s="55"/>
      <c r="E490" s="55"/>
      <c r="F490" s="55"/>
      <c r="G490" s="55"/>
      <c r="H490" s="55"/>
      <c r="I490" s="55"/>
      <c r="J490" s="106">
        <v>0</v>
      </c>
      <c r="K490" s="107"/>
      <c r="L490" s="108">
        <v>9.8522167487684722E-4</v>
      </c>
    </row>
    <row r="491" spans="3:12" ht="15" customHeight="1">
      <c r="C491" s="102" t="s">
        <v>459</v>
      </c>
      <c r="D491" s="55"/>
      <c r="E491" s="55"/>
      <c r="F491" s="55"/>
      <c r="G491" s="55"/>
      <c r="H491" s="55"/>
      <c r="I491" s="55"/>
      <c r="J491" s="106">
        <v>0</v>
      </c>
      <c r="K491" s="107"/>
      <c r="L491" s="108">
        <v>9.8522167487684722E-4</v>
      </c>
    </row>
    <row r="492" spans="3:12" ht="15" customHeight="1">
      <c r="C492" s="102" t="s">
        <v>889</v>
      </c>
      <c r="D492" s="55"/>
      <c r="E492" s="55"/>
      <c r="F492" s="55"/>
      <c r="G492" s="55"/>
      <c r="H492" s="55"/>
      <c r="I492" s="55"/>
      <c r="J492" s="106">
        <v>0</v>
      </c>
      <c r="K492" s="107"/>
      <c r="L492" s="108">
        <v>9.8522167487684722E-4</v>
      </c>
    </row>
    <row r="493" spans="3:12" ht="15" customHeight="1">
      <c r="C493" s="102" t="s">
        <v>462</v>
      </c>
      <c r="D493" s="55"/>
      <c r="E493" s="55"/>
      <c r="F493" s="55"/>
      <c r="G493" s="55"/>
      <c r="H493" s="55"/>
      <c r="I493" s="55"/>
      <c r="J493" s="106">
        <v>0</v>
      </c>
      <c r="K493" s="107"/>
      <c r="L493" s="108">
        <v>9.8522167487684722E-4</v>
      </c>
    </row>
    <row r="494" spans="3:12" ht="15" customHeight="1">
      <c r="C494" s="102" t="s">
        <v>474</v>
      </c>
      <c r="D494" s="55"/>
      <c r="E494" s="55"/>
      <c r="F494" s="55"/>
      <c r="G494" s="55"/>
      <c r="H494" s="55"/>
      <c r="I494" s="55"/>
      <c r="J494" s="106">
        <v>0</v>
      </c>
      <c r="K494" s="107"/>
      <c r="L494" s="108">
        <v>9.8522167487684722E-4</v>
      </c>
    </row>
    <row r="495" spans="3:12" ht="15" customHeight="1">
      <c r="C495" s="102" t="s">
        <v>496</v>
      </c>
      <c r="D495" s="55"/>
      <c r="E495" s="55"/>
      <c r="F495" s="55"/>
      <c r="G495" s="55"/>
      <c r="H495" s="55"/>
      <c r="I495" s="55"/>
      <c r="J495" s="106">
        <v>0</v>
      </c>
      <c r="K495" s="107"/>
      <c r="L495" s="108">
        <v>9.8522167487684722E-4</v>
      </c>
    </row>
    <row r="496" spans="3:12" ht="15" customHeight="1">
      <c r="C496" s="102" t="s">
        <v>1033</v>
      </c>
      <c r="D496" s="55"/>
      <c r="E496" s="55"/>
      <c r="F496" s="55"/>
      <c r="G496" s="55"/>
      <c r="H496" s="55"/>
      <c r="I496" s="55"/>
      <c r="J496" s="106">
        <v>0</v>
      </c>
      <c r="K496" s="107"/>
      <c r="L496" s="108">
        <v>9.8522167487684722E-4</v>
      </c>
    </row>
    <row r="497" spans="3:12" ht="15" customHeight="1">
      <c r="C497" s="102" t="s">
        <v>878</v>
      </c>
      <c r="D497" s="55"/>
      <c r="E497" s="55"/>
      <c r="F497" s="55"/>
      <c r="G497" s="55"/>
      <c r="H497" s="55"/>
      <c r="I497" s="55"/>
      <c r="J497" s="106">
        <v>0</v>
      </c>
      <c r="K497" s="107"/>
      <c r="L497" s="108">
        <v>9.8522167487684722E-4</v>
      </c>
    </row>
    <row r="498" spans="3:12" ht="15" customHeight="1">
      <c r="C498" s="102" t="s">
        <v>278</v>
      </c>
      <c r="D498" s="55"/>
      <c r="E498" s="55"/>
      <c r="F498" s="55"/>
      <c r="G498" s="55"/>
      <c r="H498" s="55"/>
      <c r="I498" s="55"/>
      <c r="J498" s="106">
        <v>0</v>
      </c>
      <c r="K498" s="107"/>
      <c r="L498" s="108">
        <v>9.8522167487684722E-4</v>
      </c>
    </row>
    <row r="499" spans="3:12" ht="15" customHeight="1">
      <c r="C499" s="102" t="s">
        <v>678</v>
      </c>
      <c r="D499" s="55"/>
      <c r="E499" s="55"/>
      <c r="F499" s="55"/>
      <c r="G499" s="55"/>
      <c r="H499" s="55"/>
      <c r="I499" s="55"/>
      <c r="J499" s="106">
        <v>0</v>
      </c>
      <c r="K499" s="107"/>
      <c r="L499" s="108">
        <v>9.8522167487684722E-4</v>
      </c>
    </row>
    <row r="500" spans="3:12" ht="15" customHeight="1">
      <c r="C500" s="102" t="s">
        <v>255</v>
      </c>
      <c r="D500" s="55"/>
      <c r="E500" s="55"/>
      <c r="F500" s="55"/>
      <c r="G500" s="55"/>
      <c r="H500" s="55"/>
      <c r="I500" s="55"/>
      <c r="J500" s="106">
        <v>0</v>
      </c>
      <c r="K500" s="107"/>
      <c r="L500" s="108">
        <v>9.8522167487684722E-4</v>
      </c>
    </row>
    <row r="501" spans="3:12" ht="15" customHeight="1">
      <c r="C501" s="102" t="s">
        <v>126</v>
      </c>
      <c r="D501" s="55"/>
      <c r="E501" s="55"/>
      <c r="F501" s="55"/>
      <c r="G501" s="55"/>
      <c r="H501" s="55"/>
      <c r="I501" s="55"/>
      <c r="J501" s="106">
        <v>0</v>
      </c>
      <c r="K501" s="107"/>
      <c r="L501" s="108">
        <v>9.8522167487684722E-4</v>
      </c>
    </row>
    <row r="502" spans="3:12" ht="15" customHeight="1">
      <c r="C502" s="102" t="s">
        <v>227</v>
      </c>
      <c r="D502" s="55"/>
      <c r="E502" s="55"/>
      <c r="F502" s="55"/>
      <c r="G502" s="55"/>
      <c r="H502" s="55"/>
      <c r="I502" s="55"/>
      <c r="J502" s="106">
        <v>0</v>
      </c>
      <c r="K502" s="107"/>
      <c r="L502" s="108">
        <v>9.8522167487684722E-4</v>
      </c>
    </row>
    <row r="503" spans="3:12" ht="15" customHeight="1">
      <c r="C503" s="102" t="s">
        <v>282</v>
      </c>
      <c r="D503" s="55"/>
      <c r="E503" s="55"/>
      <c r="F503" s="55"/>
      <c r="G503" s="55"/>
      <c r="H503" s="55"/>
      <c r="I503" s="55"/>
      <c r="J503" s="106">
        <v>0</v>
      </c>
      <c r="K503" s="107"/>
      <c r="L503" s="108">
        <v>9.8522167487684722E-4</v>
      </c>
    </row>
    <row r="504" spans="3:12" ht="15" customHeight="1">
      <c r="C504" s="102" t="s">
        <v>537</v>
      </c>
      <c r="D504" s="55"/>
      <c r="E504" s="55"/>
      <c r="F504" s="55"/>
      <c r="G504" s="55"/>
      <c r="H504" s="55"/>
      <c r="I504" s="55"/>
      <c r="J504" s="106">
        <v>0</v>
      </c>
      <c r="K504" s="107"/>
      <c r="L504" s="108">
        <v>9.8522167487684722E-4</v>
      </c>
    </row>
    <row r="505" spans="3:12" ht="15" customHeight="1">
      <c r="C505" s="102" t="s">
        <v>565</v>
      </c>
      <c r="D505" s="55"/>
      <c r="E505" s="55"/>
      <c r="F505" s="55"/>
      <c r="G505" s="55"/>
      <c r="H505" s="55"/>
      <c r="I505" s="55"/>
      <c r="J505" s="106">
        <v>0</v>
      </c>
      <c r="K505" s="107"/>
      <c r="L505" s="108">
        <v>9.8522167487684722E-4</v>
      </c>
    </row>
    <row r="506" spans="3:12" ht="15" customHeight="1">
      <c r="C506" s="102" t="s">
        <v>466</v>
      </c>
      <c r="D506" s="55"/>
      <c r="E506" s="55"/>
      <c r="F506" s="55"/>
      <c r="G506" s="55"/>
      <c r="H506" s="55"/>
      <c r="I506" s="55"/>
      <c r="J506" s="106">
        <v>0</v>
      </c>
      <c r="K506" s="107"/>
      <c r="L506" s="108">
        <v>9.8522167487684722E-4</v>
      </c>
    </row>
    <row r="507" spans="3:12" ht="15" customHeight="1">
      <c r="C507" s="102" t="s">
        <v>177</v>
      </c>
      <c r="D507" s="55"/>
      <c r="E507" s="55"/>
      <c r="F507" s="55"/>
      <c r="G507" s="55"/>
      <c r="H507" s="55"/>
      <c r="I507" s="55"/>
      <c r="J507" s="106">
        <v>0</v>
      </c>
      <c r="K507" s="107"/>
      <c r="L507" s="108">
        <v>9.8522167487684722E-4</v>
      </c>
    </row>
    <row r="508" spans="3:12" ht="15" customHeight="1">
      <c r="C508" s="102" t="s">
        <v>1005</v>
      </c>
      <c r="D508" s="55"/>
      <c r="E508" s="55"/>
      <c r="F508" s="55"/>
      <c r="G508" s="55"/>
      <c r="H508" s="55"/>
      <c r="I508" s="55"/>
      <c r="J508" s="106">
        <v>0</v>
      </c>
      <c r="K508" s="107"/>
      <c r="L508" s="108">
        <v>9.8522167487684722E-4</v>
      </c>
    </row>
    <row r="509" spans="3:12" ht="15" customHeight="1">
      <c r="C509" s="102" t="s">
        <v>460</v>
      </c>
      <c r="D509" s="55"/>
      <c r="E509" s="55"/>
      <c r="F509" s="55"/>
      <c r="G509" s="55"/>
      <c r="H509" s="55"/>
      <c r="I509" s="55"/>
      <c r="J509" s="106">
        <v>0</v>
      </c>
      <c r="K509" s="107"/>
      <c r="L509" s="108">
        <v>9.8522167487684722E-4</v>
      </c>
    </row>
    <row r="510" spans="3:12" ht="15" customHeight="1">
      <c r="C510" s="102" t="s">
        <v>219</v>
      </c>
      <c r="D510" s="55"/>
      <c r="E510" s="55"/>
      <c r="F510" s="55"/>
      <c r="G510" s="55"/>
      <c r="H510" s="55"/>
      <c r="I510" s="55"/>
      <c r="J510" s="106">
        <v>0</v>
      </c>
      <c r="K510" s="107"/>
      <c r="L510" s="108">
        <v>9.8522167487684722E-4</v>
      </c>
    </row>
    <row r="511" spans="3:12" ht="15" customHeight="1">
      <c r="C511" s="102" t="s">
        <v>357</v>
      </c>
      <c r="D511" s="55"/>
      <c r="E511" s="55"/>
      <c r="F511" s="55"/>
      <c r="G511" s="55"/>
      <c r="H511" s="55"/>
      <c r="I511" s="55"/>
      <c r="J511" s="106">
        <v>0</v>
      </c>
      <c r="K511" s="107"/>
      <c r="L511" s="108">
        <v>9.8522167487684722E-4</v>
      </c>
    </row>
    <row r="512" spans="3:12" ht="15" customHeight="1">
      <c r="C512" s="102" t="s">
        <v>593</v>
      </c>
      <c r="D512" s="55"/>
      <c r="E512" s="55"/>
      <c r="F512" s="55"/>
      <c r="G512" s="55"/>
      <c r="H512" s="55"/>
      <c r="I512" s="55"/>
      <c r="J512" s="106">
        <v>0</v>
      </c>
      <c r="K512" s="107"/>
      <c r="L512" s="108">
        <v>9.8522167487684722E-4</v>
      </c>
    </row>
    <row r="513" spans="3:12" ht="15" customHeight="1">
      <c r="C513" s="102" t="s">
        <v>443</v>
      </c>
      <c r="D513" s="55"/>
      <c r="E513" s="55"/>
      <c r="F513" s="55"/>
      <c r="G513" s="55"/>
      <c r="H513" s="55"/>
      <c r="I513" s="55"/>
      <c r="J513" s="106">
        <v>0</v>
      </c>
      <c r="K513" s="107"/>
      <c r="L513" s="108">
        <v>9.8522167487684722E-4</v>
      </c>
    </row>
    <row r="514" spans="3:12" ht="15" customHeight="1">
      <c r="C514" s="102" t="s">
        <v>706</v>
      </c>
      <c r="D514" s="55"/>
      <c r="E514" s="55"/>
      <c r="F514" s="55"/>
      <c r="G514" s="55"/>
      <c r="H514" s="55"/>
      <c r="I514" s="55"/>
      <c r="J514" s="106">
        <v>0</v>
      </c>
      <c r="K514" s="107"/>
      <c r="L514" s="108">
        <v>9.8522167487684722E-4</v>
      </c>
    </row>
    <row r="515" spans="3:12" ht="15" customHeight="1">
      <c r="C515" s="102" t="s">
        <v>553</v>
      </c>
      <c r="D515" s="55"/>
      <c r="E515" s="55"/>
      <c r="F515" s="55"/>
      <c r="G515" s="55"/>
      <c r="H515" s="55"/>
      <c r="I515" s="55"/>
      <c r="J515" s="106">
        <v>0</v>
      </c>
      <c r="K515" s="107"/>
      <c r="L515" s="108">
        <v>9.8522167487684722E-4</v>
      </c>
    </row>
    <row r="516" spans="3:12" ht="15" customHeight="1">
      <c r="C516" s="102" t="s">
        <v>449</v>
      </c>
      <c r="D516" s="55"/>
      <c r="E516" s="55"/>
      <c r="F516" s="55"/>
      <c r="G516" s="55"/>
      <c r="H516" s="55"/>
      <c r="I516" s="55"/>
      <c r="J516" s="106">
        <v>0</v>
      </c>
      <c r="K516" s="107"/>
      <c r="L516" s="108">
        <v>9.8522167487684722E-4</v>
      </c>
    </row>
    <row r="517" spans="3:12" ht="15" customHeight="1">
      <c r="C517" s="102" t="s">
        <v>434</v>
      </c>
      <c r="D517" s="55"/>
      <c r="E517" s="55"/>
      <c r="F517" s="55"/>
      <c r="G517" s="55"/>
      <c r="H517" s="55"/>
      <c r="I517" s="55"/>
      <c r="J517" s="106">
        <v>0</v>
      </c>
      <c r="K517" s="107"/>
      <c r="L517" s="108">
        <v>9.8522167487684722E-4</v>
      </c>
    </row>
    <row r="518" spans="3:12" ht="15" customHeight="1">
      <c r="C518" s="102" t="s">
        <v>1047</v>
      </c>
      <c r="D518" s="55"/>
      <c r="E518" s="55"/>
      <c r="F518" s="55"/>
      <c r="G518" s="55"/>
      <c r="H518" s="55"/>
      <c r="I518" s="55"/>
      <c r="J518" s="106">
        <v>0</v>
      </c>
      <c r="K518" s="107"/>
      <c r="L518" s="108">
        <v>9.8522167487684722E-4</v>
      </c>
    </row>
    <row r="519" spans="3:12" ht="15" customHeight="1">
      <c r="C519" s="102" t="s">
        <v>512</v>
      </c>
      <c r="D519" s="55"/>
      <c r="E519" s="55"/>
      <c r="F519" s="55"/>
      <c r="G519" s="55"/>
      <c r="H519" s="55"/>
      <c r="I519" s="55"/>
      <c r="J519" s="106">
        <v>0</v>
      </c>
      <c r="K519" s="107"/>
      <c r="L519" s="108">
        <v>9.8522167487684722E-4</v>
      </c>
    </row>
    <row r="520" spans="3:12" ht="15" customHeight="1">
      <c r="C520" s="102" t="s">
        <v>490</v>
      </c>
      <c r="D520" s="55"/>
      <c r="E520" s="55"/>
      <c r="F520" s="55"/>
      <c r="G520" s="55"/>
      <c r="H520" s="55"/>
      <c r="I520" s="55"/>
      <c r="J520" s="106">
        <v>0</v>
      </c>
      <c r="K520" s="107"/>
      <c r="L520" s="108">
        <v>9.8522167487684722E-4</v>
      </c>
    </row>
    <row r="521" spans="3:12" ht="15" customHeight="1">
      <c r="C521" s="102" t="s">
        <v>172</v>
      </c>
      <c r="D521" s="55"/>
      <c r="E521" s="55"/>
      <c r="F521" s="55"/>
      <c r="G521" s="55"/>
      <c r="H521" s="55"/>
      <c r="I521" s="55"/>
      <c r="J521" s="106">
        <v>0</v>
      </c>
      <c r="K521" s="107"/>
      <c r="L521" s="108">
        <v>9.8522167487684722E-4</v>
      </c>
    </row>
    <row r="522" spans="3:12" ht="15" customHeight="1">
      <c r="C522" s="102" t="s">
        <v>797</v>
      </c>
      <c r="D522" s="55"/>
      <c r="E522" s="55"/>
      <c r="F522" s="55"/>
      <c r="G522" s="55"/>
      <c r="H522" s="55"/>
      <c r="I522" s="55"/>
      <c r="J522" s="106">
        <v>0</v>
      </c>
      <c r="K522" s="107"/>
      <c r="L522" s="108">
        <v>9.8522167487684722E-4</v>
      </c>
    </row>
    <row r="523" spans="3:12" ht="15" customHeight="1">
      <c r="C523" s="102" t="s">
        <v>509</v>
      </c>
      <c r="D523" s="55"/>
      <c r="E523" s="55"/>
      <c r="F523" s="55"/>
      <c r="G523" s="55"/>
      <c r="H523" s="55"/>
      <c r="I523" s="55"/>
      <c r="J523" s="106">
        <v>0</v>
      </c>
      <c r="K523" s="107"/>
      <c r="L523" s="108">
        <v>9.8522167487684722E-4</v>
      </c>
    </row>
    <row r="524" spans="3:12" ht="15" customHeight="1">
      <c r="C524" s="102" t="s">
        <v>1095</v>
      </c>
      <c r="D524" s="55"/>
      <c r="E524" s="55"/>
      <c r="F524" s="55"/>
      <c r="G524" s="55"/>
      <c r="H524" s="55"/>
      <c r="I524" s="55"/>
      <c r="J524" s="106">
        <v>0</v>
      </c>
      <c r="K524" s="107"/>
      <c r="L524" s="108">
        <v>9.8522167487684722E-4</v>
      </c>
    </row>
    <row r="525" spans="3:12" ht="15" customHeight="1">
      <c r="C525" s="102" t="s">
        <v>109</v>
      </c>
      <c r="D525" s="55"/>
      <c r="E525" s="55"/>
      <c r="F525" s="55"/>
      <c r="G525" s="55"/>
      <c r="H525" s="55"/>
      <c r="I525" s="55"/>
      <c r="J525" s="106">
        <v>0</v>
      </c>
      <c r="K525" s="107"/>
      <c r="L525" s="108">
        <v>9.8522167487684722E-4</v>
      </c>
    </row>
    <row r="526" spans="3:12" ht="15" customHeight="1">
      <c r="C526" s="102" t="s">
        <v>1003</v>
      </c>
      <c r="D526" s="55"/>
      <c r="E526" s="55"/>
      <c r="F526" s="55"/>
      <c r="G526" s="55"/>
      <c r="H526" s="55"/>
      <c r="I526" s="55"/>
      <c r="J526" s="106">
        <v>0</v>
      </c>
      <c r="K526" s="107"/>
      <c r="L526" s="108">
        <v>9.8522167487684722E-4</v>
      </c>
    </row>
    <row r="527" spans="3:12" ht="15" customHeight="1">
      <c r="C527" s="102" t="s">
        <v>484</v>
      </c>
      <c r="D527" s="55"/>
      <c r="E527" s="55"/>
      <c r="F527" s="55"/>
      <c r="G527" s="55"/>
      <c r="H527" s="55"/>
      <c r="I527" s="55"/>
      <c r="J527" s="106">
        <v>0</v>
      </c>
      <c r="K527" s="107"/>
      <c r="L527" s="108">
        <v>9.8522167487684722E-4</v>
      </c>
    </row>
    <row r="528" spans="3:12" ht="15" customHeight="1">
      <c r="C528" s="102" t="s">
        <v>1106</v>
      </c>
      <c r="D528" s="55"/>
      <c r="E528" s="55"/>
      <c r="F528" s="55"/>
      <c r="G528" s="55"/>
      <c r="H528" s="55"/>
      <c r="I528" s="55"/>
      <c r="J528" s="106">
        <v>0</v>
      </c>
      <c r="K528" s="107"/>
      <c r="L528" s="108">
        <v>9.8522167487684722E-4</v>
      </c>
    </row>
    <row r="529" spans="3:12" ht="15" customHeight="1">
      <c r="C529" s="102" t="s">
        <v>587</v>
      </c>
      <c r="D529" s="55"/>
      <c r="E529" s="55"/>
      <c r="F529" s="55"/>
      <c r="G529" s="55"/>
      <c r="H529" s="55"/>
      <c r="I529" s="55"/>
      <c r="J529" s="106">
        <v>0</v>
      </c>
      <c r="K529" s="107"/>
      <c r="L529" s="108">
        <v>9.8522167487684722E-4</v>
      </c>
    </row>
    <row r="530" spans="3:12" ht="15" customHeight="1">
      <c r="C530" s="102" t="s">
        <v>521</v>
      </c>
      <c r="D530" s="55"/>
      <c r="E530" s="55"/>
      <c r="F530" s="55"/>
      <c r="G530" s="55"/>
      <c r="H530" s="55"/>
      <c r="I530" s="55"/>
      <c r="J530" s="106">
        <v>0</v>
      </c>
      <c r="K530" s="107"/>
      <c r="L530" s="108">
        <v>9.8522167487684722E-4</v>
      </c>
    </row>
    <row r="531" spans="3:12" ht="15" customHeight="1">
      <c r="C531" s="102" t="s">
        <v>305</v>
      </c>
      <c r="D531" s="55"/>
      <c r="E531" s="55"/>
      <c r="F531" s="55"/>
      <c r="G531" s="55"/>
      <c r="H531" s="55"/>
      <c r="I531" s="55"/>
      <c r="J531" s="106">
        <v>0</v>
      </c>
      <c r="K531" s="107"/>
      <c r="L531" s="108">
        <v>9.8522167487684722E-4</v>
      </c>
    </row>
    <row r="532" spans="3:12" ht="15" customHeight="1">
      <c r="C532" s="102" t="s">
        <v>918</v>
      </c>
      <c r="D532" s="55"/>
      <c r="E532" s="55"/>
      <c r="F532" s="55"/>
      <c r="G532" s="55"/>
      <c r="H532" s="55"/>
      <c r="I532" s="55"/>
      <c r="J532" s="106">
        <v>0</v>
      </c>
      <c r="K532" s="107"/>
      <c r="L532" s="108">
        <v>9.8522167487684722E-4</v>
      </c>
    </row>
    <row r="533" spans="3:12" ht="15" customHeight="1">
      <c r="C533" s="102" t="s">
        <v>801</v>
      </c>
      <c r="D533" s="55"/>
      <c r="E533" s="55"/>
      <c r="F533" s="55"/>
      <c r="G533" s="55"/>
      <c r="H533" s="55"/>
      <c r="I533" s="55"/>
      <c r="J533" s="106">
        <v>0</v>
      </c>
      <c r="K533" s="107"/>
      <c r="L533" s="108">
        <v>9.8522167487684722E-4</v>
      </c>
    </row>
    <row r="534" spans="3:12" ht="15" customHeight="1">
      <c r="C534" s="102" t="s">
        <v>140</v>
      </c>
      <c r="D534" s="55"/>
      <c r="E534" s="55"/>
      <c r="F534" s="55"/>
      <c r="G534" s="55"/>
      <c r="H534" s="55"/>
      <c r="I534" s="55"/>
      <c r="J534" s="106">
        <v>0</v>
      </c>
      <c r="K534" s="107"/>
      <c r="L534" s="108">
        <v>9.8522167487684722E-4</v>
      </c>
    </row>
    <row r="535" spans="3:12" ht="15" customHeight="1">
      <c r="C535" s="102" t="s">
        <v>395</v>
      </c>
      <c r="D535" s="55"/>
      <c r="E535" s="55"/>
      <c r="F535" s="55"/>
      <c r="G535" s="55"/>
      <c r="H535" s="55"/>
      <c r="I535" s="55"/>
      <c r="J535" s="106">
        <v>0</v>
      </c>
      <c r="K535" s="107"/>
      <c r="L535" s="108">
        <v>9.8522167487684722E-4</v>
      </c>
    </row>
    <row r="536" spans="3:12" ht="15" customHeight="1">
      <c r="C536" s="102" t="s">
        <v>210</v>
      </c>
      <c r="D536" s="55"/>
      <c r="E536" s="55"/>
      <c r="F536" s="55"/>
      <c r="G536" s="55"/>
      <c r="H536" s="55"/>
      <c r="I536" s="55"/>
      <c r="J536" s="106">
        <v>0</v>
      </c>
      <c r="K536" s="107"/>
      <c r="L536" s="108">
        <v>9.8522167487684722E-4</v>
      </c>
    </row>
    <row r="537" spans="3:12" ht="15" customHeight="1">
      <c r="C537" s="102" t="s">
        <v>902</v>
      </c>
      <c r="D537" s="55"/>
      <c r="E537" s="55"/>
      <c r="F537" s="55"/>
      <c r="G537" s="55"/>
      <c r="H537" s="55"/>
      <c r="I537" s="55"/>
      <c r="J537" s="106">
        <v>0</v>
      </c>
      <c r="K537" s="107"/>
      <c r="L537" s="108">
        <v>9.8522167487684722E-4</v>
      </c>
    </row>
    <row r="538" spans="3:12" ht="15" customHeight="1">
      <c r="C538" s="102" t="s">
        <v>1016</v>
      </c>
      <c r="D538" s="55"/>
      <c r="E538" s="55"/>
      <c r="F538" s="55"/>
      <c r="G538" s="55"/>
      <c r="H538" s="55"/>
      <c r="I538" s="55"/>
      <c r="J538" s="106">
        <v>0</v>
      </c>
      <c r="K538" s="107"/>
      <c r="L538" s="108">
        <v>9.8522167487684722E-4</v>
      </c>
    </row>
    <row r="539" spans="3:12" ht="15" customHeight="1">
      <c r="C539" s="102" t="s">
        <v>429</v>
      </c>
      <c r="D539" s="55"/>
      <c r="E539" s="55"/>
      <c r="F539" s="55"/>
      <c r="G539" s="55"/>
      <c r="H539" s="55"/>
      <c r="I539" s="55"/>
      <c r="J539" s="106">
        <v>0</v>
      </c>
      <c r="K539" s="107"/>
      <c r="L539" s="108">
        <v>9.8522167487684722E-4</v>
      </c>
    </row>
    <row r="540" spans="3:12" ht="15" customHeight="1">
      <c r="C540" s="102" t="s">
        <v>1054</v>
      </c>
      <c r="D540" s="55"/>
      <c r="E540" s="55"/>
      <c r="F540" s="55"/>
      <c r="G540" s="55"/>
      <c r="H540" s="55"/>
      <c r="I540" s="55"/>
      <c r="J540" s="106">
        <v>0</v>
      </c>
      <c r="K540" s="107"/>
      <c r="L540" s="108">
        <v>9.8522167487684722E-4</v>
      </c>
    </row>
    <row r="541" spans="3:12" ht="15" customHeight="1">
      <c r="C541" s="102" t="s">
        <v>871</v>
      </c>
      <c r="D541" s="55"/>
      <c r="E541" s="55"/>
      <c r="F541" s="55"/>
      <c r="G541" s="55"/>
      <c r="H541" s="55"/>
      <c r="I541" s="55"/>
      <c r="J541" s="106">
        <v>0</v>
      </c>
      <c r="K541" s="107"/>
      <c r="L541" s="108">
        <v>9.8522167487684722E-4</v>
      </c>
    </row>
    <row r="542" spans="3:12" ht="15" customHeight="1">
      <c r="C542" s="102" t="s">
        <v>586</v>
      </c>
      <c r="D542" s="55"/>
      <c r="E542" s="55"/>
      <c r="F542" s="55"/>
      <c r="G542" s="55"/>
      <c r="H542" s="55"/>
      <c r="I542" s="55"/>
      <c r="J542" s="106">
        <v>0</v>
      </c>
      <c r="K542" s="107"/>
      <c r="L542" s="108">
        <v>9.8522167487684722E-4</v>
      </c>
    </row>
    <row r="543" spans="3:12" ht="15" customHeight="1">
      <c r="C543" s="102" t="s">
        <v>207</v>
      </c>
      <c r="D543" s="55"/>
      <c r="E543" s="55"/>
      <c r="F543" s="55"/>
      <c r="G543" s="55"/>
      <c r="H543" s="55"/>
      <c r="I543" s="55"/>
      <c r="J543" s="106">
        <v>0</v>
      </c>
      <c r="K543" s="107"/>
      <c r="L543" s="108">
        <v>9.8522167487684722E-4</v>
      </c>
    </row>
    <row r="544" spans="3:12" ht="15" customHeight="1">
      <c r="C544" s="102" t="s">
        <v>1075</v>
      </c>
      <c r="D544" s="55"/>
      <c r="E544" s="55"/>
      <c r="F544" s="55"/>
      <c r="G544" s="55"/>
      <c r="H544" s="55"/>
      <c r="I544" s="55"/>
      <c r="J544" s="106">
        <v>0</v>
      </c>
      <c r="K544" s="107"/>
      <c r="L544" s="108">
        <v>9.8522167487684722E-4</v>
      </c>
    </row>
    <row r="545" spans="3:12" ht="15" customHeight="1">
      <c r="C545" s="102" t="s">
        <v>358</v>
      </c>
      <c r="D545" s="55"/>
      <c r="E545" s="55"/>
      <c r="F545" s="55"/>
      <c r="G545" s="55"/>
      <c r="H545" s="55"/>
      <c r="I545" s="55"/>
      <c r="J545" s="106">
        <v>0</v>
      </c>
      <c r="K545" s="107"/>
      <c r="L545" s="108">
        <v>9.8522167487684722E-4</v>
      </c>
    </row>
    <row r="546" spans="3:12" ht="15" customHeight="1">
      <c r="C546" s="102" t="s">
        <v>405</v>
      </c>
      <c r="D546" s="55"/>
      <c r="E546" s="55"/>
      <c r="F546" s="55"/>
      <c r="G546" s="55"/>
      <c r="H546" s="55"/>
      <c r="I546" s="55"/>
      <c r="J546" s="106">
        <v>0</v>
      </c>
      <c r="K546" s="107"/>
      <c r="L546" s="108">
        <v>9.8522167487684722E-4</v>
      </c>
    </row>
    <row r="547" spans="3:12" ht="15" customHeight="1">
      <c r="C547" s="102" t="s">
        <v>457</v>
      </c>
      <c r="D547" s="55"/>
      <c r="E547" s="55"/>
      <c r="F547" s="55"/>
      <c r="G547" s="55"/>
      <c r="H547" s="55"/>
      <c r="I547" s="55"/>
      <c r="J547" s="106">
        <v>0</v>
      </c>
      <c r="K547" s="107"/>
      <c r="L547" s="108">
        <v>9.8522167487684722E-4</v>
      </c>
    </row>
    <row r="548" spans="3:12" ht="15" customHeight="1">
      <c r="C548" s="102" t="s">
        <v>667</v>
      </c>
      <c r="D548" s="55"/>
      <c r="E548" s="55"/>
      <c r="F548" s="55"/>
      <c r="G548" s="55"/>
      <c r="H548" s="55"/>
      <c r="I548" s="55"/>
      <c r="J548" s="106">
        <v>0</v>
      </c>
      <c r="K548" s="107"/>
      <c r="L548" s="108">
        <v>9.8522167487684722E-4</v>
      </c>
    </row>
    <row r="549" spans="3:12" ht="15" customHeight="1">
      <c r="C549" s="102" t="s">
        <v>295</v>
      </c>
      <c r="D549" s="55"/>
      <c r="E549" s="55"/>
      <c r="F549" s="55"/>
      <c r="G549" s="55"/>
      <c r="H549" s="55"/>
      <c r="I549" s="55"/>
      <c r="J549" s="106">
        <v>0</v>
      </c>
      <c r="K549" s="107"/>
      <c r="L549" s="108">
        <v>9.8522167487684722E-4</v>
      </c>
    </row>
    <row r="550" spans="3:12" ht="15" customHeight="1">
      <c r="C550" s="102" t="s">
        <v>806</v>
      </c>
      <c r="D550" s="55"/>
      <c r="E550" s="55"/>
      <c r="F550" s="55"/>
      <c r="G550" s="55"/>
      <c r="H550" s="55"/>
      <c r="I550" s="55"/>
      <c r="J550" s="106">
        <v>0</v>
      </c>
      <c r="K550" s="107"/>
      <c r="L550" s="108">
        <v>9.8522167487684722E-4</v>
      </c>
    </row>
    <row r="551" spans="3:12" ht="15" customHeight="1">
      <c r="C551" s="102" t="s">
        <v>1031</v>
      </c>
      <c r="D551" s="55"/>
      <c r="E551" s="55"/>
      <c r="F551" s="55"/>
      <c r="G551" s="55"/>
      <c r="H551" s="55"/>
      <c r="I551" s="55"/>
      <c r="J551" s="106">
        <v>0</v>
      </c>
      <c r="K551" s="107"/>
      <c r="L551" s="108">
        <v>9.8522167487684722E-4</v>
      </c>
    </row>
    <row r="552" spans="3:12" ht="15" customHeight="1">
      <c r="C552" s="102" t="s">
        <v>950</v>
      </c>
      <c r="D552" s="55"/>
      <c r="E552" s="55"/>
      <c r="F552" s="55"/>
      <c r="G552" s="55"/>
      <c r="H552" s="55"/>
      <c r="I552" s="55"/>
      <c r="J552" s="106">
        <v>0</v>
      </c>
      <c r="K552" s="107"/>
      <c r="L552" s="108">
        <v>9.8522167487684722E-4</v>
      </c>
    </row>
    <row r="553" spans="3:12" ht="15" customHeight="1">
      <c r="C553" s="102" t="s">
        <v>1027</v>
      </c>
      <c r="D553" s="55"/>
      <c r="E553" s="55"/>
      <c r="F553" s="55"/>
      <c r="G553" s="55"/>
      <c r="H553" s="55"/>
      <c r="I553" s="55"/>
      <c r="J553" s="106">
        <v>0</v>
      </c>
      <c r="K553" s="107"/>
      <c r="L553" s="108">
        <v>9.8522167487684722E-4</v>
      </c>
    </row>
    <row r="554" spans="3:12" ht="15" customHeight="1">
      <c r="C554" s="102" t="s">
        <v>139</v>
      </c>
      <c r="D554" s="55"/>
      <c r="E554" s="55"/>
      <c r="F554" s="55"/>
      <c r="G554" s="55"/>
      <c r="H554" s="55"/>
      <c r="I554" s="55"/>
      <c r="J554" s="106">
        <v>0</v>
      </c>
      <c r="K554" s="107"/>
      <c r="L554" s="108">
        <v>9.8522167487684722E-4</v>
      </c>
    </row>
    <row r="555" spans="3:12" ht="15" customHeight="1">
      <c r="C555" s="102" t="s">
        <v>963</v>
      </c>
      <c r="D555" s="55"/>
      <c r="E555" s="55"/>
      <c r="F555" s="55"/>
      <c r="G555" s="55"/>
      <c r="H555" s="55"/>
      <c r="I555" s="55"/>
      <c r="J555" s="106">
        <v>0</v>
      </c>
      <c r="K555" s="107"/>
      <c r="L555" s="108">
        <v>9.8522167487684722E-4</v>
      </c>
    </row>
    <row r="556" spans="3:12" ht="15" customHeight="1">
      <c r="C556" s="102" t="s">
        <v>700</v>
      </c>
      <c r="D556" s="55"/>
      <c r="E556" s="55"/>
      <c r="F556" s="55"/>
      <c r="G556" s="55"/>
      <c r="H556" s="55"/>
      <c r="I556" s="55"/>
      <c r="J556" s="106">
        <v>0</v>
      </c>
      <c r="K556" s="107"/>
      <c r="L556" s="108">
        <v>9.8522167487684722E-4</v>
      </c>
    </row>
    <row r="557" spans="3:12" ht="15" customHeight="1">
      <c r="C557" s="102" t="s">
        <v>375</v>
      </c>
      <c r="D557" s="55"/>
      <c r="E557" s="55"/>
      <c r="F557" s="55"/>
      <c r="G557" s="55"/>
      <c r="H557" s="55"/>
      <c r="I557" s="55"/>
      <c r="J557" s="106">
        <v>0</v>
      </c>
      <c r="K557" s="107"/>
      <c r="L557" s="108">
        <v>9.8522167487684722E-4</v>
      </c>
    </row>
    <row r="558" spans="3:12" ht="15" customHeight="1">
      <c r="C558" s="102" t="s">
        <v>369</v>
      </c>
      <c r="D558" s="55"/>
      <c r="E558" s="55"/>
      <c r="F558" s="55"/>
      <c r="G558" s="55"/>
      <c r="H558" s="55"/>
      <c r="I558" s="55"/>
      <c r="J558" s="106">
        <v>0</v>
      </c>
      <c r="K558" s="107"/>
      <c r="L558" s="108">
        <v>9.8522167487684722E-4</v>
      </c>
    </row>
    <row r="559" spans="3:12" ht="15" customHeight="1">
      <c r="C559" s="102" t="s">
        <v>355</v>
      </c>
      <c r="D559" s="55"/>
      <c r="E559" s="55"/>
      <c r="F559" s="55"/>
      <c r="G559" s="55"/>
      <c r="H559" s="55"/>
      <c r="I559" s="55"/>
      <c r="J559" s="106">
        <v>0</v>
      </c>
      <c r="K559" s="107"/>
      <c r="L559" s="108">
        <v>9.8522167487684722E-4</v>
      </c>
    </row>
    <row r="560" spans="3:12" ht="15" customHeight="1">
      <c r="C560" s="102" t="s">
        <v>151</v>
      </c>
      <c r="D560" s="55"/>
      <c r="E560" s="55"/>
      <c r="F560" s="55"/>
      <c r="G560" s="55"/>
      <c r="H560" s="55"/>
      <c r="I560" s="55"/>
      <c r="J560" s="106">
        <v>0</v>
      </c>
      <c r="K560" s="107"/>
      <c r="L560" s="108">
        <v>9.8522167487684722E-4</v>
      </c>
    </row>
    <row r="561" spans="3:12" ht="15" customHeight="1">
      <c r="C561" s="102" t="s">
        <v>780</v>
      </c>
      <c r="D561" s="55"/>
      <c r="E561" s="55"/>
      <c r="F561" s="55"/>
      <c r="G561" s="55"/>
      <c r="H561" s="55"/>
      <c r="I561" s="55"/>
      <c r="J561" s="106">
        <v>0</v>
      </c>
      <c r="K561" s="107"/>
      <c r="L561" s="108">
        <v>9.8522167487684722E-4</v>
      </c>
    </row>
    <row r="562" spans="3:12" ht="15" customHeight="1">
      <c r="C562" s="102" t="s">
        <v>777</v>
      </c>
      <c r="D562" s="55"/>
      <c r="E562" s="55"/>
      <c r="F562" s="55"/>
      <c r="G562" s="55"/>
      <c r="H562" s="55"/>
      <c r="I562" s="55"/>
      <c r="J562" s="106">
        <v>0</v>
      </c>
      <c r="K562" s="107"/>
      <c r="L562" s="108">
        <v>9.8522167487684722E-4</v>
      </c>
    </row>
    <row r="563" spans="3:12" ht="15" customHeight="1">
      <c r="C563" s="102" t="s">
        <v>666</v>
      </c>
      <c r="D563" s="55"/>
      <c r="E563" s="55"/>
      <c r="F563" s="55"/>
      <c r="G563" s="55"/>
      <c r="H563" s="55"/>
      <c r="I563" s="55"/>
      <c r="J563" s="106">
        <v>0</v>
      </c>
      <c r="K563" s="107"/>
      <c r="L563" s="108">
        <v>9.8522167487684722E-4</v>
      </c>
    </row>
    <row r="564" spans="3:12" ht="15" customHeight="1">
      <c r="C564" s="102" t="s">
        <v>322</v>
      </c>
      <c r="D564" s="55"/>
      <c r="E564" s="55"/>
      <c r="F564" s="55"/>
      <c r="G564" s="55"/>
      <c r="H564" s="55"/>
      <c r="I564" s="55"/>
      <c r="J564" s="106">
        <v>0</v>
      </c>
      <c r="K564" s="107"/>
      <c r="L564" s="108">
        <v>9.8522167487684722E-4</v>
      </c>
    </row>
    <row r="565" spans="3:12" ht="15" customHeight="1">
      <c r="C565" s="102" t="s">
        <v>370</v>
      </c>
      <c r="D565" s="55"/>
      <c r="E565" s="55"/>
      <c r="F565" s="55"/>
      <c r="G565" s="55"/>
      <c r="H565" s="55"/>
      <c r="I565" s="55"/>
      <c r="J565" s="106">
        <v>0</v>
      </c>
      <c r="K565" s="107"/>
      <c r="L565" s="108">
        <v>9.8522167487684722E-4</v>
      </c>
    </row>
    <row r="566" spans="3:12" ht="15" customHeight="1">
      <c r="C566" s="102" t="s">
        <v>952</v>
      </c>
      <c r="D566" s="55"/>
      <c r="E566" s="55"/>
      <c r="F566" s="55"/>
      <c r="G566" s="55"/>
      <c r="H566" s="55"/>
      <c r="I566" s="55"/>
      <c r="J566" s="106">
        <v>0</v>
      </c>
      <c r="K566" s="107"/>
      <c r="L566" s="108">
        <v>9.8522167487684722E-4</v>
      </c>
    </row>
    <row r="567" spans="3:12" ht="15" customHeight="1">
      <c r="C567" s="102" t="s">
        <v>228</v>
      </c>
      <c r="D567" s="55"/>
      <c r="E567" s="55"/>
      <c r="F567" s="55"/>
      <c r="G567" s="55"/>
      <c r="H567" s="55"/>
      <c r="I567" s="55"/>
      <c r="J567" s="106">
        <v>0</v>
      </c>
      <c r="K567" s="107"/>
      <c r="L567" s="108">
        <v>9.8522167487684722E-4</v>
      </c>
    </row>
    <row r="568" spans="3:12" ht="15" customHeight="1">
      <c r="C568" s="102" t="s">
        <v>205</v>
      </c>
      <c r="D568" s="55"/>
      <c r="E568" s="55"/>
      <c r="F568" s="55"/>
      <c r="G568" s="55"/>
      <c r="H568" s="55"/>
      <c r="I568" s="55"/>
      <c r="J568" s="106">
        <v>0</v>
      </c>
      <c r="K568" s="107"/>
      <c r="L568" s="108">
        <v>9.8522167487684722E-4</v>
      </c>
    </row>
    <row r="569" spans="3:12" ht="15" customHeight="1">
      <c r="C569" s="102" t="s">
        <v>127</v>
      </c>
      <c r="D569" s="55"/>
      <c r="E569" s="55"/>
      <c r="F569" s="55"/>
      <c r="G569" s="55"/>
      <c r="H569" s="55"/>
      <c r="I569" s="55"/>
      <c r="J569" s="106">
        <v>0</v>
      </c>
      <c r="K569" s="107"/>
      <c r="L569" s="108">
        <v>9.8522167487684722E-4</v>
      </c>
    </row>
    <row r="570" spans="3:12" ht="15" customHeight="1">
      <c r="C570" s="102" t="s">
        <v>758</v>
      </c>
      <c r="D570" s="55"/>
      <c r="E570" s="55"/>
      <c r="F570" s="55"/>
      <c r="G570" s="55"/>
      <c r="H570" s="55"/>
      <c r="I570" s="55"/>
      <c r="J570" s="106">
        <v>0</v>
      </c>
      <c r="K570" s="107"/>
      <c r="L570" s="108">
        <v>9.8522167487684722E-4</v>
      </c>
    </row>
    <row r="571" spans="3:12" ht="15" customHeight="1">
      <c r="C571" s="102" t="s">
        <v>720</v>
      </c>
      <c r="D571" s="55"/>
      <c r="E571" s="55"/>
      <c r="F571" s="55"/>
      <c r="G571" s="55"/>
      <c r="H571" s="55"/>
      <c r="I571" s="55"/>
      <c r="J571" s="106">
        <v>0</v>
      </c>
      <c r="K571" s="107"/>
      <c r="L571" s="108">
        <v>9.8522167487684722E-4</v>
      </c>
    </row>
    <row r="572" spans="3:12" ht="15" customHeight="1">
      <c r="C572" s="102" t="s">
        <v>1119</v>
      </c>
      <c r="D572" s="55"/>
      <c r="E572" s="55"/>
      <c r="F572" s="55"/>
      <c r="G572" s="55"/>
      <c r="H572" s="55"/>
      <c r="I572" s="55"/>
      <c r="J572" s="106">
        <v>0</v>
      </c>
      <c r="K572" s="107"/>
      <c r="L572" s="108">
        <v>9.8522167487684722E-4</v>
      </c>
    </row>
    <row r="573" spans="3:12" ht="15" customHeight="1">
      <c r="C573" s="102" t="s">
        <v>688</v>
      </c>
      <c r="D573" s="55"/>
      <c r="E573" s="55"/>
      <c r="F573" s="55"/>
      <c r="G573" s="55"/>
      <c r="H573" s="55"/>
      <c r="I573" s="55"/>
      <c r="J573" s="106">
        <v>0</v>
      </c>
      <c r="K573" s="107"/>
      <c r="L573" s="108">
        <v>9.8522167487684722E-4</v>
      </c>
    </row>
    <row r="574" spans="3:12" ht="15" customHeight="1">
      <c r="C574" s="102" t="s">
        <v>1124</v>
      </c>
      <c r="D574" s="55"/>
      <c r="E574" s="55"/>
      <c r="F574" s="55"/>
      <c r="G574" s="55"/>
      <c r="H574" s="55"/>
      <c r="I574" s="55"/>
      <c r="J574" s="106">
        <v>0</v>
      </c>
      <c r="K574" s="107"/>
      <c r="L574" s="108">
        <v>9.8522167487684722E-4</v>
      </c>
    </row>
    <row r="575" spans="3:12" ht="15" customHeight="1">
      <c r="C575" s="102" t="s">
        <v>399</v>
      </c>
      <c r="D575" s="55"/>
      <c r="E575" s="55"/>
      <c r="F575" s="55"/>
      <c r="G575" s="55"/>
      <c r="H575" s="55"/>
      <c r="I575" s="55"/>
      <c r="J575" s="106">
        <v>0</v>
      </c>
      <c r="K575" s="107"/>
      <c r="L575" s="108">
        <v>9.8522167487684722E-4</v>
      </c>
    </row>
    <row r="576" spans="3:12" ht="15" customHeight="1">
      <c r="C576" s="102" t="s">
        <v>300</v>
      </c>
      <c r="D576" s="55"/>
      <c r="E576" s="55"/>
      <c r="F576" s="55"/>
      <c r="G576" s="55"/>
      <c r="H576" s="55"/>
      <c r="I576" s="55"/>
      <c r="J576" s="106">
        <v>0</v>
      </c>
      <c r="K576" s="107"/>
      <c r="L576" s="108">
        <v>9.8522167487684722E-4</v>
      </c>
    </row>
    <row r="577" spans="3:12" ht="15" customHeight="1">
      <c r="C577" s="102" t="s">
        <v>498</v>
      </c>
      <c r="D577" s="55"/>
      <c r="E577" s="55"/>
      <c r="F577" s="55"/>
      <c r="G577" s="55"/>
      <c r="H577" s="55"/>
      <c r="I577" s="55"/>
      <c r="J577" s="106">
        <v>0</v>
      </c>
      <c r="K577" s="107"/>
      <c r="L577" s="108">
        <v>9.8522167487684722E-4</v>
      </c>
    </row>
    <row r="578" spans="3:12" ht="15" customHeight="1">
      <c r="C578" s="102" t="s">
        <v>1052</v>
      </c>
      <c r="D578" s="55"/>
      <c r="E578" s="55"/>
      <c r="F578" s="55"/>
      <c r="G578" s="55"/>
      <c r="H578" s="55"/>
      <c r="I578" s="55"/>
      <c r="J578" s="106">
        <v>0</v>
      </c>
      <c r="K578" s="107"/>
      <c r="L578" s="108">
        <v>9.8522167487684722E-4</v>
      </c>
    </row>
    <row r="579" spans="3:12" ht="15" customHeight="1">
      <c r="C579" s="102" t="s">
        <v>1039</v>
      </c>
      <c r="D579" s="55"/>
      <c r="E579" s="55"/>
      <c r="F579" s="55"/>
      <c r="G579" s="55"/>
      <c r="H579" s="55"/>
      <c r="I579" s="55"/>
      <c r="J579" s="106">
        <v>0</v>
      </c>
      <c r="K579" s="107"/>
      <c r="L579" s="108">
        <v>9.8522167487684722E-4</v>
      </c>
    </row>
    <row r="580" spans="3:12" ht="15" customHeight="1">
      <c r="C580" s="102" t="s">
        <v>681</v>
      </c>
      <c r="D580" s="55"/>
      <c r="E580" s="55"/>
      <c r="F580" s="55"/>
      <c r="G580" s="55"/>
      <c r="H580" s="55"/>
      <c r="I580" s="55"/>
      <c r="J580" s="106">
        <v>0</v>
      </c>
      <c r="K580" s="107"/>
      <c r="L580" s="108">
        <v>9.8522167487684722E-4</v>
      </c>
    </row>
    <row r="581" spans="3:12" ht="15" customHeight="1">
      <c r="C581" s="102" t="s">
        <v>990</v>
      </c>
      <c r="D581" s="55"/>
      <c r="E581" s="55"/>
      <c r="F581" s="55"/>
      <c r="G581" s="55"/>
      <c r="H581" s="55"/>
      <c r="I581" s="55"/>
      <c r="J581" s="106">
        <v>0</v>
      </c>
      <c r="K581" s="107"/>
      <c r="L581" s="108">
        <v>9.8522167487684722E-4</v>
      </c>
    </row>
    <row r="582" spans="3:12" ht="15" customHeight="1">
      <c r="C582" s="102" t="s">
        <v>709</v>
      </c>
      <c r="D582" s="55"/>
      <c r="E582" s="55"/>
      <c r="F582" s="55"/>
      <c r="G582" s="55"/>
      <c r="H582" s="55"/>
      <c r="I582" s="55"/>
      <c r="J582" s="106">
        <v>0</v>
      </c>
      <c r="K582" s="107"/>
      <c r="L582" s="108">
        <v>9.8522167487684722E-4</v>
      </c>
    </row>
    <row r="583" spans="3:12" ht="15" customHeight="1">
      <c r="C583" s="102" t="s">
        <v>659</v>
      </c>
      <c r="D583" s="55"/>
      <c r="E583" s="55"/>
      <c r="F583" s="55"/>
      <c r="G583" s="55"/>
      <c r="H583" s="55"/>
      <c r="I583" s="55"/>
      <c r="J583" s="106">
        <v>0</v>
      </c>
      <c r="K583" s="107"/>
      <c r="L583" s="108">
        <v>9.8522167487684722E-4</v>
      </c>
    </row>
    <row r="584" spans="3:12" ht="15" customHeight="1">
      <c r="C584" s="102" t="s">
        <v>1104</v>
      </c>
      <c r="D584" s="55"/>
      <c r="E584" s="55"/>
      <c r="F584" s="55"/>
      <c r="G584" s="55"/>
      <c r="H584" s="55"/>
      <c r="I584" s="55"/>
      <c r="J584" s="106">
        <v>0</v>
      </c>
      <c r="K584" s="107"/>
      <c r="L584" s="108">
        <v>9.8522167487684722E-4</v>
      </c>
    </row>
    <row r="585" spans="3:12" ht="15" customHeight="1">
      <c r="C585" s="102" t="s">
        <v>250</v>
      </c>
      <c r="D585" s="55"/>
      <c r="E585" s="55"/>
      <c r="F585" s="55"/>
      <c r="G585" s="55"/>
      <c r="H585" s="55"/>
      <c r="I585" s="55"/>
      <c r="J585" s="106">
        <v>0</v>
      </c>
      <c r="K585" s="107"/>
      <c r="L585" s="108">
        <v>9.8522167487684722E-4</v>
      </c>
    </row>
    <row r="586" spans="3:12" ht="15" customHeight="1">
      <c r="C586" s="102" t="s">
        <v>626</v>
      </c>
      <c r="D586" s="55"/>
      <c r="E586" s="55"/>
      <c r="F586" s="55"/>
      <c r="G586" s="55"/>
      <c r="H586" s="55"/>
      <c r="I586" s="55"/>
      <c r="J586" s="106">
        <v>0</v>
      </c>
      <c r="K586" s="107"/>
      <c r="L586" s="108">
        <v>9.8522167487684722E-4</v>
      </c>
    </row>
    <row r="587" spans="3:12" ht="15" customHeight="1">
      <c r="C587" s="102" t="s">
        <v>768</v>
      </c>
      <c r="D587" s="55"/>
      <c r="E587" s="55"/>
      <c r="F587" s="55"/>
      <c r="G587" s="55"/>
      <c r="H587" s="55"/>
      <c r="I587" s="55"/>
      <c r="J587" s="106">
        <v>0</v>
      </c>
      <c r="K587" s="107"/>
      <c r="L587" s="108">
        <v>9.8522167487684722E-4</v>
      </c>
    </row>
    <row r="588" spans="3:12" ht="15" customHeight="1">
      <c r="C588" s="102" t="s">
        <v>802</v>
      </c>
      <c r="D588" s="55"/>
      <c r="E588" s="55"/>
      <c r="F588" s="55"/>
      <c r="G588" s="55"/>
      <c r="H588" s="55"/>
      <c r="I588" s="55"/>
      <c r="J588" s="106">
        <v>0</v>
      </c>
      <c r="K588" s="107"/>
      <c r="L588" s="108">
        <v>9.8522167487684722E-4</v>
      </c>
    </row>
    <row r="589" spans="3:12" ht="15" customHeight="1">
      <c r="C589" s="102" t="s">
        <v>1056</v>
      </c>
      <c r="D589" s="55"/>
      <c r="E589" s="55"/>
      <c r="F589" s="55"/>
      <c r="G589" s="55"/>
      <c r="H589" s="55"/>
      <c r="I589" s="55"/>
      <c r="J589" s="106">
        <v>0</v>
      </c>
      <c r="K589" s="107"/>
      <c r="L589" s="108">
        <v>9.8522167487684722E-4</v>
      </c>
    </row>
    <row r="590" spans="3:12" ht="15" customHeight="1">
      <c r="C590" s="102" t="s">
        <v>862</v>
      </c>
      <c r="D590" s="55"/>
      <c r="E590" s="55"/>
      <c r="F590" s="55"/>
      <c r="G590" s="55"/>
      <c r="H590" s="55"/>
      <c r="I590" s="55"/>
      <c r="J590" s="106">
        <v>0</v>
      </c>
      <c r="K590" s="107"/>
      <c r="L590" s="108">
        <v>9.8522167487684722E-4</v>
      </c>
    </row>
    <row r="591" spans="3:12" ht="15" customHeight="1">
      <c r="C591" s="102" t="s">
        <v>562</v>
      </c>
      <c r="D591" s="55"/>
      <c r="E591" s="55"/>
      <c r="F591" s="55"/>
      <c r="G591" s="55"/>
      <c r="H591" s="55"/>
      <c r="I591" s="55"/>
      <c r="J591" s="106">
        <v>0</v>
      </c>
      <c r="K591" s="107"/>
      <c r="L591" s="108">
        <v>9.8522167487684722E-4</v>
      </c>
    </row>
    <row r="592" spans="3:12" ht="15" customHeight="1">
      <c r="C592" s="102" t="s">
        <v>171</v>
      </c>
      <c r="D592" s="55"/>
      <c r="E592" s="55"/>
      <c r="F592" s="55"/>
      <c r="G592" s="55"/>
      <c r="H592" s="55"/>
      <c r="I592" s="55"/>
      <c r="J592" s="106">
        <v>0</v>
      </c>
      <c r="K592" s="107"/>
      <c r="L592" s="108">
        <v>9.8522167487684722E-4</v>
      </c>
    </row>
    <row r="593" spans="3:12" ht="15" customHeight="1">
      <c r="C593" s="102" t="s">
        <v>422</v>
      </c>
      <c r="D593" s="55"/>
      <c r="E593" s="55"/>
      <c r="F593" s="55"/>
      <c r="G593" s="55"/>
      <c r="H593" s="55"/>
      <c r="I593" s="55"/>
      <c r="J593" s="106">
        <v>0</v>
      </c>
      <c r="K593" s="107"/>
      <c r="L593" s="108">
        <v>9.8522167487684722E-4</v>
      </c>
    </row>
    <row r="594" spans="3:12" ht="15" customHeight="1">
      <c r="C594" s="102" t="s">
        <v>124</v>
      </c>
      <c r="D594" s="55"/>
      <c r="E594" s="55"/>
      <c r="F594" s="55"/>
      <c r="G594" s="55"/>
      <c r="H594" s="55"/>
      <c r="I594" s="55"/>
      <c r="J594" s="106">
        <v>0</v>
      </c>
      <c r="K594" s="107"/>
      <c r="L594" s="108">
        <v>9.8522167487684722E-4</v>
      </c>
    </row>
    <row r="595" spans="3:12" ht="15" customHeight="1">
      <c r="C595" s="102" t="s">
        <v>220</v>
      </c>
      <c r="D595" s="55"/>
      <c r="E595" s="55"/>
      <c r="F595" s="55"/>
      <c r="G595" s="55"/>
      <c r="H595" s="55"/>
      <c r="I595" s="55"/>
      <c r="J595" s="106">
        <v>0</v>
      </c>
      <c r="K595" s="107"/>
      <c r="L595" s="108">
        <v>9.8522167487684722E-4</v>
      </c>
    </row>
    <row r="596" spans="3:12" ht="15" customHeight="1">
      <c r="C596" s="102" t="s">
        <v>561</v>
      </c>
      <c r="D596" s="55"/>
      <c r="E596" s="55"/>
      <c r="F596" s="55"/>
      <c r="G596" s="55"/>
      <c r="H596" s="55"/>
      <c r="I596" s="55"/>
      <c r="J596" s="106">
        <v>0</v>
      </c>
      <c r="K596" s="107"/>
      <c r="L596" s="108">
        <v>9.8522167487684722E-4</v>
      </c>
    </row>
    <row r="597" spans="3:12" ht="15" customHeight="1">
      <c r="C597" s="102" t="s">
        <v>775</v>
      </c>
      <c r="D597" s="55"/>
      <c r="E597" s="55"/>
      <c r="F597" s="55"/>
      <c r="G597" s="55"/>
      <c r="H597" s="55"/>
      <c r="I597" s="55"/>
      <c r="J597" s="106">
        <v>0</v>
      </c>
      <c r="K597" s="107"/>
      <c r="L597" s="108">
        <v>9.8522167487684722E-4</v>
      </c>
    </row>
    <row r="598" spans="3:12" ht="15" customHeight="1">
      <c r="C598" s="102" t="s">
        <v>194</v>
      </c>
      <c r="D598" s="55"/>
      <c r="E598" s="55"/>
      <c r="F598" s="55"/>
      <c r="G598" s="55"/>
      <c r="H598" s="55"/>
      <c r="I598" s="55"/>
      <c r="J598" s="106">
        <v>0</v>
      </c>
      <c r="K598" s="107"/>
      <c r="L598" s="108">
        <v>9.8522167487684722E-4</v>
      </c>
    </row>
    <row r="599" spans="3:12" ht="15" customHeight="1">
      <c r="C599" s="102" t="s">
        <v>390</v>
      </c>
      <c r="D599" s="55"/>
      <c r="E599" s="55"/>
      <c r="F599" s="55"/>
      <c r="G599" s="55"/>
      <c r="H599" s="55"/>
      <c r="I599" s="55"/>
      <c r="J599" s="106">
        <v>0</v>
      </c>
      <c r="K599" s="107"/>
      <c r="L599" s="108">
        <v>9.8522167487684722E-4</v>
      </c>
    </row>
    <row r="600" spans="3:12" ht="15" customHeight="1">
      <c r="C600" s="102" t="s">
        <v>286</v>
      </c>
      <c r="D600" s="55"/>
      <c r="E600" s="55"/>
      <c r="F600" s="55"/>
      <c r="G600" s="55"/>
      <c r="H600" s="55"/>
      <c r="I600" s="55"/>
      <c r="J600" s="106">
        <v>0</v>
      </c>
      <c r="K600" s="107"/>
      <c r="L600" s="108">
        <v>9.8522167487684722E-4</v>
      </c>
    </row>
    <row r="601" spans="3:12" ht="15" customHeight="1">
      <c r="C601" s="102" t="s">
        <v>981</v>
      </c>
      <c r="D601" s="55"/>
      <c r="E601" s="55"/>
      <c r="F601" s="55"/>
      <c r="G601" s="55"/>
      <c r="H601" s="55"/>
      <c r="I601" s="55"/>
      <c r="J601" s="106">
        <v>0</v>
      </c>
      <c r="K601" s="107"/>
      <c r="L601" s="108">
        <v>9.8522167487684722E-4</v>
      </c>
    </row>
    <row r="602" spans="3:12" ht="15" customHeight="1">
      <c r="C602" s="102" t="s">
        <v>539</v>
      </c>
      <c r="D602" s="55"/>
      <c r="E602" s="55"/>
      <c r="F602" s="55"/>
      <c r="G602" s="55"/>
      <c r="H602" s="55"/>
      <c r="I602" s="55"/>
      <c r="J602" s="106">
        <v>0</v>
      </c>
      <c r="K602" s="107"/>
      <c r="L602" s="108">
        <v>9.8522167487684722E-4</v>
      </c>
    </row>
    <row r="603" spans="3:12" ht="15" customHeight="1">
      <c r="C603" s="102" t="s">
        <v>181</v>
      </c>
      <c r="D603" s="55"/>
      <c r="E603" s="55"/>
      <c r="F603" s="55"/>
      <c r="G603" s="55"/>
      <c r="H603" s="55"/>
      <c r="I603" s="55"/>
      <c r="J603" s="106">
        <v>0</v>
      </c>
      <c r="K603" s="107"/>
      <c r="L603" s="108">
        <v>9.8522167487684722E-4</v>
      </c>
    </row>
    <row r="604" spans="3:12" ht="15" customHeight="1">
      <c r="C604" s="102" t="s">
        <v>348</v>
      </c>
      <c r="D604" s="55"/>
      <c r="E604" s="55"/>
      <c r="F604" s="55"/>
      <c r="G604" s="55"/>
      <c r="H604" s="55"/>
      <c r="I604" s="55"/>
      <c r="J604" s="106">
        <v>0</v>
      </c>
      <c r="K604" s="107"/>
      <c r="L604" s="108">
        <v>9.8522167487684722E-4</v>
      </c>
    </row>
    <row r="605" spans="3:12" ht="15" customHeight="1">
      <c r="C605" s="102" t="s">
        <v>211</v>
      </c>
      <c r="D605" s="55"/>
      <c r="E605" s="55"/>
      <c r="F605" s="55"/>
      <c r="G605" s="55"/>
      <c r="H605" s="55"/>
      <c r="I605" s="55"/>
      <c r="J605" s="106">
        <v>0</v>
      </c>
      <c r="K605" s="107"/>
      <c r="L605" s="108">
        <v>9.8522167487684722E-4</v>
      </c>
    </row>
    <row r="606" spans="3:12" ht="15" customHeight="1">
      <c r="C606" s="102" t="s">
        <v>744</v>
      </c>
      <c r="D606" s="55"/>
      <c r="E606" s="55"/>
      <c r="F606" s="55"/>
      <c r="G606" s="55"/>
      <c r="H606" s="55"/>
      <c r="I606" s="55"/>
      <c r="J606" s="106">
        <v>0</v>
      </c>
      <c r="K606" s="107"/>
      <c r="L606" s="108">
        <v>9.8522167487684722E-4</v>
      </c>
    </row>
    <row r="607" spans="3:12" ht="15" customHeight="1">
      <c r="C607" s="102" t="s">
        <v>580</v>
      </c>
      <c r="D607" s="55"/>
      <c r="E607" s="55"/>
      <c r="F607" s="55"/>
      <c r="G607" s="55"/>
      <c r="H607" s="55"/>
      <c r="I607" s="55"/>
      <c r="J607" s="106">
        <v>0</v>
      </c>
      <c r="K607" s="107"/>
      <c r="L607" s="108">
        <v>9.8522167487684722E-4</v>
      </c>
    </row>
    <row r="608" spans="3:12" ht="15" customHeight="1">
      <c r="C608" s="102" t="s">
        <v>225</v>
      </c>
      <c r="D608" s="55"/>
      <c r="E608" s="55"/>
      <c r="F608" s="55"/>
      <c r="G608" s="55"/>
      <c r="H608" s="55"/>
      <c r="I608" s="55"/>
      <c r="J608" s="106">
        <v>0</v>
      </c>
      <c r="K608" s="107"/>
      <c r="L608" s="108">
        <v>9.8522167487684722E-4</v>
      </c>
    </row>
    <row r="609" spans="3:12" ht="15" customHeight="1">
      <c r="C609" s="102" t="s">
        <v>174</v>
      </c>
      <c r="D609" s="55"/>
      <c r="E609" s="55"/>
      <c r="F609" s="55"/>
      <c r="G609" s="55"/>
      <c r="H609" s="55"/>
      <c r="I609" s="55"/>
      <c r="J609" s="106">
        <v>0</v>
      </c>
      <c r="K609" s="107"/>
      <c r="L609" s="108">
        <v>9.8522167487684722E-4</v>
      </c>
    </row>
    <row r="610" spans="3:12" ht="15" customHeight="1">
      <c r="C610" s="102" t="s">
        <v>1074</v>
      </c>
      <c r="D610" s="55"/>
      <c r="E610" s="55"/>
      <c r="F610" s="55"/>
      <c r="G610" s="55"/>
      <c r="H610" s="55"/>
      <c r="I610" s="55"/>
      <c r="J610" s="106">
        <v>0</v>
      </c>
      <c r="K610" s="107"/>
      <c r="L610" s="108">
        <v>9.8522167487684722E-4</v>
      </c>
    </row>
    <row r="611" spans="3:12" ht="15" customHeight="1">
      <c r="C611" s="102" t="s">
        <v>719</v>
      </c>
      <c r="D611" s="55"/>
      <c r="E611" s="55"/>
      <c r="F611" s="55"/>
      <c r="G611" s="55"/>
      <c r="H611" s="55"/>
      <c r="I611" s="55"/>
      <c r="J611" s="106">
        <v>0</v>
      </c>
      <c r="K611" s="107"/>
      <c r="L611" s="108">
        <v>9.8522167487684722E-4</v>
      </c>
    </row>
    <row r="612" spans="3:12" ht="15" customHeight="1">
      <c r="C612" s="102" t="s">
        <v>463</v>
      </c>
      <c r="D612" s="55"/>
      <c r="E612" s="55"/>
      <c r="F612" s="55"/>
      <c r="G612" s="55"/>
      <c r="H612" s="55"/>
      <c r="I612" s="55"/>
      <c r="J612" s="106">
        <v>0</v>
      </c>
      <c r="K612" s="107"/>
      <c r="L612" s="108">
        <v>9.8522167487684722E-4</v>
      </c>
    </row>
    <row r="613" spans="3:12" ht="15" customHeight="1">
      <c r="C613" s="102" t="s">
        <v>156</v>
      </c>
      <c r="D613" s="55"/>
      <c r="E613" s="55"/>
      <c r="F613" s="55"/>
      <c r="G613" s="55"/>
      <c r="H613" s="55"/>
      <c r="I613" s="55"/>
      <c r="J613" s="106">
        <v>0</v>
      </c>
      <c r="K613" s="107"/>
      <c r="L613" s="108">
        <v>9.8522167487684722E-4</v>
      </c>
    </row>
    <row r="614" spans="3:12" ht="15" customHeight="1">
      <c r="C614" s="102" t="s">
        <v>366</v>
      </c>
      <c r="D614" s="55"/>
      <c r="E614" s="55"/>
      <c r="F614" s="55"/>
      <c r="G614" s="55"/>
      <c r="H614" s="55"/>
      <c r="I614" s="55"/>
      <c r="J614" s="106">
        <v>0</v>
      </c>
      <c r="K614" s="107"/>
      <c r="L614" s="108">
        <v>9.8522167487684722E-4</v>
      </c>
    </row>
    <row r="615" spans="3:12" ht="15" customHeight="1">
      <c r="C615" s="102" t="s">
        <v>480</v>
      </c>
      <c r="D615" s="55"/>
      <c r="E615" s="55"/>
      <c r="F615" s="55"/>
      <c r="G615" s="55"/>
      <c r="H615" s="55"/>
      <c r="I615" s="55"/>
      <c r="J615" s="106">
        <v>0</v>
      </c>
      <c r="K615" s="107"/>
      <c r="L615" s="108">
        <v>9.8522167487684722E-4</v>
      </c>
    </row>
    <row r="616" spans="3:12" ht="15" customHeight="1">
      <c r="C616" s="102" t="s">
        <v>350</v>
      </c>
      <c r="D616" s="55"/>
      <c r="E616" s="55"/>
      <c r="F616" s="55"/>
      <c r="G616" s="55"/>
      <c r="H616" s="55"/>
      <c r="I616" s="55"/>
      <c r="J616" s="106">
        <v>0</v>
      </c>
      <c r="K616" s="107"/>
      <c r="L616" s="108">
        <v>9.8522167487684722E-4</v>
      </c>
    </row>
    <row r="617" spans="3:12" ht="15" customHeight="1">
      <c r="C617" s="102" t="s">
        <v>637</v>
      </c>
      <c r="D617" s="55"/>
      <c r="E617" s="55"/>
      <c r="F617" s="55"/>
      <c r="G617" s="55"/>
      <c r="H617" s="55"/>
      <c r="I617" s="55"/>
      <c r="J617" s="106">
        <v>0</v>
      </c>
      <c r="K617" s="107"/>
      <c r="L617" s="108">
        <v>9.8522167487684722E-4</v>
      </c>
    </row>
    <row r="618" spans="3:12" ht="15" customHeight="1">
      <c r="C618" s="102" t="s">
        <v>982</v>
      </c>
      <c r="D618" s="55"/>
      <c r="E618" s="55"/>
      <c r="F618" s="55"/>
      <c r="G618" s="55"/>
      <c r="H618" s="55"/>
      <c r="I618" s="55"/>
      <c r="J618" s="106">
        <v>0</v>
      </c>
      <c r="K618" s="107"/>
      <c r="L618" s="108">
        <v>9.8522167487684722E-4</v>
      </c>
    </row>
    <row r="619" spans="3:12" ht="15" customHeight="1">
      <c r="C619" s="102" t="s">
        <v>1082</v>
      </c>
      <c r="D619" s="55"/>
      <c r="E619" s="55"/>
      <c r="F619" s="55"/>
      <c r="G619" s="55"/>
      <c r="H619" s="55"/>
      <c r="I619" s="55"/>
      <c r="J619" s="106">
        <v>0</v>
      </c>
      <c r="K619" s="107"/>
      <c r="L619" s="108">
        <v>9.8522167487684722E-4</v>
      </c>
    </row>
    <row r="620" spans="3:12" ht="15" customHeight="1">
      <c r="C620" s="102" t="s">
        <v>1063</v>
      </c>
      <c r="D620" s="55"/>
      <c r="E620" s="55"/>
      <c r="F620" s="55"/>
      <c r="G620" s="55"/>
      <c r="H620" s="55"/>
      <c r="I620" s="55"/>
      <c r="J620" s="106">
        <v>0</v>
      </c>
      <c r="K620" s="107"/>
      <c r="L620" s="108">
        <v>9.8522167487684722E-4</v>
      </c>
    </row>
    <row r="621" spans="3:12" ht="15" customHeight="1">
      <c r="C621" s="102" t="s">
        <v>692</v>
      </c>
      <c r="D621" s="55"/>
      <c r="E621" s="55"/>
      <c r="F621" s="55"/>
      <c r="G621" s="55"/>
      <c r="H621" s="55"/>
      <c r="I621" s="55"/>
      <c r="J621" s="106">
        <v>0</v>
      </c>
      <c r="K621" s="107"/>
      <c r="L621" s="108">
        <v>9.8522167487684722E-4</v>
      </c>
    </row>
    <row r="622" spans="3:12" ht="15" customHeight="1">
      <c r="C622" s="102" t="s">
        <v>929</v>
      </c>
      <c r="D622" s="55"/>
      <c r="E622" s="55"/>
      <c r="F622" s="55"/>
      <c r="G622" s="55"/>
      <c r="H622" s="55"/>
      <c r="I622" s="55"/>
      <c r="J622" s="106">
        <v>0</v>
      </c>
      <c r="K622" s="107"/>
      <c r="L622" s="108">
        <v>9.8522167487684722E-4</v>
      </c>
    </row>
    <row r="623" spans="3:12" ht="15" customHeight="1">
      <c r="C623" s="102" t="s">
        <v>81</v>
      </c>
      <c r="D623" s="55"/>
      <c r="E623" s="55"/>
      <c r="F623" s="55"/>
      <c r="G623" s="55"/>
      <c r="H623" s="55"/>
      <c r="I623" s="55"/>
      <c r="J623" s="106">
        <v>0</v>
      </c>
      <c r="K623" s="107"/>
      <c r="L623" s="108">
        <v>9.8522167487684722E-4</v>
      </c>
    </row>
    <row r="624" spans="3:12" ht="15" customHeight="1">
      <c r="C624" s="102" t="s">
        <v>489</v>
      </c>
      <c r="D624" s="55"/>
      <c r="E624" s="55"/>
      <c r="F624" s="55"/>
      <c r="G624" s="55"/>
      <c r="H624" s="55"/>
      <c r="I624" s="55"/>
      <c r="J624" s="106">
        <v>0</v>
      </c>
      <c r="K624" s="107"/>
      <c r="L624" s="108">
        <v>9.8522167487684722E-4</v>
      </c>
    </row>
    <row r="625" spans="3:12" ht="15" customHeight="1">
      <c r="C625" s="102" t="s">
        <v>309</v>
      </c>
      <c r="D625" s="55"/>
      <c r="E625" s="55"/>
      <c r="F625" s="55"/>
      <c r="G625" s="55"/>
      <c r="H625" s="55"/>
      <c r="I625" s="55"/>
      <c r="J625" s="106">
        <v>0</v>
      </c>
      <c r="K625" s="107"/>
      <c r="L625" s="108">
        <v>9.8522167487684722E-4</v>
      </c>
    </row>
    <row r="626" spans="3:12" ht="15" customHeight="1">
      <c r="C626" s="102" t="s">
        <v>191</v>
      </c>
      <c r="D626" s="55"/>
      <c r="E626" s="55"/>
      <c r="F626" s="55"/>
      <c r="G626" s="55"/>
      <c r="H626" s="55"/>
      <c r="I626" s="55"/>
      <c r="J626" s="106">
        <v>0</v>
      </c>
      <c r="K626" s="107"/>
      <c r="L626" s="108">
        <v>9.8522167487684722E-4</v>
      </c>
    </row>
    <row r="627" spans="3:12" ht="15" customHeight="1">
      <c r="C627" s="102" t="s">
        <v>959</v>
      </c>
      <c r="D627" s="55"/>
      <c r="E627" s="55"/>
      <c r="F627" s="55"/>
      <c r="G627" s="55"/>
      <c r="H627" s="55"/>
      <c r="I627" s="55"/>
      <c r="J627" s="106">
        <v>0</v>
      </c>
      <c r="K627" s="107"/>
      <c r="L627" s="108">
        <v>9.8522167487684722E-4</v>
      </c>
    </row>
    <row r="628" spans="3:12" ht="15" customHeight="1">
      <c r="C628" s="102" t="s">
        <v>287</v>
      </c>
      <c r="D628" s="55"/>
      <c r="E628" s="55"/>
      <c r="F628" s="55"/>
      <c r="G628" s="55"/>
      <c r="H628" s="55"/>
      <c r="I628" s="55"/>
      <c r="J628" s="106">
        <v>0</v>
      </c>
      <c r="K628" s="107"/>
      <c r="L628" s="108">
        <v>9.8522167487684722E-4</v>
      </c>
    </row>
    <row r="629" spans="3:12" ht="15" customHeight="1">
      <c r="C629" s="102" t="s">
        <v>1112</v>
      </c>
      <c r="D629" s="55"/>
      <c r="E629" s="55"/>
      <c r="F629" s="55"/>
      <c r="G629" s="55"/>
      <c r="H629" s="55"/>
      <c r="I629" s="55"/>
      <c r="J629" s="106">
        <v>0</v>
      </c>
      <c r="K629" s="107"/>
      <c r="L629" s="108">
        <v>9.8522167487684722E-4</v>
      </c>
    </row>
    <row r="630" spans="3:12" ht="15" customHeight="1">
      <c r="C630" s="102" t="s">
        <v>996</v>
      </c>
      <c r="D630" s="55"/>
      <c r="E630" s="55"/>
      <c r="F630" s="55"/>
      <c r="G630" s="55"/>
      <c r="H630" s="55"/>
      <c r="I630" s="55"/>
      <c r="J630" s="106">
        <v>0</v>
      </c>
      <c r="K630" s="107"/>
      <c r="L630" s="108">
        <v>9.8522167487684722E-4</v>
      </c>
    </row>
    <row r="631" spans="3:12" ht="15" customHeight="1">
      <c r="C631" s="102" t="s">
        <v>107</v>
      </c>
      <c r="D631" s="55"/>
      <c r="E631" s="55"/>
      <c r="F631" s="55"/>
      <c r="G631" s="55"/>
      <c r="H631" s="55"/>
      <c r="I631" s="55"/>
      <c r="J631" s="106">
        <v>0</v>
      </c>
      <c r="K631" s="107"/>
      <c r="L631" s="108">
        <v>9.8522167487684722E-4</v>
      </c>
    </row>
    <row r="632" spans="3:12" ht="15" customHeight="1">
      <c r="C632" s="102" t="s">
        <v>114</v>
      </c>
      <c r="D632" s="55"/>
      <c r="E632" s="55"/>
      <c r="F632" s="55"/>
      <c r="G632" s="55"/>
      <c r="H632" s="55"/>
      <c r="I632" s="55"/>
      <c r="J632" s="106">
        <v>0</v>
      </c>
      <c r="K632" s="107"/>
      <c r="L632" s="108">
        <v>9.8522167487684722E-4</v>
      </c>
    </row>
    <row r="633" spans="3:12" ht="15" customHeight="1">
      <c r="C633" s="102" t="s">
        <v>589</v>
      </c>
      <c r="D633" s="55"/>
      <c r="E633" s="55"/>
      <c r="F633" s="55"/>
      <c r="G633" s="55"/>
      <c r="H633" s="55"/>
      <c r="I633" s="55"/>
      <c r="J633" s="106">
        <v>0</v>
      </c>
      <c r="K633" s="107"/>
      <c r="L633" s="108">
        <v>9.8522167487684722E-4</v>
      </c>
    </row>
    <row r="634" spans="3:12" ht="15" customHeight="1">
      <c r="C634" s="102" t="s">
        <v>323</v>
      </c>
      <c r="D634" s="55"/>
      <c r="E634" s="55"/>
      <c r="F634" s="55"/>
      <c r="G634" s="55"/>
      <c r="H634" s="55"/>
      <c r="I634" s="55"/>
      <c r="J634" s="106">
        <v>0</v>
      </c>
      <c r="K634" s="107"/>
      <c r="L634" s="108">
        <v>9.8522167487684722E-4</v>
      </c>
    </row>
    <row r="635" spans="3:12" ht="15" customHeight="1">
      <c r="C635" s="102" t="s">
        <v>722</v>
      </c>
      <c r="D635" s="55"/>
      <c r="E635" s="55"/>
      <c r="F635" s="55"/>
      <c r="G635" s="55"/>
      <c r="H635" s="55"/>
      <c r="I635" s="55"/>
      <c r="J635" s="106">
        <v>0</v>
      </c>
      <c r="K635" s="107"/>
      <c r="L635" s="108">
        <v>9.8522167487684722E-4</v>
      </c>
    </row>
    <row r="636" spans="3:12" ht="15" customHeight="1">
      <c r="C636" s="102" t="s">
        <v>208</v>
      </c>
      <c r="D636" s="55"/>
      <c r="E636" s="55"/>
      <c r="F636" s="55"/>
      <c r="G636" s="55"/>
      <c r="H636" s="55"/>
      <c r="I636" s="55"/>
      <c r="J636" s="106">
        <v>0</v>
      </c>
      <c r="K636" s="107"/>
      <c r="L636" s="108">
        <v>9.8522167487684722E-4</v>
      </c>
    </row>
    <row r="637" spans="3:12" ht="15" customHeight="1">
      <c r="C637" s="102" t="s">
        <v>815</v>
      </c>
      <c r="D637" s="55"/>
      <c r="E637" s="55"/>
      <c r="F637" s="55"/>
      <c r="G637" s="55"/>
      <c r="H637" s="55"/>
      <c r="I637" s="55"/>
      <c r="J637" s="106">
        <v>0</v>
      </c>
      <c r="K637" s="107"/>
      <c r="L637" s="108">
        <v>9.8522167487684722E-4</v>
      </c>
    </row>
    <row r="638" spans="3:12" ht="15" customHeight="1">
      <c r="C638" s="102" t="s">
        <v>596</v>
      </c>
      <c r="D638" s="55"/>
      <c r="E638" s="55"/>
      <c r="F638" s="55"/>
      <c r="G638" s="55"/>
      <c r="H638" s="55"/>
      <c r="I638" s="55"/>
      <c r="J638" s="106">
        <v>0</v>
      </c>
      <c r="K638" s="107"/>
      <c r="L638" s="108">
        <v>9.8522167487684722E-4</v>
      </c>
    </row>
    <row r="639" spans="3:12" ht="15" customHeight="1">
      <c r="C639" s="102" t="s">
        <v>1060</v>
      </c>
      <c r="D639" s="55"/>
      <c r="E639" s="55"/>
      <c r="F639" s="55"/>
      <c r="G639" s="55"/>
      <c r="H639" s="55"/>
      <c r="I639" s="55"/>
      <c r="J639" s="106">
        <v>0</v>
      </c>
      <c r="K639" s="107"/>
      <c r="L639" s="108">
        <v>9.8522167487684722E-4</v>
      </c>
    </row>
    <row r="640" spans="3:12" ht="15" customHeight="1">
      <c r="C640" s="102" t="s">
        <v>987</v>
      </c>
      <c r="D640" s="55"/>
      <c r="E640" s="55"/>
      <c r="F640" s="55"/>
      <c r="G640" s="55"/>
      <c r="H640" s="55"/>
      <c r="I640" s="55"/>
      <c r="J640" s="106">
        <v>0</v>
      </c>
      <c r="K640" s="107"/>
      <c r="L640" s="108">
        <v>9.8522167487684722E-4</v>
      </c>
    </row>
    <row r="641" spans="3:12" ht="15" customHeight="1">
      <c r="C641" s="102" t="s">
        <v>788</v>
      </c>
      <c r="D641" s="55"/>
      <c r="E641" s="55"/>
      <c r="F641" s="55"/>
      <c r="G641" s="55"/>
      <c r="H641" s="55"/>
      <c r="I641" s="55"/>
      <c r="J641" s="106">
        <v>0</v>
      </c>
      <c r="K641" s="107"/>
      <c r="L641" s="108">
        <v>9.8522167487684722E-4</v>
      </c>
    </row>
    <row r="642" spans="3:12" ht="15" customHeight="1">
      <c r="C642" s="102" t="s">
        <v>770</v>
      </c>
      <c r="D642" s="55"/>
      <c r="E642" s="55"/>
      <c r="F642" s="55"/>
      <c r="G642" s="55"/>
      <c r="H642" s="55"/>
      <c r="I642" s="55"/>
      <c r="J642" s="106">
        <v>0</v>
      </c>
      <c r="K642" s="107"/>
      <c r="L642" s="108">
        <v>9.8522167487684722E-4</v>
      </c>
    </row>
    <row r="643" spans="3:12" ht="15" customHeight="1">
      <c r="C643" s="102" t="s">
        <v>935</v>
      </c>
      <c r="D643" s="55"/>
      <c r="E643" s="55"/>
      <c r="F643" s="55"/>
      <c r="G643" s="55"/>
      <c r="H643" s="55"/>
      <c r="I643" s="55"/>
      <c r="J643" s="106">
        <v>0</v>
      </c>
      <c r="K643" s="107"/>
      <c r="L643" s="108">
        <v>9.8522167487684722E-4</v>
      </c>
    </row>
    <row r="644" spans="3:12" ht="15" customHeight="1">
      <c r="C644" s="102" t="s">
        <v>289</v>
      </c>
      <c r="D644" s="55"/>
      <c r="E644" s="55"/>
      <c r="F644" s="55"/>
      <c r="G644" s="55"/>
      <c r="H644" s="55"/>
      <c r="I644" s="55"/>
      <c r="J644" s="106">
        <v>0</v>
      </c>
      <c r="K644" s="107"/>
      <c r="L644" s="108">
        <v>9.8522167487684722E-4</v>
      </c>
    </row>
    <row r="645" spans="3:12" ht="15" customHeight="1">
      <c r="C645" s="102" t="s">
        <v>1011</v>
      </c>
      <c r="D645" s="55"/>
      <c r="E645" s="55"/>
      <c r="F645" s="55"/>
      <c r="G645" s="55"/>
      <c r="H645" s="55"/>
      <c r="I645" s="55"/>
      <c r="J645" s="106">
        <v>0</v>
      </c>
      <c r="K645" s="107"/>
      <c r="L645" s="108">
        <v>9.8522167487684722E-4</v>
      </c>
    </row>
    <row r="646" spans="3:12" ht="15" customHeight="1">
      <c r="C646" s="102" t="s">
        <v>550</v>
      </c>
      <c r="D646" s="55"/>
      <c r="E646" s="55"/>
      <c r="F646" s="55"/>
      <c r="G646" s="55"/>
      <c r="H646" s="55"/>
      <c r="I646" s="55"/>
      <c r="J646" s="106">
        <v>0</v>
      </c>
      <c r="K646" s="107"/>
      <c r="L646" s="108">
        <v>9.8522167487684722E-4</v>
      </c>
    </row>
    <row r="647" spans="3:12" ht="15" customHeight="1">
      <c r="C647" s="102" t="s">
        <v>842</v>
      </c>
      <c r="D647" s="55"/>
      <c r="E647" s="55"/>
      <c r="F647" s="55"/>
      <c r="G647" s="55"/>
      <c r="H647" s="55"/>
      <c r="I647" s="55"/>
      <c r="J647" s="106">
        <v>0</v>
      </c>
      <c r="K647" s="107"/>
      <c r="L647" s="108">
        <v>9.8522167487684722E-4</v>
      </c>
    </row>
    <row r="648" spans="3:12" ht="15" customHeight="1">
      <c r="C648" s="102" t="s">
        <v>656</v>
      </c>
      <c r="D648" s="55"/>
      <c r="E648" s="55"/>
      <c r="F648" s="55"/>
      <c r="G648" s="55"/>
      <c r="H648" s="55"/>
      <c r="I648" s="55"/>
      <c r="J648" s="106">
        <v>0</v>
      </c>
      <c r="K648" s="107"/>
      <c r="L648" s="108">
        <v>9.8522167487684722E-4</v>
      </c>
    </row>
    <row r="649" spans="3:12" ht="15" customHeight="1">
      <c r="C649" s="102" t="s">
        <v>690</v>
      </c>
      <c r="D649" s="55"/>
      <c r="E649" s="55"/>
      <c r="F649" s="55"/>
      <c r="G649" s="55"/>
      <c r="H649" s="55"/>
      <c r="I649" s="55"/>
      <c r="J649" s="106">
        <v>0</v>
      </c>
      <c r="K649" s="107"/>
      <c r="L649" s="108">
        <v>9.8522167487684722E-4</v>
      </c>
    </row>
    <row r="650" spans="3:12" ht="15" customHeight="1">
      <c r="C650" s="102" t="s">
        <v>1018</v>
      </c>
      <c r="D650" s="55"/>
      <c r="E650" s="55"/>
      <c r="F650" s="55"/>
      <c r="G650" s="55"/>
      <c r="H650" s="55"/>
      <c r="I650" s="55"/>
      <c r="J650" s="106">
        <v>0</v>
      </c>
      <c r="K650" s="107"/>
      <c r="L650" s="108">
        <v>9.8522167487684722E-4</v>
      </c>
    </row>
    <row r="651" spans="3:12" ht="15" customHeight="1">
      <c r="C651" s="102" t="s">
        <v>540</v>
      </c>
      <c r="D651" s="55"/>
      <c r="E651" s="55"/>
      <c r="F651" s="55"/>
      <c r="G651" s="55"/>
      <c r="H651" s="55"/>
      <c r="I651" s="55"/>
      <c r="J651" s="106">
        <v>0</v>
      </c>
      <c r="K651" s="107"/>
      <c r="L651" s="108">
        <v>9.8522167487684722E-4</v>
      </c>
    </row>
    <row r="652" spans="3:12" ht="15" customHeight="1">
      <c r="C652" s="102" t="s">
        <v>863</v>
      </c>
      <c r="D652" s="55"/>
      <c r="E652" s="55"/>
      <c r="F652" s="55"/>
      <c r="G652" s="55"/>
      <c r="H652" s="55"/>
      <c r="I652" s="55"/>
      <c r="J652" s="106">
        <v>0</v>
      </c>
      <c r="K652" s="107"/>
      <c r="L652" s="108">
        <v>9.8522167487684722E-4</v>
      </c>
    </row>
    <row r="653" spans="3:12" ht="15" customHeight="1">
      <c r="C653" s="102" t="s">
        <v>544</v>
      </c>
      <c r="D653" s="55"/>
      <c r="E653" s="55"/>
      <c r="F653" s="55"/>
      <c r="G653" s="55"/>
      <c r="H653" s="55"/>
      <c r="I653" s="55"/>
      <c r="J653" s="106">
        <v>0</v>
      </c>
      <c r="K653" s="107"/>
      <c r="L653" s="108">
        <v>9.8522167487684722E-4</v>
      </c>
    </row>
    <row r="654" spans="3:12" ht="15" customHeight="1">
      <c r="C654" s="102" t="s">
        <v>130</v>
      </c>
      <c r="D654" s="55"/>
      <c r="E654" s="55"/>
      <c r="F654" s="55"/>
      <c r="G654" s="55"/>
      <c r="H654" s="55"/>
      <c r="I654" s="55"/>
      <c r="J654" s="106">
        <v>0</v>
      </c>
      <c r="K654" s="107"/>
      <c r="L654" s="108">
        <v>9.8522167487684722E-4</v>
      </c>
    </row>
    <row r="655" spans="3:12" ht="15" customHeight="1">
      <c r="C655" s="102" t="s">
        <v>324</v>
      </c>
      <c r="D655" s="55"/>
      <c r="E655" s="55"/>
      <c r="F655" s="55"/>
      <c r="G655" s="55"/>
      <c r="H655" s="55"/>
      <c r="I655" s="55"/>
      <c r="J655" s="106">
        <v>0</v>
      </c>
      <c r="K655" s="107"/>
      <c r="L655" s="108">
        <v>9.8522167487684722E-4</v>
      </c>
    </row>
    <row r="656" spans="3:12" ht="15" customHeight="1">
      <c r="C656" s="102" t="s">
        <v>450</v>
      </c>
      <c r="D656" s="55"/>
      <c r="E656" s="55"/>
      <c r="F656" s="55"/>
      <c r="G656" s="55"/>
      <c r="H656" s="55"/>
      <c r="I656" s="55"/>
      <c r="J656" s="106">
        <v>0</v>
      </c>
      <c r="K656" s="107"/>
      <c r="L656" s="108">
        <v>9.8522167487684722E-4</v>
      </c>
    </row>
    <row r="657" spans="3:12" ht="15" customHeight="1">
      <c r="C657" s="102" t="s">
        <v>827</v>
      </c>
      <c r="D657" s="55"/>
      <c r="E657" s="55"/>
      <c r="F657" s="55"/>
      <c r="G657" s="55"/>
      <c r="H657" s="55"/>
      <c r="I657" s="55"/>
      <c r="J657" s="106">
        <v>0</v>
      </c>
      <c r="K657" s="107"/>
      <c r="L657" s="108">
        <v>9.8522167487684722E-4</v>
      </c>
    </row>
    <row r="658" spans="3:12" ht="15" customHeight="1">
      <c r="C658" s="102" t="s">
        <v>505</v>
      </c>
      <c r="D658" s="55"/>
      <c r="E658" s="55"/>
      <c r="F658" s="55"/>
      <c r="G658" s="55"/>
      <c r="H658" s="55"/>
      <c r="I658" s="55"/>
      <c r="J658" s="106">
        <v>0</v>
      </c>
      <c r="K658" s="107"/>
      <c r="L658" s="108">
        <v>9.8522167487684722E-4</v>
      </c>
    </row>
    <row r="659" spans="3:12" ht="15" customHeight="1">
      <c r="C659" s="102" t="s">
        <v>592</v>
      </c>
      <c r="D659" s="55"/>
      <c r="E659" s="55"/>
      <c r="F659" s="55"/>
      <c r="G659" s="55"/>
      <c r="H659" s="55"/>
      <c r="I659" s="55"/>
      <c r="J659" s="106">
        <v>0</v>
      </c>
      <c r="K659" s="107"/>
      <c r="L659" s="108">
        <v>9.8522167487684722E-4</v>
      </c>
    </row>
    <row r="660" spans="3:12" ht="15" customHeight="1">
      <c r="C660" s="102" t="s">
        <v>340</v>
      </c>
      <c r="D660" s="55"/>
      <c r="E660" s="55"/>
      <c r="F660" s="55"/>
      <c r="G660" s="55"/>
      <c r="H660" s="55"/>
      <c r="I660" s="55"/>
      <c r="J660" s="106">
        <v>0</v>
      </c>
      <c r="K660" s="107"/>
      <c r="L660" s="108">
        <v>9.8522167487684722E-4</v>
      </c>
    </row>
    <row r="661" spans="3:12" ht="15" customHeight="1">
      <c r="C661" s="102" t="s">
        <v>163</v>
      </c>
      <c r="D661" s="55"/>
      <c r="E661" s="55"/>
      <c r="F661" s="55"/>
      <c r="G661" s="55"/>
      <c r="H661" s="55"/>
      <c r="I661" s="55"/>
      <c r="J661" s="106">
        <v>0</v>
      </c>
      <c r="K661" s="107"/>
      <c r="L661" s="108">
        <v>9.8522167487684722E-4</v>
      </c>
    </row>
    <row r="662" spans="3:12" ht="15" customHeight="1">
      <c r="C662" s="102" t="s">
        <v>598</v>
      </c>
      <c r="D662" s="55"/>
      <c r="E662" s="55"/>
      <c r="F662" s="55"/>
      <c r="G662" s="55"/>
      <c r="H662" s="55"/>
      <c r="I662" s="55"/>
      <c r="J662" s="106">
        <v>0</v>
      </c>
      <c r="K662" s="107"/>
      <c r="L662" s="108">
        <v>9.8522167487684722E-4</v>
      </c>
    </row>
    <row r="663" spans="3:12" ht="15" customHeight="1">
      <c r="C663" s="102" t="s">
        <v>767</v>
      </c>
      <c r="D663" s="55"/>
      <c r="E663" s="55"/>
      <c r="F663" s="55"/>
      <c r="G663" s="55"/>
      <c r="H663" s="55"/>
      <c r="I663" s="55"/>
      <c r="J663" s="106">
        <v>0</v>
      </c>
      <c r="K663" s="107"/>
      <c r="L663" s="108">
        <v>9.8522167487684722E-4</v>
      </c>
    </row>
    <row r="664" spans="3:12" ht="15" customHeight="1">
      <c r="C664" s="102" t="s">
        <v>215</v>
      </c>
      <c r="D664" s="55"/>
      <c r="E664" s="55"/>
      <c r="F664" s="55"/>
      <c r="G664" s="55"/>
      <c r="H664" s="55"/>
      <c r="I664" s="55"/>
      <c r="J664" s="106">
        <v>0</v>
      </c>
      <c r="K664" s="107"/>
      <c r="L664" s="108">
        <v>9.8522167487684722E-4</v>
      </c>
    </row>
    <row r="665" spans="3:12" ht="15" customHeight="1">
      <c r="C665" s="102" t="s">
        <v>198</v>
      </c>
      <c r="D665" s="55"/>
      <c r="E665" s="55"/>
      <c r="F665" s="55"/>
      <c r="G665" s="55"/>
      <c r="H665" s="55"/>
      <c r="I665" s="55"/>
      <c r="J665" s="106">
        <v>0</v>
      </c>
      <c r="K665" s="107"/>
      <c r="L665" s="108">
        <v>9.8522167487684722E-4</v>
      </c>
    </row>
    <row r="666" spans="3:12" ht="15" customHeight="1">
      <c r="C666" s="102" t="s">
        <v>266</v>
      </c>
      <c r="D666" s="55"/>
      <c r="E666" s="55"/>
      <c r="F666" s="55"/>
      <c r="G666" s="55"/>
      <c r="H666" s="55"/>
      <c r="I666" s="55"/>
      <c r="J666" s="106">
        <v>0</v>
      </c>
      <c r="K666" s="107"/>
      <c r="L666" s="108">
        <v>9.8522167487684722E-4</v>
      </c>
    </row>
    <row r="667" spans="3:12" ht="15" customHeight="1">
      <c r="C667" s="102" t="s">
        <v>798</v>
      </c>
      <c r="D667" s="55"/>
      <c r="E667" s="55"/>
      <c r="F667" s="55"/>
      <c r="G667" s="55"/>
      <c r="H667" s="55"/>
      <c r="I667" s="55"/>
      <c r="J667" s="106">
        <v>0</v>
      </c>
      <c r="K667" s="107"/>
      <c r="L667" s="108">
        <v>9.8522167487684722E-4</v>
      </c>
    </row>
    <row r="668" spans="3:12" ht="15" customHeight="1">
      <c r="C668" s="102" t="s">
        <v>956</v>
      </c>
      <c r="D668" s="55"/>
      <c r="E668" s="55"/>
      <c r="F668" s="55"/>
      <c r="G668" s="55"/>
      <c r="H668" s="55"/>
      <c r="I668" s="55"/>
      <c r="J668" s="106">
        <v>0</v>
      </c>
      <c r="K668" s="107"/>
      <c r="L668" s="108">
        <v>9.8522167487684722E-4</v>
      </c>
    </row>
    <row r="669" spans="3:12" ht="15" customHeight="1">
      <c r="C669" s="102" t="s">
        <v>294</v>
      </c>
      <c r="D669" s="55"/>
      <c r="E669" s="55"/>
      <c r="F669" s="55"/>
      <c r="G669" s="55"/>
      <c r="H669" s="55"/>
      <c r="I669" s="55"/>
      <c r="J669" s="106">
        <v>0</v>
      </c>
      <c r="K669" s="107"/>
      <c r="L669" s="108">
        <v>9.8522167487684722E-4</v>
      </c>
    </row>
    <row r="670" spans="3:12" ht="15" customHeight="1">
      <c r="C670" s="102" t="s">
        <v>343</v>
      </c>
      <c r="D670" s="55"/>
      <c r="E670" s="55"/>
      <c r="F670" s="55"/>
      <c r="G670" s="55"/>
      <c r="H670" s="55"/>
      <c r="I670" s="55"/>
      <c r="J670" s="106">
        <v>0</v>
      </c>
      <c r="K670" s="107"/>
      <c r="L670" s="108">
        <v>9.8522167487684722E-4</v>
      </c>
    </row>
    <row r="671" spans="3:12" ht="15" customHeight="1">
      <c r="C671" s="102" t="s">
        <v>326</v>
      </c>
      <c r="D671" s="55"/>
      <c r="E671" s="55"/>
      <c r="F671" s="55"/>
      <c r="G671" s="55"/>
      <c r="H671" s="55"/>
      <c r="I671" s="55"/>
      <c r="J671" s="106">
        <v>0</v>
      </c>
      <c r="K671" s="107"/>
      <c r="L671" s="108">
        <v>9.8522167487684722E-4</v>
      </c>
    </row>
    <row r="672" spans="3:12" ht="15" customHeight="1">
      <c r="C672" s="102" t="s">
        <v>711</v>
      </c>
      <c r="D672" s="55"/>
      <c r="E672" s="55"/>
      <c r="F672" s="55"/>
      <c r="G672" s="55"/>
      <c r="H672" s="55"/>
      <c r="I672" s="55"/>
      <c r="J672" s="106">
        <v>0</v>
      </c>
      <c r="K672" s="107"/>
      <c r="L672" s="108">
        <v>9.8522167487684722E-4</v>
      </c>
    </row>
    <row r="673" spans="3:12" ht="15" customHeight="1">
      <c r="C673" s="102" t="s">
        <v>142</v>
      </c>
      <c r="D673" s="55"/>
      <c r="E673" s="55"/>
      <c r="F673" s="55"/>
      <c r="G673" s="55"/>
      <c r="H673" s="55"/>
      <c r="I673" s="55"/>
      <c r="J673" s="106">
        <v>0</v>
      </c>
      <c r="K673" s="107"/>
      <c r="L673" s="108">
        <v>9.8522167487684722E-4</v>
      </c>
    </row>
    <row r="674" spans="3:12" ht="15" customHeight="1">
      <c r="C674" s="102" t="s">
        <v>619</v>
      </c>
      <c r="D674" s="55"/>
      <c r="E674" s="55"/>
      <c r="F674" s="55"/>
      <c r="G674" s="55"/>
      <c r="H674" s="55"/>
      <c r="I674" s="55"/>
      <c r="J674" s="106">
        <v>0</v>
      </c>
      <c r="K674" s="107"/>
      <c r="L674" s="108">
        <v>9.8522167487684722E-4</v>
      </c>
    </row>
    <row r="675" spans="3:12" ht="15" customHeight="1">
      <c r="C675" s="102" t="s">
        <v>265</v>
      </c>
      <c r="D675" s="55"/>
      <c r="E675" s="55"/>
      <c r="F675" s="55"/>
      <c r="G675" s="55"/>
      <c r="H675" s="55"/>
      <c r="I675" s="55"/>
      <c r="J675" s="106">
        <v>0</v>
      </c>
      <c r="K675" s="107"/>
      <c r="L675" s="108">
        <v>9.8522167487684722E-4</v>
      </c>
    </row>
    <row r="676" spans="3:12" ht="15" customHeight="1">
      <c r="C676" s="102" t="s">
        <v>438</v>
      </c>
      <c r="D676" s="55"/>
      <c r="E676" s="55"/>
      <c r="F676" s="55"/>
      <c r="G676" s="55"/>
      <c r="H676" s="55"/>
      <c r="I676" s="55"/>
      <c r="J676" s="106">
        <v>0</v>
      </c>
      <c r="K676" s="107"/>
      <c r="L676" s="108">
        <v>9.8522167487684722E-4</v>
      </c>
    </row>
    <row r="677" spans="3:12" ht="15" customHeight="1">
      <c r="C677" s="102" t="s">
        <v>868</v>
      </c>
      <c r="D677" s="55"/>
      <c r="E677" s="55"/>
      <c r="F677" s="55"/>
      <c r="G677" s="55"/>
      <c r="H677" s="55"/>
      <c r="I677" s="55"/>
      <c r="J677" s="106">
        <v>0</v>
      </c>
      <c r="K677" s="107"/>
      <c r="L677" s="108">
        <v>9.8522167487684722E-4</v>
      </c>
    </row>
    <row r="678" spans="3:12" ht="15" customHeight="1">
      <c r="C678" s="102" t="s">
        <v>268</v>
      </c>
      <c r="D678" s="55"/>
      <c r="E678" s="55"/>
      <c r="F678" s="55"/>
      <c r="G678" s="55"/>
      <c r="H678" s="55"/>
      <c r="I678" s="55"/>
      <c r="J678" s="106">
        <v>0</v>
      </c>
      <c r="K678" s="107"/>
      <c r="L678" s="108">
        <v>9.8522167487684722E-4</v>
      </c>
    </row>
    <row r="679" spans="3:12" ht="15" customHeight="1">
      <c r="C679" s="102" t="s">
        <v>274</v>
      </c>
      <c r="D679" s="55"/>
      <c r="E679" s="55"/>
      <c r="F679" s="55"/>
      <c r="G679" s="55"/>
      <c r="H679" s="55"/>
      <c r="I679" s="55"/>
      <c r="J679" s="106">
        <v>0</v>
      </c>
      <c r="K679" s="107"/>
      <c r="L679" s="108">
        <v>9.8522167487684722E-4</v>
      </c>
    </row>
    <row r="680" spans="3:12" ht="15" customHeight="1">
      <c r="C680" s="102" t="s">
        <v>817</v>
      </c>
      <c r="D680" s="55"/>
      <c r="E680" s="55"/>
      <c r="F680" s="55"/>
      <c r="G680" s="55"/>
      <c r="H680" s="55"/>
      <c r="I680" s="55"/>
      <c r="J680" s="106">
        <v>0</v>
      </c>
      <c r="K680" s="107"/>
      <c r="L680" s="108">
        <v>9.8522167487684722E-4</v>
      </c>
    </row>
    <row r="681" spans="3:12" ht="15" customHeight="1">
      <c r="C681" s="102" t="s">
        <v>398</v>
      </c>
      <c r="D681" s="55"/>
      <c r="E681" s="55"/>
      <c r="F681" s="55"/>
      <c r="G681" s="55"/>
      <c r="H681" s="55"/>
      <c r="I681" s="55"/>
      <c r="J681" s="106">
        <v>0</v>
      </c>
      <c r="K681" s="107"/>
      <c r="L681" s="108">
        <v>9.8522167487684722E-4</v>
      </c>
    </row>
    <row r="682" spans="3:12" ht="15" customHeight="1">
      <c r="C682" s="102" t="s">
        <v>1109</v>
      </c>
      <c r="D682" s="55"/>
      <c r="E682" s="55"/>
      <c r="F682" s="55"/>
      <c r="G682" s="55"/>
      <c r="H682" s="55"/>
      <c r="I682" s="55"/>
      <c r="J682" s="106">
        <v>0</v>
      </c>
      <c r="K682" s="107"/>
      <c r="L682" s="108">
        <v>9.8522167487684722E-4</v>
      </c>
    </row>
    <row r="683" spans="3:12" ht="15" customHeight="1">
      <c r="C683" s="102" t="s">
        <v>633</v>
      </c>
      <c r="D683" s="55"/>
      <c r="E683" s="55"/>
      <c r="F683" s="55"/>
      <c r="G683" s="55"/>
      <c r="H683" s="55"/>
      <c r="I683" s="55"/>
      <c r="J683" s="106">
        <v>0</v>
      </c>
      <c r="K683" s="107"/>
      <c r="L683" s="108">
        <v>9.8522167487684722E-4</v>
      </c>
    </row>
    <row r="684" spans="3:12" ht="15" customHeight="1">
      <c r="C684" s="102" t="s">
        <v>1061</v>
      </c>
      <c r="D684" s="55"/>
      <c r="E684" s="55"/>
      <c r="F684" s="55"/>
      <c r="G684" s="55"/>
      <c r="H684" s="55"/>
      <c r="I684" s="55"/>
      <c r="J684" s="106">
        <v>0</v>
      </c>
      <c r="K684" s="107"/>
      <c r="L684" s="108">
        <v>9.8522167487684722E-4</v>
      </c>
    </row>
    <row r="685" spans="3:12" ht="15" customHeight="1">
      <c r="C685" s="102" t="s">
        <v>442</v>
      </c>
      <c r="D685" s="55"/>
      <c r="E685" s="55"/>
      <c r="F685" s="55"/>
      <c r="G685" s="55"/>
      <c r="H685" s="55"/>
      <c r="I685" s="55"/>
      <c r="J685" s="106">
        <v>0</v>
      </c>
      <c r="K685" s="107"/>
      <c r="L685" s="108">
        <v>9.8522167487684722E-4</v>
      </c>
    </row>
    <row r="686" spans="3:12" ht="15" customHeight="1">
      <c r="C686" s="102" t="s">
        <v>472</v>
      </c>
      <c r="D686" s="55"/>
      <c r="E686" s="55"/>
      <c r="F686" s="55"/>
      <c r="G686" s="55"/>
      <c r="H686" s="55"/>
      <c r="I686" s="55"/>
      <c r="J686" s="106">
        <v>0</v>
      </c>
      <c r="K686" s="107"/>
      <c r="L686" s="108">
        <v>9.8522167487684722E-4</v>
      </c>
    </row>
    <row r="687" spans="3:12" ht="15" customHeight="1">
      <c r="C687" s="102" t="s">
        <v>854</v>
      </c>
      <c r="D687" s="55"/>
      <c r="E687" s="55"/>
      <c r="F687" s="55"/>
      <c r="G687" s="55"/>
      <c r="H687" s="55"/>
      <c r="I687" s="55"/>
      <c r="J687" s="106">
        <v>0</v>
      </c>
      <c r="K687" s="107"/>
      <c r="L687" s="108">
        <v>9.8522167487684722E-4</v>
      </c>
    </row>
    <row r="688" spans="3:12" ht="15" customHeight="1">
      <c r="C688" s="102" t="s">
        <v>477</v>
      </c>
      <c r="D688" s="55"/>
      <c r="E688" s="55"/>
      <c r="F688" s="55"/>
      <c r="G688" s="55"/>
      <c r="H688" s="55"/>
      <c r="I688" s="55"/>
      <c r="J688" s="106">
        <v>0</v>
      </c>
      <c r="K688" s="107"/>
      <c r="L688" s="108">
        <v>9.8522167487684722E-4</v>
      </c>
    </row>
    <row r="689" spans="3:12" ht="15" customHeight="1">
      <c r="C689" s="102" t="s">
        <v>573</v>
      </c>
      <c r="D689" s="55"/>
      <c r="E689" s="55"/>
      <c r="F689" s="55"/>
      <c r="G689" s="55"/>
      <c r="H689" s="55"/>
      <c r="I689" s="55"/>
      <c r="J689" s="106">
        <v>0</v>
      </c>
      <c r="K689" s="107"/>
      <c r="L689" s="108">
        <v>9.8522167487684722E-4</v>
      </c>
    </row>
    <row r="690" spans="3:12" ht="15" customHeight="1">
      <c r="C690" s="102" t="s">
        <v>1048</v>
      </c>
      <c r="D690" s="55"/>
      <c r="E690" s="55"/>
      <c r="F690" s="55"/>
      <c r="G690" s="55"/>
      <c r="H690" s="55"/>
      <c r="I690" s="55"/>
      <c r="J690" s="106">
        <v>0</v>
      </c>
      <c r="K690" s="107"/>
      <c r="L690" s="108">
        <v>9.8522167487684722E-4</v>
      </c>
    </row>
    <row r="691" spans="3:12" ht="15" customHeight="1">
      <c r="C691" s="102" t="s">
        <v>832</v>
      </c>
      <c r="D691" s="55"/>
      <c r="E691" s="55"/>
      <c r="F691" s="55"/>
      <c r="G691" s="55"/>
      <c r="H691" s="55"/>
      <c r="I691" s="55"/>
      <c r="J691" s="106">
        <v>0</v>
      </c>
      <c r="K691" s="107"/>
      <c r="L691" s="108">
        <v>9.8522167487684722E-4</v>
      </c>
    </row>
    <row r="692" spans="3:12" ht="15" customHeight="1">
      <c r="C692" s="102" t="s">
        <v>731</v>
      </c>
      <c r="D692" s="55"/>
      <c r="E692" s="55"/>
      <c r="F692" s="55"/>
      <c r="G692" s="55"/>
      <c r="H692" s="55"/>
      <c r="I692" s="55"/>
      <c r="J692" s="106">
        <v>0</v>
      </c>
      <c r="K692" s="107"/>
      <c r="L692" s="108">
        <v>9.8522167487684722E-4</v>
      </c>
    </row>
    <row r="693" spans="3:12" ht="15" customHeight="1">
      <c r="C693" s="102" t="s">
        <v>1076</v>
      </c>
      <c r="D693" s="55"/>
      <c r="E693" s="55"/>
      <c r="F693" s="55"/>
      <c r="G693" s="55"/>
      <c r="H693" s="55"/>
      <c r="I693" s="55"/>
      <c r="J693" s="106">
        <v>0</v>
      </c>
      <c r="K693" s="107"/>
      <c r="L693" s="108">
        <v>9.8522167487684722E-4</v>
      </c>
    </row>
    <row r="694" spans="3:12" ht="15" customHeight="1">
      <c r="C694" s="102" t="s">
        <v>1051</v>
      </c>
      <c r="D694" s="55"/>
      <c r="E694" s="55"/>
      <c r="F694" s="55"/>
      <c r="G694" s="55"/>
      <c r="H694" s="55"/>
      <c r="I694" s="55"/>
      <c r="J694" s="106">
        <v>0</v>
      </c>
      <c r="K694" s="107"/>
      <c r="L694" s="108">
        <v>9.8522167487684722E-4</v>
      </c>
    </row>
    <row r="695" spans="3:12" ht="15" customHeight="1">
      <c r="C695" s="102" t="s">
        <v>206</v>
      </c>
      <c r="D695" s="55"/>
      <c r="E695" s="55"/>
      <c r="F695" s="55"/>
      <c r="G695" s="55"/>
      <c r="H695" s="55"/>
      <c r="I695" s="55"/>
      <c r="J695" s="106">
        <v>0</v>
      </c>
      <c r="K695" s="107"/>
      <c r="L695" s="108">
        <v>9.8522167487684722E-4</v>
      </c>
    </row>
    <row r="696" spans="3:12" ht="15" customHeight="1">
      <c r="C696" s="102" t="s">
        <v>579</v>
      </c>
      <c r="D696" s="55"/>
      <c r="E696" s="55"/>
      <c r="F696" s="55"/>
      <c r="G696" s="55"/>
      <c r="H696" s="55"/>
      <c r="I696" s="55"/>
      <c r="J696" s="106">
        <v>0</v>
      </c>
      <c r="K696" s="107"/>
      <c r="L696" s="108">
        <v>9.8522167487684722E-4</v>
      </c>
    </row>
    <row r="697" spans="3:12" ht="15" customHeight="1">
      <c r="C697" s="102" t="s">
        <v>555</v>
      </c>
      <c r="D697" s="55"/>
      <c r="E697" s="55"/>
      <c r="F697" s="55"/>
      <c r="G697" s="55"/>
      <c r="H697" s="55"/>
      <c r="I697" s="55"/>
      <c r="J697" s="106">
        <v>0</v>
      </c>
      <c r="K697" s="107"/>
      <c r="L697" s="108">
        <v>9.8522167487684722E-4</v>
      </c>
    </row>
    <row r="698" spans="3:12" ht="15" customHeight="1">
      <c r="C698" s="102" t="s">
        <v>564</v>
      </c>
      <c r="D698" s="55"/>
      <c r="E698" s="55"/>
      <c r="F698" s="55"/>
      <c r="G698" s="55"/>
      <c r="H698" s="55"/>
      <c r="I698" s="55"/>
      <c r="J698" s="106">
        <v>0</v>
      </c>
      <c r="K698" s="107"/>
      <c r="L698" s="108">
        <v>9.8522167487684722E-4</v>
      </c>
    </row>
    <row r="699" spans="3:12" ht="15" customHeight="1">
      <c r="C699" s="102" t="s">
        <v>752</v>
      </c>
      <c r="D699" s="55"/>
      <c r="E699" s="55"/>
      <c r="F699" s="55"/>
      <c r="G699" s="55"/>
      <c r="H699" s="55"/>
      <c r="I699" s="55"/>
      <c r="J699" s="106">
        <v>0</v>
      </c>
      <c r="K699" s="107"/>
      <c r="L699" s="108">
        <v>9.8522167487684722E-4</v>
      </c>
    </row>
    <row r="700" spans="3:12" ht="15" customHeight="1">
      <c r="C700" s="102" t="s">
        <v>858</v>
      </c>
      <c r="D700" s="55"/>
      <c r="E700" s="55"/>
      <c r="F700" s="55"/>
      <c r="G700" s="55"/>
      <c r="H700" s="55"/>
      <c r="I700" s="55"/>
      <c r="J700" s="106">
        <v>0</v>
      </c>
      <c r="K700" s="107"/>
      <c r="L700" s="108">
        <v>9.8522167487684722E-4</v>
      </c>
    </row>
    <row r="701" spans="3:12" ht="15" customHeight="1">
      <c r="C701" s="102" t="s">
        <v>701</v>
      </c>
      <c r="D701" s="55"/>
      <c r="E701" s="55"/>
      <c r="F701" s="55"/>
      <c r="G701" s="55"/>
      <c r="H701" s="55"/>
      <c r="I701" s="55"/>
      <c r="J701" s="106">
        <v>0</v>
      </c>
      <c r="K701" s="107"/>
      <c r="L701" s="108">
        <v>9.8522167487684722E-4</v>
      </c>
    </row>
    <row r="702" spans="3:12" ht="15" customHeight="1">
      <c r="C702" s="102" t="s">
        <v>256</v>
      </c>
      <c r="D702" s="55"/>
      <c r="E702" s="55"/>
      <c r="F702" s="55"/>
      <c r="G702" s="55"/>
      <c r="H702" s="55"/>
      <c r="I702" s="55"/>
      <c r="J702" s="106">
        <v>0</v>
      </c>
      <c r="K702" s="107"/>
      <c r="L702" s="108">
        <v>9.8522167487684722E-4</v>
      </c>
    </row>
    <row r="703" spans="3:12" ht="15" customHeight="1">
      <c r="C703" s="102" t="s">
        <v>1077</v>
      </c>
      <c r="D703" s="55"/>
      <c r="E703" s="55"/>
      <c r="F703" s="55"/>
      <c r="G703" s="55"/>
      <c r="H703" s="55"/>
      <c r="I703" s="55"/>
      <c r="J703" s="106">
        <v>0</v>
      </c>
      <c r="K703" s="107"/>
      <c r="L703" s="108">
        <v>9.8522167487684722E-4</v>
      </c>
    </row>
    <row r="704" spans="3:12" ht="15" customHeight="1">
      <c r="C704" s="102" t="s">
        <v>620</v>
      </c>
      <c r="D704" s="55"/>
      <c r="E704" s="55"/>
      <c r="F704" s="55"/>
      <c r="G704" s="55"/>
      <c r="H704" s="55"/>
      <c r="I704" s="55"/>
      <c r="J704" s="106">
        <v>0</v>
      </c>
      <c r="K704" s="107"/>
      <c r="L704" s="108">
        <v>9.8522167487684722E-4</v>
      </c>
    </row>
    <row r="705" spans="3:12" ht="15" customHeight="1">
      <c r="C705" s="102" t="s">
        <v>526</v>
      </c>
      <c r="D705" s="55"/>
      <c r="E705" s="55"/>
      <c r="F705" s="55"/>
      <c r="G705" s="55"/>
      <c r="H705" s="55"/>
      <c r="I705" s="55"/>
      <c r="J705" s="106">
        <v>0</v>
      </c>
      <c r="K705" s="107"/>
      <c r="L705" s="108">
        <v>9.8522167487684722E-4</v>
      </c>
    </row>
    <row r="706" spans="3:12" ht="15" customHeight="1">
      <c r="C706" s="102" t="s">
        <v>915</v>
      </c>
      <c r="D706" s="55"/>
      <c r="E706" s="55"/>
      <c r="F706" s="55"/>
      <c r="G706" s="55"/>
      <c r="H706" s="55"/>
      <c r="I706" s="55"/>
      <c r="J706" s="106">
        <v>0</v>
      </c>
      <c r="K706" s="107"/>
      <c r="L706" s="108">
        <v>9.8522167487684722E-4</v>
      </c>
    </row>
    <row r="707" spans="3:12" ht="15" customHeight="1">
      <c r="C707" s="102" t="s">
        <v>146</v>
      </c>
      <c r="D707" s="55"/>
      <c r="E707" s="55"/>
      <c r="F707" s="55"/>
      <c r="G707" s="55"/>
      <c r="H707" s="55"/>
      <c r="I707" s="55"/>
      <c r="J707" s="106">
        <v>0</v>
      </c>
      <c r="K707" s="107"/>
      <c r="L707" s="108">
        <v>9.8522167487684722E-4</v>
      </c>
    </row>
    <row r="708" spans="3:12" ht="15" customHeight="1">
      <c r="C708" s="102" t="s">
        <v>671</v>
      </c>
      <c r="D708" s="55"/>
      <c r="E708" s="55"/>
      <c r="F708" s="55"/>
      <c r="G708" s="55"/>
      <c r="H708" s="55"/>
      <c r="I708" s="55"/>
      <c r="J708" s="106">
        <v>0</v>
      </c>
      <c r="K708" s="107"/>
      <c r="L708" s="108">
        <v>9.8522167487684722E-4</v>
      </c>
    </row>
    <row r="709" spans="3:12" ht="15" customHeight="1">
      <c r="C709" s="102" t="s">
        <v>947</v>
      </c>
      <c r="D709" s="55"/>
      <c r="E709" s="55"/>
      <c r="F709" s="55"/>
      <c r="G709" s="55"/>
      <c r="H709" s="55"/>
      <c r="I709" s="55"/>
      <c r="J709" s="106">
        <v>0</v>
      </c>
      <c r="K709" s="107"/>
      <c r="L709" s="108">
        <v>9.8522167487684722E-4</v>
      </c>
    </row>
    <row r="710" spans="3:12" ht="15" customHeight="1">
      <c r="C710" s="102" t="s">
        <v>308</v>
      </c>
      <c r="D710" s="55"/>
      <c r="E710" s="55"/>
      <c r="F710" s="55"/>
      <c r="G710" s="55"/>
      <c r="H710" s="55"/>
      <c r="I710" s="55"/>
      <c r="J710" s="106">
        <v>0</v>
      </c>
      <c r="K710" s="107"/>
      <c r="L710" s="108">
        <v>9.8522167487684722E-4</v>
      </c>
    </row>
    <row r="711" spans="3:12" ht="15" customHeight="1">
      <c r="C711" s="102" t="s">
        <v>89</v>
      </c>
      <c r="D711" s="55"/>
      <c r="E711" s="55"/>
      <c r="F711" s="55"/>
      <c r="G711" s="55"/>
      <c r="H711" s="55"/>
      <c r="I711" s="55"/>
      <c r="J711" s="106">
        <v>0</v>
      </c>
      <c r="K711" s="107"/>
      <c r="L711" s="108">
        <v>9.8522167487684722E-4</v>
      </c>
    </row>
    <row r="712" spans="3:12" ht="15" customHeight="1">
      <c r="C712" s="102" t="s">
        <v>1088</v>
      </c>
      <c r="D712" s="55"/>
      <c r="E712" s="55"/>
      <c r="F712" s="55"/>
      <c r="G712" s="55"/>
      <c r="H712" s="55"/>
      <c r="I712" s="55"/>
      <c r="J712" s="106">
        <v>0</v>
      </c>
      <c r="K712" s="107"/>
      <c r="L712" s="108">
        <v>9.8522167487684722E-4</v>
      </c>
    </row>
    <row r="713" spans="3:12" ht="15" customHeight="1">
      <c r="C713" s="102" t="s">
        <v>1015</v>
      </c>
      <c r="D713" s="55"/>
      <c r="E713" s="55"/>
      <c r="F713" s="55"/>
      <c r="G713" s="55"/>
      <c r="H713" s="55"/>
      <c r="I713" s="55"/>
      <c r="J713" s="106">
        <v>0</v>
      </c>
      <c r="K713" s="107"/>
      <c r="L713" s="108">
        <v>9.8522167487684722E-4</v>
      </c>
    </row>
    <row r="714" spans="3:12" ht="15" customHeight="1">
      <c r="C714" s="102" t="s">
        <v>607</v>
      </c>
      <c r="D714" s="55"/>
      <c r="E714" s="55"/>
      <c r="F714" s="55"/>
      <c r="G714" s="55"/>
      <c r="H714" s="55"/>
      <c r="I714" s="55"/>
      <c r="J714" s="106">
        <v>0</v>
      </c>
      <c r="K714" s="107"/>
      <c r="L714" s="108">
        <v>9.8522167487684722E-4</v>
      </c>
    </row>
    <row r="715" spans="3:12" ht="15" customHeight="1">
      <c r="C715" s="102" t="s">
        <v>891</v>
      </c>
      <c r="D715" s="55"/>
      <c r="E715" s="55"/>
      <c r="F715" s="55"/>
      <c r="G715" s="55"/>
      <c r="H715" s="55"/>
      <c r="I715" s="55"/>
      <c r="J715" s="106">
        <v>0</v>
      </c>
      <c r="K715" s="107"/>
      <c r="L715" s="108">
        <v>9.8522167487684722E-4</v>
      </c>
    </row>
    <row r="716" spans="3:12" ht="15" customHeight="1">
      <c r="C716" s="102" t="s">
        <v>548</v>
      </c>
      <c r="D716" s="55"/>
      <c r="E716" s="55"/>
      <c r="F716" s="55"/>
      <c r="G716" s="55"/>
      <c r="H716" s="55"/>
      <c r="I716" s="55"/>
      <c r="J716" s="106">
        <v>0</v>
      </c>
      <c r="K716" s="107"/>
      <c r="L716" s="108">
        <v>9.8522167487684722E-4</v>
      </c>
    </row>
    <row r="717" spans="3:12" ht="15" customHeight="1">
      <c r="C717" s="102" t="s">
        <v>475</v>
      </c>
      <c r="D717" s="55"/>
      <c r="E717" s="55"/>
      <c r="F717" s="55"/>
      <c r="G717" s="55"/>
      <c r="H717" s="55"/>
      <c r="I717" s="55"/>
      <c r="J717" s="106">
        <v>0</v>
      </c>
      <c r="K717" s="107"/>
      <c r="L717" s="108">
        <v>9.8522167487684722E-4</v>
      </c>
    </row>
    <row r="718" spans="3:12" ht="15" customHeight="1">
      <c r="C718" s="102" t="s">
        <v>836</v>
      </c>
      <c r="D718" s="55"/>
      <c r="E718" s="55"/>
      <c r="F718" s="55"/>
      <c r="G718" s="55"/>
      <c r="H718" s="55"/>
      <c r="I718" s="55"/>
      <c r="J718" s="106">
        <v>0</v>
      </c>
      <c r="K718" s="107"/>
      <c r="L718" s="108">
        <v>9.8522167487684722E-4</v>
      </c>
    </row>
    <row r="719" spans="3:12" ht="15" customHeight="1">
      <c r="C719" s="102" t="s">
        <v>386</v>
      </c>
      <c r="D719" s="55"/>
      <c r="E719" s="55"/>
      <c r="F719" s="55"/>
      <c r="G719" s="55"/>
      <c r="H719" s="55"/>
      <c r="I719" s="55"/>
      <c r="J719" s="106">
        <v>0</v>
      </c>
      <c r="K719" s="107"/>
      <c r="L719" s="108">
        <v>9.8522167487684722E-4</v>
      </c>
    </row>
    <row r="720" spans="3:12" ht="15" customHeight="1">
      <c r="C720" s="102" t="s">
        <v>676</v>
      </c>
      <c r="D720" s="55"/>
      <c r="E720" s="55"/>
      <c r="F720" s="55"/>
      <c r="G720" s="55"/>
      <c r="H720" s="55"/>
      <c r="I720" s="55"/>
      <c r="J720" s="106">
        <v>0</v>
      </c>
      <c r="K720" s="107"/>
      <c r="L720" s="108">
        <v>9.8522167487684722E-4</v>
      </c>
    </row>
    <row r="721" spans="3:12" ht="15" customHeight="1">
      <c r="C721" s="102" t="s">
        <v>301</v>
      </c>
      <c r="D721" s="55"/>
      <c r="E721" s="55"/>
      <c r="F721" s="55"/>
      <c r="G721" s="55"/>
      <c r="H721" s="55"/>
      <c r="I721" s="55"/>
      <c r="J721" s="106">
        <v>0</v>
      </c>
      <c r="K721" s="107"/>
      <c r="L721" s="108">
        <v>9.8522167487684722E-4</v>
      </c>
    </row>
    <row r="722" spans="3:12" ht="15" customHeight="1">
      <c r="C722" s="102" t="s">
        <v>644</v>
      </c>
      <c r="D722" s="55"/>
      <c r="E722" s="55"/>
      <c r="F722" s="55"/>
      <c r="G722" s="55"/>
      <c r="H722" s="55"/>
      <c r="I722" s="55"/>
      <c r="J722" s="106">
        <v>0</v>
      </c>
      <c r="K722" s="107"/>
      <c r="L722" s="108">
        <v>9.8522167487684722E-4</v>
      </c>
    </row>
    <row r="723" spans="3:12" ht="15" customHeight="1">
      <c r="C723" s="102" t="s">
        <v>469</v>
      </c>
      <c r="D723" s="55"/>
      <c r="E723" s="55"/>
      <c r="F723" s="55"/>
      <c r="G723" s="55"/>
      <c r="H723" s="55"/>
      <c r="I723" s="55"/>
      <c r="J723" s="106">
        <v>0</v>
      </c>
      <c r="K723" s="107"/>
      <c r="L723" s="108">
        <v>9.8522167487684722E-4</v>
      </c>
    </row>
    <row r="724" spans="3:12" ht="15" customHeight="1">
      <c r="C724" s="102" t="s">
        <v>669</v>
      </c>
      <c r="D724" s="55"/>
      <c r="E724" s="55"/>
      <c r="F724" s="55"/>
      <c r="G724" s="55"/>
      <c r="H724" s="55"/>
      <c r="I724" s="55"/>
      <c r="J724" s="106">
        <v>0</v>
      </c>
      <c r="K724" s="107"/>
      <c r="L724" s="108">
        <v>9.8522167487684722E-4</v>
      </c>
    </row>
    <row r="725" spans="3:12" ht="15" customHeight="1">
      <c r="C725" s="102" t="s">
        <v>87</v>
      </c>
      <c r="D725" s="55"/>
      <c r="E725" s="55"/>
      <c r="F725" s="55"/>
      <c r="G725" s="55"/>
      <c r="H725" s="55"/>
      <c r="I725" s="55"/>
      <c r="J725" s="106">
        <v>0</v>
      </c>
      <c r="K725" s="107"/>
      <c r="L725" s="108">
        <v>9.8522167487684722E-4</v>
      </c>
    </row>
    <row r="726" spans="3:12" ht="15" customHeight="1">
      <c r="C726" s="102" t="s">
        <v>980</v>
      </c>
      <c r="D726" s="55"/>
      <c r="E726" s="55"/>
      <c r="F726" s="55"/>
      <c r="G726" s="55"/>
      <c r="H726" s="55"/>
      <c r="I726" s="55"/>
      <c r="J726" s="106">
        <v>0</v>
      </c>
      <c r="K726" s="107"/>
      <c r="L726" s="108">
        <v>9.8522167487684722E-4</v>
      </c>
    </row>
    <row r="727" spans="3:12" ht="15" customHeight="1">
      <c r="C727" s="102" t="s">
        <v>965</v>
      </c>
      <c r="D727" s="55"/>
      <c r="E727" s="55"/>
      <c r="F727" s="55"/>
      <c r="G727" s="55"/>
      <c r="H727" s="55"/>
      <c r="I727" s="55"/>
      <c r="J727" s="106">
        <v>0</v>
      </c>
      <c r="K727" s="107"/>
      <c r="L727" s="108">
        <v>9.8522167487684722E-4</v>
      </c>
    </row>
    <row r="728" spans="3:12" ht="15" customHeight="1">
      <c r="C728" s="102" t="s">
        <v>595</v>
      </c>
      <c r="D728" s="55"/>
      <c r="E728" s="55"/>
      <c r="F728" s="55"/>
      <c r="G728" s="55"/>
      <c r="H728" s="55"/>
      <c r="I728" s="55"/>
      <c r="J728" s="106">
        <v>0</v>
      </c>
      <c r="K728" s="107"/>
      <c r="L728" s="108">
        <v>9.8522167487684722E-4</v>
      </c>
    </row>
    <row r="729" spans="3:12" ht="15" customHeight="1">
      <c r="C729" s="102" t="s">
        <v>588</v>
      </c>
      <c r="D729" s="55"/>
      <c r="E729" s="55"/>
      <c r="F729" s="55"/>
      <c r="G729" s="55"/>
      <c r="H729" s="55"/>
      <c r="I729" s="55"/>
      <c r="J729" s="106">
        <v>0</v>
      </c>
      <c r="K729" s="107"/>
      <c r="L729" s="108">
        <v>9.8522167487684722E-4</v>
      </c>
    </row>
    <row r="730" spans="3:12" ht="15" customHeight="1">
      <c r="C730" s="102" t="s">
        <v>672</v>
      </c>
      <c r="D730" s="55"/>
      <c r="E730" s="55"/>
      <c r="F730" s="55"/>
      <c r="G730" s="55"/>
      <c r="H730" s="55"/>
      <c r="I730" s="55"/>
      <c r="J730" s="106">
        <v>0</v>
      </c>
      <c r="K730" s="107"/>
      <c r="L730" s="108">
        <v>9.8522167487684722E-4</v>
      </c>
    </row>
    <row r="731" spans="3:12" ht="15" customHeight="1">
      <c r="C731" s="102" t="s">
        <v>816</v>
      </c>
      <c r="D731" s="55"/>
      <c r="E731" s="55"/>
      <c r="F731" s="55"/>
      <c r="G731" s="55"/>
      <c r="H731" s="55"/>
      <c r="I731" s="55"/>
      <c r="J731" s="106">
        <v>0</v>
      </c>
      <c r="K731" s="107"/>
      <c r="L731" s="108">
        <v>9.8522167487684722E-4</v>
      </c>
    </row>
    <row r="732" spans="3:12" ht="15" customHeight="1">
      <c r="C732" s="102" t="s">
        <v>846</v>
      </c>
      <c r="D732" s="55"/>
      <c r="E732" s="55"/>
      <c r="F732" s="55"/>
      <c r="G732" s="55"/>
      <c r="H732" s="55"/>
      <c r="I732" s="55"/>
      <c r="J732" s="106">
        <v>0</v>
      </c>
      <c r="K732" s="107"/>
      <c r="L732" s="108">
        <v>9.8522167487684722E-4</v>
      </c>
    </row>
    <row r="733" spans="3:12" ht="15" customHeight="1">
      <c r="C733" s="102" t="s">
        <v>195</v>
      </c>
      <c r="D733" s="55"/>
      <c r="E733" s="55"/>
      <c r="F733" s="55"/>
      <c r="G733" s="55"/>
      <c r="H733" s="55"/>
      <c r="I733" s="55"/>
      <c r="J733" s="106">
        <v>0</v>
      </c>
      <c r="K733" s="107"/>
      <c r="L733" s="108">
        <v>9.8522167487684722E-4</v>
      </c>
    </row>
    <row r="734" spans="3:12" ht="15" customHeight="1">
      <c r="C734" s="102" t="s">
        <v>143</v>
      </c>
      <c r="D734" s="55"/>
      <c r="E734" s="55"/>
      <c r="F734" s="55"/>
      <c r="G734" s="55"/>
      <c r="H734" s="55"/>
      <c r="I734" s="55"/>
      <c r="J734" s="106">
        <v>0</v>
      </c>
      <c r="K734" s="107"/>
      <c r="L734" s="108">
        <v>9.8522167487684722E-4</v>
      </c>
    </row>
    <row r="735" spans="3:12" ht="15" customHeight="1">
      <c r="C735" s="102" t="s">
        <v>351</v>
      </c>
      <c r="D735" s="55"/>
      <c r="E735" s="55"/>
      <c r="F735" s="55"/>
      <c r="G735" s="55"/>
      <c r="H735" s="55"/>
      <c r="I735" s="55"/>
      <c r="J735" s="106">
        <v>0</v>
      </c>
      <c r="K735" s="107"/>
      <c r="L735" s="108">
        <v>9.8522167487684722E-4</v>
      </c>
    </row>
    <row r="736" spans="3:12" ht="15" customHeight="1">
      <c r="C736" s="102" t="s">
        <v>380</v>
      </c>
      <c r="D736" s="55"/>
      <c r="E736" s="55"/>
      <c r="F736" s="55"/>
      <c r="G736" s="55"/>
      <c r="H736" s="55"/>
      <c r="I736" s="55"/>
      <c r="J736" s="106">
        <v>0</v>
      </c>
      <c r="K736" s="107"/>
      <c r="L736" s="108">
        <v>9.8522167487684722E-4</v>
      </c>
    </row>
    <row r="737" spans="3:12" ht="15" customHeight="1">
      <c r="C737" s="102" t="s">
        <v>310</v>
      </c>
      <c r="D737" s="55"/>
      <c r="E737" s="55"/>
      <c r="F737" s="55"/>
      <c r="G737" s="55"/>
      <c r="H737" s="55"/>
      <c r="I737" s="55"/>
      <c r="J737" s="106">
        <v>0</v>
      </c>
      <c r="K737" s="107"/>
      <c r="L737" s="108">
        <v>9.8522167487684722E-4</v>
      </c>
    </row>
    <row r="738" spans="3:12" ht="15" customHeight="1">
      <c r="C738" s="102" t="s">
        <v>325</v>
      </c>
      <c r="D738" s="55"/>
      <c r="E738" s="55"/>
      <c r="F738" s="55"/>
      <c r="G738" s="55"/>
      <c r="H738" s="55"/>
      <c r="I738" s="55"/>
      <c r="J738" s="106">
        <v>0</v>
      </c>
      <c r="K738" s="107"/>
      <c r="L738" s="108">
        <v>9.8522167487684722E-4</v>
      </c>
    </row>
    <row r="739" spans="3:12" ht="15" customHeight="1">
      <c r="C739" s="102" t="s">
        <v>154</v>
      </c>
      <c r="D739" s="55"/>
      <c r="E739" s="55"/>
      <c r="F739" s="55"/>
      <c r="G739" s="55"/>
      <c r="H739" s="55"/>
      <c r="I739" s="55"/>
      <c r="J739" s="106">
        <v>0</v>
      </c>
      <c r="K739" s="107"/>
      <c r="L739" s="108">
        <v>9.8522167487684722E-4</v>
      </c>
    </row>
    <row r="740" spans="3:12" ht="15" customHeight="1">
      <c r="C740" s="102" t="s">
        <v>1006</v>
      </c>
      <c r="D740" s="55"/>
      <c r="E740" s="55"/>
      <c r="F740" s="55"/>
      <c r="G740" s="55"/>
      <c r="H740" s="55"/>
      <c r="I740" s="55"/>
      <c r="J740" s="106">
        <v>0</v>
      </c>
      <c r="K740" s="107"/>
      <c r="L740" s="108">
        <v>9.8522167487684722E-4</v>
      </c>
    </row>
    <row r="741" spans="3:12" ht="15" customHeight="1">
      <c r="C741" s="102" t="s">
        <v>790</v>
      </c>
      <c r="D741" s="55"/>
      <c r="E741" s="55"/>
      <c r="F741" s="55"/>
      <c r="G741" s="55"/>
      <c r="H741" s="55"/>
      <c r="I741" s="55"/>
      <c r="J741" s="106">
        <v>0</v>
      </c>
      <c r="K741" s="107"/>
      <c r="L741" s="108">
        <v>9.8522167487684722E-4</v>
      </c>
    </row>
    <row r="742" spans="3:12" ht="15" customHeight="1">
      <c r="C742" s="102" t="s">
        <v>258</v>
      </c>
      <c r="D742" s="55"/>
      <c r="E742" s="55"/>
      <c r="F742" s="55"/>
      <c r="G742" s="55"/>
      <c r="H742" s="55"/>
      <c r="I742" s="55"/>
      <c r="J742" s="106">
        <v>0</v>
      </c>
      <c r="K742" s="107"/>
      <c r="L742" s="108">
        <v>9.8522167487684722E-4</v>
      </c>
    </row>
    <row r="743" spans="3:12" ht="15" customHeight="1">
      <c r="C743" s="102" t="s">
        <v>535</v>
      </c>
      <c r="D743" s="55"/>
      <c r="E743" s="55"/>
      <c r="F743" s="55"/>
      <c r="G743" s="55"/>
      <c r="H743" s="55"/>
      <c r="I743" s="55"/>
      <c r="J743" s="106">
        <v>0</v>
      </c>
      <c r="K743" s="107"/>
      <c r="L743" s="108">
        <v>9.8522167487684722E-4</v>
      </c>
    </row>
    <row r="744" spans="3:12" ht="15" customHeight="1">
      <c r="C744" s="102" t="s">
        <v>997</v>
      </c>
      <c r="D744" s="55"/>
      <c r="E744" s="55"/>
      <c r="F744" s="55"/>
      <c r="G744" s="55"/>
      <c r="H744" s="55"/>
      <c r="I744" s="55"/>
      <c r="J744" s="106">
        <v>0</v>
      </c>
      <c r="K744" s="107"/>
      <c r="L744" s="108">
        <v>9.8522167487684722E-4</v>
      </c>
    </row>
    <row r="745" spans="3:12" ht="15" customHeight="1">
      <c r="C745" s="102" t="s">
        <v>919</v>
      </c>
      <c r="D745" s="55"/>
      <c r="E745" s="55"/>
      <c r="F745" s="55"/>
      <c r="G745" s="55"/>
      <c r="H745" s="55"/>
      <c r="I745" s="55"/>
      <c r="J745" s="106">
        <v>0</v>
      </c>
      <c r="K745" s="107"/>
      <c r="L745" s="108">
        <v>9.8522167487684722E-4</v>
      </c>
    </row>
    <row r="746" spans="3:12" ht="15" customHeight="1">
      <c r="C746" s="102" t="s">
        <v>733</v>
      </c>
      <c r="D746" s="55"/>
      <c r="E746" s="55"/>
      <c r="F746" s="55"/>
      <c r="G746" s="55"/>
      <c r="H746" s="55"/>
      <c r="I746" s="55"/>
      <c r="J746" s="106">
        <v>0</v>
      </c>
      <c r="K746" s="107"/>
      <c r="L746" s="108">
        <v>9.8522167487684722E-4</v>
      </c>
    </row>
    <row r="747" spans="3:12" ht="15" customHeight="1">
      <c r="C747" s="102" t="s">
        <v>967</v>
      </c>
      <c r="D747" s="55"/>
      <c r="E747" s="55"/>
      <c r="F747" s="55"/>
      <c r="G747" s="55"/>
      <c r="H747" s="55"/>
      <c r="I747" s="55"/>
      <c r="J747" s="106">
        <v>0</v>
      </c>
      <c r="K747" s="107"/>
      <c r="L747" s="108">
        <v>9.8522167487684722E-4</v>
      </c>
    </row>
    <row r="748" spans="3:12" ht="15" customHeight="1">
      <c r="C748" s="102" t="s">
        <v>221</v>
      </c>
      <c r="D748" s="55"/>
      <c r="E748" s="55"/>
      <c r="F748" s="55"/>
      <c r="G748" s="55"/>
      <c r="H748" s="55"/>
      <c r="I748" s="55"/>
      <c r="J748" s="106">
        <v>0</v>
      </c>
      <c r="K748" s="107"/>
      <c r="L748" s="108">
        <v>9.8522167487684722E-4</v>
      </c>
    </row>
    <row r="749" spans="3:12" ht="15" customHeight="1">
      <c r="C749" s="102" t="s">
        <v>640</v>
      </c>
      <c r="D749" s="55"/>
      <c r="E749" s="55"/>
      <c r="F749" s="55"/>
      <c r="G749" s="55"/>
      <c r="H749" s="55"/>
      <c r="I749" s="55"/>
      <c r="J749" s="106">
        <v>0</v>
      </c>
      <c r="K749" s="107"/>
      <c r="L749" s="108">
        <v>9.8522167487684722E-4</v>
      </c>
    </row>
    <row r="750" spans="3:12" ht="15" customHeight="1">
      <c r="C750" s="102" t="s">
        <v>271</v>
      </c>
      <c r="D750" s="55"/>
      <c r="E750" s="55"/>
      <c r="F750" s="55"/>
      <c r="G750" s="55"/>
      <c r="H750" s="55"/>
      <c r="I750" s="55"/>
      <c r="J750" s="106">
        <v>0</v>
      </c>
      <c r="K750" s="107"/>
      <c r="L750" s="108">
        <v>9.8522167487684722E-4</v>
      </c>
    </row>
    <row r="751" spans="3:12" ht="15" customHeight="1">
      <c r="C751" s="102" t="s">
        <v>446</v>
      </c>
      <c r="D751" s="55"/>
      <c r="E751" s="55"/>
      <c r="F751" s="55"/>
      <c r="G751" s="55"/>
      <c r="H751" s="55"/>
      <c r="I751" s="55"/>
      <c r="J751" s="106">
        <v>0</v>
      </c>
      <c r="K751" s="107"/>
      <c r="L751" s="108">
        <v>9.8522167487684722E-4</v>
      </c>
    </row>
    <row r="752" spans="3:12" ht="15" customHeight="1">
      <c r="C752" s="102" t="s">
        <v>787</v>
      </c>
      <c r="D752" s="55"/>
      <c r="E752" s="55"/>
      <c r="F752" s="55"/>
      <c r="G752" s="55"/>
      <c r="H752" s="55"/>
      <c r="I752" s="55"/>
      <c r="J752" s="106">
        <v>0</v>
      </c>
      <c r="K752" s="107"/>
      <c r="L752" s="108">
        <v>9.8522167487684722E-4</v>
      </c>
    </row>
    <row r="753" spans="3:12" ht="15" customHeight="1">
      <c r="C753" s="102" t="s">
        <v>823</v>
      </c>
      <c r="D753" s="55"/>
      <c r="E753" s="55"/>
      <c r="F753" s="55"/>
      <c r="G753" s="55"/>
      <c r="H753" s="55"/>
      <c r="I753" s="55"/>
      <c r="J753" s="106">
        <v>0</v>
      </c>
      <c r="K753" s="107"/>
      <c r="L753" s="108">
        <v>9.8522167487684722E-4</v>
      </c>
    </row>
    <row r="754" spans="3:12" ht="15" customHeight="1">
      <c r="C754" s="102" t="s">
        <v>1034</v>
      </c>
      <c r="D754" s="55"/>
      <c r="E754" s="55"/>
      <c r="F754" s="55"/>
      <c r="G754" s="55"/>
      <c r="H754" s="55"/>
      <c r="I754" s="55"/>
      <c r="J754" s="106">
        <v>0</v>
      </c>
      <c r="K754" s="107"/>
      <c r="L754" s="108">
        <v>9.8522167487684722E-4</v>
      </c>
    </row>
    <row r="755" spans="3:12" ht="15" customHeight="1">
      <c r="C755" s="102" t="s">
        <v>347</v>
      </c>
      <c r="D755" s="55"/>
      <c r="E755" s="55"/>
      <c r="F755" s="55"/>
      <c r="G755" s="55"/>
      <c r="H755" s="55"/>
      <c r="I755" s="55"/>
      <c r="J755" s="106">
        <v>0</v>
      </c>
      <c r="K755" s="107"/>
      <c r="L755" s="108">
        <v>9.8522167487684722E-4</v>
      </c>
    </row>
    <row r="756" spans="3:12" ht="15" customHeight="1">
      <c r="C756" s="102" t="s">
        <v>634</v>
      </c>
      <c r="D756" s="55"/>
      <c r="E756" s="55"/>
      <c r="F756" s="55"/>
      <c r="G756" s="55"/>
      <c r="H756" s="55"/>
      <c r="I756" s="55"/>
      <c r="J756" s="106">
        <v>0</v>
      </c>
      <c r="K756" s="107"/>
      <c r="L756" s="108">
        <v>9.8522167487684722E-4</v>
      </c>
    </row>
    <row r="757" spans="3:12" ht="15" customHeight="1">
      <c r="C757" s="102" t="s">
        <v>454</v>
      </c>
      <c r="D757" s="55"/>
      <c r="E757" s="55"/>
      <c r="F757" s="55"/>
      <c r="G757" s="55"/>
      <c r="H757" s="55"/>
      <c r="I757" s="55"/>
      <c r="J757" s="106">
        <v>0</v>
      </c>
      <c r="K757" s="107"/>
      <c r="L757" s="108">
        <v>9.8522167487684722E-4</v>
      </c>
    </row>
    <row r="758" spans="3:12" ht="15" customHeight="1">
      <c r="C758" s="102" t="s">
        <v>334</v>
      </c>
      <c r="D758" s="55"/>
      <c r="E758" s="55"/>
      <c r="F758" s="55"/>
      <c r="G758" s="55"/>
      <c r="H758" s="55"/>
      <c r="I758" s="55"/>
      <c r="J758" s="106">
        <v>0</v>
      </c>
      <c r="K758" s="107"/>
      <c r="L758" s="108">
        <v>9.8522167487684722E-4</v>
      </c>
    </row>
    <row r="759" spans="3:12" ht="15" customHeight="1">
      <c r="C759" s="102" t="s">
        <v>482</v>
      </c>
      <c r="D759" s="55"/>
      <c r="E759" s="55"/>
      <c r="F759" s="55"/>
      <c r="G759" s="55"/>
      <c r="H759" s="55"/>
      <c r="I759" s="55"/>
      <c r="J759" s="106">
        <v>0</v>
      </c>
      <c r="K759" s="107"/>
      <c r="L759" s="108">
        <v>9.8522167487684722E-4</v>
      </c>
    </row>
    <row r="760" spans="3:12" ht="15" customHeight="1">
      <c r="C760" s="102" t="s">
        <v>222</v>
      </c>
      <c r="D760" s="55"/>
      <c r="E760" s="55"/>
      <c r="F760" s="55"/>
      <c r="G760" s="55"/>
      <c r="H760" s="55"/>
      <c r="I760" s="55"/>
      <c r="J760" s="106">
        <v>0</v>
      </c>
      <c r="K760" s="107"/>
      <c r="L760" s="108">
        <v>9.8522167487684722E-4</v>
      </c>
    </row>
    <row r="761" spans="3:12" ht="15" customHeight="1">
      <c r="C761" s="102" t="s">
        <v>988</v>
      </c>
      <c r="D761" s="55"/>
      <c r="E761" s="55"/>
      <c r="F761" s="55"/>
      <c r="G761" s="55"/>
      <c r="H761" s="55"/>
      <c r="I761" s="55"/>
      <c r="J761" s="106">
        <v>0</v>
      </c>
      <c r="K761" s="107"/>
      <c r="L761" s="108">
        <v>9.8522167487684722E-4</v>
      </c>
    </row>
    <row r="762" spans="3:12" ht="15" customHeight="1">
      <c r="C762" s="102" t="s">
        <v>96</v>
      </c>
      <c r="D762" s="55"/>
      <c r="E762" s="55"/>
      <c r="F762" s="55"/>
      <c r="G762" s="55"/>
      <c r="H762" s="55"/>
      <c r="I762" s="55"/>
      <c r="J762" s="106">
        <v>0</v>
      </c>
      <c r="K762" s="107"/>
      <c r="L762" s="108">
        <v>9.8522167487684722E-4</v>
      </c>
    </row>
    <row r="763" spans="3:12" ht="15" customHeight="1">
      <c r="C763" s="102" t="s">
        <v>150</v>
      </c>
      <c r="D763" s="55"/>
      <c r="E763" s="55"/>
      <c r="F763" s="55"/>
      <c r="G763" s="55"/>
      <c r="H763" s="55"/>
      <c r="I763" s="55"/>
      <c r="J763" s="106">
        <v>0</v>
      </c>
      <c r="K763" s="107"/>
      <c r="L763" s="108">
        <v>9.8522167487684722E-4</v>
      </c>
    </row>
    <row r="764" spans="3:12" ht="15" customHeight="1">
      <c r="C764" s="102" t="s">
        <v>546</v>
      </c>
      <c r="D764" s="55"/>
      <c r="E764" s="55"/>
      <c r="F764" s="55"/>
      <c r="G764" s="55"/>
      <c r="H764" s="55"/>
      <c r="I764" s="55"/>
      <c r="J764" s="106">
        <v>0</v>
      </c>
      <c r="K764" s="107"/>
      <c r="L764" s="108">
        <v>9.8522167487684722E-4</v>
      </c>
    </row>
    <row r="765" spans="3:12" ht="15" customHeight="1">
      <c r="C765" s="102" t="s">
        <v>262</v>
      </c>
      <c r="D765" s="55"/>
      <c r="E765" s="55"/>
      <c r="F765" s="55"/>
      <c r="G765" s="55"/>
      <c r="H765" s="55"/>
      <c r="I765" s="55"/>
      <c r="J765" s="106">
        <v>0</v>
      </c>
      <c r="K765" s="107"/>
      <c r="L765" s="108">
        <v>9.8522167487684722E-4</v>
      </c>
    </row>
    <row r="766" spans="3:12" ht="15" customHeight="1">
      <c r="C766" s="102" t="s">
        <v>1079</v>
      </c>
      <c r="D766" s="55"/>
      <c r="E766" s="55"/>
      <c r="F766" s="55"/>
      <c r="G766" s="55"/>
      <c r="H766" s="55"/>
      <c r="I766" s="55"/>
      <c r="J766" s="106">
        <v>0</v>
      </c>
      <c r="K766" s="107"/>
      <c r="L766" s="108">
        <v>9.8522167487684722E-4</v>
      </c>
    </row>
    <row r="767" spans="3:12" ht="15" customHeight="1">
      <c r="C767" s="102" t="s">
        <v>851</v>
      </c>
      <c r="D767" s="55"/>
      <c r="E767" s="55"/>
      <c r="F767" s="55"/>
      <c r="G767" s="55"/>
      <c r="H767" s="55"/>
      <c r="I767" s="55"/>
      <c r="J767" s="106">
        <v>0</v>
      </c>
      <c r="K767" s="107"/>
      <c r="L767" s="108">
        <v>9.8522167487684722E-4</v>
      </c>
    </row>
    <row r="768" spans="3:12" ht="15" customHeight="1">
      <c r="C768" s="102" t="s">
        <v>994</v>
      </c>
      <c r="D768" s="55"/>
      <c r="E768" s="55"/>
      <c r="F768" s="55"/>
      <c r="G768" s="55"/>
      <c r="H768" s="55"/>
      <c r="I768" s="55"/>
      <c r="J768" s="106">
        <v>0</v>
      </c>
      <c r="K768" s="107"/>
      <c r="L768" s="108">
        <v>9.8522167487684722E-4</v>
      </c>
    </row>
    <row r="769" spans="3:12" ht="15" customHeight="1">
      <c r="C769" s="102" t="s">
        <v>714</v>
      </c>
      <c r="D769" s="55"/>
      <c r="E769" s="55"/>
      <c r="F769" s="55"/>
      <c r="G769" s="55"/>
      <c r="H769" s="55"/>
      <c r="I769" s="55"/>
      <c r="J769" s="106">
        <v>0</v>
      </c>
      <c r="K769" s="107"/>
      <c r="L769" s="108">
        <v>9.8522167487684722E-4</v>
      </c>
    </row>
    <row r="770" spans="3:12" ht="15" customHeight="1">
      <c r="C770" s="102" t="s">
        <v>465</v>
      </c>
      <c r="D770" s="55"/>
      <c r="E770" s="55"/>
      <c r="F770" s="55"/>
      <c r="G770" s="55"/>
      <c r="H770" s="55"/>
      <c r="I770" s="55"/>
      <c r="J770" s="106">
        <v>0</v>
      </c>
      <c r="K770" s="107"/>
      <c r="L770" s="108">
        <v>9.8522167487684722E-4</v>
      </c>
    </row>
    <row r="771" spans="3:12" ht="15" customHeight="1">
      <c r="C771" s="102" t="s">
        <v>452</v>
      </c>
      <c r="D771" s="55"/>
      <c r="E771" s="55"/>
      <c r="F771" s="55"/>
      <c r="G771" s="55"/>
      <c r="H771" s="55"/>
      <c r="I771" s="55"/>
      <c r="J771" s="106">
        <v>0</v>
      </c>
      <c r="K771" s="107"/>
      <c r="L771" s="108">
        <v>9.8522167487684722E-4</v>
      </c>
    </row>
    <row r="772" spans="3:12" ht="15" customHeight="1">
      <c r="C772" s="102" t="s">
        <v>796</v>
      </c>
      <c r="D772" s="55"/>
      <c r="E772" s="55"/>
      <c r="F772" s="55"/>
      <c r="G772" s="55"/>
      <c r="H772" s="55"/>
      <c r="I772" s="55"/>
      <c r="J772" s="106">
        <v>0</v>
      </c>
      <c r="K772" s="107"/>
      <c r="L772" s="108">
        <v>9.8522167487684722E-4</v>
      </c>
    </row>
    <row r="773" spans="3:12" ht="15" customHeight="1">
      <c r="C773" s="102" t="s">
        <v>849</v>
      </c>
      <c r="D773" s="55"/>
      <c r="E773" s="55"/>
      <c r="F773" s="55"/>
      <c r="G773" s="55"/>
      <c r="H773" s="55"/>
      <c r="I773" s="55"/>
      <c r="J773" s="106">
        <v>0</v>
      </c>
      <c r="K773" s="107"/>
      <c r="L773" s="108">
        <v>9.8522167487684722E-4</v>
      </c>
    </row>
    <row r="774" spans="3:12" ht="15" customHeight="1">
      <c r="C774" s="102" t="s">
        <v>332</v>
      </c>
      <c r="D774" s="55"/>
      <c r="E774" s="55"/>
      <c r="F774" s="55"/>
      <c r="G774" s="55"/>
      <c r="H774" s="55"/>
      <c r="I774" s="55"/>
      <c r="J774" s="106">
        <v>0</v>
      </c>
      <c r="K774" s="107"/>
      <c r="L774" s="108">
        <v>9.8522167487684722E-4</v>
      </c>
    </row>
    <row r="775" spans="3:12" ht="15" customHeight="1">
      <c r="C775" s="102" t="s">
        <v>1064</v>
      </c>
      <c r="D775" s="55"/>
      <c r="E775" s="55"/>
      <c r="F775" s="55"/>
      <c r="G775" s="55"/>
      <c r="H775" s="55"/>
      <c r="I775" s="55"/>
      <c r="J775" s="106">
        <v>0</v>
      </c>
      <c r="K775" s="107"/>
      <c r="L775" s="108">
        <v>9.8522167487684722E-4</v>
      </c>
    </row>
    <row r="776" spans="3:12" ht="15" customHeight="1">
      <c r="C776" s="102" t="s">
        <v>160</v>
      </c>
      <c r="D776" s="55"/>
      <c r="E776" s="55"/>
      <c r="F776" s="55"/>
      <c r="G776" s="55"/>
      <c r="H776" s="55"/>
      <c r="I776" s="55"/>
      <c r="J776" s="106">
        <v>0</v>
      </c>
      <c r="K776" s="107"/>
      <c r="L776" s="108">
        <v>9.8522167487684722E-4</v>
      </c>
    </row>
    <row r="777" spans="3:12" ht="15" customHeight="1">
      <c r="C777" s="102" t="s">
        <v>794</v>
      </c>
      <c r="D777" s="55"/>
      <c r="E777" s="55"/>
      <c r="F777" s="55"/>
      <c r="G777" s="55"/>
      <c r="H777" s="55"/>
      <c r="I777" s="55"/>
      <c r="J777" s="106">
        <v>0</v>
      </c>
      <c r="K777" s="107"/>
      <c r="L777" s="108">
        <v>9.8522167487684722E-4</v>
      </c>
    </row>
    <row r="778" spans="3:12" ht="15" customHeight="1">
      <c r="C778" s="102" t="s">
        <v>648</v>
      </c>
      <c r="D778" s="55"/>
      <c r="E778" s="55"/>
      <c r="F778" s="55"/>
      <c r="G778" s="55"/>
      <c r="H778" s="55"/>
      <c r="I778" s="55"/>
      <c r="J778" s="106">
        <v>0</v>
      </c>
      <c r="K778" s="107"/>
      <c r="L778" s="108">
        <v>9.8522167487684722E-4</v>
      </c>
    </row>
    <row r="779" spans="3:12" ht="15" customHeight="1">
      <c r="C779" s="102" t="s">
        <v>826</v>
      </c>
      <c r="D779" s="55"/>
      <c r="E779" s="55"/>
      <c r="F779" s="55"/>
      <c r="G779" s="55"/>
      <c r="H779" s="55"/>
      <c r="I779" s="55"/>
      <c r="J779" s="106">
        <v>0</v>
      </c>
      <c r="K779" s="107"/>
      <c r="L779" s="108">
        <v>9.8522167487684722E-4</v>
      </c>
    </row>
    <row r="780" spans="3:12" ht="15" customHeight="1">
      <c r="C780" s="102" t="s">
        <v>601</v>
      </c>
      <c r="D780" s="55"/>
      <c r="E780" s="55"/>
      <c r="F780" s="55"/>
      <c r="G780" s="55"/>
      <c r="H780" s="55"/>
      <c r="I780" s="55"/>
      <c r="J780" s="106">
        <v>0</v>
      </c>
      <c r="K780" s="107"/>
      <c r="L780" s="108">
        <v>9.8522167487684722E-4</v>
      </c>
    </row>
    <row r="781" spans="3:12" ht="15" customHeight="1">
      <c r="C781" s="102" t="s">
        <v>372</v>
      </c>
      <c r="D781" s="55"/>
      <c r="E781" s="55"/>
      <c r="F781" s="55"/>
      <c r="G781" s="55"/>
      <c r="H781" s="55"/>
      <c r="I781" s="55"/>
      <c r="J781" s="106">
        <v>0</v>
      </c>
      <c r="K781" s="107"/>
      <c r="L781" s="108">
        <v>9.8522167487684722E-4</v>
      </c>
    </row>
    <row r="782" spans="3:12" ht="15" customHeight="1">
      <c r="C782" s="102" t="s">
        <v>131</v>
      </c>
      <c r="D782" s="55"/>
      <c r="E782" s="55"/>
      <c r="F782" s="55"/>
      <c r="G782" s="55"/>
      <c r="H782" s="55"/>
      <c r="I782" s="55"/>
      <c r="J782" s="106">
        <v>0</v>
      </c>
      <c r="K782" s="107"/>
      <c r="L782" s="108">
        <v>9.8522167487684722E-4</v>
      </c>
    </row>
    <row r="783" spans="3:12" ht="15" customHeight="1">
      <c r="C783" s="102" t="s">
        <v>896</v>
      </c>
      <c r="D783" s="55"/>
      <c r="E783" s="55"/>
      <c r="F783" s="55"/>
      <c r="G783" s="55"/>
      <c r="H783" s="55"/>
      <c r="I783" s="55"/>
      <c r="J783" s="106">
        <v>0</v>
      </c>
      <c r="K783" s="107"/>
      <c r="L783" s="108">
        <v>9.8522167487684722E-4</v>
      </c>
    </row>
    <row r="784" spans="3:12" ht="15" customHeight="1">
      <c r="C784" s="102" t="s">
        <v>1091</v>
      </c>
      <c r="D784" s="55"/>
      <c r="E784" s="55"/>
      <c r="F784" s="55"/>
      <c r="G784" s="55"/>
      <c r="H784" s="55"/>
      <c r="I784" s="55"/>
      <c r="J784" s="106">
        <v>0</v>
      </c>
      <c r="K784" s="107"/>
      <c r="L784" s="108">
        <v>9.8522167487684722E-4</v>
      </c>
    </row>
    <row r="785" spans="3:12" ht="15" customHeight="1">
      <c r="C785" s="102" t="s">
        <v>559</v>
      </c>
      <c r="D785" s="55"/>
      <c r="E785" s="55"/>
      <c r="F785" s="55"/>
      <c r="G785" s="55"/>
      <c r="H785" s="55"/>
      <c r="I785" s="55"/>
      <c r="J785" s="106">
        <v>0</v>
      </c>
      <c r="K785" s="107"/>
      <c r="L785" s="108">
        <v>9.8522167487684722E-4</v>
      </c>
    </row>
    <row r="786" spans="3:12" ht="15" customHeight="1">
      <c r="C786" s="102" t="s">
        <v>79</v>
      </c>
      <c r="D786" s="55"/>
      <c r="E786" s="55"/>
      <c r="F786" s="55"/>
      <c r="G786" s="55"/>
      <c r="H786" s="55"/>
      <c r="I786" s="55"/>
      <c r="J786" s="106">
        <v>0</v>
      </c>
      <c r="K786" s="107"/>
      <c r="L786" s="108">
        <v>9.8522167487684722E-4</v>
      </c>
    </row>
    <row r="787" spans="3:12" ht="15" customHeight="1">
      <c r="C787" s="102" t="s">
        <v>240</v>
      </c>
      <c r="D787" s="55"/>
      <c r="E787" s="55"/>
      <c r="F787" s="55"/>
      <c r="G787" s="55"/>
      <c r="H787" s="55"/>
      <c r="I787" s="55"/>
      <c r="J787" s="106">
        <v>0</v>
      </c>
      <c r="K787" s="107"/>
      <c r="L787" s="108">
        <v>9.8522167487684722E-4</v>
      </c>
    </row>
    <row r="788" spans="3:12" ht="15" customHeight="1">
      <c r="C788" s="102" t="s">
        <v>841</v>
      </c>
      <c r="D788" s="55"/>
      <c r="E788" s="55"/>
      <c r="F788" s="55"/>
      <c r="G788" s="55"/>
      <c r="H788" s="55"/>
      <c r="I788" s="55"/>
      <c r="J788" s="106">
        <v>0</v>
      </c>
      <c r="K788" s="107"/>
      <c r="L788" s="108">
        <v>9.8522167487684722E-4</v>
      </c>
    </row>
    <row r="789" spans="3:12" ht="15" customHeight="1">
      <c r="C789" s="102" t="s">
        <v>122</v>
      </c>
      <c r="D789" s="55"/>
      <c r="E789" s="55"/>
      <c r="F789" s="55"/>
      <c r="G789" s="55"/>
      <c r="H789" s="55"/>
      <c r="I789" s="55"/>
      <c r="J789" s="106">
        <v>0</v>
      </c>
      <c r="K789" s="107"/>
      <c r="L789" s="108">
        <v>9.8522167487684722E-4</v>
      </c>
    </row>
    <row r="790" spans="3:12" ht="15" customHeight="1">
      <c r="C790" s="102" t="s">
        <v>773</v>
      </c>
      <c r="D790" s="55"/>
      <c r="E790" s="55"/>
      <c r="F790" s="55"/>
      <c r="G790" s="55"/>
      <c r="H790" s="55"/>
      <c r="I790" s="55"/>
      <c r="J790" s="106">
        <v>0</v>
      </c>
      <c r="K790" s="107"/>
      <c r="L790" s="108">
        <v>9.8522167487684722E-4</v>
      </c>
    </row>
    <row r="791" spans="3:12" ht="15" customHeight="1">
      <c r="C791" s="102" t="s">
        <v>1041</v>
      </c>
      <c r="D791" s="55"/>
      <c r="E791" s="55"/>
      <c r="F791" s="55"/>
      <c r="G791" s="55"/>
      <c r="H791" s="55"/>
      <c r="I791" s="55"/>
      <c r="J791" s="106">
        <v>0</v>
      </c>
      <c r="K791" s="107"/>
      <c r="L791" s="108">
        <v>9.8522167487684722E-4</v>
      </c>
    </row>
    <row r="792" spans="3:12" ht="15" customHeight="1">
      <c r="C792" s="102" t="s">
        <v>960</v>
      </c>
      <c r="D792" s="55"/>
      <c r="E792" s="55"/>
      <c r="F792" s="55"/>
      <c r="G792" s="55"/>
      <c r="H792" s="55"/>
      <c r="I792" s="55"/>
      <c r="J792" s="106">
        <v>0</v>
      </c>
      <c r="K792" s="107"/>
      <c r="L792" s="108">
        <v>9.8522167487684722E-4</v>
      </c>
    </row>
    <row r="793" spans="3:12" ht="15" customHeight="1">
      <c r="C793" s="102" t="s">
        <v>804</v>
      </c>
      <c r="D793" s="55"/>
      <c r="E793" s="55"/>
      <c r="F793" s="55"/>
      <c r="G793" s="55"/>
      <c r="H793" s="55"/>
      <c r="I793" s="55"/>
      <c r="J793" s="106">
        <v>0</v>
      </c>
      <c r="K793" s="107"/>
      <c r="L793" s="108">
        <v>9.8522167487684722E-4</v>
      </c>
    </row>
    <row r="794" spans="3:12" ht="15" customHeight="1">
      <c r="C794" s="102" t="s">
        <v>1066</v>
      </c>
      <c r="D794" s="55"/>
      <c r="E794" s="55"/>
      <c r="F794" s="55"/>
      <c r="G794" s="55"/>
      <c r="H794" s="55"/>
      <c r="I794" s="55"/>
      <c r="J794" s="106">
        <v>0</v>
      </c>
      <c r="K794" s="107"/>
      <c r="L794" s="108">
        <v>9.8522167487684722E-4</v>
      </c>
    </row>
    <row r="795" spans="3:12" ht="15" customHeight="1">
      <c r="C795" s="102" t="s">
        <v>791</v>
      </c>
      <c r="D795" s="55"/>
      <c r="E795" s="55"/>
      <c r="F795" s="55"/>
      <c r="G795" s="55"/>
      <c r="H795" s="55"/>
      <c r="I795" s="55"/>
      <c r="J795" s="106">
        <v>0</v>
      </c>
      <c r="K795" s="107"/>
      <c r="L795" s="108">
        <v>9.8522167487684722E-4</v>
      </c>
    </row>
    <row r="796" spans="3:12" ht="15" customHeight="1">
      <c r="C796" s="102" t="s">
        <v>572</v>
      </c>
      <c r="D796" s="55"/>
      <c r="E796" s="55"/>
      <c r="F796" s="55"/>
      <c r="G796" s="55"/>
      <c r="H796" s="55"/>
      <c r="I796" s="55"/>
      <c r="J796" s="106">
        <v>0</v>
      </c>
      <c r="K796" s="107"/>
      <c r="L796" s="108">
        <v>9.8522167487684722E-4</v>
      </c>
    </row>
    <row r="797" spans="3:12" ht="15" customHeight="1">
      <c r="C797" s="102" t="s">
        <v>594</v>
      </c>
      <c r="D797" s="55"/>
      <c r="E797" s="55"/>
      <c r="F797" s="55"/>
      <c r="G797" s="55"/>
      <c r="H797" s="55"/>
      <c r="I797" s="55"/>
      <c r="J797" s="106">
        <v>0</v>
      </c>
      <c r="K797" s="107"/>
      <c r="L797" s="108">
        <v>9.8522167487684722E-4</v>
      </c>
    </row>
    <row r="798" spans="3:12" ht="15" customHeight="1">
      <c r="C798" s="102" t="s">
        <v>180</v>
      </c>
      <c r="D798" s="55"/>
      <c r="E798" s="55"/>
      <c r="F798" s="55"/>
      <c r="G798" s="55"/>
      <c r="H798" s="55"/>
      <c r="I798" s="55"/>
      <c r="J798" s="106">
        <v>0</v>
      </c>
      <c r="K798" s="107"/>
      <c r="L798" s="108">
        <v>9.8522167487684722E-4</v>
      </c>
    </row>
    <row r="799" spans="3:12" ht="15" customHeight="1">
      <c r="C799" s="102" t="s">
        <v>591</v>
      </c>
      <c r="D799" s="55"/>
      <c r="E799" s="55"/>
      <c r="F799" s="55"/>
      <c r="G799" s="55"/>
      <c r="H799" s="55"/>
      <c r="I799" s="55"/>
      <c r="J799" s="106">
        <v>0</v>
      </c>
      <c r="K799" s="107"/>
      <c r="L799" s="108">
        <v>9.8522167487684722E-4</v>
      </c>
    </row>
    <row r="800" spans="3:12" ht="15" customHeight="1">
      <c r="C800" s="102" t="s">
        <v>810</v>
      </c>
      <c r="D800" s="55"/>
      <c r="E800" s="55"/>
      <c r="F800" s="55"/>
      <c r="G800" s="55"/>
      <c r="H800" s="55"/>
      <c r="I800" s="55"/>
      <c r="J800" s="106">
        <v>0</v>
      </c>
      <c r="K800" s="107"/>
      <c r="L800" s="108">
        <v>9.8522167487684722E-4</v>
      </c>
    </row>
    <row r="801" spans="3:12" ht="15" customHeight="1">
      <c r="C801" s="102" t="s">
        <v>333</v>
      </c>
      <c r="D801" s="55"/>
      <c r="E801" s="55"/>
      <c r="F801" s="55"/>
      <c r="G801" s="55"/>
      <c r="H801" s="55"/>
      <c r="I801" s="55"/>
      <c r="J801" s="106">
        <v>0</v>
      </c>
      <c r="K801" s="107"/>
      <c r="L801" s="108">
        <v>9.8522167487684722E-4</v>
      </c>
    </row>
    <row r="802" spans="3:12" ht="15" customHeight="1">
      <c r="C802" s="102" t="s">
        <v>921</v>
      </c>
      <c r="D802" s="55"/>
      <c r="E802" s="55"/>
      <c r="F802" s="55"/>
      <c r="G802" s="55"/>
      <c r="H802" s="55"/>
      <c r="I802" s="55"/>
      <c r="J802" s="106">
        <v>0</v>
      </c>
      <c r="K802" s="107"/>
      <c r="L802" s="108">
        <v>9.8522167487684722E-4</v>
      </c>
    </row>
    <row r="803" spans="3:12" ht="15" customHeight="1">
      <c r="C803" s="102" t="s">
        <v>253</v>
      </c>
      <c r="D803" s="55"/>
      <c r="E803" s="55"/>
      <c r="F803" s="55"/>
      <c r="G803" s="55"/>
      <c r="H803" s="55"/>
      <c r="I803" s="55"/>
      <c r="J803" s="106">
        <v>0</v>
      </c>
      <c r="K803" s="107"/>
      <c r="L803" s="108">
        <v>9.8522167487684722E-4</v>
      </c>
    </row>
    <row r="804" spans="3:12" ht="15" customHeight="1">
      <c r="C804" s="102" t="s">
        <v>855</v>
      </c>
      <c r="D804" s="55"/>
      <c r="E804" s="55"/>
      <c r="F804" s="55"/>
      <c r="G804" s="55"/>
      <c r="H804" s="55"/>
      <c r="I804" s="55"/>
      <c r="J804" s="106">
        <v>0</v>
      </c>
      <c r="K804" s="107"/>
      <c r="L804" s="108">
        <v>9.8522167487684722E-4</v>
      </c>
    </row>
    <row r="805" spans="3:12" ht="15" customHeight="1">
      <c r="C805" s="102" t="s">
        <v>245</v>
      </c>
      <c r="D805" s="55"/>
      <c r="E805" s="55"/>
      <c r="F805" s="55"/>
      <c r="G805" s="55"/>
      <c r="H805" s="55"/>
      <c r="I805" s="55"/>
      <c r="J805" s="106">
        <v>0</v>
      </c>
      <c r="K805" s="107"/>
      <c r="L805" s="108">
        <v>9.8522167487684722E-4</v>
      </c>
    </row>
    <row r="806" spans="3:12" ht="15" customHeight="1">
      <c r="C806" s="102" t="s">
        <v>602</v>
      </c>
      <c r="D806" s="55"/>
      <c r="E806" s="55"/>
      <c r="F806" s="55"/>
      <c r="G806" s="55"/>
      <c r="H806" s="55"/>
      <c r="I806" s="55"/>
      <c r="J806" s="106">
        <v>0</v>
      </c>
      <c r="K806" s="107"/>
      <c r="L806" s="108">
        <v>9.8522167487684722E-4</v>
      </c>
    </row>
    <row r="807" spans="3:12" ht="15" customHeight="1">
      <c r="C807" s="102" t="s">
        <v>1036</v>
      </c>
      <c r="D807" s="55"/>
      <c r="E807" s="55"/>
      <c r="F807" s="55"/>
      <c r="G807" s="55"/>
      <c r="H807" s="55"/>
      <c r="I807" s="55"/>
      <c r="J807" s="106">
        <v>0</v>
      </c>
      <c r="K807" s="107"/>
      <c r="L807" s="108">
        <v>9.8522167487684722E-4</v>
      </c>
    </row>
    <row r="808" spans="3:12" ht="15" customHeight="1">
      <c r="C808" s="102" t="s">
        <v>774</v>
      </c>
      <c r="D808" s="55"/>
      <c r="E808" s="55"/>
      <c r="F808" s="55"/>
      <c r="G808" s="55"/>
      <c r="H808" s="55"/>
      <c r="I808" s="55"/>
      <c r="J808" s="106">
        <v>0</v>
      </c>
      <c r="K808" s="107"/>
      <c r="L808" s="108">
        <v>9.8522167487684722E-4</v>
      </c>
    </row>
    <row r="809" spans="3:12" ht="15" customHeight="1">
      <c r="C809" s="102" t="s">
        <v>80</v>
      </c>
      <c r="D809" s="55"/>
      <c r="E809" s="55"/>
      <c r="F809" s="55"/>
      <c r="G809" s="55"/>
      <c r="H809" s="55"/>
      <c r="I809" s="55"/>
      <c r="J809" s="106">
        <v>0</v>
      </c>
      <c r="K809" s="107"/>
      <c r="L809" s="108">
        <v>9.8522167487684722E-4</v>
      </c>
    </row>
    <row r="810" spans="3:12" ht="15" customHeight="1">
      <c r="C810" s="102" t="s">
        <v>853</v>
      </c>
      <c r="D810" s="55"/>
      <c r="E810" s="55"/>
      <c r="F810" s="55"/>
      <c r="G810" s="55"/>
      <c r="H810" s="55"/>
      <c r="I810" s="55"/>
      <c r="J810" s="106">
        <v>0</v>
      </c>
      <c r="K810" s="107"/>
      <c r="L810" s="108">
        <v>9.8522167487684722E-4</v>
      </c>
    </row>
    <row r="811" spans="3:12" ht="15" customHeight="1">
      <c r="C811" s="102" t="s">
        <v>552</v>
      </c>
      <c r="D811" s="55"/>
      <c r="E811" s="55"/>
      <c r="F811" s="55"/>
      <c r="G811" s="55"/>
      <c r="H811" s="55"/>
      <c r="I811" s="55"/>
      <c r="J811" s="106">
        <v>0</v>
      </c>
      <c r="K811" s="107"/>
      <c r="L811" s="108">
        <v>9.8522167487684722E-4</v>
      </c>
    </row>
    <row r="812" spans="3:12" ht="15" customHeight="1">
      <c r="C812" s="102" t="s">
        <v>766</v>
      </c>
      <c r="D812" s="55"/>
      <c r="E812" s="55"/>
      <c r="F812" s="55"/>
      <c r="G812" s="55"/>
      <c r="H812" s="55"/>
      <c r="I812" s="55"/>
      <c r="J812" s="106">
        <v>0</v>
      </c>
      <c r="K812" s="107"/>
      <c r="L812" s="108">
        <v>9.8522167487684722E-4</v>
      </c>
    </row>
    <row r="813" spans="3:12" ht="15" customHeight="1">
      <c r="C813" s="102" t="s">
        <v>336</v>
      </c>
      <c r="D813" s="55"/>
      <c r="E813" s="55"/>
      <c r="F813" s="55"/>
      <c r="G813" s="55"/>
      <c r="H813" s="55"/>
      <c r="I813" s="55"/>
      <c r="J813" s="106">
        <v>0</v>
      </c>
      <c r="K813" s="107"/>
      <c r="L813" s="108">
        <v>9.8522167487684722E-4</v>
      </c>
    </row>
    <row r="814" spans="3:12" ht="15" customHeight="1">
      <c r="C814" s="102" t="s">
        <v>1118</v>
      </c>
      <c r="D814" s="55"/>
      <c r="E814" s="55"/>
      <c r="F814" s="55"/>
      <c r="G814" s="55"/>
      <c r="H814" s="55"/>
      <c r="I814" s="55"/>
      <c r="J814" s="106">
        <v>0</v>
      </c>
      <c r="K814" s="107"/>
      <c r="L814" s="108">
        <v>9.8522167487684722E-4</v>
      </c>
    </row>
    <row r="815" spans="3:12" ht="15" customHeight="1">
      <c r="C815" s="102" t="s">
        <v>658</v>
      </c>
      <c r="D815" s="55"/>
      <c r="E815" s="55"/>
      <c r="F815" s="55"/>
      <c r="G815" s="55"/>
      <c r="H815" s="55"/>
      <c r="I815" s="55"/>
      <c r="J815" s="106">
        <v>0</v>
      </c>
      <c r="K815" s="107"/>
      <c r="L815" s="108">
        <v>9.8522167487684722E-4</v>
      </c>
    </row>
    <row r="816" spans="3:12" ht="15" customHeight="1">
      <c r="C816" s="102" t="s">
        <v>1123</v>
      </c>
      <c r="D816" s="55"/>
      <c r="E816" s="55"/>
      <c r="F816" s="55"/>
      <c r="G816" s="55"/>
      <c r="H816" s="55"/>
      <c r="I816" s="55"/>
      <c r="J816" s="106">
        <v>0</v>
      </c>
      <c r="K816" s="107"/>
      <c r="L816" s="108">
        <v>9.8522167487684722E-4</v>
      </c>
    </row>
    <row r="817" spans="3:12" ht="15" customHeight="1">
      <c r="C817" s="102" t="s">
        <v>695</v>
      </c>
      <c r="D817" s="55"/>
      <c r="E817" s="55"/>
      <c r="F817" s="55"/>
      <c r="G817" s="55"/>
      <c r="H817" s="55"/>
      <c r="I817" s="55"/>
      <c r="J817" s="106">
        <v>0</v>
      </c>
      <c r="K817" s="107"/>
      <c r="L817" s="108">
        <v>9.8522167487684722E-4</v>
      </c>
    </row>
    <row r="818" spans="3:12" ht="15" customHeight="1">
      <c r="C818" s="102" t="s">
        <v>1070</v>
      </c>
      <c r="D818" s="55"/>
      <c r="E818" s="55"/>
      <c r="F818" s="55"/>
      <c r="G818" s="55"/>
      <c r="H818" s="55"/>
      <c r="I818" s="55"/>
      <c r="J818" s="106">
        <v>0</v>
      </c>
      <c r="K818" s="107"/>
      <c r="L818" s="108">
        <v>9.8522167487684722E-4</v>
      </c>
    </row>
    <row r="819" spans="3:12" ht="15" customHeight="1">
      <c r="C819" s="102" t="s">
        <v>865</v>
      </c>
      <c r="D819" s="55"/>
      <c r="E819" s="55"/>
      <c r="F819" s="55"/>
      <c r="G819" s="55"/>
      <c r="H819" s="55"/>
      <c r="I819" s="55"/>
      <c r="J819" s="106">
        <v>0</v>
      </c>
      <c r="K819" s="107"/>
      <c r="L819" s="108">
        <v>9.8522167487684722E-4</v>
      </c>
    </row>
    <row r="820" spans="3:12" ht="15" customHeight="1">
      <c r="C820" s="102" t="s">
        <v>374</v>
      </c>
      <c r="D820" s="55"/>
      <c r="E820" s="55"/>
      <c r="F820" s="55"/>
      <c r="G820" s="55"/>
      <c r="H820" s="55"/>
      <c r="I820" s="55"/>
      <c r="J820" s="106">
        <v>0</v>
      </c>
      <c r="K820" s="107"/>
      <c r="L820" s="108">
        <v>9.8522167487684722E-4</v>
      </c>
    </row>
    <row r="821" spans="3:12" ht="15" customHeight="1">
      <c r="C821" s="102" t="s">
        <v>1062</v>
      </c>
      <c r="D821" s="55"/>
      <c r="E821" s="55"/>
      <c r="F821" s="55"/>
      <c r="G821" s="55"/>
      <c r="H821" s="55"/>
      <c r="I821" s="55"/>
      <c r="J821" s="106">
        <v>0</v>
      </c>
      <c r="K821" s="107"/>
      <c r="L821" s="108">
        <v>9.8522167487684722E-4</v>
      </c>
    </row>
    <row r="822" spans="3:12" ht="15" customHeight="1">
      <c r="C822" s="102" t="s">
        <v>513</v>
      </c>
      <c r="D822" s="55"/>
      <c r="E822" s="55"/>
      <c r="F822" s="55"/>
      <c r="G822" s="55"/>
      <c r="H822" s="55"/>
      <c r="I822" s="55"/>
      <c r="J822" s="106">
        <v>0</v>
      </c>
      <c r="K822" s="107"/>
      <c r="L822" s="108">
        <v>9.8522167487684722E-4</v>
      </c>
    </row>
    <row r="823" spans="3:12" ht="15" customHeight="1">
      <c r="C823" s="102" t="s">
        <v>684</v>
      </c>
      <c r="D823" s="55"/>
      <c r="E823" s="55"/>
      <c r="F823" s="55"/>
      <c r="G823" s="55"/>
      <c r="H823" s="55"/>
      <c r="I823" s="55"/>
      <c r="J823" s="106">
        <v>0</v>
      </c>
      <c r="K823" s="107"/>
      <c r="L823" s="108">
        <v>9.8522167487684722E-4</v>
      </c>
    </row>
    <row r="824" spans="3:12" ht="15" customHeight="1">
      <c r="C824" s="102" t="s">
        <v>447</v>
      </c>
      <c r="D824" s="55"/>
      <c r="E824" s="55"/>
      <c r="F824" s="55"/>
      <c r="G824" s="55"/>
      <c r="H824" s="55"/>
      <c r="I824" s="55"/>
      <c r="J824" s="106">
        <v>0</v>
      </c>
      <c r="K824" s="107"/>
      <c r="L824" s="108">
        <v>9.8522167487684722E-4</v>
      </c>
    </row>
    <row r="825" spans="3:12" ht="15" customHeight="1">
      <c r="C825" s="102" t="s">
        <v>164</v>
      </c>
      <c r="D825" s="55"/>
      <c r="E825" s="55"/>
      <c r="F825" s="55"/>
      <c r="G825" s="55"/>
      <c r="H825" s="55"/>
      <c r="I825" s="55"/>
      <c r="J825" s="106">
        <v>0</v>
      </c>
      <c r="K825" s="107"/>
      <c r="L825" s="108">
        <v>9.8522167487684722E-4</v>
      </c>
    </row>
    <row r="826" spans="3:12" ht="15" customHeight="1">
      <c r="C826" s="102" t="s">
        <v>364</v>
      </c>
      <c r="D826" s="55"/>
      <c r="E826" s="55"/>
      <c r="F826" s="55"/>
      <c r="G826" s="55"/>
      <c r="H826" s="55"/>
      <c r="I826" s="55"/>
      <c r="J826" s="106">
        <v>0</v>
      </c>
      <c r="K826" s="107"/>
      <c r="L826" s="108">
        <v>9.8522167487684722E-4</v>
      </c>
    </row>
    <row r="827" spans="3:12" ht="15" customHeight="1">
      <c r="C827" s="102" t="s">
        <v>694</v>
      </c>
      <c r="D827" s="55"/>
      <c r="E827" s="55"/>
      <c r="F827" s="55"/>
      <c r="G827" s="55"/>
      <c r="H827" s="55"/>
      <c r="I827" s="55"/>
      <c r="J827" s="106">
        <v>0</v>
      </c>
      <c r="K827" s="107"/>
      <c r="L827" s="108">
        <v>9.8522167487684722E-4</v>
      </c>
    </row>
    <row r="828" spans="3:12" ht="15" customHeight="1">
      <c r="C828" s="102" t="s">
        <v>737</v>
      </c>
      <c r="D828" s="55"/>
      <c r="E828" s="55"/>
      <c r="F828" s="55"/>
      <c r="G828" s="55"/>
      <c r="H828" s="55"/>
      <c r="I828" s="55"/>
      <c r="J828" s="106">
        <v>0</v>
      </c>
      <c r="K828" s="107"/>
      <c r="L828" s="108">
        <v>9.8522167487684722E-4</v>
      </c>
    </row>
    <row r="829" spans="3:12" ht="15" customHeight="1">
      <c r="C829" s="102" t="s">
        <v>1116</v>
      </c>
      <c r="D829" s="55"/>
      <c r="E829" s="55"/>
      <c r="F829" s="55"/>
      <c r="G829" s="55"/>
      <c r="H829" s="55"/>
      <c r="I829" s="55"/>
      <c r="J829" s="106">
        <v>0</v>
      </c>
      <c r="K829" s="107"/>
      <c r="L829" s="108">
        <v>9.8522167487684722E-4</v>
      </c>
    </row>
    <row r="830" spans="3:12" ht="15" customHeight="1">
      <c r="C830" s="102" t="s">
        <v>1065</v>
      </c>
      <c r="D830" s="55"/>
      <c r="E830" s="55"/>
      <c r="F830" s="55"/>
      <c r="G830" s="55"/>
      <c r="H830" s="55"/>
      <c r="I830" s="55"/>
      <c r="J830" s="106">
        <v>0</v>
      </c>
      <c r="K830" s="107"/>
      <c r="L830" s="108">
        <v>9.8522167487684722E-4</v>
      </c>
    </row>
    <row r="831" spans="3:12" ht="15" customHeight="1">
      <c r="C831" s="102" t="s">
        <v>281</v>
      </c>
      <c r="D831" s="55"/>
      <c r="E831" s="55"/>
      <c r="F831" s="55"/>
      <c r="G831" s="55"/>
      <c r="H831" s="55"/>
      <c r="I831" s="55"/>
      <c r="J831" s="106">
        <v>0</v>
      </c>
      <c r="K831" s="107"/>
      <c r="L831" s="108">
        <v>9.8522167487684722E-4</v>
      </c>
    </row>
    <row r="832" spans="3:12" ht="15" customHeight="1">
      <c r="C832" s="102" t="s">
        <v>627</v>
      </c>
      <c r="D832" s="55"/>
      <c r="E832" s="55"/>
      <c r="F832" s="55"/>
      <c r="G832" s="55"/>
      <c r="H832" s="55"/>
      <c r="I832" s="55"/>
      <c r="J832" s="106">
        <v>0</v>
      </c>
      <c r="K832" s="107"/>
      <c r="L832" s="108">
        <v>9.8522167487684722E-4</v>
      </c>
    </row>
    <row r="833" spans="3:12" ht="15" customHeight="1">
      <c r="C833" s="102" t="s">
        <v>367</v>
      </c>
      <c r="D833" s="55"/>
      <c r="E833" s="55"/>
      <c r="F833" s="55"/>
      <c r="G833" s="55"/>
      <c r="H833" s="55"/>
      <c r="I833" s="55"/>
      <c r="J833" s="106">
        <v>0</v>
      </c>
      <c r="K833" s="107"/>
      <c r="L833" s="108">
        <v>9.8522167487684722E-4</v>
      </c>
    </row>
    <row r="834" spans="3:12" ht="15" customHeight="1">
      <c r="C834" s="102" t="s">
        <v>497</v>
      </c>
      <c r="D834" s="55"/>
      <c r="E834" s="55"/>
      <c r="F834" s="55"/>
      <c r="G834" s="55"/>
      <c r="H834" s="55"/>
      <c r="I834" s="55"/>
      <c r="J834" s="106">
        <v>0</v>
      </c>
      <c r="K834" s="107"/>
      <c r="L834" s="108">
        <v>9.8522167487684722E-4</v>
      </c>
    </row>
    <row r="835" spans="3:12" ht="15" customHeight="1">
      <c r="C835" s="102" t="s">
        <v>922</v>
      </c>
      <c r="D835" s="55"/>
      <c r="E835" s="55"/>
      <c r="F835" s="55"/>
      <c r="G835" s="55"/>
      <c r="H835" s="55"/>
      <c r="I835" s="55"/>
      <c r="J835" s="106">
        <v>0</v>
      </c>
      <c r="K835" s="107"/>
      <c r="L835" s="108">
        <v>9.8522167487684722E-4</v>
      </c>
    </row>
    <row r="836" spans="3:12" ht="15" customHeight="1">
      <c r="C836" s="102" t="s">
        <v>685</v>
      </c>
      <c r="D836" s="55"/>
      <c r="E836" s="55"/>
      <c r="F836" s="55"/>
      <c r="G836" s="55"/>
      <c r="H836" s="55"/>
      <c r="I836" s="55"/>
      <c r="J836" s="106">
        <v>0</v>
      </c>
      <c r="K836" s="107"/>
      <c r="L836" s="108">
        <v>9.8522167487684722E-4</v>
      </c>
    </row>
    <row r="837" spans="3:12" ht="15" customHeight="1">
      <c r="C837" s="102" t="s">
        <v>954</v>
      </c>
      <c r="D837" s="55"/>
      <c r="E837" s="55"/>
      <c r="F837" s="55"/>
      <c r="G837" s="55"/>
      <c r="H837" s="55"/>
      <c r="I837" s="55"/>
      <c r="J837" s="106">
        <v>0</v>
      </c>
      <c r="K837" s="107"/>
      <c r="L837" s="108">
        <v>9.8522167487684722E-4</v>
      </c>
    </row>
    <row r="838" spans="3:12" ht="15" customHeight="1">
      <c r="C838" s="102" t="s">
        <v>135</v>
      </c>
      <c r="D838" s="55"/>
      <c r="E838" s="55"/>
      <c r="F838" s="55"/>
      <c r="G838" s="55"/>
      <c r="H838" s="55"/>
      <c r="I838" s="55"/>
      <c r="J838" s="106">
        <v>0</v>
      </c>
      <c r="K838" s="107"/>
      <c r="L838" s="108">
        <v>9.8522167487684722E-4</v>
      </c>
    </row>
    <row r="839" spans="3:12" ht="15" customHeight="1">
      <c r="C839" s="102" t="s">
        <v>158</v>
      </c>
      <c r="D839" s="55"/>
      <c r="E839" s="55"/>
      <c r="F839" s="55"/>
      <c r="G839" s="55"/>
      <c r="H839" s="55"/>
      <c r="I839" s="55"/>
      <c r="J839" s="106">
        <v>0</v>
      </c>
      <c r="K839" s="107"/>
      <c r="L839" s="108">
        <v>9.8522167487684722E-4</v>
      </c>
    </row>
    <row r="840" spans="3:12" ht="15" customHeight="1">
      <c r="C840" s="102" t="s">
        <v>646</v>
      </c>
      <c r="D840" s="55"/>
      <c r="E840" s="55"/>
      <c r="F840" s="55"/>
      <c r="G840" s="55"/>
      <c r="H840" s="55"/>
      <c r="I840" s="55"/>
      <c r="J840" s="106">
        <v>0</v>
      </c>
      <c r="K840" s="107"/>
      <c r="L840" s="108">
        <v>9.8522167487684722E-4</v>
      </c>
    </row>
    <row r="841" spans="3:12" ht="15" customHeight="1">
      <c r="C841" s="102" t="s">
        <v>674</v>
      </c>
      <c r="D841" s="55"/>
      <c r="E841" s="55"/>
      <c r="F841" s="55"/>
      <c r="G841" s="55"/>
      <c r="H841" s="55"/>
      <c r="I841" s="55"/>
      <c r="J841" s="106">
        <v>0</v>
      </c>
      <c r="K841" s="107"/>
      <c r="L841" s="108">
        <v>9.8522167487684722E-4</v>
      </c>
    </row>
    <row r="842" spans="3:12" ht="15" customHeight="1">
      <c r="C842" s="102" t="s">
        <v>254</v>
      </c>
      <c r="D842" s="55"/>
      <c r="E842" s="55"/>
      <c r="F842" s="55"/>
      <c r="G842" s="55"/>
      <c r="H842" s="55"/>
      <c r="I842" s="55"/>
      <c r="J842" s="106">
        <v>0</v>
      </c>
      <c r="K842" s="107"/>
      <c r="L842" s="108">
        <v>9.8522167487684722E-4</v>
      </c>
    </row>
    <row r="843" spans="3:12" ht="15" customHeight="1">
      <c r="C843" s="102" t="s">
        <v>641</v>
      </c>
      <c r="D843" s="55"/>
      <c r="E843" s="55"/>
      <c r="F843" s="55"/>
      <c r="G843" s="55"/>
      <c r="H843" s="55"/>
      <c r="I843" s="55"/>
      <c r="J843" s="106">
        <v>0</v>
      </c>
      <c r="K843" s="107"/>
      <c r="L843" s="108">
        <v>9.8522167487684722E-4</v>
      </c>
    </row>
    <row r="844" spans="3:12" ht="15" customHeight="1">
      <c r="C844" s="102" t="s">
        <v>302</v>
      </c>
      <c r="D844" s="55"/>
      <c r="E844" s="55"/>
      <c r="F844" s="55"/>
      <c r="G844" s="55"/>
      <c r="H844" s="55"/>
      <c r="I844" s="55"/>
      <c r="J844" s="106">
        <v>0</v>
      </c>
      <c r="K844" s="107"/>
      <c r="L844" s="108">
        <v>9.8522167487684722E-4</v>
      </c>
    </row>
    <row r="845" spans="3:12" ht="15" customHeight="1">
      <c r="C845" s="102" t="s">
        <v>483</v>
      </c>
      <c r="D845" s="55"/>
      <c r="E845" s="55"/>
      <c r="F845" s="55"/>
      <c r="G845" s="55"/>
      <c r="H845" s="55"/>
      <c r="I845" s="55"/>
      <c r="J845" s="106">
        <v>0</v>
      </c>
      <c r="K845" s="107"/>
      <c r="L845" s="108">
        <v>9.8522167487684722E-4</v>
      </c>
    </row>
    <row r="846" spans="3:12" ht="15" customHeight="1">
      <c r="C846" s="102" t="s">
        <v>409</v>
      </c>
      <c r="D846" s="55"/>
      <c r="E846" s="55"/>
      <c r="F846" s="55"/>
      <c r="G846" s="55"/>
      <c r="H846" s="55"/>
      <c r="I846" s="55"/>
      <c r="J846" s="106">
        <v>0</v>
      </c>
      <c r="K846" s="107"/>
      <c r="L846" s="108">
        <v>9.8522167487684722E-4</v>
      </c>
    </row>
    <row r="847" spans="3:12" ht="15" customHeight="1">
      <c r="C847" s="102" t="s">
        <v>882</v>
      </c>
      <c r="D847" s="55"/>
      <c r="E847" s="55"/>
      <c r="F847" s="55"/>
      <c r="G847" s="55"/>
      <c r="H847" s="55"/>
      <c r="I847" s="55"/>
      <c r="J847" s="106">
        <v>0</v>
      </c>
      <c r="K847" s="107"/>
      <c r="L847" s="108">
        <v>9.8522167487684722E-4</v>
      </c>
    </row>
    <row r="848" spans="3:12" ht="15" customHeight="1">
      <c r="C848" s="102" t="s">
        <v>756</v>
      </c>
      <c r="D848" s="55"/>
      <c r="E848" s="55"/>
      <c r="F848" s="55"/>
      <c r="G848" s="55"/>
      <c r="H848" s="55"/>
      <c r="I848" s="55"/>
      <c r="J848" s="106">
        <v>0</v>
      </c>
      <c r="K848" s="107"/>
      <c r="L848" s="108">
        <v>9.8522167487684722E-4</v>
      </c>
    </row>
    <row r="849" spans="3:12" ht="15" customHeight="1">
      <c r="C849" s="102" t="s">
        <v>362</v>
      </c>
      <c r="D849" s="55"/>
      <c r="E849" s="55"/>
      <c r="F849" s="55"/>
      <c r="G849" s="55"/>
      <c r="H849" s="55"/>
      <c r="I849" s="55"/>
      <c r="J849" s="106">
        <v>0</v>
      </c>
      <c r="K849" s="107"/>
      <c r="L849" s="108">
        <v>9.8522167487684722E-4</v>
      </c>
    </row>
    <row r="850" spans="3:12" ht="15" customHeight="1">
      <c r="C850" s="102" t="s">
        <v>292</v>
      </c>
      <c r="D850" s="55"/>
      <c r="E850" s="55"/>
      <c r="F850" s="55"/>
      <c r="G850" s="55"/>
      <c r="H850" s="55"/>
      <c r="I850" s="55"/>
      <c r="J850" s="106">
        <v>0</v>
      </c>
      <c r="K850" s="107"/>
      <c r="L850" s="108">
        <v>9.8522167487684722E-4</v>
      </c>
    </row>
    <row r="851" spans="3:12" ht="15" customHeight="1">
      <c r="C851" s="102" t="s">
        <v>495</v>
      </c>
      <c r="D851" s="55"/>
      <c r="E851" s="55"/>
      <c r="F851" s="55"/>
      <c r="G851" s="55"/>
      <c r="H851" s="55"/>
      <c r="I851" s="55"/>
      <c r="J851" s="106">
        <v>0</v>
      </c>
      <c r="K851" s="107"/>
      <c r="L851" s="108">
        <v>9.8522167487684722E-4</v>
      </c>
    </row>
    <row r="852" spans="3:12" ht="15" customHeight="1">
      <c r="C852" s="102" t="s">
        <v>612</v>
      </c>
      <c r="D852" s="55"/>
      <c r="E852" s="55"/>
      <c r="F852" s="55"/>
      <c r="G852" s="55"/>
      <c r="H852" s="55"/>
      <c r="I852" s="55"/>
      <c r="J852" s="106">
        <v>0</v>
      </c>
      <c r="K852" s="107"/>
      <c r="L852" s="108">
        <v>9.8522167487684722E-4</v>
      </c>
    </row>
    <row r="853" spans="3:12" ht="15" customHeight="1">
      <c r="C853" s="102" t="s">
        <v>1023</v>
      </c>
      <c r="D853" s="55"/>
      <c r="E853" s="55"/>
      <c r="F853" s="55"/>
      <c r="G853" s="55"/>
      <c r="H853" s="55"/>
      <c r="I853" s="55"/>
      <c r="J853" s="106">
        <v>0</v>
      </c>
      <c r="K853" s="107"/>
      <c r="L853" s="108">
        <v>9.8522167487684722E-4</v>
      </c>
    </row>
    <row r="854" spans="3:12" ht="15" customHeight="1">
      <c r="C854" s="102" t="s">
        <v>436</v>
      </c>
      <c r="D854" s="55"/>
      <c r="E854" s="55"/>
      <c r="F854" s="55"/>
      <c r="G854" s="55"/>
      <c r="H854" s="55"/>
      <c r="I854" s="55"/>
      <c r="J854" s="106">
        <v>0</v>
      </c>
      <c r="K854" s="107"/>
      <c r="L854" s="108">
        <v>9.8522167487684722E-4</v>
      </c>
    </row>
    <row r="855" spans="3:12" ht="15" customHeight="1">
      <c r="C855" s="102" t="s">
        <v>520</v>
      </c>
      <c r="D855" s="55"/>
      <c r="E855" s="55"/>
      <c r="F855" s="55"/>
      <c r="G855" s="55"/>
      <c r="H855" s="55"/>
      <c r="I855" s="55"/>
      <c r="J855" s="106">
        <v>0</v>
      </c>
      <c r="K855" s="107"/>
      <c r="L855" s="108">
        <v>9.8522167487684722E-4</v>
      </c>
    </row>
    <row r="856" spans="3:12" ht="15" customHeight="1">
      <c r="C856" s="102" t="s">
        <v>834</v>
      </c>
      <c r="D856" s="55"/>
      <c r="E856" s="55"/>
      <c r="F856" s="55"/>
      <c r="G856" s="55"/>
      <c r="H856" s="55"/>
      <c r="I856" s="55"/>
      <c r="J856" s="106">
        <v>0</v>
      </c>
      <c r="K856" s="107"/>
      <c r="L856" s="108">
        <v>9.8522167487684722E-4</v>
      </c>
    </row>
    <row r="857" spans="3:12" ht="15" customHeight="1">
      <c r="C857" s="102" t="s">
        <v>510</v>
      </c>
      <c r="D857" s="55"/>
      <c r="E857" s="55"/>
      <c r="F857" s="55"/>
      <c r="G857" s="55"/>
      <c r="H857" s="55"/>
      <c r="I857" s="55"/>
      <c r="J857" s="106">
        <v>0</v>
      </c>
      <c r="K857" s="107"/>
      <c r="L857" s="108">
        <v>9.8522167487684722E-4</v>
      </c>
    </row>
    <row r="858" spans="3:12" ht="15" customHeight="1">
      <c r="C858" s="102" t="s">
        <v>977</v>
      </c>
      <c r="D858" s="55"/>
      <c r="E858" s="55"/>
      <c r="F858" s="55"/>
      <c r="G858" s="55"/>
      <c r="H858" s="55"/>
      <c r="I858" s="55"/>
      <c r="J858" s="106">
        <v>0</v>
      </c>
      <c r="K858" s="107"/>
      <c r="L858" s="108">
        <v>9.8522167487684722E-4</v>
      </c>
    </row>
    <row r="859" spans="3:12" ht="15" customHeight="1">
      <c r="C859" s="102" t="s">
        <v>424</v>
      </c>
      <c r="D859" s="55"/>
      <c r="E859" s="55"/>
      <c r="F859" s="55"/>
      <c r="G859" s="55"/>
      <c r="H859" s="55"/>
      <c r="I859" s="55"/>
      <c r="J859" s="106">
        <v>0</v>
      </c>
      <c r="K859" s="107"/>
      <c r="L859" s="108">
        <v>9.8522167487684722E-4</v>
      </c>
    </row>
    <row r="860" spans="3:12" ht="15" customHeight="1">
      <c r="C860" s="102" t="s">
        <v>506</v>
      </c>
      <c r="D860" s="55"/>
      <c r="E860" s="55"/>
      <c r="F860" s="55"/>
      <c r="G860" s="55"/>
      <c r="H860" s="55"/>
      <c r="I860" s="55"/>
      <c r="J860" s="106">
        <v>0</v>
      </c>
      <c r="K860" s="107"/>
      <c r="L860" s="108">
        <v>9.8522167487684722E-4</v>
      </c>
    </row>
    <row r="861" spans="3:12" ht="15" customHeight="1">
      <c r="C861" s="102" t="s">
        <v>1078</v>
      </c>
      <c r="D861" s="55"/>
      <c r="E861" s="55"/>
      <c r="F861" s="55"/>
      <c r="G861" s="55"/>
      <c r="H861" s="55"/>
      <c r="I861" s="55"/>
      <c r="J861" s="106">
        <v>0</v>
      </c>
      <c r="K861" s="107"/>
      <c r="L861" s="108">
        <v>9.8522167487684722E-4</v>
      </c>
    </row>
    <row r="862" spans="3:12" ht="15" customHeight="1">
      <c r="C862" s="102" t="s">
        <v>1114</v>
      </c>
      <c r="D862" s="55"/>
      <c r="E862" s="55"/>
      <c r="F862" s="55"/>
      <c r="G862" s="55"/>
      <c r="H862" s="55"/>
      <c r="I862" s="55"/>
      <c r="J862" s="106">
        <v>0</v>
      </c>
      <c r="K862" s="107"/>
      <c r="L862" s="108">
        <v>9.8522167487684722E-4</v>
      </c>
    </row>
    <row r="863" spans="3:12" ht="15" customHeight="1">
      <c r="C863" s="102" t="s">
        <v>964</v>
      </c>
      <c r="D863" s="55"/>
      <c r="E863" s="55"/>
      <c r="F863" s="55"/>
      <c r="G863" s="55"/>
      <c r="H863" s="55"/>
      <c r="I863" s="55"/>
      <c r="J863" s="106">
        <v>0</v>
      </c>
      <c r="K863" s="107"/>
      <c r="L863" s="108">
        <v>9.8522167487684722E-4</v>
      </c>
    </row>
    <row r="864" spans="3:12" ht="15" customHeight="1">
      <c r="C864" s="102" t="s">
        <v>848</v>
      </c>
      <c r="D864" s="55"/>
      <c r="E864" s="55"/>
      <c r="F864" s="55"/>
      <c r="G864" s="55"/>
      <c r="H864" s="55"/>
      <c r="I864" s="55"/>
      <c r="J864" s="106">
        <v>0</v>
      </c>
      <c r="K864" s="107"/>
      <c r="L864" s="108">
        <v>9.8522167487684722E-4</v>
      </c>
    </row>
    <row r="865" spans="3:12" ht="15" customHeight="1">
      <c r="C865" s="102" t="s">
        <v>461</v>
      </c>
      <c r="D865" s="55"/>
      <c r="E865" s="55"/>
      <c r="F865" s="55"/>
      <c r="G865" s="55"/>
      <c r="H865" s="55"/>
      <c r="I865" s="55"/>
      <c r="J865" s="106">
        <v>0</v>
      </c>
      <c r="K865" s="107"/>
      <c r="L865" s="108">
        <v>9.8522167487684722E-4</v>
      </c>
    </row>
    <row r="866" spans="3:12" ht="15" customHeight="1">
      <c r="C866" s="102" t="s">
        <v>880</v>
      </c>
      <c r="D866" s="55"/>
      <c r="E866" s="55"/>
      <c r="F866" s="55"/>
      <c r="G866" s="55"/>
      <c r="H866" s="55"/>
      <c r="I866" s="55"/>
      <c r="J866" s="106">
        <v>0</v>
      </c>
      <c r="K866" s="107"/>
      <c r="L866" s="108">
        <v>9.8522167487684722E-4</v>
      </c>
    </row>
    <row r="867" spans="3:12" ht="15" customHeight="1">
      <c r="C867" s="102" t="s">
        <v>995</v>
      </c>
      <c r="D867" s="55"/>
      <c r="E867" s="55"/>
      <c r="F867" s="55"/>
      <c r="G867" s="55"/>
      <c r="H867" s="55"/>
      <c r="I867" s="55"/>
      <c r="J867" s="106">
        <v>0</v>
      </c>
      <c r="K867" s="107"/>
      <c r="L867" s="108">
        <v>9.8522167487684722E-4</v>
      </c>
    </row>
    <row r="868" spans="3:12" ht="15" customHeight="1">
      <c r="C868" s="102" t="s">
        <v>638</v>
      </c>
      <c r="D868" s="55"/>
      <c r="E868" s="55"/>
      <c r="F868" s="55"/>
      <c r="G868" s="55"/>
      <c r="H868" s="55"/>
      <c r="I868" s="55"/>
      <c r="J868" s="106">
        <v>0</v>
      </c>
      <c r="K868" s="107"/>
      <c r="L868" s="108">
        <v>9.8522167487684722E-4</v>
      </c>
    </row>
    <row r="869" spans="3:12" ht="15" customHeight="1">
      <c r="C869" s="102" t="s">
        <v>1025</v>
      </c>
      <c r="D869" s="55"/>
      <c r="E869" s="55"/>
      <c r="F869" s="55"/>
      <c r="G869" s="55"/>
      <c r="H869" s="55"/>
      <c r="I869" s="55"/>
      <c r="J869" s="106">
        <v>0</v>
      </c>
      <c r="K869" s="107"/>
      <c r="L869" s="108">
        <v>9.8522167487684722E-4</v>
      </c>
    </row>
    <row r="870" spans="3:12" ht="15" customHeight="1">
      <c r="C870" s="102" t="s">
        <v>382</v>
      </c>
      <c r="D870" s="55"/>
      <c r="E870" s="55"/>
      <c r="F870" s="55"/>
      <c r="G870" s="55"/>
      <c r="H870" s="55"/>
      <c r="I870" s="55"/>
      <c r="J870" s="106">
        <v>0</v>
      </c>
      <c r="K870" s="107"/>
      <c r="L870" s="108">
        <v>9.8522167487684722E-4</v>
      </c>
    </row>
    <row r="871" spans="3:12" ht="15" customHeight="1">
      <c r="C871" s="102" t="s">
        <v>1111</v>
      </c>
      <c r="D871" s="55"/>
      <c r="E871" s="55"/>
      <c r="F871" s="55"/>
      <c r="G871" s="55"/>
      <c r="H871" s="55"/>
      <c r="I871" s="55"/>
      <c r="J871" s="106">
        <v>0</v>
      </c>
      <c r="K871" s="107"/>
      <c r="L871" s="108">
        <v>9.8522167487684722E-4</v>
      </c>
    </row>
    <row r="872" spans="3:12" ht="15" customHeight="1">
      <c r="C872" s="102" t="s">
        <v>721</v>
      </c>
      <c r="D872" s="55"/>
      <c r="E872" s="55"/>
      <c r="F872" s="55"/>
      <c r="G872" s="55"/>
      <c r="H872" s="55"/>
      <c r="I872" s="55"/>
      <c r="J872" s="106">
        <v>0</v>
      </c>
      <c r="K872" s="107"/>
      <c r="L872" s="108">
        <v>9.8522167487684722E-4</v>
      </c>
    </row>
    <row r="873" spans="3:12" ht="15" customHeight="1">
      <c r="C873" s="102" t="s">
        <v>226</v>
      </c>
      <c r="D873" s="55"/>
      <c r="E873" s="55"/>
      <c r="F873" s="55"/>
      <c r="G873" s="55"/>
      <c r="H873" s="55"/>
      <c r="I873" s="55"/>
      <c r="J873" s="106">
        <v>0</v>
      </c>
      <c r="K873" s="107"/>
      <c r="L873" s="108">
        <v>9.8522167487684722E-4</v>
      </c>
    </row>
    <row r="874" spans="3:12" ht="15" customHeight="1">
      <c r="C874" s="102" t="s">
        <v>275</v>
      </c>
      <c r="D874" s="55"/>
      <c r="E874" s="55"/>
      <c r="F874" s="55"/>
      <c r="G874" s="55"/>
      <c r="H874" s="55"/>
      <c r="I874" s="55"/>
      <c r="J874" s="106">
        <v>0</v>
      </c>
      <c r="K874" s="107"/>
      <c r="L874" s="108">
        <v>9.8522167487684722E-4</v>
      </c>
    </row>
    <row r="875" spans="3:12" ht="15" customHeight="1">
      <c r="C875" s="102" t="s">
        <v>885</v>
      </c>
      <c r="D875" s="55"/>
      <c r="E875" s="55"/>
      <c r="F875" s="55"/>
      <c r="G875" s="55"/>
      <c r="H875" s="55"/>
      <c r="I875" s="55"/>
      <c r="J875" s="106">
        <v>0</v>
      </c>
      <c r="K875" s="107"/>
      <c r="L875" s="108">
        <v>9.8522167487684722E-4</v>
      </c>
    </row>
    <row r="876" spans="3:12" ht="15" customHeight="1">
      <c r="C876" s="102" t="s">
        <v>983</v>
      </c>
      <c r="D876" s="55"/>
      <c r="E876" s="55"/>
      <c r="F876" s="55"/>
      <c r="G876" s="55"/>
      <c r="H876" s="55"/>
      <c r="I876" s="55"/>
      <c r="J876" s="106">
        <v>0</v>
      </c>
      <c r="K876" s="107"/>
      <c r="L876" s="108">
        <v>9.8522167487684722E-4</v>
      </c>
    </row>
    <row r="877" spans="3:12" ht="15" customHeight="1">
      <c r="C877" s="102" t="s">
        <v>1071</v>
      </c>
      <c r="D877" s="55"/>
      <c r="E877" s="55"/>
      <c r="F877" s="55"/>
      <c r="G877" s="55"/>
      <c r="H877" s="55"/>
      <c r="I877" s="55"/>
      <c r="J877" s="106">
        <v>0</v>
      </c>
      <c r="K877" s="107"/>
      <c r="L877" s="108">
        <v>9.8522167487684722E-4</v>
      </c>
    </row>
    <row r="878" spans="3:12" ht="15" customHeight="1">
      <c r="C878" s="102" t="s">
        <v>582</v>
      </c>
      <c r="D878" s="55"/>
      <c r="E878" s="55"/>
      <c r="F878" s="55"/>
      <c r="G878" s="55"/>
      <c r="H878" s="55"/>
      <c r="I878" s="55"/>
      <c r="J878" s="106">
        <v>0</v>
      </c>
      <c r="K878" s="107"/>
      <c r="L878" s="108">
        <v>9.8522167487684722E-4</v>
      </c>
    </row>
    <row r="879" spans="3:12" ht="15" customHeight="1">
      <c r="C879" s="102" t="s">
        <v>907</v>
      </c>
      <c r="D879" s="55"/>
      <c r="E879" s="55"/>
      <c r="F879" s="55"/>
      <c r="G879" s="55"/>
      <c r="H879" s="55"/>
      <c r="I879" s="55"/>
      <c r="J879" s="106">
        <v>0</v>
      </c>
      <c r="K879" s="107"/>
      <c r="L879" s="108">
        <v>9.8522167487684722E-4</v>
      </c>
    </row>
    <row r="880" spans="3:12" ht="15" customHeight="1">
      <c r="C880" s="102" t="s">
        <v>625</v>
      </c>
      <c r="D880" s="55"/>
      <c r="E880" s="55"/>
      <c r="F880" s="55"/>
      <c r="G880" s="55"/>
      <c r="H880" s="55"/>
      <c r="I880" s="55"/>
      <c r="J880" s="106">
        <v>0</v>
      </c>
      <c r="K880" s="107"/>
      <c r="L880" s="108">
        <v>9.8522167487684722E-4</v>
      </c>
    </row>
    <row r="881" spans="3:12" ht="15" customHeight="1">
      <c r="C881" s="102" t="s">
        <v>435</v>
      </c>
      <c r="D881" s="55"/>
      <c r="E881" s="55"/>
      <c r="F881" s="55"/>
      <c r="G881" s="55"/>
      <c r="H881" s="55"/>
      <c r="I881" s="55"/>
      <c r="J881" s="106">
        <v>0</v>
      </c>
      <c r="K881" s="107"/>
      <c r="L881" s="108">
        <v>9.8522167487684722E-4</v>
      </c>
    </row>
    <row r="882" spans="3:12" ht="15" customHeight="1">
      <c r="C882" s="102" t="s">
        <v>765</v>
      </c>
      <c r="D882" s="55"/>
      <c r="E882" s="55"/>
      <c r="F882" s="55"/>
      <c r="G882" s="55"/>
      <c r="H882" s="55"/>
      <c r="I882" s="55"/>
      <c r="J882" s="106">
        <v>0</v>
      </c>
      <c r="K882" s="107"/>
      <c r="L882" s="108">
        <v>9.8522167487684722E-4</v>
      </c>
    </row>
    <row r="883" spans="3:12" ht="15" customHeight="1">
      <c r="C883" s="102" t="s">
        <v>748</v>
      </c>
      <c r="D883" s="55"/>
      <c r="E883" s="55"/>
      <c r="F883" s="55"/>
      <c r="G883" s="55"/>
      <c r="H883" s="55"/>
      <c r="I883" s="55"/>
      <c r="J883" s="106">
        <v>0</v>
      </c>
      <c r="K883" s="107"/>
      <c r="L883" s="108">
        <v>9.8522167487684722E-4</v>
      </c>
    </row>
    <row r="884" spans="3:12" ht="15" customHeight="1">
      <c r="C884" s="102" t="s">
        <v>128</v>
      </c>
      <c r="D884" s="55"/>
      <c r="E884" s="55"/>
      <c r="F884" s="55"/>
      <c r="G884" s="55"/>
      <c r="H884" s="55"/>
      <c r="I884" s="55"/>
      <c r="J884" s="106">
        <v>0</v>
      </c>
      <c r="K884" s="107"/>
      <c r="L884" s="108">
        <v>9.8522167487684722E-4</v>
      </c>
    </row>
    <row r="885" spans="3:12" ht="15" customHeight="1">
      <c r="C885" s="102" t="s">
        <v>611</v>
      </c>
      <c r="D885" s="55"/>
      <c r="E885" s="55"/>
      <c r="F885" s="55"/>
      <c r="G885" s="55"/>
      <c r="H885" s="55"/>
      <c r="I885" s="55"/>
      <c r="J885" s="106">
        <v>0</v>
      </c>
      <c r="K885" s="107"/>
      <c r="L885" s="108">
        <v>9.8522167487684722E-4</v>
      </c>
    </row>
    <row r="886" spans="3:12" ht="15" customHeight="1">
      <c r="C886" s="102" t="s">
        <v>1019</v>
      </c>
      <c r="D886" s="55"/>
      <c r="E886" s="55"/>
      <c r="F886" s="55"/>
      <c r="G886" s="55"/>
      <c r="H886" s="55"/>
      <c r="I886" s="55"/>
      <c r="J886" s="106">
        <v>0</v>
      </c>
      <c r="K886" s="107"/>
      <c r="L886" s="108">
        <v>9.8522167487684722E-4</v>
      </c>
    </row>
    <row r="887" spans="3:12" ht="15" customHeight="1">
      <c r="C887" s="102" t="s">
        <v>993</v>
      </c>
      <c r="D887" s="55"/>
      <c r="E887" s="55"/>
      <c r="F887" s="55"/>
      <c r="G887" s="55"/>
      <c r="H887" s="55"/>
      <c r="I887" s="55"/>
      <c r="J887" s="106">
        <v>0</v>
      </c>
      <c r="K887" s="107"/>
      <c r="L887" s="108">
        <v>9.8522167487684722E-4</v>
      </c>
    </row>
    <row r="888" spans="3:12" ht="15" customHeight="1">
      <c r="C888" s="102" t="s">
        <v>1049</v>
      </c>
      <c r="D888" s="55"/>
      <c r="E888" s="55"/>
      <c r="F888" s="55"/>
      <c r="G888" s="55"/>
      <c r="H888" s="55"/>
      <c r="I888" s="55"/>
      <c r="J888" s="106">
        <v>0</v>
      </c>
      <c r="K888" s="107"/>
      <c r="L888" s="108">
        <v>9.8522167487684722E-4</v>
      </c>
    </row>
    <row r="889" spans="3:12" ht="15" customHeight="1">
      <c r="C889" s="102" t="s">
        <v>479</v>
      </c>
      <c r="D889" s="55"/>
      <c r="E889" s="55"/>
      <c r="F889" s="55"/>
      <c r="G889" s="55"/>
      <c r="H889" s="55"/>
      <c r="I889" s="55"/>
      <c r="J889" s="106">
        <v>0</v>
      </c>
      <c r="K889" s="107"/>
      <c r="L889" s="108">
        <v>9.8522167487684722E-4</v>
      </c>
    </row>
    <row r="890" spans="3:12" ht="15" customHeight="1">
      <c r="C890" s="102" t="s">
        <v>1013</v>
      </c>
      <c r="D890" s="55"/>
      <c r="E890" s="55"/>
      <c r="F890" s="55"/>
      <c r="G890" s="55"/>
      <c r="H890" s="55"/>
      <c r="I890" s="55"/>
      <c r="J890" s="106">
        <v>0</v>
      </c>
      <c r="K890" s="107"/>
      <c r="L890" s="108">
        <v>9.8522167487684722E-4</v>
      </c>
    </row>
    <row r="891" spans="3:12" ht="15" customHeight="1">
      <c r="C891" s="102" t="s">
        <v>184</v>
      </c>
      <c r="D891" s="55"/>
      <c r="E891" s="55"/>
      <c r="F891" s="55"/>
      <c r="G891" s="55"/>
      <c r="H891" s="55"/>
      <c r="I891" s="55"/>
      <c r="J891" s="106">
        <v>0</v>
      </c>
      <c r="K891" s="107"/>
      <c r="L891" s="108">
        <v>9.8522167487684722E-4</v>
      </c>
    </row>
    <row r="892" spans="3:12" ht="15" customHeight="1">
      <c r="C892" s="102" t="s">
        <v>558</v>
      </c>
      <c r="D892" s="55"/>
      <c r="E892" s="55"/>
      <c r="F892" s="55"/>
      <c r="G892" s="55"/>
      <c r="H892" s="55"/>
      <c r="I892" s="55"/>
      <c r="J892" s="106">
        <v>0</v>
      </c>
      <c r="K892" s="107"/>
      <c r="L892" s="108">
        <v>9.8522167487684722E-4</v>
      </c>
    </row>
    <row r="893" spans="3:12" ht="15" customHeight="1">
      <c r="C893" s="102" t="s">
        <v>971</v>
      </c>
      <c r="D893" s="55"/>
      <c r="E893" s="55"/>
      <c r="F893" s="55"/>
      <c r="G893" s="55"/>
      <c r="H893" s="55"/>
      <c r="I893" s="55"/>
      <c r="J893" s="106">
        <v>0</v>
      </c>
      <c r="K893" s="107"/>
      <c r="L893" s="108">
        <v>9.8522167487684722E-4</v>
      </c>
    </row>
    <row r="894" spans="3:12" ht="15" customHeight="1">
      <c r="C894" s="102" t="s">
        <v>431</v>
      </c>
      <c r="D894" s="55"/>
      <c r="E894" s="55"/>
      <c r="F894" s="55"/>
      <c r="G894" s="55"/>
      <c r="H894" s="55"/>
      <c r="I894" s="55"/>
      <c r="J894" s="106">
        <v>0</v>
      </c>
      <c r="K894" s="107"/>
      <c r="L894" s="108">
        <v>9.8522167487684722E-4</v>
      </c>
    </row>
    <row r="895" spans="3:12" ht="15" customHeight="1">
      <c r="C895" s="102" t="s">
        <v>524</v>
      </c>
      <c r="D895" s="55"/>
      <c r="E895" s="55"/>
      <c r="F895" s="55"/>
      <c r="G895" s="55"/>
      <c r="H895" s="55"/>
      <c r="I895" s="55"/>
      <c r="J895" s="106">
        <v>0</v>
      </c>
      <c r="K895" s="107"/>
      <c r="L895" s="108">
        <v>9.8522167487684722E-4</v>
      </c>
    </row>
    <row r="896" spans="3:12" ht="15" customHeight="1">
      <c r="C896" s="102" t="s">
        <v>290</v>
      </c>
      <c r="D896" s="55"/>
      <c r="E896" s="55"/>
      <c r="F896" s="55"/>
      <c r="G896" s="55"/>
      <c r="H896" s="55"/>
      <c r="I896" s="55"/>
      <c r="J896" s="106">
        <v>0</v>
      </c>
      <c r="K896" s="107"/>
      <c r="L896" s="108">
        <v>9.8522167487684722E-4</v>
      </c>
    </row>
    <row r="897" spans="3:12" ht="15" customHeight="1">
      <c r="C897" s="102" t="s">
        <v>451</v>
      </c>
      <c r="D897" s="55"/>
      <c r="E897" s="55"/>
      <c r="F897" s="55"/>
      <c r="G897" s="55"/>
      <c r="H897" s="55"/>
      <c r="I897" s="55"/>
      <c r="J897" s="106">
        <v>0</v>
      </c>
      <c r="K897" s="107"/>
      <c r="L897" s="108">
        <v>9.8522167487684722E-4</v>
      </c>
    </row>
    <row r="898" spans="3:12" ht="15" customHeight="1">
      <c r="C898" s="102" t="s">
        <v>636</v>
      </c>
      <c r="D898" s="55"/>
      <c r="E898" s="55"/>
      <c r="F898" s="55"/>
      <c r="G898" s="55"/>
      <c r="H898" s="55"/>
      <c r="I898" s="55"/>
      <c r="J898" s="106">
        <v>0</v>
      </c>
      <c r="K898" s="107"/>
      <c r="L898" s="108">
        <v>9.8522167487684722E-4</v>
      </c>
    </row>
    <row r="899" spans="3:12" ht="15" customHeight="1">
      <c r="C899" s="102" t="s">
        <v>501</v>
      </c>
      <c r="D899" s="55"/>
      <c r="E899" s="55"/>
      <c r="F899" s="55"/>
      <c r="G899" s="55"/>
      <c r="H899" s="55"/>
      <c r="I899" s="55"/>
      <c r="J899" s="106">
        <v>0</v>
      </c>
      <c r="K899" s="107"/>
      <c r="L899" s="108">
        <v>9.8522167487684722E-4</v>
      </c>
    </row>
    <row r="900" spans="3:12" ht="15" customHeight="1">
      <c r="C900" s="102" t="s">
        <v>652</v>
      </c>
      <c r="D900" s="55"/>
      <c r="E900" s="55"/>
      <c r="F900" s="55"/>
      <c r="G900" s="55"/>
      <c r="H900" s="55"/>
      <c r="I900" s="55"/>
      <c r="J900" s="106">
        <v>0</v>
      </c>
      <c r="K900" s="107"/>
      <c r="L900" s="108">
        <v>9.8522167487684722E-4</v>
      </c>
    </row>
    <row r="901" spans="3:12" ht="15" customHeight="1">
      <c r="C901" s="102" t="s">
        <v>707</v>
      </c>
      <c r="D901" s="55"/>
      <c r="E901" s="55"/>
      <c r="F901" s="55"/>
      <c r="G901" s="55"/>
      <c r="H901" s="55"/>
      <c r="I901" s="55"/>
      <c r="J901" s="106">
        <v>0</v>
      </c>
      <c r="K901" s="107"/>
      <c r="L901" s="108">
        <v>9.8522167487684722E-4</v>
      </c>
    </row>
    <row r="902" spans="3:12" ht="15" customHeight="1">
      <c r="C902" s="102" t="s">
        <v>414</v>
      </c>
      <c r="D902" s="55"/>
      <c r="E902" s="55"/>
      <c r="F902" s="55"/>
      <c r="G902" s="55"/>
      <c r="H902" s="55"/>
      <c r="I902" s="55"/>
      <c r="J902" s="106">
        <v>0</v>
      </c>
      <c r="K902" s="107"/>
      <c r="L902" s="108">
        <v>9.8522167487684722E-4</v>
      </c>
    </row>
    <row r="903" spans="3:12" ht="15" customHeight="1">
      <c r="C903" s="102" t="s">
        <v>973</v>
      </c>
      <c r="D903" s="55"/>
      <c r="E903" s="55"/>
      <c r="F903" s="55"/>
      <c r="G903" s="55"/>
      <c r="H903" s="55"/>
      <c r="I903" s="55"/>
      <c r="J903" s="106">
        <v>0</v>
      </c>
      <c r="K903" s="107"/>
      <c r="L903" s="108">
        <v>9.8522167487684722E-4</v>
      </c>
    </row>
    <row r="904" spans="3:12" ht="15" customHeight="1">
      <c r="C904" s="102" t="s">
        <v>899</v>
      </c>
      <c r="D904" s="55"/>
      <c r="E904" s="55"/>
      <c r="F904" s="55"/>
      <c r="G904" s="55"/>
      <c r="H904" s="55"/>
      <c r="I904" s="55"/>
      <c r="J904" s="106">
        <v>0</v>
      </c>
      <c r="K904" s="107"/>
      <c r="L904" s="108">
        <v>9.8522167487684722E-4</v>
      </c>
    </row>
    <row r="905" spans="3:12" ht="15" customHeight="1">
      <c r="C905" s="102" t="s">
        <v>609</v>
      </c>
      <c r="D905" s="55"/>
      <c r="E905" s="55"/>
      <c r="F905" s="55"/>
      <c r="G905" s="55"/>
      <c r="H905" s="55"/>
      <c r="I905" s="55"/>
      <c r="J905" s="106">
        <v>0</v>
      </c>
      <c r="K905" s="107"/>
      <c r="L905" s="108">
        <v>9.8522167487684722E-4</v>
      </c>
    </row>
    <row r="906" spans="3:12" ht="15" customHeight="1">
      <c r="C906" s="102" t="s">
        <v>1085</v>
      </c>
      <c r="D906" s="55"/>
      <c r="E906" s="55"/>
      <c r="F906" s="55"/>
      <c r="G906" s="55"/>
      <c r="H906" s="55"/>
      <c r="I906" s="55"/>
      <c r="J906" s="106">
        <v>0</v>
      </c>
      <c r="K906" s="107"/>
      <c r="L906" s="108">
        <v>9.8522167487684722E-4</v>
      </c>
    </row>
    <row r="907" spans="3:12" ht="15" customHeight="1">
      <c r="C907" s="102" t="s">
        <v>687</v>
      </c>
      <c r="D907" s="55"/>
      <c r="E907" s="55"/>
      <c r="F907" s="55"/>
      <c r="G907" s="55"/>
      <c r="H907" s="55"/>
      <c r="I907" s="55"/>
      <c r="J907" s="106">
        <v>0</v>
      </c>
      <c r="K907" s="107"/>
      <c r="L907" s="108">
        <v>9.8522167487684722E-4</v>
      </c>
    </row>
    <row r="908" spans="3:12" ht="15" customHeight="1">
      <c r="C908" s="102" t="s">
        <v>132</v>
      </c>
      <c r="D908" s="55"/>
      <c r="E908" s="55"/>
      <c r="F908" s="55"/>
      <c r="G908" s="55"/>
      <c r="H908" s="55"/>
      <c r="I908" s="55"/>
      <c r="J908" s="106">
        <v>0</v>
      </c>
      <c r="K908" s="107"/>
      <c r="L908" s="108">
        <v>9.8522167487684722E-4</v>
      </c>
    </row>
    <row r="909" spans="3:12" ht="15" customHeight="1">
      <c r="C909" s="102" t="s">
        <v>318</v>
      </c>
      <c r="D909" s="55"/>
      <c r="E909" s="55"/>
      <c r="F909" s="55"/>
      <c r="G909" s="55"/>
      <c r="H909" s="55"/>
      <c r="I909" s="55"/>
      <c r="J909" s="106">
        <v>0</v>
      </c>
      <c r="K909" s="107"/>
      <c r="L909" s="108">
        <v>9.8522167487684722E-4</v>
      </c>
    </row>
    <row r="910" spans="3:12" ht="15" customHeight="1">
      <c r="C910" s="102" t="s">
        <v>1100</v>
      </c>
      <c r="D910" s="55"/>
      <c r="E910" s="55"/>
      <c r="F910" s="55"/>
      <c r="G910" s="55"/>
      <c r="H910" s="55"/>
      <c r="I910" s="55"/>
      <c r="J910" s="106">
        <v>0</v>
      </c>
      <c r="K910" s="107"/>
      <c r="L910" s="108">
        <v>9.8522167487684722E-4</v>
      </c>
    </row>
    <row r="911" spans="3:12" ht="15" customHeight="1">
      <c r="C911" s="102" t="s">
        <v>807</v>
      </c>
      <c r="D911" s="55"/>
      <c r="E911" s="55"/>
      <c r="F911" s="55"/>
      <c r="G911" s="55"/>
      <c r="H911" s="55"/>
      <c r="I911" s="55"/>
      <c r="J911" s="106">
        <v>0</v>
      </c>
      <c r="K911" s="107"/>
      <c r="L911" s="108">
        <v>9.8522167487684722E-4</v>
      </c>
    </row>
    <row r="912" spans="3:12" ht="15" customHeight="1">
      <c r="C912" s="102" t="s">
        <v>1101</v>
      </c>
      <c r="D912" s="55"/>
      <c r="E912" s="55"/>
      <c r="F912" s="55"/>
      <c r="G912" s="55"/>
      <c r="H912" s="55"/>
      <c r="I912" s="55"/>
      <c r="J912" s="106">
        <v>0</v>
      </c>
      <c r="K912" s="107"/>
      <c r="L912" s="108">
        <v>9.8522167487684722E-4</v>
      </c>
    </row>
    <row r="913" spans="3:12" ht="15" customHeight="1">
      <c r="C913" s="102" t="s">
        <v>972</v>
      </c>
      <c r="D913" s="55"/>
      <c r="E913" s="55"/>
      <c r="F913" s="55"/>
      <c r="G913" s="55"/>
      <c r="H913" s="55"/>
      <c r="I913" s="55"/>
      <c r="J913" s="106">
        <v>0</v>
      </c>
      <c r="K913" s="107"/>
      <c r="L913" s="108">
        <v>9.8522167487684722E-4</v>
      </c>
    </row>
    <row r="914" spans="3:12" ht="15" customHeight="1">
      <c r="C914" s="102" t="s">
        <v>583</v>
      </c>
      <c r="D914" s="55"/>
      <c r="E914" s="55"/>
      <c r="F914" s="55"/>
      <c r="G914" s="55"/>
      <c r="H914" s="55"/>
      <c r="I914" s="55"/>
      <c r="J914" s="106">
        <v>0</v>
      </c>
      <c r="K914" s="107"/>
      <c r="L914" s="108">
        <v>9.8522167487684722E-4</v>
      </c>
    </row>
    <row r="915" spans="3:12" ht="15" customHeight="1">
      <c r="C915" s="102" t="s">
        <v>108</v>
      </c>
      <c r="D915" s="55"/>
      <c r="E915" s="55"/>
      <c r="F915" s="55"/>
      <c r="G915" s="55"/>
      <c r="H915" s="55"/>
      <c r="I915" s="55"/>
      <c r="J915" s="106">
        <v>0</v>
      </c>
      <c r="K915" s="107"/>
      <c r="L915" s="108">
        <v>9.8522167487684722E-4</v>
      </c>
    </row>
    <row r="916" spans="3:12" ht="15" customHeight="1">
      <c r="C916" s="102" t="s">
        <v>1046</v>
      </c>
      <c r="D916" s="55"/>
      <c r="E916" s="55"/>
      <c r="F916" s="55"/>
      <c r="G916" s="55"/>
      <c r="H916" s="55"/>
      <c r="I916" s="55"/>
      <c r="J916" s="106">
        <v>0</v>
      </c>
      <c r="K916" s="107"/>
      <c r="L916" s="108">
        <v>9.8522167487684722E-4</v>
      </c>
    </row>
    <row r="917" spans="3:12" ht="15" customHeight="1">
      <c r="C917" s="102" t="s">
        <v>330</v>
      </c>
      <c r="D917" s="55"/>
      <c r="E917" s="55"/>
      <c r="F917" s="55"/>
      <c r="G917" s="55"/>
      <c r="H917" s="55"/>
      <c r="I917" s="55"/>
      <c r="J917" s="106">
        <v>0</v>
      </c>
      <c r="K917" s="107"/>
      <c r="L917" s="108">
        <v>9.8522167487684722E-4</v>
      </c>
    </row>
    <row r="918" spans="3:12" ht="15" customHeight="1">
      <c r="C918" s="102" t="s">
        <v>397</v>
      </c>
      <c r="D918" s="55"/>
      <c r="E918" s="55"/>
      <c r="F918" s="55"/>
      <c r="G918" s="55"/>
      <c r="H918" s="55"/>
      <c r="I918" s="55"/>
      <c r="J918" s="106">
        <v>0</v>
      </c>
      <c r="K918" s="107"/>
      <c r="L918" s="108">
        <v>9.8522167487684722E-4</v>
      </c>
    </row>
    <row r="919" spans="3:12" ht="15" customHeight="1">
      <c r="C919" s="102" t="s">
        <v>317</v>
      </c>
      <c r="D919" s="55"/>
      <c r="E919" s="55"/>
      <c r="F919" s="55"/>
      <c r="G919" s="55"/>
      <c r="H919" s="55"/>
      <c r="I919" s="55"/>
      <c r="J919" s="106">
        <v>0</v>
      </c>
      <c r="K919" s="107"/>
      <c r="L919" s="108">
        <v>9.8522167487684722E-4</v>
      </c>
    </row>
    <row r="920" spans="3:12" ht="15" customHeight="1">
      <c r="C920" s="102" t="s">
        <v>623</v>
      </c>
      <c r="D920" s="55"/>
      <c r="E920" s="55"/>
      <c r="F920" s="55"/>
      <c r="G920" s="55"/>
      <c r="H920" s="55"/>
      <c r="I920" s="55"/>
      <c r="J920" s="106">
        <v>0</v>
      </c>
      <c r="K920" s="107"/>
      <c r="L920" s="108">
        <v>9.8522167487684722E-4</v>
      </c>
    </row>
    <row r="921" spans="3:12" ht="15" customHeight="1">
      <c r="C921" s="102" t="s">
        <v>149</v>
      </c>
      <c r="D921" s="55"/>
      <c r="E921" s="55"/>
      <c r="F921" s="55"/>
      <c r="G921" s="55"/>
      <c r="H921" s="55"/>
      <c r="I921" s="55"/>
      <c r="J921" s="106">
        <v>0</v>
      </c>
      <c r="K921" s="107"/>
      <c r="L921" s="108">
        <v>9.8522167487684722E-4</v>
      </c>
    </row>
    <row r="922" spans="3:12" ht="15" customHeight="1">
      <c r="C922" s="102" t="s">
        <v>383</v>
      </c>
      <c r="D922" s="55"/>
      <c r="E922" s="55"/>
      <c r="F922" s="55"/>
      <c r="G922" s="55"/>
      <c r="H922" s="55"/>
      <c r="I922" s="55"/>
      <c r="J922" s="106">
        <v>0</v>
      </c>
      <c r="K922" s="107"/>
      <c r="L922" s="108">
        <v>9.8522167487684722E-4</v>
      </c>
    </row>
    <row r="923" spans="3:12" ht="15" customHeight="1">
      <c r="C923" s="102" t="s">
        <v>116</v>
      </c>
      <c r="D923" s="55"/>
      <c r="E923" s="55"/>
      <c r="F923" s="55"/>
      <c r="G923" s="55"/>
      <c r="H923" s="55"/>
      <c r="I923" s="55"/>
      <c r="J923" s="106">
        <v>0</v>
      </c>
      <c r="K923" s="107"/>
      <c r="L923" s="108">
        <v>9.8522167487684722E-4</v>
      </c>
    </row>
    <row r="924" spans="3:12" ht="15" customHeight="1">
      <c r="C924" s="102" t="s">
        <v>691</v>
      </c>
      <c r="D924" s="55"/>
      <c r="E924" s="55"/>
      <c r="F924" s="55"/>
      <c r="G924" s="55"/>
      <c r="H924" s="55"/>
      <c r="I924" s="55"/>
      <c r="J924" s="106">
        <v>0</v>
      </c>
      <c r="K924" s="107"/>
      <c r="L924" s="108">
        <v>9.8522167487684722E-4</v>
      </c>
    </row>
    <row r="925" spans="3:12" ht="15" customHeight="1">
      <c r="C925" s="102" t="s">
        <v>428</v>
      </c>
      <c r="D925" s="55"/>
      <c r="E925" s="55"/>
      <c r="F925" s="55"/>
      <c r="G925" s="55"/>
      <c r="H925" s="55"/>
      <c r="I925" s="55"/>
      <c r="J925" s="106">
        <v>0</v>
      </c>
      <c r="K925" s="107"/>
      <c r="L925" s="108">
        <v>9.8522167487684722E-4</v>
      </c>
    </row>
    <row r="926" spans="3:12" ht="15" customHeight="1">
      <c r="C926" s="102" t="s">
        <v>445</v>
      </c>
      <c r="D926" s="55"/>
      <c r="E926" s="55"/>
      <c r="F926" s="55"/>
      <c r="G926" s="55"/>
      <c r="H926" s="55"/>
      <c r="I926" s="55"/>
      <c r="J926" s="106">
        <v>0</v>
      </c>
      <c r="K926" s="107"/>
      <c r="L926" s="108">
        <v>9.8522167487684722E-4</v>
      </c>
    </row>
    <row r="927" spans="3:12" ht="15" customHeight="1">
      <c r="C927" s="102" t="s">
        <v>894</v>
      </c>
      <c r="D927" s="55"/>
      <c r="E927" s="55"/>
      <c r="F927" s="55"/>
      <c r="G927" s="55"/>
      <c r="H927" s="55"/>
      <c r="I927" s="55"/>
      <c r="J927" s="106">
        <v>0</v>
      </c>
      <c r="K927" s="107"/>
      <c r="L927" s="108">
        <v>9.8522167487684722E-4</v>
      </c>
    </row>
    <row r="928" spans="3:12" ht="15" customHeight="1">
      <c r="C928" s="102" t="s">
        <v>1037</v>
      </c>
      <c r="D928" s="55"/>
      <c r="E928" s="55"/>
      <c r="F928" s="55"/>
      <c r="G928" s="55"/>
      <c r="H928" s="55"/>
      <c r="I928" s="55"/>
      <c r="J928" s="106">
        <v>0</v>
      </c>
      <c r="K928" s="107"/>
      <c r="L928" s="108">
        <v>9.8522167487684722E-4</v>
      </c>
    </row>
    <row r="929" spans="3:12" ht="15" customHeight="1">
      <c r="C929" s="102" t="s">
        <v>272</v>
      </c>
      <c r="D929" s="55"/>
      <c r="E929" s="55"/>
      <c r="F929" s="55"/>
      <c r="G929" s="55"/>
      <c r="H929" s="55"/>
      <c r="I929" s="55"/>
      <c r="J929" s="106">
        <v>0</v>
      </c>
      <c r="K929" s="107"/>
      <c r="L929" s="108">
        <v>9.8522167487684722E-4</v>
      </c>
    </row>
    <row r="930" spans="3:12" ht="15" customHeight="1">
      <c r="C930" s="102" t="s">
        <v>516</v>
      </c>
      <c r="D930" s="55"/>
      <c r="E930" s="55"/>
      <c r="F930" s="55"/>
      <c r="G930" s="55"/>
      <c r="H930" s="55"/>
      <c r="I930" s="55"/>
      <c r="J930" s="106">
        <v>0</v>
      </c>
      <c r="K930" s="107"/>
      <c r="L930" s="108">
        <v>9.8522167487684722E-4</v>
      </c>
    </row>
    <row r="931" spans="3:12" ht="15" customHeight="1">
      <c r="C931" s="102" t="s">
        <v>430</v>
      </c>
      <c r="D931" s="55"/>
      <c r="E931" s="55"/>
      <c r="F931" s="55"/>
      <c r="G931" s="55"/>
      <c r="H931" s="55"/>
      <c r="I931" s="55"/>
      <c r="J931" s="106">
        <v>0</v>
      </c>
      <c r="K931" s="107"/>
      <c r="L931" s="108">
        <v>9.8522167487684722E-4</v>
      </c>
    </row>
    <row r="932" spans="3:12" ht="15" customHeight="1">
      <c r="C932" s="102" t="s">
        <v>1043</v>
      </c>
      <c r="D932" s="55"/>
      <c r="E932" s="55"/>
      <c r="F932" s="55"/>
      <c r="G932" s="55"/>
      <c r="H932" s="55"/>
      <c r="I932" s="55"/>
      <c r="J932" s="106">
        <v>0</v>
      </c>
      <c r="K932" s="107"/>
      <c r="L932" s="108">
        <v>9.8522167487684722E-4</v>
      </c>
    </row>
    <row r="933" spans="3:12" ht="15" customHeight="1">
      <c r="C933" s="102" t="s">
        <v>786</v>
      </c>
      <c r="D933" s="55"/>
      <c r="E933" s="55"/>
      <c r="F933" s="55"/>
      <c r="G933" s="55"/>
      <c r="H933" s="55"/>
      <c r="I933" s="55"/>
      <c r="J933" s="106">
        <v>0</v>
      </c>
      <c r="K933" s="107"/>
      <c r="L933" s="108">
        <v>9.8522167487684722E-4</v>
      </c>
    </row>
    <row r="934" spans="3:12" ht="15" customHeight="1">
      <c r="C934" s="102" t="s">
        <v>1004</v>
      </c>
      <c r="D934" s="55"/>
      <c r="E934" s="55"/>
      <c r="F934" s="55"/>
      <c r="G934" s="55"/>
      <c r="H934" s="55"/>
      <c r="I934" s="55"/>
      <c r="J934" s="106">
        <v>0</v>
      </c>
      <c r="K934" s="107"/>
      <c r="L934" s="108">
        <v>9.8522167487684722E-4</v>
      </c>
    </row>
    <row r="935" spans="3:12" ht="15" customHeight="1">
      <c r="C935" s="102" t="s">
        <v>402</v>
      </c>
      <c r="D935" s="55"/>
      <c r="E935" s="55"/>
      <c r="F935" s="55"/>
      <c r="G935" s="55"/>
      <c r="H935" s="55"/>
      <c r="I935" s="55"/>
      <c r="J935" s="106">
        <v>0</v>
      </c>
      <c r="K935" s="107"/>
      <c r="L935" s="108">
        <v>9.8522167487684722E-4</v>
      </c>
    </row>
    <row r="936" spans="3:12" ht="15" customHeight="1">
      <c r="C936" s="102" t="s">
        <v>157</v>
      </c>
      <c r="D936" s="55"/>
      <c r="E936" s="55"/>
      <c r="F936" s="55"/>
      <c r="G936" s="55"/>
      <c r="H936" s="55"/>
      <c r="I936" s="55"/>
      <c r="J936" s="106">
        <v>0</v>
      </c>
      <c r="K936" s="107"/>
      <c r="L936" s="108">
        <v>9.8522167487684722E-4</v>
      </c>
    </row>
    <row r="937" spans="3:12" ht="15" customHeight="1">
      <c r="C937" s="102" t="s">
        <v>233</v>
      </c>
      <c r="D937" s="55"/>
      <c r="E937" s="55"/>
      <c r="F937" s="55"/>
      <c r="G937" s="55"/>
      <c r="H937" s="55"/>
      <c r="I937" s="55"/>
      <c r="J937" s="106">
        <v>0</v>
      </c>
      <c r="K937" s="107"/>
      <c r="L937" s="108">
        <v>9.8522167487684722E-4</v>
      </c>
    </row>
    <row r="938" spans="3:12" ht="15" customHeight="1">
      <c r="C938" s="102" t="s">
        <v>1105</v>
      </c>
      <c r="D938" s="55"/>
      <c r="E938" s="55"/>
      <c r="F938" s="55"/>
      <c r="G938" s="55"/>
      <c r="H938" s="55"/>
      <c r="I938" s="55"/>
      <c r="J938" s="106">
        <v>0</v>
      </c>
      <c r="K938" s="107"/>
      <c r="L938" s="108">
        <v>9.8522167487684722E-4</v>
      </c>
    </row>
    <row r="939" spans="3:12" ht="15" customHeight="1">
      <c r="C939" s="102" t="s">
        <v>1103</v>
      </c>
      <c r="D939" s="55"/>
      <c r="E939" s="55"/>
      <c r="F939" s="55"/>
      <c r="G939" s="55"/>
      <c r="H939" s="55"/>
      <c r="I939" s="55"/>
      <c r="J939" s="106">
        <v>0</v>
      </c>
      <c r="K939" s="107"/>
      <c r="L939" s="108">
        <v>9.8522167487684722E-4</v>
      </c>
    </row>
    <row r="940" spans="3:12" ht="15" customHeight="1">
      <c r="C940" s="102" t="s">
        <v>649</v>
      </c>
      <c r="D940" s="55"/>
      <c r="E940" s="55"/>
      <c r="F940" s="55"/>
      <c r="G940" s="55"/>
      <c r="H940" s="55"/>
      <c r="I940" s="55"/>
      <c r="J940" s="106">
        <v>0</v>
      </c>
      <c r="K940" s="107"/>
      <c r="L940" s="108">
        <v>9.8522167487684722E-4</v>
      </c>
    </row>
    <row r="941" spans="3:12" ht="15" customHeight="1">
      <c r="C941" s="102" t="s">
        <v>1083</v>
      </c>
      <c r="D941" s="55"/>
      <c r="E941" s="55"/>
      <c r="F941" s="55"/>
      <c r="G941" s="55"/>
      <c r="H941" s="55"/>
      <c r="I941" s="55"/>
      <c r="J941" s="106">
        <v>0</v>
      </c>
      <c r="K941" s="107"/>
      <c r="L941" s="108">
        <v>9.8522167487684722E-4</v>
      </c>
    </row>
    <row r="942" spans="3:12" ht="15" customHeight="1">
      <c r="C942" s="102" t="s">
        <v>105</v>
      </c>
      <c r="D942" s="55"/>
      <c r="E942" s="55"/>
      <c r="F942" s="55"/>
      <c r="G942" s="55"/>
      <c r="H942" s="55"/>
      <c r="I942" s="55"/>
      <c r="J942" s="106">
        <v>0</v>
      </c>
      <c r="K942" s="107"/>
      <c r="L942" s="108">
        <v>9.8522167487684722E-4</v>
      </c>
    </row>
    <row r="943" spans="3:12" ht="15" customHeight="1">
      <c r="C943" s="102" t="s">
        <v>321</v>
      </c>
      <c r="D943" s="55"/>
      <c r="E943" s="55"/>
      <c r="F943" s="55"/>
      <c r="G943" s="55"/>
      <c r="H943" s="55"/>
      <c r="I943" s="55"/>
      <c r="J943" s="106">
        <v>0</v>
      </c>
      <c r="K943" s="107"/>
      <c r="L943" s="108">
        <v>9.8522167487684722E-4</v>
      </c>
    </row>
    <row r="944" spans="3:12" ht="15" customHeight="1">
      <c r="C944" s="102" t="s">
        <v>584</v>
      </c>
      <c r="D944" s="55"/>
      <c r="E944" s="55"/>
      <c r="F944" s="55"/>
      <c r="G944" s="55"/>
      <c r="H944" s="55"/>
      <c r="I944" s="55"/>
      <c r="J944" s="106">
        <v>0</v>
      </c>
      <c r="K944" s="107"/>
      <c r="L944" s="108">
        <v>9.8522167487684722E-4</v>
      </c>
    </row>
    <row r="945" spans="3:12" ht="15" customHeight="1">
      <c r="C945" s="102" t="s">
        <v>123</v>
      </c>
      <c r="D945" s="55"/>
      <c r="E945" s="55"/>
      <c r="F945" s="55"/>
      <c r="G945" s="55"/>
      <c r="H945" s="55"/>
      <c r="I945" s="55"/>
      <c r="J945" s="106">
        <v>0</v>
      </c>
      <c r="K945" s="107"/>
      <c r="L945" s="108">
        <v>9.8522167487684722E-4</v>
      </c>
    </row>
    <row r="946" spans="3:12" ht="15" customHeight="1">
      <c r="C946" s="102" t="s">
        <v>870</v>
      </c>
      <c r="D946" s="55"/>
      <c r="E946" s="55"/>
      <c r="F946" s="55"/>
      <c r="G946" s="55"/>
      <c r="H946" s="55"/>
      <c r="I946" s="55"/>
      <c r="J946" s="106">
        <v>0</v>
      </c>
      <c r="K946" s="107"/>
      <c r="L946" s="108">
        <v>9.8522167487684722E-4</v>
      </c>
    </row>
    <row r="947" spans="3:12" ht="15" customHeight="1">
      <c r="C947" s="102" t="s">
        <v>600</v>
      </c>
      <c r="D947" s="55"/>
      <c r="E947" s="55"/>
      <c r="F947" s="55"/>
      <c r="G947" s="55"/>
      <c r="H947" s="55"/>
      <c r="I947" s="55"/>
      <c r="J947" s="106">
        <v>0</v>
      </c>
      <c r="K947" s="107"/>
      <c r="L947" s="108">
        <v>9.8522167487684722E-4</v>
      </c>
    </row>
    <row r="948" spans="3:12" ht="15" customHeight="1">
      <c r="C948" s="102" t="s">
        <v>764</v>
      </c>
      <c r="D948" s="55"/>
      <c r="E948" s="55"/>
      <c r="F948" s="55"/>
      <c r="G948" s="55"/>
      <c r="H948" s="55"/>
      <c r="I948" s="55"/>
      <c r="J948" s="106">
        <v>0</v>
      </c>
      <c r="K948" s="107"/>
      <c r="L948" s="108">
        <v>9.8522167487684722E-4</v>
      </c>
    </row>
    <row r="949" spans="3:12" ht="15" customHeight="1">
      <c r="C949" s="102" t="s">
        <v>698</v>
      </c>
      <c r="D949" s="55"/>
      <c r="E949" s="55"/>
      <c r="F949" s="55"/>
      <c r="G949" s="55"/>
      <c r="H949" s="55"/>
      <c r="I949" s="55"/>
      <c r="J949" s="106">
        <v>0</v>
      </c>
      <c r="K949" s="107"/>
      <c r="L949" s="108">
        <v>9.8522167487684722E-4</v>
      </c>
    </row>
    <row r="950" spans="3:12" ht="15" customHeight="1">
      <c r="C950" s="102" t="s">
        <v>632</v>
      </c>
      <c r="D950" s="55"/>
      <c r="E950" s="55"/>
      <c r="F950" s="55"/>
      <c r="G950" s="55"/>
      <c r="H950" s="55"/>
      <c r="I950" s="55"/>
      <c r="J950" s="106">
        <v>0</v>
      </c>
      <c r="K950" s="107"/>
      <c r="L950" s="108">
        <v>9.8522167487684722E-4</v>
      </c>
    </row>
    <row r="951" spans="3:12" ht="15" customHeight="1">
      <c r="C951" s="102" t="s">
        <v>961</v>
      </c>
      <c r="D951" s="55"/>
      <c r="E951" s="55"/>
      <c r="F951" s="55"/>
      <c r="G951" s="55"/>
      <c r="H951" s="55"/>
      <c r="I951" s="55"/>
      <c r="J951" s="106">
        <v>0</v>
      </c>
      <c r="K951" s="107"/>
      <c r="L951" s="108">
        <v>9.8522167487684722E-4</v>
      </c>
    </row>
    <row r="952" spans="3:12" ht="15" customHeight="1">
      <c r="C952" s="102" t="s">
        <v>166</v>
      </c>
      <c r="D952" s="55"/>
      <c r="E952" s="55"/>
      <c r="F952" s="55"/>
      <c r="G952" s="55"/>
      <c r="H952" s="55"/>
      <c r="I952" s="55"/>
      <c r="J952" s="106">
        <v>0</v>
      </c>
      <c r="K952" s="107"/>
      <c r="L952" s="108">
        <v>9.8522167487684722E-4</v>
      </c>
    </row>
    <row r="953" spans="3:12" ht="15" customHeight="1">
      <c r="C953" s="102" t="s">
        <v>418</v>
      </c>
      <c r="D953" s="55"/>
      <c r="E953" s="55"/>
      <c r="F953" s="55"/>
      <c r="G953" s="55"/>
      <c r="H953" s="55"/>
      <c r="I953" s="55"/>
      <c r="J953" s="106">
        <v>0</v>
      </c>
      <c r="K953" s="107"/>
      <c r="L953" s="108">
        <v>9.8522167487684722E-4</v>
      </c>
    </row>
    <row r="954" spans="3:12" ht="15" customHeight="1">
      <c r="C954" s="102" t="s">
        <v>875</v>
      </c>
      <c r="D954" s="55"/>
      <c r="E954" s="55"/>
      <c r="F954" s="55"/>
      <c r="G954" s="55"/>
      <c r="H954" s="55"/>
      <c r="I954" s="55"/>
      <c r="J954" s="106">
        <v>0</v>
      </c>
      <c r="K954" s="107"/>
      <c r="L954" s="108">
        <v>9.8522167487684722E-4</v>
      </c>
    </row>
    <row r="955" spans="3:12" ht="15" customHeight="1">
      <c r="C955" s="102" t="s">
        <v>585</v>
      </c>
      <c r="D955" s="55"/>
      <c r="E955" s="55"/>
      <c r="F955" s="55"/>
      <c r="G955" s="55"/>
      <c r="H955" s="55"/>
      <c r="I955" s="55"/>
      <c r="J955" s="106">
        <v>0</v>
      </c>
      <c r="K955" s="107"/>
      <c r="L955" s="108">
        <v>9.8522167487684722E-4</v>
      </c>
    </row>
    <row r="956" spans="3:12" ht="15" customHeight="1">
      <c r="C956" s="102" t="s">
        <v>1002</v>
      </c>
      <c r="D956" s="55"/>
      <c r="E956" s="55"/>
      <c r="F956" s="55"/>
      <c r="G956" s="55"/>
      <c r="H956" s="55"/>
      <c r="I956" s="55"/>
      <c r="J956" s="106">
        <v>0</v>
      </c>
      <c r="K956" s="107"/>
      <c r="L956" s="108">
        <v>9.8522167487684722E-4</v>
      </c>
    </row>
    <row r="957" spans="3:12" ht="15" customHeight="1">
      <c r="C957" s="102" t="s">
        <v>204</v>
      </c>
      <c r="D957" s="55"/>
      <c r="E957" s="55"/>
      <c r="F957" s="55"/>
      <c r="G957" s="55"/>
      <c r="H957" s="55"/>
      <c r="I957" s="55"/>
      <c r="J957" s="106">
        <v>0</v>
      </c>
      <c r="K957" s="107"/>
      <c r="L957" s="108">
        <v>9.8522167487684722E-4</v>
      </c>
    </row>
    <row r="958" spans="3:12" ht="15" customHeight="1">
      <c r="C958" s="102" t="s">
        <v>121</v>
      </c>
      <c r="D958" s="55"/>
      <c r="E958" s="55"/>
      <c r="F958" s="55"/>
      <c r="G958" s="55"/>
      <c r="H958" s="55"/>
      <c r="I958" s="55"/>
      <c r="J958" s="106">
        <v>0</v>
      </c>
      <c r="K958" s="107"/>
      <c r="L958" s="108">
        <v>9.8522167487684722E-4</v>
      </c>
    </row>
    <row r="959" spans="3:12" ht="15" customHeight="1">
      <c r="C959" s="102" t="s">
        <v>727</v>
      </c>
      <c r="D959" s="55"/>
      <c r="E959" s="55"/>
      <c r="F959" s="55"/>
      <c r="G959" s="55"/>
      <c r="H959" s="55"/>
      <c r="I959" s="55"/>
      <c r="J959" s="106">
        <v>0</v>
      </c>
      <c r="K959" s="107"/>
      <c r="L959" s="108">
        <v>9.8522167487684722E-4</v>
      </c>
    </row>
    <row r="960" spans="3:12" ht="15" customHeight="1">
      <c r="C960" s="102" t="s">
        <v>742</v>
      </c>
      <c r="D960" s="55"/>
      <c r="E960" s="55"/>
      <c r="F960" s="55"/>
      <c r="G960" s="55"/>
      <c r="H960" s="55"/>
      <c r="I960" s="55"/>
      <c r="J960" s="106">
        <v>0</v>
      </c>
      <c r="K960" s="107"/>
      <c r="L960" s="108">
        <v>9.8522167487684722E-4</v>
      </c>
    </row>
    <row r="961" spans="3:12" ht="15" customHeight="1">
      <c r="C961" s="102" t="s">
        <v>356</v>
      </c>
      <c r="D961" s="55"/>
      <c r="E961" s="55"/>
      <c r="F961" s="55"/>
      <c r="G961" s="55"/>
      <c r="H961" s="55"/>
      <c r="I961" s="55"/>
      <c r="J961" s="106">
        <v>0</v>
      </c>
      <c r="K961" s="107"/>
      <c r="L961" s="108">
        <v>9.8522167487684722E-4</v>
      </c>
    </row>
    <row r="962" spans="3:12" ht="15" customHeight="1">
      <c r="C962" s="102" t="s">
        <v>1067</v>
      </c>
      <c r="D962" s="55"/>
      <c r="E962" s="55"/>
      <c r="F962" s="55"/>
      <c r="G962" s="55"/>
      <c r="H962" s="55"/>
      <c r="I962" s="55"/>
      <c r="J962" s="106">
        <v>0</v>
      </c>
      <c r="K962" s="107"/>
      <c r="L962" s="108">
        <v>9.8522167487684722E-4</v>
      </c>
    </row>
    <row r="963" spans="3:12" ht="15" customHeight="1">
      <c r="C963" s="102" t="s">
        <v>957</v>
      </c>
      <c r="D963" s="55"/>
      <c r="E963" s="55"/>
      <c r="F963" s="55"/>
      <c r="G963" s="55"/>
      <c r="H963" s="55"/>
      <c r="I963" s="55"/>
      <c r="J963" s="106">
        <v>0</v>
      </c>
      <c r="K963" s="107"/>
      <c r="L963" s="108">
        <v>9.8522167487684722E-4</v>
      </c>
    </row>
    <row r="964" spans="3:12" ht="15" customHeight="1">
      <c r="C964" s="102" t="s">
        <v>458</v>
      </c>
      <c r="D964" s="55"/>
      <c r="E964" s="55"/>
      <c r="F964" s="55"/>
      <c r="G964" s="55"/>
      <c r="H964" s="55"/>
      <c r="I964" s="55"/>
      <c r="J964" s="106">
        <v>0</v>
      </c>
      <c r="K964" s="107"/>
      <c r="L964" s="108">
        <v>9.8522167487684722E-4</v>
      </c>
    </row>
    <row r="965" spans="3:12" ht="15" customHeight="1">
      <c r="C965" s="102" t="s">
        <v>792</v>
      </c>
      <c r="D965" s="55"/>
      <c r="E965" s="55"/>
      <c r="F965" s="55"/>
      <c r="G965" s="55"/>
      <c r="H965" s="55"/>
      <c r="I965" s="55"/>
      <c r="J965" s="106">
        <v>0</v>
      </c>
      <c r="K965" s="107"/>
      <c r="L965" s="108">
        <v>9.8522167487684722E-4</v>
      </c>
    </row>
    <row r="966" spans="3:12" ht="15" customHeight="1">
      <c r="C966" s="102" t="s">
        <v>909</v>
      </c>
      <c r="D966" s="55"/>
      <c r="E966" s="55"/>
      <c r="F966" s="55"/>
      <c r="G966" s="55"/>
      <c r="H966" s="55"/>
      <c r="I966" s="55"/>
      <c r="J966" s="106">
        <v>0</v>
      </c>
      <c r="K966" s="107"/>
      <c r="L966" s="108">
        <v>9.8522167487684722E-4</v>
      </c>
    </row>
    <row r="967" spans="3:12" ht="15" customHeight="1">
      <c r="C967" s="102" t="s">
        <v>1042</v>
      </c>
      <c r="D967" s="55"/>
      <c r="E967" s="55"/>
      <c r="F967" s="55"/>
      <c r="G967" s="55"/>
      <c r="H967" s="55"/>
      <c r="I967" s="55"/>
      <c r="J967" s="106">
        <v>0</v>
      </c>
      <c r="K967" s="107"/>
      <c r="L967" s="108">
        <v>9.8522167487684722E-4</v>
      </c>
    </row>
    <row r="968" spans="3:12" ht="15" customHeight="1">
      <c r="C968" s="102" t="s">
        <v>771</v>
      </c>
      <c r="D968" s="55"/>
      <c r="E968" s="55"/>
      <c r="F968" s="55"/>
      <c r="G968" s="55"/>
      <c r="H968" s="55"/>
      <c r="I968" s="55"/>
      <c r="J968" s="106">
        <v>0</v>
      </c>
      <c r="K968" s="107"/>
      <c r="L968" s="108">
        <v>9.8522167487684722E-4</v>
      </c>
    </row>
    <row r="969" spans="3:12" ht="15" customHeight="1">
      <c r="C969" s="102" t="s">
        <v>249</v>
      </c>
      <c r="D969" s="55"/>
      <c r="E969" s="55"/>
      <c r="F969" s="55"/>
      <c r="G969" s="55"/>
      <c r="H969" s="55"/>
      <c r="I969" s="55"/>
      <c r="J969" s="106">
        <v>0</v>
      </c>
      <c r="K969" s="107"/>
      <c r="L969" s="108">
        <v>9.8522167487684722E-4</v>
      </c>
    </row>
    <row r="970" spans="3:12" ht="15" customHeight="1">
      <c r="C970" s="102" t="s">
        <v>165</v>
      </c>
      <c r="D970" s="55"/>
      <c r="E970" s="55"/>
      <c r="F970" s="55"/>
      <c r="G970" s="55"/>
      <c r="H970" s="55"/>
      <c r="I970" s="55"/>
      <c r="J970" s="106">
        <v>0</v>
      </c>
      <c r="K970" s="107"/>
      <c r="L970" s="108">
        <v>9.8522167487684722E-4</v>
      </c>
    </row>
    <row r="971" spans="3:12" ht="15" customHeight="1">
      <c r="C971" s="102" t="s">
        <v>522</v>
      </c>
      <c r="D971" s="55"/>
      <c r="E971" s="55"/>
      <c r="F971" s="55"/>
      <c r="G971" s="55"/>
      <c r="H971" s="55"/>
      <c r="I971" s="55"/>
      <c r="J971" s="106">
        <v>0</v>
      </c>
      <c r="K971" s="107"/>
      <c r="L971" s="108">
        <v>9.8522167487684722E-4</v>
      </c>
    </row>
    <row r="972" spans="3:12" ht="15" customHeight="1">
      <c r="C972" s="102" t="s">
        <v>1044</v>
      </c>
      <c r="D972" s="55"/>
      <c r="E972" s="55"/>
      <c r="F972" s="55"/>
      <c r="G972" s="55"/>
      <c r="H972" s="55"/>
      <c r="I972" s="55"/>
      <c r="J972" s="106">
        <v>0</v>
      </c>
      <c r="K972" s="107"/>
      <c r="L972" s="108">
        <v>9.8522167487684722E-4</v>
      </c>
    </row>
    <row r="973" spans="3:12" ht="15" customHeight="1">
      <c r="C973" s="102" t="s">
        <v>647</v>
      </c>
      <c r="D973" s="55"/>
      <c r="E973" s="55"/>
      <c r="F973" s="55"/>
      <c r="G973" s="55"/>
      <c r="H973" s="55"/>
      <c r="I973" s="55"/>
      <c r="J973" s="106">
        <v>0</v>
      </c>
      <c r="K973" s="107"/>
      <c r="L973" s="108">
        <v>9.8522167487684722E-4</v>
      </c>
    </row>
    <row r="974" spans="3:12" ht="15" customHeight="1">
      <c r="C974" s="102" t="s">
        <v>337</v>
      </c>
      <c r="D974" s="55"/>
      <c r="E974" s="55"/>
      <c r="F974" s="55"/>
      <c r="G974" s="55"/>
      <c r="H974" s="55"/>
      <c r="I974" s="55"/>
      <c r="J974" s="106">
        <v>0</v>
      </c>
      <c r="K974" s="107"/>
      <c r="L974" s="108">
        <v>9.8522167487684722E-4</v>
      </c>
    </row>
    <row r="975" spans="3:12" ht="15" customHeight="1">
      <c r="C975" s="102" t="s">
        <v>923</v>
      </c>
      <c r="D975" s="55"/>
      <c r="E975" s="55"/>
      <c r="F975" s="55"/>
      <c r="G975" s="55"/>
      <c r="H975" s="55"/>
      <c r="I975" s="55"/>
      <c r="J975" s="106">
        <v>0</v>
      </c>
      <c r="K975" s="107"/>
      <c r="L975" s="108">
        <v>9.8522167487684722E-4</v>
      </c>
    </row>
    <row r="976" spans="3:12" ht="15" customHeight="1">
      <c r="C976" s="102" t="s">
        <v>932</v>
      </c>
      <c r="D976" s="55"/>
      <c r="E976" s="55"/>
      <c r="F976" s="55"/>
      <c r="G976" s="55"/>
      <c r="H976" s="55"/>
      <c r="I976" s="55"/>
      <c r="J976" s="106">
        <v>0</v>
      </c>
      <c r="K976" s="107"/>
      <c r="L976" s="108">
        <v>9.8522167487684722E-4</v>
      </c>
    </row>
    <row r="977" spans="3:12" ht="15" customHeight="1">
      <c r="C977" s="102" t="s">
        <v>574</v>
      </c>
      <c r="D977" s="55"/>
      <c r="E977" s="55"/>
      <c r="F977" s="55"/>
      <c r="G977" s="55"/>
      <c r="H977" s="55"/>
      <c r="I977" s="55"/>
      <c r="J977" s="106">
        <v>0</v>
      </c>
      <c r="K977" s="107"/>
      <c r="L977" s="108">
        <v>1.9704433497536944E-3</v>
      </c>
    </row>
    <row r="978" spans="3:12" ht="15" customHeight="1">
      <c r="C978" s="102" t="s">
        <v>549</v>
      </c>
      <c r="D978" s="55"/>
      <c r="E978" s="55"/>
      <c r="F978" s="55"/>
      <c r="G978" s="55"/>
      <c r="H978" s="55"/>
      <c r="I978" s="55"/>
      <c r="J978" s="106">
        <v>0</v>
      </c>
      <c r="K978" s="107"/>
      <c r="L978" s="108">
        <v>9.8522167487684722E-4</v>
      </c>
    </row>
    <row r="979" spans="3:12" ht="15" customHeight="1">
      <c r="C979" s="102" t="s">
        <v>527</v>
      </c>
      <c r="D979" s="55"/>
      <c r="E979" s="55"/>
      <c r="F979" s="55"/>
      <c r="G979" s="55"/>
      <c r="H979" s="55"/>
      <c r="I979" s="55"/>
      <c r="J979" s="106">
        <v>0</v>
      </c>
      <c r="K979" s="107"/>
      <c r="L979" s="108">
        <v>9.8522167487684722E-4</v>
      </c>
    </row>
    <row r="980" spans="3:12" ht="15" customHeight="1">
      <c r="C980" s="102" t="s">
        <v>693</v>
      </c>
      <c r="D980" s="55"/>
      <c r="E980" s="55"/>
      <c r="F980" s="55"/>
      <c r="G980" s="55"/>
      <c r="H980" s="55"/>
      <c r="I980" s="55"/>
      <c r="J980" s="106">
        <v>0</v>
      </c>
      <c r="K980" s="107"/>
      <c r="L980" s="108">
        <v>9.8522167487684722E-4</v>
      </c>
    </row>
    <row r="981" spans="3:12" ht="15" customHeight="1">
      <c r="C981" s="102" t="s">
        <v>838</v>
      </c>
      <c r="D981" s="55"/>
      <c r="E981" s="55"/>
      <c r="F981" s="55"/>
      <c r="G981" s="55"/>
      <c r="H981" s="55"/>
      <c r="I981" s="55"/>
      <c r="J981" s="106">
        <v>0</v>
      </c>
      <c r="K981" s="107"/>
      <c r="L981" s="108">
        <v>9.8522167487684722E-4</v>
      </c>
    </row>
    <row r="982" spans="3:12" ht="15" customHeight="1">
      <c r="C982" s="102" t="s">
        <v>975</v>
      </c>
      <c r="D982" s="55"/>
      <c r="E982" s="55"/>
      <c r="F982" s="55"/>
      <c r="G982" s="55"/>
      <c r="H982" s="55"/>
      <c r="I982" s="55"/>
      <c r="J982" s="106">
        <v>0</v>
      </c>
      <c r="K982" s="107"/>
      <c r="L982" s="108">
        <v>9.8522167487684722E-4</v>
      </c>
    </row>
    <row r="983" spans="3:12" ht="15" customHeight="1">
      <c r="C983" s="102" t="s">
        <v>237</v>
      </c>
      <c r="D983" s="55"/>
      <c r="E983" s="55"/>
      <c r="F983" s="55"/>
      <c r="G983" s="55"/>
      <c r="H983" s="55"/>
      <c r="I983" s="55"/>
      <c r="J983" s="106">
        <v>0</v>
      </c>
      <c r="K983" s="107"/>
      <c r="L983" s="108">
        <v>9.8522167487684722E-4</v>
      </c>
    </row>
    <row r="984" spans="3:12" ht="15" customHeight="1">
      <c r="C984" s="102" t="s">
        <v>511</v>
      </c>
      <c r="D984" s="55"/>
      <c r="E984" s="55"/>
      <c r="F984" s="55"/>
      <c r="G984" s="55"/>
      <c r="H984" s="55"/>
      <c r="I984" s="55"/>
      <c r="J984" s="106">
        <v>0</v>
      </c>
      <c r="K984" s="107"/>
      <c r="L984" s="108">
        <v>9.8522167487684722E-4</v>
      </c>
    </row>
    <row r="985" spans="3:12" ht="15" customHeight="1">
      <c r="C985" s="102" t="s">
        <v>745</v>
      </c>
      <c r="D985" s="55"/>
      <c r="E985" s="55"/>
      <c r="F985" s="55"/>
      <c r="G985" s="55"/>
      <c r="H985" s="55"/>
      <c r="I985" s="55"/>
      <c r="J985" s="106">
        <v>0</v>
      </c>
      <c r="K985" s="107"/>
      <c r="L985" s="108">
        <v>9.8522167487684722E-4</v>
      </c>
    </row>
    <row r="986" spans="3:12" ht="15" customHeight="1">
      <c r="C986" s="102" t="s">
        <v>403</v>
      </c>
      <c r="D986" s="55"/>
      <c r="E986" s="55"/>
      <c r="F986" s="55"/>
      <c r="G986" s="55"/>
      <c r="H986" s="55"/>
      <c r="I986" s="55"/>
      <c r="J986" s="106">
        <v>0</v>
      </c>
      <c r="K986" s="107"/>
      <c r="L986" s="108">
        <v>9.8522167487684722E-4</v>
      </c>
    </row>
    <row r="987" spans="3:12" ht="15" customHeight="1">
      <c r="C987" s="102" t="s">
        <v>1121</v>
      </c>
      <c r="D987" s="55"/>
      <c r="E987" s="55"/>
      <c r="F987" s="55"/>
      <c r="G987" s="55"/>
      <c r="H987" s="55"/>
      <c r="I987" s="55"/>
      <c r="J987" s="106">
        <v>0</v>
      </c>
      <c r="K987" s="107"/>
      <c r="L987" s="108">
        <v>9.8522167487684722E-4</v>
      </c>
    </row>
    <row r="988" spans="3:12" ht="15" customHeight="1">
      <c r="C988" s="102" t="s">
        <v>604</v>
      </c>
      <c r="D988" s="55"/>
      <c r="E988" s="55"/>
      <c r="F988" s="55"/>
      <c r="G988" s="55"/>
      <c r="H988" s="55"/>
      <c r="I988" s="55"/>
      <c r="J988" s="106">
        <v>0</v>
      </c>
      <c r="K988" s="107"/>
      <c r="L988" s="108">
        <v>9.8522167487684722E-4</v>
      </c>
    </row>
    <row r="989" spans="3:12" ht="15" customHeight="1">
      <c r="C989" s="102" t="s">
        <v>761</v>
      </c>
      <c r="D989" s="55"/>
      <c r="E989" s="55"/>
      <c r="F989" s="55"/>
      <c r="G989" s="55"/>
      <c r="H989" s="55"/>
      <c r="I989" s="55"/>
      <c r="J989" s="106">
        <v>0</v>
      </c>
      <c r="K989" s="107"/>
      <c r="L989" s="108">
        <v>9.8522167487684722E-4</v>
      </c>
    </row>
    <row r="990" spans="3:12" ht="15" customHeight="1">
      <c r="C990" s="102" t="s">
        <v>329</v>
      </c>
      <c r="D990" s="55"/>
      <c r="E990" s="55"/>
      <c r="F990" s="55"/>
      <c r="G990" s="55"/>
      <c r="H990" s="55"/>
      <c r="I990" s="55"/>
      <c r="J990" s="106">
        <v>0</v>
      </c>
      <c r="K990" s="107"/>
      <c r="L990" s="108">
        <v>9.8522167487684722E-4</v>
      </c>
    </row>
    <row r="991" spans="3:12" ht="15" customHeight="1">
      <c r="C991" s="102" t="s">
        <v>515</v>
      </c>
      <c r="D991" s="55"/>
      <c r="E991" s="55"/>
      <c r="F991" s="55"/>
      <c r="G991" s="55"/>
      <c r="H991" s="55"/>
      <c r="I991" s="55"/>
      <c r="J991" s="106">
        <v>0</v>
      </c>
      <c r="K991" s="107"/>
      <c r="L991" s="108">
        <v>9.8522167487684722E-4</v>
      </c>
    </row>
    <row r="992" spans="3:12" ht="15" customHeight="1">
      <c r="C992" s="102" t="s">
        <v>488</v>
      </c>
      <c r="D992" s="55"/>
      <c r="E992" s="55"/>
      <c r="F992" s="55"/>
      <c r="G992" s="55"/>
      <c r="H992" s="55"/>
      <c r="I992" s="55"/>
      <c r="J992" s="106">
        <v>0</v>
      </c>
      <c r="K992" s="107"/>
      <c r="L992" s="108">
        <v>9.8522167487684722E-4</v>
      </c>
    </row>
    <row r="993" spans="3:12" ht="15" customHeight="1">
      <c r="C993" s="102" t="s">
        <v>223</v>
      </c>
      <c r="D993" s="55"/>
      <c r="E993" s="55"/>
      <c r="F993" s="55"/>
      <c r="G993" s="55"/>
      <c r="H993" s="55"/>
      <c r="I993" s="55"/>
      <c r="J993" s="106">
        <v>0</v>
      </c>
      <c r="K993" s="107"/>
      <c r="L993" s="108">
        <v>9.8522167487684722E-4</v>
      </c>
    </row>
    <row r="994" spans="3:12" ht="15" customHeight="1">
      <c r="C994" s="102" t="s">
        <v>1081</v>
      </c>
      <c r="D994" s="55"/>
      <c r="E994" s="55"/>
      <c r="F994" s="55"/>
      <c r="G994" s="55"/>
      <c r="H994" s="55"/>
      <c r="I994" s="55"/>
      <c r="J994" s="106">
        <v>0</v>
      </c>
      <c r="K994" s="107"/>
      <c r="L994" s="108">
        <v>9.8522167487684722E-4</v>
      </c>
    </row>
    <row r="995" spans="3:12" ht="15" customHeight="1">
      <c r="C995" s="102" t="s">
        <v>927</v>
      </c>
      <c r="D995" s="55"/>
      <c r="E995" s="55"/>
      <c r="F995" s="55"/>
      <c r="G995" s="55"/>
      <c r="H995" s="55"/>
      <c r="I995" s="55"/>
      <c r="J995" s="106">
        <v>0</v>
      </c>
      <c r="K995" s="107"/>
      <c r="L995" s="108">
        <v>9.8522167487684722E-4</v>
      </c>
    </row>
    <row r="996" spans="3:12" ht="15" customHeight="1">
      <c r="C996" s="102" t="s">
        <v>349</v>
      </c>
      <c r="D996" s="55"/>
      <c r="E996" s="55"/>
      <c r="F996" s="55"/>
      <c r="G996" s="55"/>
      <c r="H996" s="55"/>
      <c r="I996" s="55"/>
      <c r="J996" s="106">
        <v>0</v>
      </c>
      <c r="K996" s="107"/>
      <c r="L996" s="108">
        <v>9.8522167487684722E-4</v>
      </c>
    </row>
    <row r="997" spans="3:12" ht="15" customHeight="1">
      <c r="C997" s="102" t="s">
        <v>169</v>
      </c>
      <c r="D997" s="55"/>
      <c r="E997" s="55"/>
      <c r="F997" s="55"/>
      <c r="G997" s="55"/>
      <c r="H997" s="55"/>
      <c r="I997" s="55"/>
      <c r="J997" s="106">
        <v>0</v>
      </c>
      <c r="K997" s="107"/>
      <c r="L997" s="108">
        <v>9.8522167487684722E-4</v>
      </c>
    </row>
    <row r="998" spans="3:12" ht="15" customHeight="1">
      <c r="C998" s="102" t="s">
        <v>629</v>
      </c>
      <c r="D998" s="55"/>
      <c r="E998" s="55"/>
      <c r="F998" s="55"/>
      <c r="G998" s="55"/>
      <c r="H998" s="55"/>
      <c r="I998" s="55"/>
      <c r="J998" s="106">
        <v>0</v>
      </c>
      <c r="K998" s="107"/>
      <c r="L998" s="108">
        <v>9.8522167487684722E-4</v>
      </c>
    </row>
    <row r="999" spans="3:12" ht="15" customHeight="1">
      <c r="C999" s="102" t="s">
        <v>830</v>
      </c>
      <c r="D999" s="55"/>
      <c r="E999" s="55"/>
      <c r="F999" s="55"/>
      <c r="G999" s="55"/>
      <c r="H999" s="55"/>
      <c r="I999" s="55"/>
      <c r="J999" s="106">
        <v>0</v>
      </c>
      <c r="K999" s="107"/>
      <c r="L999" s="108">
        <v>9.8522167487684722E-4</v>
      </c>
    </row>
    <row r="1000" spans="3:12" ht="15" customHeight="1">
      <c r="C1000" s="102" t="s">
        <v>886</v>
      </c>
      <c r="D1000" s="55"/>
      <c r="E1000" s="55"/>
      <c r="F1000" s="55"/>
      <c r="G1000" s="55"/>
      <c r="H1000" s="55"/>
      <c r="I1000" s="55"/>
      <c r="J1000" s="106">
        <v>0</v>
      </c>
      <c r="K1000" s="107"/>
      <c r="L1000" s="108">
        <v>9.8522167487684722E-4</v>
      </c>
    </row>
    <row r="1001" spans="3:12" ht="15" customHeight="1">
      <c r="C1001" s="102" t="s">
        <v>499</v>
      </c>
      <c r="D1001" s="55"/>
      <c r="E1001" s="55"/>
      <c r="F1001" s="55"/>
      <c r="G1001" s="55"/>
      <c r="H1001" s="55"/>
      <c r="I1001" s="55"/>
      <c r="J1001" s="106">
        <v>0</v>
      </c>
      <c r="K1001" s="107"/>
      <c r="L1001" s="108">
        <v>9.8522167487684722E-4</v>
      </c>
    </row>
    <row r="1002" spans="3:12" ht="15" customHeight="1">
      <c r="C1002" s="102" t="s">
        <v>297</v>
      </c>
      <c r="D1002" s="55"/>
      <c r="E1002" s="55"/>
      <c r="F1002" s="55"/>
      <c r="G1002" s="55"/>
      <c r="H1002" s="55"/>
      <c r="I1002" s="55"/>
      <c r="J1002" s="106">
        <v>0</v>
      </c>
      <c r="K1002" s="107"/>
      <c r="L1002" s="108">
        <v>9.8522167487684722E-4</v>
      </c>
    </row>
    <row r="1003" spans="3:12" ht="15" customHeight="1">
      <c r="C1003" s="102" t="s">
        <v>361</v>
      </c>
      <c r="D1003" s="55"/>
      <c r="E1003" s="55"/>
      <c r="F1003" s="55"/>
      <c r="G1003" s="55"/>
      <c r="H1003" s="55"/>
      <c r="I1003" s="55"/>
      <c r="J1003" s="106">
        <v>0</v>
      </c>
      <c r="K1003" s="107"/>
      <c r="L1003" s="108">
        <v>9.8522167487684722E-4</v>
      </c>
    </row>
    <row r="1004" spans="3:12" ht="15" customHeight="1">
      <c r="C1004" s="102" t="s">
        <v>635</v>
      </c>
      <c r="D1004" s="55"/>
      <c r="E1004" s="55"/>
      <c r="F1004" s="55"/>
      <c r="G1004" s="55"/>
      <c r="H1004" s="55"/>
      <c r="I1004" s="55"/>
      <c r="J1004" s="106">
        <v>0</v>
      </c>
      <c r="K1004" s="107"/>
      <c r="L1004" s="108">
        <v>9.8522167487684722E-4</v>
      </c>
    </row>
    <row r="1005" spans="3:12" ht="15" customHeight="1">
      <c r="C1005" s="102" t="s">
        <v>377</v>
      </c>
      <c r="D1005" s="55"/>
      <c r="E1005" s="55"/>
      <c r="F1005" s="55"/>
      <c r="G1005" s="55"/>
      <c r="H1005" s="55"/>
      <c r="I1005" s="55"/>
      <c r="J1005" s="106">
        <v>0</v>
      </c>
      <c r="K1005" s="107"/>
      <c r="L1005" s="108">
        <v>9.8522167487684722E-4</v>
      </c>
    </row>
    <row r="1006" spans="3:12" ht="15" customHeight="1">
      <c r="C1006" s="102" t="s">
        <v>577</v>
      </c>
      <c r="D1006" s="55"/>
      <c r="E1006" s="55"/>
      <c r="F1006" s="55"/>
      <c r="G1006" s="55"/>
      <c r="H1006" s="55"/>
      <c r="I1006" s="55"/>
      <c r="J1006" s="106">
        <v>0</v>
      </c>
      <c r="K1006" s="107"/>
      <c r="L1006" s="108">
        <v>9.8522167487684722E-4</v>
      </c>
    </row>
    <row r="1007" spans="3:12" ht="15" customHeight="1">
      <c r="C1007" s="102" t="s">
        <v>751</v>
      </c>
      <c r="D1007" s="55"/>
      <c r="E1007" s="55"/>
      <c r="F1007" s="55"/>
      <c r="G1007" s="55"/>
      <c r="H1007" s="55"/>
      <c r="I1007" s="55"/>
      <c r="J1007" s="106">
        <v>0</v>
      </c>
      <c r="K1007" s="107"/>
      <c r="L1007" s="108">
        <v>9.8522167487684722E-4</v>
      </c>
    </row>
    <row r="1008" spans="3:12" ht="15" customHeight="1">
      <c r="C1008" s="102" t="s">
        <v>856</v>
      </c>
      <c r="D1008" s="55"/>
      <c r="E1008" s="55"/>
      <c r="F1008" s="55"/>
      <c r="G1008" s="55"/>
      <c r="H1008" s="55"/>
      <c r="I1008" s="55"/>
      <c r="J1008" s="106">
        <v>0</v>
      </c>
      <c r="K1008" s="107"/>
      <c r="L1008" s="108">
        <v>9.8522167487684722E-4</v>
      </c>
    </row>
    <row r="1009" spans="3:12" ht="15" customHeight="1">
      <c r="C1009" s="102" t="s">
        <v>196</v>
      </c>
      <c r="D1009" s="55"/>
      <c r="E1009" s="55"/>
      <c r="F1009" s="55"/>
      <c r="G1009" s="55"/>
      <c r="H1009" s="55"/>
      <c r="I1009" s="55"/>
      <c r="J1009" s="106">
        <v>0</v>
      </c>
      <c r="K1009" s="107"/>
      <c r="L1009" s="108">
        <v>9.8522167487684722E-4</v>
      </c>
    </row>
    <row r="1010" spans="3:12" ht="15" customHeight="1">
      <c r="C1010" s="102" t="s">
        <v>833</v>
      </c>
      <c r="D1010" s="55"/>
      <c r="E1010" s="55"/>
      <c r="F1010" s="55"/>
      <c r="G1010" s="55"/>
      <c r="H1010" s="55"/>
      <c r="I1010" s="55"/>
      <c r="J1010" s="106">
        <v>0</v>
      </c>
      <c r="K1010" s="107"/>
      <c r="L1010" s="108">
        <v>9.8522167487684722E-4</v>
      </c>
    </row>
    <row r="1011" spans="3:12" ht="15" customHeight="1">
      <c r="C1011" s="102" t="s">
        <v>1032</v>
      </c>
      <c r="D1011" s="55"/>
      <c r="E1011" s="55"/>
      <c r="F1011" s="55"/>
      <c r="G1011" s="55"/>
      <c r="H1011" s="55"/>
      <c r="I1011" s="55"/>
      <c r="J1011" s="106">
        <v>0</v>
      </c>
      <c r="K1011" s="107"/>
      <c r="L1011" s="108">
        <v>9.8522167487684722E-4</v>
      </c>
    </row>
    <row r="1012" spans="3:12" ht="15" customHeight="1">
      <c r="C1012" s="102" t="s">
        <v>1094</v>
      </c>
      <c r="D1012" s="55"/>
      <c r="E1012" s="55"/>
      <c r="F1012" s="55"/>
      <c r="G1012" s="55"/>
      <c r="H1012" s="55"/>
      <c r="I1012" s="55"/>
      <c r="J1012" s="106">
        <v>0</v>
      </c>
      <c r="K1012" s="107"/>
      <c r="L1012" s="108">
        <v>9.8522167487684722E-4</v>
      </c>
    </row>
    <row r="1013" spans="3:12" ht="15" customHeight="1">
      <c r="C1013" s="102" t="s">
        <v>876</v>
      </c>
      <c r="D1013" s="55"/>
      <c r="E1013" s="55"/>
      <c r="F1013" s="55"/>
      <c r="G1013" s="55"/>
      <c r="H1013" s="55"/>
      <c r="I1013" s="55"/>
      <c r="J1013" s="106">
        <v>0</v>
      </c>
      <c r="K1013" s="107"/>
      <c r="L1013" s="108">
        <v>9.8522167487684722E-4</v>
      </c>
    </row>
    <row r="1014" spans="3:12" ht="15" customHeight="1">
      <c r="C1014" s="102" t="s">
        <v>360</v>
      </c>
      <c r="D1014" s="55"/>
      <c r="E1014" s="55"/>
      <c r="F1014" s="55"/>
      <c r="G1014" s="55"/>
      <c r="H1014" s="55"/>
      <c r="I1014" s="55"/>
      <c r="J1014" s="106">
        <v>0</v>
      </c>
      <c r="K1014" s="107"/>
      <c r="L1014" s="108">
        <v>9.8522167487684722E-4</v>
      </c>
    </row>
    <row r="1015" spans="3:12" ht="15" customHeight="1">
      <c r="C1015" s="102" t="s">
        <v>738</v>
      </c>
      <c r="D1015" s="55"/>
      <c r="E1015" s="55"/>
      <c r="F1015" s="55"/>
      <c r="G1015" s="55"/>
      <c r="H1015" s="55"/>
      <c r="I1015" s="55"/>
      <c r="J1015" s="106">
        <v>0</v>
      </c>
      <c r="K1015" s="107"/>
      <c r="L1015" s="108">
        <v>9.8522167487684722E-4</v>
      </c>
    </row>
    <row r="1016" spans="3:12" ht="15" customHeight="1">
      <c r="C1016" s="102" t="s">
        <v>1038</v>
      </c>
      <c r="D1016" s="55"/>
      <c r="E1016" s="55"/>
      <c r="F1016" s="55"/>
      <c r="G1016" s="55"/>
      <c r="H1016" s="55"/>
      <c r="I1016" s="55"/>
      <c r="J1016" s="106">
        <v>0</v>
      </c>
      <c r="K1016" s="107"/>
      <c r="L1016" s="108">
        <v>9.8522167487684722E-4</v>
      </c>
    </row>
    <row r="1017" spans="3:12" ht="15" customHeight="1">
      <c r="C1017" s="102" t="s">
        <v>371</v>
      </c>
      <c r="D1017" s="55"/>
      <c r="E1017" s="55"/>
      <c r="F1017" s="55"/>
      <c r="G1017" s="55"/>
      <c r="H1017" s="55"/>
      <c r="I1017" s="55"/>
      <c r="J1017" s="106">
        <v>0</v>
      </c>
      <c r="K1017" s="107"/>
      <c r="L1017" s="108">
        <v>9.8522167487684722E-4</v>
      </c>
    </row>
    <row r="1018" spans="3:12" ht="15" customHeight="1">
      <c r="C1018" s="102" t="s">
        <v>696</v>
      </c>
      <c r="D1018" s="55"/>
      <c r="E1018" s="55"/>
      <c r="F1018" s="55"/>
      <c r="G1018" s="55"/>
      <c r="H1018" s="55"/>
      <c r="I1018" s="55"/>
      <c r="J1018" s="106">
        <v>0</v>
      </c>
      <c r="K1018" s="107"/>
      <c r="L1018" s="108">
        <v>9.8522167487684722E-4</v>
      </c>
    </row>
    <row r="1019" spans="3:12" ht="15" customHeight="1">
      <c r="C1019" s="102" t="s">
        <v>1040</v>
      </c>
      <c r="D1019" s="55"/>
      <c r="E1019" s="55"/>
      <c r="F1019" s="55"/>
      <c r="G1019" s="55"/>
      <c r="H1019" s="55"/>
      <c r="I1019" s="55"/>
      <c r="J1019" s="106">
        <v>0</v>
      </c>
      <c r="K1019" s="107"/>
      <c r="L1019" s="108">
        <v>9.8522167487684722E-4</v>
      </c>
    </row>
    <row r="1020" spans="3:12" ht="15" customHeight="1">
      <c r="C1020" s="102" t="s">
        <v>345</v>
      </c>
      <c r="D1020" s="55"/>
      <c r="E1020" s="55"/>
      <c r="F1020" s="55"/>
      <c r="G1020" s="55"/>
      <c r="H1020" s="55"/>
      <c r="I1020" s="55"/>
      <c r="J1020" s="106">
        <v>0</v>
      </c>
      <c r="K1020" s="107"/>
      <c r="L1020" s="108">
        <v>9.8522167487684722E-4</v>
      </c>
    </row>
    <row r="1021" spans="3:12" ht="15" customHeight="1">
      <c r="C1021" s="102" t="s">
        <v>456</v>
      </c>
      <c r="D1021" s="55"/>
      <c r="E1021" s="55"/>
      <c r="F1021" s="55"/>
      <c r="G1021" s="55"/>
      <c r="H1021" s="55"/>
      <c r="I1021" s="55"/>
      <c r="J1021" s="106">
        <v>0</v>
      </c>
      <c r="K1021" s="107"/>
      <c r="L1021" s="108">
        <v>9.8522167487684722E-4</v>
      </c>
    </row>
    <row r="1022" spans="3:12" ht="15" customHeight="1">
      <c r="C1022" s="102" t="s">
        <v>1125</v>
      </c>
      <c r="D1022" s="55"/>
      <c r="E1022" s="55"/>
      <c r="F1022" s="55"/>
      <c r="G1022" s="55"/>
      <c r="H1022" s="55"/>
      <c r="I1022" s="55"/>
      <c r="J1022" s="106">
        <v>0</v>
      </c>
      <c r="K1022" s="107"/>
      <c r="L1022" s="108">
        <v>1</v>
      </c>
    </row>
    <row r="1023" spans="3:12" ht="15" customHeight="1">
      <c r="C1023"/>
      <c r="D1023"/>
      <c r="E1023"/>
      <c r="F1023"/>
      <c r="G1023"/>
      <c r="H1023"/>
      <c r="I1023"/>
      <c r="J1023"/>
      <c r="K1023"/>
      <c r="L1023"/>
    </row>
    <row r="1024" spans="3:12" ht="15" customHeight="1">
      <c r="C1024"/>
      <c r="D1024"/>
      <c r="E1024"/>
      <c r="F1024"/>
      <c r="G1024"/>
      <c r="H1024"/>
      <c r="I1024"/>
      <c r="J1024"/>
      <c r="K1024"/>
      <c r="L1024"/>
    </row>
  </sheetData>
  <conditionalFormatting pivot="1" sqref="J9:J102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9:K102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53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54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2026-05-30T04:25:00Z</dcterms:modified>
</cp:coreProperties>
</file>