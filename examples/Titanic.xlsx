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D:\Python\.xleda\examples\"/>
    </mc:Choice>
  </mc:AlternateContent>
  <xr:revisionPtr revIDLastSave="0" documentId="8_{9DFE9FF2-CF43-4456-9B41-C9B126402C65}" xr6:coauthVersionLast="47" xr6:coauthVersionMax="47" xr10:uidLastSave="{00000000-0000-0000-0000-000000000000}"/>
  <bookViews>
    <workbookView xWindow="-108" yWindow="-108" windowWidth="23256" windowHeight="12456" tabRatio="578" activeTab="1" xr2:uid="{00000000-000D-0000-FFFF-FFFF00000000}"/>
  </bookViews>
  <sheets>
    <sheet name="Overview" sheetId="9" r:id="rId1"/>
    <sheet name="Field Analysis" sheetId="3" r:id="rId2"/>
    <sheet name="Blanks" sheetId="10" r:id="rId3"/>
    <sheet name="Pivot" sheetId="11" r:id="rId4"/>
    <sheet name="SinglePlot" sheetId="7" state="hidden" r:id="rId5"/>
    <sheet name="MultiplePlots" sheetId="8" state="hidden" r:id="rId6"/>
  </sheets>
  <definedNames>
    <definedName name="Compiled_Lists">'Field Analysis'!$C$68:$C$77</definedName>
    <definedName name="Composition">'Field Analysis'!$D$22:$D$32</definedName>
    <definedName name="CompositionTable">'Field Analysis'!$D$31</definedName>
    <definedName name="DarkHeader">'Field Analysis'!$D$78</definedName>
    <definedName name="Data_Description">'Field Analysis'!$D$15:$D$19</definedName>
    <definedName name="DefaultWarn" localSheetId="2">Blanks!$C$7</definedName>
    <definedName name="DefaultWarn" localSheetId="3">Pivot!$C$7</definedName>
    <definedName name="Definitions">'Field Analysis'!$D$7:$R$7</definedName>
    <definedName name="Description">'Field Analysis'!$D$15</definedName>
    <definedName name="Dimensions">'Field Analysis'!$D$17</definedName>
    <definedName name="Field_Analysis">'Field Analysis'!$D$12:$D$77</definedName>
    <definedName name="Field_Lists">'Field Analysis'!$C$57:$D$65</definedName>
    <definedName name="Field_Notes">'Field Analysis'!$D$7:$D$10</definedName>
    <definedName name="FieldList1">'Field Analysis'!$D$57:$R$57</definedName>
    <definedName name="FieldList2">'Field Analysis'!$D$58:$R$58</definedName>
    <definedName name="FieldList3">'Field Analysis'!$D$59:$R$59</definedName>
    <definedName name="FieldList4">'Field Analysis'!$D$60:$R$60</definedName>
    <definedName name="FieldList5">'Field Analysis'!$D$61:$R$61</definedName>
    <definedName name="FieldList6">'Field Analysis'!$D$62:$R$62</definedName>
    <definedName name="FieldList7">'Field Analysis'!$D$63:$R$63</definedName>
    <definedName name="FieldList8">'Field Analysis'!$D$64:$R$64</definedName>
    <definedName name="FieldLists">'Field Analysis'!$C$57:$R$64</definedName>
    <definedName name="FieldRange">'Field Analysis'!$D$78:$R$78</definedName>
    <definedName name="FormatRange">'Field Analysis'!$F:$F</definedName>
    <definedName name="Headers">'Field Analysis'!$D$11:$R$11</definedName>
    <definedName name="Headers_Start">'Field Analysis'!$D$11</definedName>
    <definedName name="Histogram">'Field Analysis'!$D$41</definedName>
    <definedName name="LightHeader">'Field Analysis'!$C$78</definedName>
    <definedName name="Metadata">Overview!$C$4:$C$8</definedName>
    <definedName name="MultiplePlots">MultiplePlots!$D$9</definedName>
    <definedName name="MultiplePlotsTitle">MultiplePlots!$C$2</definedName>
    <definedName name="Name">'Field Analysis'!$C$3</definedName>
    <definedName name="Notes">'Field Analysis'!$D$9:$R$9</definedName>
    <definedName name="Percentiles">'Field Analysis'!$D$45:$D$54</definedName>
    <definedName name="RecordHashes">'Field Analysis'!$T$79:$T$969</definedName>
    <definedName name="SerializedLists">'Field Analysis'!$D$68:$D$77</definedName>
    <definedName name="SinglePlot">SinglePlot!$C$8</definedName>
    <definedName name="SinglePlotTitle">SinglePlot!$C$2</definedName>
    <definedName name="Summary_Stats">'Field Analysis'!$D$35:$D$42</definedName>
    <definedName name="Theme" localSheetId="2">Blanks!$B$4:$Q$4</definedName>
    <definedName name="Theme" localSheetId="1">'Field Analysis'!$B$11:$F$11,LightHeader</definedName>
    <definedName name="Theme" localSheetId="5">MultiplePlots!$B$6:$P$6</definedName>
    <definedName name="Theme" localSheetId="0">tbl_Overview[#Headers]</definedName>
    <definedName name="Theme" localSheetId="3">Pivot!$B$4:$Q$4</definedName>
    <definedName name="Theme" localSheetId="4">SinglePlot!$B$6:$P$6</definedName>
    <definedName name="Toggles">'Field Analysis'!$B$5,'Field Analysis'!$B$13,'Field Analysis'!$B$20,'Field Analysis'!$B$33,'Field Analysis'!$B$43,'Field Analysis'!$B$55,'Field Analysis'!$B$66</definedName>
    <definedName name="TopToggle">'Field Analysis'!$I$20</definedName>
    <definedName name="Warning">'Field Analysis'!$C$1</definedName>
  </definedNames>
  <calcPr calcId="191029" iterateDelta="1E-4"/>
  <pivotCaches>
    <pivotCache cacheId="13" r:id="rId7"/>
  </pivotCaches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11" i="9" l="1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D76" i="3" a="1"/>
  <c r="D76" i="3" s="1"/>
  <c r="C76" i="3"/>
  <c r="C2" i="11"/>
  <c r="C2" i="10"/>
  <c r="D68" i="3"/>
  <c r="D69" i="3"/>
  <c r="D70" i="3"/>
  <c r="D71" i="3"/>
  <c r="D72" i="3"/>
  <c r="D73" i="3"/>
  <c r="D74" i="3" a="1"/>
  <c r="D74" i="3" s="1"/>
  <c r="D75" i="3" a="1"/>
  <c r="D75" i="3" s="1"/>
  <c r="C73" i="3" l="1"/>
  <c r="C74" i="3"/>
  <c r="C75" i="3"/>
  <c r="C72" i="3"/>
  <c r="C71" i="3"/>
  <c r="C70" i="3"/>
  <c r="C69" i="3"/>
  <c r="C68" i="3"/>
  <c r="B2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<sst xmlns="http://schemas.openxmlformats.org/spreadsheetml/2006/main" count="5777" uniqueCount="102">
  <si>
    <t>▶</t>
  </si>
  <si>
    <t>Notes</t>
  </si>
  <si>
    <t xml:space="preserve"> </t>
  </si>
  <si>
    <t>Data type</t>
  </si>
  <si>
    <t>Memory Usage</t>
  </si>
  <si>
    <t>Memory Usage %</t>
  </si>
  <si>
    <t>Distinct</t>
  </si>
  <si>
    <t>Distinct %</t>
  </si>
  <si>
    <t>Count</t>
  </si>
  <si>
    <t>Missing</t>
  </si>
  <si>
    <t>Missing %</t>
  </si>
  <si>
    <t>Mean</t>
  </si>
  <si>
    <t>Median</t>
  </si>
  <si>
    <t>Mode</t>
  </si>
  <si>
    <t>Standard Deviation</t>
  </si>
  <si>
    <t>Variance</t>
  </si>
  <si>
    <t>Min</t>
  </si>
  <si>
    <t>Max</t>
  </si>
  <si>
    <t>Range</t>
  </si>
  <si>
    <t>IQR</t>
  </si>
  <si>
    <t>Record List</t>
  </si>
  <si>
    <t>FIeldList7</t>
  </si>
  <si>
    <t>FIeldList8</t>
  </si>
  <si>
    <t>SinglePlotTitle</t>
  </si>
  <si>
    <t>Description</t>
  </si>
  <si>
    <t>Rows</t>
  </si>
  <si>
    <t>Column</t>
  </si>
  <si>
    <t>Field</t>
  </si>
  <si>
    <t>Definition</t>
  </si>
  <si>
    <t>Field Notes</t>
  </si>
  <si>
    <t>MultiplePlotsTitle</t>
  </si>
  <si>
    <t>Count %</t>
  </si>
  <si>
    <t>5%</t>
  </si>
  <si>
    <t>25%</t>
  </si>
  <si>
    <t>50%</t>
  </si>
  <si>
    <t>75%</t>
  </si>
  <si>
    <t>95%</t>
  </si>
  <si>
    <t>Definitions</t>
  </si>
  <si>
    <t>Warning</t>
  </si>
  <si>
    <t>FieldList1</t>
  </si>
  <si>
    <t>FieldList2</t>
  </si>
  <si>
    <t>FieldList3</t>
  </si>
  <si>
    <t>FieldList4</t>
  </si>
  <si>
    <t>FieldList5</t>
  </si>
  <si>
    <t>FieldList6</t>
  </si>
  <si>
    <t>Columns</t>
  </si>
  <si>
    <t>Compiled Lists</t>
  </si>
  <si>
    <t>Field Lists</t>
  </si>
  <si>
    <t>Percentiles</t>
  </si>
  <si>
    <t>Summary Stats</t>
  </si>
  <si>
    <t>Composition</t>
  </si>
  <si>
    <t>Data Description</t>
  </si>
  <si>
    <t>Has Blank %</t>
  </si>
  <si>
    <t>% of Total Blanks</t>
  </si>
  <si>
    <t>HasBlank</t>
  </si>
  <si>
    <t>Titanic</t>
  </si>
  <si>
    <t>survived</t>
  </si>
  <si>
    <t>pclass</t>
  </si>
  <si>
    <t>sex</t>
  </si>
  <si>
    <t>age</t>
  </si>
  <si>
    <t>sibsp</t>
  </si>
  <si>
    <t>parch</t>
  </si>
  <si>
    <t>fare</t>
  </si>
  <si>
    <t>embarked</t>
  </si>
  <si>
    <t>class</t>
  </si>
  <si>
    <t>who</t>
  </si>
  <si>
    <t>adult_male</t>
  </si>
  <si>
    <t>deck</t>
  </si>
  <si>
    <t>embark_town</t>
  </si>
  <si>
    <t>alive</t>
  </si>
  <si>
    <t>alone</t>
  </si>
  <si>
    <t>Record Hash</t>
  </si>
  <si>
    <t>102,791 bytes</t>
  </si>
  <si>
    <t>int64</t>
  </si>
  <si>
    <t>str</t>
  </si>
  <si>
    <t>male</t>
  </si>
  <si>
    <t>float64</t>
  </si>
  <si>
    <t>S</t>
  </si>
  <si>
    <t>category</t>
  </si>
  <si>
    <t>Third</t>
  </si>
  <si>
    <t>man</t>
  </si>
  <si>
    <t>bool</t>
  </si>
  <si>
    <t>C</t>
  </si>
  <si>
    <t>Southampton</t>
  </si>
  <si>
    <t>no</t>
  </si>
  <si>
    <t>female</t>
  </si>
  <si>
    <t>First</t>
  </si>
  <si>
    <t>woman</t>
  </si>
  <si>
    <t>Cherbourg</t>
  </si>
  <si>
    <t>yes</t>
  </si>
  <si>
    <t>Q</t>
  </si>
  <si>
    <t>Queenstown</t>
  </si>
  <si>
    <t>E</t>
  </si>
  <si>
    <t>child</t>
  </si>
  <si>
    <t>Second</t>
  </si>
  <si>
    <t>G</t>
  </si>
  <si>
    <t>D</t>
  </si>
  <si>
    <t>A</t>
  </si>
  <si>
    <t>B</t>
  </si>
  <si>
    <t>F</t>
  </si>
  <si>
    <t>Pivots only show first 10 fields by default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</si>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</sst>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4" formatCode="0.0%"/>
  </numFmts>
  <fonts count="34"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</font>
    <font>
      <b/>
      <sz val="12"/>
      <color theme="0"/>
      <name val="Calibri"/>
      <family val="2"/>
    </font>
    <font>
      <sz val="9"/>
      <color theme="0"/>
      <name val="Calibri"/>
      <family val="2"/>
      <scheme val="minor"/>
    </font>
    <font>
      <b/>
      <sz val="14"/>
      <color theme="0"/>
      <name val="Calibri"/>
      <family val="2"/>
    </font>
    <font>
      <b/>
      <sz val="10"/>
      <color theme="0"/>
      <name val="Calibri"/>
      <family val="2"/>
    </font>
    <font>
      <sz val="11"/>
      <color theme="0"/>
      <name val="Calibri"/>
      <family val="2"/>
    </font>
    <font>
      <i/>
      <sz val="10"/>
      <color theme="1" tint="0.34998626667073579"/>
      <name val="Calibri"/>
      <family val="2"/>
      <scheme val="minor"/>
    </font>
    <font>
      <sz val="10"/>
      <color theme="1" tint="0.499984740745262"/>
      <name val="Calibri"/>
      <family val="2"/>
    </font>
    <font>
      <sz val="11"/>
      <color theme="1" tint="0.499984740745262"/>
      <name val="Calibri"/>
      <family val="2"/>
      <scheme val="minor"/>
    </font>
    <font>
      <sz val="8"/>
      <name val="Calibri"/>
      <family val="2"/>
      <scheme val="minor"/>
    </font>
    <font>
      <sz val="12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 tint="0.499984740745262"/>
      <name val="Calibri"/>
      <family val="2"/>
      <scheme val="minor"/>
    </font>
    <font>
      <i/>
      <sz val="10"/>
      <color theme="1" tint="0.499984740745262"/>
      <name val="Calibri"/>
      <family val="2"/>
    </font>
    <font>
      <b/>
      <sz val="36"/>
      <color theme="0"/>
      <name val="Calibri"/>
      <family val="2"/>
      <scheme val="minor"/>
    </font>
    <font>
      <i/>
      <sz val="10"/>
      <color theme="1" tint="0.499984740745262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sz val="28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b/>
      <i/>
      <sz val="10"/>
      <color rgb="FFDCE6F2"/>
      <name val="Calibri"/>
      <family val="2"/>
      <scheme val="minor"/>
    </font>
    <font>
      <b/>
      <i/>
      <sz val="10"/>
      <color theme="0"/>
      <name val="Calibri"/>
      <family val="2"/>
    </font>
    <font>
      <b/>
      <sz val="12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 tint="0.499984740745262"/>
      <name val="Calibri"/>
      <family val="2"/>
      <scheme val="minor"/>
    </font>
    <font>
      <sz val="11"/>
      <color rgb="FF80808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/>
        <bgColor theme="1" tint="0.44999542222357858"/>
      </patternFill>
    </fill>
    <fill>
      <patternFill patternType="solid">
        <fgColor theme="1"/>
        <bgColor theme="1" tint="0.249977111117893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262626"/>
        <bgColor indexed="64"/>
      </patternFill>
    </fill>
  </fills>
  <borders count="22">
    <border>
      <left/>
      <right/>
      <top/>
      <bottom/>
      <diagonal/>
    </border>
    <border>
      <left style="thin">
        <color theme="1" tint="0.249977111117893"/>
      </left>
      <right style="thin">
        <color theme="1" tint="0.249977111117893"/>
      </right>
      <top/>
      <bottom/>
      <diagonal/>
    </border>
    <border>
      <left/>
      <right style="thin">
        <color theme="1" tint="0.249977111117893"/>
      </right>
      <top/>
      <bottom style="thin">
        <color theme="1" tint="0.249977111117893"/>
      </bottom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/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/>
      <right style="thin">
        <color theme="1" tint="0.249977111117893"/>
      </right>
      <top style="thin">
        <color theme="1" tint="0.249977111117893"/>
      </top>
      <bottom/>
      <diagonal/>
    </border>
    <border>
      <left/>
      <right/>
      <top/>
      <bottom style="thin">
        <color theme="1" tint="0.249977111117893"/>
      </bottom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/>
      <diagonal/>
    </border>
    <border>
      <left/>
      <right style="thin">
        <color theme="1" tint="0.249977111117893"/>
      </right>
      <top/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 style="thin">
        <color theme="1" tint="0.499984740745262"/>
      </left>
      <right/>
      <top/>
      <bottom/>
      <diagonal/>
    </border>
    <border>
      <left style="thin">
        <color theme="1" tint="0.249977111117893"/>
      </left>
      <right/>
      <top/>
      <bottom/>
      <diagonal/>
    </border>
    <border>
      <left style="thin">
        <color theme="1" tint="0.249977111117893"/>
      </left>
      <right/>
      <top style="thin">
        <color theme="1" tint="0.249977111117893"/>
      </top>
      <bottom style="thin">
        <color theme="1" tint="0.249977111117893"/>
      </bottom>
      <diagonal/>
    </border>
    <border>
      <left style="thin">
        <color theme="1" tint="0.249977111117893"/>
      </left>
      <right/>
      <top/>
      <bottom style="thin">
        <color theme="1" tint="0.249977111117893"/>
      </bottom>
      <diagonal/>
    </border>
    <border>
      <left style="thin">
        <color theme="1" tint="0.249977111117893"/>
      </left>
      <right/>
      <top style="thin">
        <color theme="1" tint="0.249977111117893"/>
      </top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/>
      <right/>
      <top style="thin">
        <color theme="1" tint="0.249977111117893"/>
      </top>
      <bottom/>
      <diagonal/>
    </border>
    <border>
      <left/>
      <right/>
      <top style="thin">
        <color theme="1" tint="0.34998626667073579"/>
      </top>
      <bottom style="thin">
        <color theme="1" tint="0.34998626667073579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/>
      <right/>
      <top style="thin">
        <color theme="1" tint="0.249977111117893"/>
      </top>
      <bottom style="thin">
        <color theme="1" tint="0.249977111117893"/>
      </bottom>
      <diagonal/>
    </border>
    <border>
      <left/>
      <right/>
      <top style="thin">
        <color theme="1" tint="0.34998626667073579"/>
      </top>
      <bottom/>
      <diagonal/>
    </border>
    <border>
      <left/>
      <right style="thin">
        <color theme="1" tint="0.34998626667073579"/>
      </right>
      <top style="thin">
        <color theme="1" tint="0.34998626667073579"/>
      </top>
      <bottom/>
      <diagonal/>
    </border>
  </borders>
  <cellStyleXfs count="7">
    <xf numFmtId="0" fontId="0" fillId="2" borderId="0"/>
    <xf numFmtId="0" fontId="2" fillId="2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1" fillId="2" borderId="0" applyNumberFormat="0" applyFill="0" applyBorder="0" applyAlignment="0" applyProtection="0"/>
    <xf numFmtId="9" fontId="2" fillId="0" borderId="0" applyFont="0" applyFill="0" applyBorder="0" applyAlignment="0" applyProtection="0"/>
  </cellStyleXfs>
  <cellXfs count="145">
    <xf numFmtId="0" fontId="0" fillId="2" borderId="0" xfId="0"/>
    <xf numFmtId="0" fontId="2" fillId="2" borderId="0" xfId="1"/>
    <xf numFmtId="0" fontId="2" fillId="2" borderId="0" xfId="1" applyAlignment="1">
      <alignment textRotation="180"/>
    </xf>
    <xf numFmtId="0" fontId="4" fillId="2" borderId="0" xfId="1" applyFont="1" applyAlignment="1">
      <alignment horizontal="right" vertical="center" indent="1"/>
    </xf>
    <xf numFmtId="0" fontId="6" fillId="2" borderId="0" xfId="1" applyFont="1" applyAlignment="1">
      <alignment horizontal="right" vertical="center" indent="7"/>
    </xf>
    <xf numFmtId="0" fontId="7" fillId="3" borderId="0" xfId="1" applyFont="1" applyFill="1" applyAlignment="1">
      <alignment horizontal="center" vertical="center" wrapText="1"/>
    </xf>
    <xf numFmtId="0" fontId="3" fillId="2" borderId="0" xfId="1" applyFont="1"/>
    <xf numFmtId="0" fontId="8" fillId="2" borderId="0" xfId="1" applyFont="1" applyAlignment="1">
      <alignment horizontal="right" vertical="center"/>
    </xf>
    <xf numFmtId="0" fontId="3" fillId="2" borderId="0" xfId="1" applyFont="1" applyAlignment="1">
      <alignment horizontal="right" vertical="center"/>
    </xf>
    <xf numFmtId="0" fontId="2" fillId="2" borderId="0" xfId="1" applyAlignment="1">
      <alignment horizontal="right"/>
    </xf>
    <xf numFmtId="0" fontId="9" fillId="2" borderId="0" xfId="1" applyFont="1" applyAlignment="1">
      <alignment horizontal="right"/>
    </xf>
    <xf numFmtId="0" fontId="11" fillId="2" borderId="0" xfId="1" applyFont="1" applyAlignment="1">
      <alignment horizontal="right"/>
    </xf>
    <xf numFmtId="0" fontId="9" fillId="2" borderId="0" xfId="1" applyFont="1" applyAlignment="1">
      <alignment horizontal="right" vertical="top" textRotation="180"/>
    </xf>
    <xf numFmtId="0" fontId="12" fillId="2" borderId="0" xfId="1" applyFont="1" applyAlignment="1">
      <alignment horizontal="right" vertical="center"/>
    </xf>
    <xf numFmtId="0" fontId="3" fillId="2" borderId="1" xfId="1" applyFont="1" applyBorder="1" applyAlignment="1">
      <alignment vertical="top" wrapText="1"/>
    </xf>
    <xf numFmtId="0" fontId="2" fillId="2" borderId="0" xfId="1" applyAlignment="1">
      <alignment horizontal="right" textRotation="180"/>
    </xf>
    <xf numFmtId="0" fontId="2" fillId="2" borderId="0" xfId="1" applyAlignment="1">
      <alignment vertical="top"/>
    </xf>
    <xf numFmtId="0" fontId="9" fillId="2" borderId="0" xfId="1" applyFont="1" applyAlignment="1">
      <alignment horizontal="right" vertical="top"/>
    </xf>
    <xf numFmtId="0" fontId="10" fillId="2" borderId="0" xfId="1" applyFont="1" applyAlignment="1">
      <alignment horizontal="right" vertical="top"/>
    </xf>
    <xf numFmtId="0" fontId="3" fillId="2" borderId="0" xfId="1" applyFont="1" applyAlignment="1">
      <alignment vertical="top"/>
    </xf>
    <xf numFmtId="0" fontId="10" fillId="2" borderId="8" xfId="1" applyFont="1" applyBorder="1" applyAlignment="1">
      <alignment horizontal="right" vertical="top"/>
    </xf>
    <xf numFmtId="0" fontId="2" fillId="2" borderId="0" xfId="1" applyAlignment="1">
      <alignment vertical="top" wrapText="1"/>
    </xf>
    <xf numFmtId="0" fontId="7" fillId="3" borderId="10" xfId="1" applyFont="1" applyFill="1" applyBorder="1" applyAlignment="1">
      <alignment horizontal="center" vertical="center" wrapText="1"/>
    </xf>
    <xf numFmtId="0" fontId="2" fillId="2" borderId="0" xfId="1" applyAlignment="1"/>
    <xf numFmtId="0" fontId="6" fillId="3" borderId="7" xfId="1" applyFont="1" applyFill="1" applyBorder="1" applyAlignment="1">
      <alignment horizontal="center"/>
    </xf>
    <xf numFmtId="0" fontId="2" fillId="3" borderId="0" xfId="1" applyFill="1"/>
    <xf numFmtId="0" fontId="14" fillId="2" borderId="0" xfId="1" applyFont="1"/>
    <xf numFmtId="0" fontId="13" fillId="5" borderId="6" xfId="1" applyFont="1" applyFill="1" applyBorder="1" applyAlignment="1">
      <alignment horizontal="right"/>
    </xf>
    <xf numFmtId="0" fontId="3" fillId="2" borderId="0" xfId="1" applyFont="1" applyBorder="1"/>
    <xf numFmtId="0" fontId="3" fillId="2" borderId="0" xfId="1" applyFont="1" applyAlignment="1">
      <alignment vertical="center"/>
    </xf>
    <xf numFmtId="0" fontId="10" fillId="2" borderId="0" xfId="1" applyFont="1" applyAlignment="1">
      <alignment horizontal="right" vertical="center"/>
    </xf>
    <xf numFmtId="0" fontId="6" fillId="2" borderId="0" xfId="1" applyFont="1" applyAlignment="1">
      <alignment horizontal="right" vertical="center"/>
    </xf>
    <xf numFmtId="0" fontId="16" fillId="7" borderId="0" xfId="1" applyFont="1" applyFill="1" applyAlignment="1">
      <alignment vertical="center"/>
    </xf>
    <xf numFmtId="0" fontId="18" fillId="7" borderId="0" xfId="1" applyFont="1" applyFill="1" applyAlignment="1">
      <alignment vertical="center"/>
    </xf>
    <xf numFmtId="0" fontId="2" fillId="2" borderId="0" xfId="1" applyAlignment="1">
      <alignment horizontal="center" vertical="center"/>
    </xf>
    <xf numFmtId="0" fontId="13" fillId="5" borderId="0" xfId="1" applyFont="1" applyFill="1" applyBorder="1" applyAlignment="1">
      <alignment horizontal="right"/>
    </xf>
    <xf numFmtId="0" fontId="10" fillId="4" borderId="0" xfId="1" applyFont="1" applyFill="1" applyAlignment="1">
      <alignment horizontal="right" wrapText="1"/>
    </xf>
    <xf numFmtId="9" fontId="6" fillId="5" borderId="12" xfId="3" applyFont="1" applyFill="1" applyBorder="1" applyAlignment="1">
      <alignment horizontal="center" vertical="center" wrapText="1"/>
    </xf>
    <xf numFmtId="0" fontId="0" fillId="2" borderId="0" xfId="0" applyBorder="1"/>
    <xf numFmtId="9" fontId="6" fillId="5" borderId="14" xfId="3" applyFont="1" applyFill="1" applyBorder="1" applyAlignment="1">
      <alignment horizontal="center" vertical="center" wrapText="1"/>
    </xf>
    <xf numFmtId="3" fontId="2" fillId="2" borderId="13" xfId="1" applyNumberFormat="1" applyBorder="1" applyAlignment="1">
      <alignment horizontal="center"/>
    </xf>
    <xf numFmtId="3" fontId="3" fillId="2" borderId="12" xfId="1" applyNumberFormat="1" applyFont="1" applyBorder="1" applyAlignment="1">
      <alignment horizontal="center" vertical="center"/>
    </xf>
    <xf numFmtId="0" fontId="3" fillId="8" borderId="15" xfId="1" applyFont="1" applyFill="1" applyBorder="1" applyAlignment="1">
      <alignment horizontal="left" vertical="center" wrapText="1" indent="1"/>
    </xf>
    <xf numFmtId="9" fontId="6" fillId="5" borderId="12" xfId="3" applyFont="1" applyFill="1" applyBorder="1" applyAlignment="1">
      <alignment horizontal="center" vertical="top" wrapText="1"/>
    </xf>
    <xf numFmtId="164" fontId="6" fillId="5" borderId="12" xfId="3" applyNumberFormat="1" applyFont="1" applyFill="1" applyBorder="1" applyAlignment="1">
      <alignment horizontal="center" vertical="top" wrapText="1"/>
    </xf>
    <xf numFmtId="3" fontId="0" fillId="2" borderId="0" xfId="0" applyNumberFormat="1" applyAlignment="1">
      <alignment horizontal="center" vertical="top"/>
    </xf>
    <xf numFmtId="164" fontId="0" fillId="2" borderId="0" xfId="0" applyNumberFormat="1" applyAlignment="1">
      <alignment horizontal="center" vertical="top"/>
    </xf>
    <xf numFmtId="0" fontId="19" fillId="2" borderId="0" xfId="1" applyNumberFormat="1" applyFont="1" applyBorder="1" applyAlignment="1">
      <alignment horizontal="center" vertical="center" wrapText="1"/>
    </xf>
    <xf numFmtId="0" fontId="21" fillId="2" borderId="8" xfId="1" applyFont="1" applyBorder="1" applyAlignment="1">
      <alignment horizontal="left" vertical="center"/>
    </xf>
    <xf numFmtId="0" fontId="6" fillId="6" borderId="3" xfId="1" applyFont="1" applyFill="1" applyBorder="1" applyAlignment="1">
      <alignment horizontal="center"/>
    </xf>
    <xf numFmtId="0" fontId="3" fillId="2" borderId="0" xfId="1" applyFont="1" applyAlignment="1">
      <alignment horizontal="left" vertical="top" indent="1"/>
    </xf>
    <xf numFmtId="0" fontId="0" fillId="3" borderId="0" xfId="0" applyFill="1"/>
    <xf numFmtId="0" fontId="0" fillId="2" borderId="0" xfId="0" applyFill="1"/>
    <xf numFmtId="0" fontId="22" fillId="2" borderId="0" xfId="1" applyFont="1" applyFill="1" applyBorder="1" applyAlignment="1">
      <alignment vertical="center" wrapText="1"/>
    </xf>
    <xf numFmtId="0" fontId="2" fillId="2" borderId="0" xfId="1" applyFill="1"/>
    <xf numFmtId="3" fontId="22" fillId="2" borderId="0" xfId="1" applyNumberFormat="1" applyFont="1" applyFill="1" applyBorder="1" applyAlignment="1">
      <alignment horizontal="left" vertical="top" wrapText="1"/>
    </xf>
    <xf numFmtId="0" fontId="2" fillId="2" borderId="0" xfId="1" applyFill="1" applyAlignment="1"/>
    <xf numFmtId="0" fontId="10" fillId="2" borderId="8" xfId="1" applyFont="1" applyFill="1" applyBorder="1" applyAlignment="1">
      <alignment horizontal="right" wrapText="1"/>
    </xf>
    <xf numFmtId="0" fontId="22" fillId="2" borderId="0" xfId="1" applyFont="1" applyFill="1" applyBorder="1" applyAlignment="1">
      <alignment horizontal="right" vertical="top" wrapText="1"/>
    </xf>
    <xf numFmtId="0" fontId="22" fillId="2" borderId="1" xfId="1" applyNumberFormat="1" applyFont="1" applyFill="1" applyBorder="1" applyAlignment="1">
      <alignment horizontal="center" vertical="center" wrapText="1"/>
    </xf>
    <xf numFmtId="0" fontId="2" fillId="3" borderId="0" xfId="1" applyFill="1" applyAlignment="1"/>
    <xf numFmtId="0" fontId="20" fillId="3" borderId="0" xfId="1" applyFont="1" applyFill="1" applyAlignment="1">
      <alignment horizontal="left" vertical="center" indent="2"/>
    </xf>
    <xf numFmtId="0" fontId="22" fillId="3" borderId="0" xfId="1" applyFont="1" applyFill="1" applyAlignment="1">
      <alignment horizontal="right" vertical="center" indent="1"/>
    </xf>
    <xf numFmtId="0" fontId="0" fillId="3" borderId="0" xfId="0" applyFill="1" applyAlignment="1"/>
    <xf numFmtId="0" fontId="10" fillId="2" borderId="8" xfId="1" applyFont="1" applyFill="1" applyBorder="1" applyAlignment="1">
      <alignment horizontal="right" vertical="center" wrapText="1"/>
    </xf>
    <xf numFmtId="0" fontId="27" fillId="2" borderId="0" xfId="1" applyFont="1" applyAlignment="1">
      <alignment horizontal="right" vertical="center"/>
    </xf>
    <xf numFmtId="0" fontId="26" fillId="2" borderId="8" xfId="1" applyFont="1" applyFill="1" applyBorder="1" applyAlignment="1">
      <alignment horizontal="left" vertical="center"/>
    </xf>
    <xf numFmtId="0" fontId="28" fillId="2" borderId="0" xfId="0" applyFont="1" applyAlignment="1">
      <alignment horizontal="left" vertical="center" indent="1"/>
    </xf>
    <xf numFmtId="0" fontId="29" fillId="5" borderId="6" xfId="1" applyFont="1" applyFill="1" applyBorder="1" applyAlignment="1">
      <alignment horizontal="right" wrapText="1"/>
    </xf>
    <xf numFmtId="0" fontId="29" fillId="5" borderId="16" xfId="1" applyFont="1" applyFill="1" applyBorder="1" applyAlignment="1">
      <alignment horizontal="right" wrapText="1"/>
    </xf>
    <xf numFmtId="0" fontId="29" fillId="5" borderId="2" xfId="1" applyFont="1" applyFill="1" applyBorder="1" applyAlignment="1">
      <alignment horizontal="right" wrapText="1"/>
    </xf>
    <xf numFmtId="9" fontId="29" fillId="4" borderId="4" xfId="1" applyNumberFormat="1" applyFont="1" applyFill="1" applyBorder="1" applyAlignment="1">
      <alignment horizontal="right" wrapText="1"/>
    </xf>
    <xf numFmtId="9" fontId="29" fillId="5" borderId="4" xfId="1" applyNumberFormat="1" applyFont="1" applyFill="1" applyBorder="1" applyAlignment="1">
      <alignment horizontal="right" wrapText="1"/>
    </xf>
    <xf numFmtId="0" fontId="29" fillId="4" borderId="4" xfId="1" applyFont="1" applyFill="1" applyBorder="1" applyAlignment="1">
      <alignment horizontal="right" wrapText="1"/>
    </xf>
    <xf numFmtId="0" fontId="29" fillId="5" borderId="5" xfId="1" applyFont="1" applyFill="1" applyBorder="1" applyAlignment="1">
      <alignment horizontal="right" wrapText="1"/>
    </xf>
    <xf numFmtId="0" fontId="29" fillId="4" borderId="2" xfId="1" applyFont="1" applyFill="1" applyBorder="1" applyAlignment="1">
      <alignment horizontal="right" wrapText="1"/>
    </xf>
    <xf numFmtId="0" fontId="29" fillId="5" borderId="4" xfId="1" applyFont="1" applyFill="1" applyBorder="1" applyAlignment="1">
      <alignment horizontal="right" wrapText="1"/>
    </xf>
    <xf numFmtId="0" fontId="29" fillId="4" borderId="5" xfId="1" applyFont="1" applyFill="1" applyBorder="1" applyAlignment="1">
      <alignment horizontal="right" wrapText="1"/>
    </xf>
    <xf numFmtId="0" fontId="29" fillId="2" borderId="8" xfId="1" applyFont="1" applyFill="1" applyBorder="1" applyAlignment="1">
      <alignment horizontal="right" wrapText="1"/>
    </xf>
    <xf numFmtId="0" fontId="17" fillId="2" borderId="0" xfId="1" applyFont="1" applyBorder="1" applyAlignment="1">
      <alignment horizontal="center"/>
    </xf>
    <xf numFmtId="3" fontId="6" fillId="5" borderId="11" xfId="4" applyNumberFormat="1" applyFont="1" applyFill="1" applyBorder="1" applyAlignment="1">
      <alignment horizontal="center" vertical="center" wrapText="1"/>
    </xf>
    <xf numFmtId="0" fontId="30" fillId="2" borderId="0" xfId="0" applyFont="1" applyAlignment="1">
      <alignment horizontal="center" vertical="center"/>
    </xf>
    <xf numFmtId="0" fontId="0" fillId="2" borderId="0" xfId="0" applyAlignment="1">
      <alignment horizontal="center" vertical="top"/>
    </xf>
    <xf numFmtId="0" fontId="0" fillId="7" borderId="0" xfId="0" applyFill="1"/>
    <xf numFmtId="0" fontId="0" fillId="2" borderId="0" xfId="0" applyAlignment="1">
      <alignment horizontal="right"/>
    </xf>
    <xf numFmtId="0" fontId="31" fillId="2" borderId="0" xfId="5" applyAlignment="1">
      <alignment horizontal="right"/>
    </xf>
    <xf numFmtId="0" fontId="32" fillId="2" borderId="0" xfId="0" applyFont="1" applyAlignment="1">
      <alignment horizontal="right" vertical="top"/>
    </xf>
    <xf numFmtId="0" fontId="21" fillId="2" borderId="0" xfId="1" applyFont="1" applyBorder="1" applyAlignment="1">
      <alignment horizontal="left" vertical="center"/>
    </xf>
    <xf numFmtId="0" fontId="5" fillId="2" borderId="0" xfId="1" applyFont="1" applyBorder="1" applyAlignment="1">
      <alignment horizontal="left" vertical="center" wrapText="1" indent="1"/>
    </xf>
    <xf numFmtId="0" fontId="5" fillId="2" borderId="11" xfId="1" applyFont="1" applyBorder="1" applyAlignment="1">
      <alignment horizontal="left" vertical="center" wrapText="1" indent="1"/>
    </xf>
    <xf numFmtId="0" fontId="31" fillId="2" borderId="0" xfId="5" applyAlignment="1">
      <alignment horizontal="center" vertical="center"/>
    </xf>
    <xf numFmtId="0" fontId="0" fillId="2" borderId="0" xfId="0" applyAlignment="1">
      <alignment horizontal="center" vertical="center"/>
    </xf>
    <xf numFmtId="0" fontId="32" fillId="2" borderId="0" xfId="0" applyFont="1" applyAlignment="1">
      <alignment horizontal="center" vertical="center"/>
    </xf>
    <xf numFmtId="0" fontId="0" fillId="2" borderId="0" xfId="0" applyFill="1" applyAlignment="1"/>
    <xf numFmtId="0" fontId="2" fillId="3" borderId="0" xfId="1" applyFill="1" applyAlignment="1">
      <alignment horizontal="center" vertical="center"/>
    </xf>
    <xf numFmtId="0" fontId="0" fillId="2" borderId="0" xfId="0" applyAlignment="1"/>
    <xf numFmtId="0" fontId="9" fillId="2" borderId="0" xfId="1" applyFont="1" applyAlignment="1">
      <alignment horizontal="right" vertical="center"/>
    </xf>
    <xf numFmtId="0" fontId="32" fillId="2" borderId="0" xfId="0" applyFont="1"/>
    <xf numFmtId="0" fontId="0" fillId="2" borderId="0" xfId="0" applyAlignment="1">
      <alignment horizontal="center" vertical="center" wrapText="1"/>
    </xf>
    <xf numFmtId="164" fontId="0" fillId="2" borderId="0" xfId="0" applyNumberFormat="1" applyAlignment="1">
      <alignment horizontal="center" vertical="center"/>
    </xf>
    <xf numFmtId="0" fontId="26" fillId="2" borderId="0" xfId="1" applyFont="1" applyBorder="1" applyAlignment="1">
      <alignment horizontal="left" vertical="center"/>
    </xf>
    <xf numFmtId="0" fontId="2" fillId="2" borderId="0" xfId="1" applyBorder="1"/>
    <xf numFmtId="0" fontId="31" fillId="2" borderId="0" xfId="5" applyBorder="1" applyAlignment="1">
      <alignment horizontal="right"/>
    </xf>
    <xf numFmtId="4" fontId="6" fillId="5" borderId="3" xfId="1" applyNumberFormat="1" applyFont="1" applyFill="1" applyBorder="1" applyAlignment="1">
      <alignment horizontal="center" wrapText="1"/>
    </xf>
    <xf numFmtId="4" fontId="6" fillId="4" borderId="3" xfId="1" applyNumberFormat="1" applyFont="1" applyFill="1" applyBorder="1" applyAlignment="1">
      <alignment horizontal="center" wrapText="1"/>
    </xf>
    <xf numFmtId="4" fontId="6" fillId="4" borderId="3" xfId="2" applyNumberFormat="1" applyFont="1" applyFill="1" applyBorder="1" applyAlignment="1">
      <alignment horizontal="center" vertical="center" wrapText="1"/>
    </xf>
    <xf numFmtId="0" fontId="2" fillId="2" borderId="0" xfId="1" applyFont="1" applyAlignment="1">
      <alignment horizontal="right" vertical="center" textRotation="180"/>
    </xf>
    <xf numFmtId="4" fontId="0" fillId="2" borderId="0" xfId="0" applyNumberFormat="1" applyAlignment="1">
      <alignment horizontal="center" vertical="top"/>
    </xf>
    <xf numFmtId="3" fontId="6" fillId="4" borderId="3" xfId="2" applyNumberFormat="1" applyFont="1" applyFill="1" applyBorder="1" applyAlignment="1">
      <alignment horizontal="center" vertical="center" wrapText="1"/>
    </xf>
    <xf numFmtId="3" fontId="6" fillId="4" borderId="3" xfId="1" applyNumberFormat="1" applyFont="1" applyFill="1" applyBorder="1" applyAlignment="1">
      <alignment horizontal="center" wrapText="1"/>
    </xf>
    <xf numFmtId="164" fontId="6" fillId="5" borderId="3" xfId="6" applyNumberFormat="1" applyFont="1" applyFill="1" applyBorder="1" applyAlignment="1">
      <alignment horizontal="center" vertical="center" wrapText="1"/>
    </xf>
    <xf numFmtId="0" fontId="22" fillId="2" borderId="11" xfId="1" applyFont="1" applyFill="1" applyBorder="1" applyAlignment="1">
      <alignment horizontal="left" vertical="center" wrapText="1" indent="1"/>
    </xf>
    <xf numFmtId="0" fontId="22" fillId="2" borderId="0" xfId="1" applyFont="1" applyFill="1" applyBorder="1" applyAlignment="1">
      <alignment horizontal="left" vertical="center" wrapText="1" indent="1"/>
    </xf>
    <xf numFmtId="0" fontId="10" fillId="9" borderId="3" xfId="1" applyFont="1" applyFill="1" applyBorder="1" applyAlignment="1">
      <alignment horizontal="left" vertical="center" wrapText="1" indent="1"/>
    </xf>
    <xf numFmtId="0" fontId="10" fillId="9" borderId="7" xfId="1" applyFont="1" applyFill="1" applyBorder="1" applyAlignment="1">
      <alignment horizontal="left" vertical="center" wrapText="1" indent="1"/>
    </xf>
    <xf numFmtId="0" fontId="10" fillId="9" borderId="3" xfId="1" applyFont="1" applyFill="1" applyBorder="1" applyAlignment="1">
      <alignment horizontal="center" vertical="center" wrapText="1"/>
    </xf>
    <xf numFmtId="9" fontId="10" fillId="9" borderId="3" xfId="1" applyNumberFormat="1" applyFont="1" applyFill="1" applyBorder="1" applyAlignment="1">
      <alignment horizontal="center" vertical="center" wrapText="1"/>
    </xf>
    <xf numFmtId="0" fontId="23" fillId="9" borderId="0" xfId="1" applyFont="1" applyFill="1" applyBorder="1" applyAlignment="1"/>
    <xf numFmtId="0" fontId="24" fillId="9" borderId="0" xfId="1" applyFont="1" applyFill="1" applyBorder="1" applyAlignment="1">
      <alignment wrapText="1"/>
    </xf>
    <xf numFmtId="0" fontId="7" fillId="9" borderId="0" xfId="1" applyFont="1" applyFill="1" applyBorder="1" applyAlignment="1">
      <alignment horizontal="center" vertical="center" wrapText="1"/>
    </xf>
    <xf numFmtId="0" fontId="7" fillId="9" borderId="9" xfId="1" applyFont="1" applyFill="1" applyBorder="1" applyAlignment="1">
      <alignment horizontal="center" vertical="center"/>
    </xf>
    <xf numFmtId="0" fontId="0" fillId="9" borderId="0" xfId="0" applyFill="1"/>
    <xf numFmtId="0" fontId="25" fillId="9" borderId="0" xfId="1" applyFont="1" applyFill="1" applyBorder="1" applyAlignment="1">
      <alignment vertical="center" wrapText="1"/>
    </xf>
    <xf numFmtId="0" fontId="2" fillId="2" borderId="0" xfId="1" applyAlignment="1">
      <alignment horizontal="left" vertical="top" indent="1"/>
    </xf>
    <xf numFmtId="0" fontId="3" fillId="8" borderId="17" xfId="1" applyNumberFormat="1" applyFont="1" applyFill="1" applyBorder="1" applyAlignment="1">
      <alignment horizontal="left" vertical="center" wrapText="1" indent="1"/>
    </xf>
    <xf numFmtId="0" fontId="3" fillId="8" borderId="18" xfId="1" applyNumberFormat="1" applyFont="1" applyFill="1" applyBorder="1" applyAlignment="1">
      <alignment horizontal="left" vertical="center" wrapText="1" indent="1"/>
    </xf>
    <xf numFmtId="164" fontId="3" fillId="5" borderId="19" xfId="3" applyNumberFormat="1" applyFont="1" applyFill="1" applyBorder="1" applyAlignment="1">
      <alignment horizontal="center" vertical="top" wrapText="1"/>
    </xf>
    <xf numFmtId="164" fontId="3" fillId="5" borderId="0" xfId="3" applyNumberFormat="1" applyFont="1" applyFill="1" applyAlignment="1">
      <alignment horizontal="center" vertical="top"/>
    </xf>
    <xf numFmtId="0" fontId="2" fillId="2" borderId="0" xfId="1" applyBorder="1" applyAlignment="1">
      <alignment horizontal="left" vertical="top" indent="1"/>
    </xf>
    <xf numFmtId="0" fontId="3" fillId="8" borderId="20" xfId="1" applyNumberFormat="1" applyFont="1" applyFill="1" applyBorder="1" applyAlignment="1">
      <alignment horizontal="left" vertical="center" wrapText="1" indent="1"/>
    </xf>
    <xf numFmtId="0" fontId="3" fillId="8" borderId="21" xfId="1" applyNumberFormat="1" applyFont="1" applyFill="1" applyBorder="1" applyAlignment="1">
      <alignment horizontal="left" vertical="center" wrapText="1" indent="1"/>
    </xf>
    <xf numFmtId="0" fontId="0" fillId="2" borderId="0" xfId="0" applyBorder="1" applyAlignment="1">
      <alignment horizontal="center" vertical="top"/>
    </xf>
    <xf numFmtId="164" fontId="0" fillId="2" borderId="0" xfId="0" applyNumberFormat="1" applyBorder="1" applyAlignment="1">
      <alignment horizontal="center" vertical="top"/>
    </xf>
    <xf numFmtId="164" fontId="3" fillId="5" borderId="16" xfId="3" applyNumberFormat="1" applyFont="1" applyFill="1" applyBorder="1" applyAlignment="1">
      <alignment horizontal="center" vertical="top" wrapText="1"/>
    </xf>
    <xf numFmtId="164" fontId="3" fillId="5" borderId="0" xfId="3" applyNumberFormat="1" applyFont="1" applyFill="1" applyBorder="1" applyAlignment="1">
      <alignment horizontal="center" vertical="top"/>
    </xf>
    <xf numFmtId="3" fontId="0" fillId="2" borderId="0" xfId="0" applyNumberFormat="1" applyBorder="1" applyAlignment="1">
      <alignment horizontal="center" vertical="top"/>
    </xf>
    <xf numFmtId="4" fontId="0" fillId="2" borderId="0" xfId="0" applyNumberFormat="1" applyBorder="1" applyAlignment="1">
      <alignment horizontal="center" vertical="top"/>
    </xf>
    <xf numFmtId="0" fontId="2" fillId="3" borderId="0" xfId="1" applyFill="1" applyAlignment="1">
      <alignment horizontal="center"/>
    </xf>
    <xf numFmtId="0" fontId="2" fillId="3" borderId="0" xfId="1" applyNumberFormat="1" applyFill="1" applyAlignment="1">
      <alignment horizontal="center"/>
    </xf>
    <xf numFmtId="0" fontId="33" fillId="3" borderId="0" xfId="0" applyFont="1" applyFill="1" applyAlignment="1">
      <alignment horizontal="center"/>
    </xf>
    <xf numFmtId="0" fontId="0" fillId="2" borderId="0" xfId="0" applyAlignment="1">
      <alignment horizontal="left" vertical="center"/>
    </xf>
    <xf numFmtId="0" fontId="0" fillId="2" borderId="0" xfId="0" pivotButton="1" applyAlignment="1">
      <alignment horizontal="center" vertical="center" wrapText="1"/>
    </xf>
    <xf numFmtId="0" fontId="0" fillId="2" borderId="0" xfId="0" pivotButton="1" applyAlignment="1">
      <alignment horizontal="left" vertical="center" wrapText="1"/>
    </xf>
    <xf numFmtId="164" fontId="3" fillId="5" borderId="0" xfId="0" applyNumberFormat="1" applyFont="1" applyFill="1" applyAlignment="1">
      <alignment horizontal="center" vertical="center" wrapText="1"/>
    </xf>
    <xf numFmtId="0" fontId="0" fillId="2" borderId="0" xfId="0" applyAlignment="1">
      <alignment textRotation="180"/>
    </xf>
  </cellXfs>
  <cellStyles count="7">
    <cellStyle name="Comma" xfId="4" builtinId="3"/>
    <cellStyle name="Comma 2" xfId="2" xr:uid="{03E3FBE4-B310-4AF6-9CA6-329EA926DEE9}"/>
    <cellStyle name="Hyperlink" xfId="5" builtinId="8"/>
    <cellStyle name="Normal" xfId="0" builtinId="0" customBuiltin="1"/>
    <cellStyle name="Normal 2" xfId="1" xr:uid="{984616E7-25A5-4319-B0B5-CA2E46AC856A}"/>
    <cellStyle name="Percent" xfId="6" builtinId="5"/>
    <cellStyle name="Percent 2" xfId="3" xr:uid="{BB3935E1-BD3F-4484-8C7B-508B241C7FB1}"/>
  </cellStyles>
  <dxfs count="146">
    <dxf>
      <font>
        <color rgb="FF9C0006"/>
      </font>
      <numFmt numFmtId="165" formatCode="&quot;List names must be unique&quot;"/>
      <fill>
        <patternFill>
          <bgColor rgb="FFFFC7CE"/>
        </patternFill>
      </fill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color rgb="FF808080"/>
      </font>
      <fill>
        <patternFill patternType="solid">
          <fgColor indexed="64"/>
          <bgColor theme="1" tint="4.9989318521683403E-2"/>
        </patternFill>
      </fill>
      <alignment horizontal="center" vertical="bottom" textRotation="0" wrapText="0" indent="0" justifyLastLine="0" shrinkToFit="0" readingOrder="0"/>
    </dxf>
    <dxf>
      <font>
        <color rgb="FF808080"/>
      </font>
      <fill>
        <patternFill patternType="solid">
          <fgColor indexed="64"/>
          <bgColor theme="1" tint="4.9989318521683403E-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none"/>
      </font>
      <fill>
        <patternFill patternType="solid">
          <fgColor indexed="64"/>
          <bgColor theme="1" tint="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1" tint="0.249977111117893"/>
        </left>
        <right style="thin">
          <color theme="1" tint="0.249977111117893"/>
        </right>
        <top style="thin">
          <color theme="1" tint="0.249977111117893"/>
        </top>
        <bottom/>
        <vertical/>
        <horizontal/>
      </border>
    </dxf>
    <dxf>
      <fill>
        <patternFill patternType="solid">
          <fgColor indexed="64"/>
          <bgColor theme="1" tint="4.9989318521683403E-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1" tint="4.9989318521683403E-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1" tint="4.9989318521683403E-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1" tint="4.9989318521683403E-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1" tint="4.9989318521683403E-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1" tint="4.9989318521683403E-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1" tint="4.9989318521683403E-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1" tint="4.9989318521683403E-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1" tint="4.9989318521683403E-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1" tint="4.9989318521683403E-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1" tint="4.9989318521683403E-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1" tint="4.9989318521683403E-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1" tint="4.9989318521683403E-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1" tint="4.9989318521683403E-2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1" tint="4.9989318521683403E-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1" tint="4.9989318521683403E-2"/>
        </patternFill>
      </fill>
      <alignment horizontal="center" vertical="bottom" textRotation="0" wrapText="0" indent="0" justifyLastLine="0" shrinkToFit="0" readingOrder="0"/>
    </dxf>
    <dxf>
      <font>
        <sz val="10"/>
      </font>
      <numFmt numFmtId="0" formatCode="General"/>
      <fill>
        <patternFill patternType="solid">
          <fgColor indexed="64"/>
          <bgColor theme="1" tint="0.14999847407452621"/>
        </patternFill>
      </fill>
      <alignment horizontal="left" vertical="center" textRotation="0" wrapText="1" relativeIndent="1" justifyLastLine="0" shrinkToFit="0" readingOrder="0"/>
      <border diagonalUp="0" diagonalDown="0">
        <left/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</border>
    </dxf>
    <dxf>
      <font>
        <sz val="10"/>
      </font>
      <numFmt numFmtId="0" formatCode="General"/>
      <fill>
        <patternFill patternType="solid">
          <fgColor indexed="64"/>
          <bgColor theme="1" tint="0.14999847407452621"/>
        </patternFill>
      </fill>
      <alignment horizontal="left" vertical="center" textRotation="0" wrapText="1" relativeIndent="1" justifyLastLine="0" shrinkToFit="0" readingOrder="0"/>
      <border diagonalUp="0" diagonalDown="0">
        <left/>
        <right/>
        <top style="thin">
          <color theme="1" tint="0.34998626667073579"/>
        </top>
        <bottom style="thin">
          <color theme="1" tint="0.34998626667073579"/>
        </bottom>
      </border>
    </dxf>
    <dxf>
      <font>
        <color theme="0"/>
      </font>
      <fill>
        <patternFill patternType="solid">
          <bgColor theme="6" tint="-0.499984740745262"/>
        </patternFill>
      </fill>
    </dxf>
    <dxf>
      <font>
        <color theme="1" tint="0.499984740745262"/>
      </font>
      <fill>
        <patternFill>
          <bgColor theme="1" tint="4.9989318521683403E-2"/>
        </patternFill>
      </fill>
    </dxf>
    <dxf>
      <font>
        <color theme="1" tint="0.499984740745262"/>
      </font>
      <fill>
        <patternFill patternType="solid">
          <bgColor theme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none"/>
      </font>
      <fill>
        <patternFill patternType="solid">
          <fgColor indexed="64"/>
          <bgColor rgb="FF262626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 tint="0.249977111117893"/>
        </left>
        <right style="thin">
          <color theme="1" tint="0.249977111117893"/>
        </right>
        <top/>
        <bottom/>
      </border>
    </dxf>
    <dxf>
      <font>
        <color theme="0"/>
      </font>
      <fill>
        <patternFill patternType="solid">
          <bgColor theme="6" tint="-0.499984740745262"/>
        </patternFill>
      </fill>
    </dxf>
    <dxf>
      <font>
        <color theme="1" tint="0.499984740745262"/>
      </font>
      <fill>
        <patternFill>
          <bgColor theme="1" tint="4.9989318521683403E-2"/>
        </patternFill>
      </fill>
    </dxf>
    <dxf>
      <font>
        <color theme="1" tint="0.499984740745262"/>
      </font>
      <fill>
        <patternFill patternType="solid">
          <bgColor theme="1"/>
        </patternFill>
      </fill>
    </dxf>
    <dxf>
      <font>
        <color theme="0"/>
      </font>
      <fill>
        <patternFill>
          <bgColor theme="1" tint="4.9989318521683403E-2"/>
        </patternFill>
      </fill>
    </dxf>
    <dxf>
      <font>
        <color theme="0"/>
      </font>
      <fill>
        <patternFill>
          <bgColor theme="1" tint="4.9989318521683403E-2"/>
        </patternFill>
      </fill>
    </dxf>
    <dxf>
      <font>
        <color theme="0"/>
      </font>
      <fill>
        <patternFill>
          <bgColor theme="1" tint="4.9989318521683403E-2"/>
        </patternFill>
      </fill>
    </dxf>
    <dxf>
      <font>
        <color theme="0"/>
      </font>
      <fill>
        <patternFill patternType="solid">
          <bgColor theme="6" tint="-0.499984740745262"/>
        </patternFill>
      </fill>
    </dxf>
    <dxf>
      <font>
        <color theme="1" tint="0.499984740745262"/>
      </font>
      <fill>
        <patternFill>
          <bgColor theme="1" tint="4.9989318521683403E-2"/>
        </patternFill>
      </fill>
    </dxf>
    <dxf>
      <font>
        <color rgb="FF9C0006"/>
      </font>
      <numFmt numFmtId="165" formatCode="&quot;List names must be unique&quot;"/>
      <fill>
        <patternFill>
          <bgColor rgb="FFFFC7CE"/>
        </patternFill>
      </fill>
    </dxf>
    <dxf>
      <alignment vertical="center"/>
    </dxf>
    <dxf>
      <alignment vertical="center"/>
    </dxf>
    <dxf>
      <alignment vertical="center"/>
    </dxf>
    <dxf>
      <font>
        <sz val="10"/>
        <color theme="0"/>
      </font>
      <fill>
        <patternFill patternType="solid">
          <fgColor theme="1" tint="0.249977111117893"/>
          <bgColor theme="1"/>
        </patternFill>
      </fill>
      <alignment vertical="top" wrapText="1"/>
    </dxf>
    <dxf>
      <alignment horizontal="center"/>
    </dxf>
    <dxf>
      <alignment horizontal="center"/>
    </dxf>
    <dxf>
      <numFmt numFmtId="164" formatCode="0.0%"/>
    </dxf>
    <dxf>
      <numFmt numFmtId="164" formatCode="0.0%"/>
    </dxf>
    <dxf>
      <alignment horizontal="center"/>
    </dxf>
    <dxf>
      <alignment horizontal="center"/>
    </dxf>
    <dxf>
      <alignment vertical="center"/>
    </dxf>
    <dxf>
      <font>
        <strike val="0"/>
        <outline val="0"/>
        <shadow val="0"/>
        <u val="none"/>
        <vertAlign val="baseline"/>
        <sz val="12"/>
        <color theme="0"/>
        <name val="Calibri"/>
        <family val="2"/>
        <scheme val="none"/>
      </font>
    </dxf>
    <dxf>
      <numFmt numFmtId="4" formatCode="#,##0.00"/>
      <alignment horizontal="center" vertical="top" textRotation="0" wrapText="0" indent="0" justifyLastLine="0" shrinkToFit="0" readingOrder="0"/>
    </dxf>
    <dxf>
      <numFmt numFmtId="4" formatCode="#,##0.00"/>
      <alignment horizontal="center" vertical="top" textRotation="0" wrapText="0" indent="0" justifyLastLine="0" shrinkToFit="0" readingOrder="0"/>
    </dxf>
    <dxf>
      <numFmt numFmtId="4" formatCode="#,##0.00"/>
      <alignment horizontal="center" vertical="top" textRotation="0" wrapText="0" indent="0" justifyLastLine="0" shrinkToFit="0" readingOrder="0"/>
    </dxf>
    <dxf>
      <numFmt numFmtId="4" formatCode="#,##0.00"/>
      <alignment horizontal="center" vertical="top" textRotation="0" wrapText="0" indent="0" justifyLastLine="0" shrinkToFit="0" readingOrder="0"/>
    </dxf>
    <dxf>
      <numFmt numFmtId="4" formatCode="#,##0.00"/>
      <alignment horizontal="center" vertical="top" textRotation="0" wrapText="0" indent="0" justifyLastLine="0" shrinkToFit="0" readingOrder="0"/>
    </dxf>
    <dxf>
      <numFmt numFmtId="4" formatCode="#,##0.00"/>
      <alignment horizontal="center" vertical="top" textRotation="0" wrapText="0" indent="0" justifyLastLine="0" shrinkToFit="0" readingOrder="0"/>
    </dxf>
    <dxf>
      <numFmt numFmtId="4" formatCode="#,##0.00"/>
      <alignment horizontal="center" vertical="top" textRotation="0" wrapText="0" indent="0" justifyLastLine="0" shrinkToFit="0" readingOrder="0"/>
    </dxf>
    <dxf>
      <numFmt numFmtId="4" formatCode="#,##0.00"/>
      <alignment horizontal="center" vertical="top" textRotation="0" wrapText="0" indent="0" justifyLastLine="0" shrinkToFit="0" readingOrder="0"/>
    </dxf>
    <dxf>
      <numFmt numFmtId="4" formatCode="#,##0.00"/>
      <alignment horizontal="center" vertical="top" textRotation="0" wrapText="0" indent="0" justifyLastLine="0" shrinkToFit="0" readingOrder="0"/>
    </dxf>
    <dxf>
      <numFmt numFmtId="4" formatCode="#,##0.00"/>
      <alignment horizontal="center" vertical="top" textRotation="0" wrapText="0" indent="0" justifyLastLine="0" shrinkToFit="0" readingOrder="0"/>
    </dxf>
    <dxf>
      <numFmt numFmtId="4" formatCode="#,##0.00"/>
      <alignment horizontal="center" vertical="top" textRotation="0" wrapText="0" indent="0" justifyLastLine="0" shrinkToFit="0" readingOrder="0"/>
    </dxf>
    <dxf>
      <numFmt numFmtId="4" formatCode="#,##0.00"/>
      <alignment horizontal="center" vertical="top" textRotation="0" wrapText="0" indent="0" justifyLastLine="0" shrinkToFit="0" readingOrder="0"/>
    </dxf>
    <dxf>
      <numFmt numFmtId="4" formatCode="#,##0.00"/>
      <alignment horizontal="center" vertical="top" textRotation="0" wrapText="0" indent="0" justifyLastLine="0" shrinkToFit="0" readingOrder="0"/>
    </dxf>
    <dxf>
      <numFmt numFmtId="4" formatCode="#,##0.00"/>
      <alignment horizontal="center" vertical="top" textRotation="0" wrapText="0" indent="0" justifyLastLine="0" shrinkToFit="0" readingOrder="0"/>
    </dxf>
    <dxf>
      <numFmt numFmtId="3" formatCode="#,##0"/>
      <alignment horizontal="center" vertical="top" textRotation="0" wrapText="0" indent="0" justifyLastLine="0" shrinkToFit="0" readingOrder="0"/>
    </dxf>
    <dxf>
      <numFmt numFmtId="164" formatCode="0.0%"/>
      <alignment horizontal="center" vertical="top" textRotation="0" wrapText="0" indent="0" justifyLastLine="0" shrinkToFit="0" readingOrder="0"/>
    </dxf>
    <dxf>
      <numFmt numFmtId="3" formatCode="#,##0"/>
      <alignment horizontal="center" vertical="top" textRotation="0" wrapText="0" indent="0" justifyLastLine="0" shrinkToFit="0" readingOrder="0"/>
    </dxf>
    <dxf>
      <numFmt numFmtId="3" formatCode="#,##0"/>
      <alignment horizontal="center" vertical="top" textRotation="0" wrapText="0" indent="0" justifyLastLine="0" shrinkToFit="0" readingOrder="0"/>
    </dxf>
    <dxf>
      <numFmt numFmtId="3" formatCode="#,##0"/>
      <alignment horizontal="center" vertical="top" textRotation="0" wrapText="0" indent="0" justifyLastLine="0" shrinkToFit="0" readingOrder="0"/>
    </dxf>
    <dxf>
      <font>
        <sz val="10"/>
        <color theme="0"/>
      </font>
      <numFmt numFmtId="164" formatCode="0.0%"/>
      <fill>
        <patternFill patternType="solid">
          <fgColor theme="1" tint="0.249977111117893"/>
          <bgColor theme="1"/>
        </patternFill>
      </fill>
      <alignment horizontal="center" vertical="top" textRotation="0" wrapText="0" indent="0" justifyLastLine="0" shrinkToFit="0" readingOrder="0"/>
    </dxf>
    <dxf>
      <font>
        <sz val="10"/>
        <color theme="0"/>
      </font>
      <numFmt numFmtId="164" formatCode="0.0%"/>
      <fill>
        <patternFill patternType="solid">
          <fgColor theme="1" tint="0.249977111117893"/>
          <bgColor theme="1"/>
        </patternFill>
      </fill>
      <alignment horizontal="center" vertical="top" textRotation="0" wrapText="1" indent="0" justifyLastLine="0" shrinkToFit="0" readingOrder="0"/>
      <border diagonalUp="0" diagonalDown="0" outline="0">
        <left/>
        <right/>
        <top style="thin">
          <color theme="1" tint="0.249977111117893"/>
        </top>
        <bottom style="thin">
          <color theme="1" tint="0.249977111117893"/>
        </bottom>
      </border>
    </dxf>
    <dxf>
      <numFmt numFmtId="164" formatCode="0.0%"/>
      <alignment horizontal="center" vertical="top" textRotation="0" wrapText="0" indent="0" justifyLastLine="0" shrinkToFit="0" readingOrder="0"/>
    </dxf>
    <dxf>
      <alignment horizontal="center" vertical="top" textRotation="0" indent="0" justifyLastLine="0" shrinkToFit="0" readingOrder="0"/>
    </dxf>
    <dxf>
      <alignment horizontal="left" vertical="top" textRotation="0" wrapText="0" relativeIndent="1" justifyLastLine="0" shrinkToFit="0" readingOrder="0"/>
    </dxf>
    <dxf>
      <alignment horizontal="center" vertical="top" textRotation="0" wrapText="0" indent="0" justifyLastLine="0" shrinkToFit="0" readingOrder="0"/>
    </dxf>
    <dxf>
      <border>
        <bottom style="thin">
          <color theme="1" tint="0.249977111117893"/>
        </bottom>
      </border>
    </dxf>
    <dxf>
      <font>
        <strike val="0"/>
        <color theme="0"/>
      </font>
      <fill>
        <patternFill patternType="solid">
          <fgColor theme="1"/>
          <bgColor theme="1" tint="0.14996795556505021"/>
        </patternFill>
      </fill>
      <border>
        <bottom style="medium">
          <color theme="0"/>
        </bottom>
      </border>
    </dxf>
    <dxf>
      <font>
        <color theme="0"/>
      </font>
      <fill>
        <patternFill patternType="solid">
          <fgColor theme="1" tint="4.9989318521683403E-2"/>
          <bgColor theme="1" tint="4.9989318521683403E-2"/>
        </patternFill>
      </fill>
      <border>
        <left style="thin">
          <color theme="1" tint="0.24994659260841701"/>
        </left>
        <right style="thin">
          <color theme="1" tint="0.24994659260841701"/>
        </right>
        <top style="thin">
          <color theme="1" tint="0.24994659260841701"/>
        </top>
        <bottom style="thin">
          <color theme="1" tint="0.24994659260841701"/>
        </bottom>
        <vertical style="thin">
          <color theme="1" tint="0.24994659260841701"/>
        </vertical>
        <horizontal style="thin">
          <color theme="1" tint="0.24994659260841701"/>
        </horizontal>
      </border>
    </dxf>
    <dxf>
      <font>
        <b/>
        <color theme="0"/>
      </font>
      <fill>
        <patternFill patternType="solid">
          <fgColor theme="1"/>
          <bgColor theme="1" tint="0.14996795556505021"/>
        </patternFill>
      </fill>
    </dxf>
    <dxf>
      <font>
        <b/>
        <color theme="0"/>
      </font>
      <fill>
        <patternFill patternType="solid">
          <fgColor theme="1"/>
          <bgColor theme="1" tint="0.14996795556505021"/>
        </patternFill>
      </fill>
    </dxf>
    <dxf>
      <font>
        <color theme="0" tint="-0.14999847407452621"/>
      </font>
      <fill>
        <patternFill patternType="solid">
          <fgColor theme="0" tint="-0.44999542222357858"/>
          <bgColor theme="1" tint="-0.24994659260841701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  <vertical style="thin">
          <color theme="1" tint="-0.499984740745262"/>
        </vertical>
        <horizontal style="thin">
          <color theme="1" tint="-0.499984740745262"/>
        </horizontal>
      </border>
    </dxf>
  </dxfs>
  <tableStyles count="2" defaultTableStyle="TableStyleDarker" defaultPivotStyle="PivotStyleMedium4">
    <tableStyle name="DarkPivot" table="0" count="3" xr9:uid="{00874257-2B66-4E68-882B-4B15201D4B3B}">
      <tableStyleElement type="wholeTable" dxfId="145"/>
      <tableStyleElement type="headerRow" dxfId="144"/>
      <tableStyleElement type="totalRow" dxfId="143"/>
    </tableStyle>
    <tableStyle name="TableStyleDarker" pivot="0" count="2" xr9:uid="{6808BEA3-E65F-4F4F-A6CC-D0226D87DD56}">
      <tableStyleElement type="wholeTable" dxfId="142"/>
      <tableStyleElement type="headerRow" dxfId="141"/>
    </tableStyle>
  </tableStyles>
  <colors>
    <mruColors>
      <color rgb="FFB08600"/>
      <color rgb="FF1665AB"/>
      <color rgb="FF7A0000"/>
      <color rgb="FF960000"/>
      <color rgb="FF813D05"/>
      <color rgb="FF381A0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105537</xdr:colOff>
      <xdr:row>2</xdr:row>
      <xdr:rowOff>29337</xdr:rowOff>
    </xdr:from>
    <xdr:to>
      <xdr:col>2</xdr:col>
      <xdr:colOff>2005203</xdr:colOff>
      <xdr:row>2</xdr:row>
      <xdr:rowOff>557403</xdr:rowOff>
    </xdr:to>
    <xdr:sp macro="" textlink="">
      <xdr:nvSpPr>
        <xdr:cNvPr id="2" name="Field Analysis">
          <a:extLst>
            <a:ext uri="{FF2B5EF4-FFF2-40B4-BE49-F238E27FC236}">
              <a16:creationId xmlns:a16="http://schemas.microsoft.com/office/drawing/2014/main" id="{C4C0CBF0-29DE-44B8-9127-C680F41864A1}"/>
            </a:ext>
          </a:extLst>
        </xdr:cNvPr>
        <xdr:cNvSpPr>
          <a:spLocks/>
        </xdr:cNvSpPr>
      </xdr:nvSpPr>
      <xdr:spPr>
        <a:xfrm>
          <a:off x="501777" y="151257"/>
          <a:ext cx="1899666" cy="52806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en-US" sz="2400" b="1"/>
        </a:p>
      </xdr:txBody>
    </xdr:sp>
    <xdr:clientData/>
  </xdr:twoCellAnchor>
  <xdr:twoCellAnchor>
    <xdr:from>
      <xdr:col>2</xdr:col>
      <xdr:colOff>88392</xdr:colOff>
      <xdr:row>19</xdr:row>
      <xdr:rowOff>11430</xdr:rowOff>
    </xdr:from>
    <xdr:to>
      <xdr:col>2</xdr:col>
      <xdr:colOff>1679448</xdr:colOff>
      <xdr:row>19</xdr:row>
      <xdr:rowOff>240030</xdr:rowOff>
    </xdr:to>
    <xdr:sp macro="" textlink="">
      <xdr:nvSpPr>
        <xdr:cNvPr id="3" name="Composition">
          <a:extLst>
            <a:ext uri="{FF2B5EF4-FFF2-40B4-BE49-F238E27FC236}">
              <a16:creationId xmlns:a16="http://schemas.microsoft.com/office/drawing/2014/main" id="{5B6906FE-6E9D-463C-A0AD-F212F47F7E3E}"/>
            </a:ext>
          </a:extLst>
        </xdr:cNvPr>
        <xdr:cNvSpPr>
          <a:spLocks/>
        </xdr:cNvSpPr>
      </xdr:nvSpPr>
      <xdr:spPr>
        <a:xfrm>
          <a:off x="484632" y="1596390"/>
          <a:ext cx="1591056" cy="2286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lvl="0" algn="l"/>
          <a:endParaRPr lang="en-US" sz="1200" b="1">
            <a:solidFill>
              <a:schemeClr val="accent1">
                <a:lumMod val="20000"/>
                <a:lumOff val="80000"/>
              </a:schemeClr>
            </a:solidFill>
          </a:endParaRPr>
        </a:p>
      </xdr:txBody>
    </xdr:sp>
    <xdr:clientData/>
  </xdr:twoCellAnchor>
  <xdr:twoCellAnchor>
    <xdr:from>
      <xdr:col>2</xdr:col>
      <xdr:colOff>88392</xdr:colOff>
      <xdr:row>32</xdr:row>
      <xdr:rowOff>11430</xdr:rowOff>
    </xdr:from>
    <xdr:to>
      <xdr:col>2</xdr:col>
      <xdr:colOff>1679448</xdr:colOff>
      <xdr:row>32</xdr:row>
      <xdr:rowOff>240030</xdr:rowOff>
    </xdr:to>
    <xdr:sp macro="" textlink="">
      <xdr:nvSpPr>
        <xdr:cNvPr id="4" name="Summary Stats">
          <a:extLst>
            <a:ext uri="{FF2B5EF4-FFF2-40B4-BE49-F238E27FC236}">
              <a16:creationId xmlns:a16="http://schemas.microsoft.com/office/drawing/2014/main" id="{682063F4-A4C2-4F64-8F8E-094E5645EB0E}"/>
            </a:ext>
          </a:extLst>
        </xdr:cNvPr>
        <xdr:cNvSpPr>
          <a:spLocks/>
        </xdr:cNvSpPr>
      </xdr:nvSpPr>
      <xdr:spPr>
        <a:xfrm>
          <a:off x="484632" y="1908810"/>
          <a:ext cx="1591056" cy="2286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en-US" sz="1200" b="1">
            <a:solidFill>
              <a:schemeClr val="accent1">
                <a:lumMod val="20000"/>
                <a:lumOff val="80000"/>
              </a:schemeClr>
            </a:solidFill>
          </a:endParaRPr>
        </a:p>
      </xdr:txBody>
    </xdr:sp>
    <xdr:clientData/>
  </xdr:twoCellAnchor>
  <xdr:twoCellAnchor>
    <xdr:from>
      <xdr:col>2</xdr:col>
      <xdr:colOff>88392</xdr:colOff>
      <xdr:row>42</xdr:row>
      <xdr:rowOff>11430</xdr:rowOff>
    </xdr:from>
    <xdr:to>
      <xdr:col>2</xdr:col>
      <xdr:colOff>1679448</xdr:colOff>
      <xdr:row>42</xdr:row>
      <xdr:rowOff>240030</xdr:rowOff>
    </xdr:to>
    <xdr:sp macro="" textlink="">
      <xdr:nvSpPr>
        <xdr:cNvPr id="5" name="Percentiles">
          <a:extLst>
            <a:ext uri="{FF2B5EF4-FFF2-40B4-BE49-F238E27FC236}">
              <a16:creationId xmlns:a16="http://schemas.microsoft.com/office/drawing/2014/main" id="{AC67C131-2954-4CFA-9E37-C6E423132EE9}"/>
            </a:ext>
          </a:extLst>
        </xdr:cNvPr>
        <xdr:cNvSpPr>
          <a:spLocks/>
        </xdr:cNvSpPr>
      </xdr:nvSpPr>
      <xdr:spPr>
        <a:xfrm>
          <a:off x="484632" y="2221230"/>
          <a:ext cx="1591056" cy="2286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en-US" sz="1200" b="1">
            <a:solidFill>
              <a:schemeClr val="accent1">
                <a:lumMod val="20000"/>
                <a:lumOff val="80000"/>
              </a:schemeClr>
            </a:solidFill>
          </a:endParaRPr>
        </a:p>
      </xdr:txBody>
    </xdr:sp>
    <xdr:clientData/>
  </xdr:twoCellAnchor>
  <xdr:twoCellAnchor>
    <xdr:from>
      <xdr:col>2</xdr:col>
      <xdr:colOff>88392</xdr:colOff>
      <xdr:row>54</xdr:row>
      <xdr:rowOff>11430</xdr:rowOff>
    </xdr:from>
    <xdr:to>
      <xdr:col>2</xdr:col>
      <xdr:colOff>1679448</xdr:colOff>
      <xdr:row>54</xdr:row>
      <xdr:rowOff>240030</xdr:rowOff>
    </xdr:to>
    <xdr:sp macro="" textlink="">
      <xdr:nvSpPr>
        <xdr:cNvPr id="6" name="Field Lists">
          <a:extLst>
            <a:ext uri="{FF2B5EF4-FFF2-40B4-BE49-F238E27FC236}">
              <a16:creationId xmlns:a16="http://schemas.microsoft.com/office/drawing/2014/main" id="{7FF653C8-3BA6-4081-8DB3-7EBAC6440ABF}"/>
            </a:ext>
          </a:extLst>
        </xdr:cNvPr>
        <xdr:cNvSpPr>
          <a:spLocks/>
        </xdr:cNvSpPr>
      </xdr:nvSpPr>
      <xdr:spPr>
        <a:xfrm>
          <a:off x="484632" y="2533650"/>
          <a:ext cx="1591056" cy="2286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en-US" sz="1200" b="1">
            <a:solidFill>
              <a:schemeClr val="accent1">
                <a:lumMod val="20000"/>
                <a:lumOff val="80000"/>
              </a:schemeClr>
            </a:solidFill>
          </a:endParaRPr>
        </a:p>
      </xdr:txBody>
    </xdr:sp>
    <xdr:clientData/>
  </xdr:twoCellAnchor>
  <xdr:twoCellAnchor>
    <xdr:from>
      <xdr:col>2</xdr:col>
      <xdr:colOff>88392</xdr:colOff>
      <xdr:row>65</xdr:row>
      <xdr:rowOff>11430</xdr:rowOff>
    </xdr:from>
    <xdr:to>
      <xdr:col>2</xdr:col>
      <xdr:colOff>1679448</xdr:colOff>
      <xdr:row>65</xdr:row>
      <xdr:rowOff>240030</xdr:rowOff>
    </xdr:to>
    <xdr:sp macro="" textlink="">
      <xdr:nvSpPr>
        <xdr:cNvPr id="7" name="Compiled Lists">
          <a:extLst>
            <a:ext uri="{FF2B5EF4-FFF2-40B4-BE49-F238E27FC236}">
              <a16:creationId xmlns:a16="http://schemas.microsoft.com/office/drawing/2014/main" id="{5B07AEC1-FFA6-429C-B459-8804C7705E0F}"/>
            </a:ext>
          </a:extLst>
        </xdr:cNvPr>
        <xdr:cNvSpPr>
          <a:spLocks/>
        </xdr:cNvSpPr>
      </xdr:nvSpPr>
      <xdr:spPr>
        <a:xfrm>
          <a:off x="484632" y="2846070"/>
          <a:ext cx="1591056" cy="2286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en-US" sz="1200" b="1" baseline="0">
            <a:solidFill>
              <a:schemeClr val="accent1">
                <a:lumMod val="20000"/>
                <a:lumOff val="80000"/>
              </a:schemeClr>
            </a:solidFill>
          </a:endParaRPr>
        </a:p>
      </xdr:txBody>
    </xdr:sp>
    <xdr:clientData/>
  </xdr:twoCellAnchor>
  <xdr:twoCellAnchor>
    <xdr:from>
      <xdr:col>2</xdr:col>
      <xdr:colOff>88392</xdr:colOff>
      <xdr:row>4</xdr:row>
      <xdr:rowOff>11430</xdr:rowOff>
    </xdr:from>
    <xdr:to>
      <xdr:col>2</xdr:col>
      <xdr:colOff>1679448</xdr:colOff>
      <xdr:row>4</xdr:row>
      <xdr:rowOff>240030</xdr:rowOff>
    </xdr:to>
    <xdr:sp macro="" textlink="">
      <xdr:nvSpPr>
        <xdr:cNvPr id="8" name="Field Notes">
          <a:extLst>
            <a:ext uri="{FF2B5EF4-FFF2-40B4-BE49-F238E27FC236}">
              <a16:creationId xmlns:a16="http://schemas.microsoft.com/office/drawing/2014/main" id="{CA5B8358-D54C-4A3C-AEF3-C07655C01479}"/>
            </a:ext>
          </a:extLst>
        </xdr:cNvPr>
        <xdr:cNvSpPr>
          <a:spLocks/>
        </xdr:cNvSpPr>
      </xdr:nvSpPr>
      <xdr:spPr>
        <a:xfrm>
          <a:off x="484632" y="1405890"/>
          <a:ext cx="1591056" cy="2286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lvl="0" algn="l"/>
          <a:endParaRPr lang="en-US" sz="1200" b="1">
            <a:solidFill>
              <a:schemeClr val="accent1">
                <a:lumMod val="20000"/>
                <a:lumOff val="80000"/>
              </a:schemeClr>
            </a:solidFill>
          </a:endParaRPr>
        </a:p>
      </xdr:txBody>
    </xdr:sp>
    <xdr:clientData/>
  </xdr:twoCellAnchor>
  <xdr:twoCellAnchor>
    <xdr:from>
      <xdr:col>2</xdr:col>
      <xdr:colOff>88392</xdr:colOff>
      <xdr:row>12</xdr:row>
      <xdr:rowOff>11430</xdr:rowOff>
    </xdr:from>
    <xdr:to>
      <xdr:col>2</xdr:col>
      <xdr:colOff>1679448</xdr:colOff>
      <xdr:row>12</xdr:row>
      <xdr:rowOff>240030</xdr:rowOff>
    </xdr:to>
    <xdr:sp macro="" textlink="">
      <xdr:nvSpPr>
        <xdr:cNvPr id="9" name="Data Description">
          <a:extLst>
            <a:ext uri="{FF2B5EF4-FFF2-40B4-BE49-F238E27FC236}">
              <a16:creationId xmlns:a16="http://schemas.microsoft.com/office/drawing/2014/main" id="{C229DBD0-11CE-40AA-A1A1-AE1716716328}"/>
            </a:ext>
          </a:extLst>
        </xdr:cNvPr>
        <xdr:cNvSpPr>
          <a:spLocks/>
        </xdr:cNvSpPr>
      </xdr:nvSpPr>
      <xdr:spPr>
        <a:xfrm>
          <a:off x="484632" y="1283970"/>
          <a:ext cx="1591056" cy="2286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lvl="0" algn="l"/>
          <a:endParaRPr lang="en-US" sz="1200" b="1">
            <a:solidFill>
              <a:schemeClr val="accent1">
                <a:lumMod val="20000"/>
                <a:lumOff val="80000"/>
              </a:schemeClr>
            </a:solidFill>
          </a:endParaRPr>
        </a:p>
      </xdr:txBody>
    </xdr:sp>
    <xdr:clientData/>
  </xdr:twoCellAnchor>
  <xdr:twoCellAnchor>
    <xdr:from>
      <xdr:col>3</xdr:col>
      <xdr:colOff>95250</xdr:colOff>
      <xdr:row>30</xdr:row>
      <xdr:rowOff>95250</xdr:rowOff>
    </xdr:from>
    <xdr:to>
      <xdr:col>3</xdr:col>
      <xdr:colOff>1809750</xdr:colOff>
      <xdr:row>30</xdr:row>
      <xdr:rowOff>1809750</xdr:rowOff>
    </xdr:to>
    <xdr:pic>
      <xdr:nvPicPr>
        <xdr:cNvPr id="11" name="composition_survived">
          <a:extLst>
            <a:ext uri="{FF2B5EF4-FFF2-40B4-BE49-F238E27FC236}">
              <a16:creationId xmlns:a16="http://schemas.microsoft.com/office/drawing/2014/main" id="{EFA7B747-D9C9-8B14-F0F7-244C9B54AC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59330" y="2122170"/>
          <a:ext cx="1714500" cy="1714500"/>
        </a:xfrm>
        <a:prstGeom prst="rect">
          <a:avLst/>
        </a:prstGeom>
      </xdr:spPr>
    </xdr:pic>
    <xdr:clientData/>
  </xdr:twoCellAnchor>
  <xdr:twoCellAnchor>
    <xdr:from>
      <xdr:col>3</xdr:col>
      <xdr:colOff>95250</xdr:colOff>
      <xdr:row>40</xdr:row>
      <xdr:rowOff>95250</xdr:rowOff>
    </xdr:from>
    <xdr:to>
      <xdr:col>3</xdr:col>
      <xdr:colOff>1809750</xdr:colOff>
      <xdr:row>40</xdr:row>
      <xdr:rowOff>1809750</xdr:rowOff>
    </xdr:to>
    <xdr:pic>
      <xdr:nvPicPr>
        <xdr:cNvPr id="13" name="histogram_survived">
          <a:extLst>
            <a:ext uri="{FF2B5EF4-FFF2-40B4-BE49-F238E27FC236}">
              <a16:creationId xmlns:a16="http://schemas.microsoft.com/office/drawing/2014/main" id="{9F559C19-00B4-DE6B-D069-549114A0C98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59330" y="4339590"/>
          <a:ext cx="1714500" cy="1714500"/>
        </a:xfrm>
        <a:prstGeom prst="rect">
          <a:avLst/>
        </a:prstGeom>
      </xdr:spPr>
    </xdr:pic>
    <xdr:clientData/>
  </xdr:twoCellAnchor>
  <xdr:twoCellAnchor>
    <xdr:from>
      <xdr:col>4</xdr:col>
      <xdr:colOff>95250</xdr:colOff>
      <xdr:row>30</xdr:row>
      <xdr:rowOff>95250</xdr:rowOff>
    </xdr:from>
    <xdr:to>
      <xdr:col>4</xdr:col>
      <xdr:colOff>1809750</xdr:colOff>
      <xdr:row>30</xdr:row>
      <xdr:rowOff>1809750</xdr:rowOff>
    </xdr:to>
    <xdr:pic>
      <xdr:nvPicPr>
        <xdr:cNvPr id="15" name="composition_pclass">
          <a:extLst>
            <a:ext uri="{FF2B5EF4-FFF2-40B4-BE49-F238E27FC236}">
              <a16:creationId xmlns:a16="http://schemas.microsoft.com/office/drawing/2014/main" id="{706E2816-0DA1-345A-A722-061C12BD765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164330" y="2122170"/>
          <a:ext cx="1714500" cy="1714500"/>
        </a:xfrm>
        <a:prstGeom prst="rect">
          <a:avLst/>
        </a:prstGeom>
      </xdr:spPr>
    </xdr:pic>
    <xdr:clientData/>
  </xdr:twoCellAnchor>
  <xdr:twoCellAnchor>
    <xdr:from>
      <xdr:col>4</xdr:col>
      <xdr:colOff>95250</xdr:colOff>
      <xdr:row>40</xdr:row>
      <xdr:rowOff>95250</xdr:rowOff>
    </xdr:from>
    <xdr:to>
      <xdr:col>4</xdr:col>
      <xdr:colOff>1809750</xdr:colOff>
      <xdr:row>40</xdr:row>
      <xdr:rowOff>1809750</xdr:rowOff>
    </xdr:to>
    <xdr:pic>
      <xdr:nvPicPr>
        <xdr:cNvPr id="17" name="histogram_pclass">
          <a:extLst>
            <a:ext uri="{FF2B5EF4-FFF2-40B4-BE49-F238E27FC236}">
              <a16:creationId xmlns:a16="http://schemas.microsoft.com/office/drawing/2014/main" id="{7A7368EB-5633-307B-CCB8-DB8631696A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164330" y="4339590"/>
          <a:ext cx="1714500" cy="1714500"/>
        </a:xfrm>
        <a:prstGeom prst="rect">
          <a:avLst/>
        </a:prstGeom>
      </xdr:spPr>
    </xdr:pic>
    <xdr:clientData/>
  </xdr:twoCellAnchor>
  <xdr:twoCellAnchor>
    <xdr:from>
      <xdr:col>5</xdr:col>
      <xdr:colOff>95250</xdr:colOff>
      <xdr:row>30</xdr:row>
      <xdr:rowOff>95250</xdr:rowOff>
    </xdr:from>
    <xdr:to>
      <xdr:col>5</xdr:col>
      <xdr:colOff>1809750</xdr:colOff>
      <xdr:row>30</xdr:row>
      <xdr:rowOff>1809750</xdr:rowOff>
    </xdr:to>
    <xdr:pic>
      <xdr:nvPicPr>
        <xdr:cNvPr id="19" name="composition_sex">
          <a:extLst>
            <a:ext uri="{FF2B5EF4-FFF2-40B4-BE49-F238E27FC236}">
              <a16:creationId xmlns:a16="http://schemas.microsoft.com/office/drawing/2014/main" id="{ECE5901C-A156-49AA-F3CB-53BCA8CA29F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69330" y="2122170"/>
          <a:ext cx="1714500" cy="17145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30</xdr:row>
      <xdr:rowOff>95250</xdr:rowOff>
    </xdr:from>
    <xdr:to>
      <xdr:col>6</xdr:col>
      <xdr:colOff>1809750</xdr:colOff>
      <xdr:row>30</xdr:row>
      <xdr:rowOff>1809750</xdr:rowOff>
    </xdr:to>
    <xdr:pic>
      <xdr:nvPicPr>
        <xdr:cNvPr id="21" name="composition_age">
          <a:extLst>
            <a:ext uri="{FF2B5EF4-FFF2-40B4-BE49-F238E27FC236}">
              <a16:creationId xmlns:a16="http://schemas.microsoft.com/office/drawing/2014/main" id="{61A015C9-386D-56A0-A73A-0DEEF100D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974330" y="2122170"/>
          <a:ext cx="1714500" cy="1714500"/>
        </a:xfrm>
        <a:prstGeom prst="rect">
          <a:avLst/>
        </a:prstGeom>
      </xdr:spPr>
    </xdr:pic>
    <xdr:clientData/>
  </xdr:twoCellAnchor>
  <xdr:twoCellAnchor>
    <xdr:from>
      <xdr:col>6</xdr:col>
      <xdr:colOff>95250</xdr:colOff>
      <xdr:row>40</xdr:row>
      <xdr:rowOff>95250</xdr:rowOff>
    </xdr:from>
    <xdr:to>
      <xdr:col>6</xdr:col>
      <xdr:colOff>1809750</xdr:colOff>
      <xdr:row>40</xdr:row>
      <xdr:rowOff>1809750</xdr:rowOff>
    </xdr:to>
    <xdr:pic>
      <xdr:nvPicPr>
        <xdr:cNvPr id="23" name="histogram_age">
          <a:extLst>
            <a:ext uri="{FF2B5EF4-FFF2-40B4-BE49-F238E27FC236}">
              <a16:creationId xmlns:a16="http://schemas.microsoft.com/office/drawing/2014/main" id="{955B5CC4-D39E-C91D-1FCB-AFD857ECDF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974330" y="4339590"/>
          <a:ext cx="1714500" cy="1714500"/>
        </a:xfrm>
        <a:prstGeom prst="rect">
          <a:avLst/>
        </a:prstGeom>
      </xdr:spPr>
    </xdr:pic>
    <xdr:clientData/>
  </xdr:twoCellAnchor>
  <xdr:twoCellAnchor>
    <xdr:from>
      <xdr:col>7</xdr:col>
      <xdr:colOff>95250</xdr:colOff>
      <xdr:row>30</xdr:row>
      <xdr:rowOff>95250</xdr:rowOff>
    </xdr:from>
    <xdr:to>
      <xdr:col>7</xdr:col>
      <xdr:colOff>1809750</xdr:colOff>
      <xdr:row>30</xdr:row>
      <xdr:rowOff>1809750</xdr:rowOff>
    </xdr:to>
    <xdr:pic>
      <xdr:nvPicPr>
        <xdr:cNvPr id="25" name="composition_sibsp">
          <a:extLst>
            <a:ext uri="{FF2B5EF4-FFF2-40B4-BE49-F238E27FC236}">
              <a16:creationId xmlns:a16="http://schemas.microsoft.com/office/drawing/2014/main" id="{99070CD6-8796-60DD-379E-2CF4AB3ED7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879330" y="2122170"/>
          <a:ext cx="1714500" cy="1714500"/>
        </a:xfrm>
        <a:prstGeom prst="rect">
          <a:avLst/>
        </a:prstGeom>
      </xdr:spPr>
    </xdr:pic>
    <xdr:clientData/>
  </xdr:twoCellAnchor>
  <xdr:twoCellAnchor>
    <xdr:from>
      <xdr:col>7</xdr:col>
      <xdr:colOff>95250</xdr:colOff>
      <xdr:row>40</xdr:row>
      <xdr:rowOff>95250</xdr:rowOff>
    </xdr:from>
    <xdr:to>
      <xdr:col>7</xdr:col>
      <xdr:colOff>1809750</xdr:colOff>
      <xdr:row>40</xdr:row>
      <xdr:rowOff>1809750</xdr:rowOff>
    </xdr:to>
    <xdr:pic>
      <xdr:nvPicPr>
        <xdr:cNvPr id="27" name="histogram_sibsp">
          <a:extLst>
            <a:ext uri="{FF2B5EF4-FFF2-40B4-BE49-F238E27FC236}">
              <a16:creationId xmlns:a16="http://schemas.microsoft.com/office/drawing/2014/main" id="{E1AD3A4E-8D8D-4A68-BE6C-F9EBA14A15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879330" y="4339590"/>
          <a:ext cx="1714500" cy="1714500"/>
        </a:xfrm>
        <a:prstGeom prst="rect">
          <a:avLst/>
        </a:prstGeom>
      </xdr:spPr>
    </xdr:pic>
    <xdr:clientData/>
  </xdr:twoCellAnchor>
  <xdr:twoCellAnchor>
    <xdr:from>
      <xdr:col>8</xdr:col>
      <xdr:colOff>95250</xdr:colOff>
      <xdr:row>30</xdr:row>
      <xdr:rowOff>95250</xdr:rowOff>
    </xdr:from>
    <xdr:to>
      <xdr:col>8</xdr:col>
      <xdr:colOff>1809750</xdr:colOff>
      <xdr:row>30</xdr:row>
      <xdr:rowOff>1809750</xdr:rowOff>
    </xdr:to>
    <xdr:pic>
      <xdr:nvPicPr>
        <xdr:cNvPr id="29" name="composition_parch">
          <a:extLst>
            <a:ext uri="{FF2B5EF4-FFF2-40B4-BE49-F238E27FC236}">
              <a16:creationId xmlns:a16="http://schemas.microsoft.com/office/drawing/2014/main" id="{F5268F8F-53EA-4C5D-860F-186985C053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784330" y="2122170"/>
          <a:ext cx="1714500" cy="1714500"/>
        </a:xfrm>
        <a:prstGeom prst="rect">
          <a:avLst/>
        </a:prstGeom>
      </xdr:spPr>
    </xdr:pic>
    <xdr:clientData/>
  </xdr:twoCellAnchor>
  <xdr:twoCellAnchor>
    <xdr:from>
      <xdr:col>8</xdr:col>
      <xdr:colOff>95250</xdr:colOff>
      <xdr:row>40</xdr:row>
      <xdr:rowOff>95250</xdr:rowOff>
    </xdr:from>
    <xdr:to>
      <xdr:col>8</xdr:col>
      <xdr:colOff>1809750</xdr:colOff>
      <xdr:row>40</xdr:row>
      <xdr:rowOff>1809750</xdr:rowOff>
    </xdr:to>
    <xdr:pic>
      <xdr:nvPicPr>
        <xdr:cNvPr id="31" name="histogram_parch">
          <a:extLst>
            <a:ext uri="{FF2B5EF4-FFF2-40B4-BE49-F238E27FC236}">
              <a16:creationId xmlns:a16="http://schemas.microsoft.com/office/drawing/2014/main" id="{8328BD5B-C24C-A6BA-59BB-7C4E72FFEC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784330" y="4339590"/>
          <a:ext cx="1714500" cy="1714500"/>
        </a:xfrm>
        <a:prstGeom prst="rect">
          <a:avLst/>
        </a:prstGeom>
      </xdr:spPr>
    </xdr:pic>
    <xdr:clientData/>
  </xdr:twoCellAnchor>
  <xdr:twoCellAnchor>
    <xdr:from>
      <xdr:col>9</xdr:col>
      <xdr:colOff>95250</xdr:colOff>
      <xdr:row>30</xdr:row>
      <xdr:rowOff>95250</xdr:rowOff>
    </xdr:from>
    <xdr:to>
      <xdr:col>9</xdr:col>
      <xdr:colOff>1809750</xdr:colOff>
      <xdr:row>30</xdr:row>
      <xdr:rowOff>1809750</xdr:rowOff>
    </xdr:to>
    <xdr:pic>
      <xdr:nvPicPr>
        <xdr:cNvPr id="33" name="composition_fare">
          <a:extLst>
            <a:ext uri="{FF2B5EF4-FFF2-40B4-BE49-F238E27FC236}">
              <a16:creationId xmlns:a16="http://schemas.microsoft.com/office/drawing/2014/main" id="{E5A2021A-DB7E-8ECA-66B9-8C4C54A9095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3689330" y="2122170"/>
          <a:ext cx="1714500" cy="1714500"/>
        </a:xfrm>
        <a:prstGeom prst="rect">
          <a:avLst/>
        </a:prstGeom>
      </xdr:spPr>
    </xdr:pic>
    <xdr:clientData/>
  </xdr:twoCellAnchor>
  <xdr:twoCellAnchor>
    <xdr:from>
      <xdr:col>9</xdr:col>
      <xdr:colOff>95250</xdr:colOff>
      <xdr:row>40</xdr:row>
      <xdr:rowOff>95250</xdr:rowOff>
    </xdr:from>
    <xdr:to>
      <xdr:col>9</xdr:col>
      <xdr:colOff>1809750</xdr:colOff>
      <xdr:row>40</xdr:row>
      <xdr:rowOff>1809750</xdr:rowOff>
    </xdr:to>
    <xdr:pic>
      <xdr:nvPicPr>
        <xdr:cNvPr id="35" name="histogram_fare">
          <a:extLst>
            <a:ext uri="{FF2B5EF4-FFF2-40B4-BE49-F238E27FC236}">
              <a16:creationId xmlns:a16="http://schemas.microsoft.com/office/drawing/2014/main" id="{B22A09DC-DDD7-19E5-DD88-A087DEB8C2B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3689330" y="4339590"/>
          <a:ext cx="1714500" cy="1714500"/>
        </a:xfrm>
        <a:prstGeom prst="rect">
          <a:avLst/>
        </a:prstGeom>
      </xdr:spPr>
    </xdr:pic>
    <xdr:clientData/>
  </xdr:twoCellAnchor>
  <xdr:twoCellAnchor>
    <xdr:from>
      <xdr:col>10</xdr:col>
      <xdr:colOff>95250</xdr:colOff>
      <xdr:row>30</xdr:row>
      <xdr:rowOff>95250</xdr:rowOff>
    </xdr:from>
    <xdr:to>
      <xdr:col>10</xdr:col>
      <xdr:colOff>1809750</xdr:colOff>
      <xdr:row>30</xdr:row>
      <xdr:rowOff>1809750</xdr:rowOff>
    </xdr:to>
    <xdr:pic>
      <xdr:nvPicPr>
        <xdr:cNvPr id="37" name="composition_embarked">
          <a:extLst>
            <a:ext uri="{FF2B5EF4-FFF2-40B4-BE49-F238E27FC236}">
              <a16:creationId xmlns:a16="http://schemas.microsoft.com/office/drawing/2014/main" id="{6B4E3B6F-66F7-3C20-8B0D-F3774778DFD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5594330" y="2122170"/>
          <a:ext cx="1714500" cy="1714500"/>
        </a:xfrm>
        <a:prstGeom prst="rect">
          <a:avLst/>
        </a:prstGeom>
      </xdr:spPr>
    </xdr:pic>
    <xdr:clientData/>
  </xdr:twoCellAnchor>
  <xdr:twoCellAnchor>
    <xdr:from>
      <xdr:col>11</xdr:col>
      <xdr:colOff>95250</xdr:colOff>
      <xdr:row>30</xdr:row>
      <xdr:rowOff>95250</xdr:rowOff>
    </xdr:from>
    <xdr:to>
      <xdr:col>11</xdr:col>
      <xdr:colOff>1809750</xdr:colOff>
      <xdr:row>30</xdr:row>
      <xdr:rowOff>1809750</xdr:rowOff>
    </xdr:to>
    <xdr:pic>
      <xdr:nvPicPr>
        <xdr:cNvPr id="39" name="composition_class">
          <a:extLst>
            <a:ext uri="{FF2B5EF4-FFF2-40B4-BE49-F238E27FC236}">
              <a16:creationId xmlns:a16="http://schemas.microsoft.com/office/drawing/2014/main" id="{A14A254B-D028-A121-3CFE-F51F8B10D1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7499330" y="2122170"/>
          <a:ext cx="1714500" cy="1714500"/>
        </a:xfrm>
        <a:prstGeom prst="rect">
          <a:avLst/>
        </a:prstGeom>
      </xdr:spPr>
    </xdr:pic>
    <xdr:clientData/>
  </xdr:twoCellAnchor>
  <xdr:twoCellAnchor>
    <xdr:from>
      <xdr:col>12</xdr:col>
      <xdr:colOff>95250</xdr:colOff>
      <xdr:row>30</xdr:row>
      <xdr:rowOff>95250</xdr:rowOff>
    </xdr:from>
    <xdr:to>
      <xdr:col>12</xdr:col>
      <xdr:colOff>1809750</xdr:colOff>
      <xdr:row>30</xdr:row>
      <xdr:rowOff>1809750</xdr:rowOff>
    </xdr:to>
    <xdr:pic>
      <xdr:nvPicPr>
        <xdr:cNvPr id="41" name="composition_who">
          <a:extLst>
            <a:ext uri="{FF2B5EF4-FFF2-40B4-BE49-F238E27FC236}">
              <a16:creationId xmlns:a16="http://schemas.microsoft.com/office/drawing/2014/main" id="{B29ED98F-46D1-9399-CBCA-7B19AD7C81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9404330" y="2122170"/>
          <a:ext cx="1714500" cy="1714500"/>
        </a:xfrm>
        <a:prstGeom prst="rect">
          <a:avLst/>
        </a:prstGeom>
      </xdr:spPr>
    </xdr:pic>
    <xdr:clientData/>
  </xdr:twoCellAnchor>
  <xdr:twoCellAnchor>
    <xdr:from>
      <xdr:col>13</xdr:col>
      <xdr:colOff>95250</xdr:colOff>
      <xdr:row>30</xdr:row>
      <xdr:rowOff>95250</xdr:rowOff>
    </xdr:from>
    <xdr:to>
      <xdr:col>13</xdr:col>
      <xdr:colOff>1809750</xdr:colOff>
      <xdr:row>30</xdr:row>
      <xdr:rowOff>1809750</xdr:rowOff>
    </xdr:to>
    <xdr:pic>
      <xdr:nvPicPr>
        <xdr:cNvPr id="43" name="composition_adult_male">
          <a:extLst>
            <a:ext uri="{FF2B5EF4-FFF2-40B4-BE49-F238E27FC236}">
              <a16:creationId xmlns:a16="http://schemas.microsoft.com/office/drawing/2014/main" id="{07124046-BF05-53E1-C658-E8DB2567FFE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1309330" y="2122170"/>
          <a:ext cx="1714500" cy="1714500"/>
        </a:xfrm>
        <a:prstGeom prst="rect">
          <a:avLst/>
        </a:prstGeom>
      </xdr:spPr>
    </xdr:pic>
    <xdr:clientData/>
  </xdr:twoCellAnchor>
  <xdr:twoCellAnchor>
    <xdr:from>
      <xdr:col>13</xdr:col>
      <xdr:colOff>95250</xdr:colOff>
      <xdr:row>40</xdr:row>
      <xdr:rowOff>95250</xdr:rowOff>
    </xdr:from>
    <xdr:to>
      <xdr:col>13</xdr:col>
      <xdr:colOff>1809750</xdr:colOff>
      <xdr:row>40</xdr:row>
      <xdr:rowOff>1809750</xdr:rowOff>
    </xdr:to>
    <xdr:pic>
      <xdr:nvPicPr>
        <xdr:cNvPr id="45" name="histogram_adult_male">
          <a:extLst>
            <a:ext uri="{FF2B5EF4-FFF2-40B4-BE49-F238E27FC236}">
              <a16:creationId xmlns:a16="http://schemas.microsoft.com/office/drawing/2014/main" id="{3452B415-DA06-DA5B-E8B5-B8BF7F346A5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1309330" y="4339590"/>
          <a:ext cx="1714500" cy="1714500"/>
        </a:xfrm>
        <a:prstGeom prst="rect">
          <a:avLst/>
        </a:prstGeom>
      </xdr:spPr>
    </xdr:pic>
    <xdr:clientData/>
  </xdr:twoCellAnchor>
  <xdr:twoCellAnchor>
    <xdr:from>
      <xdr:col>14</xdr:col>
      <xdr:colOff>95250</xdr:colOff>
      <xdr:row>30</xdr:row>
      <xdr:rowOff>95250</xdr:rowOff>
    </xdr:from>
    <xdr:to>
      <xdr:col>14</xdr:col>
      <xdr:colOff>1809750</xdr:colOff>
      <xdr:row>30</xdr:row>
      <xdr:rowOff>1809750</xdr:rowOff>
    </xdr:to>
    <xdr:pic>
      <xdr:nvPicPr>
        <xdr:cNvPr id="47" name="composition_deck">
          <a:extLst>
            <a:ext uri="{FF2B5EF4-FFF2-40B4-BE49-F238E27FC236}">
              <a16:creationId xmlns:a16="http://schemas.microsoft.com/office/drawing/2014/main" id="{221DC435-F035-F974-1750-26DF8EEEE1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3214330" y="2122170"/>
          <a:ext cx="1714500" cy="1714500"/>
        </a:xfrm>
        <a:prstGeom prst="rect">
          <a:avLst/>
        </a:prstGeom>
      </xdr:spPr>
    </xdr:pic>
    <xdr:clientData/>
  </xdr:twoCellAnchor>
  <xdr:twoCellAnchor>
    <xdr:from>
      <xdr:col>15</xdr:col>
      <xdr:colOff>95250</xdr:colOff>
      <xdr:row>30</xdr:row>
      <xdr:rowOff>95250</xdr:rowOff>
    </xdr:from>
    <xdr:to>
      <xdr:col>15</xdr:col>
      <xdr:colOff>1809750</xdr:colOff>
      <xdr:row>30</xdr:row>
      <xdr:rowOff>1809750</xdr:rowOff>
    </xdr:to>
    <xdr:pic>
      <xdr:nvPicPr>
        <xdr:cNvPr id="49" name="composition_embark_town">
          <a:extLst>
            <a:ext uri="{FF2B5EF4-FFF2-40B4-BE49-F238E27FC236}">
              <a16:creationId xmlns:a16="http://schemas.microsoft.com/office/drawing/2014/main" id="{AA0D7E4A-DA60-71D8-1413-695140ACA0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5119330" y="2122170"/>
          <a:ext cx="1714500" cy="1714500"/>
        </a:xfrm>
        <a:prstGeom prst="rect">
          <a:avLst/>
        </a:prstGeom>
      </xdr:spPr>
    </xdr:pic>
    <xdr:clientData/>
  </xdr:twoCellAnchor>
  <xdr:twoCellAnchor>
    <xdr:from>
      <xdr:col>16</xdr:col>
      <xdr:colOff>95249</xdr:colOff>
      <xdr:row>30</xdr:row>
      <xdr:rowOff>95250</xdr:rowOff>
    </xdr:from>
    <xdr:to>
      <xdr:col>16</xdr:col>
      <xdr:colOff>1809749</xdr:colOff>
      <xdr:row>30</xdr:row>
      <xdr:rowOff>1809750</xdr:rowOff>
    </xdr:to>
    <xdr:pic>
      <xdr:nvPicPr>
        <xdr:cNvPr id="51" name="composition_alive">
          <a:extLst>
            <a:ext uri="{FF2B5EF4-FFF2-40B4-BE49-F238E27FC236}">
              <a16:creationId xmlns:a16="http://schemas.microsoft.com/office/drawing/2014/main" id="{42CFC43B-5710-18F2-58A8-424096D5BEA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24329" y="2122170"/>
          <a:ext cx="1714500" cy="1714500"/>
        </a:xfrm>
        <a:prstGeom prst="rect">
          <a:avLst/>
        </a:prstGeom>
      </xdr:spPr>
    </xdr:pic>
    <xdr:clientData/>
  </xdr:twoCellAnchor>
  <xdr:twoCellAnchor>
    <xdr:from>
      <xdr:col>17</xdr:col>
      <xdr:colOff>95249</xdr:colOff>
      <xdr:row>30</xdr:row>
      <xdr:rowOff>95250</xdr:rowOff>
    </xdr:from>
    <xdr:to>
      <xdr:col>17</xdr:col>
      <xdr:colOff>1809749</xdr:colOff>
      <xdr:row>30</xdr:row>
      <xdr:rowOff>1809750</xdr:rowOff>
    </xdr:to>
    <xdr:pic>
      <xdr:nvPicPr>
        <xdr:cNvPr id="53" name="composition_alone">
          <a:extLst>
            <a:ext uri="{FF2B5EF4-FFF2-40B4-BE49-F238E27FC236}">
              <a16:creationId xmlns:a16="http://schemas.microsoft.com/office/drawing/2014/main" id="{2870DBA9-DF7F-C5E0-1E66-575B901C70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8929329" y="2122170"/>
          <a:ext cx="1714500" cy="1714500"/>
        </a:xfrm>
        <a:prstGeom prst="rect">
          <a:avLst/>
        </a:prstGeom>
      </xdr:spPr>
    </xdr:pic>
    <xdr:clientData/>
  </xdr:twoCellAnchor>
  <xdr:twoCellAnchor>
    <xdr:from>
      <xdr:col>17</xdr:col>
      <xdr:colOff>95249</xdr:colOff>
      <xdr:row>40</xdr:row>
      <xdr:rowOff>95250</xdr:rowOff>
    </xdr:from>
    <xdr:to>
      <xdr:col>17</xdr:col>
      <xdr:colOff>1809749</xdr:colOff>
      <xdr:row>40</xdr:row>
      <xdr:rowOff>1809750</xdr:rowOff>
    </xdr:to>
    <xdr:pic>
      <xdr:nvPicPr>
        <xdr:cNvPr id="55" name="histogram_alone">
          <a:extLst>
            <a:ext uri="{FF2B5EF4-FFF2-40B4-BE49-F238E27FC236}">
              <a16:creationId xmlns:a16="http://schemas.microsoft.com/office/drawing/2014/main" id="{1000EF62-413E-5D2D-7C0A-6B7C3802388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8929329" y="4339590"/>
          <a:ext cx="1714500" cy="171450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rivers" refreshedDate="46167.71052789352" createdVersion="8" refreshedVersion="8" minRefreshableVersion="3" recordCount="891" xr:uid="{9CA2673A-A870-437E-AB9F-91D8276FD930}">
  <cacheSource type="worksheet">
    <worksheetSource name="tbl_SourceData"/>
  </cacheSource>
  <cacheFields count="18">
    <cacheField name="Record List" numFmtId="0">
      <sharedItems/>
    </cacheField>
    <cacheField name="survived" numFmtId="0">
      <sharedItems containsSemiMixedTypes="0" containsString="0" containsNumber="1" containsInteger="1" minValue="0" maxValue="1" count="2">
        <n v="0"/>
        <n v="1"/>
      </sharedItems>
    </cacheField>
    <cacheField name="pclass" numFmtId="0">
      <sharedItems containsSemiMixedTypes="0" containsString="0" containsNumber="1" containsInteger="1" minValue="1" maxValue="3" count="3">
        <n v="3"/>
        <n v="1"/>
        <n v="2"/>
      </sharedItems>
    </cacheField>
    <cacheField name="sex" numFmtId="0">
      <sharedItems count="2">
        <s v="male"/>
        <s v="female"/>
      </sharedItems>
    </cacheField>
    <cacheField name="age" numFmtId="0">
      <sharedItems containsString="0" containsBlank="1" containsNumber="1" minValue="0.42" maxValue="80" count="89">
        <n v="22"/>
        <n v="38"/>
        <n v="26"/>
        <n v="35"/>
        <m/>
        <n v="54"/>
        <n v="2"/>
        <n v="27"/>
        <n v="14"/>
        <n v="4"/>
        <n v="58"/>
        <n v="20"/>
        <n v="39"/>
        <n v="55"/>
        <n v="31"/>
        <n v="34"/>
        <n v="15"/>
        <n v="28"/>
        <n v="8"/>
        <n v="19"/>
        <n v="40"/>
        <n v="66"/>
        <n v="42"/>
        <n v="21"/>
        <n v="18"/>
        <n v="3"/>
        <n v="7"/>
        <n v="49"/>
        <n v="29"/>
        <n v="65"/>
        <n v="28.5"/>
        <n v="5"/>
        <n v="11"/>
        <n v="45"/>
        <n v="17"/>
        <n v="32"/>
        <n v="16"/>
        <n v="25"/>
        <n v="0.83"/>
        <n v="30"/>
        <n v="33"/>
        <n v="23"/>
        <n v="24"/>
        <n v="46"/>
        <n v="59"/>
        <n v="71"/>
        <n v="37"/>
        <n v="47"/>
        <n v="14.5"/>
        <n v="70.5"/>
        <n v="32.5"/>
        <n v="12"/>
        <n v="9"/>
        <n v="36.5"/>
        <n v="51"/>
        <n v="55.5"/>
        <n v="40.5"/>
        <n v="44"/>
        <n v="1"/>
        <n v="61"/>
        <n v="56"/>
        <n v="50"/>
        <n v="36"/>
        <n v="45.5"/>
        <n v="20.5"/>
        <n v="62"/>
        <n v="41"/>
        <n v="52"/>
        <n v="63"/>
        <n v="23.5"/>
        <n v="0.92"/>
        <n v="43"/>
        <n v="60"/>
        <n v="10"/>
        <n v="64"/>
        <n v="13"/>
        <n v="48"/>
        <n v="0.75"/>
        <n v="53"/>
        <n v="57"/>
        <n v="80"/>
        <n v="70"/>
        <n v="24.5"/>
        <n v="6"/>
        <n v="0.67"/>
        <n v="30.5"/>
        <n v="0.42"/>
        <n v="34.5"/>
        <n v="74"/>
      </sharedItems>
    </cacheField>
    <cacheField name="sibsp" numFmtId="0">
      <sharedItems containsSemiMixedTypes="0" containsString="0" containsNumber="1" containsInteger="1" minValue="0" maxValue="8" count="7">
        <n v="1"/>
        <n v="0"/>
        <n v="3"/>
        <n v="4"/>
        <n v="2"/>
        <n v="5"/>
        <n v="8"/>
      </sharedItems>
    </cacheField>
    <cacheField name="parch" numFmtId="0">
      <sharedItems containsSemiMixedTypes="0" containsString="0" containsNumber="1" containsInteger="1" minValue="0" maxValue="6" count="7">
        <n v="0"/>
        <n v="1"/>
        <n v="2"/>
        <n v="5"/>
        <n v="3"/>
        <n v="4"/>
        <n v="6"/>
      </sharedItems>
    </cacheField>
    <cacheField name="fare" numFmtId="0">
      <sharedItems containsSemiMixedTypes="0" containsString="0" containsNumber="1" minValue="0" maxValue="512.32920000000001" count="248">
        <n v="7.25"/>
        <n v="71.283299999999997"/>
        <n v="7.9249999999999998"/>
        <n v="53.1"/>
        <n v="8.0500000000000007"/>
        <n v="8.4582999999999995"/>
        <n v="51.862499999999997"/>
        <n v="21.074999999999999"/>
        <n v="11.1333"/>
        <n v="30.070799999999998"/>
        <n v="16.7"/>
        <n v="26.55"/>
        <n v="31.274999999999999"/>
        <n v="7.8541999999999996"/>
        <n v="16"/>
        <n v="29.125"/>
        <n v="13"/>
        <n v="18"/>
        <n v="7.2249999999999996"/>
        <n v="26"/>
        <n v="8.0291999999999994"/>
        <n v="35.5"/>
        <n v="31.387499999999999"/>
        <n v="263"/>
        <n v="7.8792"/>
        <n v="7.8958000000000004"/>
        <n v="27.720800000000001"/>
        <n v="146.52080000000001"/>
        <n v="7.75"/>
        <n v="10.5"/>
        <n v="82.1708"/>
        <n v="52"/>
        <n v="7.2291999999999996"/>
        <n v="11.2417"/>
        <n v="9.4749999999999996"/>
        <n v="21"/>
        <n v="41.5792"/>
        <n v="15.5"/>
        <n v="21.679200000000002"/>
        <n v="17.8"/>
        <n v="39.6875"/>
        <n v="7.8"/>
        <n v="76.729200000000006"/>
        <n v="61.979199999999999"/>
        <n v="27.75"/>
        <n v="46.9"/>
        <n v="80"/>
        <n v="83.474999999999994"/>
        <n v="27.9"/>
        <n v="15.245799999999999"/>
        <n v="8.1583000000000006"/>
        <n v="8.6624999999999996"/>
        <n v="73.5"/>
        <n v="14.4542"/>
        <n v="56.495800000000003"/>
        <n v="7.65"/>
        <n v="29"/>
        <n v="12.475"/>
        <n v="9"/>
        <n v="9.5"/>
        <n v="7.7874999999999996"/>
        <n v="47.1"/>
        <n v="15.85"/>
        <n v="34.375"/>
        <n v="61.174999999999997"/>
        <n v="20.574999999999999"/>
        <n v="34.654200000000003"/>
        <n v="63.3583"/>
        <n v="23"/>
        <n v="77.287499999999994"/>
        <n v="8.6541999999999994"/>
        <n v="7.7750000000000004"/>
        <n v="24.15"/>
        <n v="9.8249999999999993"/>
        <n v="14.458299999999999"/>
        <n v="247.52080000000001"/>
        <n v="7.1417000000000002"/>
        <n v="22.3583"/>
        <n v="6.9749999999999996"/>
        <n v="7.05"/>
        <n v="14.5"/>
        <n v="15.0458"/>
        <n v="26.283300000000001"/>
        <n v="9.2166999999999994"/>
        <n v="79.2"/>
        <n v="6.75"/>
        <n v="11.5"/>
        <n v="36.75"/>
        <n v="7.7957999999999998"/>
        <n v="12.525"/>
        <n v="66.599999999999994"/>
        <n v="7.3125"/>
        <n v="61.379199999999997"/>
        <n v="7.7332999999999998"/>
        <n v="69.55"/>
        <n v="16.100000000000001"/>
        <n v="15.75"/>
        <n v="20.524999999999999"/>
        <n v="55"/>
        <n v="25.925000000000001"/>
        <n v="33.5"/>
        <n v="30.695799999999998"/>
        <n v="25.466699999999999"/>
        <n v="28.712499999999999"/>
        <n v="0"/>
        <n v="15.05"/>
        <n v="39"/>
        <n v="22.024999999999999"/>
        <n v="50"/>
        <n v="8.4041999999999994"/>
        <n v="6.4958"/>
        <n v="10.4625"/>
        <n v="18.787500000000001"/>
        <n v="31"/>
        <n v="113.27500000000001"/>
        <n v="27"/>
        <n v="76.291700000000006"/>
        <n v="90"/>
        <n v="9.35"/>
        <n v="13.5"/>
        <n v="7.55"/>
        <n v="26.25"/>
        <n v="12.275"/>
        <n v="7.125"/>
        <n v="52.554200000000002"/>
        <n v="20.212499999999999"/>
        <n v="86.5"/>
        <n v="512.32920000000001"/>
        <n v="79.650000000000006"/>
        <n v="153.46250000000001"/>
        <n v="135.63329999999999"/>
        <n v="19.5"/>
        <n v="29.7"/>
        <n v="77.958299999999994"/>
        <n v="20.25"/>
        <n v="78.849999999999994"/>
        <n v="91.0792"/>
        <n v="12.875"/>
        <n v="8.85"/>
        <n v="151.55000000000001"/>
        <n v="30.5"/>
        <n v="23.25"/>
        <n v="12.35"/>
        <n v="110.88330000000001"/>
        <n v="108.9"/>
        <n v="24"/>
        <n v="56.929200000000002"/>
        <n v="83.158299999999997"/>
        <n v="262.375"/>
        <n v="14"/>
        <n v="164.86670000000001"/>
        <n v="134.5"/>
        <n v="6.2374999999999998"/>
        <n v="57.979199999999999"/>
        <n v="28.5"/>
        <n v="133.65"/>
        <n v="15.9"/>
        <n v="9.2249999999999996"/>
        <n v="35"/>
        <n v="75.25"/>
        <n v="69.3"/>
        <n v="55.441699999999997"/>
        <n v="211.5"/>
        <n v="4.0125000000000002"/>
        <n v="227.52500000000001"/>
        <n v="15.7417"/>
        <n v="7.7291999999999996"/>
        <n v="12"/>
        <n v="120"/>
        <n v="12.65"/>
        <n v="18.75"/>
        <n v="6.8582999999999998"/>
        <n v="32.5"/>
        <n v="7.875"/>
        <n v="14.4"/>
        <n v="55.9"/>
        <n v="8.1125000000000007"/>
        <n v="81.8583"/>
        <n v="19.258299999999998"/>
        <n v="19.966699999999999"/>
        <n v="89.104200000000006"/>
        <n v="38.5"/>
        <n v="7.7249999999999996"/>
        <n v="13.791700000000001"/>
        <n v="9.8375000000000004"/>
        <n v="7.0457999999999998"/>
        <n v="7.5208000000000004"/>
        <n v="12.2875"/>
        <n v="9.5875000000000004"/>
        <n v="49.504199999999997"/>
        <n v="78.2667"/>
        <n v="15.1"/>
        <n v="7.6292"/>
        <n v="22.524999999999999"/>
        <n v="26.287500000000001"/>
        <n v="59.4"/>
        <n v="7.4958"/>
        <n v="34.020800000000001"/>
        <n v="93.5"/>
        <n v="221.7792"/>
        <n v="106.425"/>
        <n v="49.5"/>
        <n v="71"/>
        <n v="13.862500000000001"/>
        <n v="7.8292000000000002"/>
        <n v="39.6"/>
        <n v="17.399999999999999"/>
        <n v="51.479199999999999"/>
        <n v="26.387499999999999"/>
        <n v="30"/>
        <n v="40.125"/>
        <n v="8.7125000000000004"/>
        <n v="15"/>
        <n v="33"/>
        <n v="42.4"/>
        <n v="15.55"/>
        <n v="65"/>
        <n v="32.320799999999998"/>
        <n v="7.0541999999999998"/>
        <n v="8.4332999999999991"/>
        <n v="25.587499999999999"/>
        <n v="9.8416999999999994"/>
        <n v="8.1374999999999993"/>
        <n v="10.1708"/>
        <n v="211.33750000000001"/>
        <n v="57"/>
        <n v="13.416700000000001"/>
        <n v="7.7416999999999998"/>
        <n v="9.4832999999999998"/>
        <n v="7.7374999999999998"/>
        <n v="8.3625000000000007"/>
        <n v="23.45"/>
        <n v="25.929200000000002"/>
        <n v="8.6832999999999991"/>
        <n v="8.5167000000000002"/>
        <n v="7.8875000000000002"/>
        <n v="37.004199999999997"/>
        <n v="6.45"/>
        <n v="6.95"/>
        <n v="8.3000000000000007"/>
        <n v="6.4375"/>
        <n v="39.4"/>
        <n v="14.1083"/>
        <n v="13.8583"/>
        <n v="50.495800000000003"/>
        <n v="5"/>
        <n v="9.8458000000000006"/>
        <n v="10.5167"/>
      </sharedItems>
    </cacheField>
    <cacheField name="embarked" numFmtId="0">
      <sharedItems containsBlank="1" count="4">
        <s v="S"/>
        <s v="C"/>
        <s v="Q"/>
        <m/>
      </sharedItems>
    </cacheField>
    <cacheField name="class" numFmtId="0">
      <sharedItems count="3">
        <s v="Third"/>
        <s v="First"/>
        <s v="Second"/>
      </sharedItems>
    </cacheField>
    <cacheField name="who" numFmtId="0">
      <sharedItems count="3">
        <s v="man"/>
        <s v="woman"/>
        <s v="child"/>
      </sharedItems>
    </cacheField>
    <cacheField name="adult_male" numFmtId="0">
      <sharedItems/>
    </cacheField>
    <cacheField name="deck" numFmtId="0">
      <sharedItems containsBlank="1"/>
    </cacheField>
    <cacheField name="embark_town" numFmtId="0">
      <sharedItems containsBlank="1"/>
    </cacheField>
    <cacheField name="alive" numFmtId="0">
      <sharedItems/>
    </cacheField>
    <cacheField name="alone" numFmtId="0">
      <sharedItems/>
    </cacheField>
    <cacheField name="HasBlank" numFmtId="0">
      <sharedItems containsSemiMixedTypes="0" containsString="0" containsNumber="1" containsInteger="1" minValue="0" maxValue="1"/>
    </cacheField>
    <cacheField name="Record Hash" numFmtId="0">
      <sharedItems containsSemiMixedTypes="0" containsString="0" containsNumber="1" containsInteger="1" minValue="5627957791219390" maxValue="1.8390722376537899E+1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1">
  <r>
    <b v="0"/>
    <x v="0"/>
    <x v="0"/>
    <x v="0"/>
    <x v="0"/>
    <x v="0"/>
    <x v="0"/>
    <x v="0"/>
    <x v="0"/>
    <x v="0"/>
    <x v="0"/>
    <b v="1"/>
    <m/>
    <s v="Southampton"/>
    <s v="no"/>
    <b v="0"/>
    <n v="1"/>
    <n v="1.6731212870194901E+19"/>
  </r>
  <r>
    <b v="0"/>
    <x v="1"/>
    <x v="1"/>
    <x v="1"/>
    <x v="1"/>
    <x v="0"/>
    <x v="0"/>
    <x v="1"/>
    <x v="1"/>
    <x v="1"/>
    <x v="1"/>
    <b v="0"/>
    <s v="C"/>
    <s v="Cherbourg"/>
    <s v="yes"/>
    <b v="0"/>
    <n v="0"/>
    <n v="1.6194018436381301E+19"/>
  </r>
  <r>
    <b v="0"/>
    <x v="1"/>
    <x v="0"/>
    <x v="1"/>
    <x v="2"/>
    <x v="1"/>
    <x v="0"/>
    <x v="2"/>
    <x v="0"/>
    <x v="0"/>
    <x v="1"/>
    <b v="0"/>
    <m/>
    <s v="Southampton"/>
    <s v="yes"/>
    <b v="1"/>
    <n v="1"/>
    <n v="2.5030909217704801E+18"/>
  </r>
  <r>
    <b v="0"/>
    <x v="1"/>
    <x v="1"/>
    <x v="1"/>
    <x v="3"/>
    <x v="0"/>
    <x v="0"/>
    <x v="3"/>
    <x v="0"/>
    <x v="1"/>
    <x v="1"/>
    <b v="0"/>
    <s v="C"/>
    <s v="Southampton"/>
    <s v="yes"/>
    <b v="0"/>
    <n v="0"/>
    <n v="1.24015557615855E+19"/>
  </r>
  <r>
    <b v="0"/>
    <x v="0"/>
    <x v="0"/>
    <x v="0"/>
    <x v="3"/>
    <x v="1"/>
    <x v="0"/>
    <x v="4"/>
    <x v="0"/>
    <x v="0"/>
    <x v="0"/>
    <b v="1"/>
    <m/>
    <s v="Southampton"/>
    <s v="no"/>
    <b v="1"/>
    <n v="1"/>
    <n v="1.0296334085113301E+19"/>
  </r>
  <r>
    <b v="0"/>
    <x v="0"/>
    <x v="0"/>
    <x v="0"/>
    <x v="4"/>
    <x v="1"/>
    <x v="0"/>
    <x v="5"/>
    <x v="2"/>
    <x v="0"/>
    <x v="0"/>
    <b v="1"/>
    <m/>
    <s v="Queenstown"/>
    <s v="no"/>
    <b v="1"/>
    <n v="1"/>
    <n v="1.6636564730484699E+19"/>
  </r>
  <r>
    <b v="0"/>
    <x v="0"/>
    <x v="1"/>
    <x v="0"/>
    <x v="5"/>
    <x v="1"/>
    <x v="0"/>
    <x v="6"/>
    <x v="0"/>
    <x v="1"/>
    <x v="0"/>
    <b v="1"/>
    <s v="E"/>
    <s v="Southampton"/>
    <s v="no"/>
    <b v="1"/>
    <n v="0"/>
    <n v="3.5355116403679099E+18"/>
  </r>
  <r>
    <b v="0"/>
    <x v="0"/>
    <x v="0"/>
    <x v="0"/>
    <x v="6"/>
    <x v="2"/>
    <x v="1"/>
    <x v="7"/>
    <x v="0"/>
    <x v="0"/>
    <x v="2"/>
    <b v="0"/>
    <m/>
    <s v="Southampton"/>
    <s v="no"/>
    <b v="0"/>
    <n v="1"/>
    <n v="2.1443421880823301E+18"/>
  </r>
  <r>
    <b v="0"/>
    <x v="1"/>
    <x v="0"/>
    <x v="1"/>
    <x v="7"/>
    <x v="1"/>
    <x v="2"/>
    <x v="8"/>
    <x v="0"/>
    <x v="0"/>
    <x v="1"/>
    <b v="0"/>
    <m/>
    <s v="Southampton"/>
    <s v="yes"/>
    <b v="0"/>
    <n v="1"/>
    <n v="9.9526475962190602E+18"/>
  </r>
  <r>
    <b v="0"/>
    <x v="1"/>
    <x v="2"/>
    <x v="1"/>
    <x v="8"/>
    <x v="0"/>
    <x v="0"/>
    <x v="9"/>
    <x v="1"/>
    <x v="2"/>
    <x v="2"/>
    <b v="0"/>
    <m/>
    <s v="Cherbourg"/>
    <s v="yes"/>
    <b v="0"/>
    <n v="1"/>
    <n v="1.70432459114619E+19"/>
  </r>
  <r>
    <b v="0"/>
    <x v="1"/>
    <x v="0"/>
    <x v="1"/>
    <x v="9"/>
    <x v="0"/>
    <x v="1"/>
    <x v="10"/>
    <x v="0"/>
    <x v="0"/>
    <x v="2"/>
    <b v="0"/>
    <s v="G"/>
    <s v="Southampton"/>
    <s v="yes"/>
    <b v="0"/>
    <n v="0"/>
    <n v="1.36800137334435E+19"/>
  </r>
  <r>
    <b v="0"/>
    <x v="1"/>
    <x v="1"/>
    <x v="1"/>
    <x v="10"/>
    <x v="1"/>
    <x v="0"/>
    <x v="11"/>
    <x v="0"/>
    <x v="1"/>
    <x v="1"/>
    <b v="0"/>
    <s v="C"/>
    <s v="Southampton"/>
    <s v="yes"/>
    <b v="1"/>
    <n v="0"/>
    <n v="1.54677416713599E+18"/>
  </r>
  <r>
    <b v="0"/>
    <x v="0"/>
    <x v="0"/>
    <x v="0"/>
    <x v="11"/>
    <x v="1"/>
    <x v="0"/>
    <x v="4"/>
    <x v="0"/>
    <x v="0"/>
    <x v="0"/>
    <b v="1"/>
    <m/>
    <s v="Southampton"/>
    <s v="no"/>
    <b v="1"/>
    <n v="1"/>
    <n v="5.7021853875788401E+18"/>
  </r>
  <r>
    <b v="0"/>
    <x v="0"/>
    <x v="0"/>
    <x v="0"/>
    <x v="12"/>
    <x v="0"/>
    <x v="3"/>
    <x v="12"/>
    <x v="0"/>
    <x v="0"/>
    <x v="0"/>
    <b v="1"/>
    <m/>
    <s v="Southampton"/>
    <s v="no"/>
    <b v="0"/>
    <n v="1"/>
    <n v="7.6455744092062403E+18"/>
  </r>
  <r>
    <b v="0"/>
    <x v="0"/>
    <x v="0"/>
    <x v="1"/>
    <x v="8"/>
    <x v="1"/>
    <x v="0"/>
    <x v="13"/>
    <x v="0"/>
    <x v="0"/>
    <x v="2"/>
    <b v="0"/>
    <m/>
    <s v="Southampton"/>
    <s v="no"/>
    <b v="1"/>
    <n v="1"/>
    <n v="9.0876812241702697E+18"/>
  </r>
  <r>
    <b v="0"/>
    <x v="1"/>
    <x v="2"/>
    <x v="1"/>
    <x v="13"/>
    <x v="1"/>
    <x v="0"/>
    <x v="14"/>
    <x v="0"/>
    <x v="2"/>
    <x v="1"/>
    <b v="0"/>
    <m/>
    <s v="Southampton"/>
    <s v="yes"/>
    <b v="1"/>
    <n v="1"/>
    <n v="1.32919702809803E+19"/>
  </r>
  <r>
    <b v="0"/>
    <x v="0"/>
    <x v="0"/>
    <x v="0"/>
    <x v="6"/>
    <x v="3"/>
    <x v="1"/>
    <x v="15"/>
    <x v="2"/>
    <x v="0"/>
    <x v="2"/>
    <b v="0"/>
    <m/>
    <s v="Queenstown"/>
    <s v="no"/>
    <b v="0"/>
    <n v="1"/>
    <n v="5.9497572672343101E+18"/>
  </r>
  <r>
    <b v="0"/>
    <x v="1"/>
    <x v="2"/>
    <x v="0"/>
    <x v="4"/>
    <x v="1"/>
    <x v="0"/>
    <x v="16"/>
    <x v="0"/>
    <x v="2"/>
    <x v="0"/>
    <b v="1"/>
    <m/>
    <s v="Southampton"/>
    <s v="yes"/>
    <b v="1"/>
    <n v="1"/>
    <n v="2.8984420269896998E+17"/>
  </r>
  <r>
    <b v="0"/>
    <x v="0"/>
    <x v="0"/>
    <x v="1"/>
    <x v="14"/>
    <x v="0"/>
    <x v="0"/>
    <x v="17"/>
    <x v="0"/>
    <x v="0"/>
    <x v="1"/>
    <b v="0"/>
    <m/>
    <s v="Southampton"/>
    <s v="no"/>
    <b v="0"/>
    <n v="1"/>
    <n v="7.2595479954009702E+18"/>
  </r>
  <r>
    <b v="0"/>
    <x v="1"/>
    <x v="0"/>
    <x v="1"/>
    <x v="4"/>
    <x v="1"/>
    <x v="0"/>
    <x v="18"/>
    <x v="1"/>
    <x v="0"/>
    <x v="1"/>
    <b v="0"/>
    <m/>
    <s v="Cherbourg"/>
    <s v="yes"/>
    <b v="1"/>
    <n v="1"/>
    <n v="1.77493326980906E+19"/>
  </r>
  <r>
    <b v="0"/>
    <x v="0"/>
    <x v="2"/>
    <x v="0"/>
    <x v="3"/>
    <x v="1"/>
    <x v="0"/>
    <x v="19"/>
    <x v="0"/>
    <x v="2"/>
    <x v="0"/>
    <b v="1"/>
    <m/>
    <s v="Southampton"/>
    <s v="no"/>
    <b v="1"/>
    <n v="1"/>
    <n v="1.7189590779444001E+19"/>
  </r>
  <r>
    <b v="0"/>
    <x v="1"/>
    <x v="2"/>
    <x v="0"/>
    <x v="15"/>
    <x v="1"/>
    <x v="0"/>
    <x v="16"/>
    <x v="0"/>
    <x v="2"/>
    <x v="0"/>
    <b v="1"/>
    <s v="D"/>
    <s v="Southampton"/>
    <s v="yes"/>
    <b v="1"/>
    <n v="0"/>
    <n v="6.3793867544974797E+18"/>
  </r>
  <r>
    <b v="0"/>
    <x v="1"/>
    <x v="0"/>
    <x v="1"/>
    <x v="16"/>
    <x v="1"/>
    <x v="0"/>
    <x v="20"/>
    <x v="2"/>
    <x v="0"/>
    <x v="2"/>
    <b v="0"/>
    <m/>
    <s v="Queenstown"/>
    <s v="yes"/>
    <b v="1"/>
    <n v="1"/>
    <n v="7.6906672931471995E+18"/>
  </r>
  <r>
    <b v="0"/>
    <x v="1"/>
    <x v="1"/>
    <x v="0"/>
    <x v="17"/>
    <x v="1"/>
    <x v="0"/>
    <x v="21"/>
    <x v="0"/>
    <x v="1"/>
    <x v="0"/>
    <b v="1"/>
    <s v="A"/>
    <s v="Southampton"/>
    <s v="yes"/>
    <b v="1"/>
    <n v="0"/>
    <n v="1.5530559191689001E+19"/>
  </r>
  <r>
    <b v="0"/>
    <x v="0"/>
    <x v="0"/>
    <x v="1"/>
    <x v="18"/>
    <x v="2"/>
    <x v="1"/>
    <x v="7"/>
    <x v="0"/>
    <x v="0"/>
    <x v="2"/>
    <b v="0"/>
    <m/>
    <s v="Southampton"/>
    <s v="no"/>
    <b v="0"/>
    <n v="1"/>
    <n v="1.73705684396093E+18"/>
  </r>
  <r>
    <b v="0"/>
    <x v="1"/>
    <x v="0"/>
    <x v="1"/>
    <x v="1"/>
    <x v="0"/>
    <x v="3"/>
    <x v="22"/>
    <x v="0"/>
    <x v="0"/>
    <x v="1"/>
    <b v="0"/>
    <m/>
    <s v="Southampton"/>
    <s v="yes"/>
    <b v="0"/>
    <n v="1"/>
    <n v="8.0811351555749304E+18"/>
  </r>
  <r>
    <b v="0"/>
    <x v="0"/>
    <x v="0"/>
    <x v="0"/>
    <x v="4"/>
    <x v="1"/>
    <x v="0"/>
    <x v="18"/>
    <x v="1"/>
    <x v="0"/>
    <x v="0"/>
    <b v="1"/>
    <m/>
    <s v="Cherbourg"/>
    <s v="no"/>
    <b v="1"/>
    <n v="1"/>
    <n v="5.4729232098319995E+18"/>
  </r>
  <r>
    <b v="0"/>
    <x v="0"/>
    <x v="1"/>
    <x v="0"/>
    <x v="19"/>
    <x v="2"/>
    <x v="2"/>
    <x v="23"/>
    <x v="0"/>
    <x v="1"/>
    <x v="0"/>
    <b v="1"/>
    <s v="C"/>
    <s v="Southampton"/>
    <s v="no"/>
    <b v="0"/>
    <n v="0"/>
    <n v="4.7166122099191603E+18"/>
  </r>
  <r>
    <b v="0"/>
    <x v="1"/>
    <x v="0"/>
    <x v="1"/>
    <x v="4"/>
    <x v="1"/>
    <x v="0"/>
    <x v="24"/>
    <x v="2"/>
    <x v="0"/>
    <x v="1"/>
    <b v="0"/>
    <m/>
    <s v="Queenstown"/>
    <s v="yes"/>
    <b v="1"/>
    <n v="1"/>
    <n v="1.1837803142979899E+19"/>
  </r>
  <r>
    <b v="0"/>
    <x v="0"/>
    <x v="0"/>
    <x v="0"/>
    <x v="4"/>
    <x v="1"/>
    <x v="0"/>
    <x v="25"/>
    <x v="0"/>
    <x v="0"/>
    <x v="0"/>
    <b v="1"/>
    <m/>
    <s v="Southampton"/>
    <s v="no"/>
    <b v="1"/>
    <n v="1"/>
    <n v="1.7970467560381901E+19"/>
  </r>
  <r>
    <b v="0"/>
    <x v="0"/>
    <x v="1"/>
    <x v="0"/>
    <x v="20"/>
    <x v="1"/>
    <x v="0"/>
    <x v="26"/>
    <x v="1"/>
    <x v="1"/>
    <x v="0"/>
    <b v="1"/>
    <m/>
    <s v="Cherbourg"/>
    <s v="no"/>
    <b v="1"/>
    <n v="1"/>
    <n v="1.5227074200428599E+19"/>
  </r>
  <r>
    <b v="0"/>
    <x v="1"/>
    <x v="1"/>
    <x v="1"/>
    <x v="4"/>
    <x v="0"/>
    <x v="0"/>
    <x v="27"/>
    <x v="1"/>
    <x v="1"/>
    <x v="1"/>
    <b v="0"/>
    <s v="B"/>
    <s v="Cherbourg"/>
    <s v="yes"/>
    <b v="0"/>
    <n v="1"/>
    <n v="3.37689819767117E+18"/>
  </r>
  <r>
    <b v="0"/>
    <x v="1"/>
    <x v="0"/>
    <x v="1"/>
    <x v="4"/>
    <x v="1"/>
    <x v="0"/>
    <x v="28"/>
    <x v="2"/>
    <x v="0"/>
    <x v="1"/>
    <b v="0"/>
    <m/>
    <s v="Queenstown"/>
    <s v="yes"/>
    <b v="1"/>
    <n v="1"/>
    <n v="9.6415297742023398E+17"/>
  </r>
  <r>
    <b v="0"/>
    <x v="0"/>
    <x v="2"/>
    <x v="0"/>
    <x v="21"/>
    <x v="1"/>
    <x v="0"/>
    <x v="29"/>
    <x v="0"/>
    <x v="2"/>
    <x v="0"/>
    <b v="1"/>
    <m/>
    <s v="Southampton"/>
    <s v="no"/>
    <b v="1"/>
    <n v="1"/>
    <n v="1.02229671267544E+19"/>
  </r>
  <r>
    <b v="0"/>
    <x v="0"/>
    <x v="1"/>
    <x v="0"/>
    <x v="17"/>
    <x v="0"/>
    <x v="0"/>
    <x v="30"/>
    <x v="1"/>
    <x v="1"/>
    <x v="0"/>
    <b v="1"/>
    <m/>
    <s v="Cherbourg"/>
    <s v="no"/>
    <b v="0"/>
    <n v="1"/>
    <n v="1.76588093814173E+19"/>
  </r>
  <r>
    <b v="0"/>
    <x v="0"/>
    <x v="1"/>
    <x v="0"/>
    <x v="22"/>
    <x v="0"/>
    <x v="0"/>
    <x v="31"/>
    <x v="0"/>
    <x v="1"/>
    <x v="0"/>
    <b v="1"/>
    <m/>
    <s v="Southampton"/>
    <s v="no"/>
    <b v="0"/>
    <n v="1"/>
    <n v="1.02601264663273E+19"/>
  </r>
  <r>
    <b v="0"/>
    <x v="1"/>
    <x v="0"/>
    <x v="0"/>
    <x v="4"/>
    <x v="1"/>
    <x v="0"/>
    <x v="32"/>
    <x v="1"/>
    <x v="0"/>
    <x v="0"/>
    <b v="1"/>
    <m/>
    <s v="Cherbourg"/>
    <s v="yes"/>
    <b v="1"/>
    <n v="1"/>
    <n v="1.38830410003666E+19"/>
  </r>
  <r>
    <b v="0"/>
    <x v="0"/>
    <x v="0"/>
    <x v="0"/>
    <x v="23"/>
    <x v="1"/>
    <x v="0"/>
    <x v="4"/>
    <x v="0"/>
    <x v="0"/>
    <x v="0"/>
    <b v="1"/>
    <m/>
    <s v="Southampton"/>
    <s v="no"/>
    <b v="1"/>
    <n v="1"/>
    <n v="2.22990516956077E+18"/>
  </r>
  <r>
    <b v="0"/>
    <x v="0"/>
    <x v="0"/>
    <x v="1"/>
    <x v="24"/>
    <x v="4"/>
    <x v="0"/>
    <x v="17"/>
    <x v="0"/>
    <x v="0"/>
    <x v="1"/>
    <b v="0"/>
    <m/>
    <s v="Southampton"/>
    <s v="no"/>
    <b v="0"/>
    <n v="1"/>
    <n v="1.51399405976291E+19"/>
  </r>
  <r>
    <b v="0"/>
    <x v="1"/>
    <x v="0"/>
    <x v="1"/>
    <x v="8"/>
    <x v="0"/>
    <x v="0"/>
    <x v="33"/>
    <x v="1"/>
    <x v="0"/>
    <x v="2"/>
    <b v="0"/>
    <m/>
    <s v="Cherbourg"/>
    <s v="yes"/>
    <b v="0"/>
    <n v="1"/>
    <n v="1.67656958924225E+19"/>
  </r>
  <r>
    <b v="0"/>
    <x v="0"/>
    <x v="0"/>
    <x v="1"/>
    <x v="20"/>
    <x v="0"/>
    <x v="0"/>
    <x v="34"/>
    <x v="0"/>
    <x v="0"/>
    <x v="1"/>
    <b v="0"/>
    <m/>
    <s v="Southampton"/>
    <s v="no"/>
    <b v="0"/>
    <n v="1"/>
    <n v="4.2192869641641902E+18"/>
  </r>
  <r>
    <b v="0"/>
    <x v="0"/>
    <x v="2"/>
    <x v="1"/>
    <x v="7"/>
    <x v="0"/>
    <x v="0"/>
    <x v="35"/>
    <x v="0"/>
    <x v="2"/>
    <x v="1"/>
    <b v="0"/>
    <m/>
    <s v="Southampton"/>
    <s v="no"/>
    <b v="0"/>
    <n v="1"/>
    <n v="7.7223194436756698E+17"/>
  </r>
  <r>
    <b v="0"/>
    <x v="0"/>
    <x v="0"/>
    <x v="0"/>
    <x v="4"/>
    <x v="1"/>
    <x v="0"/>
    <x v="25"/>
    <x v="1"/>
    <x v="0"/>
    <x v="0"/>
    <b v="1"/>
    <m/>
    <s v="Cherbourg"/>
    <s v="no"/>
    <b v="1"/>
    <n v="1"/>
    <n v="2.95438231408177E+18"/>
  </r>
  <r>
    <b v="0"/>
    <x v="1"/>
    <x v="2"/>
    <x v="1"/>
    <x v="25"/>
    <x v="0"/>
    <x v="2"/>
    <x v="36"/>
    <x v="1"/>
    <x v="2"/>
    <x v="2"/>
    <b v="0"/>
    <m/>
    <s v="Cherbourg"/>
    <s v="yes"/>
    <b v="0"/>
    <n v="1"/>
    <n v="9.2099802883863101E+18"/>
  </r>
  <r>
    <b v="0"/>
    <x v="1"/>
    <x v="0"/>
    <x v="1"/>
    <x v="19"/>
    <x v="1"/>
    <x v="0"/>
    <x v="24"/>
    <x v="2"/>
    <x v="0"/>
    <x v="1"/>
    <b v="0"/>
    <m/>
    <s v="Queenstown"/>
    <s v="yes"/>
    <b v="1"/>
    <n v="1"/>
    <n v="1.4168791894713201E+19"/>
  </r>
  <r>
    <b v="0"/>
    <x v="0"/>
    <x v="0"/>
    <x v="0"/>
    <x v="4"/>
    <x v="1"/>
    <x v="0"/>
    <x v="4"/>
    <x v="0"/>
    <x v="0"/>
    <x v="0"/>
    <b v="1"/>
    <m/>
    <s v="Southampton"/>
    <s v="no"/>
    <b v="1"/>
    <n v="1"/>
    <n v="1.0519935439659201E+19"/>
  </r>
  <r>
    <b v="0"/>
    <x v="0"/>
    <x v="0"/>
    <x v="0"/>
    <x v="4"/>
    <x v="0"/>
    <x v="0"/>
    <x v="37"/>
    <x v="2"/>
    <x v="0"/>
    <x v="0"/>
    <b v="1"/>
    <m/>
    <s v="Queenstown"/>
    <s v="no"/>
    <b v="0"/>
    <n v="1"/>
    <n v="6.6137722916600801E+18"/>
  </r>
  <r>
    <b v="0"/>
    <x v="1"/>
    <x v="0"/>
    <x v="1"/>
    <x v="4"/>
    <x v="1"/>
    <x v="0"/>
    <x v="28"/>
    <x v="2"/>
    <x v="0"/>
    <x v="1"/>
    <b v="0"/>
    <m/>
    <s v="Queenstown"/>
    <s v="yes"/>
    <b v="1"/>
    <n v="1"/>
    <n v="9.6415297742023398E+17"/>
  </r>
  <r>
    <b v="0"/>
    <x v="0"/>
    <x v="0"/>
    <x v="0"/>
    <x v="4"/>
    <x v="4"/>
    <x v="0"/>
    <x v="38"/>
    <x v="1"/>
    <x v="0"/>
    <x v="0"/>
    <b v="1"/>
    <m/>
    <s v="Cherbourg"/>
    <s v="no"/>
    <b v="0"/>
    <n v="1"/>
    <n v="1.6692826398251901E+19"/>
  </r>
  <r>
    <b v="0"/>
    <x v="0"/>
    <x v="0"/>
    <x v="1"/>
    <x v="24"/>
    <x v="0"/>
    <x v="0"/>
    <x v="39"/>
    <x v="0"/>
    <x v="0"/>
    <x v="1"/>
    <b v="0"/>
    <m/>
    <s v="Southampton"/>
    <s v="no"/>
    <b v="0"/>
    <n v="1"/>
    <n v="1.1655308711644101E+19"/>
  </r>
  <r>
    <b v="0"/>
    <x v="0"/>
    <x v="0"/>
    <x v="0"/>
    <x v="26"/>
    <x v="3"/>
    <x v="1"/>
    <x v="40"/>
    <x v="0"/>
    <x v="0"/>
    <x v="2"/>
    <b v="0"/>
    <m/>
    <s v="Southampton"/>
    <s v="no"/>
    <b v="0"/>
    <n v="1"/>
    <n v="6.5890087548200202E+18"/>
  </r>
  <r>
    <b v="0"/>
    <x v="0"/>
    <x v="0"/>
    <x v="0"/>
    <x v="23"/>
    <x v="1"/>
    <x v="0"/>
    <x v="41"/>
    <x v="0"/>
    <x v="0"/>
    <x v="0"/>
    <b v="1"/>
    <m/>
    <s v="Southampton"/>
    <s v="no"/>
    <b v="1"/>
    <n v="1"/>
    <n v="1.78904016584488E+19"/>
  </r>
  <r>
    <b v="0"/>
    <x v="1"/>
    <x v="1"/>
    <x v="1"/>
    <x v="27"/>
    <x v="0"/>
    <x v="0"/>
    <x v="42"/>
    <x v="1"/>
    <x v="1"/>
    <x v="1"/>
    <b v="0"/>
    <s v="D"/>
    <s v="Cherbourg"/>
    <s v="yes"/>
    <b v="0"/>
    <n v="0"/>
    <n v="7.5640156099836897E+18"/>
  </r>
  <r>
    <b v="0"/>
    <x v="1"/>
    <x v="2"/>
    <x v="1"/>
    <x v="28"/>
    <x v="0"/>
    <x v="0"/>
    <x v="19"/>
    <x v="0"/>
    <x v="2"/>
    <x v="1"/>
    <b v="0"/>
    <m/>
    <s v="Southampton"/>
    <s v="yes"/>
    <b v="0"/>
    <n v="1"/>
    <n v="1.2771388903925201E+19"/>
  </r>
  <r>
    <b v="0"/>
    <x v="0"/>
    <x v="1"/>
    <x v="0"/>
    <x v="29"/>
    <x v="1"/>
    <x v="1"/>
    <x v="43"/>
    <x v="1"/>
    <x v="1"/>
    <x v="0"/>
    <b v="1"/>
    <s v="B"/>
    <s v="Cherbourg"/>
    <s v="no"/>
    <b v="0"/>
    <n v="0"/>
    <n v="8.4468636431757896E+18"/>
  </r>
  <r>
    <b v="0"/>
    <x v="1"/>
    <x v="1"/>
    <x v="0"/>
    <x v="4"/>
    <x v="1"/>
    <x v="0"/>
    <x v="21"/>
    <x v="0"/>
    <x v="1"/>
    <x v="0"/>
    <b v="1"/>
    <s v="C"/>
    <s v="Southampton"/>
    <s v="yes"/>
    <b v="1"/>
    <n v="1"/>
    <n v="1.1779669370958801E+19"/>
  </r>
  <r>
    <b v="0"/>
    <x v="1"/>
    <x v="2"/>
    <x v="1"/>
    <x v="23"/>
    <x v="1"/>
    <x v="0"/>
    <x v="29"/>
    <x v="0"/>
    <x v="2"/>
    <x v="1"/>
    <b v="0"/>
    <m/>
    <s v="Southampton"/>
    <s v="yes"/>
    <b v="1"/>
    <n v="1"/>
    <n v="3.5925382684544799E+18"/>
  </r>
  <r>
    <b v="0"/>
    <x v="0"/>
    <x v="0"/>
    <x v="0"/>
    <x v="30"/>
    <x v="1"/>
    <x v="0"/>
    <x v="32"/>
    <x v="1"/>
    <x v="0"/>
    <x v="0"/>
    <b v="1"/>
    <m/>
    <s v="Cherbourg"/>
    <s v="no"/>
    <b v="1"/>
    <n v="1"/>
    <n v="6.5348552615593595E+18"/>
  </r>
  <r>
    <b v="0"/>
    <x v="1"/>
    <x v="2"/>
    <x v="1"/>
    <x v="31"/>
    <x v="0"/>
    <x v="2"/>
    <x v="44"/>
    <x v="0"/>
    <x v="2"/>
    <x v="2"/>
    <b v="0"/>
    <m/>
    <s v="Southampton"/>
    <s v="yes"/>
    <b v="0"/>
    <n v="1"/>
    <n v="4.7331437463489004E+18"/>
  </r>
  <r>
    <b v="0"/>
    <x v="0"/>
    <x v="0"/>
    <x v="0"/>
    <x v="32"/>
    <x v="5"/>
    <x v="2"/>
    <x v="45"/>
    <x v="0"/>
    <x v="0"/>
    <x v="2"/>
    <b v="0"/>
    <m/>
    <s v="Southampton"/>
    <s v="no"/>
    <b v="0"/>
    <n v="1"/>
    <n v="1.6724544763988699E+19"/>
  </r>
  <r>
    <b v="0"/>
    <x v="0"/>
    <x v="0"/>
    <x v="0"/>
    <x v="0"/>
    <x v="1"/>
    <x v="0"/>
    <x v="32"/>
    <x v="1"/>
    <x v="0"/>
    <x v="0"/>
    <b v="1"/>
    <m/>
    <s v="Cherbourg"/>
    <s v="no"/>
    <b v="1"/>
    <n v="1"/>
    <n v="7.8412906154768302E+18"/>
  </r>
  <r>
    <b v="0"/>
    <x v="1"/>
    <x v="1"/>
    <x v="1"/>
    <x v="1"/>
    <x v="1"/>
    <x v="0"/>
    <x v="46"/>
    <x v="3"/>
    <x v="1"/>
    <x v="1"/>
    <b v="0"/>
    <s v="B"/>
    <m/>
    <s v="yes"/>
    <b v="1"/>
    <n v="1"/>
    <n v="3.5600473759129001E+18"/>
  </r>
  <r>
    <b v="0"/>
    <x v="0"/>
    <x v="1"/>
    <x v="0"/>
    <x v="33"/>
    <x v="0"/>
    <x v="0"/>
    <x v="47"/>
    <x v="0"/>
    <x v="1"/>
    <x v="0"/>
    <b v="1"/>
    <s v="C"/>
    <s v="Southampton"/>
    <s v="no"/>
    <b v="0"/>
    <n v="0"/>
    <n v="3.6654260996786499E+18"/>
  </r>
  <r>
    <b v="0"/>
    <x v="0"/>
    <x v="0"/>
    <x v="0"/>
    <x v="9"/>
    <x v="2"/>
    <x v="2"/>
    <x v="48"/>
    <x v="0"/>
    <x v="0"/>
    <x v="2"/>
    <b v="0"/>
    <m/>
    <s v="Southampton"/>
    <s v="no"/>
    <b v="0"/>
    <n v="1"/>
    <n v="9.9728187374566502E+18"/>
  </r>
  <r>
    <b v="0"/>
    <x v="0"/>
    <x v="1"/>
    <x v="0"/>
    <x v="4"/>
    <x v="1"/>
    <x v="0"/>
    <x v="26"/>
    <x v="1"/>
    <x v="1"/>
    <x v="0"/>
    <b v="1"/>
    <m/>
    <s v="Cherbourg"/>
    <s v="no"/>
    <b v="1"/>
    <n v="1"/>
    <n v="1.67028729440001E+19"/>
  </r>
  <r>
    <b v="0"/>
    <x v="1"/>
    <x v="0"/>
    <x v="0"/>
    <x v="4"/>
    <x v="0"/>
    <x v="1"/>
    <x v="49"/>
    <x v="1"/>
    <x v="0"/>
    <x v="0"/>
    <b v="1"/>
    <m/>
    <s v="Cherbourg"/>
    <s v="yes"/>
    <b v="0"/>
    <n v="1"/>
    <n v="1.6080472643208901E+19"/>
  </r>
  <r>
    <b v="0"/>
    <x v="1"/>
    <x v="2"/>
    <x v="1"/>
    <x v="28"/>
    <x v="1"/>
    <x v="0"/>
    <x v="29"/>
    <x v="0"/>
    <x v="2"/>
    <x v="1"/>
    <b v="0"/>
    <s v="F"/>
    <s v="Southampton"/>
    <s v="yes"/>
    <b v="1"/>
    <n v="0"/>
    <n v="6.2156306390571305E+18"/>
  </r>
  <r>
    <b v="0"/>
    <x v="0"/>
    <x v="0"/>
    <x v="0"/>
    <x v="19"/>
    <x v="1"/>
    <x v="0"/>
    <x v="50"/>
    <x v="0"/>
    <x v="0"/>
    <x v="0"/>
    <b v="1"/>
    <m/>
    <s v="Southampton"/>
    <s v="no"/>
    <b v="1"/>
    <n v="1"/>
    <n v="1.55719501447239E+19"/>
  </r>
  <r>
    <b v="0"/>
    <x v="1"/>
    <x v="0"/>
    <x v="1"/>
    <x v="34"/>
    <x v="3"/>
    <x v="2"/>
    <x v="2"/>
    <x v="0"/>
    <x v="0"/>
    <x v="1"/>
    <b v="0"/>
    <m/>
    <s v="Southampton"/>
    <s v="yes"/>
    <b v="0"/>
    <n v="1"/>
    <n v="6.9545526158320804E+18"/>
  </r>
  <r>
    <b v="0"/>
    <x v="0"/>
    <x v="0"/>
    <x v="0"/>
    <x v="2"/>
    <x v="4"/>
    <x v="0"/>
    <x v="51"/>
    <x v="0"/>
    <x v="0"/>
    <x v="0"/>
    <b v="1"/>
    <m/>
    <s v="Southampton"/>
    <s v="no"/>
    <b v="0"/>
    <n v="1"/>
    <n v="1.15859429090966E+19"/>
  </r>
  <r>
    <b v="0"/>
    <x v="0"/>
    <x v="2"/>
    <x v="0"/>
    <x v="35"/>
    <x v="1"/>
    <x v="0"/>
    <x v="29"/>
    <x v="0"/>
    <x v="2"/>
    <x v="0"/>
    <b v="1"/>
    <m/>
    <s v="Southampton"/>
    <s v="no"/>
    <b v="1"/>
    <n v="1"/>
    <n v="8.8179415873420001E+18"/>
  </r>
  <r>
    <b v="0"/>
    <x v="0"/>
    <x v="0"/>
    <x v="1"/>
    <x v="36"/>
    <x v="5"/>
    <x v="2"/>
    <x v="45"/>
    <x v="0"/>
    <x v="0"/>
    <x v="1"/>
    <b v="0"/>
    <m/>
    <s v="Southampton"/>
    <s v="no"/>
    <b v="0"/>
    <n v="1"/>
    <n v="5.2469648558949601E+18"/>
  </r>
  <r>
    <b v="0"/>
    <x v="0"/>
    <x v="2"/>
    <x v="0"/>
    <x v="23"/>
    <x v="1"/>
    <x v="0"/>
    <x v="52"/>
    <x v="0"/>
    <x v="2"/>
    <x v="0"/>
    <b v="1"/>
    <m/>
    <s v="Southampton"/>
    <s v="no"/>
    <b v="1"/>
    <n v="1"/>
    <n v="1.6279752570821499E+18"/>
  </r>
  <r>
    <b v="0"/>
    <x v="0"/>
    <x v="0"/>
    <x v="0"/>
    <x v="2"/>
    <x v="0"/>
    <x v="0"/>
    <x v="53"/>
    <x v="1"/>
    <x v="0"/>
    <x v="0"/>
    <b v="1"/>
    <m/>
    <s v="Cherbourg"/>
    <s v="no"/>
    <b v="0"/>
    <n v="1"/>
    <n v="1.49974195257229E+19"/>
  </r>
  <r>
    <b v="0"/>
    <x v="1"/>
    <x v="0"/>
    <x v="0"/>
    <x v="35"/>
    <x v="1"/>
    <x v="0"/>
    <x v="54"/>
    <x v="0"/>
    <x v="0"/>
    <x v="0"/>
    <b v="1"/>
    <m/>
    <s v="Southampton"/>
    <s v="yes"/>
    <b v="1"/>
    <n v="1"/>
    <n v="1.19681300433309E+19"/>
  </r>
  <r>
    <b v="0"/>
    <x v="0"/>
    <x v="0"/>
    <x v="0"/>
    <x v="37"/>
    <x v="1"/>
    <x v="0"/>
    <x v="55"/>
    <x v="0"/>
    <x v="0"/>
    <x v="0"/>
    <b v="1"/>
    <s v="F"/>
    <s v="Southampton"/>
    <s v="no"/>
    <b v="1"/>
    <n v="0"/>
    <n v="8.0915010365234104E+18"/>
  </r>
  <r>
    <b v="0"/>
    <x v="0"/>
    <x v="0"/>
    <x v="0"/>
    <x v="4"/>
    <x v="1"/>
    <x v="0"/>
    <x v="25"/>
    <x v="0"/>
    <x v="0"/>
    <x v="0"/>
    <b v="1"/>
    <m/>
    <s v="Southampton"/>
    <s v="no"/>
    <b v="1"/>
    <n v="1"/>
    <n v="1.7970467560381901E+19"/>
  </r>
  <r>
    <b v="0"/>
    <x v="0"/>
    <x v="0"/>
    <x v="0"/>
    <x v="4"/>
    <x v="1"/>
    <x v="0"/>
    <x v="4"/>
    <x v="0"/>
    <x v="0"/>
    <x v="0"/>
    <b v="1"/>
    <m/>
    <s v="Southampton"/>
    <s v="no"/>
    <b v="1"/>
    <n v="1"/>
    <n v="1.0519935439659201E+19"/>
  </r>
  <r>
    <b v="0"/>
    <x v="1"/>
    <x v="2"/>
    <x v="0"/>
    <x v="38"/>
    <x v="1"/>
    <x v="2"/>
    <x v="56"/>
    <x v="0"/>
    <x v="2"/>
    <x v="2"/>
    <b v="0"/>
    <m/>
    <s v="Southampton"/>
    <s v="yes"/>
    <b v="0"/>
    <n v="1"/>
    <n v="9.8730525879237591E+18"/>
  </r>
  <r>
    <b v="0"/>
    <x v="1"/>
    <x v="0"/>
    <x v="1"/>
    <x v="39"/>
    <x v="1"/>
    <x v="0"/>
    <x v="57"/>
    <x v="0"/>
    <x v="0"/>
    <x v="1"/>
    <b v="0"/>
    <m/>
    <s v="Southampton"/>
    <s v="yes"/>
    <b v="1"/>
    <n v="1"/>
    <n v="1.72406716511925E+19"/>
  </r>
  <r>
    <b v="0"/>
    <x v="0"/>
    <x v="0"/>
    <x v="0"/>
    <x v="0"/>
    <x v="1"/>
    <x v="0"/>
    <x v="58"/>
    <x v="0"/>
    <x v="0"/>
    <x v="0"/>
    <b v="1"/>
    <m/>
    <s v="Southampton"/>
    <s v="no"/>
    <b v="1"/>
    <n v="1"/>
    <n v="1.6525846516972599E+19"/>
  </r>
  <r>
    <b v="0"/>
    <x v="1"/>
    <x v="0"/>
    <x v="0"/>
    <x v="28"/>
    <x v="1"/>
    <x v="0"/>
    <x v="59"/>
    <x v="0"/>
    <x v="0"/>
    <x v="0"/>
    <b v="1"/>
    <m/>
    <s v="Southampton"/>
    <s v="yes"/>
    <b v="1"/>
    <n v="1"/>
    <n v="1.1157973348400699E+19"/>
  </r>
  <r>
    <b v="0"/>
    <x v="1"/>
    <x v="0"/>
    <x v="1"/>
    <x v="4"/>
    <x v="1"/>
    <x v="0"/>
    <x v="60"/>
    <x v="2"/>
    <x v="0"/>
    <x v="1"/>
    <b v="0"/>
    <m/>
    <s v="Queenstown"/>
    <s v="yes"/>
    <b v="1"/>
    <n v="1"/>
    <n v="8.8055431055972096E+18"/>
  </r>
  <r>
    <b v="0"/>
    <x v="0"/>
    <x v="1"/>
    <x v="0"/>
    <x v="17"/>
    <x v="1"/>
    <x v="0"/>
    <x v="61"/>
    <x v="0"/>
    <x v="1"/>
    <x v="0"/>
    <b v="1"/>
    <m/>
    <s v="Southampton"/>
    <s v="no"/>
    <b v="1"/>
    <n v="1"/>
    <n v="3.4254636297786102E+18"/>
  </r>
  <r>
    <b v="0"/>
    <x v="1"/>
    <x v="2"/>
    <x v="1"/>
    <x v="34"/>
    <x v="1"/>
    <x v="0"/>
    <x v="29"/>
    <x v="0"/>
    <x v="2"/>
    <x v="1"/>
    <b v="0"/>
    <m/>
    <s v="Southampton"/>
    <s v="yes"/>
    <b v="1"/>
    <n v="1"/>
    <n v="4.21604158669455E+18"/>
  </r>
  <r>
    <b v="0"/>
    <x v="1"/>
    <x v="0"/>
    <x v="1"/>
    <x v="40"/>
    <x v="2"/>
    <x v="0"/>
    <x v="62"/>
    <x v="0"/>
    <x v="0"/>
    <x v="1"/>
    <b v="0"/>
    <m/>
    <s v="Southampton"/>
    <s v="yes"/>
    <b v="0"/>
    <n v="1"/>
    <n v="1.6107496775478301E+19"/>
  </r>
  <r>
    <b v="0"/>
    <x v="0"/>
    <x v="0"/>
    <x v="0"/>
    <x v="36"/>
    <x v="0"/>
    <x v="4"/>
    <x v="63"/>
    <x v="0"/>
    <x v="0"/>
    <x v="0"/>
    <b v="1"/>
    <m/>
    <s v="Southampton"/>
    <s v="no"/>
    <b v="0"/>
    <n v="1"/>
    <n v="3.0545982355756698E+18"/>
  </r>
  <r>
    <b v="0"/>
    <x v="0"/>
    <x v="0"/>
    <x v="0"/>
    <x v="4"/>
    <x v="1"/>
    <x v="0"/>
    <x v="4"/>
    <x v="0"/>
    <x v="0"/>
    <x v="0"/>
    <b v="1"/>
    <m/>
    <s v="Southampton"/>
    <s v="no"/>
    <b v="1"/>
    <n v="1"/>
    <n v="1.0519935439659201E+19"/>
  </r>
  <r>
    <b v="0"/>
    <x v="1"/>
    <x v="1"/>
    <x v="1"/>
    <x v="41"/>
    <x v="2"/>
    <x v="2"/>
    <x v="23"/>
    <x v="0"/>
    <x v="1"/>
    <x v="1"/>
    <b v="0"/>
    <s v="C"/>
    <s v="Southampton"/>
    <s v="yes"/>
    <b v="0"/>
    <n v="0"/>
    <n v="1.3862878833411101E+19"/>
  </r>
  <r>
    <b v="0"/>
    <x v="0"/>
    <x v="0"/>
    <x v="0"/>
    <x v="42"/>
    <x v="1"/>
    <x v="0"/>
    <x v="4"/>
    <x v="0"/>
    <x v="0"/>
    <x v="0"/>
    <b v="1"/>
    <m/>
    <s v="Southampton"/>
    <s v="no"/>
    <b v="1"/>
    <n v="1"/>
    <n v="2.8689294322046198E+18"/>
  </r>
  <r>
    <b v="0"/>
    <x v="0"/>
    <x v="0"/>
    <x v="0"/>
    <x v="28"/>
    <x v="1"/>
    <x v="0"/>
    <x v="4"/>
    <x v="0"/>
    <x v="0"/>
    <x v="0"/>
    <b v="1"/>
    <m/>
    <s v="Southampton"/>
    <s v="no"/>
    <b v="1"/>
    <n v="1"/>
    <n v="9.5773127892868506E+18"/>
  </r>
  <r>
    <b v="0"/>
    <x v="0"/>
    <x v="0"/>
    <x v="0"/>
    <x v="11"/>
    <x v="1"/>
    <x v="0"/>
    <x v="13"/>
    <x v="0"/>
    <x v="0"/>
    <x v="0"/>
    <b v="1"/>
    <m/>
    <s v="Southampton"/>
    <s v="no"/>
    <b v="1"/>
    <n v="1"/>
    <n v="3.2846468523254502E+18"/>
  </r>
  <r>
    <b v="0"/>
    <x v="0"/>
    <x v="1"/>
    <x v="0"/>
    <x v="43"/>
    <x v="0"/>
    <x v="0"/>
    <x v="64"/>
    <x v="0"/>
    <x v="1"/>
    <x v="0"/>
    <b v="1"/>
    <s v="E"/>
    <s v="Southampton"/>
    <s v="no"/>
    <b v="0"/>
    <n v="0"/>
    <n v="5.8667606258084803E+18"/>
  </r>
  <r>
    <b v="0"/>
    <x v="0"/>
    <x v="0"/>
    <x v="0"/>
    <x v="2"/>
    <x v="0"/>
    <x v="2"/>
    <x v="65"/>
    <x v="0"/>
    <x v="0"/>
    <x v="0"/>
    <b v="1"/>
    <m/>
    <s v="Southampton"/>
    <s v="no"/>
    <b v="0"/>
    <n v="1"/>
    <n v="1.79555136614271E+19"/>
  </r>
  <r>
    <b v="0"/>
    <x v="0"/>
    <x v="0"/>
    <x v="0"/>
    <x v="44"/>
    <x v="1"/>
    <x v="0"/>
    <x v="0"/>
    <x v="0"/>
    <x v="0"/>
    <x v="0"/>
    <b v="1"/>
    <m/>
    <s v="Southampton"/>
    <s v="no"/>
    <b v="1"/>
    <n v="1"/>
    <n v="1.3960666902089001E+19"/>
  </r>
  <r>
    <b v="0"/>
    <x v="0"/>
    <x v="0"/>
    <x v="0"/>
    <x v="4"/>
    <x v="1"/>
    <x v="0"/>
    <x v="4"/>
    <x v="0"/>
    <x v="0"/>
    <x v="0"/>
    <b v="1"/>
    <m/>
    <s v="Southampton"/>
    <s v="no"/>
    <b v="1"/>
    <n v="1"/>
    <n v="1.0519935439659201E+19"/>
  </r>
  <r>
    <b v="0"/>
    <x v="0"/>
    <x v="1"/>
    <x v="0"/>
    <x v="45"/>
    <x v="1"/>
    <x v="0"/>
    <x v="66"/>
    <x v="1"/>
    <x v="1"/>
    <x v="0"/>
    <b v="1"/>
    <s v="A"/>
    <s v="Cherbourg"/>
    <s v="no"/>
    <b v="1"/>
    <n v="0"/>
    <n v="1.18342106669369E+19"/>
  </r>
  <r>
    <b v="0"/>
    <x v="1"/>
    <x v="1"/>
    <x v="0"/>
    <x v="41"/>
    <x v="1"/>
    <x v="1"/>
    <x v="67"/>
    <x v="1"/>
    <x v="1"/>
    <x v="0"/>
    <b v="1"/>
    <s v="D"/>
    <s v="Cherbourg"/>
    <s v="yes"/>
    <b v="0"/>
    <n v="0"/>
    <n v="5.4562104535768904E+18"/>
  </r>
  <r>
    <b v="0"/>
    <x v="1"/>
    <x v="2"/>
    <x v="1"/>
    <x v="15"/>
    <x v="1"/>
    <x v="1"/>
    <x v="68"/>
    <x v="0"/>
    <x v="2"/>
    <x v="1"/>
    <b v="0"/>
    <m/>
    <s v="Southampton"/>
    <s v="yes"/>
    <b v="0"/>
    <n v="1"/>
    <n v="4.5769839046631997E+18"/>
  </r>
  <r>
    <b v="0"/>
    <x v="0"/>
    <x v="2"/>
    <x v="0"/>
    <x v="15"/>
    <x v="0"/>
    <x v="0"/>
    <x v="19"/>
    <x v="0"/>
    <x v="2"/>
    <x v="0"/>
    <b v="1"/>
    <m/>
    <s v="Southampton"/>
    <s v="no"/>
    <b v="0"/>
    <n v="1"/>
    <n v="4.4521183290443402E+18"/>
  </r>
  <r>
    <b v="0"/>
    <x v="0"/>
    <x v="0"/>
    <x v="1"/>
    <x v="17"/>
    <x v="1"/>
    <x v="0"/>
    <x v="25"/>
    <x v="0"/>
    <x v="0"/>
    <x v="1"/>
    <b v="0"/>
    <m/>
    <s v="Southampton"/>
    <s v="no"/>
    <b v="1"/>
    <n v="1"/>
    <n v="1.1789618796488401E+19"/>
  </r>
  <r>
    <b v="0"/>
    <x v="0"/>
    <x v="0"/>
    <x v="0"/>
    <x v="4"/>
    <x v="1"/>
    <x v="0"/>
    <x v="25"/>
    <x v="0"/>
    <x v="0"/>
    <x v="0"/>
    <b v="1"/>
    <m/>
    <s v="Southampton"/>
    <s v="no"/>
    <b v="1"/>
    <n v="1"/>
    <n v="1.7970467560381901E+19"/>
  </r>
  <r>
    <b v="0"/>
    <x v="0"/>
    <x v="1"/>
    <x v="0"/>
    <x v="23"/>
    <x v="1"/>
    <x v="1"/>
    <x v="69"/>
    <x v="0"/>
    <x v="1"/>
    <x v="0"/>
    <b v="1"/>
    <s v="D"/>
    <s v="Southampton"/>
    <s v="no"/>
    <b v="0"/>
    <n v="0"/>
    <n v="1.17969919773196E+19"/>
  </r>
  <r>
    <b v="0"/>
    <x v="0"/>
    <x v="0"/>
    <x v="0"/>
    <x v="40"/>
    <x v="1"/>
    <x v="0"/>
    <x v="70"/>
    <x v="0"/>
    <x v="0"/>
    <x v="0"/>
    <b v="1"/>
    <m/>
    <s v="Southampton"/>
    <s v="no"/>
    <b v="1"/>
    <n v="1"/>
    <n v="1.5131723867986399E+19"/>
  </r>
  <r>
    <b v="0"/>
    <x v="0"/>
    <x v="0"/>
    <x v="0"/>
    <x v="46"/>
    <x v="4"/>
    <x v="0"/>
    <x v="2"/>
    <x v="0"/>
    <x v="0"/>
    <x v="0"/>
    <b v="1"/>
    <m/>
    <s v="Southampton"/>
    <s v="no"/>
    <b v="0"/>
    <n v="1"/>
    <n v="7.4246201106616105E+18"/>
  </r>
  <r>
    <b v="0"/>
    <x v="0"/>
    <x v="0"/>
    <x v="0"/>
    <x v="17"/>
    <x v="1"/>
    <x v="0"/>
    <x v="25"/>
    <x v="0"/>
    <x v="0"/>
    <x v="0"/>
    <b v="1"/>
    <m/>
    <s v="Southampton"/>
    <s v="no"/>
    <b v="1"/>
    <n v="1"/>
    <n v="1.26909617605963E+19"/>
  </r>
  <r>
    <b v="0"/>
    <x v="1"/>
    <x v="0"/>
    <x v="1"/>
    <x v="23"/>
    <x v="1"/>
    <x v="0"/>
    <x v="55"/>
    <x v="0"/>
    <x v="0"/>
    <x v="1"/>
    <b v="0"/>
    <m/>
    <s v="Southampton"/>
    <s v="yes"/>
    <b v="1"/>
    <n v="1"/>
    <n v="5.6464439635629896E+18"/>
  </r>
  <r>
    <b v="0"/>
    <x v="1"/>
    <x v="0"/>
    <x v="0"/>
    <x v="4"/>
    <x v="1"/>
    <x v="0"/>
    <x v="71"/>
    <x v="0"/>
    <x v="0"/>
    <x v="0"/>
    <b v="1"/>
    <m/>
    <s v="Southampton"/>
    <s v="yes"/>
    <b v="1"/>
    <n v="1"/>
    <n v="1.1498813480459201E+19"/>
  </r>
  <r>
    <b v="0"/>
    <x v="0"/>
    <x v="0"/>
    <x v="0"/>
    <x v="1"/>
    <x v="1"/>
    <x v="0"/>
    <x v="25"/>
    <x v="0"/>
    <x v="0"/>
    <x v="0"/>
    <b v="1"/>
    <m/>
    <s v="Southampton"/>
    <s v="no"/>
    <b v="1"/>
    <n v="1"/>
    <n v="8.71395484494895E+18"/>
  </r>
  <r>
    <b v="0"/>
    <x v="1"/>
    <x v="0"/>
    <x v="1"/>
    <x v="4"/>
    <x v="0"/>
    <x v="0"/>
    <x v="72"/>
    <x v="2"/>
    <x v="0"/>
    <x v="1"/>
    <b v="0"/>
    <m/>
    <s v="Queenstown"/>
    <s v="yes"/>
    <b v="0"/>
    <n v="1"/>
    <n v="1.5854088790862899E+18"/>
  </r>
  <r>
    <b v="0"/>
    <x v="0"/>
    <x v="1"/>
    <x v="0"/>
    <x v="47"/>
    <x v="1"/>
    <x v="0"/>
    <x v="31"/>
    <x v="0"/>
    <x v="1"/>
    <x v="0"/>
    <b v="1"/>
    <s v="C"/>
    <s v="Southampton"/>
    <s v="no"/>
    <b v="1"/>
    <n v="0"/>
    <n v="1.5484200823089199E+19"/>
  </r>
  <r>
    <b v="0"/>
    <x v="0"/>
    <x v="0"/>
    <x v="1"/>
    <x v="48"/>
    <x v="0"/>
    <x v="0"/>
    <x v="53"/>
    <x v="1"/>
    <x v="0"/>
    <x v="2"/>
    <b v="0"/>
    <m/>
    <s v="Cherbourg"/>
    <s v="no"/>
    <b v="0"/>
    <n v="1"/>
    <n v="8.3894516061733796E+18"/>
  </r>
  <r>
    <b v="0"/>
    <x v="0"/>
    <x v="0"/>
    <x v="0"/>
    <x v="0"/>
    <x v="1"/>
    <x v="0"/>
    <x v="4"/>
    <x v="0"/>
    <x v="0"/>
    <x v="0"/>
    <b v="1"/>
    <m/>
    <s v="Southampton"/>
    <s v="no"/>
    <b v="1"/>
    <n v="1"/>
    <n v="7.32794109032546E+18"/>
  </r>
  <r>
    <b v="0"/>
    <x v="0"/>
    <x v="0"/>
    <x v="1"/>
    <x v="11"/>
    <x v="0"/>
    <x v="0"/>
    <x v="73"/>
    <x v="0"/>
    <x v="0"/>
    <x v="1"/>
    <b v="0"/>
    <m/>
    <s v="Southampton"/>
    <s v="no"/>
    <b v="0"/>
    <n v="1"/>
    <n v="1.658199590778E+19"/>
  </r>
  <r>
    <b v="0"/>
    <x v="0"/>
    <x v="0"/>
    <x v="1"/>
    <x v="34"/>
    <x v="1"/>
    <x v="0"/>
    <x v="74"/>
    <x v="1"/>
    <x v="0"/>
    <x v="1"/>
    <b v="0"/>
    <m/>
    <s v="Cherbourg"/>
    <s v="no"/>
    <b v="1"/>
    <n v="1"/>
    <n v="4.2927333238875699E+18"/>
  </r>
  <r>
    <b v="0"/>
    <x v="0"/>
    <x v="0"/>
    <x v="0"/>
    <x v="23"/>
    <x v="1"/>
    <x v="0"/>
    <x v="2"/>
    <x v="0"/>
    <x v="0"/>
    <x v="0"/>
    <b v="1"/>
    <m/>
    <s v="Southampton"/>
    <s v="no"/>
    <b v="1"/>
    <n v="1"/>
    <n v="1.4803358993628701E+19"/>
  </r>
  <r>
    <b v="0"/>
    <x v="0"/>
    <x v="0"/>
    <x v="0"/>
    <x v="49"/>
    <x v="1"/>
    <x v="0"/>
    <x v="28"/>
    <x v="2"/>
    <x v="0"/>
    <x v="0"/>
    <b v="1"/>
    <m/>
    <s v="Queenstown"/>
    <s v="no"/>
    <b v="1"/>
    <n v="1"/>
    <n v="1.04142279060522E+19"/>
  </r>
  <r>
    <b v="0"/>
    <x v="0"/>
    <x v="2"/>
    <x v="0"/>
    <x v="28"/>
    <x v="0"/>
    <x v="0"/>
    <x v="35"/>
    <x v="0"/>
    <x v="2"/>
    <x v="0"/>
    <b v="1"/>
    <m/>
    <s v="Southampton"/>
    <s v="no"/>
    <b v="0"/>
    <n v="1"/>
    <n v="4.2291130258217702E+18"/>
  </r>
  <r>
    <b v="0"/>
    <x v="0"/>
    <x v="1"/>
    <x v="0"/>
    <x v="42"/>
    <x v="1"/>
    <x v="1"/>
    <x v="75"/>
    <x v="1"/>
    <x v="1"/>
    <x v="0"/>
    <b v="1"/>
    <s v="B"/>
    <s v="Cherbourg"/>
    <s v="no"/>
    <b v="0"/>
    <n v="0"/>
    <n v="1.19773311397411E+19"/>
  </r>
  <r>
    <b v="0"/>
    <x v="0"/>
    <x v="0"/>
    <x v="1"/>
    <x v="6"/>
    <x v="3"/>
    <x v="2"/>
    <x v="12"/>
    <x v="0"/>
    <x v="0"/>
    <x v="2"/>
    <b v="0"/>
    <m/>
    <s v="Southampton"/>
    <s v="no"/>
    <b v="0"/>
    <n v="1"/>
    <n v="3.6633054858203899E+18"/>
  </r>
  <r>
    <b v="0"/>
    <x v="0"/>
    <x v="2"/>
    <x v="0"/>
    <x v="23"/>
    <x v="4"/>
    <x v="0"/>
    <x v="52"/>
    <x v="0"/>
    <x v="2"/>
    <x v="0"/>
    <b v="1"/>
    <m/>
    <s v="Southampton"/>
    <s v="no"/>
    <b v="0"/>
    <n v="1"/>
    <n v="1.15786877830615E+19"/>
  </r>
  <r>
    <b v="0"/>
    <x v="0"/>
    <x v="0"/>
    <x v="0"/>
    <x v="4"/>
    <x v="1"/>
    <x v="0"/>
    <x v="4"/>
    <x v="0"/>
    <x v="0"/>
    <x v="0"/>
    <b v="1"/>
    <m/>
    <s v="Southampton"/>
    <s v="no"/>
    <b v="1"/>
    <n v="1"/>
    <n v="1.0519935439659201E+19"/>
  </r>
  <r>
    <b v="0"/>
    <x v="0"/>
    <x v="2"/>
    <x v="0"/>
    <x v="50"/>
    <x v="0"/>
    <x v="0"/>
    <x v="9"/>
    <x v="1"/>
    <x v="2"/>
    <x v="0"/>
    <b v="1"/>
    <m/>
    <s v="Cherbourg"/>
    <s v="no"/>
    <b v="0"/>
    <n v="1"/>
    <n v="1.5455281188528699E+19"/>
  </r>
  <r>
    <b v="0"/>
    <x v="1"/>
    <x v="2"/>
    <x v="1"/>
    <x v="50"/>
    <x v="1"/>
    <x v="0"/>
    <x v="16"/>
    <x v="0"/>
    <x v="2"/>
    <x v="1"/>
    <b v="0"/>
    <s v="E"/>
    <s v="Southampton"/>
    <s v="yes"/>
    <b v="1"/>
    <n v="0"/>
    <n v="1.17757190705879E+19"/>
  </r>
  <r>
    <b v="0"/>
    <x v="0"/>
    <x v="1"/>
    <x v="0"/>
    <x v="5"/>
    <x v="1"/>
    <x v="1"/>
    <x v="69"/>
    <x v="0"/>
    <x v="1"/>
    <x v="0"/>
    <b v="1"/>
    <s v="D"/>
    <s v="Southampton"/>
    <s v="no"/>
    <b v="0"/>
    <n v="0"/>
    <n v="9.6470175039468093E+18"/>
  </r>
  <r>
    <b v="0"/>
    <x v="1"/>
    <x v="0"/>
    <x v="0"/>
    <x v="51"/>
    <x v="0"/>
    <x v="0"/>
    <x v="33"/>
    <x v="1"/>
    <x v="0"/>
    <x v="2"/>
    <b v="0"/>
    <m/>
    <s v="Cherbourg"/>
    <s v="yes"/>
    <b v="0"/>
    <n v="1"/>
    <n v="1.4932428505062601E+19"/>
  </r>
  <r>
    <b v="0"/>
    <x v="0"/>
    <x v="0"/>
    <x v="0"/>
    <x v="4"/>
    <x v="1"/>
    <x v="0"/>
    <x v="28"/>
    <x v="2"/>
    <x v="0"/>
    <x v="0"/>
    <b v="1"/>
    <m/>
    <s v="Queenstown"/>
    <s v="no"/>
    <b v="1"/>
    <n v="1"/>
    <n v="8.8562668406319196E+18"/>
  </r>
  <r>
    <b v="0"/>
    <x v="1"/>
    <x v="0"/>
    <x v="0"/>
    <x v="42"/>
    <x v="1"/>
    <x v="0"/>
    <x v="76"/>
    <x v="0"/>
    <x v="0"/>
    <x v="0"/>
    <b v="1"/>
    <m/>
    <s v="Southampton"/>
    <s v="yes"/>
    <b v="1"/>
    <n v="1"/>
    <n v="7.2734235218248397E+18"/>
  </r>
  <r>
    <b v="0"/>
    <x v="1"/>
    <x v="0"/>
    <x v="1"/>
    <x v="4"/>
    <x v="0"/>
    <x v="1"/>
    <x v="77"/>
    <x v="1"/>
    <x v="0"/>
    <x v="1"/>
    <b v="0"/>
    <s v="F"/>
    <s v="Cherbourg"/>
    <s v="yes"/>
    <b v="0"/>
    <n v="1"/>
    <n v="1.5451435620946401E+18"/>
  </r>
  <r>
    <b v="0"/>
    <x v="0"/>
    <x v="0"/>
    <x v="0"/>
    <x v="33"/>
    <x v="1"/>
    <x v="0"/>
    <x v="78"/>
    <x v="0"/>
    <x v="0"/>
    <x v="0"/>
    <b v="1"/>
    <m/>
    <s v="Southampton"/>
    <s v="no"/>
    <b v="1"/>
    <n v="1"/>
    <n v="4.25710150987981E+18"/>
  </r>
  <r>
    <b v="0"/>
    <x v="0"/>
    <x v="0"/>
    <x v="0"/>
    <x v="40"/>
    <x v="1"/>
    <x v="0"/>
    <x v="25"/>
    <x v="1"/>
    <x v="0"/>
    <x v="0"/>
    <b v="1"/>
    <m/>
    <s v="Cherbourg"/>
    <s v="no"/>
    <b v="1"/>
    <n v="1"/>
    <n v="1.36292183694447E+19"/>
  </r>
  <r>
    <b v="0"/>
    <x v="0"/>
    <x v="0"/>
    <x v="0"/>
    <x v="11"/>
    <x v="1"/>
    <x v="0"/>
    <x v="79"/>
    <x v="0"/>
    <x v="0"/>
    <x v="0"/>
    <b v="1"/>
    <m/>
    <s v="Southampton"/>
    <s v="no"/>
    <b v="1"/>
    <n v="1"/>
    <n v="1.46558277200617E+19"/>
  </r>
  <r>
    <b v="0"/>
    <x v="0"/>
    <x v="0"/>
    <x v="1"/>
    <x v="47"/>
    <x v="0"/>
    <x v="0"/>
    <x v="80"/>
    <x v="0"/>
    <x v="0"/>
    <x v="1"/>
    <b v="0"/>
    <m/>
    <s v="Southampton"/>
    <s v="no"/>
    <b v="0"/>
    <n v="1"/>
    <n v="6.8357213672442701E+17"/>
  </r>
  <r>
    <b v="0"/>
    <x v="1"/>
    <x v="2"/>
    <x v="1"/>
    <x v="28"/>
    <x v="0"/>
    <x v="0"/>
    <x v="19"/>
    <x v="0"/>
    <x v="2"/>
    <x v="1"/>
    <b v="0"/>
    <m/>
    <s v="Southampton"/>
    <s v="yes"/>
    <b v="0"/>
    <n v="1"/>
    <n v="1.2771388903925201E+19"/>
  </r>
  <r>
    <b v="0"/>
    <x v="0"/>
    <x v="2"/>
    <x v="0"/>
    <x v="37"/>
    <x v="1"/>
    <x v="0"/>
    <x v="16"/>
    <x v="0"/>
    <x v="2"/>
    <x v="0"/>
    <b v="1"/>
    <m/>
    <s v="Southampton"/>
    <s v="no"/>
    <b v="1"/>
    <n v="1"/>
    <n v="1.45445304985682E+19"/>
  </r>
  <r>
    <b v="0"/>
    <x v="0"/>
    <x v="2"/>
    <x v="0"/>
    <x v="41"/>
    <x v="1"/>
    <x v="0"/>
    <x v="81"/>
    <x v="1"/>
    <x v="2"/>
    <x v="0"/>
    <b v="1"/>
    <m/>
    <s v="Cherbourg"/>
    <s v="no"/>
    <b v="1"/>
    <n v="1"/>
    <n v="1.3302480445389901E+18"/>
  </r>
  <r>
    <b v="0"/>
    <x v="1"/>
    <x v="1"/>
    <x v="1"/>
    <x v="19"/>
    <x v="1"/>
    <x v="2"/>
    <x v="82"/>
    <x v="0"/>
    <x v="1"/>
    <x v="1"/>
    <b v="0"/>
    <s v="D"/>
    <s v="Southampton"/>
    <s v="yes"/>
    <b v="0"/>
    <n v="0"/>
    <n v="7.1669608227961498E+18"/>
  </r>
  <r>
    <b v="0"/>
    <x v="0"/>
    <x v="1"/>
    <x v="0"/>
    <x v="46"/>
    <x v="0"/>
    <x v="0"/>
    <x v="3"/>
    <x v="0"/>
    <x v="1"/>
    <x v="0"/>
    <b v="1"/>
    <s v="C"/>
    <s v="Southampton"/>
    <s v="no"/>
    <b v="0"/>
    <n v="0"/>
    <n v="1.3573662013482E+19"/>
  </r>
  <r>
    <b v="0"/>
    <x v="0"/>
    <x v="0"/>
    <x v="0"/>
    <x v="36"/>
    <x v="1"/>
    <x v="0"/>
    <x v="83"/>
    <x v="0"/>
    <x v="0"/>
    <x v="0"/>
    <b v="1"/>
    <m/>
    <s v="Southampton"/>
    <s v="no"/>
    <b v="1"/>
    <n v="1"/>
    <n v="1.6113756437082401E+19"/>
  </r>
  <r>
    <b v="0"/>
    <x v="0"/>
    <x v="1"/>
    <x v="0"/>
    <x v="42"/>
    <x v="1"/>
    <x v="0"/>
    <x v="84"/>
    <x v="1"/>
    <x v="1"/>
    <x v="0"/>
    <b v="1"/>
    <s v="B"/>
    <s v="Cherbourg"/>
    <s v="no"/>
    <b v="1"/>
    <n v="0"/>
    <n v="3.9488840862296602E+18"/>
  </r>
  <r>
    <b v="0"/>
    <x v="0"/>
    <x v="0"/>
    <x v="1"/>
    <x v="4"/>
    <x v="1"/>
    <x v="2"/>
    <x v="49"/>
    <x v="1"/>
    <x v="0"/>
    <x v="1"/>
    <b v="0"/>
    <m/>
    <s v="Cherbourg"/>
    <s v="no"/>
    <b v="0"/>
    <n v="1"/>
    <n v="3.1565380265626598E+18"/>
  </r>
  <r>
    <b v="0"/>
    <x v="1"/>
    <x v="0"/>
    <x v="1"/>
    <x v="0"/>
    <x v="1"/>
    <x v="0"/>
    <x v="28"/>
    <x v="0"/>
    <x v="0"/>
    <x v="1"/>
    <b v="0"/>
    <m/>
    <s v="Southampton"/>
    <s v="yes"/>
    <b v="1"/>
    <n v="1"/>
    <n v="1.64199402258827E+19"/>
  </r>
  <r>
    <b v="0"/>
    <x v="1"/>
    <x v="0"/>
    <x v="1"/>
    <x v="42"/>
    <x v="0"/>
    <x v="0"/>
    <x v="62"/>
    <x v="0"/>
    <x v="0"/>
    <x v="1"/>
    <b v="0"/>
    <m/>
    <s v="Southampton"/>
    <s v="yes"/>
    <b v="0"/>
    <n v="1"/>
    <n v="1.70762101153467E+19"/>
  </r>
  <r>
    <b v="0"/>
    <x v="0"/>
    <x v="0"/>
    <x v="0"/>
    <x v="19"/>
    <x v="1"/>
    <x v="0"/>
    <x v="85"/>
    <x v="2"/>
    <x v="0"/>
    <x v="0"/>
    <b v="1"/>
    <m/>
    <s v="Queenstown"/>
    <s v="no"/>
    <b v="1"/>
    <n v="1"/>
    <n v="3.82177185018127E+18"/>
  </r>
  <r>
    <b v="0"/>
    <x v="0"/>
    <x v="2"/>
    <x v="0"/>
    <x v="24"/>
    <x v="1"/>
    <x v="0"/>
    <x v="86"/>
    <x v="0"/>
    <x v="2"/>
    <x v="0"/>
    <b v="1"/>
    <m/>
    <s v="Southampton"/>
    <s v="no"/>
    <b v="1"/>
    <n v="1"/>
    <n v="1.17409391668719E+19"/>
  </r>
  <r>
    <b v="0"/>
    <x v="0"/>
    <x v="2"/>
    <x v="0"/>
    <x v="19"/>
    <x v="0"/>
    <x v="1"/>
    <x v="87"/>
    <x v="0"/>
    <x v="2"/>
    <x v="0"/>
    <b v="1"/>
    <m/>
    <s v="Southampton"/>
    <s v="no"/>
    <b v="0"/>
    <n v="1"/>
    <n v="1.70494638310028E+19"/>
  </r>
  <r>
    <b v="0"/>
    <x v="1"/>
    <x v="0"/>
    <x v="0"/>
    <x v="7"/>
    <x v="1"/>
    <x v="0"/>
    <x v="88"/>
    <x v="0"/>
    <x v="0"/>
    <x v="0"/>
    <b v="1"/>
    <m/>
    <s v="Southampton"/>
    <s v="yes"/>
    <b v="1"/>
    <n v="1"/>
    <n v="1.1206368064091699E+19"/>
  </r>
  <r>
    <b v="0"/>
    <x v="0"/>
    <x v="0"/>
    <x v="1"/>
    <x v="52"/>
    <x v="4"/>
    <x v="2"/>
    <x v="63"/>
    <x v="0"/>
    <x v="0"/>
    <x v="2"/>
    <b v="0"/>
    <m/>
    <s v="Southampton"/>
    <s v="no"/>
    <b v="0"/>
    <n v="1"/>
    <n v="1.80851195725528E+19"/>
  </r>
  <r>
    <b v="0"/>
    <x v="0"/>
    <x v="2"/>
    <x v="0"/>
    <x v="53"/>
    <x v="1"/>
    <x v="2"/>
    <x v="19"/>
    <x v="0"/>
    <x v="2"/>
    <x v="0"/>
    <b v="1"/>
    <s v="F"/>
    <s v="Southampton"/>
    <s v="no"/>
    <b v="0"/>
    <n v="0"/>
    <n v="1.35180764321921E+18"/>
  </r>
  <r>
    <b v="0"/>
    <x v="0"/>
    <x v="2"/>
    <x v="0"/>
    <x v="22"/>
    <x v="1"/>
    <x v="0"/>
    <x v="16"/>
    <x v="0"/>
    <x v="2"/>
    <x v="0"/>
    <b v="1"/>
    <m/>
    <s v="Southampton"/>
    <s v="no"/>
    <b v="1"/>
    <n v="1"/>
    <n v="8.4302955597998203E+18"/>
  </r>
  <r>
    <b v="0"/>
    <x v="0"/>
    <x v="2"/>
    <x v="0"/>
    <x v="54"/>
    <x v="1"/>
    <x v="0"/>
    <x v="89"/>
    <x v="0"/>
    <x v="2"/>
    <x v="0"/>
    <b v="1"/>
    <m/>
    <s v="Southampton"/>
    <s v="no"/>
    <b v="1"/>
    <n v="1"/>
    <n v="1.7498752525394401E+18"/>
  </r>
  <r>
    <b v="0"/>
    <x v="1"/>
    <x v="1"/>
    <x v="1"/>
    <x v="0"/>
    <x v="0"/>
    <x v="0"/>
    <x v="90"/>
    <x v="0"/>
    <x v="1"/>
    <x v="1"/>
    <b v="0"/>
    <s v="C"/>
    <s v="Southampton"/>
    <s v="yes"/>
    <b v="0"/>
    <n v="0"/>
    <n v="1.1368303509932599E+19"/>
  </r>
  <r>
    <b v="0"/>
    <x v="0"/>
    <x v="0"/>
    <x v="0"/>
    <x v="55"/>
    <x v="1"/>
    <x v="0"/>
    <x v="4"/>
    <x v="0"/>
    <x v="0"/>
    <x v="0"/>
    <b v="1"/>
    <m/>
    <s v="Southampton"/>
    <s v="no"/>
    <b v="1"/>
    <n v="1"/>
    <n v="1.6941007847961801E+19"/>
  </r>
  <r>
    <b v="0"/>
    <x v="0"/>
    <x v="0"/>
    <x v="0"/>
    <x v="56"/>
    <x v="1"/>
    <x v="2"/>
    <x v="80"/>
    <x v="0"/>
    <x v="0"/>
    <x v="0"/>
    <b v="1"/>
    <m/>
    <s v="Southampton"/>
    <s v="no"/>
    <b v="0"/>
    <n v="1"/>
    <n v="5.1436140258342195E+18"/>
  </r>
  <r>
    <b v="0"/>
    <x v="0"/>
    <x v="0"/>
    <x v="0"/>
    <x v="4"/>
    <x v="1"/>
    <x v="0"/>
    <x v="91"/>
    <x v="0"/>
    <x v="0"/>
    <x v="0"/>
    <b v="1"/>
    <m/>
    <s v="Southampton"/>
    <s v="no"/>
    <b v="1"/>
    <n v="1"/>
    <n v="1.67582745524004E+19"/>
  </r>
  <r>
    <b v="0"/>
    <x v="0"/>
    <x v="1"/>
    <x v="0"/>
    <x v="54"/>
    <x v="1"/>
    <x v="1"/>
    <x v="92"/>
    <x v="1"/>
    <x v="1"/>
    <x v="0"/>
    <b v="1"/>
    <m/>
    <s v="Cherbourg"/>
    <s v="no"/>
    <b v="0"/>
    <n v="1"/>
    <n v="1.68060670613462E+19"/>
  </r>
  <r>
    <b v="0"/>
    <x v="1"/>
    <x v="0"/>
    <x v="1"/>
    <x v="36"/>
    <x v="1"/>
    <x v="0"/>
    <x v="93"/>
    <x v="2"/>
    <x v="0"/>
    <x v="1"/>
    <b v="0"/>
    <m/>
    <s v="Queenstown"/>
    <s v="yes"/>
    <b v="1"/>
    <n v="1"/>
    <n v="1.27739310350685E+19"/>
  </r>
  <r>
    <b v="0"/>
    <x v="0"/>
    <x v="0"/>
    <x v="0"/>
    <x v="39"/>
    <x v="1"/>
    <x v="0"/>
    <x v="4"/>
    <x v="0"/>
    <x v="0"/>
    <x v="0"/>
    <b v="1"/>
    <m/>
    <s v="Southampton"/>
    <s v="no"/>
    <b v="1"/>
    <n v="1"/>
    <n v="3.9468574058521201E+18"/>
  </r>
  <r>
    <b v="0"/>
    <x v="0"/>
    <x v="0"/>
    <x v="0"/>
    <x v="4"/>
    <x v="1"/>
    <x v="0"/>
    <x v="51"/>
    <x v="0"/>
    <x v="0"/>
    <x v="0"/>
    <b v="1"/>
    <m/>
    <s v="Southampton"/>
    <s v="no"/>
    <b v="1"/>
    <n v="1"/>
    <n v="1.17587755855027E+19"/>
  </r>
  <r>
    <b v="0"/>
    <x v="0"/>
    <x v="0"/>
    <x v="0"/>
    <x v="4"/>
    <x v="6"/>
    <x v="2"/>
    <x v="94"/>
    <x v="0"/>
    <x v="0"/>
    <x v="0"/>
    <b v="1"/>
    <m/>
    <s v="Southampton"/>
    <s v="no"/>
    <b v="0"/>
    <n v="1"/>
    <n v="1.2395330416317399E+19"/>
  </r>
  <r>
    <b v="0"/>
    <x v="0"/>
    <x v="0"/>
    <x v="0"/>
    <x v="57"/>
    <x v="1"/>
    <x v="1"/>
    <x v="95"/>
    <x v="0"/>
    <x v="0"/>
    <x v="0"/>
    <b v="1"/>
    <m/>
    <s v="Southampton"/>
    <s v="no"/>
    <b v="0"/>
    <n v="1"/>
    <n v="6.89061812229248E+18"/>
  </r>
  <r>
    <b v="0"/>
    <x v="1"/>
    <x v="2"/>
    <x v="1"/>
    <x v="20"/>
    <x v="1"/>
    <x v="0"/>
    <x v="96"/>
    <x v="0"/>
    <x v="2"/>
    <x v="1"/>
    <b v="0"/>
    <m/>
    <s v="Southampton"/>
    <s v="yes"/>
    <b v="1"/>
    <n v="1"/>
    <n v="8.2465820665108398E+18"/>
  </r>
  <r>
    <b v="0"/>
    <x v="0"/>
    <x v="0"/>
    <x v="0"/>
    <x v="2"/>
    <x v="1"/>
    <x v="0"/>
    <x v="71"/>
    <x v="0"/>
    <x v="0"/>
    <x v="0"/>
    <b v="1"/>
    <m/>
    <s v="Southampton"/>
    <s v="no"/>
    <b v="1"/>
    <n v="1"/>
    <n v="4.1904794272098002E+18"/>
  </r>
  <r>
    <b v="0"/>
    <x v="0"/>
    <x v="0"/>
    <x v="0"/>
    <x v="34"/>
    <x v="1"/>
    <x v="0"/>
    <x v="51"/>
    <x v="0"/>
    <x v="0"/>
    <x v="0"/>
    <b v="1"/>
    <m/>
    <s v="Southampton"/>
    <s v="no"/>
    <b v="1"/>
    <n v="1"/>
    <n v="3.0286653837999002E+18"/>
  </r>
  <r>
    <b v="0"/>
    <x v="0"/>
    <x v="0"/>
    <x v="0"/>
    <x v="58"/>
    <x v="3"/>
    <x v="1"/>
    <x v="40"/>
    <x v="0"/>
    <x v="0"/>
    <x v="2"/>
    <b v="0"/>
    <m/>
    <s v="Southampton"/>
    <s v="no"/>
    <b v="0"/>
    <n v="1"/>
    <n v="1.2865523151143201E+19"/>
  </r>
  <r>
    <b v="0"/>
    <x v="1"/>
    <x v="0"/>
    <x v="0"/>
    <x v="52"/>
    <x v="1"/>
    <x v="2"/>
    <x v="97"/>
    <x v="0"/>
    <x v="0"/>
    <x v="2"/>
    <b v="0"/>
    <m/>
    <s v="Southampton"/>
    <s v="yes"/>
    <b v="0"/>
    <n v="1"/>
    <n v="7.9727074791757701E+18"/>
  </r>
  <r>
    <b v="0"/>
    <x v="1"/>
    <x v="1"/>
    <x v="1"/>
    <x v="4"/>
    <x v="1"/>
    <x v="1"/>
    <x v="98"/>
    <x v="0"/>
    <x v="1"/>
    <x v="1"/>
    <b v="0"/>
    <s v="E"/>
    <s v="Southampton"/>
    <s v="yes"/>
    <b v="0"/>
    <n v="1"/>
    <n v="4.7997402617172101E+18"/>
  </r>
  <r>
    <b v="0"/>
    <x v="0"/>
    <x v="0"/>
    <x v="1"/>
    <x v="33"/>
    <x v="0"/>
    <x v="5"/>
    <x v="48"/>
    <x v="0"/>
    <x v="0"/>
    <x v="1"/>
    <b v="0"/>
    <m/>
    <s v="Southampton"/>
    <s v="no"/>
    <b v="0"/>
    <n v="1"/>
    <n v="1.3679067168879401E+19"/>
  </r>
  <r>
    <b v="0"/>
    <x v="0"/>
    <x v="1"/>
    <x v="0"/>
    <x v="4"/>
    <x v="1"/>
    <x v="0"/>
    <x v="99"/>
    <x v="0"/>
    <x v="1"/>
    <x v="0"/>
    <b v="1"/>
    <m/>
    <s v="Southampton"/>
    <s v="no"/>
    <b v="1"/>
    <n v="1"/>
    <n v="7.8386508226250598E+18"/>
  </r>
  <r>
    <b v="0"/>
    <x v="0"/>
    <x v="0"/>
    <x v="0"/>
    <x v="17"/>
    <x v="1"/>
    <x v="0"/>
    <x v="54"/>
    <x v="0"/>
    <x v="0"/>
    <x v="0"/>
    <b v="1"/>
    <m/>
    <s v="Southampton"/>
    <s v="no"/>
    <b v="1"/>
    <n v="1"/>
    <n v="1.9531582212967802E+17"/>
  </r>
  <r>
    <b v="0"/>
    <x v="0"/>
    <x v="1"/>
    <x v="0"/>
    <x v="59"/>
    <x v="1"/>
    <x v="0"/>
    <x v="100"/>
    <x v="0"/>
    <x v="1"/>
    <x v="0"/>
    <b v="1"/>
    <s v="B"/>
    <s v="Southampton"/>
    <s v="no"/>
    <b v="1"/>
    <n v="0"/>
    <n v="9.9568281182457999E+18"/>
  </r>
  <r>
    <b v="0"/>
    <x v="0"/>
    <x v="0"/>
    <x v="0"/>
    <x v="9"/>
    <x v="3"/>
    <x v="1"/>
    <x v="15"/>
    <x v="2"/>
    <x v="0"/>
    <x v="2"/>
    <b v="0"/>
    <m/>
    <s v="Queenstown"/>
    <s v="no"/>
    <b v="0"/>
    <n v="1"/>
    <n v="8.3864288329072005E+18"/>
  </r>
  <r>
    <b v="0"/>
    <x v="1"/>
    <x v="0"/>
    <x v="1"/>
    <x v="58"/>
    <x v="0"/>
    <x v="1"/>
    <x v="8"/>
    <x v="0"/>
    <x v="0"/>
    <x v="2"/>
    <b v="0"/>
    <m/>
    <s v="Southampton"/>
    <s v="yes"/>
    <b v="0"/>
    <n v="1"/>
    <n v="1.74264333492211E+19"/>
  </r>
  <r>
    <b v="0"/>
    <x v="0"/>
    <x v="0"/>
    <x v="0"/>
    <x v="23"/>
    <x v="1"/>
    <x v="0"/>
    <x v="2"/>
    <x v="0"/>
    <x v="0"/>
    <x v="0"/>
    <b v="1"/>
    <m/>
    <s v="Southampton"/>
    <s v="no"/>
    <b v="1"/>
    <n v="1"/>
    <n v="1.4803358993628701E+19"/>
  </r>
  <r>
    <b v="0"/>
    <x v="0"/>
    <x v="1"/>
    <x v="0"/>
    <x v="60"/>
    <x v="1"/>
    <x v="0"/>
    <x v="101"/>
    <x v="1"/>
    <x v="1"/>
    <x v="0"/>
    <b v="1"/>
    <s v="A"/>
    <s v="Cherbourg"/>
    <s v="no"/>
    <b v="1"/>
    <n v="0"/>
    <n v="1.11578326789567E+19"/>
  </r>
  <r>
    <b v="0"/>
    <x v="0"/>
    <x v="0"/>
    <x v="0"/>
    <x v="24"/>
    <x v="0"/>
    <x v="1"/>
    <x v="13"/>
    <x v="0"/>
    <x v="0"/>
    <x v="0"/>
    <b v="1"/>
    <m/>
    <s v="Southampton"/>
    <s v="no"/>
    <b v="0"/>
    <n v="1"/>
    <n v="7.1514496671952599E+18"/>
  </r>
  <r>
    <b v="0"/>
    <x v="0"/>
    <x v="0"/>
    <x v="0"/>
    <x v="4"/>
    <x v="2"/>
    <x v="1"/>
    <x v="102"/>
    <x v="0"/>
    <x v="0"/>
    <x v="0"/>
    <b v="1"/>
    <m/>
    <s v="Southampton"/>
    <s v="no"/>
    <b v="0"/>
    <n v="1"/>
    <n v="3.5549032741041802E+18"/>
  </r>
  <r>
    <b v="0"/>
    <x v="0"/>
    <x v="1"/>
    <x v="1"/>
    <x v="61"/>
    <x v="1"/>
    <x v="0"/>
    <x v="103"/>
    <x v="1"/>
    <x v="1"/>
    <x v="1"/>
    <b v="0"/>
    <s v="C"/>
    <s v="Cherbourg"/>
    <s v="no"/>
    <b v="1"/>
    <n v="0"/>
    <n v="1.30333323312216E+17"/>
  </r>
  <r>
    <b v="0"/>
    <x v="0"/>
    <x v="2"/>
    <x v="0"/>
    <x v="39"/>
    <x v="1"/>
    <x v="0"/>
    <x v="16"/>
    <x v="0"/>
    <x v="2"/>
    <x v="0"/>
    <b v="1"/>
    <m/>
    <s v="Southampton"/>
    <s v="no"/>
    <b v="1"/>
    <n v="1"/>
    <n v="2.9304945046951398E+18"/>
  </r>
  <r>
    <b v="0"/>
    <x v="0"/>
    <x v="0"/>
    <x v="0"/>
    <x v="62"/>
    <x v="1"/>
    <x v="0"/>
    <x v="104"/>
    <x v="0"/>
    <x v="0"/>
    <x v="0"/>
    <b v="1"/>
    <m/>
    <s v="Southampton"/>
    <s v="no"/>
    <b v="1"/>
    <n v="1"/>
    <n v="7.34063730327902E+18"/>
  </r>
  <r>
    <b v="0"/>
    <x v="0"/>
    <x v="0"/>
    <x v="1"/>
    <x v="4"/>
    <x v="6"/>
    <x v="2"/>
    <x v="94"/>
    <x v="0"/>
    <x v="0"/>
    <x v="1"/>
    <b v="0"/>
    <m/>
    <s v="Southampton"/>
    <s v="no"/>
    <b v="0"/>
    <n v="1"/>
    <n v="1.5412107601280899E+19"/>
  </r>
  <r>
    <b v="0"/>
    <x v="0"/>
    <x v="2"/>
    <x v="0"/>
    <x v="4"/>
    <x v="1"/>
    <x v="0"/>
    <x v="105"/>
    <x v="1"/>
    <x v="2"/>
    <x v="0"/>
    <b v="1"/>
    <m/>
    <s v="Cherbourg"/>
    <s v="no"/>
    <b v="1"/>
    <n v="1"/>
    <n v="6.5037791222465198E+18"/>
  </r>
  <r>
    <b v="0"/>
    <x v="0"/>
    <x v="0"/>
    <x v="0"/>
    <x v="52"/>
    <x v="3"/>
    <x v="2"/>
    <x v="22"/>
    <x v="0"/>
    <x v="0"/>
    <x v="2"/>
    <b v="0"/>
    <m/>
    <s v="Southampton"/>
    <s v="no"/>
    <b v="0"/>
    <n v="1"/>
    <n v="1.72231802759192E+19"/>
  </r>
  <r>
    <b v="0"/>
    <x v="1"/>
    <x v="2"/>
    <x v="0"/>
    <x v="58"/>
    <x v="4"/>
    <x v="1"/>
    <x v="106"/>
    <x v="0"/>
    <x v="2"/>
    <x v="2"/>
    <b v="0"/>
    <s v="F"/>
    <s v="Southampton"/>
    <s v="yes"/>
    <b v="0"/>
    <n v="0"/>
    <n v="5.2046393290641797E+18"/>
  </r>
  <r>
    <b v="0"/>
    <x v="1"/>
    <x v="0"/>
    <x v="1"/>
    <x v="9"/>
    <x v="1"/>
    <x v="2"/>
    <x v="107"/>
    <x v="0"/>
    <x v="0"/>
    <x v="2"/>
    <b v="0"/>
    <m/>
    <s v="Southampton"/>
    <s v="yes"/>
    <b v="0"/>
    <n v="1"/>
    <n v="3.13873537574739E+18"/>
  </r>
  <r>
    <b v="0"/>
    <x v="0"/>
    <x v="1"/>
    <x v="0"/>
    <x v="4"/>
    <x v="1"/>
    <x v="0"/>
    <x v="108"/>
    <x v="0"/>
    <x v="1"/>
    <x v="0"/>
    <b v="1"/>
    <s v="A"/>
    <s v="Southampton"/>
    <s v="no"/>
    <b v="1"/>
    <n v="1"/>
    <n v="1.3327764699922901E+19"/>
  </r>
  <r>
    <b v="0"/>
    <x v="1"/>
    <x v="0"/>
    <x v="1"/>
    <x v="4"/>
    <x v="0"/>
    <x v="0"/>
    <x v="37"/>
    <x v="2"/>
    <x v="0"/>
    <x v="1"/>
    <b v="0"/>
    <m/>
    <s v="Queenstown"/>
    <s v="yes"/>
    <b v="0"/>
    <n v="1"/>
    <n v="6.4154019982692997E+18"/>
  </r>
  <r>
    <b v="0"/>
    <x v="1"/>
    <x v="1"/>
    <x v="0"/>
    <x v="33"/>
    <x v="1"/>
    <x v="0"/>
    <x v="11"/>
    <x v="0"/>
    <x v="1"/>
    <x v="0"/>
    <b v="1"/>
    <m/>
    <s v="Southampton"/>
    <s v="yes"/>
    <b v="1"/>
    <n v="1"/>
    <n v="3.5537674176194401E+18"/>
  </r>
  <r>
    <b v="0"/>
    <x v="0"/>
    <x v="0"/>
    <x v="0"/>
    <x v="20"/>
    <x v="0"/>
    <x v="1"/>
    <x v="37"/>
    <x v="2"/>
    <x v="0"/>
    <x v="0"/>
    <b v="1"/>
    <m/>
    <s v="Queenstown"/>
    <s v="no"/>
    <b v="0"/>
    <n v="1"/>
    <n v="9.7119047136509891E+18"/>
  </r>
  <r>
    <b v="0"/>
    <x v="0"/>
    <x v="0"/>
    <x v="0"/>
    <x v="62"/>
    <x v="1"/>
    <x v="0"/>
    <x v="25"/>
    <x v="0"/>
    <x v="0"/>
    <x v="0"/>
    <b v="1"/>
    <m/>
    <s v="Southampton"/>
    <s v="no"/>
    <b v="1"/>
    <n v="1"/>
    <n v="1.20761566858687E+19"/>
  </r>
  <r>
    <b v="0"/>
    <x v="1"/>
    <x v="2"/>
    <x v="1"/>
    <x v="35"/>
    <x v="1"/>
    <x v="0"/>
    <x v="16"/>
    <x v="0"/>
    <x v="2"/>
    <x v="1"/>
    <b v="0"/>
    <m/>
    <s v="Southampton"/>
    <s v="yes"/>
    <b v="1"/>
    <n v="1"/>
    <n v="2.6572770623176899E+18"/>
  </r>
  <r>
    <b v="0"/>
    <x v="0"/>
    <x v="2"/>
    <x v="0"/>
    <x v="19"/>
    <x v="1"/>
    <x v="0"/>
    <x v="16"/>
    <x v="0"/>
    <x v="2"/>
    <x v="0"/>
    <b v="1"/>
    <m/>
    <s v="Southampton"/>
    <s v="no"/>
    <b v="1"/>
    <n v="1"/>
    <n v="5.6893236346331095E+18"/>
  </r>
  <r>
    <b v="0"/>
    <x v="1"/>
    <x v="0"/>
    <x v="1"/>
    <x v="19"/>
    <x v="0"/>
    <x v="0"/>
    <x v="13"/>
    <x v="0"/>
    <x v="0"/>
    <x v="1"/>
    <b v="0"/>
    <m/>
    <s v="Southampton"/>
    <s v="yes"/>
    <b v="0"/>
    <n v="1"/>
    <n v="3.0203818295115602E+18"/>
  </r>
  <r>
    <b v="0"/>
    <x v="1"/>
    <x v="2"/>
    <x v="0"/>
    <x v="25"/>
    <x v="0"/>
    <x v="1"/>
    <x v="19"/>
    <x v="0"/>
    <x v="2"/>
    <x v="2"/>
    <b v="0"/>
    <s v="F"/>
    <s v="Southampton"/>
    <s v="yes"/>
    <b v="0"/>
    <n v="0"/>
    <n v="9.560028161123371E+18"/>
  </r>
  <r>
    <b v="0"/>
    <x v="1"/>
    <x v="1"/>
    <x v="1"/>
    <x v="57"/>
    <x v="1"/>
    <x v="0"/>
    <x v="26"/>
    <x v="1"/>
    <x v="1"/>
    <x v="1"/>
    <b v="0"/>
    <s v="B"/>
    <s v="Cherbourg"/>
    <s v="yes"/>
    <b v="1"/>
    <n v="0"/>
    <n v="6.1778841973819197E+18"/>
  </r>
  <r>
    <b v="0"/>
    <x v="1"/>
    <x v="1"/>
    <x v="1"/>
    <x v="10"/>
    <x v="1"/>
    <x v="0"/>
    <x v="27"/>
    <x v="1"/>
    <x v="1"/>
    <x v="1"/>
    <b v="0"/>
    <s v="B"/>
    <s v="Cherbourg"/>
    <s v="yes"/>
    <b v="1"/>
    <n v="0"/>
    <n v="1.3374878132931199E+19"/>
  </r>
  <r>
    <b v="0"/>
    <x v="0"/>
    <x v="0"/>
    <x v="0"/>
    <x v="4"/>
    <x v="1"/>
    <x v="0"/>
    <x v="28"/>
    <x v="2"/>
    <x v="0"/>
    <x v="0"/>
    <b v="1"/>
    <m/>
    <s v="Queenstown"/>
    <s v="no"/>
    <b v="1"/>
    <n v="1"/>
    <n v="8.8562668406319196E+18"/>
  </r>
  <r>
    <b v="0"/>
    <x v="0"/>
    <x v="0"/>
    <x v="0"/>
    <x v="22"/>
    <x v="1"/>
    <x v="1"/>
    <x v="109"/>
    <x v="0"/>
    <x v="0"/>
    <x v="0"/>
    <b v="1"/>
    <m/>
    <s v="Southampton"/>
    <s v="no"/>
    <b v="0"/>
    <n v="1"/>
    <n v="8.1418058515703695E+18"/>
  </r>
  <r>
    <b v="0"/>
    <x v="1"/>
    <x v="0"/>
    <x v="1"/>
    <x v="4"/>
    <x v="1"/>
    <x v="0"/>
    <x v="28"/>
    <x v="2"/>
    <x v="0"/>
    <x v="1"/>
    <b v="0"/>
    <m/>
    <s v="Queenstown"/>
    <s v="yes"/>
    <b v="1"/>
    <n v="1"/>
    <n v="9.6415297742023398E+17"/>
  </r>
  <r>
    <b v="0"/>
    <x v="0"/>
    <x v="2"/>
    <x v="1"/>
    <x v="42"/>
    <x v="1"/>
    <x v="0"/>
    <x v="16"/>
    <x v="0"/>
    <x v="2"/>
    <x v="1"/>
    <b v="0"/>
    <m/>
    <s v="Southampton"/>
    <s v="no"/>
    <b v="1"/>
    <n v="1"/>
    <n v="8.3693840258119496E+18"/>
  </r>
  <r>
    <b v="0"/>
    <x v="0"/>
    <x v="0"/>
    <x v="0"/>
    <x v="17"/>
    <x v="1"/>
    <x v="0"/>
    <x v="59"/>
    <x v="0"/>
    <x v="0"/>
    <x v="0"/>
    <b v="1"/>
    <m/>
    <s v="Southampton"/>
    <s v="no"/>
    <b v="1"/>
    <n v="1"/>
    <n v="2.7331724813587901E+18"/>
  </r>
  <r>
    <b v="0"/>
    <x v="0"/>
    <x v="0"/>
    <x v="0"/>
    <x v="4"/>
    <x v="6"/>
    <x v="2"/>
    <x v="94"/>
    <x v="0"/>
    <x v="0"/>
    <x v="0"/>
    <b v="1"/>
    <m/>
    <s v="Southampton"/>
    <s v="no"/>
    <b v="0"/>
    <n v="1"/>
    <n v="1.2395330416317399E+19"/>
  </r>
  <r>
    <b v="0"/>
    <x v="0"/>
    <x v="0"/>
    <x v="0"/>
    <x v="15"/>
    <x v="1"/>
    <x v="0"/>
    <x v="110"/>
    <x v="0"/>
    <x v="0"/>
    <x v="0"/>
    <b v="1"/>
    <m/>
    <s v="Southampton"/>
    <s v="no"/>
    <b v="1"/>
    <n v="1"/>
    <n v="1.1125439392344101E+19"/>
  </r>
  <r>
    <b v="0"/>
    <x v="0"/>
    <x v="0"/>
    <x v="0"/>
    <x v="63"/>
    <x v="1"/>
    <x v="0"/>
    <x v="18"/>
    <x v="1"/>
    <x v="0"/>
    <x v="0"/>
    <b v="1"/>
    <m/>
    <s v="Cherbourg"/>
    <s v="no"/>
    <b v="1"/>
    <n v="1"/>
    <n v="2.59978022530767E+18"/>
  </r>
  <r>
    <b v="0"/>
    <x v="1"/>
    <x v="0"/>
    <x v="0"/>
    <x v="24"/>
    <x v="1"/>
    <x v="0"/>
    <x v="4"/>
    <x v="0"/>
    <x v="0"/>
    <x v="0"/>
    <b v="1"/>
    <m/>
    <s v="Southampton"/>
    <s v="yes"/>
    <b v="1"/>
    <n v="1"/>
    <n v="5.88760110835149E+18"/>
  </r>
  <r>
    <b v="0"/>
    <x v="0"/>
    <x v="0"/>
    <x v="1"/>
    <x v="6"/>
    <x v="1"/>
    <x v="1"/>
    <x v="111"/>
    <x v="0"/>
    <x v="0"/>
    <x v="2"/>
    <b v="0"/>
    <s v="G"/>
    <s v="Southampton"/>
    <s v="no"/>
    <b v="0"/>
    <n v="0"/>
    <n v="1.2328178926896699E+19"/>
  </r>
  <r>
    <b v="0"/>
    <x v="0"/>
    <x v="0"/>
    <x v="0"/>
    <x v="35"/>
    <x v="0"/>
    <x v="0"/>
    <x v="62"/>
    <x v="0"/>
    <x v="0"/>
    <x v="0"/>
    <b v="1"/>
    <m/>
    <s v="Southampton"/>
    <s v="no"/>
    <b v="0"/>
    <n v="1"/>
    <n v="1.6385265151726701E+19"/>
  </r>
  <r>
    <b v="0"/>
    <x v="1"/>
    <x v="0"/>
    <x v="0"/>
    <x v="2"/>
    <x v="1"/>
    <x v="0"/>
    <x v="112"/>
    <x v="1"/>
    <x v="0"/>
    <x v="0"/>
    <b v="1"/>
    <m/>
    <s v="Cherbourg"/>
    <s v="yes"/>
    <b v="1"/>
    <n v="1"/>
    <n v="9.4048738362581504E+18"/>
  </r>
  <r>
    <b v="0"/>
    <x v="1"/>
    <x v="0"/>
    <x v="1"/>
    <x v="36"/>
    <x v="1"/>
    <x v="0"/>
    <x v="28"/>
    <x v="2"/>
    <x v="0"/>
    <x v="1"/>
    <b v="0"/>
    <m/>
    <s v="Queenstown"/>
    <s v="yes"/>
    <b v="1"/>
    <n v="1"/>
    <n v="9.0063630858259802E+17"/>
  </r>
  <r>
    <b v="0"/>
    <x v="1"/>
    <x v="1"/>
    <x v="0"/>
    <x v="20"/>
    <x v="1"/>
    <x v="0"/>
    <x v="113"/>
    <x v="1"/>
    <x v="1"/>
    <x v="0"/>
    <b v="1"/>
    <s v="A"/>
    <s v="Cherbourg"/>
    <s v="yes"/>
    <b v="1"/>
    <n v="0"/>
    <n v="8.7739668871390802E+18"/>
  </r>
  <r>
    <b v="0"/>
    <x v="0"/>
    <x v="0"/>
    <x v="0"/>
    <x v="42"/>
    <x v="1"/>
    <x v="0"/>
    <x v="79"/>
    <x v="0"/>
    <x v="0"/>
    <x v="0"/>
    <b v="1"/>
    <m/>
    <s v="Southampton"/>
    <s v="no"/>
    <b v="1"/>
    <n v="1"/>
    <n v="5.6381315455515197E+18"/>
  </r>
  <r>
    <b v="0"/>
    <x v="1"/>
    <x v="2"/>
    <x v="1"/>
    <x v="3"/>
    <x v="1"/>
    <x v="0"/>
    <x v="35"/>
    <x v="0"/>
    <x v="2"/>
    <x v="1"/>
    <b v="0"/>
    <m/>
    <s v="Southampton"/>
    <s v="yes"/>
    <b v="1"/>
    <n v="1"/>
    <n v="1.7190707729158001E+19"/>
  </r>
  <r>
    <b v="0"/>
    <x v="0"/>
    <x v="0"/>
    <x v="0"/>
    <x v="0"/>
    <x v="1"/>
    <x v="0"/>
    <x v="0"/>
    <x v="0"/>
    <x v="0"/>
    <x v="0"/>
    <b v="1"/>
    <m/>
    <s v="Southampton"/>
    <s v="no"/>
    <b v="1"/>
    <n v="1"/>
    <n v="1.53533716193414E+19"/>
  </r>
  <r>
    <b v="0"/>
    <x v="0"/>
    <x v="2"/>
    <x v="0"/>
    <x v="39"/>
    <x v="1"/>
    <x v="0"/>
    <x v="16"/>
    <x v="0"/>
    <x v="2"/>
    <x v="0"/>
    <b v="1"/>
    <m/>
    <s v="Southampton"/>
    <s v="no"/>
    <b v="1"/>
    <n v="1"/>
    <n v="2.9304945046951398E+18"/>
  </r>
  <r>
    <b v="0"/>
    <x v="0"/>
    <x v="0"/>
    <x v="0"/>
    <x v="4"/>
    <x v="0"/>
    <x v="0"/>
    <x v="28"/>
    <x v="2"/>
    <x v="0"/>
    <x v="0"/>
    <b v="1"/>
    <m/>
    <s v="Queenstown"/>
    <s v="no"/>
    <b v="0"/>
    <n v="1"/>
    <n v="9.7670752698118697E+18"/>
  </r>
  <r>
    <b v="0"/>
    <x v="1"/>
    <x v="1"/>
    <x v="1"/>
    <x v="14"/>
    <x v="0"/>
    <x v="0"/>
    <x v="114"/>
    <x v="1"/>
    <x v="1"/>
    <x v="1"/>
    <b v="0"/>
    <s v="D"/>
    <s v="Cherbourg"/>
    <s v="yes"/>
    <b v="0"/>
    <n v="0"/>
    <n v="7.0318157104987996E+18"/>
  </r>
  <r>
    <b v="0"/>
    <x v="1"/>
    <x v="0"/>
    <x v="1"/>
    <x v="7"/>
    <x v="1"/>
    <x v="0"/>
    <x v="2"/>
    <x v="0"/>
    <x v="0"/>
    <x v="1"/>
    <b v="0"/>
    <m/>
    <s v="Southampton"/>
    <s v="yes"/>
    <b v="1"/>
    <n v="1"/>
    <n v="1.14617239463283E+19"/>
  </r>
  <r>
    <b v="0"/>
    <x v="0"/>
    <x v="2"/>
    <x v="0"/>
    <x v="22"/>
    <x v="0"/>
    <x v="0"/>
    <x v="115"/>
    <x v="0"/>
    <x v="2"/>
    <x v="0"/>
    <b v="1"/>
    <m/>
    <s v="Southampton"/>
    <s v="no"/>
    <b v="0"/>
    <n v="1"/>
    <n v="1.15554903750331E+19"/>
  </r>
  <r>
    <b v="0"/>
    <x v="1"/>
    <x v="1"/>
    <x v="1"/>
    <x v="35"/>
    <x v="1"/>
    <x v="0"/>
    <x v="116"/>
    <x v="1"/>
    <x v="1"/>
    <x v="1"/>
    <b v="0"/>
    <s v="D"/>
    <s v="Cherbourg"/>
    <s v="yes"/>
    <b v="1"/>
    <n v="0"/>
    <n v="3.8735011679899699E+18"/>
  </r>
  <r>
    <b v="0"/>
    <x v="0"/>
    <x v="2"/>
    <x v="0"/>
    <x v="39"/>
    <x v="1"/>
    <x v="0"/>
    <x v="29"/>
    <x v="0"/>
    <x v="2"/>
    <x v="0"/>
    <b v="1"/>
    <m/>
    <s v="Southampton"/>
    <s v="no"/>
    <b v="1"/>
    <n v="1"/>
    <n v="1.25847394563066E+19"/>
  </r>
  <r>
    <b v="0"/>
    <x v="1"/>
    <x v="0"/>
    <x v="0"/>
    <x v="36"/>
    <x v="1"/>
    <x v="0"/>
    <x v="4"/>
    <x v="0"/>
    <x v="0"/>
    <x v="0"/>
    <b v="1"/>
    <m/>
    <s v="Southampton"/>
    <s v="yes"/>
    <b v="1"/>
    <n v="1"/>
    <n v="9.4642128096749901E+17"/>
  </r>
  <r>
    <b v="0"/>
    <x v="0"/>
    <x v="2"/>
    <x v="0"/>
    <x v="7"/>
    <x v="1"/>
    <x v="0"/>
    <x v="16"/>
    <x v="0"/>
    <x v="2"/>
    <x v="0"/>
    <b v="1"/>
    <m/>
    <s v="Southampton"/>
    <s v="no"/>
    <b v="1"/>
    <n v="1"/>
    <n v="9.7019234227305103E+18"/>
  </r>
  <r>
    <b v="0"/>
    <x v="0"/>
    <x v="0"/>
    <x v="0"/>
    <x v="54"/>
    <x v="1"/>
    <x v="0"/>
    <x v="4"/>
    <x v="0"/>
    <x v="0"/>
    <x v="0"/>
    <b v="1"/>
    <m/>
    <s v="Southampton"/>
    <s v="no"/>
    <b v="1"/>
    <n v="1"/>
    <n v="1.71921041368663E+19"/>
  </r>
  <r>
    <b v="0"/>
    <x v="0"/>
    <x v="0"/>
    <x v="0"/>
    <x v="4"/>
    <x v="1"/>
    <x v="0"/>
    <x v="25"/>
    <x v="0"/>
    <x v="0"/>
    <x v="0"/>
    <b v="1"/>
    <m/>
    <s v="Southampton"/>
    <s v="no"/>
    <b v="1"/>
    <n v="1"/>
    <n v="1.7970467560381901E+19"/>
  </r>
  <r>
    <b v="0"/>
    <x v="1"/>
    <x v="1"/>
    <x v="0"/>
    <x v="1"/>
    <x v="0"/>
    <x v="0"/>
    <x v="117"/>
    <x v="0"/>
    <x v="1"/>
    <x v="0"/>
    <b v="1"/>
    <s v="C"/>
    <s v="Southampton"/>
    <s v="yes"/>
    <b v="0"/>
    <n v="0"/>
    <n v="1.24012483505058E+19"/>
  </r>
  <r>
    <b v="0"/>
    <x v="0"/>
    <x v="0"/>
    <x v="0"/>
    <x v="0"/>
    <x v="1"/>
    <x v="0"/>
    <x v="118"/>
    <x v="0"/>
    <x v="0"/>
    <x v="0"/>
    <b v="1"/>
    <m/>
    <s v="Southampton"/>
    <s v="no"/>
    <b v="1"/>
    <n v="1"/>
    <n v="3.8798915891575598E+18"/>
  </r>
  <r>
    <b v="0"/>
    <x v="1"/>
    <x v="2"/>
    <x v="0"/>
    <x v="19"/>
    <x v="1"/>
    <x v="0"/>
    <x v="29"/>
    <x v="0"/>
    <x v="2"/>
    <x v="0"/>
    <b v="1"/>
    <m/>
    <s v="Southampton"/>
    <s v="yes"/>
    <b v="1"/>
    <n v="1"/>
    <n v="1.5763582224303901E+19"/>
  </r>
  <r>
    <b v="0"/>
    <x v="0"/>
    <x v="0"/>
    <x v="0"/>
    <x v="64"/>
    <x v="1"/>
    <x v="0"/>
    <x v="0"/>
    <x v="0"/>
    <x v="0"/>
    <x v="0"/>
    <b v="1"/>
    <m/>
    <s v="Southampton"/>
    <s v="no"/>
    <b v="1"/>
    <n v="1"/>
    <n v="1.2375040812648801E+18"/>
  </r>
  <r>
    <b v="0"/>
    <x v="0"/>
    <x v="2"/>
    <x v="0"/>
    <x v="24"/>
    <x v="1"/>
    <x v="0"/>
    <x v="16"/>
    <x v="0"/>
    <x v="2"/>
    <x v="0"/>
    <b v="1"/>
    <m/>
    <s v="Southampton"/>
    <s v="no"/>
    <b v="1"/>
    <n v="1"/>
    <n v="8.1203815258330798E+18"/>
  </r>
  <r>
    <b v="0"/>
    <x v="0"/>
    <x v="0"/>
    <x v="1"/>
    <x v="4"/>
    <x v="2"/>
    <x v="1"/>
    <x v="102"/>
    <x v="0"/>
    <x v="0"/>
    <x v="1"/>
    <b v="0"/>
    <m/>
    <s v="Southampton"/>
    <s v="no"/>
    <b v="0"/>
    <n v="1"/>
    <n v="1.80108942157732E+19"/>
  </r>
  <r>
    <b v="0"/>
    <x v="1"/>
    <x v="1"/>
    <x v="1"/>
    <x v="3"/>
    <x v="0"/>
    <x v="0"/>
    <x v="47"/>
    <x v="0"/>
    <x v="1"/>
    <x v="1"/>
    <b v="0"/>
    <s v="C"/>
    <s v="Southampton"/>
    <s v="yes"/>
    <b v="0"/>
    <n v="0"/>
    <n v="1.2203098860426199E+19"/>
  </r>
  <r>
    <b v="0"/>
    <x v="0"/>
    <x v="0"/>
    <x v="0"/>
    <x v="28"/>
    <x v="1"/>
    <x v="0"/>
    <x v="71"/>
    <x v="0"/>
    <x v="0"/>
    <x v="0"/>
    <b v="1"/>
    <m/>
    <s v="Southampton"/>
    <s v="no"/>
    <b v="1"/>
    <n v="1"/>
    <n v="7.6956216161629798E+18"/>
  </r>
  <r>
    <b v="0"/>
    <x v="0"/>
    <x v="2"/>
    <x v="0"/>
    <x v="44"/>
    <x v="1"/>
    <x v="0"/>
    <x v="119"/>
    <x v="0"/>
    <x v="2"/>
    <x v="0"/>
    <b v="1"/>
    <m/>
    <s v="Southampton"/>
    <s v="no"/>
    <b v="1"/>
    <n v="1"/>
    <n v="2.8973609836313902E+18"/>
  </r>
  <r>
    <b v="0"/>
    <x v="1"/>
    <x v="0"/>
    <x v="1"/>
    <x v="31"/>
    <x v="3"/>
    <x v="2"/>
    <x v="22"/>
    <x v="0"/>
    <x v="0"/>
    <x v="2"/>
    <b v="0"/>
    <m/>
    <s v="Southampton"/>
    <s v="yes"/>
    <b v="0"/>
    <n v="1"/>
    <n v="1.5363454117979601E+19"/>
  </r>
  <r>
    <b v="0"/>
    <x v="0"/>
    <x v="2"/>
    <x v="0"/>
    <x v="42"/>
    <x v="1"/>
    <x v="0"/>
    <x v="29"/>
    <x v="0"/>
    <x v="2"/>
    <x v="0"/>
    <b v="1"/>
    <m/>
    <s v="Southampton"/>
    <s v="no"/>
    <b v="1"/>
    <n v="1"/>
    <n v="8.2320392417077002E+18"/>
  </r>
  <r>
    <b v="0"/>
    <x v="0"/>
    <x v="0"/>
    <x v="1"/>
    <x v="4"/>
    <x v="1"/>
    <x v="0"/>
    <x v="120"/>
    <x v="0"/>
    <x v="0"/>
    <x v="1"/>
    <b v="0"/>
    <m/>
    <s v="Southampton"/>
    <s v="no"/>
    <b v="1"/>
    <n v="1"/>
    <n v="6.9088770639434496E+18"/>
  </r>
  <r>
    <b v="0"/>
    <x v="0"/>
    <x v="2"/>
    <x v="0"/>
    <x v="57"/>
    <x v="0"/>
    <x v="0"/>
    <x v="19"/>
    <x v="0"/>
    <x v="2"/>
    <x v="0"/>
    <b v="1"/>
    <m/>
    <s v="Southampton"/>
    <s v="no"/>
    <b v="0"/>
    <n v="1"/>
    <n v="1.6441809334955801E+19"/>
  </r>
  <r>
    <b v="0"/>
    <x v="1"/>
    <x v="2"/>
    <x v="1"/>
    <x v="18"/>
    <x v="1"/>
    <x v="2"/>
    <x v="121"/>
    <x v="0"/>
    <x v="2"/>
    <x v="2"/>
    <b v="0"/>
    <m/>
    <s v="Southampton"/>
    <s v="yes"/>
    <b v="0"/>
    <n v="1"/>
    <n v="8.3003135876204301E+17"/>
  </r>
  <r>
    <b v="0"/>
    <x v="0"/>
    <x v="2"/>
    <x v="0"/>
    <x v="19"/>
    <x v="1"/>
    <x v="0"/>
    <x v="29"/>
    <x v="0"/>
    <x v="2"/>
    <x v="0"/>
    <b v="1"/>
    <m/>
    <s v="Southampton"/>
    <s v="no"/>
    <b v="1"/>
    <n v="1"/>
    <n v="8.5347755811743296E+17"/>
  </r>
  <r>
    <b v="0"/>
    <x v="0"/>
    <x v="2"/>
    <x v="0"/>
    <x v="40"/>
    <x v="1"/>
    <x v="0"/>
    <x v="122"/>
    <x v="0"/>
    <x v="2"/>
    <x v="0"/>
    <b v="1"/>
    <m/>
    <s v="Southampton"/>
    <s v="no"/>
    <b v="1"/>
    <n v="1"/>
    <n v="1.57619705543494E+19"/>
  </r>
  <r>
    <b v="0"/>
    <x v="0"/>
    <x v="0"/>
    <x v="1"/>
    <x v="4"/>
    <x v="0"/>
    <x v="0"/>
    <x v="53"/>
    <x v="1"/>
    <x v="0"/>
    <x v="1"/>
    <b v="0"/>
    <m/>
    <s v="Cherbourg"/>
    <s v="no"/>
    <b v="0"/>
    <n v="1"/>
    <n v="2.1090869766638999E+18"/>
  </r>
  <r>
    <b v="0"/>
    <x v="1"/>
    <x v="0"/>
    <x v="1"/>
    <x v="4"/>
    <x v="0"/>
    <x v="0"/>
    <x v="37"/>
    <x v="2"/>
    <x v="0"/>
    <x v="1"/>
    <b v="0"/>
    <m/>
    <s v="Queenstown"/>
    <s v="yes"/>
    <b v="0"/>
    <n v="1"/>
    <n v="6.4154019982692997E+18"/>
  </r>
  <r>
    <b v="0"/>
    <x v="0"/>
    <x v="2"/>
    <x v="0"/>
    <x v="28"/>
    <x v="1"/>
    <x v="0"/>
    <x v="29"/>
    <x v="0"/>
    <x v="2"/>
    <x v="0"/>
    <b v="1"/>
    <m/>
    <s v="Southampton"/>
    <s v="no"/>
    <b v="1"/>
    <n v="1"/>
    <n v="7.0743552935355095E+18"/>
  </r>
  <r>
    <b v="0"/>
    <x v="0"/>
    <x v="0"/>
    <x v="0"/>
    <x v="0"/>
    <x v="1"/>
    <x v="0"/>
    <x v="123"/>
    <x v="0"/>
    <x v="0"/>
    <x v="0"/>
    <b v="1"/>
    <m/>
    <s v="Southampton"/>
    <s v="no"/>
    <b v="1"/>
    <n v="1"/>
    <n v="6.7856652876754903E+18"/>
  </r>
  <r>
    <b v="0"/>
    <x v="0"/>
    <x v="0"/>
    <x v="0"/>
    <x v="39"/>
    <x v="1"/>
    <x v="0"/>
    <x v="18"/>
    <x v="1"/>
    <x v="0"/>
    <x v="0"/>
    <b v="1"/>
    <m/>
    <s v="Cherbourg"/>
    <s v="no"/>
    <b v="1"/>
    <n v="1"/>
    <n v="1.7308696645677601E+19"/>
  </r>
  <r>
    <b v="0"/>
    <x v="0"/>
    <x v="1"/>
    <x v="0"/>
    <x v="57"/>
    <x v="4"/>
    <x v="0"/>
    <x v="117"/>
    <x v="2"/>
    <x v="1"/>
    <x v="0"/>
    <b v="1"/>
    <s v="C"/>
    <s v="Queenstown"/>
    <s v="no"/>
    <b v="0"/>
    <n v="0"/>
    <n v="1.3086341214419E+17"/>
  </r>
  <r>
    <b v="0"/>
    <x v="0"/>
    <x v="0"/>
    <x v="1"/>
    <x v="37"/>
    <x v="1"/>
    <x v="0"/>
    <x v="71"/>
    <x v="0"/>
    <x v="0"/>
    <x v="1"/>
    <b v="0"/>
    <m/>
    <s v="Southampton"/>
    <s v="no"/>
    <b v="1"/>
    <n v="1"/>
    <n v="1.29069248467666E+19"/>
  </r>
  <r>
    <b v="0"/>
    <x v="1"/>
    <x v="2"/>
    <x v="1"/>
    <x v="42"/>
    <x v="1"/>
    <x v="2"/>
    <x v="80"/>
    <x v="0"/>
    <x v="2"/>
    <x v="1"/>
    <b v="0"/>
    <m/>
    <s v="Southampton"/>
    <s v="yes"/>
    <b v="0"/>
    <n v="1"/>
    <n v="1.5563588285659099E+19"/>
  </r>
  <r>
    <b v="0"/>
    <x v="1"/>
    <x v="1"/>
    <x v="0"/>
    <x v="46"/>
    <x v="0"/>
    <x v="1"/>
    <x v="124"/>
    <x v="0"/>
    <x v="1"/>
    <x v="0"/>
    <b v="1"/>
    <s v="D"/>
    <s v="Southampton"/>
    <s v="yes"/>
    <b v="0"/>
    <n v="0"/>
    <n v="1.4132975161920801E+19"/>
  </r>
  <r>
    <b v="0"/>
    <x v="0"/>
    <x v="2"/>
    <x v="0"/>
    <x v="5"/>
    <x v="0"/>
    <x v="0"/>
    <x v="19"/>
    <x v="0"/>
    <x v="2"/>
    <x v="0"/>
    <b v="1"/>
    <m/>
    <s v="Southampton"/>
    <s v="no"/>
    <b v="0"/>
    <n v="1"/>
    <n v="8.1604179266591104E+17"/>
  </r>
  <r>
    <b v="0"/>
    <x v="0"/>
    <x v="0"/>
    <x v="0"/>
    <x v="4"/>
    <x v="1"/>
    <x v="0"/>
    <x v="0"/>
    <x v="0"/>
    <x v="0"/>
    <x v="0"/>
    <b v="1"/>
    <m/>
    <s v="Southampton"/>
    <s v="no"/>
    <b v="1"/>
    <n v="1"/>
    <n v="1.24309295546305E+19"/>
  </r>
  <r>
    <b v="0"/>
    <x v="0"/>
    <x v="0"/>
    <x v="1"/>
    <x v="28"/>
    <x v="0"/>
    <x v="1"/>
    <x v="111"/>
    <x v="0"/>
    <x v="0"/>
    <x v="1"/>
    <b v="0"/>
    <s v="G"/>
    <s v="Southampton"/>
    <s v="no"/>
    <b v="0"/>
    <n v="0"/>
    <n v="4.8840636705075599E+18"/>
  </r>
  <r>
    <b v="0"/>
    <x v="0"/>
    <x v="1"/>
    <x v="0"/>
    <x v="65"/>
    <x v="1"/>
    <x v="0"/>
    <x v="11"/>
    <x v="0"/>
    <x v="1"/>
    <x v="0"/>
    <b v="1"/>
    <s v="C"/>
    <s v="Southampton"/>
    <s v="no"/>
    <b v="1"/>
    <n v="0"/>
    <n v="2.4686248408602199E+18"/>
  </r>
  <r>
    <b v="0"/>
    <x v="0"/>
    <x v="0"/>
    <x v="0"/>
    <x v="39"/>
    <x v="0"/>
    <x v="0"/>
    <x v="95"/>
    <x v="0"/>
    <x v="0"/>
    <x v="0"/>
    <b v="1"/>
    <m/>
    <s v="Southampton"/>
    <s v="no"/>
    <b v="0"/>
    <n v="1"/>
    <n v="1.2002203329979501E+19"/>
  </r>
  <r>
    <b v="0"/>
    <x v="0"/>
    <x v="0"/>
    <x v="1"/>
    <x v="66"/>
    <x v="1"/>
    <x v="2"/>
    <x v="125"/>
    <x v="0"/>
    <x v="0"/>
    <x v="1"/>
    <b v="0"/>
    <m/>
    <s v="Southampton"/>
    <s v="no"/>
    <b v="0"/>
    <n v="1"/>
    <n v="1.12496329034776E+19"/>
  </r>
  <r>
    <b v="0"/>
    <x v="1"/>
    <x v="0"/>
    <x v="1"/>
    <x v="28"/>
    <x v="1"/>
    <x v="2"/>
    <x v="49"/>
    <x v="1"/>
    <x v="0"/>
    <x v="1"/>
    <b v="0"/>
    <m/>
    <s v="Cherbourg"/>
    <s v="yes"/>
    <b v="0"/>
    <n v="1"/>
    <n v="5.6706007894006303E+18"/>
  </r>
  <r>
    <b v="0"/>
    <x v="1"/>
    <x v="1"/>
    <x v="1"/>
    <x v="4"/>
    <x v="1"/>
    <x v="0"/>
    <x v="84"/>
    <x v="1"/>
    <x v="1"/>
    <x v="1"/>
    <b v="0"/>
    <m/>
    <s v="Cherbourg"/>
    <s v="yes"/>
    <b v="1"/>
    <n v="1"/>
    <n v="1.2563945013908699E+19"/>
  </r>
  <r>
    <b v="0"/>
    <x v="1"/>
    <x v="1"/>
    <x v="1"/>
    <x v="39"/>
    <x v="1"/>
    <x v="0"/>
    <x v="126"/>
    <x v="0"/>
    <x v="1"/>
    <x v="1"/>
    <b v="0"/>
    <s v="B"/>
    <s v="Southampton"/>
    <s v="yes"/>
    <b v="1"/>
    <n v="0"/>
    <n v="4.5716078569482701E+18"/>
  </r>
  <r>
    <b v="0"/>
    <x v="1"/>
    <x v="1"/>
    <x v="1"/>
    <x v="3"/>
    <x v="1"/>
    <x v="0"/>
    <x v="127"/>
    <x v="1"/>
    <x v="1"/>
    <x v="1"/>
    <b v="0"/>
    <m/>
    <s v="Cherbourg"/>
    <s v="yes"/>
    <b v="1"/>
    <n v="1"/>
    <n v="1.3471022772478501E+19"/>
  </r>
  <r>
    <b v="0"/>
    <x v="1"/>
    <x v="2"/>
    <x v="1"/>
    <x v="61"/>
    <x v="1"/>
    <x v="1"/>
    <x v="19"/>
    <x v="0"/>
    <x v="2"/>
    <x v="1"/>
    <b v="0"/>
    <m/>
    <s v="Southampton"/>
    <s v="yes"/>
    <b v="0"/>
    <n v="1"/>
    <n v="6.1758910170857595E+18"/>
  </r>
  <r>
    <b v="0"/>
    <x v="0"/>
    <x v="0"/>
    <x v="0"/>
    <x v="4"/>
    <x v="1"/>
    <x v="0"/>
    <x v="28"/>
    <x v="2"/>
    <x v="0"/>
    <x v="0"/>
    <b v="1"/>
    <m/>
    <s v="Queenstown"/>
    <s v="no"/>
    <b v="1"/>
    <n v="1"/>
    <n v="8.8562668406319196E+18"/>
  </r>
  <r>
    <b v="0"/>
    <x v="1"/>
    <x v="0"/>
    <x v="0"/>
    <x v="25"/>
    <x v="3"/>
    <x v="2"/>
    <x v="22"/>
    <x v="0"/>
    <x v="0"/>
    <x v="2"/>
    <b v="0"/>
    <m/>
    <s v="Southampton"/>
    <s v="yes"/>
    <b v="0"/>
    <n v="1"/>
    <n v="1.7068091589471199E+19"/>
  </r>
  <r>
    <b v="0"/>
    <x v="0"/>
    <x v="1"/>
    <x v="0"/>
    <x v="67"/>
    <x v="0"/>
    <x v="1"/>
    <x v="128"/>
    <x v="0"/>
    <x v="1"/>
    <x v="0"/>
    <b v="1"/>
    <s v="E"/>
    <s v="Southampton"/>
    <s v="no"/>
    <b v="0"/>
    <n v="0"/>
    <n v="1.6154070376289499E+19"/>
  </r>
  <r>
    <b v="0"/>
    <x v="0"/>
    <x v="1"/>
    <x v="0"/>
    <x v="20"/>
    <x v="1"/>
    <x v="0"/>
    <x v="104"/>
    <x v="0"/>
    <x v="1"/>
    <x v="0"/>
    <b v="1"/>
    <s v="B"/>
    <s v="Southampton"/>
    <s v="no"/>
    <b v="1"/>
    <n v="0"/>
    <n v="2.26666888839843E+18"/>
  </r>
  <r>
    <b v="0"/>
    <x v="0"/>
    <x v="0"/>
    <x v="1"/>
    <x v="4"/>
    <x v="1"/>
    <x v="0"/>
    <x v="28"/>
    <x v="2"/>
    <x v="0"/>
    <x v="1"/>
    <b v="0"/>
    <m/>
    <s v="Queenstown"/>
    <s v="no"/>
    <b v="1"/>
    <n v="1"/>
    <n v="5.1455566141950003E+18"/>
  </r>
  <r>
    <b v="0"/>
    <x v="0"/>
    <x v="2"/>
    <x v="0"/>
    <x v="62"/>
    <x v="1"/>
    <x v="0"/>
    <x v="29"/>
    <x v="0"/>
    <x v="2"/>
    <x v="0"/>
    <b v="1"/>
    <m/>
    <s v="Southampton"/>
    <s v="no"/>
    <b v="1"/>
    <n v="1"/>
    <n v="1.8185124768323799E+19"/>
  </r>
  <r>
    <b v="0"/>
    <x v="0"/>
    <x v="0"/>
    <x v="0"/>
    <x v="36"/>
    <x v="3"/>
    <x v="1"/>
    <x v="40"/>
    <x v="0"/>
    <x v="0"/>
    <x v="0"/>
    <b v="1"/>
    <m/>
    <s v="Southampton"/>
    <s v="no"/>
    <b v="0"/>
    <n v="1"/>
    <n v="1.38332524942801E+19"/>
  </r>
  <r>
    <b v="0"/>
    <x v="1"/>
    <x v="0"/>
    <x v="0"/>
    <x v="37"/>
    <x v="0"/>
    <x v="0"/>
    <x v="71"/>
    <x v="0"/>
    <x v="0"/>
    <x v="0"/>
    <b v="1"/>
    <m/>
    <s v="Southampton"/>
    <s v="yes"/>
    <b v="0"/>
    <n v="1"/>
    <n v="1.45377128408214E+19"/>
  </r>
  <r>
    <b v="0"/>
    <x v="1"/>
    <x v="1"/>
    <x v="1"/>
    <x v="10"/>
    <x v="1"/>
    <x v="1"/>
    <x v="129"/>
    <x v="0"/>
    <x v="1"/>
    <x v="1"/>
    <b v="0"/>
    <s v="C"/>
    <s v="Southampton"/>
    <s v="yes"/>
    <b v="0"/>
    <n v="0"/>
    <n v="1.00083752604805E+19"/>
  </r>
  <r>
    <b v="0"/>
    <x v="1"/>
    <x v="1"/>
    <x v="1"/>
    <x v="3"/>
    <x v="1"/>
    <x v="0"/>
    <x v="130"/>
    <x v="0"/>
    <x v="1"/>
    <x v="1"/>
    <b v="0"/>
    <s v="C"/>
    <s v="Southampton"/>
    <s v="yes"/>
    <b v="1"/>
    <n v="0"/>
    <n v="1.4188694182703E+19"/>
  </r>
  <r>
    <b v="0"/>
    <x v="0"/>
    <x v="1"/>
    <x v="0"/>
    <x v="4"/>
    <x v="1"/>
    <x v="0"/>
    <x v="113"/>
    <x v="0"/>
    <x v="1"/>
    <x v="0"/>
    <b v="1"/>
    <m/>
    <s v="Southampton"/>
    <s v="no"/>
    <b v="1"/>
    <n v="1"/>
    <n v="6.18901067620318E+18"/>
  </r>
  <r>
    <b v="0"/>
    <x v="1"/>
    <x v="0"/>
    <x v="0"/>
    <x v="37"/>
    <x v="1"/>
    <x v="0"/>
    <x v="104"/>
    <x v="0"/>
    <x v="0"/>
    <x v="0"/>
    <b v="1"/>
    <m/>
    <s v="Southampton"/>
    <s v="yes"/>
    <b v="1"/>
    <n v="1"/>
    <n v="1.19136079254308E+19"/>
  </r>
  <r>
    <b v="0"/>
    <x v="1"/>
    <x v="2"/>
    <x v="1"/>
    <x v="66"/>
    <x v="1"/>
    <x v="1"/>
    <x v="131"/>
    <x v="0"/>
    <x v="2"/>
    <x v="1"/>
    <b v="0"/>
    <m/>
    <s v="Southampton"/>
    <s v="yes"/>
    <b v="0"/>
    <n v="1"/>
    <n v="1.6098756901665401E+19"/>
  </r>
  <r>
    <b v="0"/>
    <x v="0"/>
    <x v="1"/>
    <x v="0"/>
    <x v="46"/>
    <x v="1"/>
    <x v="1"/>
    <x v="132"/>
    <x v="1"/>
    <x v="1"/>
    <x v="0"/>
    <b v="1"/>
    <s v="C"/>
    <s v="Cherbourg"/>
    <s v="no"/>
    <b v="0"/>
    <n v="0"/>
    <n v="1.53107633011205E+19"/>
  </r>
  <r>
    <b v="0"/>
    <x v="1"/>
    <x v="0"/>
    <x v="1"/>
    <x v="4"/>
    <x v="1"/>
    <x v="0"/>
    <x v="28"/>
    <x v="2"/>
    <x v="0"/>
    <x v="1"/>
    <b v="0"/>
    <m/>
    <s v="Queenstown"/>
    <s v="yes"/>
    <b v="1"/>
    <n v="1"/>
    <n v="9.6415297742023398E+17"/>
  </r>
  <r>
    <b v="0"/>
    <x v="1"/>
    <x v="1"/>
    <x v="1"/>
    <x v="68"/>
    <x v="0"/>
    <x v="0"/>
    <x v="133"/>
    <x v="0"/>
    <x v="1"/>
    <x v="1"/>
    <b v="0"/>
    <s v="D"/>
    <s v="Southampton"/>
    <s v="yes"/>
    <b v="0"/>
    <n v="0"/>
    <n v="1.33170155397342E+19"/>
  </r>
  <r>
    <b v="0"/>
    <x v="0"/>
    <x v="0"/>
    <x v="1"/>
    <x v="33"/>
    <x v="1"/>
    <x v="0"/>
    <x v="28"/>
    <x v="0"/>
    <x v="0"/>
    <x v="1"/>
    <b v="0"/>
    <m/>
    <s v="Southampton"/>
    <s v="no"/>
    <b v="1"/>
    <n v="1"/>
    <n v="1.2194646828559699E+17"/>
  </r>
  <r>
    <b v="0"/>
    <x v="0"/>
    <x v="2"/>
    <x v="0"/>
    <x v="4"/>
    <x v="1"/>
    <x v="0"/>
    <x v="104"/>
    <x v="0"/>
    <x v="2"/>
    <x v="0"/>
    <b v="1"/>
    <m/>
    <s v="Southampton"/>
    <s v="no"/>
    <b v="1"/>
    <n v="1"/>
    <n v="1.3784493890172299E+19"/>
  </r>
  <r>
    <b v="0"/>
    <x v="0"/>
    <x v="0"/>
    <x v="0"/>
    <x v="26"/>
    <x v="3"/>
    <x v="1"/>
    <x v="15"/>
    <x v="2"/>
    <x v="0"/>
    <x v="2"/>
    <b v="0"/>
    <m/>
    <s v="Queenstown"/>
    <s v="no"/>
    <b v="0"/>
    <n v="1"/>
    <n v="5.6103160589344102E+18"/>
  </r>
  <r>
    <b v="0"/>
    <x v="1"/>
    <x v="0"/>
    <x v="1"/>
    <x v="3"/>
    <x v="0"/>
    <x v="1"/>
    <x v="134"/>
    <x v="0"/>
    <x v="0"/>
    <x v="1"/>
    <b v="0"/>
    <m/>
    <s v="Southampton"/>
    <s v="yes"/>
    <b v="0"/>
    <n v="1"/>
    <n v="1.13353111506892E+19"/>
  </r>
  <r>
    <b v="0"/>
    <x v="0"/>
    <x v="0"/>
    <x v="0"/>
    <x v="29"/>
    <x v="1"/>
    <x v="0"/>
    <x v="28"/>
    <x v="2"/>
    <x v="0"/>
    <x v="0"/>
    <b v="1"/>
    <m/>
    <s v="Queenstown"/>
    <s v="no"/>
    <b v="1"/>
    <n v="1"/>
    <n v="5.2770977869010903E+18"/>
  </r>
  <r>
    <b v="0"/>
    <x v="0"/>
    <x v="0"/>
    <x v="0"/>
    <x v="17"/>
    <x v="1"/>
    <x v="0"/>
    <x v="13"/>
    <x v="0"/>
    <x v="0"/>
    <x v="0"/>
    <b v="1"/>
    <m/>
    <s v="Southampton"/>
    <s v="no"/>
    <b v="1"/>
    <n v="1"/>
    <n v="9.0991275669441905E+18"/>
  </r>
  <r>
    <b v="0"/>
    <x v="0"/>
    <x v="0"/>
    <x v="0"/>
    <x v="36"/>
    <x v="1"/>
    <x v="0"/>
    <x v="59"/>
    <x v="0"/>
    <x v="0"/>
    <x v="0"/>
    <b v="1"/>
    <m/>
    <s v="Southampton"/>
    <s v="no"/>
    <b v="1"/>
    <n v="1"/>
    <n v="1.79427938723858E+18"/>
  </r>
  <r>
    <b v="0"/>
    <x v="1"/>
    <x v="0"/>
    <x v="0"/>
    <x v="19"/>
    <x v="1"/>
    <x v="0"/>
    <x v="4"/>
    <x v="0"/>
    <x v="0"/>
    <x v="0"/>
    <b v="1"/>
    <m/>
    <s v="Southampton"/>
    <s v="yes"/>
    <b v="1"/>
    <n v="1"/>
    <n v="1.53042391626175E+19"/>
  </r>
  <r>
    <b v="0"/>
    <x v="0"/>
    <x v="1"/>
    <x v="0"/>
    <x v="4"/>
    <x v="1"/>
    <x v="0"/>
    <x v="19"/>
    <x v="0"/>
    <x v="1"/>
    <x v="0"/>
    <b v="1"/>
    <s v="A"/>
    <s v="Southampton"/>
    <s v="no"/>
    <b v="1"/>
    <n v="1"/>
    <n v="3.0053914657257298E+18"/>
  </r>
  <r>
    <b v="0"/>
    <x v="0"/>
    <x v="0"/>
    <x v="0"/>
    <x v="40"/>
    <x v="1"/>
    <x v="0"/>
    <x v="51"/>
    <x v="1"/>
    <x v="0"/>
    <x v="0"/>
    <b v="1"/>
    <m/>
    <s v="Cherbourg"/>
    <s v="no"/>
    <b v="1"/>
    <n v="1"/>
    <n v="1.1044029760903899E+19"/>
  </r>
  <r>
    <b v="0"/>
    <x v="1"/>
    <x v="0"/>
    <x v="0"/>
    <x v="39"/>
    <x v="1"/>
    <x v="0"/>
    <x v="59"/>
    <x v="0"/>
    <x v="0"/>
    <x v="0"/>
    <b v="1"/>
    <m/>
    <s v="Southampton"/>
    <s v="yes"/>
    <b v="1"/>
    <n v="1"/>
    <n v="4.7428667751986502E+17"/>
  </r>
  <r>
    <b v="0"/>
    <x v="0"/>
    <x v="0"/>
    <x v="0"/>
    <x v="0"/>
    <x v="1"/>
    <x v="0"/>
    <x v="25"/>
    <x v="0"/>
    <x v="0"/>
    <x v="0"/>
    <b v="1"/>
    <m/>
    <s v="Southampton"/>
    <s v="no"/>
    <b v="1"/>
    <n v="1"/>
    <n v="1.18144678467071E+19"/>
  </r>
  <r>
    <b v="0"/>
    <x v="1"/>
    <x v="2"/>
    <x v="0"/>
    <x v="22"/>
    <x v="1"/>
    <x v="0"/>
    <x v="16"/>
    <x v="0"/>
    <x v="2"/>
    <x v="0"/>
    <b v="1"/>
    <m/>
    <s v="Southampton"/>
    <s v="yes"/>
    <b v="1"/>
    <n v="1"/>
    <n v="5.7619386857363896E+18"/>
  </r>
  <r>
    <b v="0"/>
    <x v="1"/>
    <x v="0"/>
    <x v="1"/>
    <x v="0"/>
    <x v="1"/>
    <x v="0"/>
    <x v="28"/>
    <x v="2"/>
    <x v="0"/>
    <x v="1"/>
    <b v="0"/>
    <m/>
    <s v="Queenstown"/>
    <s v="yes"/>
    <b v="1"/>
    <n v="1"/>
    <n v="8.4086567049864899E+18"/>
  </r>
  <r>
    <b v="0"/>
    <x v="1"/>
    <x v="1"/>
    <x v="1"/>
    <x v="2"/>
    <x v="1"/>
    <x v="0"/>
    <x v="135"/>
    <x v="0"/>
    <x v="1"/>
    <x v="1"/>
    <b v="0"/>
    <m/>
    <s v="Southampton"/>
    <s v="yes"/>
    <b v="1"/>
    <n v="1"/>
    <n v="1.77346346721599E+19"/>
  </r>
  <r>
    <b v="0"/>
    <x v="1"/>
    <x v="1"/>
    <x v="1"/>
    <x v="19"/>
    <x v="0"/>
    <x v="0"/>
    <x v="136"/>
    <x v="1"/>
    <x v="1"/>
    <x v="1"/>
    <b v="0"/>
    <s v="B"/>
    <s v="Cherbourg"/>
    <s v="yes"/>
    <b v="0"/>
    <n v="0"/>
    <n v="8.9801804605796803E+18"/>
  </r>
  <r>
    <b v="0"/>
    <x v="0"/>
    <x v="2"/>
    <x v="0"/>
    <x v="62"/>
    <x v="1"/>
    <x v="0"/>
    <x v="137"/>
    <x v="1"/>
    <x v="2"/>
    <x v="0"/>
    <b v="1"/>
    <s v="D"/>
    <s v="Cherbourg"/>
    <s v="no"/>
    <b v="1"/>
    <n v="0"/>
    <n v="9.6859604811130102E+18"/>
  </r>
  <r>
    <b v="0"/>
    <x v="0"/>
    <x v="0"/>
    <x v="1"/>
    <x v="42"/>
    <x v="1"/>
    <x v="0"/>
    <x v="138"/>
    <x v="0"/>
    <x v="0"/>
    <x v="1"/>
    <b v="0"/>
    <m/>
    <s v="Southampton"/>
    <s v="no"/>
    <b v="1"/>
    <n v="1"/>
    <n v="3.9135367050793098E+18"/>
  </r>
  <r>
    <b v="0"/>
    <x v="0"/>
    <x v="0"/>
    <x v="0"/>
    <x v="42"/>
    <x v="1"/>
    <x v="0"/>
    <x v="25"/>
    <x v="0"/>
    <x v="0"/>
    <x v="0"/>
    <b v="1"/>
    <m/>
    <s v="Southampton"/>
    <s v="no"/>
    <b v="1"/>
    <n v="1"/>
    <n v="1.3665593054706801E+19"/>
  </r>
  <r>
    <b v="0"/>
    <x v="0"/>
    <x v="1"/>
    <x v="0"/>
    <x v="4"/>
    <x v="1"/>
    <x v="0"/>
    <x v="26"/>
    <x v="1"/>
    <x v="1"/>
    <x v="0"/>
    <b v="1"/>
    <m/>
    <s v="Cherbourg"/>
    <s v="no"/>
    <b v="1"/>
    <n v="1"/>
    <n v="1.67028729440001E+19"/>
  </r>
  <r>
    <b v="0"/>
    <x v="0"/>
    <x v="0"/>
    <x v="0"/>
    <x v="69"/>
    <x v="1"/>
    <x v="0"/>
    <x v="32"/>
    <x v="1"/>
    <x v="0"/>
    <x v="0"/>
    <b v="1"/>
    <m/>
    <s v="Cherbourg"/>
    <s v="no"/>
    <b v="1"/>
    <n v="1"/>
    <n v="9.5437627481035203E+18"/>
  </r>
  <r>
    <b v="0"/>
    <x v="0"/>
    <x v="1"/>
    <x v="1"/>
    <x v="6"/>
    <x v="0"/>
    <x v="2"/>
    <x v="139"/>
    <x v="0"/>
    <x v="1"/>
    <x v="2"/>
    <b v="0"/>
    <s v="C"/>
    <s v="Southampton"/>
    <s v="no"/>
    <b v="0"/>
    <n v="0"/>
    <n v="3.6547636939860598E+18"/>
  </r>
  <r>
    <b v="0"/>
    <x v="1"/>
    <x v="1"/>
    <x v="0"/>
    <x v="4"/>
    <x v="1"/>
    <x v="0"/>
    <x v="140"/>
    <x v="0"/>
    <x v="1"/>
    <x v="0"/>
    <b v="1"/>
    <s v="C"/>
    <s v="Southampton"/>
    <s v="yes"/>
    <b v="1"/>
    <n v="1"/>
    <n v="1.6766148369515999E+19"/>
  </r>
  <r>
    <b v="0"/>
    <x v="1"/>
    <x v="1"/>
    <x v="1"/>
    <x v="61"/>
    <x v="1"/>
    <x v="1"/>
    <x v="75"/>
    <x v="1"/>
    <x v="1"/>
    <x v="1"/>
    <b v="0"/>
    <s v="B"/>
    <s v="Cherbourg"/>
    <s v="yes"/>
    <b v="0"/>
    <n v="0"/>
    <n v="1.70135494072693E+19"/>
  </r>
  <r>
    <b v="0"/>
    <x v="1"/>
    <x v="0"/>
    <x v="1"/>
    <x v="4"/>
    <x v="1"/>
    <x v="0"/>
    <x v="28"/>
    <x v="2"/>
    <x v="0"/>
    <x v="1"/>
    <b v="0"/>
    <m/>
    <s v="Queenstown"/>
    <s v="yes"/>
    <b v="1"/>
    <n v="1"/>
    <n v="9.6415297742023398E+17"/>
  </r>
  <r>
    <b v="0"/>
    <x v="1"/>
    <x v="0"/>
    <x v="0"/>
    <x v="4"/>
    <x v="4"/>
    <x v="0"/>
    <x v="141"/>
    <x v="2"/>
    <x v="0"/>
    <x v="0"/>
    <b v="1"/>
    <m/>
    <s v="Queenstown"/>
    <s v="yes"/>
    <b v="0"/>
    <n v="1"/>
    <n v="6.6761612449761905E+18"/>
  </r>
  <r>
    <b v="0"/>
    <x v="0"/>
    <x v="0"/>
    <x v="0"/>
    <x v="19"/>
    <x v="1"/>
    <x v="0"/>
    <x v="104"/>
    <x v="0"/>
    <x v="0"/>
    <x v="0"/>
    <b v="1"/>
    <m/>
    <s v="Southampton"/>
    <s v="no"/>
    <b v="1"/>
    <n v="1"/>
    <n v="1.2623684951734E+19"/>
  </r>
  <r>
    <b v="0"/>
    <x v="1"/>
    <x v="2"/>
    <x v="1"/>
    <x v="4"/>
    <x v="1"/>
    <x v="0"/>
    <x v="142"/>
    <x v="2"/>
    <x v="2"/>
    <x v="1"/>
    <b v="0"/>
    <s v="E"/>
    <s v="Queenstown"/>
    <s v="yes"/>
    <b v="1"/>
    <n v="1"/>
    <n v="5.6441492376254003E+18"/>
  </r>
  <r>
    <b v="0"/>
    <x v="0"/>
    <x v="0"/>
    <x v="0"/>
    <x v="4"/>
    <x v="1"/>
    <x v="0"/>
    <x v="4"/>
    <x v="0"/>
    <x v="0"/>
    <x v="0"/>
    <b v="1"/>
    <m/>
    <s v="Southampton"/>
    <s v="no"/>
    <b v="1"/>
    <n v="1"/>
    <n v="1.0519935439659201E+19"/>
  </r>
  <r>
    <b v="0"/>
    <x v="1"/>
    <x v="1"/>
    <x v="0"/>
    <x v="70"/>
    <x v="0"/>
    <x v="2"/>
    <x v="139"/>
    <x v="0"/>
    <x v="1"/>
    <x v="2"/>
    <b v="0"/>
    <s v="C"/>
    <s v="Southampton"/>
    <s v="yes"/>
    <b v="0"/>
    <n v="0"/>
    <n v="1.77917254537385E+19"/>
  </r>
  <r>
    <b v="0"/>
    <x v="1"/>
    <x v="1"/>
    <x v="1"/>
    <x v="4"/>
    <x v="1"/>
    <x v="0"/>
    <x v="143"/>
    <x v="1"/>
    <x v="1"/>
    <x v="1"/>
    <b v="0"/>
    <m/>
    <s v="Cherbourg"/>
    <s v="yes"/>
    <b v="1"/>
    <n v="1"/>
    <n v="4.8677097903959204E+18"/>
  </r>
  <r>
    <b v="0"/>
    <x v="1"/>
    <x v="1"/>
    <x v="1"/>
    <x v="34"/>
    <x v="0"/>
    <x v="0"/>
    <x v="144"/>
    <x v="1"/>
    <x v="1"/>
    <x v="1"/>
    <b v="0"/>
    <s v="C"/>
    <s v="Cherbourg"/>
    <s v="yes"/>
    <b v="0"/>
    <n v="0"/>
    <n v="6.2356375047086295E+18"/>
  </r>
  <r>
    <b v="0"/>
    <x v="0"/>
    <x v="2"/>
    <x v="0"/>
    <x v="39"/>
    <x v="0"/>
    <x v="0"/>
    <x v="145"/>
    <x v="1"/>
    <x v="2"/>
    <x v="0"/>
    <b v="1"/>
    <m/>
    <s v="Cherbourg"/>
    <s v="no"/>
    <b v="0"/>
    <n v="1"/>
    <n v="2.4498338679810499E+18"/>
  </r>
  <r>
    <b v="0"/>
    <x v="1"/>
    <x v="1"/>
    <x v="1"/>
    <x v="39"/>
    <x v="1"/>
    <x v="0"/>
    <x v="146"/>
    <x v="1"/>
    <x v="1"/>
    <x v="1"/>
    <b v="0"/>
    <s v="E"/>
    <s v="Cherbourg"/>
    <s v="yes"/>
    <b v="1"/>
    <n v="0"/>
    <n v="1.02005004318685E+19"/>
  </r>
  <r>
    <b v="0"/>
    <x v="1"/>
    <x v="1"/>
    <x v="1"/>
    <x v="42"/>
    <x v="1"/>
    <x v="0"/>
    <x v="147"/>
    <x v="1"/>
    <x v="1"/>
    <x v="1"/>
    <b v="0"/>
    <s v="C"/>
    <s v="Cherbourg"/>
    <s v="yes"/>
    <b v="1"/>
    <n v="0"/>
    <n v="1.5686890017861599E+19"/>
  </r>
  <r>
    <b v="0"/>
    <x v="1"/>
    <x v="1"/>
    <x v="1"/>
    <x v="24"/>
    <x v="4"/>
    <x v="2"/>
    <x v="148"/>
    <x v="1"/>
    <x v="1"/>
    <x v="1"/>
    <b v="0"/>
    <s v="B"/>
    <s v="Cherbourg"/>
    <s v="yes"/>
    <b v="0"/>
    <n v="0"/>
    <n v="2.07487687981775E+18"/>
  </r>
  <r>
    <b v="0"/>
    <x v="0"/>
    <x v="2"/>
    <x v="1"/>
    <x v="2"/>
    <x v="0"/>
    <x v="1"/>
    <x v="19"/>
    <x v="0"/>
    <x v="2"/>
    <x v="1"/>
    <b v="0"/>
    <m/>
    <s v="Southampton"/>
    <s v="no"/>
    <b v="0"/>
    <n v="1"/>
    <n v="1.28061056294343E+19"/>
  </r>
  <r>
    <b v="0"/>
    <x v="0"/>
    <x v="0"/>
    <x v="0"/>
    <x v="17"/>
    <x v="1"/>
    <x v="0"/>
    <x v="25"/>
    <x v="0"/>
    <x v="0"/>
    <x v="0"/>
    <b v="1"/>
    <m/>
    <s v="Southampton"/>
    <s v="no"/>
    <b v="1"/>
    <n v="1"/>
    <n v="1.26909617605963E+19"/>
  </r>
  <r>
    <b v="0"/>
    <x v="0"/>
    <x v="2"/>
    <x v="0"/>
    <x v="71"/>
    <x v="0"/>
    <x v="1"/>
    <x v="121"/>
    <x v="0"/>
    <x v="2"/>
    <x v="0"/>
    <b v="1"/>
    <m/>
    <s v="Southampton"/>
    <s v="no"/>
    <b v="0"/>
    <n v="1"/>
    <n v="2.8780791009791401E+18"/>
  </r>
  <r>
    <b v="0"/>
    <x v="1"/>
    <x v="0"/>
    <x v="1"/>
    <x v="2"/>
    <x v="1"/>
    <x v="0"/>
    <x v="13"/>
    <x v="0"/>
    <x v="0"/>
    <x v="1"/>
    <b v="0"/>
    <m/>
    <s v="Southampton"/>
    <s v="yes"/>
    <b v="1"/>
    <n v="1"/>
    <n v="1.10682628447983E+19"/>
  </r>
  <r>
    <b v="0"/>
    <x v="1"/>
    <x v="2"/>
    <x v="1"/>
    <x v="42"/>
    <x v="0"/>
    <x v="0"/>
    <x v="19"/>
    <x v="0"/>
    <x v="2"/>
    <x v="1"/>
    <b v="0"/>
    <m/>
    <s v="Southampton"/>
    <s v="yes"/>
    <b v="0"/>
    <n v="1"/>
    <n v="5.7548897490203003E+18"/>
  </r>
  <r>
    <b v="0"/>
    <x v="0"/>
    <x v="2"/>
    <x v="0"/>
    <x v="5"/>
    <x v="1"/>
    <x v="0"/>
    <x v="149"/>
    <x v="0"/>
    <x v="2"/>
    <x v="0"/>
    <b v="1"/>
    <m/>
    <s v="Southampton"/>
    <s v="no"/>
    <b v="1"/>
    <n v="1"/>
    <n v="7.5735566454494502E+17"/>
  </r>
  <r>
    <b v="0"/>
    <x v="1"/>
    <x v="1"/>
    <x v="1"/>
    <x v="14"/>
    <x v="1"/>
    <x v="2"/>
    <x v="150"/>
    <x v="0"/>
    <x v="1"/>
    <x v="1"/>
    <b v="0"/>
    <s v="C"/>
    <s v="Southampton"/>
    <s v="yes"/>
    <b v="0"/>
    <n v="0"/>
    <n v="5.82496011046929E+18"/>
  </r>
  <r>
    <b v="0"/>
    <x v="1"/>
    <x v="1"/>
    <x v="1"/>
    <x v="20"/>
    <x v="0"/>
    <x v="1"/>
    <x v="151"/>
    <x v="1"/>
    <x v="1"/>
    <x v="1"/>
    <b v="0"/>
    <s v="E"/>
    <s v="Cherbourg"/>
    <s v="yes"/>
    <b v="0"/>
    <n v="0"/>
    <n v="1.1080873305303099E+19"/>
  </r>
  <r>
    <b v="0"/>
    <x v="0"/>
    <x v="0"/>
    <x v="0"/>
    <x v="0"/>
    <x v="1"/>
    <x v="0"/>
    <x v="0"/>
    <x v="0"/>
    <x v="0"/>
    <x v="0"/>
    <b v="1"/>
    <m/>
    <s v="Southampton"/>
    <s v="no"/>
    <b v="1"/>
    <n v="1"/>
    <n v="1.53533716193414E+19"/>
  </r>
  <r>
    <b v="0"/>
    <x v="0"/>
    <x v="0"/>
    <x v="0"/>
    <x v="7"/>
    <x v="1"/>
    <x v="0"/>
    <x v="25"/>
    <x v="0"/>
    <x v="0"/>
    <x v="0"/>
    <b v="1"/>
    <m/>
    <s v="Southampton"/>
    <s v="no"/>
    <b v="1"/>
    <n v="1"/>
    <n v="4.7232996567427604E+18"/>
  </r>
  <r>
    <b v="0"/>
    <x v="1"/>
    <x v="2"/>
    <x v="1"/>
    <x v="39"/>
    <x v="1"/>
    <x v="0"/>
    <x v="142"/>
    <x v="2"/>
    <x v="2"/>
    <x v="1"/>
    <b v="0"/>
    <m/>
    <s v="Queenstown"/>
    <s v="yes"/>
    <b v="1"/>
    <n v="1"/>
    <n v="6.7196542277450496E+18"/>
  </r>
  <r>
    <b v="0"/>
    <x v="1"/>
    <x v="2"/>
    <x v="1"/>
    <x v="0"/>
    <x v="0"/>
    <x v="1"/>
    <x v="56"/>
    <x v="0"/>
    <x v="2"/>
    <x v="1"/>
    <b v="0"/>
    <m/>
    <s v="Southampton"/>
    <s v="yes"/>
    <b v="0"/>
    <n v="1"/>
    <n v="6.2057247021075098E+18"/>
  </r>
  <r>
    <b v="0"/>
    <x v="0"/>
    <x v="0"/>
    <x v="0"/>
    <x v="4"/>
    <x v="6"/>
    <x v="2"/>
    <x v="94"/>
    <x v="0"/>
    <x v="0"/>
    <x v="0"/>
    <b v="1"/>
    <m/>
    <s v="Southampton"/>
    <s v="no"/>
    <b v="0"/>
    <n v="1"/>
    <n v="1.2395330416317399E+19"/>
  </r>
  <r>
    <b v="0"/>
    <x v="1"/>
    <x v="1"/>
    <x v="1"/>
    <x v="62"/>
    <x v="1"/>
    <x v="0"/>
    <x v="130"/>
    <x v="1"/>
    <x v="1"/>
    <x v="1"/>
    <b v="0"/>
    <s v="C"/>
    <s v="Cherbourg"/>
    <s v="yes"/>
    <b v="1"/>
    <n v="0"/>
    <n v="1.5504267919476001E+19"/>
  </r>
  <r>
    <b v="0"/>
    <x v="0"/>
    <x v="0"/>
    <x v="0"/>
    <x v="59"/>
    <x v="1"/>
    <x v="0"/>
    <x v="152"/>
    <x v="0"/>
    <x v="0"/>
    <x v="0"/>
    <b v="1"/>
    <m/>
    <s v="Southampton"/>
    <s v="no"/>
    <b v="1"/>
    <n v="1"/>
    <n v="1.5825008698808499E+18"/>
  </r>
  <r>
    <b v="0"/>
    <x v="1"/>
    <x v="2"/>
    <x v="1"/>
    <x v="62"/>
    <x v="1"/>
    <x v="0"/>
    <x v="16"/>
    <x v="0"/>
    <x v="2"/>
    <x v="1"/>
    <b v="0"/>
    <s v="D"/>
    <s v="Southampton"/>
    <s v="yes"/>
    <b v="1"/>
    <n v="0"/>
    <n v="1.14627527679256E+19"/>
  </r>
  <r>
    <b v="0"/>
    <x v="1"/>
    <x v="0"/>
    <x v="1"/>
    <x v="14"/>
    <x v="0"/>
    <x v="1"/>
    <x v="97"/>
    <x v="0"/>
    <x v="0"/>
    <x v="1"/>
    <b v="0"/>
    <m/>
    <s v="Southampton"/>
    <s v="yes"/>
    <b v="0"/>
    <n v="1"/>
    <n v="1.03866246755122E+18"/>
  </r>
  <r>
    <b v="0"/>
    <x v="1"/>
    <x v="1"/>
    <x v="1"/>
    <x v="36"/>
    <x v="1"/>
    <x v="1"/>
    <x v="153"/>
    <x v="1"/>
    <x v="1"/>
    <x v="1"/>
    <b v="0"/>
    <s v="B"/>
    <s v="Cherbourg"/>
    <s v="yes"/>
    <b v="0"/>
    <n v="0"/>
    <n v="1.5469756546725401E+19"/>
  </r>
  <r>
    <b v="0"/>
    <x v="1"/>
    <x v="0"/>
    <x v="1"/>
    <x v="4"/>
    <x v="4"/>
    <x v="0"/>
    <x v="141"/>
    <x v="2"/>
    <x v="0"/>
    <x v="1"/>
    <b v="0"/>
    <m/>
    <s v="Queenstown"/>
    <s v="yes"/>
    <b v="0"/>
    <n v="1"/>
    <n v="8.91121229769293E+18"/>
  </r>
  <r>
    <b v="0"/>
    <x v="0"/>
    <x v="1"/>
    <x v="0"/>
    <x v="63"/>
    <x v="1"/>
    <x v="0"/>
    <x v="154"/>
    <x v="0"/>
    <x v="1"/>
    <x v="0"/>
    <b v="1"/>
    <s v="C"/>
    <s v="Southampton"/>
    <s v="no"/>
    <b v="1"/>
    <n v="0"/>
    <n v="2.6821388223706099E+17"/>
  </r>
  <r>
    <b v="0"/>
    <x v="0"/>
    <x v="1"/>
    <x v="0"/>
    <x v="1"/>
    <x v="1"/>
    <x v="1"/>
    <x v="129"/>
    <x v="0"/>
    <x v="1"/>
    <x v="0"/>
    <b v="1"/>
    <s v="C"/>
    <s v="Southampton"/>
    <s v="no"/>
    <b v="0"/>
    <n v="0"/>
    <n v="2.5551094617218202E+18"/>
  </r>
  <r>
    <b v="0"/>
    <x v="0"/>
    <x v="0"/>
    <x v="0"/>
    <x v="36"/>
    <x v="4"/>
    <x v="0"/>
    <x v="17"/>
    <x v="0"/>
    <x v="0"/>
    <x v="0"/>
    <b v="1"/>
    <m/>
    <s v="Southampton"/>
    <s v="no"/>
    <b v="0"/>
    <n v="1"/>
    <n v="8.5207535558394204E+18"/>
  </r>
  <r>
    <b v="0"/>
    <x v="1"/>
    <x v="1"/>
    <x v="1"/>
    <x v="4"/>
    <x v="0"/>
    <x v="0"/>
    <x v="155"/>
    <x v="0"/>
    <x v="1"/>
    <x v="1"/>
    <b v="0"/>
    <m/>
    <s v="Southampton"/>
    <s v="yes"/>
    <b v="0"/>
    <n v="1"/>
    <n v="1.38932132844474E+19"/>
  </r>
  <r>
    <b v="0"/>
    <x v="0"/>
    <x v="0"/>
    <x v="0"/>
    <x v="4"/>
    <x v="1"/>
    <x v="0"/>
    <x v="25"/>
    <x v="0"/>
    <x v="0"/>
    <x v="0"/>
    <b v="1"/>
    <m/>
    <s v="Southampton"/>
    <s v="no"/>
    <b v="1"/>
    <n v="1"/>
    <n v="1.7970467560381901E+19"/>
  </r>
  <r>
    <b v="0"/>
    <x v="0"/>
    <x v="1"/>
    <x v="0"/>
    <x v="28"/>
    <x v="0"/>
    <x v="0"/>
    <x v="90"/>
    <x v="0"/>
    <x v="1"/>
    <x v="0"/>
    <b v="1"/>
    <s v="C"/>
    <s v="Southampton"/>
    <s v="no"/>
    <b v="0"/>
    <n v="0"/>
    <n v="7.2140634266751201E+18"/>
  </r>
  <r>
    <b v="0"/>
    <x v="1"/>
    <x v="1"/>
    <x v="1"/>
    <x v="66"/>
    <x v="1"/>
    <x v="0"/>
    <x v="151"/>
    <x v="1"/>
    <x v="1"/>
    <x v="1"/>
    <b v="0"/>
    <s v="E"/>
    <s v="Cherbourg"/>
    <s v="yes"/>
    <b v="1"/>
    <n v="0"/>
    <n v="9.9658662417129805E+17"/>
  </r>
  <r>
    <b v="0"/>
    <x v="1"/>
    <x v="0"/>
    <x v="0"/>
    <x v="33"/>
    <x v="1"/>
    <x v="0"/>
    <x v="4"/>
    <x v="0"/>
    <x v="0"/>
    <x v="0"/>
    <b v="1"/>
    <m/>
    <s v="Southampton"/>
    <s v="yes"/>
    <b v="1"/>
    <n v="1"/>
    <n v="1.3327066036913199E+19"/>
  </r>
  <r>
    <b v="0"/>
    <x v="0"/>
    <x v="1"/>
    <x v="0"/>
    <x v="33"/>
    <x v="1"/>
    <x v="0"/>
    <x v="21"/>
    <x v="0"/>
    <x v="1"/>
    <x v="0"/>
    <b v="1"/>
    <m/>
    <s v="Southampton"/>
    <s v="no"/>
    <b v="1"/>
    <n v="1"/>
    <n v="4.2491395315459098E+18"/>
  </r>
  <r>
    <b v="0"/>
    <x v="1"/>
    <x v="2"/>
    <x v="0"/>
    <x v="6"/>
    <x v="0"/>
    <x v="1"/>
    <x v="19"/>
    <x v="0"/>
    <x v="2"/>
    <x v="2"/>
    <b v="0"/>
    <s v="F"/>
    <s v="Southampton"/>
    <s v="yes"/>
    <b v="0"/>
    <n v="0"/>
    <n v="1.4868206509027101E+19"/>
  </r>
  <r>
    <b v="0"/>
    <x v="1"/>
    <x v="1"/>
    <x v="1"/>
    <x v="42"/>
    <x v="2"/>
    <x v="2"/>
    <x v="23"/>
    <x v="0"/>
    <x v="1"/>
    <x v="1"/>
    <b v="0"/>
    <s v="C"/>
    <s v="Southampton"/>
    <s v="yes"/>
    <b v="0"/>
    <n v="0"/>
    <n v="9.7997033604958003E+18"/>
  </r>
  <r>
    <b v="0"/>
    <x v="0"/>
    <x v="2"/>
    <x v="0"/>
    <x v="17"/>
    <x v="1"/>
    <x v="0"/>
    <x v="16"/>
    <x v="0"/>
    <x v="2"/>
    <x v="0"/>
    <b v="1"/>
    <m/>
    <s v="Southampton"/>
    <s v="no"/>
    <b v="1"/>
    <n v="1"/>
    <n v="1.59658963116201E+19"/>
  </r>
  <r>
    <b v="0"/>
    <x v="0"/>
    <x v="2"/>
    <x v="0"/>
    <x v="37"/>
    <x v="1"/>
    <x v="0"/>
    <x v="16"/>
    <x v="0"/>
    <x v="2"/>
    <x v="0"/>
    <b v="1"/>
    <m/>
    <s v="Southampton"/>
    <s v="no"/>
    <b v="1"/>
    <n v="1"/>
    <n v="1.45445304985682E+19"/>
  </r>
  <r>
    <b v="0"/>
    <x v="0"/>
    <x v="2"/>
    <x v="0"/>
    <x v="62"/>
    <x v="1"/>
    <x v="0"/>
    <x v="16"/>
    <x v="0"/>
    <x v="2"/>
    <x v="0"/>
    <b v="1"/>
    <m/>
    <s v="Southampton"/>
    <s v="no"/>
    <b v="1"/>
    <n v="1"/>
    <n v="6.8775833547157699E+18"/>
  </r>
  <r>
    <b v="0"/>
    <x v="1"/>
    <x v="2"/>
    <x v="1"/>
    <x v="42"/>
    <x v="1"/>
    <x v="0"/>
    <x v="16"/>
    <x v="0"/>
    <x v="2"/>
    <x v="1"/>
    <b v="0"/>
    <s v="F"/>
    <s v="Southampton"/>
    <s v="yes"/>
    <b v="1"/>
    <n v="0"/>
    <n v="1.6926772517728899E+19"/>
  </r>
  <r>
    <b v="0"/>
    <x v="1"/>
    <x v="2"/>
    <x v="1"/>
    <x v="20"/>
    <x v="1"/>
    <x v="0"/>
    <x v="16"/>
    <x v="0"/>
    <x v="2"/>
    <x v="1"/>
    <b v="0"/>
    <m/>
    <s v="Southampton"/>
    <s v="yes"/>
    <b v="1"/>
    <n v="1"/>
    <n v="1.5020843937574601E+19"/>
  </r>
  <r>
    <b v="0"/>
    <x v="1"/>
    <x v="0"/>
    <x v="1"/>
    <x v="4"/>
    <x v="0"/>
    <x v="0"/>
    <x v="95"/>
    <x v="0"/>
    <x v="0"/>
    <x v="1"/>
    <b v="0"/>
    <m/>
    <s v="Southampton"/>
    <s v="yes"/>
    <b v="0"/>
    <n v="1"/>
    <n v="1.74732797207161E+19"/>
  </r>
  <r>
    <b v="0"/>
    <x v="1"/>
    <x v="0"/>
    <x v="0"/>
    <x v="25"/>
    <x v="0"/>
    <x v="1"/>
    <x v="156"/>
    <x v="0"/>
    <x v="0"/>
    <x v="2"/>
    <b v="0"/>
    <m/>
    <s v="Southampton"/>
    <s v="yes"/>
    <b v="0"/>
    <n v="1"/>
    <n v="3.6434985044377902E+18"/>
  </r>
  <r>
    <b v="0"/>
    <x v="0"/>
    <x v="0"/>
    <x v="0"/>
    <x v="22"/>
    <x v="1"/>
    <x v="0"/>
    <x v="51"/>
    <x v="0"/>
    <x v="0"/>
    <x v="0"/>
    <b v="1"/>
    <m/>
    <s v="Southampton"/>
    <s v="no"/>
    <b v="1"/>
    <n v="1"/>
    <n v="1.20384322040029E+19"/>
  </r>
  <r>
    <b v="0"/>
    <x v="0"/>
    <x v="0"/>
    <x v="0"/>
    <x v="41"/>
    <x v="1"/>
    <x v="0"/>
    <x v="157"/>
    <x v="0"/>
    <x v="0"/>
    <x v="0"/>
    <b v="1"/>
    <m/>
    <s v="Southampton"/>
    <s v="no"/>
    <b v="1"/>
    <n v="1"/>
    <n v="1.51202320792047E+19"/>
  </r>
  <r>
    <b v="0"/>
    <x v="0"/>
    <x v="1"/>
    <x v="0"/>
    <x v="4"/>
    <x v="1"/>
    <x v="0"/>
    <x v="158"/>
    <x v="0"/>
    <x v="1"/>
    <x v="0"/>
    <b v="1"/>
    <s v="C"/>
    <s v="Southampton"/>
    <s v="no"/>
    <b v="1"/>
    <n v="1"/>
    <n v="1.1437490486937801E+19"/>
  </r>
  <r>
    <b v="0"/>
    <x v="0"/>
    <x v="0"/>
    <x v="0"/>
    <x v="16"/>
    <x v="0"/>
    <x v="1"/>
    <x v="32"/>
    <x v="1"/>
    <x v="0"/>
    <x v="2"/>
    <b v="0"/>
    <m/>
    <s v="Cherbourg"/>
    <s v="no"/>
    <b v="0"/>
    <n v="1"/>
    <n v="6.4118001709889597E+18"/>
  </r>
  <r>
    <b v="0"/>
    <x v="0"/>
    <x v="0"/>
    <x v="0"/>
    <x v="37"/>
    <x v="0"/>
    <x v="0"/>
    <x v="39"/>
    <x v="0"/>
    <x v="0"/>
    <x v="0"/>
    <b v="1"/>
    <m/>
    <s v="Southampton"/>
    <s v="no"/>
    <b v="0"/>
    <n v="1"/>
    <n v="1.0860867024836399E+19"/>
  </r>
  <r>
    <b v="0"/>
    <x v="0"/>
    <x v="0"/>
    <x v="0"/>
    <x v="4"/>
    <x v="1"/>
    <x v="0"/>
    <x v="18"/>
    <x v="1"/>
    <x v="0"/>
    <x v="0"/>
    <b v="1"/>
    <m/>
    <s v="Cherbourg"/>
    <s v="no"/>
    <b v="1"/>
    <n v="1"/>
    <n v="5.4729232098319995E+18"/>
  </r>
  <r>
    <b v="0"/>
    <x v="0"/>
    <x v="0"/>
    <x v="0"/>
    <x v="17"/>
    <x v="1"/>
    <x v="0"/>
    <x v="59"/>
    <x v="0"/>
    <x v="0"/>
    <x v="0"/>
    <b v="1"/>
    <m/>
    <s v="Southampton"/>
    <s v="no"/>
    <b v="1"/>
    <n v="1"/>
    <n v="2.7331724813587901E+18"/>
  </r>
  <r>
    <b v="0"/>
    <x v="1"/>
    <x v="1"/>
    <x v="1"/>
    <x v="0"/>
    <x v="1"/>
    <x v="1"/>
    <x v="98"/>
    <x v="0"/>
    <x v="1"/>
    <x v="1"/>
    <b v="0"/>
    <s v="E"/>
    <s v="Southampton"/>
    <s v="yes"/>
    <b v="0"/>
    <n v="0"/>
    <n v="1.5498911481314001E+19"/>
  </r>
  <r>
    <b v="0"/>
    <x v="0"/>
    <x v="2"/>
    <x v="1"/>
    <x v="1"/>
    <x v="1"/>
    <x v="0"/>
    <x v="16"/>
    <x v="0"/>
    <x v="2"/>
    <x v="1"/>
    <b v="0"/>
    <m/>
    <s v="Southampton"/>
    <s v="no"/>
    <b v="1"/>
    <n v="1"/>
    <n v="1.28000832938374E+19"/>
  </r>
  <r>
    <b v="0"/>
    <x v="1"/>
    <x v="0"/>
    <x v="1"/>
    <x v="4"/>
    <x v="1"/>
    <x v="0"/>
    <x v="24"/>
    <x v="2"/>
    <x v="0"/>
    <x v="1"/>
    <b v="0"/>
    <m/>
    <s v="Queenstown"/>
    <s v="yes"/>
    <b v="1"/>
    <n v="1"/>
    <n v="1.1837803142979899E+19"/>
  </r>
  <r>
    <b v="0"/>
    <x v="1"/>
    <x v="0"/>
    <x v="1"/>
    <x v="4"/>
    <x v="1"/>
    <x v="0"/>
    <x v="24"/>
    <x v="2"/>
    <x v="0"/>
    <x v="1"/>
    <b v="0"/>
    <m/>
    <s v="Queenstown"/>
    <s v="yes"/>
    <b v="1"/>
    <n v="1"/>
    <n v="1.1837803142979899E+19"/>
  </r>
  <r>
    <b v="0"/>
    <x v="0"/>
    <x v="0"/>
    <x v="0"/>
    <x v="20"/>
    <x v="0"/>
    <x v="5"/>
    <x v="48"/>
    <x v="0"/>
    <x v="0"/>
    <x v="0"/>
    <b v="1"/>
    <m/>
    <s v="Southampton"/>
    <s v="no"/>
    <b v="0"/>
    <n v="1"/>
    <n v="1.4756570580994401E+18"/>
  </r>
  <r>
    <b v="0"/>
    <x v="0"/>
    <x v="2"/>
    <x v="0"/>
    <x v="28"/>
    <x v="0"/>
    <x v="0"/>
    <x v="26"/>
    <x v="1"/>
    <x v="2"/>
    <x v="0"/>
    <b v="1"/>
    <m/>
    <s v="Cherbourg"/>
    <s v="no"/>
    <b v="0"/>
    <n v="1"/>
    <n v="1.4483450679719E+19"/>
  </r>
  <r>
    <b v="0"/>
    <x v="0"/>
    <x v="0"/>
    <x v="1"/>
    <x v="33"/>
    <x v="1"/>
    <x v="1"/>
    <x v="53"/>
    <x v="1"/>
    <x v="0"/>
    <x v="1"/>
    <b v="0"/>
    <m/>
    <s v="Cherbourg"/>
    <s v="no"/>
    <b v="0"/>
    <n v="1"/>
    <n v="7.0712731976496E+17"/>
  </r>
  <r>
    <b v="0"/>
    <x v="0"/>
    <x v="0"/>
    <x v="0"/>
    <x v="3"/>
    <x v="1"/>
    <x v="0"/>
    <x v="79"/>
    <x v="0"/>
    <x v="0"/>
    <x v="0"/>
    <b v="1"/>
    <m/>
    <s v="Southampton"/>
    <s v="no"/>
    <b v="1"/>
    <n v="1"/>
    <n v="1.1291811543492999E+19"/>
  </r>
  <r>
    <b v="0"/>
    <x v="0"/>
    <x v="0"/>
    <x v="0"/>
    <x v="4"/>
    <x v="0"/>
    <x v="0"/>
    <x v="37"/>
    <x v="2"/>
    <x v="0"/>
    <x v="0"/>
    <b v="1"/>
    <m/>
    <s v="Queenstown"/>
    <s v="no"/>
    <b v="0"/>
    <n v="1"/>
    <n v="6.6137722916600801E+18"/>
  </r>
  <r>
    <b v="0"/>
    <x v="0"/>
    <x v="0"/>
    <x v="0"/>
    <x v="39"/>
    <x v="1"/>
    <x v="0"/>
    <x v="0"/>
    <x v="0"/>
    <x v="0"/>
    <x v="0"/>
    <b v="1"/>
    <m/>
    <s v="Southampton"/>
    <s v="no"/>
    <b v="1"/>
    <n v="1"/>
    <n v="1.18047239644817E+19"/>
  </r>
  <r>
    <b v="0"/>
    <x v="1"/>
    <x v="1"/>
    <x v="1"/>
    <x v="72"/>
    <x v="0"/>
    <x v="0"/>
    <x v="159"/>
    <x v="1"/>
    <x v="1"/>
    <x v="1"/>
    <b v="0"/>
    <s v="D"/>
    <s v="Cherbourg"/>
    <s v="yes"/>
    <b v="0"/>
    <n v="0"/>
    <n v="1.2923425226397301E+19"/>
  </r>
  <r>
    <b v="0"/>
    <x v="1"/>
    <x v="0"/>
    <x v="1"/>
    <x v="4"/>
    <x v="1"/>
    <x v="0"/>
    <x v="32"/>
    <x v="1"/>
    <x v="0"/>
    <x v="1"/>
    <b v="0"/>
    <m/>
    <s v="Cherbourg"/>
    <s v="yes"/>
    <b v="1"/>
    <n v="1"/>
    <n v="1.5249903048369101E+19"/>
  </r>
  <r>
    <b v="0"/>
    <x v="1"/>
    <x v="0"/>
    <x v="1"/>
    <x v="4"/>
    <x v="1"/>
    <x v="0"/>
    <x v="28"/>
    <x v="2"/>
    <x v="0"/>
    <x v="1"/>
    <b v="0"/>
    <m/>
    <s v="Queenstown"/>
    <s v="yes"/>
    <b v="1"/>
    <n v="1"/>
    <n v="9.6415297742023398E+17"/>
  </r>
  <r>
    <b v="0"/>
    <x v="1"/>
    <x v="1"/>
    <x v="1"/>
    <x v="42"/>
    <x v="1"/>
    <x v="0"/>
    <x v="160"/>
    <x v="1"/>
    <x v="1"/>
    <x v="1"/>
    <b v="0"/>
    <s v="B"/>
    <s v="Cherbourg"/>
    <s v="yes"/>
    <b v="1"/>
    <n v="0"/>
    <n v="8.2936938985161503E+18"/>
  </r>
  <r>
    <b v="0"/>
    <x v="1"/>
    <x v="1"/>
    <x v="0"/>
    <x v="37"/>
    <x v="0"/>
    <x v="0"/>
    <x v="161"/>
    <x v="1"/>
    <x v="1"/>
    <x v="0"/>
    <b v="1"/>
    <s v="E"/>
    <s v="Cherbourg"/>
    <s v="yes"/>
    <b v="0"/>
    <n v="0"/>
    <n v="7.0060272000378501E+18"/>
  </r>
  <r>
    <b v="0"/>
    <x v="0"/>
    <x v="0"/>
    <x v="0"/>
    <x v="24"/>
    <x v="0"/>
    <x v="0"/>
    <x v="110"/>
    <x v="0"/>
    <x v="0"/>
    <x v="0"/>
    <b v="1"/>
    <m/>
    <s v="Southampton"/>
    <s v="no"/>
    <b v="0"/>
    <n v="1"/>
    <n v="7.9353593447033201E+18"/>
  </r>
  <r>
    <b v="0"/>
    <x v="0"/>
    <x v="0"/>
    <x v="0"/>
    <x v="19"/>
    <x v="1"/>
    <x v="0"/>
    <x v="4"/>
    <x v="0"/>
    <x v="0"/>
    <x v="0"/>
    <b v="1"/>
    <m/>
    <s v="Southampton"/>
    <s v="no"/>
    <b v="1"/>
    <n v="1"/>
    <n v="7.3971076366221998E+18"/>
  </r>
  <r>
    <b v="0"/>
    <x v="0"/>
    <x v="1"/>
    <x v="0"/>
    <x v="0"/>
    <x v="1"/>
    <x v="0"/>
    <x v="130"/>
    <x v="1"/>
    <x v="1"/>
    <x v="0"/>
    <b v="1"/>
    <m/>
    <s v="Cherbourg"/>
    <s v="no"/>
    <b v="1"/>
    <n v="1"/>
    <n v="1.50618077733022E+19"/>
  </r>
  <r>
    <b v="0"/>
    <x v="0"/>
    <x v="0"/>
    <x v="1"/>
    <x v="25"/>
    <x v="2"/>
    <x v="1"/>
    <x v="7"/>
    <x v="0"/>
    <x v="0"/>
    <x v="2"/>
    <b v="0"/>
    <m/>
    <s v="Southampton"/>
    <s v="no"/>
    <b v="0"/>
    <n v="1"/>
    <n v="1.2869434489655699E+19"/>
  </r>
  <r>
    <b v="0"/>
    <x v="1"/>
    <x v="1"/>
    <x v="1"/>
    <x v="4"/>
    <x v="0"/>
    <x v="0"/>
    <x v="30"/>
    <x v="1"/>
    <x v="1"/>
    <x v="1"/>
    <b v="0"/>
    <m/>
    <s v="Cherbourg"/>
    <s v="yes"/>
    <b v="0"/>
    <n v="1"/>
    <n v="4.9705914843094098E+18"/>
  </r>
  <r>
    <b v="0"/>
    <x v="1"/>
    <x v="0"/>
    <x v="1"/>
    <x v="0"/>
    <x v="1"/>
    <x v="0"/>
    <x v="0"/>
    <x v="0"/>
    <x v="0"/>
    <x v="1"/>
    <b v="0"/>
    <m/>
    <s v="Southampton"/>
    <s v="yes"/>
    <b v="1"/>
    <n v="1"/>
    <n v="1.34146970768937E+19"/>
  </r>
  <r>
    <b v="0"/>
    <x v="0"/>
    <x v="1"/>
    <x v="0"/>
    <x v="7"/>
    <x v="1"/>
    <x v="2"/>
    <x v="162"/>
    <x v="1"/>
    <x v="1"/>
    <x v="0"/>
    <b v="1"/>
    <s v="C"/>
    <s v="Cherbourg"/>
    <s v="no"/>
    <b v="0"/>
    <n v="0"/>
    <n v="7.21861669226129E+18"/>
  </r>
  <r>
    <b v="0"/>
    <x v="0"/>
    <x v="0"/>
    <x v="0"/>
    <x v="11"/>
    <x v="1"/>
    <x v="0"/>
    <x v="163"/>
    <x v="1"/>
    <x v="0"/>
    <x v="0"/>
    <b v="1"/>
    <m/>
    <s v="Cherbourg"/>
    <s v="no"/>
    <b v="1"/>
    <n v="1"/>
    <n v="4.58747441980928E+18"/>
  </r>
  <r>
    <b v="0"/>
    <x v="0"/>
    <x v="0"/>
    <x v="0"/>
    <x v="19"/>
    <x v="1"/>
    <x v="0"/>
    <x v="71"/>
    <x v="0"/>
    <x v="0"/>
    <x v="0"/>
    <b v="1"/>
    <m/>
    <s v="Southampton"/>
    <s v="no"/>
    <b v="1"/>
    <n v="1"/>
    <n v="1.1401156577386199E+19"/>
  </r>
  <r>
    <b v="0"/>
    <x v="1"/>
    <x v="1"/>
    <x v="1"/>
    <x v="22"/>
    <x v="1"/>
    <x v="0"/>
    <x v="164"/>
    <x v="1"/>
    <x v="1"/>
    <x v="1"/>
    <b v="0"/>
    <m/>
    <s v="Cherbourg"/>
    <s v="yes"/>
    <b v="1"/>
    <n v="1"/>
    <n v="1.3863657494694101E+19"/>
  </r>
  <r>
    <b v="0"/>
    <x v="1"/>
    <x v="0"/>
    <x v="1"/>
    <x v="58"/>
    <x v="1"/>
    <x v="2"/>
    <x v="165"/>
    <x v="1"/>
    <x v="0"/>
    <x v="2"/>
    <b v="0"/>
    <m/>
    <s v="Cherbourg"/>
    <s v="yes"/>
    <b v="0"/>
    <n v="1"/>
    <n v="1.5078603658858899E+19"/>
  </r>
  <r>
    <b v="0"/>
    <x v="0"/>
    <x v="0"/>
    <x v="0"/>
    <x v="35"/>
    <x v="1"/>
    <x v="0"/>
    <x v="2"/>
    <x v="0"/>
    <x v="0"/>
    <x v="0"/>
    <b v="1"/>
    <m/>
    <s v="Southampton"/>
    <s v="no"/>
    <b v="1"/>
    <n v="1"/>
    <n v="1.2445234185820799E+19"/>
  </r>
  <r>
    <b v="0"/>
    <x v="1"/>
    <x v="1"/>
    <x v="1"/>
    <x v="3"/>
    <x v="0"/>
    <x v="0"/>
    <x v="31"/>
    <x v="0"/>
    <x v="1"/>
    <x v="1"/>
    <b v="0"/>
    <m/>
    <s v="Southampton"/>
    <s v="yes"/>
    <b v="0"/>
    <n v="1"/>
    <n v="1.4467501060892E+19"/>
  </r>
  <r>
    <b v="0"/>
    <x v="0"/>
    <x v="0"/>
    <x v="0"/>
    <x v="4"/>
    <x v="1"/>
    <x v="0"/>
    <x v="25"/>
    <x v="0"/>
    <x v="0"/>
    <x v="0"/>
    <b v="1"/>
    <m/>
    <s v="Southampton"/>
    <s v="no"/>
    <b v="1"/>
    <n v="1"/>
    <n v="1.7970467560381901E+19"/>
  </r>
  <r>
    <b v="0"/>
    <x v="0"/>
    <x v="2"/>
    <x v="0"/>
    <x v="24"/>
    <x v="1"/>
    <x v="0"/>
    <x v="52"/>
    <x v="0"/>
    <x v="2"/>
    <x v="0"/>
    <b v="1"/>
    <m/>
    <s v="Southampton"/>
    <s v="no"/>
    <b v="1"/>
    <n v="1"/>
    <n v="9.2311191400029491E+18"/>
  </r>
  <r>
    <b v="0"/>
    <x v="0"/>
    <x v="0"/>
    <x v="0"/>
    <x v="58"/>
    <x v="5"/>
    <x v="2"/>
    <x v="45"/>
    <x v="0"/>
    <x v="0"/>
    <x v="2"/>
    <b v="0"/>
    <m/>
    <s v="Southampton"/>
    <s v="no"/>
    <b v="0"/>
    <n v="1"/>
    <n v="1.65859477236886E+19"/>
  </r>
  <r>
    <b v="0"/>
    <x v="1"/>
    <x v="2"/>
    <x v="1"/>
    <x v="62"/>
    <x v="1"/>
    <x v="0"/>
    <x v="16"/>
    <x v="0"/>
    <x v="2"/>
    <x v="1"/>
    <b v="0"/>
    <m/>
    <s v="Southampton"/>
    <s v="yes"/>
    <b v="1"/>
    <n v="1"/>
    <n v="1.0163058749527599E+19"/>
  </r>
  <r>
    <b v="0"/>
    <x v="0"/>
    <x v="0"/>
    <x v="0"/>
    <x v="4"/>
    <x v="1"/>
    <x v="0"/>
    <x v="166"/>
    <x v="2"/>
    <x v="0"/>
    <x v="0"/>
    <b v="1"/>
    <m/>
    <s v="Queenstown"/>
    <s v="no"/>
    <b v="1"/>
    <n v="1"/>
    <n v="1.00826072081786E+19"/>
  </r>
  <r>
    <b v="0"/>
    <x v="1"/>
    <x v="2"/>
    <x v="1"/>
    <x v="34"/>
    <x v="1"/>
    <x v="0"/>
    <x v="167"/>
    <x v="1"/>
    <x v="2"/>
    <x v="1"/>
    <b v="0"/>
    <m/>
    <s v="Cherbourg"/>
    <s v="yes"/>
    <b v="1"/>
    <n v="1"/>
    <n v="7.7122941609903008E+16"/>
  </r>
  <r>
    <b v="0"/>
    <x v="1"/>
    <x v="1"/>
    <x v="0"/>
    <x v="62"/>
    <x v="0"/>
    <x v="2"/>
    <x v="168"/>
    <x v="0"/>
    <x v="1"/>
    <x v="0"/>
    <b v="1"/>
    <s v="B"/>
    <s v="Southampton"/>
    <s v="yes"/>
    <b v="0"/>
    <n v="0"/>
    <n v="9.6260724866430095E+18"/>
  </r>
  <r>
    <b v="0"/>
    <x v="1"/>
    <x v="0"/>
    <x v="0"/>
    <x v="23"/>
    <x v="1"/>
    <x v="0"/>
    <x v="88"/>
    <x v="0"/>
    <x v="0"/>
    <x v="0"/>
    <b v="1"/>
    <m/>
    <s v="Southampton"/>
    <s v="yes"/>
    <b v="1"/>
    <n v="1"/>
    <n v="1.2743706938548601E+19"/>
  </r>
  <r>
    <b v="0"/>
    <x v="0"/>
    <x v="0"/>
    <x v="0"/>
    <x v="17"/>
    <x v="4"/>
    <x v="0"/>
    <x v="2"/>
    <x v="0"/>
    <x v="0"/>
    <x v="0"/>
    <b v="1"/>
    <m/>
    <s v="Southampton"/>
    <s v="no"/>
    <b v="0"/>
    <n v="1"/>
    <n v="1.2302238563812901E+19"/>
  </r>
  <r>
    <b v="0"/>
    <x v="1"/>
    <x v="1"/>
    <x v="1"/>
    <x v="41"/>
    <x v="0"/>
    <x v="0"/>
    <x v="114"/>
    <x v="1"/>
    <x v="1"/>
    <x v="1"/>
    <b v="0"/>
    <s v="D"/>
    <s v="Cherbourg"/>
    <s v="yes"/>
    <b v="0"/>
    <n v="0"/>
    <n v="1.5849222255050701E+19"/>
  </r>
  <r>
    <b v="0"/>
    <x v="1"/>
    <x v="0"/>
    <x v="1"/>
    <x v="42"/>
    <x v="1"/>
    <x v="2"/>
    <x v="10"/>
    <x v="0"/>
    <x v="0"/>
    <x v="1"/>
    <b v="0"/>
    <s v="G"/>
    <s v="Southampton"/>
    <s v="yes"/>
    <b v="0"/>
    <n v="0"/>
    <n v="8.40223590143202E+18"/>
  </r>
  <r>
    <b v="0"/>
    <x v="0"/>
    <x v="0"/>
    <x v="0"/>
    <x v="0"/>
    <x v="1"/>
    <x v="0"/>
    <x v="88"/>
    <x v="0"/>
    <x v="0"/>
    <x v="0"/>
    <b v="1"/>
    <m/>
    <s v="Southampton"/>
    <s v="no"/>
    <b v="1"/>
    <n v="1"/>
    <n v="2.7853468164258801E+18"/>
  </r>
  <r>
    <b v="0"/>
    <x v="0"/>
    <x v="0"/>
    <x v="1"/>
    <x v="14"/>
    <x v="1"/>
    <x v="0"/>
    <x v="13"/>
    <x v="0"/>
    <x v="0"/>
    <x v="1"/>
    <b v="0"/>
    <m/>
    <s v="Southampton"/>
    <s v="no"/>
    <b v="1"/>
    <n v="1"/>
    <n v="1.4492405098959499E+19"/>
  </r>
  <r>
    <b v="0"/>
    <x v="0"/>
    <x v="2"/>
    <x v="0"/>
    <x v="43"/>
    <x v="1"/>
    <x v="0"/>
    <x v="19"/>
    <x v="0"/>
    <x v="2"/>
    <x v="0"/>
    <b v="1"/>
    <m/>
    <s v="Southampton"/>
    <s v="no"/>
    <b v="1"/>
    <n v="1"/>
    <n v="3.4501842928939699E+18"/>
  </r>
  <r>
    <b v="0"/>
    <x v="0"/>
    <x v="2"/>
    <x v="0"/>
    <x v="41"/>
    <x v="1"/>
    <x v="0"/>
    <x v="29"/>
    <x v="0"/>
    <x v="2"/>
    <x v="0"/>
    <b v="1"/>
    <m/>
    <s v="Southampton"/>
    <s v="no"/>
    <b v="1"/>
    <n v="1"/>
    <n v="5.4614295232677499E+18"/>
  </r>
  <r>
    <b v="0"/>
    <x v="1"/>
    <x v="2"/>
    <x v="1"/>
    <x v="17"/>
    <x v="1"/>
    <x v="0"/>
    <x v="169"/>
    <x v="0"/>
    <x v="2"/>
    <x v="1"/>
    <b v="0"/>
    <m/>
    <s v="Southampton"/>
    <s v="yes"/>
    <b v="1"/>
    <n v="1"/>
    <n v="2.4276480522849802E+18"/>
  </r>
  <r>
    <b v="0"/>
    <x v="1"/>
    <x v="0"/>
    <x v="0"/>
    <x v="12"/>
    <x v="1"/>
    <x v="0"/>
    <x v="2"/>
    <x v="0"/>
    <x v="0"/>
    <x v="0"/>
    <b v="1"/>
    <m/>
    <s v="Southampton"/>
    <s v="yes"/>
    <b v="1"/>
    <n v="1"/>
    <n v="5.5368386285029499E+18"/>
  </r>
  <r>
    <b v="0"/>
    <x v="0"/>
    <x v="0"/>
    <x v="0"/>
    <x v="2"/>
    <x v="1"/>
    <x v="0"/>
    <x v="4"/>
    <x v="0"/>
    <x v="0"/>
    <x v="0"/>
    <b v="1"/>
    <m/>
    <s v="Southampton"/>
    <s v="no"/>
    <b v="1"/>
    <n v="1"/>
    <n v="1.7726849880584901E+19"/>
  </r>
  <r>
    <b v="0"/>
    <x v="0"/>
    <x v="0"/>
    <x v="1"/>
    <x v="23"/>
    <x v="0"/>
    <x v="0"/>
    <x v="73"/>
    <x v="0"/>
    <x v="0"/>
    <x v="1"/>
    <b v="0"/>
    <m/>
    <s v="Southampton"/>
    <s v="no"/>
    <b v="0"/>
    <n v="1"/>
    <n v="3.0783314304056402E+18"/>
  </r>
  <r>
    <b v="0"/>
    <x v="0"/>
    <x v="0"/>
    <x v="0"/>
    <x v="17"/>
    <x v="0"/>
    <x v="0"/>
    <x v="62"/>
    <x v="0"/>
    <x v="0"/>
    <x v="0"/>
    <b v="1"/>
    <m/>
    <s v="Southampton"/>
    <s v="no"/>
    <b v="0"/>
    <n v="1"/>
    <n v="1.50269234934493E+19"/>
  </r>
  <r>
    <b v="0"/>
    <x v="0"/>
    <x v="0"/>
    <x v="1"/>
    <x v="11"/>
    <x v="1"/>
    <x v="0"/>
    <x v="51"/>
    <x v="0"/>
    <x v="0"/>
    <x v="1"/>
    <b v="0"/>
    <m/>
    <s v="Southampton"/>
    <s v="no"/>
    <b v="1"/>
    <n v="1"/>
    <n v="5.0471556762410496E+18"/>
  </r>
  <r>
    <b v="0"/>
    <x v="0"/>
    <x v="2"/>
    <x v="0"/>
    <x v="15"/>
    <x v="0"/>
    <x v="0"/>
    <x v="35"/>
    <x v="0"/>
    <x v="2"/>
    <x v="0"/>
    <b v="1"/>
    <m/>
    <s v="Southampton"/>
    <s v="no"/>
    <b v="0"/>
    <n v="1"/>
    <n v="7.0698537418648105E+18"/>
  </r>
  <r>
    <b v="0"/>
    <x v="0"/>
    <x v="0"/>
    <x v="0"/>
    <x v="54"/>
    <x v="1"/>
    <x v="0"/>
    <x v="28"/>
    <x v="0"/>
    <x v="0"/>
    <x v="0"/>
    <b v="1"/>
    <m/>
    <s v="Southampton"/>
    <s v="no"/>
    <b v="1"/>
    <n v="1"/>
    <n v="1.55221056812062E+19"/>
  </r>
  <r>
    <b v="0"/>
    <x v="1"/>
    <x v="2"/>
    <x v="0"/>
    <x v="25"/>
    <x v="0"/>
    <x v="1"/>
    <x v="170"/>
    <x v="0"/>
    <x v="2"/>
    <x v="2"/>
    <b v="0"/>
    <m/>
    <s v="Southampton"/>
    <s v="yes"/>
    <b v="0"/>
    <n v="1"/>
    <n v="1.00999065320361E+19"/>
  </r>
  <r>
    <b v="0"/>
    <x v="0"/>
    <x v="0"/>
    <x v="0"/>
    <x v="23"/>
    <x v="1"/>
    <x v="0"/>
    <x v="71"/>
    <x v="0"/>
    <x v="0"/>
    <x v="0"/>
    <b v="1"/>
    <m/>
    <s v="Southampton"/>
    <s v="no"/>
    <b v="1"/>
    <n v="1"/>
    <n v="5.5569811668579103E+18"/>
  </r>
  <r>
    <b v="0"/>
    <x v="0"/>
    <x v="0"/>
    <x v="1"/>
    <x v="4"/>
    <x v="2"/>
    <x v="1"/>
    <x v="102"/>
    <x v="0"/>
    <x v="0"/>
    <x v="1"/>
    <b v="0"/>
    <m/>
    <s v="Southampton"/>
    <s v="no"/>
    <b v="0"/>
    <n v="1"/>
    <n v="1.80108942157732E+19"/>
  </r>
  <r>
    <b v="0"/>
    <x v="0"/>
    <x v="0"/>
    <x v="0"/>
    <x v="4"/>
    <x v="1"/>
    <x v="0"/>
    <x v="25"/>
    <x v="0"/>
    <x v="0"/>
    <x v="0"/>
    <b v="1"/>
    <m/>
    <s v="Southampton"/>
    <s v="no"/>
    <b v="1"/>
    <n v="1"/>
    <n v="1.7970467560381901E+19"/>
  </r>
  <r>
    <b v="0"/>
    <x v="0"/>
    <x v="0"/>
    <x v="0"/>
    <x v="4"/>
    <x v="1"/>
    <x v="0"/>
    <x v="171"/>
    <x v="2"/>
    <x v="0"/>
    <x v="0"/>
    <b v="1"/>
    <m/>
    <s v="Queenstown"/>
    <s v="no"/>
    <b v="1"/>
    <n v="1"/>
    <n v="1.13896913986392E+19"/>
  </r>
  <r>
    <b v="0"/>
    <x v="1"/>
    <x v="1"/>
    <x v="1"/>
    <x v="40"/>
    <x v="0"/>
    <x v="0"/>
    <x v="117"/>
    <x v="2"/>
    <x v="1"/>
    <x v="1"/>
    <b v="0"/>
    <s v="C"/>
    <s v="Queenstown"/>
    <s v="yes"/>
    <b v="0"/>
    <n v="0"/>
    <n v="1.8102786322744101E+19"/>
  </r>
  <r>
    <b v="0"/>
    <x v="0"/>
    <x v="2"/>
    <x v="0"/>
    <x v="4"/>
    <x v="1"/>
    <x v="0"/>
    <x v="104"/>
    <x v="0"/>
    <x v="2"/>
    <x v="0"/>
    <b v="1"/>
    <m/>
    <s v="Southampton"/>
    <s v="no"/>
    <b v="1"/>
    <n v="1"/>
    <n v="1.3784493890172299E+19"/>
  </r>
  <r>
    <b v="0"/>
    <x v="1"/>
    <x v="0"/>
    <x v="0"/>
    <x v="57"/>
    <x v="1"/>
    <x v="0"/>
    <x v="2"/>
    <x v="0"/>
    <x v="0"/>
    <x v="0"/>
    <b v="1"/>
    <m/>
    <s v="Southampton"/>
    <s v="yes"/>
    <b v="1"/>
    <n v="1"/>
    <n v="1.84160255050642E+18"/>
  </r>
  <r>
    <b v="0"/>
    <x v="0"/>
    <x v="0"/>
    <x v="1"/>
    <x v="4"/>
    <x v="1"/>
    <x v="0"/>
    <x v="4"/>
    <x v="0"/>
    <x v="0"/>
    <x v="1"/>
    <b v="0"/>
    <m/>
    <s v="Southampton"/>
    <s v="no"/>
    <b v="1"/>
    <n v="1"/>
    <n v="3.9798746025796198E+18"/>
  </r>
  <r>
    <b v="0"/>
    <x v="1"/>
    <x v="2"/>
    <x v="1"/>
    <x v="15"/>
    <x v="0"/>
    <x v="1"/>
    <x v="172"/>
    <x v="0"/>
    <x v="2"/>
    <x v="1"/>
    <b v="0"/>
    <m/>
    <s v="Southampton"/>
    <s v="yes"/>
    <b v="0"/>
    <n v="1"/>
    <n v="3.7102944741996902E+18"/>
  </r>
  <r>
    <b v="0"/>
    <x v="1"/>
    <x v="2"/>
    <x v="1"/>
    <x v="24"/>
    <x v="1"/>
    <x v="2"/>
    <x v="16"/>
    <x v="0"/>
    <x v="2"/>
    <x v="1"/>
    <b v="0"/>
    <m/>
    <s v="Southampton"/>
    <s v="yes"/>
    <b v="0"/>
    <n v="1"/>
    <n v="5.7864251885360998E+18"/>
  </r>
  <r>
    <b v="0"/>
    <x v="0"/>
    <x v="2"/>
    <x v="0"/>
    <x v="39"/>
    <x v="1"/>
    <x v="0"/>
    <x v="16"/>
    <x v="0"/>
    <x v="2"/>
    <x v="0"/>
    <b v="1"/>
    <m/>
    <s v="Southampton"/>
    <s v="no"/>
    <b v="1"/>
    <n v="1"/>
    <n v="2.9304945046951398E+18"/>
  </r>
  <r>
    <b v="0"/>
    <x v="0"/>
    <x v="0"/>
    <x v="1"/>
    <x v="73"/>
    <x v="1"/>
    <x v="2"/>
    <x v="72"/>
    <x v="0"/>
    <x v="0"/>
    <x v="2"/>
    <b v="0"/>
    <m/>
    <s v="Southampton"/>
    <s v="no"/>
    <b v="0"/>
    <n v="1"/>
    <n v="1.18309974550637E+18"/>
  </r>
  <r>
    <b v="0"/>
    <x v="0"/>
    <x v="0"/>
    <x v="0"/>
    <x v="4"/>
    <x v="1"/>
    <x v="0"/>
    <x v="25"/>
    <x v="1"/>
    <x v="0"/>
    <x v="0"/>
    <b v="1"/>
    <m/>
    <s v="Cherbourg"/>
    <s v="no"/>
    <b v="1"/>
    <n v="1"/>
    <n v="2.95438231408177E+18"/>
  </r>
  <r>
    <b v="0"/>
    <x v="0"/>
    <x v="0"/>
    <x v="0"/>
    <x v="23"/>
    <x v="1"/>
    <x v="0"/>
    <x v="93"/>
    <x v="2"/>
    <x v="0"/>
    <x v="0"/>
    <b v="1"/>
    <m/>
    <s v="Queenstown"/>
    <s v="no"/>
    <b v="1"/>
    <n v="1"/>
    <n v="1.2763121274078401E+19"/>
  </r>
  <r>
    <b v="0"/>
    <x v="0"/>
    <x v="0"/>
    <x v="0"/>
    <x v="28"/>
    <x v="1"/>
    <x v="0"/>
    <x v="173"/>
    <x v="0"/>
    <x v="0"/>
    <x v="0"/>
    <b v="1"/>
    <m/>
    <s v="Southampton"/>
    <s v="no"/>
    <b v="1"/>
    <n v="1"/>
    <n v="1.46831036859891E+19"/>
  </r>
  <r>
    <b v="0"/>
    <x v="0"/>
    <x v="0"/>
    <x v="1"/>
    <x v="17"/>
    <x v="0"/>
    <x v="1"/>
    <x v="174"/>
    <x v="0"/>
    <x v="0"/>
    <x v="1"/>
    <b v="0"/>
    <m/>
    <s v="Southampton"/>
    <s v="no"/>
    <b v="0"/>
    <n v="1"/>
    <n v="2.48018557590543E+18"/>
  </r>
  <r>
    <b v="0"/>
    <x v="0"/>
    <x v="0"/>
    <x v="0"/>
    <x v="24"/>
    <x v="0"/>
    <x v="1"/>
    <x v="125"/>
    <x v="0"/>
    <x v="0"/>
    <x v="0"/>
    <b v="1"/>
    <m/>
    <s v="Southampton"/>
    <s v="no"/>
    <b v="0"/>
    <n v="1"/>
    <n v="1.7785714043503499E+19"/>
  </r>
  <r>
    <b v="0"/>
    <x v="0"/>
    <x v="0"/>
    <x v="0"/>
    <x v="4"/>
    <x v="1"/>
    <x v="0"/>
    <x v="0"/>
    <x v="0"/>
    <x v="0"/>
    <x v="0"/>
    <b v="1"/>
    <m/>
    <s v="Southampton"/>
    <s v="no"/>
    <b v="1"/>
    <n v="1"/>
    <n v="1.24309295546305E+19"/>
  </r>
  <r>
    <b v="0"/>
    <x v="1"/>
    <x v="2"/>
    <x v="1"/>
    <x v="17"/>
    <x v="0"/>
    <x v="0"/>
    <x v="19"/>
    <x v="0"/>
    <x v="2"/>
    <x v="1"/>
    <b v="0"/>
    <m/>
    <s v="Southampton"/>
    <s v="yes"/>
    <b v="0"/>
    <n v="1"/>
    <n v="1.4778055549317501E+19"/>
  </r>
  <r>
    <b v="0"/>
    <x v="1"/>
    <x v="2"/>
    <x v="1"/>
    <x v="19"/>
    <x v="1"/>
    <x v="0"/>
    <x v="19"/>
    <x v="0"/>
    <x v="2"/>
    <x v="1"/>
    <b v="0"/>
    <m/>
    <s v="Southampton"/>
    <s v="yes"/>
    <b v="1"/>
    <n v="1"/>
    <n v="1.16476828826885E+19"/>
  </r>
  <r>
    <b v="0"/>
    <x v="0"/>
    <x v="0"/>
    <x v="0"/>
    <x v="4"/>
    <x v="1"/>
    <x v="0"/>
    <x v="28"/>
    <x v="2"/>
    <x v="0"/>
    <x v="0"/>
    <b v="1"/>
    <m/>
    <s v="Queenstown"/>
    <s v="no"/>
    <b v="1"/>
    <n v="1"/>
    <n v="8.8562668406319196E+18"/>
  </r>
  <r>
    <b v="0"/>
    <x v="1"/>
    <x v="0"/>
    <x v="0"/>
    <x v="35"/>
    <x v="1"/>
    <x v="0"/>
    <x v="4"/>
    <x v="0"/>
    <x v="0"/>
    <x v="0"/>
    <b v="1"/>
    <s v="E"/>
    <s v="Southampton"/>
    <s v="yes"/>
    <b v="1"/>
    <n v="0"/>
    <n v="1.4223064245304101E+19"/>
  </r>
  <r>
    <b v="0"/>
    <x v="1"/>
    <x v="1"/>
    <x v="0"/>
    <x v="17"/>
    <x v="1"/>
    <x v="0"/>
    <x v="11"/>
    <x v="0"/>
    <x v="1"/>
    <x v="0"/>
    <b v="1"/>
    <s v="C"/>
    <s v="Southampton"/>
    <s v="yes"/>
    <b v="1"/>
    <n v="0"/>
    <n v="7.6559514767339602E+18"/>
  </r>
  <r>
    <b v="0"/>
    <x v="1"/>
    <x v="0"/>
    <x v="1"/>
    <x v="4"/>
    <x v="0"/>
    <x v="0"/>
    <x v="95"/>
    <x v="0"/>
    <x v="0"/>
    <x v="1"/>
    <b v="0"/>
    <m/>
    <s v="Southampton"/>
    <s v="yes"/>
    <b v="0"/>
    <n v="1"/>
    <n v="1.74732797207161E+19"/>
  </r>
  <r>
    <b v="0"/>
    <x v="1"/>
    <x v="2"/>
    <x v="1"/>
    <x v="22"/>
    <x v="0"/>
    <x v="0"/>
    <x v="19"/>
    <x v="0"/>
    <x v="2"/>
    <x v="1"/>
    <b v="0"/>
    <m/>
    <s v="Southampton"/>
    <s v="yes"/>
    <b v="0"/>
    <n v="1"/>
    <n v="1.6778987397568E+19"/>
  </r>
  <r>
    <b v="0"/>
    <x v="0"/>
    <x v="0"/>
    <x v="0"/>
    <x v="34"/>
    <x v="1"/>
    <x v="0"/>
    <x v="123"/>
    <x v="0"/>
    <x v="0"/>
    <x v="0"/>
    <b v="1"/>
    <m/>
    <s v="Southampton"/>
    <s v="no"/>
    <b v="1"/>
    <n v="1"/>
    <n v="1.4029548718116999E+19"/>
  </r>
  <r>
    <b v="0"/>
    <x v="0"/>
    <x v="1"/>
    <x v="0"/>
    <x v="61"/>
    <x v="0"/>
    <x v="0"/>
    <x v="175"/>
    <x v="0"/>
    <x v="1"/>
    <x v="0"/>
    <b v="1"/>
    <s v="E"/>
    <s v="Southampton"/>
    <s v="no"/>
    <b v="0"/>
    <n v="0"/>
    <n v="3.49888835336467E+18"/>
  </r>
  <r>
    <b v="0"/>
    <x v="1"/>
    <x v="1"/>
    <x v="1"/>
    <x v="8"/>
    <x v="0"/>
    <x v="2"/>
    <x v="168"/>
    <x v="0"/>
    <x v="1"/>
    <x v="2"/>
    <b v="0"/>
    <s v="B"/>
    <s v="Southampton"/>
    <s v="yes"/>
    <b v="0"/>
    <n v="0"/>
    <n v="1.73805422651956E+19"/>
  </r>
  <r>
    <b v="0"/>
    <x v="0"/>
    <x v="0"/>
    <x v="1"/>
    <x v="23"/>
    <x v="4"/>
    <x v="2"/>
    <x v="63"/>
    <x v="0"/>
    <x v="0"/>
    <x v="1"/>
    <b v="0"/>
    <m/>
    <s v="Southampton"/>
    <s v="no"/>
    <b v="0"/>
    <n v="1"/>
    <n v="6.2822673049299804E+18"/>
  </r>
  <r>
    <b v="0"/>
    <x v="1"/>
    <x v="2"/>
    <x v="1"/>
    <x v="42"/>
    <x v="4"/>
    <x v="4"/>
    <x v="170"/>
    <x v="0"/>
    <x v="2"/>
    <x v="1"/>
    <b v="0"/>
    <m/>
    <s v="Southampton"/>
    <s v="yes"/>
    <b v="0"/>
    <n v="1"/>
    <n v="1.7645696889951799E+19"/>
  </r>
  <r>
    <b v="0"/>
    <x v="0"/>
    <x v="1"/>
    <x v="0"/>
    <x v="74"/>
    <x v="0"/>
    <x v="5"/>
    <x v="23"/>
    <x v="0"/>
    <x v="1"/>
    <x v="0"/>
    <b v="1"/>
    <s v="C"/>
    <s v="Southampton"/>
    <s v="no"/>
    <b v="0"/>
    <n v="0"/>
    <n v="1.34035793214325E+19"/>
  </r>
  <r>
    <b v="0"/>
    <x v="0"/>
    <x v="2"/>
    <x v="0"/>
    <x v="14"/>
    <x v="1"/>
    <x v="0"/>
    <x v="29"/>
    <x v="0"/>
    <x v="2"/>
    <x v="0"/>
    <b v="1"/>
    <m/>
    <s v="Southampton"/>
    <s v="no"/>
    <b v="1"/>
    <n v="1"/>
    <n v="1.8951589352659699E+18"/>
  </r>
  <r>
    <b v="0"/>
    <x v="1"/>
    <x v="2"/>
    <x v="1"/>
    <x v="33"/>
    <x v="0"/>
    <x v="1"/>
    <x v="121"/>
    <x v="0"/>
    <x v="2"/>
    <x v="1"/>
    <b v="0"/>
    <m/>
    <s v="Southampton"/>
    <s v="yes"/>
    <b v="0"/>
    <n v="1"/>
    <n v="1.2312488412858599E+19"/>
  </r>
  <r>
    <b v="0"/>
    <x v="0"/>
    <x v="0"/>
    <x v="0"/>
    <x v="11"/>
    <x v="1"/>
    <x v="0"/>
    <x v="59"/>
    <x v="0"/>
    <x v="0"/>
    <x v="0"/>
    <b v="1"/>
    <m/>
    <s v="Southampton"/>
    <s v="no"/>
    <b v="1"/>
    <n v="1"/>
    <n v="1.76722372278162E+19"/>
  </r>
  <r>
    <b v="0"/>
    <x v="0"/>
    <x v="0"/>
    <x v="0"/>
    <x v="37"/>
    <x v="0"/>
    <x v="0"/>
    <x v="71"/>
    <x v="0"/>
    <x v="0"/>
    <x v="0"/>
    <b v="1"/>
    <m/>
    <s v="Southampton"/>
    <s v="no"/>
    <b v="0"/>
    <n v="1"/>
    <n v="3.6596250812493998E+18"/>
  </r>
  <r>
    <b v="0"/>
    <x v="1"/>
    <x v="2"/>
    <x v="1"/>
    <x v="17"/>
    <x v="1"/>
    <x v="0"/>
    <x v="16"/>
    <x v="0"/>
    <x v="2"/>
    <x v="1"/>
    <b v="0"/>
    <m/>
    <s v="Southampton"/>
    <s v="yes"/>
    <b v="1"/>
    <n v="1"/>
    <n v="1.74605403415423E+19"/>
  </r>
  <r>
    <b v="0"/>
    <x v="1"/>
    <x v="0"/>
    <x v="0"/>
    <x v="4"/>
    <x v="1"/>
    <x v="0"/>
    <x v="176"/>
    <x v="0"/>
    <x v="0"/>
    <x v="0"/>
    <b v="1"/>
    <m/>
    <s v="Southampton"/>
    <s v="yes"/>
    <b v="1"/>
    <n v="1"/>
    <n v="1.50482547153134E+19"/>
  </r>
  <r>
    <b v="0"/>
    <x v="1"/>
    <x v="1"/>
    <x v="0"/>
    <x v="9"/>
    <x v="1"/>
    <x v="2"/>
    <x v="177"/>
    <x v="0"/>
    <x v="1"/>
    <x v="2"/>
    <b v="0"/>
    <s v="A"/>
    <s v="Southampton"/>
    <s v="yes"/>
    <b v="0"/>
    <n v="0"/>
    <n v="1.12664914284851E+19"/>
  </r>
  <r>
    <b v="0"/>
    <x v="1"/>
    <x v="2"/>
    <x v="1"/>
    <x v="75"/>
    <x v="1"/>
    <x v="1"/>
    <x v="131"/>
    <x v="0"/>
    <x v="2"/>
    <x v="2"/>
    <b v="0"/>
    <m/>
    <s v="Southampton"/>
    <s v="yes"/>
    <b v="0"/>
    <n v="1"/>
    <n v="8.8488414832499497E+18"/>
  </r>
  <r>
    <b v="0"/>
    <x v="1"/>
    <x v="1"/>
    <x v="0"/>
    <x v="15"/>
    <x v="1"/>
    <x v="0"/>
    <x v="11"/>
    <x v="0"/>
    <x v="1"/>
    <x v="0"/>
    <b v="1"/>
    <m/>
    <s v="Southampton"/>
    <s v="yes"/>
    <b v="1"/>
    <n v="1"/>
    <n v="5.5118167063218002E+18"/>
  </r>
  <r>
    <b v="0"/>
    <x v="1"/>
    <x v="0"/>
    <x v="1"/>
    <x v="31"/>
    <x v="4"/>
    <x v="1"/>
    <x v="178"/>
    <x v="1"/>
    <x v="0"/>
    <x v="2"/>
    <b v="0"/>
    <m/>
    <s v="Cherbourg"/>
    <s v="yes"/>
    <b v="0"/>
    <n v="1"/>
    <n v="8.6088136428135199E+18"/>
  </r>
  <r>
    <b v="0"/>
    <x v="1"/>
    <x v="1"/>
    <x v="0"/>
    <x v="67"/>
    <x v="1"/>
    <x v="0"/>
    <x v="140"/>
    <x v="0"/>
    <x v="1"/>
    <x v="0"/>
    <b v="1"/>
    <s v="C"/>
    <s v="Southampton"/>
    <s v="yes"/>
    <b v="1"/>
    <n v="0"/>
    <n v="1.44157816926789E+19"/>
  </r>
  <r>
    <b v="0"/>
    <x v="0"/>
    <x v="2"/>
    <x v="0"/>
    <x v="62"/>
    <x v="0"/>
    <x v="2"/>
    <x v="44"/>
    <x v="0"/>
    <x v="2"/>
    <x v="0"/>
    <b v="1"/>
    <m/>
    <s v="Southampton"/>
    <s v="no"/>
    <b v="0"/>
    <n v="1"/>
    <n v="1.3021384115739001E+19"/>
  </r>
  <r>
    <b v="0"/>
    <x v="0"/>
    <x v="0"/>
    <x v="0"/>
    <x v="4"/>
    <x v="0"/>
    <x v="0"/>
    <x v="179"/>
    <x v="0"/>
    <x v="0"/>
    <x v="0"/>
    <b v="1"/>
    <m/>
    <s v="Southampton"/>
    <s v="no"/>
    <b v="0"/>
    <n v="1"/>
    <n v="1.7734883989043599E+19"/>
  </r>
  <r>
    <b v="0"/>
    <x v="0"/>
    <x v="1"/>
    <x v="0"/>
    <x v="39"/>
    <x v="1"/>
    <x v="0"/>
    <x v="44"/>
    <x v="1"/>
    <x v="1"/>
    <x v="0"/>
    <b v="1"/>
    <s v="C"/>
    <s v="Cherbourg"/>
    <s v="no"/>
    <b v="1"/>
    <n v="0"/>
    <n v="8.9929848279743703E+18"/>
  </r>
  <r>
    <b v="0"/>
    <x v="1"/>
    <x v="1"/>
    <x v="0"/>
    <x v="27"/>
    <x v="0"/>
    <x v="0"/>
    <x v="180"/>
    <x v="1"/>
    <x v="1"/>
    <x v="0"/>
    <b v="1"/>
    <s v="C"/>
    <s v="Cherbourg"/>
    <s v="yes"/>
    <b v="0"/>
    <n v="0"/>
    <n v="1.6159262499033301E+19"/>
  </r>
  <r>
    <b v="0"/>
    <x v="0"/>
    <x v="0"/>
    <x v="0"/>
    <x v="4"/>
    <x v="1"/>
    <x v="0"/>
    <x v="4"/>
    <x v="0"/>
    <x v="0"/>
    <x v="0"/>
    <b v="1"/>
    <m/>
    <s v="Southampton"/>
    <s v="no"/>
    <b v="1"/>
    <n v="1"/>
    <n v="1.0519935439659201E+19"/>
  </r>
  <r>
    <b v="0"/>
    <x v="1"/>
    <x v="0"/>
    <x v="0"/>
    <x v="28"/>
    <x v="1"/>
    <x v="0"/>
    <x v="25"/>
    <x v="1"/>
    <x v="0"/>
    <x v="0"/>
    <b v="1"/>
    <m/>
    <s v="Cherbourg"/>
    <s v="yes"/>
    <b v="1"/>
    <n v="1"/>
    <n v="1.51757033434896E+18"/>
  </r>
  <r>
    <b v="0"/>
    <x v="0"/>
    <x v="1"/>
    <x v="0"/>
    <x v="29"/>
    <x v="1"/>
    <x v="0"/>
    <x v="11"/>
    <x v="0"/>
    <x v="1"/>
    <x v="0"/>
    <b v="1"/>
    <s v="E"/>
    <s v="Southampton"/>
    <s v="no"/>
    <b v="1"/>
    <n v="0"/>
    <n v="2.27115537565038E+18"/>
  </r>
  <r>
    <b v="0"/>
    <x v="1"/>
    <x v="1"/>
    <x v="1"/>
    <x v="4"/>
    <x v="0"/>
    <x v="0"/>
    <x v="6"/>
    <x v="0"/>
    <x v="1"/>
    <x v="1"/>
    <b v="0"/>
    <s v="D"/>
    <s v="Southampton"/>
    <s v="yes"/>
    <b v="0"/>
    <n v="1"/>
    <n v="4.0560728996202301E+18"/>
  </r>
  <r>
    <b v="0"/>
    <x v="1"/>
    <x v="2"/>
    <x v="1"/>
    <x v="61"/>
    <x v="1"/>
    <x v="0"/>
    <x v="29"/>
    <x v="0"/>
    <x v="2"/>
    <x v="1"/>
    <b v="0"/>
    <m/>
    <s v="Southampton"/>
    <s v="yes"/>
    <b v="1"/>
    <n v="1"/>
    <n v="1.5008703859524801E+19"/>
  </r>
  <r>
    <b v="0"/>
    <x v="0"/>
    <x v="0"/>
    <x v="0"/>
    <x v="4"/>
    <x v="1"/>
    <x v="0"/>
    <x v="28"/>
    <x v="2"/>
    <x v="0"/>
    <x v="0"/>
    <b v="1"/>
    <m/>
    <s v="Queenstown"/>
    <s v="no"/>
    <b v="1"/>
    <n v="1"/>
    <n v="8.8562668406319196E+18"/>
  </r>
  <r>
    <b v="0"/>
    <x v="1"/>
    <x v="1"/>
    <x v="0"/>
    <x v="76"/>
    <x v="1"/>
    <x v="0"/>
    <x v="11"/>
    <x v="0"/>
    <x v="1"/>
    <x v="0"/>
    <b v="1"/>
    <s v="E"/>
    <s v="Southampton"/>
    <s v="yes"/>
    <b v="1"/>
    <n v="0"/>
    <n v="4.76848428507968E+18"/>
  </r>
  <r>
    <b v="0"/>
    <x v="0"/>
    <x v="0"/>
    <x v="0"/>
    <x v="15"/>
    <x v="1"/>
    <x v="0"/>
    <x v="4"/>
    <x v="0"/>
    <x v="0"/>
    <x v="0"/>
    <b v="1"/>
    <m/>
    <s v="Southampton"/>
    <s v="no"/>
    <b v="1"/>
    <n v="1"/>
    <n v="1.81207378784796E+19"/>
  </r>
  <r>
    <b v="0"/>
    <x v="0"/>
    <x v="1"/>
    <x v="0"/>
    <x v="47"/>
    <x v="1"/>
    <x v="0"/>
    <x v="181"/>
    <x v="0"/>
    <x v="1"/>
    <x v="0"/>
    <b v="1"/>
    <s v="E"/>
    <s v="Southampton"/>
    <s v="no"/>
    <b v="1"/>
    <n v="0"/>
    <n v="9.0689579091461202E+18"/>
  </r>
  <r>
    <b v="0"/>
    <x v="0"/>
    <x v="2"/>
    <x v="0"/>
    <x v="76"/>
    <x v="1"/>
    <x v="0"/>
    <x v="16"/>
    <x v="0"/>
    <x v="2"/>
    <x v="0"/>
    <b v="1"/>
    <m/>
    <s v="Southampton"/>
    <s v="no"/>
    <b v="1"/>
    <n v="1"/>
    <n v="1.3860502636040499E+19"/>
  </r>
  <r>
    <b v="0"/>
    <x v="0"/>
    <x v="0"/>
    <x v="0"/>
    <x v="4"/>
    <x v="1"/>
    <x v="0"/>
    <x v="4"/>
    <x v="0"/>
    <x v="0"/>
    <x v="0"/>
    <b v="1"/>
    <m/>
    <s v="Southampton"/>
    <s v="no"/>
    <b v="1"/>
    <n v="1"/>
    <n v="1.0519935439659201E+19"/>
  </r>
  <r>
    <b v="0"/>
    <x v="0"/>
    <x v="0"/>
    <x v="0"/>
    <x v="1"/>
    <x v="1"/>
    <x v="0"/>
    <x v="79"/>
    <x v="0"/>
    <x v="0"/>
    <x v="0"/>
    <b v="1"/>
    <m/>
    <s v="Southampton"/>
    <s v="no"/>
    <b v="1"/>
    <n v="1"/>
    <n v="9.6458711202147103E+18"/>
  </r>
  <r>
    <b v="0"/>
    <x v="0"/>
    <x v="2"/>
    <x v="0"/>
    <x v="4"/>
    <x v="1"/>
    <x v="0"/>
    <x v="104"/>
    <x v="0"/>
    <x v="2"/>
    <x v="0"/>
    <b v="1"/>
    <m/>
    <s v="Southampton"/>
    <s v="no"/>
    <b v="1"/>
    <n v="1"/>
    <n v="1.3784493890172299E+19"/>
  </r>
  <r>
    <b v="0"/>
    <x v="0"/>
    <x v="1"/>
    <x v="0"/>
    <x v="60"/>
    <x v="1"/>
    <x v="0"/>
    <x v="11"/>
    <x v="0"/>
    <x v="1"/>
    <x v="0"/>
    <b v="1"/>
    <m/>
    <s v="Southampton"/>
    <s v="no"/>
    <b v="1"/>
    <n v="1"/>
    <n v="1.50430836875281E+19"/>
  </r>
  <r>
    <b v="0"/>
    <x v="0"/>
    <x v="0"/>
    <x v="0"/>
    <x v="4"/>
    <x v="1"/>
    <x v="0"/>
    <x v="182"/>
    <x v="2"/>
    <x v="0"/>
    <x v="0"/>
    <b v="1"/>
    <m/>
    <s v="Queenstown"/>
    <s v="no"/>
    <b v="1"/>
    <n v="1"/>
    <n v="1.62064935567766E+19"/>
  </r>
  <r>
    <b v="0"/>
    <x v="1"/>
    <x v="0"/>
    <x v="1"/>
    <x v="77"/>
    <x v="4"/>
    <x v="1"/>
    <x v="178"/>
    <x v="1"/>
    <x v="0"/>
    <x v="2"/>
    <b v="0"/>
    <m/>
    <s v="Cherbourg"/>
    <s v="yes"/>
    <b v="0"/>
    <n v="1"/>
    <n v="1.3639990042755799E+19"/>
  </r>
  <r>
    <b v="0"/>
    <x v="0"/>
    <x v="0"/>
    <x v="0"/>
    <x v="4"/>
    <x v="1"/>
    <x v="0"/>
    <x v="0"/>
    <x v="0"/>
    <x v="0"/>
    <x v="0"/>
    <b v="1"/>
    <m/>
    <s v="Southampton"/>
    <s v="no"/>
    <b v="1"/>
    <n v="1"/>
    <n v="1.24309295546305E+19"/>
  </r>
  <r>
    <b v="0"/>
    <x v="0"/>
    <x v="0"/>
    <x v="0"/>
    <x v="1"/>
    <x v="1"/>
    <x v="0"/>
    <x v="51"/>
    <x v="0"/>
    <x v="0"/>
    <x v="0"/>
    <b v="1"/>
    <m/>
    <s v="Southampton"/>
    <s v="no"/>
    <b v="1"/>
    <n v="1"/>
    <n v="1.3985547662474199E+19"/>
  </r>
  <r>
    <b v="0"/>
    <x v="1"/>
    <x v="2"/>
    <x v="1"/>
    <x v="40"/>
    <x v="0"/>
    <x v="2"/>
    <x v="44"/>
    <x v="0"/>
    <x v="2"/>
    <x v="1"/>
    <b v="0"/>
    <m/>
    <s v="Southampton"/>
    <s v="yes"/>
    <b v="0"/>
    <n v="1"/>
    <n v="1.77023802658933E+19"/>
  </r>
  <r>
    <b v="0"/>
    <x v="1"/>
    <x v="2"/>
    <x v="1"/>
    <x v="41"/>
    <x v="1"/>
    <x v="0"/>
    <x v="183"/>
    <x v="1"/>
    <x v="2"/>
    <x v="1"/>
    <b v="0"/>
    <s v="D"/>
    <s v="Cherbourg"/>
    <s v="yes"/>
    <b v="1"/>
    <n v="0"/>
    <n v="1.07568539760511E+19"/>
  </r>
  <r>
    <b v="0"/>
    <x v="0"/>
    <x v="0"/>
    <x v="1"/>
    <x v="0"/>
    <x v="1"/>
    <x v="0"/>
    <x v="184"/>
    <x v="0"/>
    <x v="0"/>
    <x v="1"/>
    <b v="0"/>
    <m/>
    <s v="Southampton"/>
    <s v="no"/>
    <b v="1"/>
    <n v="1"/>
    <n v="4.6507615581891604E+18"/>
  </r>
  <r>
    <b v="0"/>
    <x v="0"/>
    <x v="1"/>
    <x v="0"/>
    <x v="4"/>
    <x v="1"/>
    <x v="0"/>
    <x v="31"/>
    <x v="0"/>
    <x v="1"/>
    <x v="0"/>
    <b v="1"/>
    <s v="A"/>
    <s v="Southampton"/>
    <s v="no"/>
    <b v="1"/>
    <n v="1"/>
    <n v="1.53222544692415E+19"/>
  </r>
  <r>
    <b v="0"/>
    <x v="0"/>
    <x v="2"/>
    <x v="0"/>
    <x v="15"/>
    <x v="0"/>
    <x v="0"/>
    <x v="35"/>
    <x v="0"/>
    <x v="2"/>
    <x v="0"/>
    <b v="1"/>
    <m/>
    <s v="Southampton"/>
    <s v="no"/>
    <b v="0"/>
    <n v="1"/>
    <n v="7.0698537418648105E+18"/>
  </r>
  <r>
    <b v="0"/>
    <x v="0"/>
    <x v="0"/>
    <x v="0"/>
    <x v="28"/>
    <x v="0"/>
    <x v="0"/>
    <x v="185"/>
    <x v="0"/>
    <x v="0"/>
    <x v="0"/>
    <b v="1"/>
    <m/>
    <s v="Southampton"/>
    <s v="no"/>
    <b v="0"/>
    <n v="1"/>
    <n v="2.8520567101437302E+18"/>
  </r>
  <r>
    <b v="0"/>
    <x v="0"/>
    <x v="0"/>
    <x v="0"/>
    <x v="0"/>
    <x v="1"/>
    <x v="0"/>
    <x v="186"/>
    <x v="0"/>
    <x v="0"/>
    <x v="0"/>
    <b v="1"/>
    <m/>
    <s v="Southampton"/>
    <s v="no"/>
    <b v="1"/>
    <n v="1"/>
    <n v="2.5700863075462E+17"/>
  </r>
  <r>
    <b v="0"/>
    <x v="1"/>
    <x v="0"/>
    <x v="1"/>
    <x v="6"/>
    <x v="1"/>
    <x v="1"/>
    <x v="187"/>
    <x v="0"/>
    <x v="0"/>
    <x v="2"/>
    <b v="0"/>
    <m/>
    <s v="Southampton"/>
    <s v="yes"/>
    <b v="0"/>
    <n v="1"/>
    <n v="5.60903076078952E+17"/>
  </r>
  <r>
    <b v="0"/>
    <x v="0"/>
    <x v="0"/>
    <x v="0"/>
    <x v="52"/>
    <x v="5"/>
    <x v="2"/>
    <x v="45"/>
    <x v="0"/>
    <x v="0"/>
    <x v="2"/>
    <b v="0"/>
    <m/>
    <s v="Southampton"/>
    <s v="no"/>
    <b v="0"/>
    <n v="1"/>
    <n v="1.5187630118243999E+18"/>
  </r>
  <r>
    <b v="0"/>
    <x v="0"/>
    <x v="2"/>
    <x v="0"/>
    <x v="4"/>
    <x v="1"/>
    <x v="0"/>
    <x v="104"/>
    <x v="0"/>
    <x v="2"/>
    <x v="0"/>
    <b v="1"/>
    <m/>
    <s v="Southampton"/>
    <s v="no"/>
    <b v="1"/>
    <n v="1"/>
    <n v="1.3784493890172299E+19"/>
  </r>
  <r>
    <b v="0"/>
    <x v="0"/>
    <x v="0"/>
    <x v="0"/>
    <x v="61"/>
    <x v="1"/>
    <x v="0"/>
    <x v="4"/>
    <x v="0"/>
    <x v="0"/>
    <x v="0"/>
    <b v="1"/>
    <m/>
    <s v="Southampton"/>
    <s v="no"/>
    <b v="1"/>
    <n v="1"/>
    <n v="3.5374491790543099E+18"/>
  </r>
  <r>
    <b v="0"/>
    <x v="1"/>
    <x v="0"/>
    <x v="1"/>
    <x v="68"/>
    <x v="1"/>
    <x v="0"/>
    <x v="188"/>
    <x v="0"/>
    <x v="0"/>
    <x v="1"/>
    <b v="0"/>
    <m/>
    <s v="Southampton"/>
    <s v="yes"/>
    <b v="1"/>
    <n v="1"/>
    <n v="1.8219130911007799E+19"/>
  </r>
  <r>
    <b v="0"/>
    <x v="1"/>
    <x v="1"/>
    <x v="0"/>
    <x v="37"/>
    <x v="0"/>
    <x v="0"/>
    <x v="136"/>
    <x v="1"/>
    <x v="1"/>
    <x v="0"/>
    <b v="1"/>
    <s v="B"/>
    <s v="Cherbourg"/>
    <s v="yes"/>
    <b v="0"/>
    <n v="0"/>
    <n v="4.82879376597231E+18"/>
  </r>
  <r>
    <b v="0"/>
    <x v="0"/>
    <x v="0"/>
    <x v="1"/>
    <x v="4"/>
    <x v="2"/>
    <x v="1"/>
    <x v="102"/>
    <x v="0"/>
    <x v="0"/>
    <x v="1"/>
    <b v="0"/>
    <m/>
    <s v="Southampton"/>
    <s v="no"/>
    <b v="0"/>
    <n v="1"/>
    <n v="1.80108942157732E+19"/>
  </r>
  <r>
    <b v="0"/>
    <x v="1"/>
    <x v="1"/>
    <x v="1"/>
    <x v="3"/>
    <x v="0"/>
    <x v="0"/>
    <x v="117"/>
    <x v="0"/>
    <x v="1"/>
    <x v="1"/>
    <b v="0"/>
    <s v="C"/>
    <s v="Southampton"/>
    <s v="yes"/>
    <b v="0"/>
    <n v="0"/>
    <n v="1.6511244331185701E+19"/>
  </r>
  <r>
    <b v="0"/>
    <x v="0"/>
    <x v="1"/>
    <x v="0"/>
    <x v="10"/>
    <x v="1"/>
    <x v="0"/>
    <x v="132"/>
    <x v="1"/>
    <x v="1"/>
    <x v="0"/>
    <b v="1"/>
    <s v="B"/>
    <s v="Cherbourg"/>
    <s v="no"/>
    <b v="1"/>
    <n v="0"/>
    <n v="1.47810764510203E+19"/>
  </r>
  <r>
    <b v="0"/>
    <x v="0"/>
    <x v="0"/>
    <x v="0"/>
    <x v="39"/>
    <x v="1"/>
    <x v="0"/>
    <x v="4"/>
    <x v="0"/>
    <x v="0"/>
    <x v="0"/>
    <b v="1"/>
    <m/>
    <s v="Southampton"/>
    <s v="no"/>
    <b v="1"/>
    <n v="1"/>
    <n v="3.9468574058521201E+18"/>
  </r>
  <r>
    <b v="0"/>
    <x v="1"/>
    <x v="0"/>
    <x v="0"/>
    <x v="52"/>
    <x v="0"/>
    <x v="1"/>
    <x v="156"/>
    <x v="0"/>
    <x v="0"/>
    <x v="2"/>
    <b v="0"/>
    <m/>
    <s v="Southampton"/>
    <s v="yes"/>
    <b v="0"/>
    <n v="1"/>
    <n v="1.7949738464442401E+19"/>
  </r>
  <r>
    <b v="0"/>
    <x v="0"/>
    <x v="0"/>
    <x v="0"/>
    <x v="4"/>
    <x v="0"/>
    <x v="0"/>
    <x v="179"/>
    <x v="0"/>
    <x v="0"/>
    <x v="0"/>
    <b v="1"/>
    <m/>
    <s v="Southampton"/>
    <s v="no"/>
    <b v="0"/>
    <n v="1"/>
    <n v="1.7734883989043599E+19"/>
  </r>
  <r>
    <b v="0"/>
    <x v="0"/>
    <x v="0"/>
    <x v="0"/>
    <x v="23"/>
    <x v="1"/>
    <x v="0"/>
    <x v="0"/>
    <x v="0"/>
    <x v="0"/>
    <x v="0"/>
    <b v="1"/>
    <m/>
    <s v="Southampton"/>
    <s v="no"/>
    <b v="1"/>
    <n v="1"/>
    <n v="1.3680147405310501E+19"/>
  </r>
  <r>
    <b v="0"/>
    <x v="0"/>
    <x v="1"/>
    <x v="0"/>
    <x v="13"/>
    <x v="1"/>
    <x v="0"/>
    <x v="140"/>
    <x v="0"/>
    <x v="1"/>
    <x v="0"/>
    <b v="1"/>
    <s v="C"/>
    <s v="Southampton"/>
    <s v="no"/>
    <b v="1"/>
    <n v="0"/>
    <n v="8.6392127665824102E+17"/>
  </r>
  <r>
    <b v="0"/>
    <x v="0"/>
    <x v="1"/>
    <x v="0"/>
    <x v="45"/>
    <x v="1"/>
    <x v="0"/>
    <x v="189"/>
    <x v="1"/>
    <x v="1"/>
    <x v="0"/>
    <b v="1"/>
    <m/>
    <s v="Cherbourg"/>
    <s v="no"/>
    <b v="1"/>
    <n v="1"/>
    <n v="1.31902891143005E+19"/>
  </r>
  <r>
    <b v="0"/>
    <x v="0"/>
    <x v="0"/>
    <x v="0"/>
    <x v="23"/>
    <x v="1"/>
    <x v="0"/>
    <x v="4"/>
    <x v="0"/>
    <x v="0"/>
    <x v="0"/>
    <b v="1"/>
    <m/>
    <s v="Southampton"/>
    <s v="no"/>
    <b v="1"/>
    <n v="1"/>
    <n v="2.22990516956077E+18"/>
  </r>
  <r>
    <b v="0"/>
    <x v="0"/>
    <x v="0"/>
    <x v="0"/>
    <x v="4"/>
    <x v="1"/>
    <x v="0"/>
    <x v="74"/>
    <x v="1"/>
    <x v="0"/>
    <x v="0"/>
    <b v="1"/>
    <m/>
    <s v="Cherbourg"/>
    <s v="no"/>
    <b v="1"/>
    <n v="1"/>
    <n v="1.10226686807907E+19"/>
  </r>
  <r>
    <b v="0"/>
    <x v="1"/>
    <x v="1"/>
    <x v="1"/>
    <x v="5"/>
    <x v="0"/>
    <x v="0"/>
    <x v="190"/>
    <x v="1"/>
    <x v="1"/>
    <x v="1"/>
    <b v="0"/>
    <s v="D"/>
    <s v="Cherbourg"/>
    <s v="yes"/>
    <b v="0"/>
    <n v="0"/>
    <n v="1.2040289908988001E+18"/>
  </r>
  <r>
    <b v="0"/>
    <x v="0"/>
    <x v="0"/>
    <x v="0"/>
    <x v="4"/>
    <x v="1"/>
    <x v="0"/>
    <x v="191"/>
    <x v="0"/>
    <x v="0"/>
    <x v="0"/>
    <b v="1"/>
    <m/>
    <s v="Southampton"/>
    <s v="no"/>
    <b v="1"/>
    <n v="1"/>
    <n v="8.1315252200938598E+18"/>
  </r>
  <r>
    <b v="0"/>
    <x v="0"/>
    <x v="1"/>
    <x v="1"/>
    <x v="37"/>
    <x v="0"/>
    <x v="2"/>
    <x v="139"/>
    <x v="0"/>
    <x v="1"/>
    <x v="1"/>
    <b v="0"/>
    <s v="C"/>
    <s v="Southampton"/>
    <s v="no"/>
    <b v="0"/>
    <n v="0"/>
    <n v="1.7646736881200501E+19"/>
  </r>
  <r>
    <b v="0"/>
    <x v="0"/>
    <x v="0"/>
    <x v="0"/>
    <x v="42"/>
    <x v="1"/>
    <x v="0"/>
    <x v="88"/>
    <x v="0"/>
    <x v="0"/>
    <x v="0"/>
    <b v="1"/>
    <m/>
    <s v="Southampton"/>
    <s v="no"/>
    <b v="1"/>
    <n v="1"/>
    <n v="4.8593337227370004E+18"/>
  </r>
  <r>
    <b v="0"/>
    <x v="0"/>
    <x v="0"/>
    <x v="0"/>
    <x v="34"/>
    <x v="1"/>
    <x v="0"/>
    <x v="51"/>
    <x v="0"/>
    <x v="0"/>
    <x v="0"/>
    <b v="1"/>
    <m/>
    <s v="Southampton"/>
    <s v="no"/>
    <b v="1"/>
    <n v="1"/>
    <n v="3.0286653837999002E+18"/>
  </r>
  <r>
    <b v="0"/>
    <x v="0"/>
    <x v="0"/>
    <x v="1"/>
    <x v="23"/>
    <x v="1"/>
    <x v="0"/>
    <x v="28"/>
    <x v="2"/>
    <x v="0"/>
    <x v="1"/>
    <b v="0"/>
    <m/>
    <s v="Queenstown"/>
    <s v="no"/>
    <b v="1"/>
    <n v="1"/>
    <n v="1.81316552261092E+19"/>
  </r>
  <r>
    <b v="0"/>
    <x v="0"/>
    <x v="0"/>
    <x v="1"/>
    <x v="4"/>
    <x v="1"/>
    <x v="0"/>
    <x v="192"/>
    <x v="2"/>
    <x v="0"/>
    <x v="1"/>
    <b v="0"/>
    <m/>
    <s v="Queenstown"/>
    <s v="no"/>
    <b v="1"/>
    <n v="1"/>
    <n v="9.3389883766792602E+17"/>
  </r>
  <r>
    <b v="0"/>
    <x v="0"/>
    <x v="0"/>
    <x v="1"/>
    <x v="46"/>
    <x v="1"/>
    <x v="0"/>
    <x v="188"/>
    <x v="0"/>
    <x v="0"/>
    <x v="1"/>
    <b v="0"/>
    <m/>
    <s v="Southampton"/>
    <s v="no"/>
    <b v="1"/>
    <n v="1"/>
    <n v="1.62474599449002E+19"/>
  </r>
  <r>
    <b v="0"/>
    <x v="1"/>
    <x v="1"/>
    <x v="1"/>
    <x v="36"/>
    <x v="1"/>
    <x v="0"/>
    <x v="126"/>
    <x v="0"/>
    <x v="1"/>
    <x v="1"/>
    <b v="0"/>
    <s v="B"/>
    <s v="Southampton"/>
    <s v="yes"/>
    <b v="1"/>
    <n v="0"/>
    <n v="1.1110947630257701E+19"/>
  </r>
  <r>
    <b v="0"/>
    <x v="0"/>
    <x v="1"/>
    <x v="0"/>
    <x v="24"/>
    <x v="0"/>
    <x v="0"/>
    <x v="144"/>
    <x v="1"/>
    <x v="1"/>
    <x v="0"/>
    <b v="1"/>
    <s v="C"/>
    <s v="Cherbourg"/>
    <s v="no"/>
    <b v="0"/>
    <n v="0"/>
    <n v="7.4536071264534405E+18"/>
  </r>
  <r>
    <b v="0"/>
    <x v="1"/>
    <x v="2"/>
    <x v="1"/>
    <x v="40"/>
    <x v="1"/>
    <x v="2"/>
    <x v="19"/>
    <x v="0"/>
    <x v="2"/>
    <x v="1"/>
    <b v="0"/>
    <m/>
    <s v="Southampton"/>
    <s v="yes"/>
    <b v="0"/>
    <n v="1"/>
    <n v="1.3895060505644501E+19"/>
  </r>
  <r>
    <b v="0"/>
    <x v="1"/>
    <x v="1"/>
    <x v="0"/>
    <x v="4"/>
    <x v="1"/>
    <x v="0"/>
    <x v="11"/>
    <x v="0"/>
    <x v="1"/>
    <x v="0"/>
    <b v="1"/>
    <m/>
    <s v="Southampton"/>
    <s v="yes"/>
    <b v="1"/>
    <n v="1"/>
    <n v="1.5338173310346199E+19"/>
  </r>
  <r>
    <b v="0"/>
    <x v="0"/>
    <x v="0"/>
    <x v="0"/>
    <x v="17"/>
    <x v="1"/>
    <x v="0"/>
    <x v="193"/>
    <x v="0"/>
    <x v="0"/>
    <x v="0"/>
    <b v="1"/>
    <m/>
    <s v="Southampton"/>
    <s v="no"/>
    <b v="1"/>
    <n v="1"/>
    <n v="1.1230566148448899E+19"/>
  </r>
  <r>
    <b v="0"/>
    <x v="1"/>
    <x v="0"/>
    <x v="0"/>
    <x v="2"/>
    <x v="1"/>
    <x v="0"/>
    <x v="54"/>
    <x v="0"/>
    <x v="0"/>
    <x v="0"/>
    <b v="1"/>
    <m/>
    <s v="Southampton"/>
    <s v="yes"/>
    <b v="1"/>
    <n v="1"/>
    <n v="2.2989917669579799E+18"/>
  </r>
  <r>
    <b v="0"/>
    <x v="1"/>
    <x v="0"/>
    <x v="0"/>
    <x v="28"/>
    <x v="1"/>
    <x v="0"/>
    <x v="28"/>
    <x v="2"/>
    <x v="0"/>
    <x v="0"/>
    <b v="1"/>
    <m/>
    <s v="Queenstown"/>
    <s v="yes"/>
    <b v="1"/>
    <n v="1"/>
    <n v="3.67693156488834E+18"/>
  </r>
  <r>
    <b v="0"/>
    <x v="0"/>
    <x v="0"/>
    <x v="0"/>
    <x v="4"/>
    <x v="1"/>
    <x v="0"/>
    <x v="4"/>
    <x v="0"/>
    <x v="0"/>
    <x v="0"/>
    <b v="1"/>
    <m/>
    <s v="Southampton"/>
    <s v="no"/>
    <b v="1"/>
    <n v="1"/>
    <n v="1.0519935439659201E+19"/>
  </r>
  <r>
    <b v="0"/>
    <x v="1"/>
    <x v="1"/>
    <x v="0"/>
    <x v="62"/>
    <x v="1"/>
    <x v="0"/>
    <x v="194"/>
    <x v="0"/>
    <x v="1"/>
    <x v="0"/>
    <b v="1"/>
    <s v="E"/>
    <s v="Southampton"/>
    <s v="yes"/>
    <b v="1"/>
    <n v="0"/>
    <n v="1.6302909473385699E+19"/>
  </r>
  <r>
    <b v="0"/>
    <x v="1"/>
    <x v="1"/>
    <x v="1"/>
    <x v="5"/>
    <x v="0"/>
    <x v="0"/>
    <x v="195"/>
    <x v="1"/>
    <x v="1"/>
    <x v="1"/>
    <b v="0"/>
    <m/>
    <s v="Cherbourg"/>
    <s v="yes"/>
    <b v="0"/>
    <n v="1"/>
    <n v="7.7342733739101102E+18"/>
  </r>
  <r>
    <b v="0"/>
    <x v="0"/>
    <x v="0"/>
    <x v="0"/>
    <x v="42"/>
    <x v="1"/>
    <x v="0"/>
    <x v="196"/>
    <x v="0"/>
    <x v="0"/>
    <x v="0"/>
    <b v="1"/>
    <m/>
    <s v="Southampton"/>
    <s v="no"/>
    <b v="1"/>
    <n v="1"/>
    <n v="7.15824916298543E+18"/>
  </r>
  <r>
    <b v="0"/>
    <x v="0"/>
    <x v="1"/>
    <x v="0"/>
    <x v="47"/>
    <x v="1"/>
    <x v="0"/>
    <x v="197"/>
    <x v="0"/>
    <x v="1"/>
    <x v="0"/>
    <b v="1"/>
    <s v="D"/>
    <s v="Southampton"/>
    <s v="no"/>
    <b v="1"/>
    <n v="0"/>
    <n v="1.34304316181777E+19"/>
  </r>
  <r>
    <b v="0"/>
    <x v="1"/>
    <x v="2"/>
    <x v="1"/>
    <x v="15"/>
    <x v="1"/>
    <x v="0"/>
    <x v="29"/>
    <x v="0"/>
    <x v="2"/>
    <x v="1"/>
    <b v="0"/>
    <s v="F"/>
    <s v="Southampton"/>
    <s v="yes"/>
    <b v="1"/>
    <n v="0"/>
    <n v="7.2424747454517606E+17"/>
  </r>
  <r>
    <b v="0"/>
    <x v="0"/>
    <x v="0"/>
    <x v="0"/>
    <x v="4"/>
    <x v="1"/>
    <x v="0"/>
    <x v="72"/>
    <x v="2"/>
    <x v="0"/>
    <x v="0"/>
    <b v="1"/>
    <m/>
    <s v="Queenstown"/>
    <s v="no"/>
    <b v="1"/>
    <n v="1"/>
    <n v="1.5176460394415901E+19"/>
  </r>
  <r>
    <b v="0"/>
    <x v="1"/>
    <x v="2"/>
    <x v="1"/>
    <x v="62"/>
    <x v="0"/>
    <x v="0"/>
    <x v="19"/>
    <x v="0"/>
    <x v="2"/>
    <x v="1"/>
    <b v="0"/>
    <m/>
    <s v="Southampton"/>
    <s v="yes"/>
    <b v="0"/>
    <n v="1"/>
    <n v="1.59541849323624E+19"/>
  </r>
  <r>
    <b v="0"/>
    <x v="0"/>
    <x v="0"/>
    <x v="0"/>
    <x v="35"/>
    <x v="1"/>
    <x v="0"/>
    <x v="25"/>
    <x v="0"/>
    <x v="0"/>
    <x v="0"/>
    <b v="1"/>
    <m/>
    <s v="Southampton"/>
    <s v="no"/>
    <b v="1"/>
    <n v="1"/>
    <n v="1.1630352807342E+19"/>
  </r>
  <r>
    <b v="0"/>
    <x v="1"/>
    <x v="1"/>
    <x v="1"/>
    <x v="39"/>
    <x v="1"/>
    <x v="0"/>
    <x v="198"/>
    <x v="0"/>
    <x v="1"/>
    <x v="1"/>
    <b v="0"/>
    <s v="B"/>
    <s v="Southampton"/>
    <s v="yes"/>
    <b v="1"/>
    <n v="0"/>
    <n v="6.2701657654997699E+18"/>
  </r>
  <r>
    <b v="0"/>
    <x v="0"/>
    <x v="0"/>
    <x v="0"/>
    <x v="0"/>
    <x v="1"/>
    <x v="0"/>
    <x v="25"/>
    <x v="0"/>
    <x v="0"/>
    <x v="0"/>
    <b v="1"/>
    <m/>
    <s v="Southampton"/>
    <s v="no"/>
    <b v="1"/>
    <n v="1"/>
    <n v="1.18144678467071E+19"/>
  </r>
  <r>
    <b v="0"/>
    <x v="0"/>
    <x v="0"/>
    <x v="0"/>
    <x v="4"/>
    <x v="1"/>
    <x v="0"/>
    <x v="18"/>
    <x v="1"/>
    <x v="0"/>
    <x v="0"/>
    <b v="1"/>
    <m/>
    <s v="Cherbourg"/>
    <s v="no"/>
    <b v="1"/>
    <n v="1"/>
    <n v="5.4729232098319995E+18"/>
  </r>
  <r>
    <b v="0"/>
    <x v="1"/>
    <x v="1"/>
    <x v="1"/>
    <x v="57"/>
    <x v="1"/>
    <x v="1"/>
    <x v="153"/>
    <x v="1"/>
    <x v="1"/>
    <x v="1"/>
    <b v="0"/>
    <s v="B"/>
    <s v="Cherbourg"/>
    <s v="yes"/>
    <b v="0"/>
    <n v="0"/>
    <n v="9.77788159197969E+18"/>
  </r>
  <r>
    <b v="0"/>
    <x v="0"/>
    <x v="0"/>
    <x v="0"/>
    <x v="4"/>
    <x v="1"/>
    <x v="0"/>
    <x v="32"/>
    <x v="1"/>
    <x v="0"/>
    <x v="0"/>
    <b v="1"/>
    <m/>
    <s v="Cherbourg"/>
    <s v="no"/>
    <b v="1"/>
    <n v="1"/>
    <n v="1.2150606124307599E+19"/>
  </r>
  <r>
    <b v="0"/>
    <x v="0"/>
    <x v="0"/>
    <x v="0"/>
    <x v="56"/>
    <x v="1"/>
    <x v="0"/>
    <x v="28"/>
    <x v="2"/>
    <x v="0"/>
    <x v="0"/>
    <b v="1"/>
    <m/>
    <s v="Queenstown"/>
    <s v="no"/>
    <b v="1"/>
    <n v="1"/>
    <n v="7.4314564871655803E+18"/>
  </r>
  <r>
    <b v="0"/>
    <x v="1"/>
    <x v="2"/>
    <x v="1"/>
    <x v="61"/>
    <x v="1"/>
    <x v="0"/>
    <x v="29"/>
    <x v="0"/>
    <x v="2"/>
    <x v="1"/>
    <b v="0"/>
    <m/>
    <s v="Southampton"/>
    <s v="yes"/>
    <b v="1"/>
    <n v="1"/>
    <n v="1.5008703859524801E+19"/>
  </r>
  <r>
    <b v="0"/>
    <x v="0"/>
    <x v="1"/>
    <x v="0"/>
    <x v="4"/>
    <x v="1"/>
    <x v="0"/>
    <x v="199"/>
    <x v="0"/>
    <x v="1"/>
    <x v="0"/>
    <b v="1"/>
    <s v="C"/>
    <s v="Southampton"/>
    <s v="no"/>
    <b v="1"/>
    <n v="1"/>
    <n v="4.9695325362268099E+18"/>
  </r>
  <r>
    <b v="0"/>
    <x v="0"/>
    <x v="0"/>
    <x v="0"/>
    <x v="12"/>
    <x v="1"/>
    <x v="0"/>
    <x v="2"/>
    <x v="0"/>
    <x v="0"/>
    <x v="0"/>
    <b v="1"/>
    <m/>
    <s v="Southampton"/>
    <s v="no"/>
    <b v="1"/>
    <n v="1"/>
    <n v="8.5009071541856896E+17"/>
  </r>
  <r>
    <b v="0"/>
    <x v="0"/>
    <x v="2"/>
    <x v="0"/>
    <x v="41"/>
    <x v="4"/>
    <x v="1"/>
    <x v="86"/>
    <x v="0"/>
    <x v="2"/>
    <x v="0"/>
    <b v="1"/>
    <m/>
    <s v="Southampton"/>
    <s v="no"/>
    <b v="0"/>
    <n v="1"/>
    <n v="7.8286470087745495E+18"/>
  </r>
  <r>
    <b v="0"/>
    <x v="1"/>
    <x v="2"/>
    <x v="1"/>
    <x v="6"/>
    <x v="0"/>
    <x v="1"/>
    <x v="19"/>
    <x v="0"/>
    <x v="2"/>
    <x v="2"/>
    <b v="0"/>
    <m/>
    <s v="Southampton"/>
    <s v="yes"/>
    <b v="0"/>
    <n v="1"/>
    <n v="3.2820003550766899E+18"/>
  </r>
  <r>
    <b v="0"/>
    <x v="0"/>
    <x v="0"/>
    <x v="0"/>
    <x v="4"/>
    <x v="1"/>
    <x v="0"/>
    <x v="32"/>
    <x v="1"/>
    <x v="0"/>
    <x v="0"/>
    <b v="1"/>
    <m/>
    <s v="Cherbourg"/>
    <s v="no"/>
    <b v="1"/>
    <n v="1"/>
    <n v="1.2150606124307599E+19"/>
  </r>
  <r>
    <b v="0"/>
    <x v="0"/>
    <x v="0"/>
    <x v="0"/>
    <x v="34"/>
    <x v="0"/>
    <x v="1"/>
    <x v="32"/>
    <x v="1"/>
    <x v="0"/>
    <x v="0"/>
    <b v="1"/>
    <m/>
    <s v="Cherbourg"/>
    <s v="no"/>
    <b v="0"/>
    <n v="1"/>
    <n v="2.1567449476142799E+18"/>
  </r>
  <r>
    <b v="0"/>
    <x v="1"/>
    <x v="0"/>
    <x v="1"/>
    <x v="4"/>
    <x v="1"/>
    <x v="2"/>
    <x v="77"/>
    <x v="1"/>
    <x v="0"/>
    <x v="1"/>
    <b v="0"/>
    <m/>
    <s v="Cherbourg"/>
    <s v="yes"/>
    <b v="0"/>
    <n v="1"/>
    <n v="1.03857933397235E+18"/>
  </r>
  <r>
    <b v="0"/>
    <x v="0"/>
    <x v="0"/>
    <x v="1"/>
    <x v="39"/>
    <x v="1"/>
    <x v="0"/>
    <x v="51"/>
    <x v="0"/>
    <x v="0"/>
    <x v="1"/>
    <b v="0"/>
    <m/>
    <s v="Southampton"/>
    <s v="no"/>
    <b v="1"/>
    <n v="1"/>
    <n v="3.3189871966582098E+18"/>
  </r>
  <r>
    <b v="0"/>
    <x v="1"/>
    <x v="2"/>
    <x v="1"/>
    <x v="26"/>
    <x v="1"/>
    <x v="2"/>
    <x v="121"/>
    <x v="0"/>
    <x v="2"/>
    <x v="2"/>
    <b v="0"/>
    <m/>
    <s v="Southampton"/>
    <s v="yes"/>
    <b v="0"/>
    <n v="1"/>
    <n v="1.9487074225960699E+18"/>
  </r>
  <r>
    <b v="0"/>
    <x v="0"/>
    <x v="1"/>
    <x v="0"/>
    <x v="33"/>
    <x v="1"/>
    <x v="0"/>
    <x v="11"/>
    <x v="0"/>
    <x v="1"/>
    <x v="0"/>
    <b v="1"/>
    <s v="B"/>
    <s v="Southampton"/>
    <s v="no"/>
    <b v="1"/>
    <n v="0"/>
    <n v="1.05141914308334E+19"/>
  </r>
  <r>
    <b v="0"/>
    <x v="1"/>
    <x v="1"/>
    <x v="1"/>
    <x v="39"/>
    <x v="1"/>
    <x v="0"/>
    <x v="200"/>
    <x v="1"/>
    <x v="1"/>
    <x v="1"/>
    <b v="0"/>
    <m/>
    <s v="Cherbourg"/>
    <s v="yes"/>
    <b v="1"/>
    <n v="1"/>
    <n v="1.1264034739526799E+18"/>
  </r>
  <r>
    <b v="0"/>
    <x v="0"/>
    <x v="0"/>
    <x v="0"/>
    <x v="4"/>
    <x v="1"/>
    <x v="0"/>
    <x v="80"/>
    <x v="0"/>
    <x v="0"/>
    <x v="0"/>
    <b v="1"/>
    <m/>
    <s v="Southampton"/>
    <s v="no"/>
    <b v="1"/>
    <n v="1"/>
    <n v="1.49344061587387E+19"/>
  </r>
  <r>
    <b v="0"/>
    <x v="1"/>
    <x v="1"/>
    <x v="1"/>
    <x v="0"/>
    <x v="1"/>
    <x v="2"/>
    <x v="201"/>
    <x v="1"/>
    <x v="1"/>
    <x v="1"/>
    <b v="0"/>
    <s v="B"/>
    <s v="Cherbourg"/>
    <s v="yes"/>
    <b v="0"/>
    <n v="0"/>
    <n v="1.0216808816970701E+17"/>
  </r>
  <r>
    <b v="0"/>
    <x v="1"/>
    <x v="1"/>
    <x v="1"/>
    <x v="62"/>
    <x v="1"/>
    <x v="2"/>
    <x v="202"/>
    <x v="0"/>
    <x v="1"/>
    <x v="1"/>
    <b v="0"/>
    <s v="B"/>
    <s v="Southampton"/>
    <s v="yes"/>
    <b v="0"/>
    <n v="0"/>
    <n v="8.1108439374360996E+18"/>
  </r>
  <r>
    <b v="0"/>
    <x v="0"/>
    <x v="0"/>
    <x v="1"/>
    <x v="52"/>
    <x v="3"/>
    <x v="2"/>
    <x v="12"/>
    <x v="0"/>
    <x v="0"/>
    <x v="2"/>
    <b v="0"/>
    <m/>
    <s v="Southampton"/>
    <s v="no"/>
    <b v="0"/>
    <n v="1"/>
    <n v="4.1206114726330998E+18"/>
  </r>
  <r>
    <b v="0"/>
    <x v="0"/>
    <x v="0"/>
    <x v="1"/>
    <x v="32"/>
    <x v="3"/>
    <x v="2"/>
    <x v="12"/>
    <x v="0"/>
    <x v="0"/>
    <x v="2"/>
    <b v="0"/>
    <m/>
    <s v="Southampton"/>
    <s v="no"/>
    <b v="0"/>
    <n v="1"/>
    <n v="1.12020105680897E+19"/>
  </r>
  <r>
    <b v="0"/>
    <x v="1"/>
    <x v="2"/>
    <x v="0"/>
    <x v="35"/>
    <x v="0"/>
    <x v="0"/>
    <x v="19"/>
    <x v="0"/>
    <x v="2"/>
    <x v="0"/>
    <b v="1"/>
    <m/>
    <s v="Southampton"/>
    <s v="yes"/>
    <b v="0"/>
    <n v="1"/>
    <n v="1.5010678057897001E+19"/>
  </r>
  <r>
    <b v="0"/>
    <x v="0"/>
    <x v="1"/>
    <x v="0"/>
    <x v="61"/>
    <x v="0"/>
    <x v="0"/>
    <x v="200"/>
    <x v="1"/>
    <x v="1"/>
    <x v="0"/>
    <b v="1"/>
    <s v="C"/>
    <s v="Cherbourg"/>
    <s v="no"/>
    <b v="0"/>
    <n v="0"/>
    <n v="2.08937833934304E+18"/>
  </r>
  <r>
    <b v="0"/>
    <x v="0"/>
    <x v="1"/>
    <x v="0"/>
    <x v="74"/>
    <x v="1"/>
    <x v="0"/>
    <x v="19"/>
    <x v="0"/>
    <x v="1"/>
    <x v="0"/>
    <b v="1"/>
    <m/>
    <s v="Southampton"/>
    <s v="no"/>
    <b v="1"/>
    <n v="1"/>
    <n v="1.2903939795641301E+19"/>
  </r>
  <r>
    <b v="0"/>
    <x v="1"/>
    <x v="2"/>
    <x v="1"/>
    <x v="19"/>
    <x v="0"/>
    <x v="0"/>
    <x v="19"/>
    <x v="0"/>
    <x v="2"/>
    <x v="1"/>
    <b v="0"/>
    <m/>
    <s v="Southampton"/>
    <s v="yes"/>
    <b v="0"/>
    <n v="1"/>
    <n v="9.4394980526840893E+18"/>
  </r>
  <r>
    <b v="0"/>
    <x v="1"/>
    <x v="2"/>
    <x v="0"/>
    <x v="4"/>
    <x v="1"/>
    <x v="0"/>
    <x v="203"/>
    <x v="1"/>
    <x v="2"/>
    <x v="0"/>
    <b v="1"/>
    <m/>
    <s v="Cherbourg"/>
    <s v="yes"/>
    <b v="1"/>
    <n v="1"/>
    <n v="6.9038770009260698E+18"/>
  </r>
  <r>
    <b v="0"/>
    <x v="0"/>
    <x v="0"/>
    <x v="0"/>
    <x v="40"/>
    <x v="0"/>
    <x v="1"/>
    <x v="97"/>
    <x v="0"/>
    <x v="0"/>
    <x v="0"/>
    <b v="1"/>
    <m/>
    <s v="Southampton"/>
    <s v="no"/>
    <b v="0"/>
    <n v="1"/>
    <n v="9.15531542793587E+18"/>
  </r>
  <r>
    <b v="0"/>
    <x v="1"/>
    <x v="2"/>
    <x v="0"/>
    <x v="18"/>
    <x v="0"/>
    <x v="1"/>
    <x v="87"/>
    <x v="0"/>
    <x v="2"/>
    <x v="2"/>
    <b v="0"/>
    <m/>
    <s v="Southampton"/>
    <s v="yes"/>
    <b v="0"/>
    <n v="1"/>
    <n v="1.2970330818880201E+19"/>
  </r>
  <r>
    <b v="0"/>
    <x v="1"/>
    <x v="1"/>
    <x v="0"/>
    <x v="34"/>
    <x v="1"/>
    <x v="2"/>
    <x v="143"/>
    <x v="1"/>
    <x v="1"/>
    <x v="0"/>
    <b v="1"/>
    <s v="C"/>
    <s v="Cherbourg"/>
    <s v="yes"/>
    <b v="0"/>
    <n v="0"/>
    <n v="1.1844088980252E+19"/>
  </r>
  <r>
    <b v="0"/>
    <x v="0"/>
    <x v="2"/>
    <x v="0"/>
    <x v="7"/>
    <x v="1"/>
    <x v="0"/>
    <x v="19"/>
    <x v="0"/>
    <x v="2"/>
    <x v="0"/>
    <b v="1"/>
    <m/>
    <s v="Southampton"/>
    <s v="no"/>
    <b v="1"/>
    <n v="1"/>
    <n v="1.81091036715166E+19"/>
  </r>
  <r>
    <b v="0"/>
    <x v="0"/>
    <x v="0"/>
    <x v="0"/>
    <x v="4"/>
    <x v="1"/>
    <x v="0"/>
    <x v="204"/>
    <x v="2"/>
    <x v="0"/>
    <x v="0"/>
    <b v="1"/>
    <m/>
    <s v="Queenstown"/>
    <s v="no"/>
    <b v="1"/>
    <n v="1"/>
    <n v="1.50465718877171E+19"/>
  </r>
  <r>
    <b v="0"/>
    <x v="1"/>
    <x v="0"/>
    <x v="0"/>
    <x v="0"/>
    <x v="1"/>
    <x v="0"/>
    <x v="18"/>
    <x v="1"/>
    <x v="0"/>
    <x v="0"/>
    <b v="1"/>
    <m/>
    <s v="Cherbourg"/>
    <s v="yes"/>
    <b v="1"/>
    <n v="1"/>
    <n v="1.1826258679093701E+19"/>
  </r>
  <r>
    <b v="0"/>
    <x v="1"/>
    <x v="0"/>
    <x v="1"/>
    <x v="0"/>
    <x v="1"/>
    <x v="0"/>
    <x v="71"/>
    <x v="0"/>
    <x v="0"/>
    <x v="1"/>
    <b v="0"/>
    <m/>
    <s v="Southampton"/>
    <s v="yes"/>
    <b v="1"/>
    <n v="1"/>
    <n v="1.13757362098519E+19"/>
  </r>
  <r>
    <b v="0"/>
    <x v="0"/>
    <x v="1"/>
    <x v="0"/>
    <x v="65"/>
    <x v="1"/>
    <x v="0"/>
    <x v="11"/>
    <x v="0"/>
    <x v="1"/>
    <x v="0"/>
    <b v="1"/>
    <m/>
    <s v="Southampton"/>
    <s v="no"/>
    <b v="1"/>
    <n v="1"/>
    <n v="1.6579289760494801E+19"/>
  </r>
  <r>
    <b v="0"/>
    <x v="1"/>
    <x v="1"/>
    <x v="1"/>
    <x v="76"/>
    <x v="0"/>
    <x v="0"/>
    <x v="205"/>
    <x v="1"/>
    <x v="1"/>
    <x v="1"/>
    <b v="0"/>
    <s v="A"/>
    <s v="Cherbourg"/>
    <s v="yes"/>
    <b v="0"/>
    <n v="0"/>
    <n v="5.8896650353913702E+18"/>
  </r>
  <r>
    <b v="0"/>
    <x v="0"/>
    <x v="1"/>
    <x v="0"/>
    <x v="4"/>
    <x v="1"/>
    <x v="0"/>
    <x v="164"/>
    <x v="1"/>
    <x v="1"/>
    <x v="0"/>
    <b v="1"/>
    <m/>
    <s v="Cherbourg"/>
    <s v="no"/>
    <b v="1"/>
    <n v="1"/>
    <n v="3.83278679981875E+18"/>
  </r>
  <r>
    <b v="0"/>
    <x v="1"/>
    <x v="1"/>
    <x v="1"/>
    <x v="12"/>
    <x v="0"/>
    <x v="1"/>
    <x v="128"/>
    <x v="0"/>
    <x v="1"/>
    <x v="1"/>
    <b v="0"/>
    <s v="E"/>
    <s v="Southampton"/>
    <s v="yes"/>
    <b v="0"/>
    <n v="0"/>
    <n v="5.8634034158557297E+18"/>
  </r>
  <r>
    <b v="0"/>
    <x v="1"/>
    <x v="0"/>
    <x v="1"/>
    <x v="62"/>
    <x v="0"/>
    <x v="0"/>
    <x v="206"/>
    <x v="0"/>
    <x v="0"/>
    <x v="1"/>
    <b v="0"/>
    <m/>
    <s v="Southampton"/>
    <s v="yes"/>
    <b v="0"/>
    <n v="1"/>
    <n v="4.10165393084369E+18"/>
  </r>
  <r>
    <b v="0"/>
    <x v="0"/>
    <x v="0"/>
    <x v="0"/>
    <x v="4"/>
    <x v="1"/>
    <x v="0"/>
    <x v="28"/>
    <x v="2"/>
    <x v="0"/>
    <x v="0"/>
    <b v="1"/>
    <m/>
    <s v="Queenstown"/>
    <s v="no"/>
    <b v="1"/>
    <n v="1"/>
    <n v="8.8562668406319196E+18"/>
  </r>
  <r>
    <b v="0"/>
    <x v="0"/>
    <x v="0"/>
    <x v="0"/>
    <x v="20"/>
    <x v="1"/>
    <x v="0"/>
    <x v="25"/>
    <x v="0"/>
    <x v="0"/>
    <x v="0"/>
    <b v="1"/>
    <m/>
    <s v="Southampton"/>
    <s v="no"/>
    <b v="1"/>
    <n v="1"/>
    <n v="1.4752745044077001E+19"/>
  </r>
  <r>
    <b v="0"/>
    <x v="0"/>
    <x v="2"/>
    <x v="0"/>
    <x v="17"/>
    <x v="1"/>
    <x v="0"/>
    <x v="119"/>
    <x v="0"/>
    <x v="2"/>
    <x v="0"/>
    <b v="1"/>
    <m/>
    <s v="Southampton"/>
    <s v="no"/>
    <b v="1"/>
    <n v="1"/>
    <n v="9.0688579810254295E+18"/>
  </r>
  <r>
    <b v="0"/>
    <x v="0"/>
    <x v="0"/>
    <x v="0"/>
    <x v="4"/>
    <x v="1"/>
    <x v="0"/>
    <x v="4"/>
    <x v="0"/>
    <x v="0"/>
    <x v="0"/>
    <b v="1"/>
    <m/>
    <s v="Southampton"/>
    <s v="no"/>
    <b v="1"/>
    <n v="1"/>
    <n v="1.0519935439659201E+19"/>
  </r>
  <r>
    <b v="0"/>
    <x v="0"/>
    <x v="0"/>
    <x v="1"/>
    <x v="4"/>
    <x v="1"/>
    <x v="0"/>
    <x v="4"/>
    <x v="0"/>
    <x v="0"/>
    <x v="1"/>
    <b v="0"/>
    <m/>
    <s v="Southampton"/>
    <s v="no"/>
    <b v="1"/>
    <n v="1"/>
    <n v="3.9798746025796198E+18"/>
  </r>
  <r>
    <b v="0"/>
    <x v="0"/>
    <x v="0"/>
    <x v="0"/>
    <x v="42"/>
    <x v="4"/>
    <x v="0"/>
    <x v="72"/>
    <x v="0"/>
    <x v="0"/>
    <x v="0"/>
    <b v="1"/>
    <m/>
    <s v="Southampton"/>
    <s v="no"/>
    <b v="0"/>
    <n v="1"/>
    <n v="6.0620716998125199E+18"/>
  </r>
  <r>
    <b v="0"/>
    <x v="0"/>
    <x v="0"/>
    <x v="0"/>
    <x v="19"/>
    <x v="1"/>
    <x v="0"/>
    <x v="25"/>
    <x v="0"/>
    <x v="0"/>
    <x v="0"/>
    <b v="1"/>
    <m/>
    <s v="Southampton"/>
    <s v="no"/>
    <b v="1"/>
    <n v="1"/>
    <n v="1.25742438741241E+19"/>
  </r>
  <r>
    <b v="0"/>
    <x v="0"/>
    <x v="0"/>
    <x v="1"/>
    <x v="28"/>
    <x v="1"/>
    <x v="5"/>
    <x v="7"/>
    <x v="0"/>
    <x v="0"/>
    <x v="1"/>
    <b v="0"/>
    <m/>
    <s v="Southampton"/>
    <s v="no"/>
    <b v="0"/>
    <n v="1"/>
    <n v="1.64322284815062E+19"/>
  </r>
  <r>
    <b v="0"/>
    <x v="0"/>
    <x v="0"/>
    <x v="0"/>
    <x v="4"/>
    <x v="1"/>
    <x v="0"/>
    <x v="32"/>
    <x v="1"/>
    <x v="0"/>
    <x v="0"/>
    <b v="1"/>
    <m/>
    <s v="Cherbourg"/>
    <s v="no"/>
    <b v="1"/>
    <n v="1"/>
    <n v="1.2150606124307599E+19"/>
  </r>
  <r>
    <b v="0"/>
    <x v="1"/>
    <x v="0"/>
    <x v="0"/>
    <x v="35"/>
    <x v="1"/>
    <x v="0"/>
    <x v="13"/>
    <x v="0"/>
    <x v="0"/>
    <x v="0"/>
    <b v="1"/>
    <m/>
    <s v="Southampton"/>
    <s v="yes"/>
    <b v="1"/>
    <n v="1"/>
    <n v="1.6446866656202299E+19"/>
  </r>
  <r>
    <b v="0"/>
    <x v="1"/>
    <x v="2"/>
    <x v="0"/>
    <x v="65"/>
    <x v="1"/>
    <x v="0"/>
    <x v="29"/>
    <x v="0"/>
    <x v="2"/>
    <x v="0"/>
    <b v="1"/>
    <m/>
    <s v="Southampton"/>
    <s v="yes"/>
    <b v="1"/>
    <n v="1"/>
    <n v="4.6736020785494405E+18"/>
  </r>
  <r>
    <b v="0"/>
    <x v="1"/>
    <x v="1"/>
    <x v="1"/>
    <x v="78"/>
    <x v="4"/>
    <x v="0"/>
    <x v="207"/>
    <x v="0"/>
    <x v="1"/>
    <x v="1"/>
    <b v="0"/>
    <s v="C"/>
    <s v="Southampton"/>
    <s v="yes"/>
    <b v="0"/>
    <n v="0"/>
    <n v="4.4168847555262598E+17"/>
  </r>
  <r>
    <b v="0"/>
    <x v="1"/>
    <x v="1"/>
    <x v="0"/>
    <x v="62"/>
    <x v="1"/>
    <x v="0"/>
    <x v="208"/>
    <x v="0"/>
    <x v="1"/>
    <x v="0"/>
    <b v="1"/>
    <s v="E"/>
    <s v="Southampton"/>
    <s v="yes"/>
    <b v="1"/>
    <n v="0"/>
    <n v="7.6960522455138601E+18"/>
  </r>
  <r>
    <b v="0"/>
    <x v="1"/>
    <x v="0"/>
    <x v="1"/>
    <x v="4"/>
    <x v="1"/>
    <x v="0"/>
    <x v="28"/>
    <x v="2"/>
    <x v="0"/>
    <x v="1"/>
    <b v="0"/>
    <m/>
    <s v="Queenstown"/>
    <s v="yes"/>
    <b v="1"/>
    <n v="1"/>
    <n v="9.6415297742023398E+17"/>
  </r>
  <r>
    <b v="0"/>
    <x v="0"/>
    <x v="0"/>
    <x v="0"/>
    <x v="36"/>
    <x v="1"/>
    <x v="0"/>
    <x v="4"/>
    <x v="0"/>
    <x v="0"/>
    <x v="0"/>
    <b v="1"/>
    <m/>
    <s v="Southampton"/>
    <s v="no"/>
    <b v="1"/>
    <n v="1"/>
    <n v="5.1658072355460096E+18"/>
  </r>
  <r>
    <b v="0"/>
    <x v="0"/>
    <x v="0"/>
    <x v="0"/>
    <x v="19"/>
    <x v="1"/>
    <x v="0"/>
    <x v="80"/>
    <x v="0"/>
    <x v="0"/>
    <x v="0"/>
    <b v="1"/>
    <m/>
    <s v="Southampton"/>
    <s v="no"/>
    <b v="1"/>
    <n v="1"/>
    <n v="1.2340956277716099E+19"/>
  </r>
  <r>
    <b v="0"/>
    <x v="1"/>
    <x v="2"/>
    <x v="1"/>
    <x v="15"/>
    <x v="1"/>
    <x v="0"/>
    <x v="16"/>
    <x v="0"/>
    <x v="2"/>
    <x v="1"/>
    <b v="0"/>
    <m/>
    <s v="Southampton"/>
    <s v="yes"/>
    <b v="1"/>
    <n v="1"/>
    <n v="7.84354205744222E+18"/>
  </r>
  <r>
    <b v="0"/>
    <x v="1"/>
    <x v="1"/>
    <x v="1"/>
    <x v="12"/>
    <x v="0"/>
    <x v="0"/>
    <x v="175"/>
    <x v="0"/>
    <x v="1"/>
    <x v="1"/>
    <b v="0"/>
    <s v="E"/>
    <s v="Southampton"/>
    <s v="yes"/>
    <b v="0"/>
    <n v="0"/>
    <n v="1.1690625615931501E+19"/>
  </r>
  <r>
    <b v="0"/>
    <x v="0"/>
    <x v="0"/>
    <x v="1"/>
    <x v="4"/>
    <x v="0"/>
    <x v="0"/>
    <x v="74"/>
    <x v="1"/>
    <x v="0"/>
    <x v="1"/>
    <b v="0"/>
    <m/>
    <s v="Cherbourg"/>
    <s v="no"/>
    <b v="0"/>
    <n v="1"/>
    <n v="1.7555269891508699E+19"/>
  </r>
  <r>
    <b v="0"/>
    <x v="1"/>
    <x v="0"/>
    <x v="0"/>
    <x v="35"/>
    <x v="1"/>
    <x v="0"/>
    <x v="2"/>
    <x v="0"/>
    <x v="0"/>
    <x v="0"/>
    <b v="1"/>
    <m/>
    <s v="Southampton"/>
    <s v="yes"/>
    <b v="1"/>
    <n v="1"/>
    <n v="9.3987449297528996E+18"/>
  </r>
  <r>
    <b v="0"/>
    <x v="1"/>
    <x v="2"/>
    <x v="1"/>
    <x v="37"/>
    <x v="0"/>
    <x v="1"/>
    <x v="209"/>
    <x v="0"/>
    <x v="2"/>
    <x v="1"/>
    <b v="0"/>
    <m/>
    <s v="Southampton"/>
    <s v="yes"/>
    <b v="0"/>
    <n v="1"/>
    <n v="1.6562677459700001E+19"/>
  </r>
  <r>
    <b v="0"/>
    <x v="1"/>
    <x v="1"/>
    <x v="1"/>
    <x v="12"/>
    <x v="0"/>
    <x v="1"/>
    <x v="143"/>
    <x v="1"/>
    <x v="1"/>
    <x v="1"/>
    <b v="0"/>
    <s v="C"/>
    <s v="Cherbourg"/>
    <s v="yes"/>
    <b v="0"/>
    <n v="0"/>
    <n v="1.7341751663191501E+19"/>
  </r>
  <r>
    <b v="0"/>
    <x v="0"/>
    <x v="2"/>
    <x v="0"/>
    <x v="5"/>
    <x v="1"/>
    <x v="0"/>
    <x v="19"/>
    <x v="0"/>
    <x v="2"/>
    <x v="0"/>
    <b v="1"/>
    <m/>
    <s v="Southampton"/>
    <s v="no"/>
    <b v="1"/>
    <n v="1"/>
    <n v="1.95395134385672E+17"/>
  </r>
  <r>
    <b v="0"/>
    <x v="0"/>
    <x v="1"/>
    <x v="0"/>
    <x v="62"/>
    <x v="1"/>
    <x v="0"/>
    <x v="210"/>
    <x v="1"/>
    <x v="1"/>
    <x v="0"/>
    <b v="1"/>
    <s v="A"/>
    <s v="Cherbourg"/>
    <s v="no"/>
    <b v="1"/>
    <n v="0"/>
    <n v="6.0994990297587804E+18"/>
  </r>
  <r>
    <b v="0"/>
    <x v="0"/>
    <x v="0"/>
    <x v="0"/>
    <x v="4"/>
    <x v="1"/>
    <x v="0"/>
    <x v="211"/>
    <x v="1"/>
    <x v="0"/>
    <x v="0"/>
    <b v="1"/>
    <m/>
    <s v="Cherbourg"/>
    <s v="no"/>
    <b v="1"/>
    <n v="1"/>
    <n v="1.17286904926285E+19"/>
  </r>
  <r>
    <b v="0"/>
    <x v="1"/>
    <x v="1"/>
    <x v="1"/>
    <x v="24"/>
    <x v="1"/>
    <x v="2"/>
    <x v="128"/>
    <x v="0"/>
    <x v="1"/>
    <x v="1"/>
    <b v="0"/>
    <s v="E"/>
    <s v="Southampton"/>
    <s v="yes"/>
    <b v="0"/>
    <n v="0"/>
    <n v="7.3373980011684803E+18"/>
  </r>
  <r>
    <b v="0"/>
    <x v="0"/>
    <x v="2"/>
    <x v="0"/>
    <x v="47"/>
    <x v="1"/>
    <x v="0"/>
    <x v="212"/>
    <x v="0"/>
    <x v="2"/>
    <x v="0"/>
    <b v="1"/>
    <m/>
    <s v="Southampton"/>
    <s v="no"/>
    <b v="1"/>
    <n v="1"/>
    <n v="1.6503834881863E+19"/>
  </r>
  <r>
    <b v="0"/>
    <x v="1"/>
    <x v="1"/>
    <x v="0"/>
    <x v="72"/>
    <x v="0"/>
    <x v="1"/>
    <x v="84"/>
    <x v="1"/>
    <x v="1"/>
    <x v="0"/>
    <b v="1"/>
    <s v="B"/>
    <s v="Cherbourg"/>
    <s v="yes"/>
    <b v="0"/>
    <n v="0"/>
    <n v="8.0491756619413105E+18"/>
  </r>
  <r>
    <b v="0"/>
    <x v="0"/>
    <x v="0"/>
    <x v="0"/>
    <x v="0"/>
    <x v="1"/>
    <x v="0"/>
    <x v="4"/>
    <x v="0"/>
    <x v="0"/>
    <x v="0"/>
    <b v="1"/>
    <m/>
    <s v="Southampton"/>
    <s v="no"/>
    <b v="1"/>
    <n v="1"/>
    <n v="7.32794109032546E+18"/>
  </r>
  <r>
    <b v="0"/>
    <x v="0"/>
    <x v="0"/>
    <x v="0"/>
    <x v="4"/>
    <x v="1"/>
    <x v="0"/>
    <x v="4"/>
    <x v="0"/>
    <x v="0"/>
    <x v="0"/>
    <b v="1"/>
    <m/>
    <s v="Southampton"/>
    <s v="no"/>
    <b v="1"/>
    <n v="1"/>
    <n v="1.0519935439659201E+19"/>
  </r>
  <r>
    <b v="0"/>
    <x v="0"/>
    <x v="0"/>
    <x v="0"/>
    <x v="3"/>
    <x v="1"/>
    <x v="0"/>
    <x v="123"/>
    <x v="0"/>
    <x v="0"/>
    <x v="0"/>
    <b v="1"/>
    <m/>
    <s v="Southampton"/>
    <s v="no"/>
    <b v="1"/>
    <n v="1"/>
    <n v="4.8849868736254505E+18"/>
  </r>
  <r>
    <b v="0"/>
    <x v="1"/>
    <x v="1"/>
    <x v="1"/>
    <x v="67"/>
    <x v="0"/>
    <x v="0"/>
    <x v="190"/>
    <x v="1"/>
    <x v="1"/>
    <x v="1"/>
    <b v="0"/>
    <s v="D"/>
    <s v="Cherbourg"/>
    <s v="yes"/>
    <b v="0"/>
    <n v="0"/>
    <n v="6.9874346446307904E+17"/>
  </r>
  <r>
    <b v="0"/>
    <x v="0"/>
    <x v="0"/>
    <x v="0"/>
    <x v="47"/>
    <x v="1"/>
    <x v="0"/>
    <x v="0"/>
    <x v="0"/>
    <x v="0"/>
    <x v="0"/>
    <b v="1"/>
    <m/>
    <s v="Southampton"/>
    <s v="no"/>
    <b v="1"/>
    <n v="1"/>
    <n v="5627957791219390"/>
  </r>
  <r>
    <b v="0"/>
    <x v="0"/>
    <x v="0"/>
    <x v="1"/>
    <x v="4"/>
    <x v="1"/>
    <x v="2"/>
    <x v="28"/>
    <x v="2"/>
    <x v="0"/>
    <x v="1"/>
    <b v="0"/>
    <m/>
    <s v="Queenstown"/>
    <s v="no"/>
    <b v="0"/>
    <n v="1"/>
    <n v="1.5735369983262099E+19"/>
  </r>
  <r>
    <b v="0"/>
    <x v="0"/>
    <x v="2"/>
    <x v="0"/>
    <x v="46"/>
    <x v="0"/>
    <x v="0"/>
    <x v="19"/>
    <x v="0"/>
    <x v="2"/>
    <x v="0"/>
    <b v="1"/>
    <m/>
    <s v="Southampton"/>
    <s v="no"/>
    <b v="0"/>
    <n v="1"/>
    <n v="9.1814207641175398E+18"/>
  </r>
  <r>
    <b v="0"/>
    <x v="0"/>
    <x v="0"/>
    <x v="0"/>
    <x v="62"/>
    <x v="0"/>
    <x v="1"/>
    <x v="72"/>
    <x v="0"/>
    <x v="0"/>
    <x v="0"/>
    <b v="1"/>
    <m/>
    <s v="Southampton"/>
    <s v="no"/>
    <b v="0"/>
    <n v="1"/>
    <n v="1.57500598491123E+19"/>
  </r>
  <r>
    <b v="0"/>
    <x v="1"/>
    <x v="2"/>
    <x v="1"/>
    <x v="4"/>
    <x v="1"/>
    <x v="0"/>
    <x v="213"/>
    <x v="0"/>
    <x v="2"/>
    <x v="1"/>
    <b v="0"/>
    <m/>
    <s v="Southampton"/>
    <s v="yes"/>
    <b v="1"/>
    <n v="1"/>
    <n v="2.7102139176047401E+18"/>
  </r>
  <r>
    <b v="0"/>
    <x v="0"/>
    <x v="0"/>
    <x v="0"/>
    <x v="27"/>
    <x v="1"/>
    <x v="0"/>
    <x v="104"/>
    <x v="0"/>
    <x v="0"/>
    <x v="0"/>
    <b v="1"/>
    <m/>
    <s v="Southampton"/>
    <s v="no"/>
    <b v="1"/>
    <n v="1"/>
    <n v="5.9244365911495997E+18"/>
  </r>
  <r>
    <b v="0"/>
    <x v="0"/>
    <x v="0"/>
    <x v="0"/>
    <x v="4"/>
    <x v="1"/>
    <x v="0"/>
    <x v="18"/>
    <x v="1"/>
    <x v="0"/>
    <x v="0"/>
    <b v="1"/>
    <m/>
    <s v="Cherbourg"/>
    <s v="no"/>
    <b v="1"/>
    <n v="1"/>
    <n v="5.4729232098319995E+18"/>
  </r>
  <r>
    <b v="0"/>
    <x v="1"/>
    <x v="1"/>
    <x v="0"/>
    <x v="27"/>
    <x v="0"/>
    <x v="0"/>
    <x v="146"/>
    <x v="1"/>
    <x v="1"/>
    <x v="0"/>
    <b v="1"/>
    <s v="A"/>
    <s v="Cherbourg"/>
    <s v="yes"/>
    <b v="0"/>
    <n v="0"/>
    <n v="1.4347669211606301E+19"/>
  </r>
  <r>
    <b v="0"/>
    <x v="1"/>
    <x v="2"/>
    <x v="1"/>
    <x v="42"/>
    <x v="4"/>
    <x v="1"/>
    <x v="115"/>
    <x v="0"/>
    <x v="2"/>
    <x v="1"/>
    <b v="0"/>
    <m/>
    <s v="Southampton"/>
    <s v="yes"/>
    <b v="0"/>
    <n v="1"/>
    <n v="1.27079811105077E+19"/>
  </r>
  <r>
    <b v="0"/>
    <x v="0"/>
    <x v="0"/>
    <x v="0"/>
    <x v="4"/>
    <x v="1"/>
    <x v="0"/>
    <x v="25"/>
    <x v="0"/>
    <x v="0"/>
    <x v="0"/>
    <b v="1"/>
    <m/>
    <s v="Southampton"/>
    <s v="no"/>
    <b v="1"/>
    <n v="1"/>
    <n v="1.7970467560381901E+19"/>
  </r>
  <r>
    <b v="0"/>
    <x v="0"/>
    <x v="1"/>
    <x v="0"/>
    <x v="4"/>
    <x v="1"/>
    <x v="0"/>
    <x v="214"/>
    <x v="0"/>
    <x v="1"/>
    <x v="0"/>
    <b v="1"/>
    <m/>
    <s v="Southampton"/>
    <s v="no"/>
    <b v="1"/>
    <n v="1"/>
    <n v="1.7410083189202201E+19"/>
  </r>
  <r>
    <b v="0"/>
    <x v="0"/>
    <x v="0"/>
    <x v="0"/>
    <x v="57"/>
    <x v="1"/>
    <x v="0"/>
    <x v="4"/>
    <x v="0"/>
    <x v="0"/>
    <x v="0"/>
    <b v="1"/>
    <m/>
    <s v="Southampton"/>
    <s v="no"/>
    <b v="1"/>
    <n v="1"/>
    <n v="1.43146259284219E+19"/>
  </r>
  <r>
    <b v="0"/>
    <x v="1"/>
    <x v="1"/>
    <x v="0"/>
    <x v="3"/>
    <x v="1"/>
    <x v="0"/>
    <x v="11"/>
    <x v="1"/>
    <x v="1"/>
    <x v="0"/>
    <b v="1"/>
    <m/>
    <s v="Cherbourg"/>
    <s v="yes"/>
    <b v="1"/>
    <n v="1"/>
    <n v="1.31499067507259E+19"/>
  </r>
  <r>
    <b v="0"/>
    <x v="0"/>
    <x v="0"/>
    <x v="0"/>
    <x v="62"/>
    <x v="0"/>
    <x v="0"/>
    <x v="215"/>
    <x v="0"/>
    <x v="0"/>
    <x v="0"/>
    <b v="1"/>
    <m/>
    <s v="Southampton"/>
    <s v="no"/>
    <b v="0"/>
    <n v="1"/>
    <n v="6.5996786351962399E+18"/>
  </r>
  <r>
    <b v="0"/>
    <x v="0"/>
    <x v="0"/>
    <x v="0"/>
    <x v="39"/>
    <x v="1"/>
    <x v="0"/>
    <x v="25"/>
    <x v="0"/>
    <x v="0"/>
    <x v="0"/>
    <b v="1"/>
    <m/>
    <s v="Southampton"/>
    <s v="no"/>
    <b v="1"/>
    <n v="1"/>
    <n v="1.4373262874603999E+19"/>
  </r>
  <r>
    <b v="0"/>
    <x v="1"/>
    <x v="1"/>
    <x v="0"/>
    <x v="7"/>
    <x v="1"/>
    <x v="0"/>
    <x v="140"/>
    <x v="0"/>
    <x v="1"/>
    <x v="0"/>
    <b v="1"/>
    <m/>
    <s v="Southampton"/>
    <s v="yes"/>
    <b v="1"/>
    <n v="1"/>
    <n v="7.9298840251728404E+18"/>
  </r>
  <r>
    <b v="0"/>
    <x v="1"/>
    <x v="2"/>
    <x v="1"/>
    <x v="0"/>
    <x v="0"/>
    <x v="2"/>
    <x v="36"/>
    <x v="1"/>
    <x v="2"/>
    <x v="1"/>
    <b v="0"/>
    <m/>
    <s v="Cherbourg"/>
    <s v="yes"/>
    <b v="0"/>
    <n v="1"/>
    <n v="4.9481367723941898E+18"/>
  </r>
  <r>
    <b v="0"/>
    <x v="1"/>
    <x v="1"/>
    <x v="1"/>
    <x v="20"/>
    <x v="1"/>
    <x v="0"/>
    <x v="129"/>
    <x v="0"/>
    <x v="1"/>
    <x v="1"/>
    <b v="0"/>
    <s v="C"/>
    <s v="Southampton"/>
    <s v="yes"/>
    <b v="1"/>
    <n v="0"/>
    <n v="1.4668272301812601E+19"/>
  </r>
  <r>
    <b v="0"/>
    <x v="0"/>
    <x v="0"/>
    <x v="1"/>
    <x v="12"/>
    <x v="0"/>
    <x v="3"/>
    <x v="12"/>
    <x v="0"/>
    <x v="0"/>
    <x v="1"/>
    <b v="0"/>
    <m/>
    <s v="Southampton"/>
    <s v="no"/>
    <b v="0"/>
    <n v="1"/>
    <n v="1.3142305358056901E+19"/>
  </r>
  <r>
    <b v="0"/>
    <x v="0"/>
    <x v="0"/>
    <x v="0"/>
    <x v="4"/>
    <x v="1"/>
    <x v="0"/>
    <x v="79"/>
    <x v="0"/>
    <x v="0"/>
    <x v="0"/>
    <b v="1"/>
    <m/>
    <s v="Southampton"/>
    <s v="no"/>
    <b v="1"/>
    <n v="1"/>
    <n v="7.5181888810471404E+18"/>
  </r>
  <r>
    <b v="0"/>
    <x v="1"/>
    <x v="0"/>
    <x v="1"/>
    <x v="4"/>
    <x v="0"/>
    <x v="0"/>
    <x v="37"/>
    <x v="2"/>
    <x v="0"/>
    <x v="1"/>
    <b v="0"/>
    <m/>
    <s v="Queenstown"/>
    <s v="yes"/>
    <b v="0"/>
    <n v="1"/>
    <n v="6.4154019982692997E+18"/>
  </r>
  <r>
    <b v="0"/>
    <x v="0"/>
    <x v="0"/>
    <x v="0"/>
    <x v="4"/>
    <x v="1"/>
    <x v="0"/>
    <x v="28"/>
    <x v="2"/>
    <x v="0"/>
    <x v="0"/>
    <b v="1"/>
    <m/>
    <s v="Queenstown"/>
    <s v="no"/>
    <b v="1"/>
    <n v="1"/>
    <n v="8.8562668406319196E+18"/>
  </r>
  <r>
    <b v="0"/>
    <x v="0"/>
    <x v="0"/>
    <x v="0"/>
    <x v="3"/>
    <x v="1"/>
    <x v="0"/>
    <x v="4"/>
    <x v="0"/>
    <x v="0"/>
    <x v="0"/>
    <b v="1"/>
    <m/>
    <s v="Southampton"/>
    <s v="no"/>
    <b v="1"/>
    <n v="1"/>
    <n v="1.0296334085113301E+19"/>
  </r>
  <r>
    <b v="0"/>
    <x v="1"/>
    <x v="2"/>
    <x v="1"/>
    <x v="42"/>
    <x v="0"/>
    <x v="2"/>
    <x v="216"/>
    <x v="0"/>
    <x v="2"/>
    <x v="1"/>
    <b v="0"/>
    <m/>
    <s v="Southampton"/>
    <s v="yes"/>
    <b v="0"/>
    <n v="1"/>
    <n v="1.24041044532615E+19"/>
  </r>
  <r>
    <b v="0"/>
    <x v="0"/>
    <x v="0"/>
    <x v="0"/>
    <x v="15"/>
    <x v="0"/>
    <x v="1"/>
    <x v="174"/>
    <x v="0"/>
    <x v="0"/>
    <x v="0"/>
    <b v="1"/>
    <m/>
    <s v="Southampton"/>
    <s v="no"/>
    <b v="0"/>
    <n v="1"/>
    <n v="1.2055469816016099E+19"/>
  </r>
  <r>
    <b v="0"/>
    <x v="0"/>
    <x v="0"/>
    <x v="1"/>
    <x v="2"/>
    <x v="0"/>
    <x v="0"/>
    <x v="95"/>
    <x v="0"/>
    <x v="0"/>
    <x v="1"/>
    <b v="0"/>
    <m/>
    <s v="Southampton"/>
    <s v="no"/>
    <b v="0"/>
    <n v="1"/>
    <n v="1.6336292897259301E+19"/>
  </r>
  <r>
    <b v="0"/>
    <x v="1"/>
    <x v="2"/>
    <x v="1"/>
    <x v="9"/>
    <x v="4"/>
    <x v="1"/>
    <x v="106"/>
    <x v="0"/>
    <x v="2"/>
    <x v="2"/>
    <b v="0"/>
    <s v="F"/>
    <s v="Southampton"/>
    <s v="yes"/>
    <b v="0"/>
    <n v="0"/>
    <n v="6.58601082322223E+18"/>
  </r>
  <r>
    <b v="0"/>
    <x v="0"/>
    <x v="2"/>
    <x v="0"/>
    <x v="2"/>
    <x v="1"/>
    <x v="0"/>
    <x v="29"/>
    <x v="0"/>
    <x v="2"/>
    <x v="0"/>
    <b v="1"/>
    <m/>
    <s v="Southampton"/>
    <s v="no"/>
    <b v="1"/>
    <n v="1"/>
    <n v="3.25827676972111E+18"/>
  </r>
  <r>
    <b v="0"/>
    <x v="0"/>
    <x v="0"/>
    <x v="0"/>
    <x v="7"/>
    <x v="0"/>
    <x v="0"/>
    <x v="53"/>
    <x v="1"/>
    <x v="0"/>
    <x v="0"/>
    <b v="1"/>
    <m/>
    <s v="Cherbourg"/>
    <s v="no"/>
    <b v="0"/>
    <n v="1"/>
    <n v="1.6074280790837801E+19"/>
  </r>
  <r>
    <b v="0"/>
    <x v="1"/>
    <x v="1"/>
    <x v="0"/>
    <x v="22"/>
    <x v="0"/>
    <x v="0"/>
    <x v="124"/>
    <x v="0"/>
    <x v="1"/>
    <x v="0"/>
    <b v="1"/>
    <s v="D"/>
    <s v="Southampton"/>
    <s v="yes"/>
    <b v="0"/>
    <n v="0"/>
    <n v="2.0419657990874501E+18"/>
  </r>
  <r>
    <b v="0"/>
    <x v="1"/>
    <x v="0"/>
    <x v="0"/>
    <x v="11"/>
    <x v="0"/>
    <x v="1"/>
    <x v="165"/>
    <x v="1"/>
    <x v="0"/>
    <x v="0"/>
    <b v="1"/>
    <m/>
    <s v="Cherbourg"/>
    <s v="yes"/>
    <b v="0"/>
    <n v="1"/>
    <n v="7.9105971768815596E+18"/>
  </r>
  <r>
    <b v="0"/>
    <x v="0"/>
    <x v="0"/>
    <x v="0"/>
    <x v="23"/>
    <x v="1"/>
    <x v="0"/>
    <x v="13"/>
    <x v="0"/>
    <x v="0"/>
    <x v="0"/>
    <b v="1"/>
    <m/>
    <s v="Southampton"/>
    <s v="no"/>
    <b v="1"/>
    <n v="1"/>
    <n v="1.3497526404776301E+19"/>
  </r>
  <r>
    <b v="0"/>
    <x v="0"/>
    <x v="0"/>
    <x v="0"/>
    <x v="23"/>
    <x v="1"/>
    <x v="0"/>
    <x v="95"/>
    <x v="0"/>
    <x v="0"/>
    <x v="0"/>
    <b v="1"/>
    <m/>
    <s v="Southampton"/>
    <s v="no"/>
    <b v="1"/>
    <n v="1"/>
    <n v="7.3200277113630904E+18"/>
  </r>
  <r>
    <b v="0"/>
    <x v="0"/>
    <x v="1"/>
    <x v="0"/>
    <x v="59"/>
    <x v="1"/>
    <x v="0"/>
    <x v="217"/>
    <x v="0"/>
    <x v="1"/>
    <x v="0"/>
    <b v="1"/>
    <s v="D"/>
    <s v="Southampton"/>
    <s v="no"/>
    <b v="1"/>
    <n v="0"/>
    <n v="6.1754137180689306E+17"/>
  </r>
  <r>
    <b v="0"/>
    <x v="0"/>
    <x v="2"/>
    <x v="0"/>
    <x v="79"/>
    <x v="1"/>
    <x v="0"/>
    <x v="142"/>
    <x v="2"/>
    <x v="2"/>
    <x v="0"/>
    <b v="1"/>
    <m/>
    <s v="Queenstown"/>
    <s v="no"/>
    <b v="1"/>
    <n v="1"/>
    <n v="3.2154770333044403E+17"/>
  </r>
  <r>
    <b v="0"/>
    <x v="1"/>
    <x v="1"/>
    <x v="1"/>
    <x v="23"/>
    <x v="1"/>
    <x v="0"/>
    <x v="133"/>
    <x v="0"/>
    <x v="1"/>
    <x v="1"/>
    <b v="0"/>
    <s v="D"/>
    <s v="Southampton"/>
    <s v="yes"/>
    <b v="1"/>
    <n v="0"/>
    <n v="1.2843384209622999E+19"/>
  </r>
  <r>
    <b v="0"/>
    <x v="0"/>
    <x v="0"/>
    <x v="0"/>
    <x v="2"/>
    <x v="1"/>
    <x v="0"/>
    <x v="25"/>
    <x v="0"/>
    <x v="0"/>
    <x v="0"/>
    <b v="1"/>
    <m/>
    <s v="Southampton"/>
    <s v="no"/>
    <b v="1"/>
    <n v="1"/>
    <n v="6.9146312707911199E+18"/>
  </r>
  <r>
    <b v="0"/>
    <x v="0"/>
    <x v="0"/>
    <x v="0"/>
    <x v="4"/>
    <x v="1"/>
    <x v="0"/>
    <x v="93"/>
    <x v="2"/>
    <x v="0"/>
    <x v="0"/>
    <b v="1"/>
    <m/>
    <s v="Queenstown"/>
    <s v="no"/>
    <b v="1"/>
    <n v="1"/>
    <n v="8.7586898693444096E+18"/>
  </r>
  <r>
    <b v="0"/>
    <x v="1"/>
    <x v="1"/>
    <x v="0"/>
    <x v="80"/>
    <x v="1"/>
    <x v="0"/>
    <x v="209"/>
    <x v="0"/>
    <x v="1"/>
    <x v="0"/>
    <b v="1"/>
    <s v="A"/>
    <s v="Southampton"/>
    <s v="yes"/>
    <b v="1"/>
    <n v="0"/>
    <n v="6.49789653458176E+18"/>
  </r>
  <r>
    <b v="0"/>
    <x v="0"/>
    <x v="0"/>
    <x v="0"/>
    <x v="54"/>
    <x v="1"/>
    <x v="0"/>
    <x v="218"/>
    <x v="0"/>
    <x v="0"/>
    <x v="0"/>
    <b v="1"/>
    <m/>
    <s v="Southampton"/>
    <s v="no"/>
    <b v="1"/>
    <n v="1"/>
    <n v="9.8149171717822198E+18"/>
  </r>
  <r>
    <b v="0"/>
    <x v="1"/>
    <x v="1"/>
    <x v="0"/>
    <x v="35"/>
    <x v="1"/>
    <x v="0"/>
    <x v="140"/>
    <x v="1"/>
    <x v="1"/>
    <x v="0"/>
    <b v="1"/>
    <s v="B"/>
    <s v="Cherbourg"/>
    <s v="yes"/>
    <b v="1"/>
    <n v="0"/>
    <n v="9.8518696047875297E+18"/>
  </r>
  <r>
    <b v="0"/>
    <x v="0"/>
    <x v="1"/>
    <x v="0"/>
    <x v="4"/>
    <x v="1"/>
    <x v="0"/>
    <x v="104"/>
    <x v="0"/>
    <x v="1"/>
    <x v="0"/>
    <b v="1"/>
    <m/>
    <s v="Southampton"/>
    <s v="no"/>
    <b v="1"/>
    <n v="1"/>
    <n v="7.8250638207240899E+18"/>
  </r>
  <r>
    <b v="0"/>
    <x v="0"/>
    <x v="0"/>
    <x v="1"/>
    <x v="52"/>
    <x v="2"/>
    <x v="2"/>
    <x v="48"/>
    <x v="0"/>
    <x v="0"/>
    <x v="2"/>
    <b v="0"/>
    <m/>
    <s v="Southampton"/>
    <s v="no"/>
    <b v="0"/>
    <n v="1"/>
    <n v="1.0549975291437199E+19"/>
  </r>
  <r>
    <b v="0"/>
    <x v="1"/>
    <x v="2"/>
    <x v="1"/>
    <x v="17"/>
    <x v="1"/>
    <x v="0"/>
    <x v="16"/>
    <x v="0"/>
    <x v="2"/>
    <x v="1"/>
    <b v="0"/>
    <m/>
    <s v="Southampton"/>
    <s v="yes"/>
    <b v="1"/>
    <n v="1"/>
    <n v="1.74605403415423E+19"/>
  </r>
  <r>
    <b v="0"/>
    <x v="0"/>
    <x v="0"/>
    <x v="0"/>
    <x v="35"/>
    <x v="1"/>
    <x v="0"/>
    <x v="2"/>
    <x v="0"/>
    <x v="0"/>
    <x v="0"/>
    <b v="1"/>
    <m/>
    <s v="Southampton"/>
    <s v="no"/>
    <b v="1"/>
    <n v="1"/>
    <n v="1.2445234185820799E+19"/>
  </r>
  <r>
    <b v="0"/>
    <x v="0"/>
    <x v="2"/>
    <x v="0"/>
    <x v="14"/>
    <x v="0"/>
    <x v="1"/>
    <x v="121"/>
    <x v="0"/>
    <x v="2"/>
    <x v="0"/>
    <b v="1"/>
    <m/>
    <s v="Southampton"/>
    <s v="no"/>
    <b v="0"/>
    <n v="1"/>
    <n v="3.5432376950074501E+18"/>
  </r>
  <r>
    <b v="0"/>
    <x v="0"/>
    <x v="0"/>
    <x v="1"/>
    <x v="66"/>
    <x v="1"/>
    <x v="3"/>
    <x v="40"/>
    <x v="0"/>
    <x v="0"/>
    <x v="1"/>
    <b v="0"/>
    <m/>
    <s v="Southampton"/>
    <s v="no"/>
    <b v="0"/>
    <n v="1"/>
    <n v="1.36261745705011E+19"/>
  </r>
  <r>
    <b v="0"/>
    <x v="0"/>
    <x v="0"/>
    <x v="0"/>
    <x v="4"/>
    <x v="0"/>
    <x v="0"/>
    <x v="95"/>
    <x v="0"/>
    <x v="0"/>
    <x v="0"/>
    <b v="1"/>
    <m/>
    <s v="Southampton"/>
    <s v="no"/>
    <b v="0"/>
    <n v="1"/>
    <n v="1.3526637071025701E+19"/>
  </r>
  <r>
    <b v="0"/>
    <x v="0"/>
    <x v="0"/>
    <x v="0"/>
    <x v="11"/>
    <x v="1"/>
    <x v="0"/>
    <x v="13"/>
    <x v="0"/>
    <x v="0"/>
    <x v="0"/>
    <b v="1"/>
    <m/>
    <s v="Southampton"/>
    <s v="no"/>
    <b v="1"/>
    <n v="1"/>
    <n v="3.2846468523254502E+18"/>
  </r>
  <r>
    <b v="0"/>
    <x v="1"/>
    <x v="1"/>
    <x v="1"/>
    <x v="42"/>
    <x v="1"/>
    <x v="0"/>
    <x v="160"/>
    <x v="1"/>
    <x v="1"/>
    <x v="1"/>
    <b v="0"/>
    <s v="B"/>
    <s v="Cherbourg"/>
    <s v="yes"/>
    <b v="1"/>
    <n v="0"/>
    <n v="8.2936938985161503E+18"/>
  </r>
  <r>
    <b v="0"/>
    <x v="0"/>
    <x v="0"/>
    <x v="1"/>
    <x v="6"/>
    <x v="2"/>
    <x v="2"/>
    <x v="48"/>
    <x v="0"/>
    <x v="0"/>
    <x v="2"/>
    <b v="0"/>
    <m/>
    <s v="Southampton"/>
    <s v="no"/>
    <b v="0"/>
    <n v="1"/>
    <n v="1.2802321211177001E+19"/>
  </r>
  <r>
    <b v="0"/>
    <x v="1"/>
    <x v="0"/>
    <x v="0"/>
    <x v="4"/>
    <x v="1"/>
    <x v="0"/>
    <x v="54"/>
    <x v="0"/>
    <x v="0"/>
    <x v="0"/>
    <b v="1"/>
    <m/>
    <s v="Southampton"/>
    <s v="yes"/>
    <b v="1"/>
    <n v="1"/>
    <n v="6.4621136676760596E+18"/>
  </r>
  <r>
    <b v="0"/>
    <x v="1"/>
    <x v="0"/>
    <x v="1"/>
    <x v="77"/>
    <x v="4"/>
    <x v="1"/>
    <x v="178"/>
    <x v="1"/>
    <x v="0"/>
    <x v="2"/>
    <b v="0"/>
    <m/>
    <s v="Cherbourg"/>
    <s v="yes"/>
    <b v="0"/>
    <n v="1"/>
    <n v="1.3639990042755799E+19"/>
  </r>
  <r>
    <b v="0"/>
    <x v="1"/>
    <x v="1"/>
    <x v="0"/>
    <x v="76"/>
    <x v="0"/>
    <x v="0"/>
    <x v="42"/>
    <x v="1"/>
    <x v="1"/>
    <x v="0"/>
    <b v="1"/>
    <s v="D"/>
    <s v="Cherbourg"/>
    <s v="yes"/>
    <b v="0"/>
    <n v="0"/>
    <n v="1.4646030893805599E+18"/>
  </r>
  <r>
    <b v="0"/>
    <x v="0"/>
    <x v="0"/>
    <x v="0"/>
    <x v="19"/>
    <x v="1"/>
    <x v="0"/>
    <x v="25"/>
    <x v="0"/>
    <x v="0"/>
    <x v="0"/>
    <b v="1"/>
    <m/>
    <s v="Southampton"/>
    <s v="no"/>
    <b v="1"/>
    <n v="1"/>
    <n v="1.25742438741241E+19"/>
  </r>
  <r>
    <b v="0"/>
    <x v="1"/>
    <x v="1"/>
    <x v="0"/>
    <x v="60"/>
    <x v="1"/>
    <x v="0"/>
    <x v="21"/>
    <x v="1"/>
    <x v="1"/>
    <x v="0"/>
    <b v="1"/>
    <s v="A"/>
    <s v="Cherbourg"/>
    <s v="yes"/>
    <b v="1"/>
    <n v="0"/>
    <n v="9.5715194828509307E+18"/>
  </r>
  <r>
    <b v="0"/>
    <x v="0"/>
    <x v="0"/>
    <x v="0"/>
    <x v="4"/>
    <x v="1"/>
    <x v="0"/>
    <x v="120"/>
    <x v="0"/>
    <x v="0"/>
    <x v="0"/>
    <b v="1"/>
    <m/>
    <s v="Southampton"/>
    <s v="no"/>
    <b v="1"/>
    <n v="1"/>
    <n v="4.6605986690882202E+18"/>
  </r>
  <r>
    <b v="0"/>
    <x v="1"/>
    <x v="0"/>
    <x v="1"/>
    <x v="41"/>
    <x v="1"/>
    <x v="0"/>
    <x v="120"/>
    <x v="0"/>
    <x v="0"/>
    <x v="1"/>
    <b v="0"/>
    <m/>
    <s v="Southampton"/>
    <s v="yes"/>
    <b v="1"/>
    <n v="1"/>
    <n v="1.2259508192240001E+19"/>
  </r>
  <r>
    <b v="0"/>
    <x v="0"/>
    <x v="0"/>
    <x v="0"/>
    <x v="4"/>
    <x v="1"/>
    <x v="0"/>
    <x v="25"/>
    <x v="0"/>
    <x v="0"/>
    <x v="0"/>
    <b v="1"/>
    <m/>
    <s v="Southampton"/>
    <s v="no"/>
    <b v="1"/>
    <n v="1"/>
    <n v="1.7970467560381901E+19"/>
  </r>
  <r>
    <b v="0"/>
    <x v="1"/>
    <x v="2"/>
    <x v="1"/>
    <x v="24"/>
    <x v="1"/>
    <x v="1"/>
    <x v="68"/>
    <x v="0"/>
    <x v="2"/>
    <x v="1"/>
    <b v="0"/>
    <m/>
    <s v="Southampton"/>
    <s v="yes"/>
    <b v="0"/>
    <n v="1"/>
    <n v="1.32206467838684E+19"/>
  </r>
  <r>
    <b v="0"/>
    <x v="0"/>
    <x v="0"/>
    <x v="0"/>
    <x v="23"/>
    <x v="1"/>
    <x v="0"/>
    <x v="219"/>
    <x v="0"/>
    <x v="0"/>
    <x v="0"/>
    <b v="1"/>
    <m/>
    <s v="Southampton"/>
    <s v="no"/>
    <b v="1"/>
    <n v="1"/>
    <n v="6.42237277313459E+18"/>
  </r>
  <r>
    <b v="0"/>
    <x v="1"/>
    <x v="0"/>
    <x v="1"/>
    <x v="4"/>
    <x v="1"/>
    <x v="0"/>
    <x v="204"/>
    <x v="2"/>
    <x v="0"/>
    <x v="1"/>
    <b v="0"/>
    <m/>
    <s v="Queenstown"/>
    <s v="yes"/>
    <b v="1"/>
    <n v="1"/>
    <n v="1.40812761345351E+19"/>
  </r>
  <r>
    <b v="0"/>
    <x v="0"/>
    <x v="0"/>
    <x v="1"/>
    <x v="24"/>
    <x v="1"/>
    <x v="0"/>
    <x v="85"/>
    <x v="2"/>
    <x v="0"/>
    <x v="1"/>
    <b v="0"/>
    <m/>
    <s v="Queenstown"/>
    <s v="no"/>
    <b v="1"/>
    <n v="1"/>
    <n v="1.83891985509615E+18"/>
  </r>
  <r>
    <b v="0"/>
    <x v="0"/>
    <x v="2"/>
    <x v="0"/>
    <x v="42"/>
    <x v="4"/>
    <x v="0"/>
    <x v="52"/>
    <x v="0"/>
    <x v="2"/>
    <x v="0"/>
    <b v="1"/>
    <m/>
    <s v="Southampton"/>
    <s v="no"/>
    <b v="0"/>
    <n v="1"/>
    <n v="4.0238580751830298E+18"/>
  </r>
  <r>
    <b v="0"/>
    <x v="0"/>
    <x v="0"/>
    <x v="0"/>
    <x v="4"/>
    <x v="1"/>
    <x v="0"/>
    <x v="25"/>
    <x v="0"/>
    <x v="0"/>
    <x v="0"/>
    <b v="1"/>
    <m/>
    <s v="Southampton"/>
    <s v="no"/>
    <b v="1"/>
    <n v="1"/>
    <n v="1.7970467560381901E+19"/>
  </r>
  <r>
    <b v="0"/>
    <x v="0"/>
    <x v="0"/>
    <x v="1"/>
    <x v="35"/>
    <x v="0"/>
    <x v="1"/>
    <x v="37"/>
    <x v="2"/>
    <x v="0"/>
    <x v="1"/>
    <b v="0"/>
    <m/>
    <s v="Queenstown"/>
    <s v="no"/>
    <b v="0"/>
    <n v="1"/>
    <n v="1.46118535180295E+19"/>
  </r>
  <r>
    <b v="0"/>
    <x v="0"/>
    <x v="2"/>
    <x v="0"/>
    <x v="41"/>
    <x v="1"/>
    <x v="0"/>
    <x v="16"/>
    <x v="0"/>
    <x v="2"/>
    <x v="0"/>
    <b v="1"/>
    <m/>
    <s v="Southampton"/>
    <s v="no"/>
    <b v="1"/>
    <n v="1"/>
    <n v="3.8101028942906102E+18"/>
  </r>
  <r>
    <b v="0"/>
    <x v="0"/>
    <x v="1"/>
    <x v="0"/>
    <x v="10"/>
    <x v="1"/>
    <x v="2"/>
    <x v="114"/>
    <x v="1"/>
    <x v="1"/>
    <x v="0"/>
    <b v="1"/>
    <s v="D"/>
    <s v="Cherbourg"/>
    <s v="no"/>
    <b v="0"/>
    <n v="0"/>
    <n v="9.0983269895211899E+18"/>
  </r>
  <r>
    <b v="0"/>
    <x v="1"/>
    <x v="1"/>
    <x v="0"/>
    <x v="61"/>
    <x v="4"/>
    <x v="0"/>
    <x v="155"/>
    <x v="0"/>
    <x v="1"/>
    <x v="0"/>
    <b v="1"/>
    <m/>
    <s v="Southampton"/>
    <s v="yes"/>
    <b v="0"/>
    <n v="1"/>
    <n v="1.22871532284607E+19"/>
  </r>
  <r>
    <b v="0"/>
    <x v="0"/>
    <x v="0"/>
    <x v="0"/>
    <x v="20"/>
    <x v="1"/>
    <x v="0"/>
    <x v="18"/>
    <x v="1"/>
    <x v="0"/>
    <x v="0"/>
    <b v="1"/>
    <m/>
    <s v="Cherbourg"/>
    <s v="no"/>
    <b v="1"/>
    <n v="1"/>
    <n v="1.6041823669517099E+19"/>
  </r>
  <r>
    <b v="0"/>
    <x v="0"/>
    <x v="1"/>
    <x v="0"/>
    <x v="47"/>
    <x v="1"/>
    <x v="0"/>
    <x v="220"/>
    <x v="0"/>
    <x v="1"/>
    <x v="0"/>
    <b v="1"/>
    <s v="E"/>
    <s v="Southampton"/>
    <s v="no"/>
    <b v="1"/>
    <n v="0"/>
    <n v="2.4570339807721298E+18"/>
  </r>
  <r>
    <b v="0"/>
    <x v="0"/>
    <x v="0"/>
    <x v="0"/>
    <x v="62"/>
    <x v="1"/>
    <x v="0"/>
    <x v="196"/>
    <x v="0"/>
    <x v="0"/>
    <x v="0"/>
    <b v="1"/>
    <m/>
    <s v="Southampton"/>
    <s v="no"/>
    <b v="1"/>
    <n v="1"/>
    <n v="1.15331119789391E+18"/>
  </r>
  <r>
    <b v="0"/>
    <x v="1"/>
    <x v="0"/>
    <x v="0"/>
    <x v="11"/>
    <x v="0"/>
    <x v="0"/>
    <x v="2"/>
    <x v="0"/>
    <x v="0"/>
    <x v="0"/>
    <b v="1"/>
    <m/>
    <s v="Southampton"/>
    <s v="yes"/>
    <b v="0"/>
    <n v="1"/>
    <n v="1.74062218981749E+19"/>
  </r>
  <r>
    <b v="0"/>
    <x v="0"/>
    <x v="2"/>
    <x v="0"/>
    <x v="35"/>
    <x v="4"/>
    <x v="0"/>
    <x v="52"/>
    <x v="0"/>
    <x v="2"/>
    <x v="0"/>
    <b v="1"/>
    <m/>
    <s v="Southampton"/>
    <s v="no"/>
    <b v="0"/>
    <n v="1"/>
    <n v="1.5118021828334299E+19"/>
  </r>
  <r>
    <b v="0"/>
    <x v="0"/>
    <x v="2"/>
    <x v="0"/>
    <x v="37"/>
    <x v="1"/>
    <x v="0"/>
    <x v="16"/>
    <x v="0"/>
    <x v="2"/>
    <x v="0"/>
    <b v="1"/>
    <m/>
    <s v="Southampton"/>
    <s v="no"/>
    <b v="1"/>
    <n v="1"/>
    <n v="1.45445304985682E+19"/>
  </r>
  <r>
    <b v="0"/>
    <x v="0"/>
    <x v="0"/>
    <x v="0"/>
    <x v="4"/>
    <x v="1"/>
    <x v="0"/>
    <x v="71"/>
    <x v="0"/>
    <x v="0"/>
    <x v="0"/>
    <b v="1"/>
    <m/>
    <s v="Southampton"/>
    <s v="no"/>
    <b v="1"/>
    <n v="1"/>
    <n v="8.3601187029501501E+18"/>
  </r>
  <r>
    <b v="0"/>
    <x v="0"/>
    <x v="0"/>
    <x v="0"/>
    <x v="71"/>
    <x v="1"/>
    <x v="0"/>
    <x v="4"/>
    <x v="0"/>
    <x v="0"/>
    <x v="0"/>
    <b v="1"/>
    <m/>
    <s v="Southampton"/>
    <s v="no"/>
    <b v="1"/>
    <n v="1"/>
    <n v="1.5223445616041001E+19"/>
  </r>
  <r>
    <b v="0"/>
    <x v="1"/>
    <x v="1"/>
    <x v="1"/>
    <x v="4"/>
    <x v="0"/>
    <x v="0"/>
    <x v="31"/>
    <x v="0"/>
    <x v="1"/>
    <x v="1"/>
    <b v="0"/>
    <s v="C"/>
    <s v="Southampton"/>
    <s v="yes"/>
    <b v="0"/>
    <n v="1"/>
    <n v="1.7352794167673E+19"/>
  </r>
  <r>
    <b v="0"/>
    <x v="1"/>
    <x v="2"/>
    <x v="1"/>
    <x v="20"/>
    <x v="0"/>
    <x v="1"/>
    <x v="106"/>
    <x v="0"/>
    <x v="2"/>
    <x v="1"/>
    <b v="0"/>
    <m/>
    <s v="Southampton"/>
    <s v="yes"/>
    <b v="0"/>
    <n v="1"/>
    <n v="9.2638383910400205E+18"/>
  </r>
  <r>
    <b v="0"/>
    <x v="0"/>
    <x v="1"/>
    <x v="0"/>
    <x v="14"/>
    <x v="0"/>
    <x v="0"/>
    <x v="31"/>
    <x v="0"/>
    <x v="1"/>
    <x v="0"/>
    <b v="1"/>
    <s v="B"/>
    <s v="Southampton"/>
    <s v="no"/>
    <b v="0"/>
    <n v="0"/>
    <n v="1.1975699326158701E+19"/>
  </r>
  <r>
    <b v="0"/>
    <x v="0"/>
    <x v="2"/>
    <x v="0"/>
    <x v="81"/>
    <x v="1"/>
    <x v="0"/>
    <x v="29"/>
    <x v="0"/>
    <x v="2"/>
    <x v="0"/>
    <b v="1"/>
    <m/>
    <s v="Southampton"/>
    <s v="no"/>
    <b v="1"/>
    <n v="1"/>
    <n v="5.6200198826086605E+18"/>
  </r>
  <r>
    <b v="0"/>
    <x v="1"/>
    <x v="2"/>
    <x v="0"/>
    <x v="14"/>
    <x v="1"/>
    <x v="0"/>
    <x v="16"/>
    <x v="0"/>
    <x v="2"/>
    <x v="0"/>
    <b v="1"/>
    <m/>
    <s v="Southampton"/>
    <s v="yes"/>
    <b v="1"/>
    <n v="1"/>
    <n v="1.33861757096443E+19"/>
  </r>
  <r>
    <b v="0"/>
    <x v="0"/>
    <x v="2"/>
    <x v="0"/>
    <x v="4"/>
    <x v="1"/>
    <x v="0"/>
    <x v="104"/>
    <x v="0"/>
    <x v="2"/>
    <x v="0"/>
    <b v="1"/>
    <m/>
    <s v="Southampton"/>
    <s v="no"/>
    <b v="1"/>
    <n v="1"/>
    <n v="1.3784493890172299E+19"/>
  </r>
  <r>
    <b v="0"/>
    <x v="0"/>
    <x v="0"/>
    <x v="0"/>
    <x v="24"/>
    <x v="1"/>
    <x v="0"/>
    <x v="71"/>
    <x v="0"/>
    <x v="0"/>
    <x v="0"/>
    <b v="1"/>
    <m/>
    <s v="Southampton"/>
    <s v="no"/>
    <b v="1"/>
    <n v="1"/>
    <n v="7.7347489679112899E+18"/>
  </r>
  <r>
    <b v="0"/>
    <x v="0"/>
    <x v="0"/>
    <x v="0"/>
    <x v="82"/>
    <x v="1"/>
    <x v="0"/>
    <x v="4"/>
    <x v="0"/>
    <x v="0"/>
    <x v="0"/>
    <b v="1"/>
    <m/>
    <s v="Southampton"/>
    <s v="no"/>
    <b v="1"/>
    <n v="1"/>
    <n v="3.6418369022720502E+18"/>
  </r>
  <r>
    <b v="0"/>
    <x v="1"/>
    <x v="0"/>
    <x v="1"/>
    <x v="24"/>
    <x v="1"/>
    <x v="0"/>
    <x v="221"/>
    <x v="0"/>
    <x v="0"/>
    <x v="1"/>
    <b v="0"/>
    <m/>
    <s v="Southampton"/>
    <s v="yes"/>
    <b v="1"/>
    <n v="1"/>
    <n v="1.13922166183633E+18"/>
  </r>
  <r>
    <b v="0"/>
    <x v="0"/>
    <x v="0"/>
    <x v="1"/>
    <x v="71"/>
    <x v="0"/>
    <x v="6"/>
    <x v="45"/>
    <x v="0"/>
    <x v="0"/>
    <x v="1"/>
    <b v="0"/>
    <m/>
    <s v="Southampton"/>
    <s v="no"/>
    <b v="0"/>
    <n v="1"/>
    <n v="3.79030777411288E+17"/>
  </r>
  <r>
    <b v="0"/>
    <x v="1"/>
    <x v="1"/>
    <x v="0"/>
    <x v="62"/>
    <x v="1"/>
    <x v="1"/>
    <x v="127"/>
    <x v="1"/>
    <x v="1"/>
    <x v="0"/>
    <b v="1"/>
    <s v="B"/>
    <s v="Cherbourg"/>
    <s v="yes"/>
    <b v="0"/>
    <n v="0"/>
    <n v="1.04104767838115E+19"/>
  </r>
  <r>
    <b v="0"/>
    <x v="0"/>
    <x v="0"/>
    <x v="1"/>
    <x v="4"/>
    <x v="1"/>
    <x v="0"/>
    <x v="222"/>
    <x v="2"/>
    <x v="0"/>
    <x v="1"/>
    <b v="0"/>
    <m/>
    <s v="Queenstown"/>
    <s v="no"/>
    <b v="1"/>
    <n v="1"/>
    <n v="1.40133274170601E+19"/>
  </r>
  <r>
    <b v="0"/>
    <x v="1"/>
    <x v="1"/>
    <x v="0"/>
    <x v="7"/>
    <x v="1"/>
    <x v="0"/>
    <x v="42"/>
    <x v="1"/>
    <x v="1"/>
    <x v="0"/>
    <b v="1"/>
    <s v="D"/>
    <s v="Cherbourg"/>
    <s v="yes"/>
    <b v="1"/>
    <n v="0"/>
    <n v="1.14579738946206E+19"/>
  </r>
  <r>
    <b v="0"/>
    <x v="0"/>
    <x v="0"/>
    <x v="0"/>
    <x v="11"/>
    <x v="1"/>
    <x v="0"/>
    <x v="157"/>
    <x v="0"/>
    <x v="0"/>
    <x v="0"/>
    <b v="1"/>
    <m/>
    <s v="Southampton"/>
    <s v="no"/>
    <b v="1"/>
    <n v="1"/>
    <n v="1.71567641184058E+19"/>
  </r>
  <r>
    <b v="0"/>
    <x v="0"/>
    <x v="0"/>
    <x v="0"/>
    <x v="8"/>
    <x v="5"/>
    <x v="2"/>
    <x v="45"/>
    <x v="0"/>
    <x v="0"/>
    <x v="2"/>
    <b v="0"/>
    <m/>
    <s v="Southampton"/>
    <s v="no"/>
    <b v="0"/>
    <n v="1"/>
    <n v="1.42442923697714E+18"/>
  </r>
  <r>
    <b v="0"/>
    <x v="0"/>
    <x v="2"/>
    <x v="0"/>
    <x v="72"/>
    <x v="0"/>
    <x v="1"/>
    <x v="106"/>
    <x v="0"/>
    <x v="2"/>
    <x v="0"/>
    <b v="1"/>
    <m/>
    <s v="Southampton"/>
    <s v="no"/>
    <b v="0"/>
    <n v="1"/>
    <n v="1.58304186730694E+19"/>
  </r>
  <r>
    <b v="0"/>
    <x v="0"/>
    <x v="2"/>
    <x v="0"/>
    <x v="37"/>
    <x v="0"/>
    <x v="2"/>
    <x v="36"/>
    <x v="1"/>
    <x v="2"/>
    <x v="0"/>
    <b v="1"/>
    <m/>
    <s v="Cherbourg"/>
    <s v="no"/>
    <b v="0"/>
    <n v="1"/>
    <n v="6.7398857023070198E+18"/>
  </r>
  <r>
    <b v="0"/>
    <x v="0"/>
    <x v="0"/>
    <x v="0"/>
    <x v="8"/>
    <x v="3"/>
    <x v="1"/>
    <x v="40"/>
    <x v="0"/>
    <x v="0"/>
    <x v="2"/>
    <b v="0"/>
    <m/>
    <s v="Southampton"/>
    <s v="no"/>
    <b v="0"/>
    <n v="1"/>
    <n v="9.3131261913485594E+17"/>
  </r>
  <r>
    <b v="0"/>
    <x v="0"/>
    <x v="0"/>
    <x v="0"/>
    <x v="19"/>
    <x v="1"/>
    <x v="0"/>
    <x v="223"/>
    <x v="0"/>
    <x v="0"/>
    <x v="0"/>
    <b v="1"/>
    <m/>
    <s v="Southampton"/>
    <s v="no"/>
    <b v="1"/>
    <n v="1"/>
    <n v="3.9738403781471099E+18"/>
  </r>
  <r>
    <b v="0"/>
    <x v="0"/>
    <x v="0"/>
    <x v="0"/>
    <x v="24"/>
    <x v="1"/>
    <x v="0"/>
    <x v="88"/>
    <x v="0"/>
    <x v="0"/>
    <x v="0"/>
    <b v="1"/>
    <m/>
    <s v="Southampton"/>
    <s v="no"/>
    <b v="1"/>
    <n v="1"/>
    <n v="1.6423508188013799E+19"/>
  </r>
  <r>
    <b v="0"/>
    <x v="1"/>
    <x v="1"/>
    <x v="1"/>
    <x v="16"/>
    <x v="1"/>
    <x v="1"/>
    <x v="224"/>
    <x v="0"/>
    <x v="1"/>
    <x v="2"/>
    <b v="0"/>
    <s v="B"/>
    <s v="Southampton"/>
    <s v="yes"/>
    <b v="0"/>
    <n v="0"/>
    <n v="3.3382976507460803E+18"/>
  </r>
  <r>
    <b v="0"/>
    <x v="1"/>
    <x v="1"/>
    <x v="0"/>
    <x v="14"/>
    <x v="0"/>
    <x v="0"/>
    <x v="225"/>
    <x v="0"/>
    <x v="1"/>
    <x v="0"/>
    <b v="1"/>
    <s v="B"/>
    <s v="Southampton"/>
    <s v="yes"/>
    <b v="0"/>
    <n v="0"/>
    <n v="5.9281915640298895E+18"/>
  </r>
  <r>
    <b v="0"/>
    <x v="1"/>
    <x v="0"/>
    <x v="1"/>
    <x v="9"/>
    <x v="1"/>
    <x v="1"/>
    <x v="226"/>
    <x v="1"/>
    <x v="0"/>
    <x v="2"/>
    <b v="0"/>
    <m/>
    <s v="Cherbourg"/>
    <s v="yes"/>
    <b v="0"/>
    <n v="1"/>
    <n v="9.4554514178630001E+18"/>
  </r>
  <r>
    <b v="0"/>
    <x v="1"/>
    <x v="0"/>
    <x v="0"/>
    <x v="4"/>
    <x v="1"/>
    <x v="0"/>
    <x v="54"/>
    <x v="0"/>
    <x v="0"/>
    <x v="0"/>
    <b v="1"/>
    <m/>
    <s v="Southampton"/>
    <s v="yes"/>
    <b v="1"/>
    <n v="1"/>
    <n v="6.4621136676760596E+18"/>
  </r>
  <r>
    <b v="0"/>
    <x v="0"/>
    <x v="0"/>
    <x v="0"/>
    <x v="37"/>
    <x v="1"/>
    <x v="0"/>
    <x v="18"/>
    <x v="1"/>
    <x v="0"/>
    <x v="0"/>
    <b v="1"/>
    <m/>
    <s v="Cherbourg"/>
    <s v="no"/>
    <b v="1"/>
    <n v="1"/>
    <n v="2.6624544912131098E+18"/>
  </r>
  <r>
    <b v="0"/>
    <x v="0"/>
    <x v="1"/>
    <x v="0"/>
    <x v="72"/>
    <x v="1"/>
    <x v="0"/>
    <x v="11"/>
    <x v="0"/>
    <x v="1"/>
    <x v="0"/>
    <b v="1"/>
    <m/>
    <s v="Southampton"/>
    <s v="no"/>
    <b v="1"/>
    <n v="1"/>
    <n v="8.8442711320622602E+18"/>
  </r>
  <r>
    <b v="0"/>
    <x v="0"/>
    <x v="2"/>
    <x v="0"/>
    <x v="67"/>
    <x v="1"/>
    <x v="0"/>
    <x v="119"/>
    <x v="0"/>
    <x v="2"/>
    <x v="0"/>
    <b v="1"/>
    <m/>
    <s v="Southampton"/>
    <s v="no"/>
    <b v="1"/>
    <n v="1"/>
    <n v="1.69944081302284E+19"/>
  </r>
  <r>
    <b v="0"/>
    <x v="0"/>
    <x v="0"/>
    <x v="0"/>
    <x v="57"/>
    <x v="1"/>
    <x v="0"/>
    <x v="4"/>
    <x v="0"/>
    <x v="0"/>
    <x v="0"/>
    <b v="1"/>
    <m/>
    <s v="Southampton"/>
    <s v="no"/>
    <b v="1"/>
    <n v="1"/>
    <n v="1.43146259284219E+19"/>
  </r>
  <r>
    <b v="0"/>
    <x v="1"/>
    <x v="0"/>
    <x v="1"/>
    <x v="4"/>
    <x v="1"/>
    <x v="0"/>
    <x v="93"/>
    <x v="2"/>
    <x v="0"/>
    <x v="1"/>
    <b v="0"/>
    <m/>
    <s v="Queenstown"/>
    <s v="yes"/>
    <b v="1"/>
    <n v="1"/>
    <n v="7.2392275016080804E+18"/>
  </r>
  <r>
    <b v="0"/>
    <x v="0"/>
    <x v="1"/>
    <x v="0"/>
    <x v="27"/>
    <x v="0"/>
    <x v="1"/>
    <x v="143"/>
    <x v="1"/>
    <x v="1"/>
    <x v="0"/>
    <b v="1"/>
    <s v="C"/>
    <s v="Cherbourg"/>
    <s v="no"/>
    <b v="0"/>
    <n v="0"/>
    <n v="5.4553053234111703E+18"/>
  </r>
  <r>
    <b v="0"/>
    <x v="0"/>
    <x v="0"/>
    <x v="0"/>
    <x v="22"/>
    <x v="1"/>
    <x v="0"/>
    <x v="55"/>
    <x v="0"/>
    <x v="0"/>
    <x v="0"/>
    <b v="1"/>
    <s v="F"/>
    <s v="Southampton"/>
    <s v="no"/>
    <b v="1"/>
    <n v="0"/>
    <n v="7.7897243665147996E+18"/>
  </r>
  <r>
    <b v="0"/>
    <x v="1"/>
    <x v="1"/>
    <x v="1"/>
    <x v="24"/>
    <x v="0"/>
    <x v="0"/>
    <x v="164"/>
    <x v="1"/>
    <x v="1"/>
    <x v="1"/>
    <b v="0"/>
    <s v="C"/>
    <s v="Cherbourg"/>
    <s v="yes"/>
    <b v="0"/>
    <n v="0"/>
    <n v="6.6833324407187599E+18"/>
  </r>
  <r>
    <b v="0"/>
    <x v="1"/>
    <x v="1"/>
    <x v="0"/>
    <x v="3"/>
    <x v="1"/>
    <x v="0"/>
    <x v="194"/>
    <x v="0"/>
    <x v="1"/>
    <x v="0"/>
    <b v="1"/>
    <s v="E"/>
    <s v="Southampton"/>
    <s v="yes"/>
    <b v="1"/>
    <n v="0"/>
    <n v="1.8390722376537899E+19"/>
  </r>
  <r>
    <b v="0"/>
    <x v="0"/>
    <x v="0"/>
    <x v="1"/>
    <x v="24"/>
    <x v="1"/>
    <x v="1"/>
    <x v="53"/>
    <x v="1"/>
    <x v="0"/>
    <x v="1"/>
    <b v="0"/>
    <m/>
    <s v="Cherbourg"/>
    <s v="no"/>
    <b v="0"/>
    <n v="1"/>
    <n v="7.8680915120184806E+17"/>
  </r>
  <r>
    <b v="0"/>
    <x v="0"/>
    <x v="0"/>
    <x v="0"/>
    <x v="37"/>
    <x v="1"/>
    <x v="0"/>
    <x v="227"/>
    <x v="2"/>
    <x v="0"/>
    <x v="0"/>
    <b v="1"/>
    <m/>
    <s v="Queenstown"/>
    <s v="no"/>
    <b v="1"/>
    <n v="1"/>
    <n v="2.9730854818621901E+18"/>
  </r>
  <r>
    <b v="0"/>
    <x v="0"/>
    <x v="0"/>
    <x v="0"/>
    <x v="2"/>
    <x v="0"/>
    <x v="0"/>
    <x v="13"/>
    <x v="0"/>
    <x v="0"/>
    <x v="0"/>
    <b v="1"/>
    <m/>
    <s v="Southampton"/>
    <s v="no"/>
    <b v="0"/>
    <n v="1"/>
    <n v="1.1744615984055699E+19"/>
  </r>
  <r>
    <b v="0"/>
    <x v="0"/>
    <x v="2"/>
    <x v="0"/>
    <x v="12"/>
    <x v="1"/>
    <x v="0"/>
    <x v="19"/>
    <x v="0"/>
    <x v="2"/>
    <x v="0"/>
    <b v="1"/>
    <m/>
    <s v="Southampton"/>
    <s v="no"/>
    <b v="1"/>
    <n v="1"/>
    <n v="1.65695620466514E+19"/>
  </r>
  <r>
    <b v="0"/>
    <x v="1"/>
    <x v="2"/>
    <x v="1"/>
    <x v="33"/>
    <x v="1"/>
    <x v="0"/>
    <x v="119"/>
    <x v="0"/>
    <x v="2"/>
    <x v="1"/>
    <b v="0"/>
    <m/>
    <s v="Southampton"/>
    <s v="yes"/>
    <b v="1"/>
    <n v="1"/>
    <n v="1.3285255929421199E+19"/>
  </r>
  <r>
    <b v="0"/>
    <x v="1"/>
    <x v="1"/>
    <x v="0"/>
    <x v="22"/>
    <x v="1"/>
    <x v="0"/>
    <x v="194"/>
    <x v="0"/>
    <x v="1"/>
    <x v="0"/>
    <b v="1"/>
    <s v="E"/>
    <s v="Southampton"/>
    <s v="yes"/>
    <b v="1"/>
    <n v="0"/>
    <n v="1.6865243903656901E+18"/>
  </r>
  <r>
    <b v="0"/>
    <x v="1"/>
    <x v="1"/>
    <x v="1"/>
    <x v="0"/>
    <x v="1"/>
    <x v="0"/>
    <x v="139"/>
    <x v="0"/>
    <x v="1"/>
    <x v="1"/>
    <b v="0"/>
    <m/>
    <s v="Southampton"/>
    <s v="yes"/>
    <b v="1"/>
    <n v="1"/>
    <n v="1.1810030178561599E+19"/>
  </r>
  <r>
    <b v="0"/>
    <x v="1"/>
    <x v="0"/>
    <x v="0"/>
    <x v="4"/>
    <x v="0"/>
    <x v="1"/>
    <x v="49"/>
    <x v="1"/>
    <x v="0"/>
    <x v="0"/>
    <b v="1"/>
    <m/>
    <s v="Cherbourg"/>
    <s v="yes"/>
    <b v="0"/>
    <n v="1"/>
    <n v="1.6080472643208901E+19"/>
  </r>
  <r>
    <b v="0"/>
    <x v="1"/>
    <x v="1"/>
    <x v="1"/>
    <x v="42"/>
    <x v="1"/>
    <x v="0"/>
    <x v="189"/>
    <x v="1"/>
    <x v="1"/>
    <x v="1"/>
    <b v="0"/>
    <s v="C"/>
    <s v="Cherbourg"/>
    <s v="yes"/>
    <b v="1"/>
    <n v="0"/>
    <n v="5.4543505130527396E+18"/>
  </r>
  <r>
    <b v="0"/>
    <x v="0"/>
    <x v="1"/>
    <x v="0"/>
    <x v="4"/>
    <x v="1"/>
    <x v="0"/>
    <x v="11"/>
    <x v="0"/>
    <x v="1"/>
    <x v="0"/>
    <b v="1"/>
    <s v="C"/>
    <s v="Southampton"/>
    <s v="no"/>
    <b v="1"/>
    <n v="1"/>
    <n v="4.9059108374606397E+18"/>
  </r>
  <r>
    <b v="0"/>
    <x v="1"/>
    <x v="1"/>
    <x v="0"/>
    <x v="76"/>
    <x v="0"/>
    <x v="0"/>
    <x v="31"/>
    <x v="0"/>
    <x v="1"/>
    <x v="0"/>
    <b v="1"/>
    <s v="C"/>
    <s v="Southampton"/>
    <s v="yes"/>
    <b v="0"/>
    <n v="0"/>
    <n v="8.0684986975654605E+18"/>
  </r>
  <r>
    <b v="0"/>
    <x v="0"/>
    <x v="0"/>
    <x v="0"/>
    <x v="28"/>
    <x v="1"/>
    <x v="0"/>
    <x v="228"/>
    <x v="0"/>
    <x v="0"/>
    <x v="0"/>
    <b v="1"/>
    <m/>
    <s v="Southampton"/>
    <s v="no"/>
    <b v="1"/>
    <n v="1"/>
    <n v="1.6472717652535699E+19"/>
  </r>
  <r>
    <b v="0"/>
    <x v="0"/>
    <x v="2"/>
    <x v="0"/>
    <x v="67"/>
    <x v="1"/>
    <x v="0"/>
    <x v="16"/>
    <x v="0"/>
    <x v="2"/>
    <x v="0"/>
    <b v="1"/>
    <m/>
    <s v="Southampton"/>
    <s v="no"/>
    <b v="1"/>
    <n v="1"/>
    <n v="1.22131147783594E+19"/>
  </r>
  <r>
    <b v="0"/>
    <x v="0"/>
    <x v="0"/>
    <x v="0"/>
    <x v="19"/>
    <x v="1"/>
    <x v="0"/>
    <x v="55"/>
    <x v="0"/>
    <x v="0"/>
    <x v="0"/>
    <b v="1"/>
    <s v="F"/>
    <s v="Southampton"/>
    <s v="no"/>
    <b v="1"/>
    <n v="0"/>
    <n v="3.0511357983464202E+18"/>
  </r>
  <r>
    <b v="0"/>
    <x v="1"/>
    <x v="1"/>
    <x v="1"/>
    <x v="1"/>
    <x v="1"/>
    <x v="0"/>
    <x v="164"/>
    <x v="1"/>
    <x v="1"/>
    <x v="1"/>
    <b v="0"/>
    <s v="C"/>
    <s v="Cherbourg"/>
    <s v="yes"/>
    <b v="1"/>
    <n v="0"/>
    <n v="1.11031172062295E+19"/>
  </r>
  <r>
    <b v="0"/>
    <x v="1"/>
    <x v="2"/>
    <x v="1"/>
    <x v="7"/>
    <x v="1"/>
    <x v="0"/>
    <x v="29"/>
    <x v="0"/>
    <x v="2"/>
    <x v="1"/>
    <b v="0"/>
    <s v="E"/>
    <s v="Southampton"/>
    <s v="yes"/>
    <b v="1"/>
    <n v="0"/>
    <n v="6.8411080354068296E+18"/>
  </r>
  <r>
    <b v="0"/>
    <x v="0"/>
    <x v="0"/>
    <x v="0"/>
    <x v="4"/>
    <x v="1"/>
    <x v="0"/>
    <x v="37"/>
    <x v="2"/>
    <x v="0"/>
    <x v="0"/>
    <b v="1"/>
    <m/>
    <s v="Queenstown"/>
    <s v="no"/>
    <b v="1"/>
    <n v="1"/>
    <n v="2.5864137503825901E+17"/>
  </r>
  <r>
    <b v="0"/>
    <x v="0"/>
    <x v="0"/>
    <x v="0"/>
    <x v="40"/>
    <x v="1"/>
    <x v="0"/>
    <x v="71"/>
    <x v="0"/>
    <x v="0"/>
    <x v="0"/>
    <b v="1"/>
    <m/>
    <s v="Southampton"/>
    <s v="no"/>
    <b v="1"/>
    <n v="1"/>
    <n v="6.1098196361730898E+18"/>
  </r>
  <r>
    <b v="0"/>
    <x v="1"/>
    <x v="2"/>
    <x v="1"/>
    <x v="83"/>
    <x v="1"/>
    <x v="1"/>
    <x v="213"/>
    <x v="0"/>
    <x v="2"/>
    <x v="2"/>
    <b v="0"/>
    <m/>
    <s v="Southampton"/>
    <s v="yes"/>
    <b v="0"/>
    <n v="1"/>
    <n v="2.4482572320234598E+18"/>
  </r>
  <r>
    <b v="0"/>
    <x v="0"/>
    <x v="0"/>
    <x v="0"/>
    <x v="34"/>
    <x v="0"/>
    <x v="0"/>
    <x v="218"/>
    <x v="0"/>
    <x v="0"/>
    <x v="0"/>
    <b v="1"/>
    <m/>
    <s v="Southampton"/>
    <s v="no"/>
    <b v="0"/>
    <n v="1"/>
    <n v="1.51338208893749E+19"/>
  </r>
  <r>
    <b v="0"/>
    <x v="0"/>
    <x v="2"/>
    <x v="0"/>
    <x v="15"/>
    <x v="1"/>
    <x v="0"/>
    <x v="16"/>
    <x v="0"/>
    <x v="2"/>
    <x v="0"/>
    <b v="1"/>
    <m/>
    <s v="Southampton"/>
    <s v="no"/>
    <b v="1"/>
    <n v="1"/>
    <n v="4.5496762912760202E+18"/>
  </r>
  <r>
    <b v="0"/>
    <x v="0"/>
    <x v="2"/>
    <x v="0"/>
    <x v="61"/>
    <x v="1"/>
    <x v="0"/>
    <x v="16"/>
    <x v="0"/>
    <x v="2"/>
    <x v="0"/>
    <b v="1"/>
    <m/>
    <s v="Southampton"/>
    <s v="no"/>
    <b v="1"/>
    <n v="1"/>
    <n v="1.10515622810804E+19"/>
  </r>
  <r>
    <b v="0"/>
    <x v="1"/>
    <x v="1"/>
    <x v="0"/>
    <x v="7"/>
    <x v="0"/>
    <x v="0"/>
    <x v="3"/>
    <x v="0"/>
    <x v="1"/>
    <x v="0"/>
    <b v="1"/>
    <s v="E"/>
    <s v="Southampton"/>
    <s v="yes"/>
    <b v="0"/>
    <n v="0"/>
    <n v="1.0368664580059501E+19"/>
  </r>
  <r>
    <b v="0"/>
    <x v="0"/>
    <x v="0"/>
    <x v="0"/>
    <x v="11"/>
    <x v="1"/>
    <x v="0"/>
    <x v="51"/>
    <x v="0"/>
    <x v="0"/>
    <x v="0"/>
    <b v="1"/>
    <m/>
    <s v="Southampton"/>
    <s v="no"/>
    <b v="1"/>
    <n v="1"/>
    <n v="8.9624953471340196E+18"/>
  </r>
  <r>
    <b v="0"/>
    <x v="1"/>
    <x v="2"/>
    <x v="1"/>
    <x v="39"/>
    <x v="2"/>
    <x v="0"/>
    <x v="35"/>
    <x v="0"/>
    <x v="2"/>
    <x v="1"/>
    <b v="0"/>
    <m/>
    <s v="Southampton"/>
    <s v="yes"/>
    <b v="0"/>
    <n v="1"/>
    <n v="3.24162282984766E+18"/>
  </r>
  <r>
    <b v="0"/>
    <x v="1"/>
    <x v="0"/>
    <x v="1"/>
    <x v="4"/>
    <x v="1"/>
    <x v="0"/>
    <x v="229"/>
    <x v="2"/>
    <x v="0"/>
    <x v="1"/>
    <b v="0"/>
    <m/>
    <s v="Queenstown"/>
    <s v="yes"/>
    <b v="1"/>
    <n v="1"/>
    <n v="3.2164694014925998E+18"/>
  </r>
  <r>
    <b v="0"/>
    <x v="0"/>
    <x v="2"/>
    <x v="0"/>
    <x v="37"/>
    <x v="0"/>
    <x v="0"/>
    <x v="19"/>
    <x v="0"/>
    <x v="2"/>
    <x v="0"/>
    <b v="1"/>
    <m/>
    <s v="Southampton"/>
    <s v="no"/>
    <b v="0"/>
    <n v="1"/>
    <n v="7.76040107582835E+18"/>
  </r>
  <r>
    <b v="0"/>
    <x v="0"/>
    <x v="0"/>
    <x v="1"/>
    <x v="37"/>
    <x v="0"/>
    <x v="0"/>
    <x v="2"/>
    <x v="0"/>
    <x v="0"/>
    <x v="1"/>
    <b v="0"/>
    <m/>
    <s v="Southampton"/>
    <s v="no"/>
    <b v="0"/>
    <n v="1"/>
    <n v="1.5970343043184799E+18"/>
  </r>
  <r>
    <b v="0"/>
    <x v="1"/>
    <x v="1"/>
    <x v="1"/>
    <x v="28"/>
    <x v="1"/>
    <x v="0"/>
    <x v="224"/>
    <x v="0"/>
    <x v="1"/>
    <x v="1"/>
    <b v="0"/>
    <s v="B"/>
    <s v="Southampton"/>
    <s v="yes"/>
    <b v="1"/>
    <n v="0"/>
    <n v="9.1177200424530299E+18"/>
  </r>
  <r>
    <b v="0"/>
    <x v="0"/>
    <x v="0"/>
    <x v="0"/>
    <x v="32"/>
    <x v="1"/>
    <x v="0"/>
    <x v="112"/>
    <x v="1"/>
    <x v="0"/>
    <x v="2"/>
    <b v="0"/>
    <m/>
    <s v="Cherbourg"/>
    <s v="no"/>
    <b v="1"/>
    <n v="1"/>
    <n v="9.462930441912449E+18"/>
  </r>
  <r>
    <b v="0"/>
    <x v="0"/>
    <x v="2"/>
    <x v="0"/>
    <x v="4"/>
    <x v="1"/>
    <x v="0"/>
    <x v="104"/>
    <x v="0"/>
    <x v="2"/>
    <x v="0"/>
    <b v="1"/>
    <m/>
    <s v="Southampton"/>
    <s v="no"/>
    <b v="1"/>
    <n v="1"/>
    <n v="1.3784493890172299E+19"/>
  </r>
  <r>
    <b v="0"/>
    <x v="0"/>
    <x v="2"/>
    <x v="0"/>
    <x v="41"/>
    <x v="1"/>
    <x v="0"/>
    <x v="16"/>
    <x v="0"/>
    <x v="2"/>
    <x v="0"/>
    <b v="1"/>
    <m/>
    <s v="Southampton"/>
    <s v="no"/>
    <b v="1"/>
    <n v="1"/>
    <n v="3.8101028942906102E+18"/>
  </r>
  <r>
    <b v="0"/>
    <x v="0"/>
    <x v="2"/>
    <x v="0"/>
    <x v="41"/>
    <x v="1"/>
    <x v="0"/>
    <x v="16"/>
    <x v="0"/>
    <x v="2"/>
    <x v="0"/>
    <b v="1"/>
    <m/>
    <s v="Southampton"/>
    <s v="no"/>
    <b v="1"/>
    <n v="1"/>
    <n v="3.8101028942906102E+18"/>
  </r>
  <r>
    <b v="0"/>
    <x v="0"/>
    <x v="0"/>
    <x v="0"/>
    <x v="30"/>
    <x v="1"/>
    <x v="0"/>
    <x v="95"/>
    <x v="0"/>
    <x v="0"/>
    <x v="0"/>
    <b v="1"/>
    <m/>
    <s v="Southampton"/>
    <s v="no"/>
    <b v="1"/>
    <n v="1"/>
    <n v="1.0743296820295201E+19"/>
  </r>
  <r>
    <b v="0"/>
    <x v="0"/>
    <x v="0"/>
    <x v="1"/>
    <x v="76"/>
    <x v="0"/>
    <x v="4"/>
    <x v="63"/>
    <x v="0"/>
    <x v="0"/>
    <x v="1"/>
    <b v="0"/>
    <m/>
    <s v="Southampton"/>
    <s v="no"/>
    <b v="0"/>
    <n v="1"/>
    <n v="8.6935722080897198E+18"/>
  </r>
  <r>
    <b v="0"/>
    <x v="1"/>
    <x v="1"/>
    <x v="0"/>
    <x v="3"/>
    <x v="1"/>
    <x v="0"/>
    <x v="127"/>
    <x v="1"/>
    <x v="1"/>
    <x v="0"/>
    <b v="1"/>
    <s v="B"/>
    <s v="Cherbourg"/>
    <s v="yes"/>
    <b v="1"/>
    <n v="0"/>
    <n v="1.5589350216144699E+19"/>
  </r>
  <r>
    <b v="0"/>
    <x v="0"/>
    <x v="0"/>
    <x v="0"/>
    <x v="4"/>
    <x v="1"/>
    <x v="0"/>
    <x v="25"/>
    <x v="0"/>
    <x v="0"/>
    <x v="0"/>
    <b v="1"/>
    <m/>
    <s v="Southampton"/>
    <s v="no"/>
    <b v="1"/>
    <n v="1"/>
    <n v="1.7970467560381901E+19"/>
  </r>
  <r>
    <b v="0"/>
    <x v="0"/>
    <x v="0"/>
    <x v="0"/>
    <x v="4"/>
    <x v="1"/>
    <x v="0"/>
    <x v="25"/>
    <x v="0"/>
    <x v="0"/>
    <x v="0"/>
    <b v="1"/>
    <m/>
    <s v="Southampton"/>
    <s v="no"/>
    <b v="1"/>
    <n v="1"/>
    <n v="1.7970467560381901E+19"/>
  </r>
  <r>
    <b v="0"/>
    <x v="1"/>
    <x v="1"/>
    <x v="0"/>
    <x v="4"/>
    <x v="1"/>
    <x v="0"/>
    <x v="209"/>
    <x v="0"/>
    <x v="1"/>
    <x v="0"/>
    <b v="1"/>
    <s v="D"/>
    <s v="Southampton"/>
    <s v="yes"/>
    <b v="1"/>
    <n v="1"/>
    <n v="8.6214399724045599E+18"/>
  </r>
  <r>
    <b v="0"/>
    <x v="0"/>
    <x v="1"/>
    <x v="0"/>
    <x v="62"/>
    <x v="0"/>
    <x v="0"/>
    <x v="135"/>
    <x v="0"/>
    <x v="1"/>
    <x v="0"/>
    <b v="1"/>
    <s v="C"/>
    <s v="Southampton"/>
    <s v="no"/>
    <b v="0"/>
    <n v="0"/>
    <n v="1.79421025160734E+19"/>
  </r>
  <r>
    <b v="0"/>
    <x v="1"/>
    <x v="1"/>
    <x v="1"/>
    <x v="23"/>
    <x v="4"/>
    <x v="2"/>
    <x v="148"/>
    <x v="1"/>
    <x v="1"/>
    <x v="1"/>
    <b v="0"/>
    <s v="B"/>
    <s v="Cherbourg"/>
    <s v="yes"/>
    <b v="0"/>
    <n v="0"/>
    <n v="1.24512497000868E+19"/>
  </r>
  <r>
    <b v="0"/>
    <x v="0"/>
    <x v="0"/>
    <x v="0"/>
    <x v="42"/>
    <x v="0"/>
    <x v="0"/>
    <x v="95"/>
    <x v="0"/>
    <x v="0"/>
    <x v="0"/>
    <b v="1"/>
    <m/>
    <s v="Southampton"/>
    <s v="no"/>
    <b v="0"/>
    <n v="1"/>
    <n v="4.9953795455984302E+18"/>
  </r>
  <r>
    <b v="0"/>
    <x v="1"/>
    <x v="0"/>
    <x v="0"/>
    <x v="14"/>
    <x v="1"/>
    <x v="0"/>
    <x v="2"/>
    <x v="0"/>
    <x v="0"/>
    <x v="0"/>
    <b v="1"/>
    <m/>
    <s v="Southampton"/>
    <s v="yes"/>
    <b v="1"/>
    <n v="1"/>
    <n v="1.79603994986681E+19"/>
  </r>
  <r>
    <b v="0"/>
    <x v="0"/>
    <x v="1"/>
    <x v="0"/>
    <x v="81"/>
    <x v="0"/>
    <x v="1"/>
    <x v="202"/>
    <x v="0"/>
    <x v="1"/>
    <x v="0"/>
    <b v="1"/>
    <s v="B"/>
    <s v="Southampton"/>
    <s v="no"/>
    <b v="0"/>
    <n v="0"/>
    <n v="1.35418493752707E+18"/>
  </r>
  <r>
    <b v="0"/>
    <x v="0"/>
    <x v="0"/>
    <x v="0"/>
    <x v="36"/>
    <x v="0"/>
    <x v="1"/>
    <x v="134"/>
    <x v="0"/>
    <x v="0"/>
    <x v="0"/>
    <b v="1"/>
    <m/>
    <s v="Southampton"/>
    <s v="no"/>
    <b v="0"/>
    <n v="1"/>
    <n v="8.6644665559722598E+18"/>
  </r>
  <r>
    <b v="0"/>
    <x v="1"/>
    <x v="2"/>
    <x v="1"/>
    <x v="39"/>
    <x v="1"/>
    <x v="0"/>
    <x v="16"/>
    <x v="0"/>
    <x v="2"/>
    <x v="1"/>
    <b v="0"/>
    <m/>
    <s v="Southampton"/>
    <s v="yes"/>
    <b v="1"/>
    <n v="1"/>
    <n v="7.16859213146001E+18"/>
  </r>
  <r>
    <b v="0"/>
    <x v="0"/>
    <x v="1"/>
    <x v="0"/>
    <x v="19"/>
    <x v="0"/>
    <x v="0"/>
    <x v="3"/>
    <x v="0"/>
    <x v="1"/>
    <x v="0"/>
    <b v="1"/>
    <s v="D"/>
    <s v="Southampton"/>
    <s v="no"/>
    <b v="0"/>
    <n v="0"/>
    <n v="1.2479592545001599E+19"/>
  </r>
  <r>
    <b v="0"/>
    <x v="0"/>
    <x v="0"/>
    <x v="0"/>
    <x v="14"/>
    <x v="1"/>
    <x v="0"/>
    <x v="28"/>
    <x v="2"/>
    <x v="0"/>
    <x v="0"/>
    <b v="1"/>
    <m/>
    <s v="Queenstown"/>
    <s v="no"/>
    <b v="1"/>
    <n v="1"/>
    <n v="1.4107925740649599E+19"/>
  </r>
  <r>
    <b v="0"/>
    <x v="1"/>
    <x v="2"/>
    <x v="1"/>
    <x v="9"/>
    <x v="0"/>
    <x v="1"/>
    <x v="68"/>
    <x v="0"/>
    <x v="2"/>
    <x v="2"/>
    <b v="0"/>
    <m/>
    <s v="Southampton"/>
    <s v="yes"/>
    <b v="0"/>
    <n v="1"/>
    <n v="1.80024371256482E+19"/>
  </r>
  <r>
    <b v="0"/>
    <x v="1"/>
    <x v="0"/>
    <x v="0"/>
    <x v="83"/>
    <x v="1"/>
    <x v="1"/>
    <x v="57"/>
    <x v="0"/>
    <x v="0"/>
    <x v="2"/>
    <b v="0"/>
    <s v="E"/>
    <s v="Southampton"/>
    <s v="yes"/>
    <b v="0"/>
    <n v="0"/>
    <n v="1.18085781681635E+19"/>
  </r>
  <r>
    <b v="0"/>
    <x v="0"/>
    <x v="0"/>
    <x v="0"/>
    <x v="40"/>
    <x v="1"/>
    <x v="0"/>
    <x v="59"/>
    <x v="0"/>
    <x v="0"/>
    <x v="0"/>
    <b v="1"/>
    <m/>
    <s v="Southampton"/>
    <s v="no"/>
    <b v="1"/>
    <n v="1"/>
    <n v="3.4652081022115702E+18"/>
  </r>
  <r>
    <b v="0"/>
    <x v="0"/>
    <x v="0"/>
    <x v="0"/>
    <x v="41"/>
    <x v="1"/>
    <x v="0"/>
    <x v="25"/>
    <x v="0"/>
    <x v="0"/>
    <x v="0"/>
    <b v="1"/>
    <m/>
    <s v="Southampton"/>
    <s v="no"/>
    <b v="1"/>
    <n v="1"/>
    <n v="6.0898717914757601E+18"/>
  </r>
  <r>
    <b v="0"/>
    <x v="1"/>
    <x v="2"/>
    <x v="1"/>
    <x v="76"/>
    <x v="0"/>
    <x v="2"/>
    <x v="216"/>
    <x v="0"/>
    <x v="2"/>
    <x v="1"/>
    <b v="0"/>
    <m/>
    <s v="Southampton"/>
    <s v="yes"/>
    <b v="0"/>
    <n v="1"/>
    <n v="1.4669915618168799E+19"/>
  </r>
  <r>
    <b v="0"/>
    <x v="1"/>
    <x v="2"/>
    <x v="0"/>
    <x v="84"/>
    <x v="0"/>
    <x v="1"/>
    <x v="80"/>
    <x v="0"/>
    <x v="2"/>
    <x v="2"/>
    <b v="0"/>
    <m/>
    <s v="Southampton"/>
    <s v="yes"/>
    <b v="0"/>
    <n v="1"/>
    <n v="1.3106687114488101E+19"/>
  </r>
  <r>
    <b v="0"/>
    <x v="0"/>
    <x v="0"/>
    <x v="0"/>
    <x v="17"/>
    <x v="1"/>
    <x v="0"/>
    <x v="88"/>
    <x v="0"/>
    <x v="0"/>
    <x v="0"/>
    <b v="1"/>
    <m/>
    <s v="Southampton"/>
    <s v="no"/>
    <b v="1"/>
    <n v="1"/>
    <n v="9.0873602521736796E+18"/>
  </r>
  <r>
    <b v="0"/>
    <x v="0"/>
    <x v="2"/>
    <x v="0"/>
    <x v="24"/>
    <x v="1"/>
    <x v="0"/>
    <x v="86"/>
    <x v="0"/>
    <x v="2"/>
    <x v="0"/>
    <b v="1"/>
    <m/>
    <s v="Southampton"/>
    <s v="no"/>
    <b v="1"/>
    <n v="1"/>
    <n v="1.17409391668719E+19"/>
  </r>
  <r>
    <b v="0"/>
    <x v="0"/>
    <x v="0"/>
    <x v="0"/>
    <x v="15"/>
    <x v="1"/>
    <x v="0"/>
    <x v="4"/>
    <x v="0"/>
    <x v="0"/>
    <x v="0"/>
    <b v="1"/>
    <m/>
    <s v="Southampton"/>
    <s v="no"/>
    <b v="1"/>
    <n v="1"/>
    <n v="1.81207378784796E+19"/>
  </r>
  <r>
    <b v="0"/>
    <x v="1"/>
    <x v="1"/>
    <x v="1"/>
    <x v="40"/>
    <x v="1"/>
    <x v="0"/>
    <x v="126"/>
    <x v="0"/>
    <x v="1"/>
    <x v="1"/>
    <b v="0"/>
    <s v="B"/>
    <s v="Southampton"/>
    <s v="yes"/>
    <b v="1"/>
    <n v="0"/>
    <n v="1.4902020613088299E+19"/>
  </r>
  <r>
    <b v="0"/>
    <x v="0"/>
    <x v="0"/>
    <x v="0"/>
    <x v="4"/>
    <x v="1"/>
    <x v="0"/>
    <x v="80"/>
    <x v="0"/>
    <x v="0"/>
    <x v="0"/>
    <b v="1"/>
    <m/>
    <s v="Southampton"/>
    <s v="no"/>
    <b v="1"/>
    <n v="1"/>
    <n v="1.49344061587387E+19"/>
  </r>
  <r>
    <b v="0"/>
    <x v="0"/>
    <x v="0"/>
    <x v="0"/>
    <x v="66"/>
    <x v="1"/>
    <x v="0"/>
    <x v="123"/>
    <x v="0"/>
    <x v="0"/>
    <x v="0"/>
    <b v="1"/>
    <m/>
    <s v="Southampton"/>
    <s v="no"/>
    <b v="1"/>
    <n v="1"/>
    <n v="1.4403197595078199E+19"/>
  </r>
  <r>
    <b v="0"/>
    <x v="1"/>
    <x v="0"/>
    <x v="0"/>
    <x v="11"/>
    <x v="1"/>
    <x v="0"/>
    <x v="32"/>
    <x v="1"/>
    <x v="0"/>
    <x v="0"/>
    <b v="1"/>
    <m/>
    <s v="Cherbourg"/>
    <s v="yes"/>
    <b v="1"/>
    <n v="1"/>
    <n v="1.28391533329174E+19"/>
  </r>
  <r>
    <b v="0"/>
    <x v="1"/>
    <x v="1"/>
    <x v="1"/>
    <x v="62"/>
    <x v="0"/>
    <x v="2"/>
    <x v="168"/>
    <x v="0"/>
    <x v="1"/>
    <x v="1"/>
    <b v="0"/>
    <s v="B"/>
    <s v="Southampton"/>
    <s v="yes"/>
    <b v="0"/>
    <n v="0"/>
    <n v="4.7416467661639496E+18"/>
  </r>
  <r>
    <b v="0"/>
    <x v="0"/>
    <x v="0"/>
    <x v="0"/>
    <x v="36"/>
    <x v="1"/>
    <x v="0"/>
    <x v="71"/>
    <x v="0"/>
    <x v="0"/>
    <x v="0"/>
    <b v="1"/>
    <m/>
    <s v="Southampton"/>
    <s v="no"/>
    <b v="1"/>
    <n v="1"/>
    <n v="6.1902130390979103E+18"/>
  </r>
  <r>
    <b v="0"/>
    <x v="1"/>
    <x v="1"/>
    <x v="1"/>
    <x v="54"/>
    <x v="0"/>
    <x v="0"/>
    <x v="133"/>
    <x v="0"/>
    <x v="1"/>
    <x v="1"/>
    <b v="0"/>
    <s v="D"/>
    <s v="Southampton"/>
    <s v="yes"/>
    <b v="0"/>
    <n v="0"/>
    <n v="9.8020012085346598E+17"/>
  </r>
  <r>
    <b v="0"/>
    <x v="0"/>
    <x v="1"/>
    <x v="0"/>
    <x v="4"/>
    <x v="1"/>
    <x v="0"/>
    <x v="205"/>
    <x v="1"/>
    <x v="1"/>
    <x v="0"/>
    <b v="1"/>
    <m/>
    <s v="Cherbourg"/>
    <s v="no"/>
    <b v="1"/>
    <n v="1"/>
    <n v="1.6766611252453501E+19"/>
  </r>
  <r>
    <b v="0"/>
    <x v="0"/>
    <x v="0"/>
    <x v="1"/>
    <x v="85"/>
    <x v="1"/>
    <x v="0"/>
    <x v="28"/>
    <x v="2"/>
    <x v="0"/>
    <x v="1"/>
    <b v="0"/>
    <m/>
    <s v="Queenstown"/>
    <s v="no"/>
    <b v="1"/>
    <n v="1"/>
    <n v="1.2659924074705299E+19"/>
  </r>
  <r>
    <b v="0"/>
    <x v="0"/>
    <x v="0"/>
    <x v="0"/>
    <x v="4"/>
    <x v="0"/>
    <x v="0"/>
    <x v="72"/>
    <x v="2"/>
    <x v="0"/>
    <x v="0"/>
    <b v="1"/>
    <m/>
    <s v="Queenstown"/>
    <s v="no"/>
    <b v="0"/>
    <n v="1"/>
    <n v="2.3037166621511199E+18"/>
  </r>
  <r>
    <b v="0"/>
    <x v="0"/>
    <x v="0"/>
    <x v="0"/>
    <x v="35"/>
    <x v="1"/>
    <x v="0"/>
    <x v="230"/>
    <x v="0"/>
    <x v="0"/>
    <x v="0"/>
    <b v="1"/>
    <m/>
    <s v="Southampton"/>
    <s v="no"/>
    <b v="1"/>
    <n v="1"/>
    <n v="5.7485303559675095E+18"/>
  </r>
  <r>
    <b v="0"/>
    <x v="0"/>
    <x v="0"/>
    <x v="0"/>
    <x v="42"/>
    <x v="1"/>
    <x v="0"/>
    <x v="59"/>
    <x v="0"/>
    <x v="0"/>
    <x v="0"/>
    <b v="1"/>
    <m/>
    <s v="Southampton"/>
    <s v="no"/>
    <b v="1"/>
    <n v="1"/>
    <n v="1.6793301128686899E+19"/>
  </r>
  <r>
    <b v="0"/>
    <x v="0"/>
    <x v="0"/>
    <x v="0"/>
    <x v="76"/>
    <x v="1"/>
    <x v="0"/>
    <x v="13"/>
    <x v="0"/>
    <x v="0"/>
    <x v="0"/>
    <b v="1"/>
    <m/>
    <s v="Southampton"/>
    <s v="no"/>
    <b v="1"/>
    <n v="1"/>
    <n v="6.5200878119465298E+18"/>
  </r>
  <r>
    <b v="0"/>
    <x v="0"/>
    <x v="2"/>
    <x v="1"/>
    <x v="79"/>
    <x v="1"/>
    <x v="0"/>
    <x v="29"/>
    <x v="0"/>
    <x v="2"/>
    <x v="1"/>
    <b v="0"/>
    <s v="E"/>
    <s v="Southampton"/>
    <s v="no"/>
    <b v="1"/>
    <n v="0"/>
    <n v="6.1018977018578196E+18"/>
  </r>
  <r>
    <b v="0"/>
    <x v="0"/>
    <x v="0"/>
    <x v="0"/>
    <x v="4"/>
    <x v="1"/>
    <x v="0"/>
    <x v="18"/>
    <x v="1"/>
    <x v="0"/>
    <x v="0"/>
    <b v="1"/>
    <m/>
    <s v="Cherbourg"/>
    <s v="no"/>
    <b v="1"/>
    <n v="1"/>
    <n v="5.4729232098319995E+18"/>
  </r>
  <r>
    <b v="0"/>
    <x v="1"/>
    <x v="2"/>
    <x v="1"/>
    <x v="5"/>
    <x v="0"/>
    <x v="4"/>
    <x v="68"/>
    <x v="0"/>
    <x v="2"/>
    <x v="1"/>
    <b v="0"/>
    <m/>
    <s v="Southampton"/>
    <s v="yes"/>
    <b v="0"/>
    <n v="1"/>
    <n v="1.80344521830044E+19"/>
  </r>
  <r>
    <b v="0"/>
    <x v="0"/>
    <x v="0"/>
    <x v="0"/>
    <x v="24"/>
    <x v="1"/>
    <x v="0"/>
    <x v="28"/>
    <x v="0"/>
    <x v="0"/>
    <x v="0"/>
    <b v="1"/>
    <m/>
    <s v="Southampton"/>
    <s v="no"/>
    <b v="1"/>
    <n v="1"/>
    <n v="4.1447449018361098E+18"/>
  </r>
  <r>
    <b v="0"/>
    <x v="0"/>
    <x v="0"/>
    <x v="0"/>
    <x v="4"/>
    <x v="1"/>
    <x v="0"/>
    <x v="28"/>
    <x v="2"/>
    <x v="0"/>
    <x v="0"/>
    <b v="1"/>
    <s v="F"/>
    <s v="Queenstown"/>
    <s v="no"/>
    <b v="1"/>
    <n v="1"/>
    <n v="1.6127813724779999E+19"/>
  </r>
  <r>
    <b v="0"/>
    <x v="1"/>
    <x v="0"/>
    <x v="1"/>
    <x v="31"/>
    <x v="1"/>
    <x v="0"/>
    <x v="57"/>
    <x v="0"/>
    <x v="0"/>
    <x v="2"/>
    <b v="0"/>
    <m/>
    <s v="Southampton"/>
    <s v="yes"/>
    <b v="1"/>
    <n v="1"/>
    <n v="1.45890345286807E+19"/>
  </r>
  <r>
    <b v="0"/>
    <x v="0"/>
    <x v="0"/>
    <x v="0"/>
    <x v="4"/>
    <x v="1"/>
    <x v="0"/>
    <x v="229"/>
    <x v="2"/>
    <x v="0"/>
    <x v="0"/>
    <b v="1"/>
    <m/>
    <s v="Queenstown"/>
    <s v="no"/>
    <b v="1"/>
    <n v="1"/>
    <n v="6.8457200307809905E+18"/>
  </r>
  <r>
    <b v="0"/>
    <x v="1"/>
    <x v="1"/>
    <x v="1"/>
    <x v="71"/>
    <x v="1"/>
    <x v="1"/>
    <x v="224"/>
    <x v="0"/>
    <x v="1"/>
    <x v="1"/>
    <b v="0"/>
    <s v="B"/>
    <s v="Southampton"/>
    <s v="yes"/>
    <b v="0"/>
    <n v="0"/>
    <n v="7.21429361870259E+18"/>
  </r>
  <r>
    <b v="0"/>
    <x v="1"/>
    <x v="0"/>
    <x v="1"/>
    <x v="75"/>
    <x v="1"/>
    <x v="0"/>
    <x v="32"/>
    <x v="1"/>
    <x v="0"/>
    <x v="2"/>
    <b v="0"/>
    <m/>
    <s v="Cherbourg"/>
    <s v="yes"/>
    <b v="1"/>
    <n v="1"/>
    <n v="1.56159087729871E+18"/>
  </r>
  <r>
    <b v="0"/>
    <x v="1"/>
    <x v="1"/>
    <x v="1"/>
    <x v="34"/>
    <x v="0"/>
    <x v="0"/>
    <x v="225"/>
    <x v="0"/>
    <x v="1"/>
    <x v="1"/>
    <b v="0"/>
    <s v="B"/>
    <s v="Southampton"/>
    <s v="yes"/>
    <b v="0"/>
    <n v="0"/>
    <n v="7.0285169807705098E+18"/>
  </r>
  <r>
    <b v="0"/>
    <x v="0"/>
    <x v="1"/>
    <x v="0"/>
    <x v="28"/>
    <x v="1"/>
    <x v="0"/>
    <x v="209"/>
    <x v="0"/>
    <x v="1"/>
    <x v="0"/>
    <b v="1"/>
    <s v="D"/>
    <s v="Southampton"/>
    <s v="no"/>
    <b v="1"/>
    <n v="0"/>
    <n v="2.8791836864386002E+18"/>
  </r>
  <r>
    <b v="0"/>
    <x v="0"/>
    <x v="0"/>
    <x v="0"/>
    <x v="4"/>
    <x v="0"/>
    <x v="2"/>
    <x v="231"/>
    <x v="0"/>
    <x v="0"/>
    <x v="0"/>
    <b v="1"/>
    <m/>
    <s v="Southampton"/>
    <s v="no"/>
    <b v="0"/>
    <n v="1"/>
    <n v="3.7439760743064899E+18"/>
  </r>
  <r>
    <b v="0"/>
    <x v="0"/>
    <x v="0"/>
    <x v="0"/>
    <x v="37"/>
    <x v="1"/>
    <x v="0"/>
    <x v="79"/>
    <x v="0"/>
    <x v="0"/>
    <x v="0"/>
    <b v="1"/>
    <m/>
    <s v="Southampton"/>
    <s v="no"/>
    <b v="1"/>
    <n v="1"/>
    <n v="9.9639541137136294E+17"/>
  </r>
  <r>
    <b v="0"/>
    <x v="0"/>
    <x v="0"/>
    <x v="0"/>
    <x v="37"/>
    <x v="1"/>
    <x v="0"/>
    <x v="0"/>
    <x v="0"/>
    <x v="0"/>
    <x v="0"/>
    <b v="1"/>
    <m/>
    <s v="Southampton"/>
    <s v="no"/>
    <b v="1"/>
    <n v="1"/>
    <n v="6.3211422360532204E+18"/>
  </r>
  <r>
    <b v="0"/>
    <x v="1"/>
    <x v="0"/>
    <x v="1"/>
    <x v="24"/>
    <x v="1"/>
    <x v="0"/>
    <x v="196"/>
    <x v="0"/>
    <x v="0"/>
    <x v="1"/>
    <b v="0"/>
    <m/>
    <s v="Southampton"/>
    <s v="yes"/>
    <b v="1"/>
    <n v="1"/>
    <n v="7.8084334288117402E+18"/>
  </r>
  <r>
    <b v="0"/>
    <x v="0"/>
    <x v="0"/>
    <x v="0"/>
    <x v="18"/>
    <x v="3"/>
    <x v="1"/>
    <x v="15"/>
    <x v="2"/>
    <x v="0"/>
    <x v="2"/>
    <b v="0"/>
    <m/>
    <s v="Queenstown"/>
    <s v="no"/>
    <b v="0"/>
    <n v="1"/>
    <n v="9.3679596760102994E+18"/>
  </r>
  <r>
    <b v="0"/>
    <x v="1"/>
    <x v="0"/>
    <x v="0"/>
    <x v="58"/>
    <x v="0"/>
    <x v="2"/>
    <x v="65"/>
    <x v="0"/>
    <x v="0"/>
    <x v="2"/>
    <b v="0"/>
    <m/>
    <s v="Southampton"/>
    <s v="yes"/>
    <b v="0"/>
    <n v="1"/>
    <n v="1.7219894349168599E+19"/>
  </r>
  <r>
    <b v="0"/>
    <x v="0"/>
    <x v="1"/>
    <x v="0"/>
    <x v="43"/>
    <x v="1"/>
    <x v="0"/>
    <x v="84"/>
    <x v="1"/>
    <x v="1"/>
    <x v="0"/>
    <b v="1"/>
    <s v="B"/>
    <s v="Cherbourg"/>
    <s v="no"/>
    <b v="1"/>
    <n v="0"/>
    <n v="4.5237322158296102E+17"/>
  </r>
  <r>
    <b v="0"/>
    <x v="0"/>
    <x v="0"/>
    <x v="0"/>
    <x v="4"/>
    <x v="1"/>
    <x v="0"/>
    <x v="28"/>
    <x v="2"/>
    <x v="0"/>
    <x v="0"/>
    <b v="1"/>
    <m/>
    <s v="Queenstown"/>
    <s v="no"/>
    <b v="1"/>
    <n v="1"/>
    <n v="8.8562668406319196E+18"/>
  </r>
  <r>
    <b v="0"/>
    <x v="0"/>
    <x v="2"/>
    <x v="0"/>
    <x v="36"/>
    <x v="1"/>
    <x v="0"/>
    <x v="19"/>
    <x v="0"/>
    <x v="2"/>
    <x v="0"/>
    <b v="1"/>
    <m/>
    <s v="Southampton"/>
    <s v="no"/>
    <b v="1"/>
    <n v="1"/>
    <n v="1.42956939878348E+19"/>
  </r>
  <r>
    <b v="0"/>
    <x v="0"/>
    <x v="0"/>
    <x v="1"/>
    <x v="4"/>
    <x v="6"/>
    <x v="2"/>
    <x v="94"/>
    <x v="0"/>
    <x v="0"/>
    <x v="1"/>
    <b v="0"/>
    <m/>
    <s v="Southampton"/>
    <s v="no"/>
    <b v="0"/>
    <n v="1"/>
    <n v="1.5412107601280899E+19"/>
  </r>
  <r>
    <b v="0"/>
    <x v="0"/>
    <x v="1"/>
    <x v="0"/>
    <x v="4"/>
    <x v="1"/>
    <x v="0"/>
    <x v="101"/>
    <x v="1"/>
    <x v="1"/>
    <x v="0"/>
    <b v="1"/>
    <m/>
    <s v="Cherbourg"/>
    <s v="no"/>
    <b v="1"/>
    <n v="1"/>
    <n v="1.30218324189148E+19"/>
  </r>
  <r>
    <b v="0"/>
    <x v="0"/>
    <x v="0"/>
    <x v="0"/>
    <x v="37"/>
    <x v="1"/>
    <x v="0"/>
    <x v="25"/>
    <x v="0"/>
    <x v="0"/>
    <x v="0"/>
    <b v="1"/>
    <m/>
    <s v="Southampton"/>
    <s v="no"/>
    <b v="1"/>
    <n v="1"/>
    <n v="1.7791373126869299E+19"/>
  </r>
  <r>
    <b v="0"/>
    <x v="0"/>
    <x v="2"/>
    <x v="0"/>
    <x v="12"/>
    <x v="1"/>
    <x v="0"/>
    <x v="16"/>
    <x v="0"/>
    <x v="2"/>
    <x v="0"/>
    <b v="1"/>
    <m/>
    <s v="Southampton"/>
    <s v="no"/>
    <b v="1"/>
    <n v="1"/>
    <n v="1.9377745720275699E+18"/>
  </r>
  <r>
    <b v="0"/>
    <x v="1"/>
    <x v="1"/>
    <x v="1"/>
    <x v="27"/>
    <x v="1"/>
    <x v="0"/>
    <x v="232"/>
    <x v="0"/>
    <x v="1"/>
    <x v="1"/>
    <b v="0"/>
    <s v="D"/>
    <s v="Southampton"/>
    <s v="yes"/>
    <b v="1"/>
    <n v="0"/>
    <n v="2.9564563543338102E+18"/>
  </r>
  <r>
    <b v="0"/>
    <x v="1"/>
    <x v="0"/>
    <x v="1"/>
    <x v="14"/>
    <x v="1"/>
    <x v="0"/>
    <x v="233"/>
    <x v="0"/>
    <x v="0"/>
    <x v="1"/>
    <b v="0"/>
    <m/>
    <s v="Southampton"/>
    <s v="yes"/>
    <b v="1"/>
    <n v="1"/>
    <n v="4.0649831211364598E+18"/>
  </r>
  <r>
    <b v="0"/>
    <x v="0"/>
    <x v="0"/>
    <x v="0"/>
    <x v="39"/>
    <x v="1"/>
    <x v="0"/>
    <x v="32"/>
    <x v="1"/>
    <x v="0"/>
    <x v="0"/>
    <b v="1"/>
    <m/>
    <s v="Cherbourg"/>
    <s v="no"/>
    <b v="1"/>
    <n v="1"/>
    <n v="5.7980821895188198E+17"/>
  </r>
  <r>
    <b v="0"/>
    <x v="0"/>
    <x v="0"/>
    <x v="1"/>
    <x v="39"/>
    <x v="0"/>
    <x v="1"/>
    <x v="72"/>
    <x v="0"/>
    <x v="0"/>
    <x v="1"/>
    <b v="0"/>
    <m/>
    <s v="Southampton"/>
    <s v="no"/>
    <b v="0"/>
    <n v="1"/>
    <n v="1.75057236375272E+19"/>
  </r>
  <r>
    <b v="0"/>
    <x v="0"/>
    <x v="2"/>
    <x v="0"/>
    <x v="15"/>
    <x v="1"/>
    <x v="0"/>
    <x v="16"/>
    <x v="0"/>
    <x v="2"/>
    <x v="0"/>
    <b v="1"/>
    <m/>
    <s v="Southampton"/>
    <s v="no"/>
    <b v="1"/>
    <n v="1"/>
    <n v="4.5496762912760202E+18"/>
  </r>
  <r>
    <b v="0"/>
    <x v="1"/>
    <x v="2"/>
    <x v="1"/>
    <x v="14"/>
    <x v="0"/>
    <x v="1"/>
    <x v="121"/>
    <x v="0"/>
    <x v="2"/>
    <x v="1"/>
    <b v="0"/>
    <m/>
    <s v="Southampton"/>
    <s v="yes"/>
    <b v="0"/>
    <n v="1"/>
    <n v="2.01242361842803E+18"/>
  </r>
  <r>
    <b v="0"/>
    <x v="1"/>
    <x v="1"/>
    <x v="0"/>
    <x v="32"/>
    <x v="0"/>
    <x v="2"/>
    <x v="168"/>
    <x v="0"/>
    <x v="1"/>
    <x v="2"/>
    <b v="0"/>
    <s v="B"/>
    <s v="Southampton"/>
    <s v="yes"/>
    <b v="0"/>
    <n v="0"/>
    <n v="1.2742541426350801E+19"/>
  </r>
  <r>
    <b v="0"/>
    <x v="1"/>
    <x v="0"/>
    <x v="0"/>
    <x v="86"/>
    <x v="1"/>
    <x v="1"/>
    <x v="234"/>
    <x v="1"/>
    <x v="0"/>
    <x v="2"/>
    <b v="0"/>
    <m/>
    <s v="Cherbourg"/>
    <s v="yes"/>
    <b v="0"/>
    <n v="1"/>
    <n v="1.5192299751164801E+19"/>
  </r>
  <r>
    <b v="0"/>
    <x v="1"/>
    <x v="0"/>
    <x v="0"/>
    <x v="7"/>
    <x v="1"/>
    <x v="0"/>
    <x v="78"/>
    <x v="0"/>
    <x v="0"/>
    <x v="0"/>
    <b v="1"/>
    <m/>
    <s v="Southampton"/>
    <s v="yes"/>
    <b v="1"/>
    <n v="1"/>
    <n v="7.7039163942825001E+18"/>
  </r>
  <r>
    <b v="0"/>
    <x v="0"/>
    <x v="0"/>
    <x v="0"/>
    <x v="14"/>
    <x v="1"/>
    <x v="0"/>
    <x v="71"/>
    <x v="0"/>
    <x v="0"/>
    <x v="0"/>
    <b v="1"/>
    <m/>
    <s v="Southampton"/>
    <s v="no"/>
    <b v="1"/>
    <n v="1"/>
    <n v="2.8016060498253399E+18"/>
  </r>
  <r>
    <b v="0"/>
    <x v="0"/>
    <x v="1"/>
    <x v="0"/>
    <x v="12"/>
    <x v="1"/>
    <x v="0"/>
    <x v="104"/>
    <x v="0"/>
    <x v="1"/>
    <x v="0"/>
    <b v="1"/>
    <s v="A"/>
    <s v="Southampton"/>
    <s v="no"/>
    <b v="1"/>
    <n v="0"/>
    <n v="1.6778785093802E+19"/>
  </r>
  <r>
    <b v="0"/>
    <x v="0"/>
    <x v="0"/>
    <x v="1"/>
    <x v="24"/>
    <x v="1"/>
    <x v="0"/>
    <x v="71"/>
    <x v="0"/>
    <x v="0"/>
    <x v="1"/>
    <b v="0"/>
    <m/>
    <s v="Southampton"/>
    <s v="no"/>
    <b v="1"/>
    <n v="1"/>
    <n v="7.2074961348249201E+18"/>
  </r>
  <r>
    <b v="0"/>
    <x v="0"/>
    <x v="2"/>
    <x v="0"/>
    <x v="12"/>
    <x v="1"/>
    <x v="0"/>
    <x v="16"/>
    <x v="0"/>
    <x v="2"/>
    <x v="0"/>
    <b v="1"/>
    <m/>
    <s v="Southampton"/>
    <s v="no"/>
    <b v="1"/>
    <n v="1"/>
    <n v="1.9377745720275699E+18"/>
  </r>
  <r>
    <b v="0"/>
    <x v="1"/>
    <x v="1"/>
    <x v="1"/>
    <x v="40"/>
    <x v="0"/>
    <x v="0"/>
    <x v="3"/>
    <x v="0"/>
    <x v="1"/>
    <x v="1"/>
    <b v="0"/>
    <s v="E"/>
    <s v="Southampton"/>
    <s v="yes"/>
    <b v="0"/>
    <n v="0"/>
    <n v="6.3498983631803505E+18"/>
  </r>
  <r>
    <b v="0"/>
    <x v="0"/>
    <x v="0"/>
    <x v="0"/>
    <x v="2"/>
    <x v="1"/>
    <x v="0"/>
    <x v="235"/>
    <x v="0"/>
    <x v="0"/>
    <x v="0"/>
    <b v="1"/>
    <m/>
    <s v="Southampton"/>
    <s v="no"/>
    <b v="1"/>
    <n v="1"/>
    <n v="7.71525124598131E+18"/>
  </r>
  <r>
    <b v="0"/>
    <x v="0"/>
    <x v="0"/>
    <x v="0"/>
    <x v="12"/>
    <x v="1"/>
    <x v="0"/>
    <x v="72"/>
    <x v="0"/>
    <x v="0"/>
    <x v="0"/>
    <b v="1"/>
    <m/>
    <s v="Southampton"/>
    <s v="no"/>
    <b v="1"/>
    <n v="1"/>
    <n v="1.1806897813961699E+19"/>
  </r>
  <r>
    <b v="0"/>
    <x v="0"/>
    <x v="2"/>
    <x v="0"/>
    <x v="3"/>
    <x v="1"/>
    <x v="0"/>
    <x v="29"/>
    <x v="0"/>
    <x v="2"/>
    <x v="0"/>
    <b v="1"/>
    <m/>
    <s v="Southampton"/>
    <s v="no"/>
    <b v="1"/>
    <n v="1"/>
    <n v="1.0580675366838901E+19"/>
  </r>
  <r>
    <b v="0"/>
    <x v="0"/>
    <x v="0"/>
    <x v="1"/>
    <x v="83"/>
    <x v="3"/>
    <x v="2"/>
    <x v="12"/>
    <x v="0"/>
    <x v="0"/>
    <x v="2"/>
    <b v="0"/>
    <m/>
    <s v="Southampton"/>
    <s v="no"/>
    <b v="0"/>
    <n v="1"/>
    <n v="1.39217978075297E+18"/>
  </r>
  <r>
    <b v="0"/>
    <x v="0"/>
    <x v="0"/>
    <x v="0"/>
    <x v="85"/>
    <x v="1"/>
    <x v="0"/>
    <x v="4"/>
    <x v="0"/>
    <x v="0"/>
    <x v="0"/>
    <b v="1"/>
    <m/>
    <s v="Southampton"/>
    <s v="no"/>
    <b v="1"/>
    <n v="1"/>
    <n v="4.0095603083794002E+18"/>
  </r>
  <r>
    <b v="0"/>
    <x v="0"/>
    <x v="1"/>
    <x v="0"/>
    <x v="4"/>
    <x v="1"/>
    <x v="0"/>
    <x v="104"/>
    <x v="0"/>
    <x v="1"/>
    <x v="0"/>
    <b v="1"/>
    <s v="B"/>
    <s v="Southampton"/>
    <s v="no"/>
    <b v="1"/>
    <n v="1"/>
    <n v="1.4845626092778199E+19"/>
  </r>
  <r>
    <b v="0"/>
    <x v="0"/>
    <x v="0"/>
    <x v="1"/>
    <x v="41"/>
    <x v="1"/>
    <x v="0"/>
    <x v="2"/>
    <x v="0"/>
    <x v="0"/>
    <x v="1"/>
    <b v="0"/>
    <m/>
    <s v="Southampton"/>
    <s v="no"/>
    <b v="1"/>
    <n v="1"/>
    <n v="1.3633551796095701E+19"/>
  </r>
  <r>
    <b v="0"/>
    <x v="0"/>
    <x v="2"/>
    <x v="0"/>
    <x v="14"/>
    <x v="0"/>
    <x v="1"/>
    <x v="236"/>
    <x v="1"/>
    <x v="2"/>
    <x v="0"/>
    <b v="1"/>
    <m/>
    <s v="Cherbourg"/>
    <s v="no"/>
    <b v="0"/>
    <n v="1"/>
    <n v="7.1891875223910697E+18"/>
  </r>
  <r>
    <b v="0"/>
    <x v="0"/>
    <x v="0"/>
    <x v="0"/>
    <x v="71"/>
    <x v="1"/>
    <x v="0"/>
    <x v="237"/>
    <x v="0"/>
    <x v="0"/>
    <x v="0"/>
    <b v="1"/>
    <m/>
    <s v="Southampton"/>
    <s v="no"/>
    <b v="1"/>
    <n v="1"/>
    <n v="1.47999993608611E+19"/>
  </r>
  <r>
    <b v="0"/>
    <x v="0"/>
    <x v="0"/>
    <x v="0"/>
    <x v="73"/>
    <x v="2"/>
    <x v="2"/>
    <x v="48"/>
    <x v="0"/>
    <x v="0"/>
    <x v="2"/>
    <b v="0"/>
    <m/>
    <s v="Southampton"/>
    <s v="no"/>
    <b v="0"/>
    <n v="1"/>
    <n v="1.4934787321550201E+19"/>
  </r>
  <r>
    <b v="0"/>
    <x v="1"/>
    <x v="1"/>
    <x v="1"/>
    <x v="67"/>
    <x v="0"/>
    <x v="1"/>
    <x v="198"/>
    <x v="0"/>
    <x v="1"/>
    <x v="1"/>
    <b v="0"/>
    <s v="B"/>
    <s v="Southampton"/>
    <s v="yes"/>
    <b v="0"/>
    <n v="0"/>
    <n v="1.50409774183424E+18"/>
  </r>
  <r>
    <b v="0"/>
    <x v="1"/>
    <x v="0"/>
    <x v="0"/>
    <x v="7"/>
    <x v="1"/>
    <x v="0"/>
    <x v="51"/>
    <x v="0"/>
    <x v="0"/>
    <x v="0"/>
    <b v="1"/>
    <m/>
    <s v="Southampton"/>
    <s v="yes"/>
    <b v="1"/>
    <n v="1"/>
    <n v="1.7366018349788799E+19"/>
  </r>
  <r>
    <b v="0"/>
    <x v="0"/>
    <x v="1"/>
    <x v="0"/>
    <x v="1"/>
    <x v="1"/>
    <x v="0"/>
    <x v="104"/>
    <x v="0"/>
    <x v="1"/>
    <x v="0"/>
    <b v="1"/>
    <m/>
    <s v="Southampton"/>
    <s v="no"/>
    <b v="1"/>
    <n v="1"/>
    <n v="1.3969637599826E+19"/>
  </r>
  <r>
    <b v="0"/>
    <x v="1"/>
    <x v="0"/>
    <x v="1"/>
    <x v="7"/>
    <x v="1"/>
    <x v="1"/>
    <x v="57"/>
    <x v="0"/>
    <x v="0"/>
    <x v="1"/>
    <b v="0"/>
    <s v="E"/>
    <s v="Southampton"/>
    <s v="yes"/>
    <b v="0"/>
    <n v="0"/>
    <n v="1.5118371388276099E+19"/>
  </r>
  <r>
    <b v="0"/>
    <x v="0"/>
    <x v="0"/>
    <x v="0"/>
    <x v="6"/>
    <x v="3"/>
    <x v="1"/>
    <x v="40"/>
    <x v="0"/>
    <x v="0"/>
    <x v="2"/>
    <b v="0"/>
    <m/>
    <s v="Southampton"/>
    <s v="no"/>
    <b v="0"/>
    <n v="1"/>
    <n v="2.7485354315157402E+18"/>
  </r>
  <r>
    <b v="0"/>
    <x v="0"/>
    <x v="0"/>
    <x v="0"/>
    <x v="4"/>
    <x v="1"/>
    <x v="0"/>
    <x v="238"/>
    <x v="2"/>
    <x v="0"/>
    <x v="0"/>
    <b v="1"/>
    <m/>
    <s v="Queenstown"/>
    <s v="no"/>
    <b v="1"/>
    <n v="1"/>
    <n v="7.4263992163813304E+18"/>
  </r>
  <r>
    <b v="0"/>
    <x v="0"/>
    <x v="0"/>
    <x v="0"/>
    <x v="4"/>
    <x v="1"/>
    <x v="0"/>
    <x v="54"/>
    <x v="0"/>
    <x v="0"/>
    <x v="0"/>
    <b v="1"/>
    <m/>
    <s v="Southampton"/>
    <s v="no"/>
    <b v="1"/>
    <n v="1"/>
    <n v="1.0873402477571E+19"/>
  </r>
  <r>
    <b v="0"/>
    <x v="1"/>
    <x v="2"/>
    <x v="0"/>
    <x v="58"/>
    <x v="1"/>
    <x v="2"/>
    <x v="236"/>
    <x v="1"/>
    <x v="2"/>
    <x v="2"/>
    <b v="0"/>
    <m/>
    <s v="Cherbourg"/>
    <s v="yes"/>
    <b v="0"/>
    <n v="1"/>
    <n v="6.9717528863852698E+18"/>
  </r>
  <r>
    <b v="0"/>
    <x v="1"/>
    <x v="0"/>
    <x v="0"/>
    <x v="4"/>
    <x v="1"/>
    <x v="0"/>
    <x v="28"/>
    <x v="2"/>
    <x v="0"/>
    <x v="0"/>
    <b v="1"/>
    <m/>
    <s v="Queenstown"/>
    <s v="yes"/>
    <b v="1"/>
    <n v="1"/>
    <n v="1.53146208693189E+19"/>
  </r>
  <r>
    <b v="0"/>
    <x v="1"/>
    <x v="1"/>
    <x v="1"/>
    <x v="65"/>
    <x v="1"/>
    <x v="0"/>
    <x v="46"/>
    <x v="3"/>
    <x v="1"/>
    <x v="1"/>
    <b v="0"/>
    <s v="B"/>
    <m/>
    <s v="yes"/>
    <b v="1"/>
    <n v="1"/>
    <n v="1.50696584309441E+19"/>
  </r>
  <r>
    <b v="0"/>
    <x v="1"/>
    <x v="0"/>
    <x v="1"/>
    <x v="16"/>
    <x v="0"/>
    <x v="0"/>
    <x v="53"/>
    <x v="1"/>
    <x v="0"/>
    <x v="2"/>
    <b v="0"/>
    <m/>
    <s v="Cherbourg"/>
    <s v="yes"/>
    <b v="0"/>
    <n v="1"/>
    <n v="5.5448202998867405E+18"/>
  </r>
  <r>
    <b v="0"/>
    <x v="1"/>
    <x v="2"/>
    <x v="0"/>
    <x v="38"/>
    <x v="0"/>
    <x v="1"/>
    <x v="170"/>
    <x v="0"/>
    <x v="2"/>
    <x v="2"/>
    <b v="0"/>
    <m/>
    <s v="Southampton"/>
    <s v="yes"/>
    <b v="0"/>
    <n v="1"/>
    <n v="1.06118888188521E+19"/>
  </r>
  <r>
    <b v="0"/>
    <x v="0"/>
    <x v="0"/>
    <x v="0"/>
    <x v="4"/>
    <x v="1"/>
    <x v="0"/>
    <x v="32"/>
    <x v="1"/>
    <x v="0"/>
    <x v="0"/>
    <b v="1"/>
    <m/>
    <s v="Cherbourg"/>
    <s v="no"/>
    <b v="1"/>
    <n v="1"/>
    <n v="1.2150606124307599E+19"/>
  </r>
  <r>
    <b v="0"/>
    <x v="0"/>
    <x v="0"/>
    <x v="0"/>
    <x v="41"/>
    <x v="1"/>
    <x v="0"/>
    <x v="13"/>
    <x v="0"/>
    <x v="0"/>
    <x v="0"/>
    <b v="1"/>
    <m/>
    <s v="Southampton"/>
    <s v="no"/>
    <b v="1"/>
    <n v="1"/>
    <n v="9.7650042261116396E+18"/>
  </r>
  <r>
    <b v="0"/>
    <x v="0"/>
    <x v="0"/>
    <x v="0"/>
    <x v="24"/>
    <x v="1"/>
    <x v="0"/>
    <x v="239"/>
    <x v="0"/>
    <x v="0"/>
    <x v="0"/>
    <b v="1"/>
    <m/>
    <s v="Southampton"/>
    <s v="no"/>
    <b v="1"/>
    <n v="1"/>
    <n v="1.40543383479274E+19"/>
  </r>
  <r>
    <b v="0"/>
    <x v="1"/>
    <x v="1"/>
    <x v="1"/>
    <x v="12"/>
    <x v="0"/>
    <x v="1"/>
    <x v="147"/>
    <x v="1"/>
    <x v="1"/>
    <x v="1"/>
    <b v="0"/>
    <s v="E"/>
    <s v="Cherbourg"/>
    <s v="yes"/>
    <b v="0"/>
    <n v="0"/>
    <n v="7.45619988243042E+18"/>
  </r>
  <r>
    <b v="0"/>
    <x v="0"/>
    <x v="0"/>
    <x v="0"/>
    <x v="23"/>
    <x v="1"/>
    <x v="0"/>
    <x v="51"/>
    <x v="0"/>
    <x v="0"/>
    <x v="0"/>
    <b v="1"/>
    <m/>
    <s v="Southampton"/>
    <s v="no"/>
    <b v="1"/>
    <n v="1"/>
    <n v="8.5812113332591002E+18"/>
  </r>
  <r>
    <b v="0"/>
    <x v="0"/>
    <x v="0"/>
    <x v="0"/>
    <x v="4"/>
    <x v="1"/>
    <x v="0"/>
    <x v="4"/>
    <x v="0"/>
    <x v="0"/>
    <x v="0"/>
    <b v="1"/>
    <m/>
    <s v="Southampton"/>
    <s v="no"/>
    <b v="1"/>
    <n v="1"/>
    <n v="1.0519935439659201E+19"/>
  </r>
  <r>
    <b v="0"/>
    <x v="1"/>
    <x v="0"/>
    <x v="0"/>
    <x v="35"/>
    <x v="1"/>
    <x v="0"/>
    <x v="54"/>
    <x v="0"/>
    <x v="0"/>
    <x v="0"/>
    <b v="1"/>
    <m/>
    <s v="Southampton"/>
    <s v="yes"/>
    <b v="1"/>
    <n v="1"/>
    <n v="1.19681300433309E+19"/>
  </r>
  <r>
    <b v="0"/>
    <x v="1"/>
    <x v="1"/>
    <x v="0"/>
    <x v="4"/>
    <x v="1"/>
    <x v="0"/>
    <x v="132"/>
    <x v="1"/>
    <x v="1"/>
    <x v="0"/>
    <b v="1"/>
    <s v="C"/>
    <s v="Cherbourg"/>
    <s v="yes"/>
    <b v="1"/>
    <n v="1"/>
    <n v="1.64017114803108E+19"/>
  </r>
  <r>
    <b v="0"/>
    <x v="0"/>
    <x v="0"/>
    <x v="0"/>
    <x v="11"/>
    <x v="1"/>
    <x v="0"/>
    <x v="2"/>
    <x v="0"/>
    <x v="0"/>
    <x v="0"/>
    <b v="1"/>
    <m/>
    <s v="Southampton"/>
    <s v="no"/>
    <b v="1"/>
    <n v="1"/>
    <n v="1.12188334954311E+19"/>
  </r>
  <r>
    <b v="0"/>
    <x v="0"/>
    <x v="2"/>
    <x v="0"/>
    <x v="36"/>
    <x v="1"/>
    <x v="0"/>
    <x v="29"/>
    <x v="0"/>
    <x v="2"/>
    <x v="0"/>
    <b v="1"/>
    <m/>
    <s v="Southampton"/>
    <s v="no"/>
    <b v="1"/>
    <n v="1"/>
    <n v="1.12253274882898E+19"/>
  </r>
  <r>
    <b v="0"/>
    <x v="1"/>
    <x v="1"/>
    <x v="1"/>
    <x v="39"/>
    <x v="1"/>
    <x v="0"/>
    <x v="113"/>
    <x v="1"/>
    <x v="1"/>
    <x v="1"/>
    <b v="0"/>
    <m/>
    <s v="Cherbourg"/>
    <s v="yes"/>
    <b v="1"/>
    <n v="1"/>
    <n v="1.36905901081927E+19"/>
  </r>
  <r>
    <b v="0"/>
    <x v="0"/>
    <x v="0"/>
    <x v="0"/>
    <x v="87"/>
    <x v="1"/>
    <x v="0"/>
    <x v="240"/>
    <x v="1"/>
    <x v="0"/>
    <x v="0"/>
    <b v="1"/>
    <m/>
    <s v="Cherbourg"/>
    <s v="no"/>
    <b v="1"/>
    <n v="1"/>
    <n v="9.5972454633151406E+18"/>
  </r>
  <r>
    <b v="0"/>
    <x v="0"/>
    <x v="0"/>
    <x v="0"/>
    <x v="34"/>
    <x v="1"/>
    <x v="0"/>
    <x v="51"/>
    <x v="0"/>
    <x v="0"/>
    <x v="0"/>
    <b v="1"/>
    <m/>
    <s v="Southampton"/>
    <s v="no"/>
    <b v="1"/>
    <n v="1"/>
    <n v="3.0286653837999002E+18"/>
  </r>
  <r>
    <b v="0"/>
    <x v="0"/>
    <x v="0"/>
    <x v="0"/>
    <x v="22"/>
    <x v="1"/>
    <x v="0"/>
    <x v="120"/>
    <x v="0"/>
    <x v="0"/>
    <x v="0"/>
    <b v="1"/>
    <m/>
    <s v="Southampton"/>
    <s v="no"/>
    <b v="1"/>
    <n v="1"/>
    <n v="1.0576295437010301E+19"/>
  </r>
  <r>
    <b v="0"/>
    <x v="0"/>
    <x v="0"/>
    <x v="0"/>
    <x v="4"/>
    <x v="6"/>
    <x v="2"/>
    <x v="94"/>
    <x v="0"/>
    <x v="0"/>
    <x v="0"/>
    <b v="1"/>
    <m/>
    <s v="Southampton"/>
    <s v="no"/>
    <b v="0"/>
    <n v="1"/>
    <n v="1.2395330416317399E+19"/>
  </r>
  <r>
    <b v="0"/>
    <x v="0"/>
    <x v="0"/>
    <x v="0"/>
    <x v="3"/>
    <x v="1"/>
    <x v="0"/>
    <x v="25"/>
    <x v="1"/>
    <x v="0"/>
    <x v="0"/>
    <b v="1"/>
    <m/>
    <s v="Cherbourg"/>
    <s v="no"/>
    <b v="1"/>
    <n v="1"/>
    <n v="8.0957438043459195E+18"/>
  </r>
  <r>
    <b v="0"/>
    <x v="0"/>
    <x v="2"/>
    <x v="0"/>
    <x v="17"/>
    <x v="1"/>
    <x v="1"/>
    <x v="213"/>
    <x v="0"/>
    <x v="2"/>
    <x v="0"/>
    <b v="1"/>
    <m/>
    <s v="Southampton"/>
    <s v="no"/>
    <b v="0"/>
    <n v="1"/>
    <n v="7.7724307046773504E+18"/>
  </r>
  <r>
    <b v="0"/>
    <x v="1"/>
    <x v="1"/>
    <x v="1"/>
    <x v="4"/>
    <x v="0"/>
    <x v="0"/>
    <x v="180"/>
    <x v="1"/>
    <x v="1"/>
    <x v="1"/>
    <b v="0"/>
    <s v="C"/>
    <s v="Cherbourg"/>
    <s v="yes"/>
    <b v="0"/>
    <n v="1"/>
    <n v="8.7419183650087496E+18"/>
  </r>
  <r>
    <b v="0"/>
    <x v="0"/>
    <x v="0"/>
    <x v="0"/>
    <x v="9"/>
    <x v="3"/>
    <x v="2"/>
    <x v="12"/>
    <x v="0"/>
    <x v="0"/>
    <x v="2"/>
    <b v="0"/>
    <m/>
    <s v="Southampton"/>
    <s v="no"/>
    <b v="0"/>
    <n v="1"/>
    <n v="1.25147440831383E+19"/>
  </r>
  <r>
    <b v="0"/>
    <x v="0"/>
    <x v="0"/>
    <x v="0"/>
    <x v="88"/>
    <x v="1"/>
    <x v="0"/>
    <x v="71"/>
    <x v="0"/>
    <x v="0"/>
    <x v="0"/>
    <b v="1"/>
    <m/>
    <s v="Southampton"/>
    <s v="no"/>
    <b v="1"/>
    <n v="1"/>
    <n v="7.3722618433864499E+18"/>
  </r>
  <r>
    <b v="0"/>
    <x v="0"/>
    <x v="0"/>
    <x v="1"/>
    <x v="52"/>
    <x v="0"/>
    <x v="1"/>
    <x v="49"/>
    <x v="1"/>
    <x v="0"/>
    <x v="2"/>
    <b v="0"/>
    <m/>
    <s v="Cherbourg"/>
    <s v="no"/>
    <b v="0"/>
    <n v="1"/>
    <n v="8.5524307080172001E+18"/>
  </r>
  <r>
    <b v="0"/>
    <x v="1"/>
    <x v="1"/>
    <x v="1"/>
    <x v="36"/>
    <x v="1"/>
    <x v="1"/>
    <x v="241"/>
    <x v="0"/>
    <x v="1"/>
    <x v="1"/>
    <b v="0"/>
    <s v="D"/>
    <s v="Southampton"/>
    <s v="yes"/>
    <b v="0"/>
    <n v="0"/>
    <n v="1.0154513755913099E+19"/>
  </r>
  <r>
    <b v="0"/>
    <x v="0"/>
    <x v="2"/>
    <x v="1"/>
    <x v="57"/>
    <x v="0"/>
    <x v="0"/>
    <x v="19"/>
    <x v="0"/>
    <x v="2"/>
    <x v="1"/>
    <b v="0"/>
    <m/>
    <s v="Southampton"/>
    <s v="no"/>
    <b v="0"/>
    <n v="1"/>
    <n v="5.5725041924720804E+18"/>
  </r>
  <r>
    <b v="0"/>
    <x v="1"/>
    <x v="0"/>
    <x v="1"/>
    <x v="24"/>
    <x v="1"/>
    <x v="1"/>
    <x v="118"/>
    <x v="0"/>
    <x v="0"/>
    <x v="1"/>
    <b v="0"/>
    <m/>
    <s v="Southampton"/>
    <s v="yes"/>
    <b v="0"/>
    <n v="1"/>
    <n v="2.6571870154042199E+18"/>
  </r>
  <r>
    <b v="0"/>
    <x v="1"/>
    <x v="1"/>
    <x v="1"/>
    <x v="33"/>
    <x v="0"/>
    <x v="1"/>
    <x v="150"/>
    <x v="0"/>
    <x v="1"/>
    <x v="1"/>
    <b v="0"/>
    <m/>
    <s v="Southampton"/>
    <s v="yes"/>
    <b v="0"/>
    <n v="1"/>
    <n v="6.9513918747825203E+17"/>
  </r>
  <r>
    <b v="0"/>
    <x v="1"/>
    <x v="1"/>
    <x v="0"/>
    <x v="54"/>
    <x v="1"/>
    <x v="0"/>
    <x v="11"/>
    <x v="0"/>
    <x v="1"/>
    <x v="0"/>
    <b v="1"/>
    <s v="E"/>
    <s v="Southampton"/>
    <s v="yes"/>
    <b v="1"/>
    <n v="0"/>
    <n v="1.81520383932991E+19"/>
  </r>
  <r>
    <b v="0"/>
    <x v="1"/>
    <x v="0"/>
    <x v="1"/>
    <x v="42"/>
    <x v="1"/>
    <x v="4"/>
    <x v="178"/>
    <x v="1"/>
    <x v="0"/>
    <x v="1"/>
    <b v="0"/>
    <m/>
    <s v="Cherbourg"/>
    <s v="yes"/>
    <b v="0"/>
    <n v="1"/>
    <n v="1.7557683627876E+19"/>
  </r>
  <r>
    <b v="0"/>
    <x v="0"/>
    <x v="0"/>
    <x v="0"/>
    <x v="4"/>
    <x v="1"/>
    <x v="0"/>
    <x v="32"/>
    <x v="1"/>
    <x v="0"/>
    <x v="0"/>
    <b v="1"/>
    <m/>
    <s v="Cherbourg"/>
    <s v="no"/>
    <b v="1"/>
    <n v="1"/>
    <n v="1.2150606124307599E+19"/>
  </r>
  <r>
    <b v="0"/>
    <x v="0"/>
    <x v="0"/>
    <x v="0"/>
    <x v="66"/>
    <x v="4"/>
    <x v="0"/>
    <x v="242"/>
    <x v="0"/>
    <x v="0"/>
    <x v="0"/>
    <b v="1"/>
    <m/>
    <s v="Southampton"/>
    <s v="no"/>
    <b v="0"/>
    <n v="1"/>
    <n v="5.9714756023803802E+18"/>
  </r>
  <r>
    <b v="0"/>
    <x v="0"/>
    <x v="2"/>
    <x v="0"/>
    <x v="23"/>
    <x v="0"/>
    <x v="0"/>
    <x v="86"/>
    <x v="0"/>
    <x v="2"/>
    <x v="0"/>
    <b v="1"/>
    <m/>
    <s v="Southampton"/>
    <s v="no"/>
    <b v="0"/>
    <n v="1"/>
    <n v="1.01290659693301E+19"/>
  </r>
  <r>
    <b v="0"/>
    <x v="1"/>
    <x v="1"/>
    <x v="1"/>
    <x v="76"/>
    <x v="1"/>
    <x v="0"/>
    <x v="232"/>
    <x v="0"/>
    <x v="1"/>
    <x v="1"/>
    <b v="0"/>
    <s v="D"/>
    <s v="Southampton"/>
    <s v="yes"/>
    <b v="1"/>
    <n v="0"/>
    <n v="1.2533235652912099E+19"/>
  </r>
  <r>
    <b v="0"/>
    <x v="0"/>
    <x v="0"/>
    <x v="1"/>
    <x v="4"/>
    <x v="6"/>
    <x v="2"/>
    <x v="94"/>
    <x v="0"/>
    <x v="0"/>
    <x v="1"/>
    <b v="0"/>
    <m/>
    <s v="Southampton"/>
    <s v="no"/>
    <b v="0"/>
    <n v="1"/>
    <n v="1.5412107601280899E+19"/>
  </r>
  <r>
    <b v="0"/>
    <x v="0"/>
    <x v="2"/>
    <x v="0"/>
    <x v="42"/>
    <x v="1"/>
    <x v="0"/>
    <x v="16"/>
    <x v="0"/>
    <x v="2"/>
    <x v="0"/>
    <b v="1"/>
    <m/>
    <s v="Southampton"/>
    <s v="no"/>
    <b v="1"/>
    <n v="1"/>
    <n v="3.04286795897517E+18"/>
  </r>
  <r>
    <b v="0"/>
    <x v="1"/>
    <x v="2"/>
    <x v="1"/>
    <x v="22"/>
    <x v="1"/>
    <x v="0"/>
    <x v="16"/>
    <x v="0"/>
    <x v="2"/>
    <x v="1"/>
    <b v="0"/>
    <m/>
    <s v="Southampton"/>
    <s v="yes"/>
    <b v="1"/>
    <n v="1"/>
    <n v="1.6531063563879399E+19"/>
  </r>
  <r>
    <b v="0"/>
    <x v="1"/>
    <x v="2"/>
    <x v="1"/>
    <x v="7"/>
    <x v="0"/>
    <x v="0"/>
    <x v="243"/>
    <x v="1"/>
    <x v="2"/>
    <x v="1"/>
    <b v="0"/>
    <m/>
    <s v="Cherbourg"/>
    <s v="yes"/>
    <b v="0"/>
    <n v="1"/>
    <n v="1.1751028870661501E+19"/>
  </r>
  <r>
    <b v="0"/>
    <x v="0"/>
    <x v="1"/>
    <x v="0"/>
    <x v="14"/>
    <x v="1"/>
    <x v="0"/>
    <x v="244"/>
    <x v="0"/>
    <x v="1"/>
    <x v="0"/>
    <b v="1"/>
    <s v="A"/>
    <s v="Southampton"/>
    <s v="no"/>
    <b v="1"/>
    <n v="0"/>
    <n v="1.1645944484394299E+19"/>
  </r>
  <r>
    <b v="0"/>
    <x v="0"/>
    <x v="0"/>
    <x v="0"/>
    <x v="4"/>
    <x v="1"/>
    <x v="0"/>
    <x v="59"/>
    <x v="0"/>
    <x v="0"/>
    <x v="0"/>
    <b v="1"/>
    <m/>
    <s v="Southampton"/>
    <s v="no"/>
    <b v="1"/>
    <n v="1"/>
    <n v="1.1396547871806501E+19"/>
  </r>
  <r>
    <b v="0"/>
    <x v="1"/>
    <x v="0"/>
    <x v="0"/>
    <x v="9"/>
    <x v="0"/>
    <x v="1"/>
    <x v="8"/>
    <x v="0"/>
    <x v="0"/>
    <x v="2"/>
    <b v="0"/>
    <m/>
    <s v="Southampton"/>
    <s v="yes"/>
    <b v="0"/>
    <n v="1"/>
    <n v="9.8140036916888801E+18"/>
  </r>
  <r>
    <b v="0"/>
    <x v="0"/>
    <x v="0"/>
    <x v="0"/>
    <x v="2"/>
    <x v="1"/>
    <x v="0"/>
    <x v="25"/>
    <x v="0"/>
    <x v="0"/>
    <x v="0"/>
    <b v="1"/>
    <m/>
    <s v="Southampton"/>
    <s v="no"/>
    <b v="1"/>
    <n v="1"/>
    <n v="6.9146312707911199E+18"/>
  </r>
  <r>
    <b v="0"/>
    <x v="1"/>
    <x v="1"/>
    <x v="1"/>
    <x v="47"/>
    <x v="0"/>
    <x v="1"/>
    <x v="124"/>
    <x v="0"/>
    <x v="1"/>
    <x v="1"/>
    <b v="0"/>
    <s v="D"/>
    <s v="Southampton"/>
    <s v="yes"/>
    <b v="0"/>
    <n v="0"/>
    <n v="5.8858040839592397E+18"/>
  </r>
  <r>
    <b v="0"/>
    <x v="0"/>
    <x v="1"/>
    <x v="0"/>
    <x v="40"/>
    <x v="1"/>
    <x v="0"/>
    <x v="245"/>
    <x v="0"/>
    <x v="1"/>
    <x v="0"/>
    <b v="1"/>
    <s v="B"/>
    <s v="Southampton"/>
    <s v="no"/>
    <b v="1"/>
    <n v="0"/>
    <n v="3.60690648812013E+18"/>
  </r>
  <r>
    <b v="0"/>
    <x v="0"/>
    <x v="0"/>
    <x v="0"/>
    <x v="47"/>
    <x v="1"/>
    <x v="0"/>
    <x v="58"/>
    <x v="0"/>
    <x v="0"/>
    <x v="0"/>
    <b v="1"/>
    <m/>
    <s v="Southampton"/>
    <s v="no"/>
    <b v="1"/>
    <n v="1"/>
    <n v="1.5065757035688301E+19"/>
  </r>
  <r>
    <b v="0"/>
    <x v="1"/>
    <x v="2"/>
    <x v="1"/>
    <x v="17"/>
    <x v="0"/>
    <x v="0"/>
    <x v="145"/>
    <x v="1"/>
    <x v="2"/>
    <x v="1"/>
    <b v="0"/>
    <m/>
    <s v="Cherbourg"/>
    <s v="yes"/>
    <b v="0"/>
    <n v="1"/>
    <n v="7.6342083697300608E+16"/>
  </r>
  <r>
    <b v="0"/>
    <x v="1"/>
    <x v="0"/>
    <x v="1"/>
    <x v="16"/>
    <x v="1"/>
    <x v="0"/>
    <x v="18"/>
    <x v="1"/>
    <x v="0"/>
    <x v="2"/>
    <b v="0"/>
    <m/>
    <s v="Cherbourg"/>
    <s v="yes"/>
    <b v="1"/>
    <n v="1"/>
    <n v="1.2832568191477701E+19"/>
  </r>
  <r>
    <b v="0"/>
    <x v="0"/>
    <x v="0"/>
    <x v="0"/>
    <x v="11"/>
    <x v="1"/>
    <x v="0"/>
    <x v="246"/>
    <x v="0"/>
    <x v="0"/>
    <x v="0"/>
    <b v="1"/>
    <m/>
    <s v="Southampton"/>
    <s v="no"/>
    <b v="1"/>
    <n v="1"/>
    <n v="1.1626194713228501E+19"/>
  </r>
  <r>
    <b v="0"/>
    <x v="0"/>
    <x v="0"/>
    <x v="0"/>
    <x v="19"/>
    <x v="1"/>
    <x v="0"/>
    <x v="25"/>
    <x v="0"/>
    <x v="0"/>
    <x v="0"/>
    <b v="1"/>
    <m/>
    <s v="Southampton"/>
    <s v="no"/>
    <b v="1"/>
    <n v="1"/>
    <n v="1.25742438741241E+19"/>
  </r>
  <r>
    <b v="0"/>
    <x v="0"/>
    <x v="0"/>
    <x v="0"/>
    <x v="4"/>
    <x v="1"/>
    <x v="0"/>
    <x v="25"/>
    <x v="0"/>
    <x v="0"/>
    <x v="0"/>
    <b v="1"/>
    <m/>
    <s v="Southampton"/>
    <s v="no"/>
    <b v="1"/>
    <n v="1"/>
    <n v="1.7970467560381901E+19"/>
  </r>
  <r>
    <b v="0"/>
    <x v="1"/>
    <x v="1"/>
    <x v="1"/>
    <x v="60"/>
    <x v="1"/>
    <x v="1"/>
    <x v="147"/>
    <x v="1"/>
    <x v="1"/>
    <x v="1"/>
    <b v="0"/>
    <s v="C"/>
    <s v="Cherbourg"/>
    <s v="yes"/>
    <b v="0"/>
    <n v="0"/>
    <n v="1.5803205210721901E+19"/>
  </r>
  <r>
    <b v="0"/>
    <x v="1"/>
    <x v="2"/>
    <x v="1"/>
    <x v="37"/>
    <x v="1"/>
    <x v="1"/>
    <x v="19"/>
    <x v="0"/>
    <x v="2"/>
    <x v="1"/>
    <b v="0"/>
    <m/>
    <s v="Southampton"/>
    <s v="yes"/>
    <b v="0"/>
    <n v="1"/>
    <n v="6.4322653886203996E+18"/>
  </r>
  <r>
    <b v="0"/>
    <x v="0"/>
    <x v="0"/>
    <x v="0"/>
    <x v="40"/>
    <x v="1"/>
    <x v="0"/>
    <x v="25"/>
    <x v="0"/>
    <x v="0"/>
    <x v="0"/>
    <b v="1"/>
    <m/>
    <s v="Southampton"/>
    <s v="no"/>
    <b v="1"/>
    <n v="1"/>
    <n v="1.3288052022795399E+19"/>
  </r>
  <r>
    <b v="0"/>
    <x v="0"/>
    <x v="0"/>
    <x v="1"/>
    <x v="0"/>
    <x v="1"/>
    <x v="0"/>
    <x v="247"/>
    <x v="0"/>
    <x v="0"/>
    <x v="1"/>
    <b v="0"/>
    <m/>
    <s v="Southampton"/>
    <s v="no"/>
    <b v="1"/>
    <n v="1"/>
    <n v="1.39422554661965E+19"/>
  </r>
  <r>
    <b v="0"/>
    <x v="0"/>
    <x v="2"/>
    <x v="0"/>
    <x v="17"/>
    <x v="1"/>
    <x v="0"/>
    <x v="29"/>
    <x v="0"/>
    <x v="2"/>
    <x v="0"/>
    <b v="1"/>
    <m/>
    <s v="Southampton"/>
    <s v="no"/>
    <b v="1"/>
    <n v="1"/>
    <n v="7.7440892569084099E+18"/>
  </r>
  <r>
    <b v="0"/>
    <x v="0"/>
    <x v="0"/>
    <x v="0"/>
    <x v="37"/>
    <x v="1"/>
    <x v="0"/>
    <x v="79"/>
    <x v="0"/>
    <x v="0"/>
    <x v="0"/>
    <b v="1"/>
    <m/>
    <s v="Southampton"/>
    <s v="no"/>
    <b v="1"/>
    <n v="1"/>
    <n v="9.9639541137136294E+17"/>
  </r>
  <r>
    <b v="0"/>
    <x v="0"/>
    <x v="0"/>
    <x v="1"/>
    <x v="12"/>
    <x v="1"/>
    <x v="3"/>
    <x v="15"/>
    <x v="2"/>
    <x v="0"/>
    <x v="1"/>
    <b v="0"/>
    <m/>
    <s v="Queenstown"/>
    <s v="no"/>
    <b v="0"/>
    <n v="1"/>
    <n v="8.7941847115595305E+18"/>
  </r>
  <r>
    <b v="0"/>
    <x v="0"/>
    <x v="2"/>
    <x v="0"/>
    <x v="7"/>
    <x v="1"/>
    <x v="0"/>
    <x v="16"/>
    <x v="0"/>
    <x v="2"/>
    <x v="0"/>
    <b v="1"/>
    <m/>
    <s v="Southampton"/>
    <s v="no"/>
    <b v="1"/>
    <n v="1"/>
    <n v="9.7019234227305103E+18"/>
  </r>
  <r>
    <b v="0"/>
    <x v="1"/>
    <x v="1"/>
    <x v="1"/>
    <x v="19"/>
    <x v="1"/>
    <x v="0"/>
    <x v="209"/>
    <x v="0"/>
    <x v="1"/>
    <x v="1"/>
    <b v="0"/>
    <s v="B"/>
    <s v="Southampton"/>
    <s v="yes"/>
    <b v="1"/>
    <n v="0"/>
    <n v="1.0603551611696501E+19"/>
  </r>
  <r>
    <b v="0"/>
    <x v="0"/>
    <x v="0"/>
    <x v="1"/>
    <x v="4"/>
    <x v="0"/>
    <x v="2"/>
    <x v="231"/>
    <x v="0"/>
    <x v="0"/>
    <x v="1"/>
    <b v="0"/>
    <m/>
    <s v="Southampton"/>
    <s v="no"/>
    <b v="0"/>
    <n v="1"/>
    <n v="3.5538833422444902E+18"/>
  </r>
  <r>
    <b v="0"/>
    <x v="1"/>
    <x v="1"/>
    <x v="0"/>
    <x v="2"/>
    <x v="1"/>
    <x v="0"/>
    <x v="209"/>
    <x v="1"/>
    <x v="1"/>
    <x v="0"/>
    <b v="1"/>
    <s v="C"/>
    <s v="Cherbourg"/>
    <s v="yes"/>
    <b v="1"/>
    <n v="0"/>
    <n v="1.20211449564101E+19"/>
  </r>
  <r>
    <b v="0"/>
    <x v="0"/>
    <x v="0"/>
    <x v="0"/>
    <x v="35"/>
    <x v="1"/>
    <x v="0"/>
    <x v="28"/>
    <x v="2"/>
    <x v="0"/>
    <x v="0"/>
    <b v="1"/>
    <m/>
    <s v="Queenstown"/>
    <s v="no"/>
    <b v="1"/>
    <n v="1"/>
    <n v="1.09525754684777E+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9F398E-8445-4064-A568-BE7C41919A12}" name="pvt_Blanks" cacheId="13" applyNumberFormats="0" applyBorderFormats="0" applyFontFormats="0" applyPatternFormats="0" applyAlignmentFormats="0" applyWidthHeightFormats="1" dataCaption="Values" showError="1" updatedVersion="8" minRefreshableVersion="3" itemPrintTitles="1" createdVersion="8" indent="0" compact="0" compactData="0" multipleFieldFilters="0">
  <location ref="C8:N11" firstHeaderRow="0" firstDataRow="1" firstDataCol="10"/>
  <pivotFields count="18">
    <pivotField compact="0" outline="0" showAll="0"/>
    <pivotField axis="axisRow" compact="0" outline="0" showAll="0" defaultSubtotal="0">
      <items count="2">
        <item sd="0" x="0"/>
        <item sd="0" x="1"/>
      </items>
    </pivotField>
    <pivotField axis="axisRow" compact="0" outline="0" showAll="0" defaultSubtotal="0">
      <items count="3">
        <item sd="0" x="1"/>
        <item sd="0" x="2"/>
        <item sd="0" x="0"/>
      </items>
    </pivotField>
    <pivotField axis="axisRow" compact="0" outline="0" showAll="0" defaultSubtotal="0">
      <items count="2">
        <item sd="0" x="1"/>
        <item sd="0" x="0"/>
      </items>
    </pivotField>
    <pivotField axis="axisRow" compact="0" outline="0" showAll="0" defaultSubtotal="0">
      <items count="89">
        <item sd="0" x="86"/>
        <item sd="0" x="84"/>
        <item sd="0" x="77"/>
        <item sd="0" x="38"/>
        <item sd="0" x="70"/>
        <item sd="0" x="58"/>
        <item sd="0" x="6"/>
        <item sd="0" x="25"/>
        <item sd="0" x="9"/>
        <item sd="0" x="31"/>
        <item sd="0" x="83"/>
        <item sd="0" x="26"/>
        <item sd="0" x="18"/>
        <item sd="0" x="52"/>
        <item sd="0" x="73"/>
        <item sd="0" x="32"/>
        <item sd="0" x="51"/>
        <item sd="0" x="75"/>
        <item sd="0" x="8"/>
        <item sd="0" x="48"/>
        <item sd="0" x="16"/>
        <item sd="0" x="36"/>
        <item sd="0" x="34"/>
        <item sd="0" x="24"/>
        <item sd="0" x="19"/>
        <item sd="0" x="11"/>
        <item sd="0" x="64"/>
        <item sd="0" x="23"/>
        <item sd="0" x="0"/>
        <item sd="0" x="41"/>
        <item sd="0" x="69"/>
        <item sd="0" x="42"/>
        <item sd="0" x="82"/>
        <item sd="0" x="37"/>
        <item sd="0" x="2"/>
        <item sd="0" x="7"/>
        <item sd="0" x="17"/>
        <item sd="0" x="30"/>
        <item sd="0" x="28"/>
        <item sd="0" x="39"/>
        <item sd="0" x="85"/>
        <item sd="0" x="14"/>
        <item sd="0" x="35"/>
        <item sd="0" x="50"/>
        <item sd="0" x="40"/>
        <item sd="0" x="15"/>
        <item sd="0" x="87"/>
        <item sd="0" x="3"/>
        <item sd="0" x="62"/>
        <item sd="0" x="53"/>
        <item sd="0" x="46"/>
        <item sd="0" x="1"/>
        <item sd="0" x="12"/>
        <item sd="0" x="20"/>
        <item sd="0" x="56"/>
        <item sd="0" x="66"/>
        <item sd="0" x="22"/>
        <item sd="0" x="71"/>
        <item sd="0" x="57"/>
        <item sd="0" x="33"/>
        <item sd="0" x="63"/>
        <item sd="0" x="43"/>
        <item sd="0" x="47"/>
        <item sd="0" x="76"/>
        <item sd="0" x="27"/>
        <item sd="0" x="61"/>
        <item sd="0" x="54"/>
        <item sd="0" x="67"/>
        <item sd="0" x="78"/>
        <item sd="0" x="5"/>
        <item sd="0" x="13"/>
        <item sd="0" x="55"/>
        <item sd="0" x="60"/>
        <item sd="0" x="79"/>
        <item sd="0" x="10"/>
        <item sd="0" x="44"/>
        <item sd="0" x="72"/>
        <item sd="0" x="59"/>
        <item sd="0" x="65"/>
        <item sd="0" x="68"/>
        <item sd="0" x="74"/>
        <item sd="0" x="29"/>
        <item sd="0" x="21"/>
        <item sd="0" x="81"/>
        <item sd="0" x="49"/>
        <item sd="0" x="45"/>
        <item sd="0" x="88"/>
        <item sd="0" x="80"/>
        <item sd="0" x="4"/>
      </items>
    </pivotField>
    <pivotField axis="axisRow" compact="0" outline="0" showAll="0" defaultSubtotal="0">
      <items count="7">
        <item sd="0" x="1"/>
        <item sd="0" x="0"/>
        <item sd="0" x="4"/>
        <item sd="0" x="2"/>
        <item sd="0" x="3"/>
        <item sd="0" x="5"/>
        <item sd="0" x="6"/>
      </items>
    </pivotField>
    <pivotField axis="axisRow" compact="0" outline="0" showAll="0" defaultSubtotal="0">
      <items count="7">
        <item sd="0" x="0"/>
        <item sd="0" x="1"/>
        <item sd="0" x="2"/>
        <item sd="0" x="4"/>
        <item sd="0" x="5"/>
        <item sd="0" x="3"/>
        <item sd="0" x="6"/>
      </items>
    </pivotField>
    <pivotField axis="axisRow" compact="0" outline="0" showAll="0" defaultSubtotal="0">
      <items count="248">
        <item sd="0" x="104"/>
        <item sd="0" x="163"/>
        <item sd="0" x="245"/>
        <item sd="0" x="152"/>
        <item sd="0" x="240"/>
        <item sd="0" x="237"/>
        <item sd="0" x="110"/>
        <item sd="0" x="85"/>
        <item sd="0" x="171"/>
        <item sd="0" x="238"/>
        <item sd="0" x="78"/>
        <item sd="0" x="185"/>
        <item sd="0" x="79"/>
        <item sd="0" x="218"/>
        <item sd="0" x="123"/>
        <item sd="0" x="76"/>
        <item sd="0" x="18"/>
        <item sd="0" x="32"/>
        <item sd="0" x="0"/>
        <item sd="0" x="91"/>
        <item sd="0" x="196"/>
        <item sd="0" x="186"/>
        <item sd="0" x="120"/>
        <item sd="0" x="192"/>
        <item sd="0" x="55"/>
        <item sd="0" x="182"/>
        <item sd="0" x="166"/>
        <item sd="0" x="93"/>
        <item sd="0" x="229"/>
        <item sd="0" x="227"/>
        <item sd="0" x="28"/>
        <item sd="0" x="71"/>
        <item sd="0" x="60"/>
        <item sd="0" x="88"/>
        <item sd="0" x="41"/>
        <item sd="0" x="204"/>
        <item sd="0" x="13"/>
        <item sd="0" x="173"/>
        <item sd="0" x="24"/>
        <item sd="0" x="235"/>
        <item sd="0" x="25"/>
        <item sd="0" x="2"/>
        <item sd="0" x="20"/>
        <item sd="0" x="4"/>
        <item sd="0" x="176"/>
        <item sd="0" x="222"/>
        <item sd="0" x="50"/>
        <item sd="0" x="239"/>
        <item sd="0" x="230"/>
        <item sd="0" x="109"/>
        <item sd="0" x="219"/>
        <item sd="0" x="5"/>
        <item sd="0" x="234"/>
        <item sd="0" x="70"/>
        <item sd="0" x="51"/>
        <item sd="0" x="233"/>
        <item sd="0" x="211"/>
        <item sd="0" x="138"/>
        <item sd="0" x="58"/>
        <item sd="0" x="83"/>
        <item sd="0" x="157"/>
        <item sd="0" x="118"/>
        <item sd="0" x="34"/>
        <item sd="0" x="228"/>
        <item sd="0" x="59"/>
        <item sd="0" x="188"/>
        <item sd="0" x="73"/>
        <item sd="0" x="184"/>
        <item sd="0" x="221"/>
        <item sd="0" x="246"/>
        <item sd="0" x="223"/>
        <item sd="0" x="111"/>
        <item sd="0" x="29"/>
        <item sd="0" x="247"/>
        <item sd="0" x="8"/>
        <item sd="0" x="33"/>
        <item sd="0" x="86"/>
        <item sd="0" x="167"/>
        <item sd="0" x="122"/>
        <item sd="0" x="187"/>
        <item sd="0" x="142"/>
        <item sd="0" x="57"/>
        <item sd="0" x="89"/>
        <item sd="0" x="169"/>
        <item sd="0" x="137"/>
        <item sd="0" x="16"/>
        <item sd="0" x="226"/>
        <item sd="0" x="119"/>
        <item sd="0" x="183"/>
        <item sd="0" x="243"/>
        <item sd="0" x="203"/>
        <item sd="0" x="149"/>
        <item sd="0" x="242"/>
        <item sd="0" x="174"/>
        <item sd="0" x="53"/>
        <item sd="0" x="74"/>
        <item sd="0" x="80"/>
        <item sd="0" x="212"/>
        <item sd="0" x="81"/>
        <item sd="0" x="105"/>
        <item sd="0" x="191"/>
        <item sd="0" x="49"/>
        <item sd="0" x="37"/>
        <item sd="0" x="215"/>
        <item sd="0" x="165"/>
        <item sd="0" x="96"/>
        <item sd="0" x="62"/>
        <item sd="0" x="156"/>
        <item sd="0" x="14"/>
        <item sd="0" x="95"/>
        <item sd="0" x="10"/>
        <item sd="0" x="206"/>
        <item sd="0" x="39"/>
        <item sd="0" x="17"/>
        <item sd="0" x="170"/>
        <item sd="0" x="112"/>
        <item sd="0" x="178"/>
        <item sd="0" x="131"/>
        <item sd="0" x="179"/>
        <item sd="0" x="125"/>
        <item sd="0" x="134"/>
        <item sd="0" x="97"/>
        <item sd="0" x="65"/>
        <item sd="0" x="35"/>
        <item sd="0" x="7"/>
        <item sd="0" x="38"/>
        <item sd="0" x="107"/>
        <item sd="0" x="77"/>
        <item sd="0" x="193"/>
        <item sd="0" x="68"/>
        <item sd="0" x="141"/>
        <item sd="0" x="231"/>
        <item sd="0" x="145"/>
        <item sd="0" x="72"/>
        <item sd="0" x="102"/>
        <item sd="0" x="220"/>
        <item sd="0" x="99"/>
        <item sd="0" x="232"/>
        <item sd="0" x="19"/>
        <item sd="0" x="121"/>
        <item sd="0" x="82"/>
        <item sd="0" x="194"/>
        <item sd="0" x="208"/>
        <item sd="0" x="11"/>
        <item sd="0" x="115"/>
        <item sd="0" x="26"/>
        <item sd="0" x="44"/>
        <item sd="0" x="48"/>
        <item sd="0" x="154"/>
        <item sd="0" x="103"/>
        <item sd="0" x="56"/>
        <item sd="0" x="15"/>
        <item sd="0" x="132"/>
        <item sd="0" x="209"/>
        <item sd="0" x="9"/>
        <item sd="0" x="140"/>
        <item sd="0" x="101"/>
        <item sd="0" x="113"/>
        <item sd="0" x="12"/>
        <item sd="0" x="22"/>
        <item sd="0" x="217"/>
        <item sd="0" x="172"/>
        <item sd="0" x="213"/>
        <item sd="0" x="100"/>
        <item sd="0" x="197"/>
        <item sd="0" x="63"/>
        <item sd="0" x="66"/>
        <item sd="0" x="158"/>
        <item sd="0" x="21"/>
        <item sd="0" x="87"/>
        <item sd="0" x="236"/>
        <item sd="0" x="181"/>
        <item sd="0" x="106"/>
        <item sd="0" x="241"/>
        <item sd="0" x="205"/>
        <item sd="0" x="40"/>
        <item sd="0" x="210"/>
        <item sd="0" x="36"/>
        <item sd="0" x="214"/>
        <item sd="0" x="45"/>
        <item sd="0" x="61"/>
        <item sd="0" x="201"/>
        <item sd="0" x="189"/>
        <item sd="0" x="108"/>
        <item sd="0" x="244"/>
        <item sd="0" x="207"/>
        <item sd="0" x="6"/>
        <item sd="0" x="31"/>
        <item sd="0" x="124"/>
        <item sd="0" x="3"/>
        <item sd="0" x="98"/>
        <item sd="0" x="161"/>
        <item sd="0" x="175"/>
        <item sd="0" x="54"/>
        <item sd="0" x="146"/>
        <item sd="0" x="225"/>
        <item sd="0" x="153"/>
        <item sd="0" x="195"/>
        <item sd="0" x="64"/>
        <item sd="0" x="92"/>
        <item sd="0" x="43"/>
        <item sd="0" x="67"/>
        <item sd="0" x="216"/>
        <item sd="0" x="90"/>
        <item sd="0" x="160"/>
        <item sd="0" x="94"/>
        <item sd="0" x="202"/>
        <item sd="0" x="1"/>
        <item sd="0" x="52"/>
        <item sd="0" x="159"/>
        <item sd="0" x="116"/>
        <item sd="0" x="42"/>
        <item sd="0" x="69"/>
        <item sd="0" x="133"/>
        <item sd="0" x="190"/>
        <item sd="0" x="135"/>
        <item sd="0" x="84"/>
        <item sd="0" x="128"/>
        <item sd="0" x="46"/>
        <item sd="0" x="177"/>
        <item sd="0" x="30"/>
        <item sd="0" x="147"/>
        <item sd="0" x="47"/>
        <item sd="0" x="126"/>
        <item sd="0" x="180"/>
        <item sd="0" x="117"/>
        <item sd="0" x="136"/>
        <item sd="0" x="198"/>
        <item sd="0" x="200"/>
        <item sd="0" x="144"/>
        <item sd="0" x="143"/>
        <item sd="0" x="114"/>
        <item sd="0" x="168"/>
        <item sd="0" x="155"/>
        <item sd="0" x="151"/>
        <item sd="0" x="130"/>
        <item sd="0" x="27"/>
        <item sd="0" x="139"/>
        <item sd="0" x="129"/>
        <item sd="0" x="150"/>
        <item sd="0" x="224"/>
        <item sd="0" x="162"/>
        <item sd="0" x="199"/>
        <item sd="0" x="164"/>
        <item sd="0" x="75"/>
        <item sd="0" x="148"/>
        <item sd="0" x="23"/>
        <item sd="0" x="127"/>
      </items>
    </pivotField>
    <pivotField axis="axisRow" compact="0" outline="0" showAll="0" defaultSubtotal="0">
      <items count="4">
        <item sd="0" x="1"/>
        <item sd="0" x="2"/>
        <item sd="0" x="0"/>
        <item sd="0" x="3"/>
      </items>
    </pivotField>
    <pivotField axis="axisRow" compact="0" outline="0" showAll="0" defaultSubtotal="0">
      <items count="3">
        <item sd="0" x="1"/>
        <item sd="0" x="2"/>
        <item sd="0" x="0"/>
      </items>
    </pivotField>
    <pivotField axis="axisRow" compact="0" outline="0" showAll="0" defaultSubtotal="0">
      <items count="3">
        <item x="2"/>
        <item x="0"/>
        <item x="1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10">
    <field x="1"/>
    <field x="2"/>
    <field x="3"/>
    <field x="4"/>
    <field x="5"/>
    <field x="6"/>
    <field x="7"/>
    <field x="8"/>
    <field x="9"/>
    <field x="1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Has Blank %" fld="16" subtotal="average" baseField="0" baseItem="1" numFmtId="164"/>
    <dataField name="% of Total Blanks" fld="16" showDataAs="percentOfTotal" baseField="0" baseItem="1" numFmtId="164"/>
  </dataFields>
  <formats count="51">
    <format dxfId="113">
      <pivotArea type="all" dataOnly="0" outline="0" fieldPosition="0"/>
    </format>
    <format dxfId="112">
      <pivotArea type="all" dataOnly="0" outline="0" fieldPosition="0"/>
    </format>
    <format dxfId="111">
      <pivotArea dataOnly="0" outline="0" fieldPosition="0">
        <references count="1">
          <reference field="4294967294" count="1">
            <x v="0"/>
          </reference>
        </references>
      </pivotArea>
    </format>
    <format dxfId="110">
      <pivotArea outline="0" fieldPosition="0">
        <references count="1">
          <reference field="4294967294" count="1">
            <x v="0"/>
          </reference>
        </references>
      </pivotArea>
    </format>
    <format dxfId="109">
      <pivotArea outline="0" fieldPosition="0">
        <references count="1">
          <reference field="4294967294" count="1">
            <x v="1"/>
          </reference>
        </references>
      </pivotArea>
    </format>
    <format dxfId="108">
      <pivotArea type="all" dataOnly="0" outline="0" fieldPosition="0"/>
    </format>
    <format dxfId="107">
      <pivotArea dataOnly="0" outline="0" fieldPosition="0">
        <references count="1">
          <reference field="4294967294" count="2">
            <x v="0"/>
            <x v="1"/>
          </reference>
        </references>
      </pivotArea>
    </format>
    <format dxfId="106">
      <pivotArea outline="0" fieldPosition="0">
        <references count="1">
          <reference field="4294967294" count="1" selected="0">
            <x v="1"/>
          </reference>
        </references>
      </pivotArea>
    </format>
    <format dxfId="43">
      <pivotArea field="1" type="button" dataOnly="0" labelOnly="1" outline="0" axis="axisRow" fieldPosition="0"/>
    </format>
    <format dxfId="42">
      <pivotArea field="2" type="button" dataOnly="0" labelOnly="1" outline="0" axis="axisRow" fieldPosition="1"/>
    </format>
    <format dxfId="41">
      <pivotArea field="3" type="button" dataOnly="0" labelOnly="1" outline="0" axis="axisRow" fieldPosition="2"/>
    </format>
    <format dxfId="40">
      <pivotArea field="4" type="button" dataOnly="0" labelOnly="1" outline="0" axis="axisRow" fieldPosition="3"/>
    </format>
    <format dxfId="39">
      <pivotArea field="5" type="button" dataOnly="0" labelOnly="1" outline="0" axis="axisRow" fieldPosition="4"/>
    </format>
    <format dxfId="38">
      <pivotArea field="6" type="button" dataOnly="0" labelOnly="1" outline="0" axis="axisRow" fieldPosition="5"/>
    </format>
    <format dxfId="37">
      <pivotArea field="7" type="button" dataOnly="0" labelOnly="1" outline="0" axis="axisRow" fieldPosition="6"/>
    </format>
    <format dxfId="36">
      <pivotArea field="8" type="button" dataOnly="0" labelOnly="1" outline="0" axis="axisRow" fieldPosition="7"/>
    </format>
    <format dxfId="35">
      <pivotArea field="9" type="button" dataOnly="0" labelOnly="1" outline="0" axis="axisRow" fieldPosition="8"/>
    </format>
    <format dxfId="34">
      <pivotArea field="10" type="button" dataOnly="0" labelOnly="1" outline="0" axis="axisRow" fieldPosition="9"/>
    </format>
    <format dxfId="3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2">
      <pivotArea type="all" dataOnly="0" outline="0" fieldPosition="0"/>
    </format>
    <format dxfId="31">
      <pivotArea outline="0" collapsedLevelsAreSubtotals="1" fieldPosition="0"/>
    </format>
    <format dxfId="30">
      <pivotArea field="2" type="button" dataOnly="0" labelOnly="1" outline="0" axis="axisRow" fieldPosition="1"/>
    </format>
    <format dxfId="29">
      <pivotArea field="3" type="button" dataOnly="0" labelOnly="1" outline="0" axis="axisRow" fieldPosition="2"/>
    </format>
    <format dxfId="28">
      <pivotArea field="4" type="button" dataOnly="0" labelOnly="1" outline="0" axis="axisRow" fieldPosition="3"/>
    </format>
    <format dxfId="27">
      <pivotArea field="5" type="button" dataOnly="0" labelOnly="1" outline="0" axis="axisRow" fieldPosition="4"/>
    </format>
    <format dxfId="26">
      <pivotArea field="6" type="button" dataOnly="0" labelOnly="1" outline="0" axis="axisRow" fieldPosition="5"/>
    </format>
    <format dxfId="25">
      <pivotArea field="7" type="button" dataOnly="0" labelOnly="1" outline="0" axis="axisRow" fieldPosition="6"/>
    </format>
    <format dxfId="24">
      <pivotArea field="8" type="button" dataOnly="0" labelOnly="1" outline="0" axis="axisRow" fieldPosition="7"/>
    </format>
    <format dxfId="23">
      <pivotArea field="9" type="button" dataOnly="0" labelOnly="1" outline="0" axis="axisRow" fieldPosition="8"/>
    </format>
    <format dxfId="22">
      <pivotArea field="10" type="button" dataOnly="0" labelOnly="1" outline="0" axis="axisRow" fieldPosition="9"/>
    </format>
    <format dxfId="21">
      <pivotArea dataOnly="0" labelOnly="1" outline="0" fieldPosition="0">
        <references count="1">
          <reference field="1" count="0"/>
        </references>
      </pivotArea>
    </format>
    <format dxfId="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1" type="button" dataOnly="0" labelOnly="1" outline="0" axis="axisRow" fieldPosition="0"/>
    </format>
    <format dxfId="16">
      <pivotArea field="2" type="button" dataOnly="0" labelOnly="1" outline="0" axis="axisRow" fieldPosition="1"/>
    </format>
    <format dxfId="15">
      <pivotArea field="3" type="button" dataOnly="0" labelOnly="1" outline="0" axis="axisRow" fieldPosition="2"/>
    </format>
    <format dxfId="14">
      <pivotArea field="4" type="button" dataOnly="0" labelOnly="1" outline="0" axis="axisRow" fieldPosition="3"/>
    </format>
    <format dxfId="13">
      <pivotArea field="5" type="button" dataOnly="0" labelOnly="1" outline="0" axis="axisRow" fieldPosition="4"/>
    </format>
    <format dxfId="12">
      <pivotArea field="6" type="button" dataOnly="0" labelOnly="1" outline="0" axis="axisRow" fieldPosition="5"/>
    </format>
    <format dxfId="11">
      <pivotArea field="7" type="button" dataOnly="0" labelOnly="1" outline="0" axis="axisRow" fieldPosition="6"/>
    </format>
    <format dxfId="10">
      <pivotArea field="8" type="button" dataOnly="0" labelOnly="1" outline="0" axis="axisRow" fieldPosition="7"/>
    </format>
    <format dxfId="9">
      <pivotArea field="9" type="button" dataOnly="0" labelOnly="1" outline="0" axis="axisRow" fieldPosition="8"/>
    </format>
    <format dxfId="8">
      <pivotArea field="10" type="button" dataOnly="0" labelOnly="1" outline="0" axis="axisRow" fieldPosition="9"/>
    </format>
    <format dxfId="7">
      <pivotArea dataOnly="0" labelOnly="1" outline="0" fieldPosition="0">
        <references count="1">
          <reference field="1" count="0"/>
        </references>
      </pivotArea>
    </format>
    <format dxfId="6">
      <pivotArea dataOnly="0" labelOnly="1" grandRow="1" outline="0" fieldPosition="0"/>
    </format>
    <format dxfId="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">
      <pivotArea field="1" type="button" dataOnly="0" labelOnly="1" outline="0" axis="axisRow" fieldPosition="0"/>
    </format>
    <format dxfId="3">
      <pivotArea dataOnly="0" labelOnly="1" outline="0" fieldPosition="0">
        <references count="1">
          <reference field="1" count="1">
            <x v="0"/>
          </reference>
        </references>
      </pivotArea>
    </format>
    <format dxfId="2">
      <pivotArea dataOnly="0" labelOnly="1" outline="0" fieldPosition="0">
        <references count="1">
          <reference field="1" count="1">
            <x v="1"/>
          </reference>
        </references>
      </pivotArea>
    </format>
    <format dxfId="1">
      <pivotArea dataOnly="0" labelOnly="1" grandRow="1" outline="0" fieldPosition="0"/>
    </format>
  </formats>
  <conditionalFormats count="2">
    <conditionalFormat scope="data" priority="8">
      <pivotAreas count="1">
        <pivotArea outline="0" fieldPosition="0">
          <references count="1">
            <reference field="4294967294" count="1" selected="0">
              <x v="1"/>
            </reference>
          </references>
        </pivotArea>
      </pivotAreas>
    </conditionalFormat>
    <conditionalFormat scope="data" priority="9">
      <pivotAreas count="1">
        <pivotArea outline="0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DarkPivot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208037-CF07-4ED7-802D-5BAA60F99DB9}" name="pvt_Pivot" cacheId="13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>
  <location ref="C8:L11" firstHeaderRow="1" firstDataRow="1" firstDataCol="10"/>
  <pivotFields count="18">
    <pivotField compact="0" outline="0" showAll="0"/>
    <pivotField axis="axisRow" compact="0" outline="0" showAll="0" defaultSubtotal="0">
      <items count="2">
        <item sd="0" x="0"/>
        <item sd="0" x="1"/>
      </items>
    </pivotField>
    <pivotField axis="axisRow" compact="0" outline="0" showAll="0" defaultSubtotal="0">
      <items count="3">
        <item sd="0" x="1"/>
        <item sd="0" x="2"/>
        <item sd="0" x="0"/>
      </items>
    </pivotField>
    <pivotField axis="axisRow" compact="0" outline="0" showAll="0" defaultSubtotal="0">
      <items count="2">
        <item sd="0" x="1"/>
        <item sd="0" x="0"/>
      </items>
    </pivotField>
    <pivotField axis="axisRow" compact="0" outline="0" showAll="0" defaultSubtotal="0">
      <items count="89">
        <item sd="0" x="86"/>
        <item sd="0" x="84"/>
        <item sd="0" x="77"/>
        <item sd="0" x="38"/>
        <item sd="0" x="70"/>
        <item sd="0" x="58"/>
        <item sd="0" x="6"/>
        <item sd="0" x="25"/>
        <item sd="0" x="9"/>
        <item sd="0" x="31"/>
        <item sd="0" x="83"/>
        <item sd="0" x="26"/>
        <item sd="0" x="18"/>
        <item sd="0" x="52"/>
        <item sd="0" x="73"/>
        <item sd="0" x="32"/>
        <item sd="0" x="51"/>
        <item sd="0" x="75"/>
        <item sd="0" x="8"/>
        <item sd="0" x="48"/>
        <item sd="0" x="16"/>
        <item sd="0" x="36"/>
        <item sd="0" x="34"/>
        <item sd="0" x="24"/>
        <item sd="0" x="19"/>
        <item sd="0" x="11"/>
        <item sd="0" x="64"/>
        <item sd="0" x="23"/>
        <item sd="0" x="0"/>
        <item sd="0" x="41"/>
        <item sd="0" x="69"/>
        <item sd="0" x="42"/>
        <item sd="0" x="82"/>
        <item sd="0" x="37"/>
        <item sd="0" x="2"/>
        <item sd="0" x="7"/>
        <item sd="0" x="17"/>
        <item sd="0" x="30"/>
        <item sd="0" x="28"/>
        <item sd="0" x="39"/>
        <item sd="0" x="85"/>
        <item sd="0" x="14"/>
        <item sd="0" x="35"/>
        <item sd="0" x="50"/>
        <item sd="0" x="40"/>
        <item sd="0" x="15"/>
        <item sd="0" x="87"/>
        <item sd="0" x="3"/>
        <item sd="0" x="62"/>
        <item sd="0" x="53"/>
        <item sd="0" x="46"/>
        <item sd="0" x="1"/>
        <item sd="0" x="12"/>
        <item sd="0" x="20"/>
        <item sd="0" x="56"/>
        <item sd="0" x="66"/>
        <item sd="0" x="22"/>
        <item sd="0" x="71"/>
        <item sd="0" x="57"/>
        <item sd="0" x="33"/>
        <item sd="0" x="63"/>
        <item sd="0" x="43"/>
        <item sd="0" x="47"/>
        <item sd="0" x="76"/>
        <item sd="0" x="27"/>
        <item sd="0" x="61"/>
        <item sd="0" x="54"/>
        <item sd="0" x="67"/>
        <item sd="0" x="78"/>
        <item sd="0" x="5"/>
        <item sd="0" x="13"/>
        <item sd="0" x="55"/>
        <item sd="0" x="60"/>
        <item sd="0" x="79"/>
        <item sd="0" x="10"/>
        <item sd="0" x="44"/>
        <item sd="0" x="72"/>
        <item sd="0" x="59"/>
        <item sd="0" x="65"/>
        <item sd="0" x="68"/>
        <item sd="0" x="74"/>
        <item sd="0" x="29"/>
        <item sd="0" x="21"/>
        <item sd="0" x="81"/>
        <item sd="0" x="49"/>
        <item sd="0" x="45"/>
        <item sd="0" x="88"/>
        <item sd="0" x="80"/>
        <item sd="0" x="4"/>
      </items>
    </pivotField>
    <pivotField axis="axisRow" compact="0" outline="0" showAll="0" defaultSubtotal="0">
      <items count="7">
        <item sd="0" x="1"/>
        <item sd="0" x="0"/>
        <item sd="0" x="4"/>
        <item sd="0" x="2"/>
        <item sd="0" x="3"/>
        <item sd="0" x="5"/>
        <item sd="0" x="6"/>
      </items>
    </pivotField>
    <pivotField axis="axisRow" compact="0" outline="0" showAll="0" defaultSubtotal="0">
      <items count="7">
        <item sd="0" x="0"/>
        <item sd="0" x="1"/>
        <item sd="0" x="2"/>
        <item sd="0" x="4"/>
        <item sd="0" x="5"/>
        <item sd="0" x="3"/>
        <item sd="0" x="6"/>
      </items>
    </pivotField>
    <pivotField axis="axisRow" compact="0" outline="0" showAll="0" defaultSubtotal="0">
      <items count="248">
        <item sd="0" x="104"/>
        <item sd="0" x="163"/>
        <item sd="0" x="245"/>
        <item sd="0" x="152"/>
        <item sd="0" x="240"/>
        <item sd="0" x="237"/>
        <item sd="0" x="110"/>
        <item sd="0" x="85"/>
        <item sd="0" x="171"/>
        <item sd="0" x="238"/>
        <item sd="0" x="78"/>
        <item sd="0" x="185"/>
        <item sd="0" x="79"/>
        <item sd="0" x="218"/>
        <item sd="0" x="123"/>
        <item sd="0" x="76"/>
        <item sd="0" x="18"/>
        <item sd="0" x="32"/>
        <item sd="0" x="0"/>
        <item sd="0" x="91"/>
        <item sd="0" x="196"/>
        <item sd="0" x="186"/>
        <item sd="0" x="120"/>
        <item sd="0" x="192"/>
        <item sd="0" x="55"/>
        <item sd="0" x="182"/>
        <item sd="0" x="166"/>
        <item sd="0" x="93"/>
        <item sd="0" x="229"/>
        <item sd="0" x="227"/>
        <item sd="0" x="28"/>
        <item sd="0" x="71"/>
        <item sd="0" x="60"/>
        <item sd="0" x="88"/>
        <item sd="0" x="41"/>
        <item sd="0" x="204"/>
        <item sd="0" x="13"/>
        <item sd="0" x="173"/>
        <item sd="0" x="24"/>
        <item sd="0" x="235"/>
        <item sd="0" x="25"/>
        <item sd="0" x="2"/>
        <item sd="0" x="20"/>
        <item sd="0" x="4"/>
        <item sd="0" x="176"/>
        <item sd="0" x="222"/>
        <item sd="0" x="50"/>
        <item sd="0" x="239"/>
        <item sd="0" x="230"/>
        <item sd="0" x="109"/>
        <item sd="0" x="219"/>
        <item sd="0" x="5"/>
        <item sd="0" x="234"/>
        <item sd="0" x="70"/>
        <item sd="0" x="51"/>
        <item sd="0" x="233"/>
        <item sd="0" x="211"/>
        <item sd="0" x="138"/>
        <item sd="0" x="58"/>
        <item sd="0" x="83"/>
        <item sd="0" x="157"/>
        <item sd="0" x="118"/>
        <item sd="0" x="34"/>
        <item sd="0" x="228"/>
        <item sd="0" x="59"/>
        <item sd="0" x="188"/>
        <item sd="0" x="73"/>
        <item sd="0" x="184"/>
        <item sd="0" x="221"/>
        <item sd="0" x="246"/>
        <item sd="0" x="223"/>
        <item sd="0" x="111"/>
        <item sd="0" x="29"/>
        <item sd="0" x="247"/>
        <item sd="0" x="8"/>
        <item sd="0" x="33"/>
        <item sd="0" x="86"/>
        <item sd="0" x="167"/>
        <item sd="0" x="122"/>
        <item sd="0" x="187"/>
        <item sd="0" x="142"/>
        <item sd="0" x="57"/>
        <item sd="0" x="89"/>
        <item sd="0" x="169"/>
        <item sd="0" x="137"/>
        <item sd="0" x="16"/>
        <item sd="0" x="226"/>
        <item sd="0" x="119"/>
        <item sd="0" x="183"/>
        <item sd="0" x="243"/>
        <item sd="0" x="203"/>
        <item sd="0" x="149"/>
        <item sd="0" x="242"/>
        <item sd="0" x="174"/>
        <item sd="0" x="53"/>
        <item sd="0" x="74"/>
        <item sd="0" x="80"/>
        <item sd="0" x="212"/>
        <item sd="0" x="81"/>
        <item sd="0" x="105"/>
        <item sd="0" x="191"/>
        <item sd="0" x="49"/>
        <item sd="0" x="37"/>
        <item sd="0" x="215"/>
        <item sd="0" x="165"/>
        <item sd="0" x="96"/>
        <item sd="0" x="62"/>
        <item sd="0" x="156"/>
        <item sd="0" x="14"/>
        <item sd="0" x="95"/>
        <item sd="0" x="10"/>
        <item sd="0" x="206"/>
        <item sd="0" x="39"/>
        <item sd="0" x="17"/>
        <item sd="0" x="170"/>
        <item sd="0" x="112"/>
        <item sd="0" x="178"/>
        <item sd="0" x="131"/>
        <item sd="0" x="179"/>
        <item sd="0" x="125"/>
        <item sd="0" x="134"/>
        <item sd="0" x="97"/>
        <item sd="0" x="65"/>
        <item sd="0" x="35"/>
        <item sd="0" x="7"/>
        <item sd="0" x="38"/>
        <item sd="0" x="107"/>
        <item sd="0" x="77"/>
        <item sd="0" x="193"/>
        <item sd="0" x="68"/>
        <item sd="0" x="141"/>
        <item sd="0" x="231"/>
        <item sd="0" x="145"/>
        <item sd="0" x="72"/>
        <item sd="0" x="102"/>
        <item sd="0" x="220"/>
        <item sd="0" x="99"/>
        <item sd="0" x="232"/>
        <item sd="0" x="19"/>
        <item sd="0" x="121"/>
        <item sd="0" x="82"/>
        <item sd="0" x="194"/>
        <item sd="0" x="208"/>
        <item sd="0" x="11"/>
        <item sd="0" x="115"/>
        <item sd="0" x="26"/>
        <item sd="0" x="44"/>
        <item sd="0" x="48"/>
        <item sd="0" x="154"/>
        <item sd="0" x="103"/>
        <item sd="0" x="56"/>
        <item sd="0" x="15"/>
        <item sd="0" x="132"/>
        <item sd="0" x="209"/>
        <item sd="0" x="9"/>
        <item sd="0" x="140"/>
        <item sd="0" x="101"/>
        <item sd="0" x="113"/>
        <item sd="0" x="12"/>
        <item sd="0" x="22"/>
        <item sd="0" x="217"/>
        <item sd="0" x="172"/>
        <item sd="0" x="213"/>
        <item sd="0" x="100"/>
        <item sd="0" x="197"/>
        <item sd="0" x="63"/>
        <item sd="0" x="66"/>
        <item sd="0" x="158"/>
        <item sd="0" x="21"/>
        <item sd="0" x="87"/>
        <item sd="0" x="236"/>
        <item sd="0" x="181"/>
        <item sd="0" x="106"/>
        <item sd="0" x="241"/>
        <item sd="0" x="205"/>
        <item sd="0" x="40"/>
        <item sd="0" x="210"/>
        <item sd="0" x="36"/>
        <item sd="0" x="214"/>
        <item sd="0" x="45"/>
        <item sd="0" x="61"/>
        <item sd="0" x="201"/>
        <item sd="0" x="189"/>
        <item sd="0" x="108"/>
        <item sd="0" x="244"/>
        <item sd="0" x="207"/>
        <item sd="0" x="6"/>
        <item sd="0" x="31"/>
        <item sd="0" x="124"/>
        <item sd="0" x="3"/>
        <item sd="0" x="98"/>
        <item sd="0" x="161"/>
        <item sd="0" x="175"/>
        <item sd="0" x="54"/>
        <item sd="0" x="146"/>
        <item sd="0" x="225"/>
        <item sd="0" x="153"/>
        <item sd="0" x="195"/>
        <item sd="0" x="64"/>
        <item sd="0" x="92"/>
        <item sd="0" x="43"/>
        <item sd="0" x="67"/>
        <item sd="0" x="216"/>
        <item sd="0" x="90"/>
        <item sd="0" x="160"/>
        <item sd="0" x="94"/>
        <item sd="0" x="202"/>
        <item sd="0" x="1"/>
        <item sd="0" x="52"/>
        <item sd="0" x="159"/>
        <item sd="0" x="116"/>
        <item sd="0" x="42"/>
        <item sd="0" x="69"/>
        <item sd="0" x="133"/>
        <item sd="0" x="190"/>
        <item sd="0" x="135"/>
        <item sd="0" x="84"/>
        <item sd="0" x="128"/>
        <item sd="0" x="46"/>
        <item sd="0" x="177"/>
        <item sd="0" x="30"/>
        <item sd="0" x="147"/>
        <item sd="0" x="47"/>
        <item sd="0" x="126"/>
        <item sd="0" x="180"/>
        <item sd="0" x="117"/>
        <item sd="0" x="136"/>
        <item sd="0" x="198"/>
        <item sd="0" x="200"/>
        <item sd="0" x="144"/>
        <item sd="0" x="143"/>
        <item sd="0" x="114"/>
        <item sd="0" x="168"/>
        <item sd="0" x="155"/>
        <item sd="0" x="151"/>
        <item sd="0" x="130"/>
        <item sd="0" x="27"/>
        <item sd="0" x="139"/>
        <item sd="0" x="129"/>
        <item sd="0" x="150"/>
        <item sd="0" x="224"/>
        <item sd="0" x="162"/>
        <item sd="0" x="199"/>
        <item sd="0" x="164"/>
        <item sd="0" x="75"/>
        <item sd="0" x="148"/>
        <item sd="0" x="23"/>
        <item sd="0" x="127"/>
      </items>
    </pivotField>
    <pivotField axis="axisRow" compact="0" outline="0" showAll="0" defaultSubtotal="0">
      <items count="4">
        <item sd="0" x="1"/>
        <item sd="0" x="2"/>
        <item sd="0" x="0"/>
        <item sd="0" x="3"/>
      </items>
    </pivotField>
    <pivotField axis="axisRow" compact="0" outline="0" showAll="0" defaultSubtotal="0">
      <items count="3">
        <item sd="0" x="1"/>
        <item sd="0" x="2"/>
        <item sd="0" x="0"/>
      </items>
    </pivotField>
    <pivotField axis="axisRow" compact="0" outline="0" showAll="0" defaultSubtotal="0">
      <items count="3">
        <item x="2"/>
        <item x="0"/>
        <item x="1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0">
    <field x="1"/>
    <field x="2"/>
    <field x="3"/>
    <field x="4"/>
    <field x="5"/>
    <field x="6"/>
    <field x="7"/>
    <field x="8"/>
    <field x="9"/>
    <field x="10"/>
  </rowFields>
  <rowItems count="3">
    <i>
      <x/>
    </i>
    <i>
      <x v="1"/>
    </i>
    <i t="grand">
      <x/>
    </i>
  </rowItems>
  <colItems count="1">
    <i/>
  </colItems>
  <formats count="28">
    <format dxfId="105">
      <pivotArea type="all" dataOnly="0" outline="0" fieldPosition="0"/>
    </format>
    <format dxfId="104">
      <pivotArea outline="0" collapsedLevelsAreSubtotals="1" fieldPosition="0"/>
    </format>
    <format dxfId="103">
      <pivotArea dataOnly="0" labelOnly="1" grandRow="1" outline="0" fieldPosition="0"/>
    </format>
    <format dxfId="68">
      <pivotArea field="1" type="button" dataOnly="0" labelOnly="1" outline="0" axis="axisRow" fieldPosition="0"/>
    </format>
    <format dxfId="67">
      <pivotArea field="2" type="button" dataOnly="0" labelOnly="1" outline="0" axis="axisRow" fieldPosition="1"/>
    </format>
    <format dxfId="66">
      <pivotArea field="3" type="button" dataOnly="0" labelOnly="1" outline="0" axis="axisRow" fieldPosition="2"/>
    </format>
    <format dxfId="65">
      <pivotArea field="4" type="button" dataOnly="0" labelOnly="1" outline="0" axis="axisRow" fieldPosition="3"/>
    </format>
    <format dxfId="64">
      <pivotArea field="5" type="button" dataOnly="0" labelOnly="1" outline="0" axis="axisRow" fieldPosition="4"/>
    </format>
    <format dxfId="63">
      <pivotArea field="6" type="button" dataOnly="0" labelOnly="1" outline="0" axis="axisRow" fieldPosition="5"/>
    </format>
    <format dxfId="62">
      <pivotArea field="7" type="button" dataOnly="0" labelOnly="1" outline="0" axis="axisRow" fieldPosition="6"/>
    </format>
    <format dxfId="61">
      <pivotArea field="8" type="button" dataOnly="0" labelOnly="1" outline="0" axis="axisRow" fieldPosition="7"/>
    </format>
    <format dxfId="60">
      <pivotArea field="9" type="button" dataOnly="0" labelOnly="1" outline="0" axis="axisRow" fieldPosition="8"/>
    </format>
    <format dxfId="59">
      <pivotArea field="10" type="button" dataOnly="0" labelOnly="1" outline="0" axis="axisRow" fieldPosition="9"/>
    </format>
    <format dxfId="58">
      <pivotArea type="all" dataOnly="0" outline="0" fieldPosition="0"/>
    </format>
    <format dxfId="57">
      <pivotArea field="2" type="button" dataOnly="0" labelOnly="1" outline="0" axis="axisRow" fieldPosition="1"/>
    </format>
    <format dxfId="56">
      <pivotArea field="3" type="button" dataOnly="0" labelOnly="1" outline="0" axis="axisRow" fieldPosition="2"/>
    </format>
    <format dxfId="55">
      <pivotArea field="4" type="button" dataOnly="0" labelOnly="1" outline="0" axis="axisRow" fieldPosition="3"/>
    </format>
    <format dxfId="54">
      <pivotArea field="5" type="button" dataOnly="0" labelOnly="1" outline="0" axis="axisRow" fieldPosition="4"/>
    </format>
    <format dxfId="53">
      <pivotArea field="6" type="button" dataOnly="0" labelOnly="1" outline="0" axis="axisRow" fieldPosition="5"/>
    </format>
    <format dxfId="52">
      <pivotArea field="7" type="button" dataOnly="0" labelOnly="1" outline="0" axis="axisRow" fieldPosition="6"/>
    </format>
    <format dxfId="51">
      <pivotArea field="8" type="button" dataOnly="0" labelOnly="1" outline="0" axis="axisRow" fieldPosition="7"/>
    </format>
    <format dxfId="50">
      <pivotArea field="9" type="button" dataOnly="0" labelOnly="1" outline="0" axis="axisRow" fieldPosition="8"/>
    </format>
    <format dxfId="49">
      <pivotArea field="10" type="button" dataOnly="0" labelOnly="1" outline="0" axis="axisRow" fieldPosition="9"/>
    </format>
    <format dxfId="48">
      <pivotArea dataOnly="0" labelOnly="1" outline="0" fieldPosition="0">
        <references count="1">
          <reference field="1" count="0"/>
        </references>
      </pivotArea>
    </format>
    <format dxfId="47">
      <pivotArea field="1" type="button" dataOnly="0" labelOnly="1" outline="0" axis="axisRow" fieldPosition="0"/>
    </format>
    <format dxfId="46">
      <pivotArea dataOnly="0" labelOnly="1" outline="0" fieldPosition="0">
        <references count="1">
          <reference field="1" count="1">
            <x v="0"/>
          </reference>
        </references>
      </pivotArea>
    </format>
    <format dxfId="45">
      <pivotArea dataOnly="0" labelOnly="1" outline="0" fieldPosition="0">
        <references count="1">
          <reference field="1" count="1">
            <x v="1"/>
          </reference>
        </references>
      </pivotArea>
    </format>
    <format dxfId="44">
      <pivotArea dataOnly="0" labelOnly="1" grandRow="1" outline="0" fieldPosition="0"/>
    </format>
  </formats>
  <pivotTableStyleInfo name="DarkPivot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D943D0B-48BC-466F-AB69-8508D54949C1}" name="tbl_Overview" displayName="tbl_Overview" ref="B10:AA25" totalsRowShown="0" headerRowDxfId="93" dataDxfId="139" headerRowBorderDxfId="140" headerRowCellStyle="Normal 2">
  <autoFilter ref="B10:AA25" xr:uid="{7EC467B7-DE9E-48DF-95B5-2995F1F6DE8F}"/>
  <tableColumns count="26">
    <tableColumn id="1" xr3:uid="{CDAE6949-9186-42E8-AEBE-1928381A0155}" name="Field" dataDxfId="138" dataCellStyle="Normal 2"/>
    <tableColumn id="2" xr3:uid="{24D139B7-BFC8-4DD9-8DE4-2245810E04F3}" name="Definition" dataDxfId="89" dataCellStyle="Normal 2">
      <calculatedColumnFormula>IF(INDEX(Definitions,1,MATCH(tbl_Overview[[#This Row],[Field]],Headers,0))="Definition","",INDEX(Definitions,1,MATCH(tbl_Overview[[#This Row],[Field]],Headers,0)))</calculatedColumnFormula>
    </tableColumn>
    <tableColumn id="3" xr3:uid="{92B45608-BAB5-470F-8B3E-2910EF660813}" name="Field Notes" dataDxfId="88" dataCellStyle="Normal 2">
      <calculatedColumnFormula>IF(INDEX(Notes,1,MATCH(tbl_Overview[[#This Row],[Field]],Headers,0))="Notes","",INDEX(Notes,1,MATCH(tbl_Overview[[#This Row],[Field]],Headers,0)))</calculatedColumnFormula>
    </tableColumn>
    <tableColumn id="4" xr3:uid="{8387EFA9-4555-4DF4-B699-541F401C46D0}" name="Data type" dataDxfId="137"/>
    <tableColumn id="8" xr3:uid="{30CDB1E0-924C-48B4-82F4-9B3E3228BE95}" name="Distinct %" dataDxfId="136"/>
    <tableColumn id="12" xr3:uid="{03824906-BEA5-4B63-A981-21F959B6439E}" name="Missing %" dataDxfId="135" dataCellStyle="Percent 2"/>
    <tableColumn id="6" xr3:uid="{8DFFE5A0-8676-4576-AB4D-97E8B31EC097}" name="Memory Usage %" dataDxfId="134" dataCellStyle="Percent 2"/>
    <tableColumn id="5" xr3:uid="{DD50C3DA-F4A8-40F0-AFBD-DBF916650F7E}" name="Memory Usage" dataDxfId="133"/>
    <tableColumn id="7" xr3:uid="{A0CD56D0-07EF-46CA-BC46-D54CD5E746C7}" name="Distinct" dataDxfId="132"/>
    <tableColumn id="9" xr3:uid="{1C848176-6AC1-44A6-9B3B-F1C9E8BC32EA}" name="Count" dataDxfId="131"/>
    <tableColumn id="10" xr3:uid="{6C6E6A37-4969-459F-AC39-2193366810E2}" name="Count %" dataDxfId="130"/>
    <tableColumn id="11" xr3:uid="{CD47252D-0307-4513-AF7C-13CC4AA1FCD9}" name="Missing" dataDxfId="129"/>
    <tableColumn id="13" xr3:uid="{2B45F7F8-CE35-48A6-BB27-9684B5D7936D}" name="Mean" dataDxfId="128"/>
    <tableColumn id="14" xr3:uid="{293386E4-1FA6-4340-9DC6-54CC26209C0A}" name="Median" dataDxfId="127"/>
    <tableColumn id="15" xr3:uid="{29252F5E-4163-4D62-89FC-FF85F6C4755C}" name="Mode" dataDxfId="126"/>
    <tableColumn id="16" xr3:uid="{69FFA3C1-FD1E-4395-AF2E-177FDFCDE62A}" name="Standard Deviation" dataDxfId="125"/>
    <tableColumn id="17" xr3:uid="{2AAB37E9-8AE2-4771-B92B-C04BFABA0B4E}" name="Variance" dataDxfId="124"/>
    <tableColumn id="18" xr3:uid="{07151E41-6633-4A65-A7E1-091F027DEF95}" name="Min" dataDxfId="123"/>
    <tableColumn id="19" xr3:uid="{41A1FD5D-4E5C-45B3-A0C7-1820F89F417F}" name="5%" dataDxfId="122"/>
    <tableColumn id="20" xr3:uid="{50D70984-5A2E-4A19-9F2B-5DA0502339BC}" name="25%" dataDxfId="121"/>
    <tableColumn id="21" xr3:uid="{75FF5489-8FC0-4894-83BC-802076BF1066}" name="50%" dataDxfId="120"/>
    <tableColumn id="22" xr3:uid="{B7FA20A8-EE17-470E-93AD-54011230C113}" name="75%" dataDxfId="119"/>
    <tableColumn id="23" xr3:uid="{378BE758-7A3F-4C04-A75B-FE899B1B0BAD}" name="95%" dataDxfId="118"/>
    <tableColumn id="24" xr3:uid="{818594E7-DC84-4229-81F6-97C1E2E93633}" name="Max" dataDxfId="117"/>
    <tableColumn id="25" xr3:uid="{D8116583-A886-47C1-85E2-D28AD96194AD}" name="Range" dataDxfId="116"/>
    <tableColumn id="26" xr3:uid="{D061AC6A-EAB2-461F-8AB8-E743DC68E666}" name="IQR" dataDxfId="115"/>
  </tableColumns>
  <tableStyleInfo name="TableStyleDarker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6093A9-DDE8-4AD9-BA6A-7D2C7CB220CC}" name="tbl_SourceData" displayName="tbl_SourceData" ref="C78:T969" totalsRowShown="0" headerRowDxfId="114" dataDxfId="72">
  <autoFilter ref="C78:T969" xr:uid="{DB263373-2B4F-4302-9CF6-5012CE3F1A47}"/>
  <tableColumns count="18">
    <tableColumn id="1" xr3:uid="{B87F6371-B38F-4AA9-8A9B-F1D62600E38F}" name="Record List" dataDxfId="71" dataCellStyle="Normal 2"/>
    <tableColumn id="2" xr3:uid="{55547D6A-0C4F-44F3-8DA7-D9918F9ECA79}" name="survived" dataDxfId="87"/>
    <tableColumn id="8" xr3:uid="{5CEA6B82-08F7-4BBF-BE74-DD211F1E2384}" name="pclass" dataDxfId="86"/>
    <tableColumn id="3" xr3:uid="{6C0B3232-D5C0-4185-AF99-A47484E561D2}" name="sex" dataDxfId="85"/>
    <tableColumn id="4" xr3:uid="{0D7F9824-038E-41C8-8C77-3C6EC618C56A}" name="age" dataDxfId="84"/>
    <tableColumn id="5" xr3:uid="{ED58795E-F2F2-4DA1-B354-86D62DCA5A20}" name="sibsp" dataDxfId="83"/>
    <tableColumn id="6" xr3:uid="{7D392464-C05B-4A0B-93F3-2CD34759FF7C}" name="parch" dataDxfId="82"/>
    <tableColumn id="7" xr3:uid="{DCB69310-FB6F-4C52-9112-5E8D36D2F049}" name="fare" dataDxfId="81"/>
    <tableColumn id="9" xr3:uid="{8C455018-0EAB-4D42-BCC7-CC3A984F306B}" name="embarked" dataDxfId="80"/>
    <tableColumn id="10" xr3:uid="{89C8DB18-AF06-4271-9ADF-3593A731F252}" name="class" dataDxfId="79"/>
    <tableColumn id="11" xr3:uid="{2B611260-1255-4704-8F91-1EA945A08E1C}" name="who" dataDxfId="78"/>
    <tableColumn id="12" xr3:uid="{6D8D7A72-0EA7-46E8-AC64-17FB3BB7CCB7}" name="adult_male" dataDxfId="77"/>
    <tableColumn id="13" xr3:uid="{FCE06C4C-899D-42C2-964E-A11DDE89ECBF}" name="deck" dataDxfId="76"/>
    <tableColumn id="14" xr3:uid="{CE25A4B1-00B1-433F-BBA7-28BE437D79E5}" name="embark_town" dataDxfId="75"/>
    <tableColumn id="15" xr3:uid="{B7B7827B-F1CF-403A-B986-8CBDD1EE1168}" name="alive" dataDxfId="74"/>
    <tableColumn id="16" xr3:uid="{6F777CF4-6963-4385-BE43-F96B1559D2BD}" name="alone" dataDxfId="73"/>
    <tableColumn id="17" xr3:uid="{35DCCC1D-7C83-4038-910E-FECD5A5BF546}" name="HasBlank" dataDxfId="70"/>
    <tableColumn id="18" xr3:uid="{BA0E08E4-A3DE-4277-BAEA-D35957CDC281}" name="Record Hash" dataDxfId="69"/>
  </tableColumns>
  <tableStyleInfo name="TableStyleDarker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991F7-AD61-4B07-8E8E-100F383B401C}">
  <sheetPr codeName="Sheet1"/>
  <dimension ref="B2:AA25"/>
  <sheetViews>
    <sheetView zoomScale="85" zoomScaleNormal="85" workbookViewId="0">
      <selection activeCell="B10" sqref="B10"/>
    </sheetView>
  </sheetViews>
  <sheetFormatPr defaultRowHeight="14.4"/>
  <cols>
    <col min="1" max="1" width="2.77734375" customWidth="1"/>
    <col min="2" max="2" width="32" style="1" customWidth="1"/>
    <col min="3" max="3" width="42.33203125" style="1" customWidth="1"/>
    <col min="4" max="4" width="45.5546875" customWidth="1"/>
    <col min="5" max="5" width="17.6640625" customWidth="1"/>
    <col min="6" max="8" width="15.88671875" customWidth="1"/>
    <col min="9" max="27" width="13.5546875" customWidth="1"/>
  </cols>
  <sheetData>
    <row r="2" spans="2:27" ht="36.6" customHeight="1">
      <c r="B2" s="66" t="str">
        <f>Name</f>
        <v>Titanic</v>
      </c>
      <c r="C2"/>
      <c r="AA2" s="90"/>
    </row>
    <row r="3" spans="2:27" ht="10.050000000000001" customHeight="1">
      <c r="B3"/>
      <c r="C3"/>
      <c r="AA3" s="91"/>
    </row>
    <row r="4" spans="2:27">
      <c r="B4" s="75" t="s">
        <v>25</v>
      </c>
      <c r="C4" s="40">
        <v>891</v>
      </c>
      <c r="AA4" s="92"/>
    </row>
    <row r="5" spans="2:27">
      <c r="B5" s="75" t="s">
        <v>26</v>
      </c>
      <c r="C5" s="41">
        <v>15</v>
      </c>
    </row>
    <row r="6" spans="2:27">
      <c r="B6" s="77" t="s">
        <v>4</v>
      </c>
      <c r="C6" s="41" t="s">
        <v>72</v>
      </c>
      <c r="F6" s="38"/>
    </row>
    <row r="7" spans="2:27">
      <c r="B7" s="73" t="s">
        <v>7</v>
      </c>
      <c r="C7" s="37">
        <v>0.87991021324354657</v>
      </c>
    </row>
    <row r="8" spans="2:27">
      <c r="B8" s="77" t="s">
        <v>10</v>
      </c>
      <c r="C8" s="39">
        <v>6.5020576131687241E-2</v>
      </c>
      <c r="D8" s="36"/>
    </row>
    <row r="9" spans="2:27" ht="24" customHeight="1">
      <c r="B9"/>
      <c r="C9"/>
    </row>
    <row r="10" spans="2:27" ht="34.950000000000003" customHeight="1">
      <c r="B10" s="113" t="s">
        <v>27</v>
      </c>
      <c r="C10" s="114" t="s">
        <v>28</v>
      </c>
      <c r="D10" s="114" t="s">
        <v>29</v>
      </c>
      <c r="E10" s="115" t="s">
        <v>3</v>
      </c>
      <c r="F10" s="115" t="s">
        <v>7</v>
      </c>
      <c r="G10" s="115" t="s">
        <v>10</v>
      </c>
      <c r="H10" s="115" t="s">
        <v>5</v>
      </c>
      <c r="I10" s="115" t="s">
        <v>4</v>
      </c>
      <c r="J10" s="115" t="s">
        <v>6</v>
      </c>
      <c r="K10" s="115" t="s">
        <v>8</v>
      </c>
      <c r="L10" s="115" t="s">
        <v>31</v>
      </c>
      <c r="M10" s="115" t="s">
        <v>9</v>
      </c>
      <c r="N10" s="115" t="s">
        <v>11</v>
      </c>
      <c r="O10" s="115" t="s">
        <v>12</v>
      </c>
      <c r="P10" s="115" t="s">
        <v>13</v>
      </c>
      <c r="Q10" s="115" t="s">
        <v>14</v>
      </c>
      <c r="R10" s="115" t="s">
        <v>15</v>
      </c>
      <c r="S10" s="115" t="s">
        <v>16</v>
      </c>
      <c r="T10" s="116" t="s">
        <v>32</v>
      </c>
      <c r="U10" s="116" t="s">
        <v>33</v>
      </c>
      <c r="V10" s="116" t="s">
        <v>34</v>
      </c>
      <c r="W10" s="116" t="s">
        <v>35</v>
      </c>
      <c r="X10" s="116" t="s">
        <v>36</v>
      </c>
      <c r="Y10" s="115" t="s">
        <v>17</v>
      </c>
      <c r="Z10" s="115" t="s">
        <v>18</v>
      </c>
      <c r="AA10" s="115" t="s">
        <v>19</v>
      </c>
    </row>
    <row r="11" spans="2:27">
      <c r="B11" s="50" t="s">
        <v>56</v>
      </c>
      <c r="C11" s="42" t="str">
        <f>IF(INDEX(Definitions,1,MATCH(tbl_Overview[[#This Row],[Field]],Headers,0))="Definition","",INDEX(Definitions,1,MATCH(tbl_Overview[[#This Row],[Field]],Headers,0)))</f>
        <v/>
      </c>
      <c r="D11" s="42" t="str">
        <f>IF(INDEX(Notes,1,MATCH(tbl_Overview[[#This Row],[Field]],Headers,0))="Notes","",INDEX(Notes,1,MATCH(tbl_Overview[[#This Row],[Field]],Headers,0)))</f>
        <v/>
      </c>
      <c r="E11" s="82" t="s">
        <v>73</v>
      </c>
      <c r="F11" s="43">
        <v>2.24466891133557E-3</v>
      </c>
      <c r="G11" s="44">
        <v>0</v>
      </c>
      <c r="H11" s="43">
        <v>6.4727622749107802E-2</v>
      </c>
      <c r="I11" s="45">
        <v>7128</v>
      </c>
      <c r="J11" s="45">
        <v>2</v>
      </c>
      <c r="K11" s="45">
        <v>891</v>
      </c>
      <c r="L11" s="46">
        <v>1</v>
      </c>
      <c r="M11" s="45">
        <v>0</v>
      </c>
      <c r="N11" s="107">
        <v>0.38383838383838298</v>
      </c>
      <c r="O11" s="107">
        <v>0</v>
      </c>
      <c r="P11" s="107">
        <v>0</v>
      </c>
      <c r="Q11" s="107">
        <v>0.48659245426485698</v>
      </c>
      <c r="R11" s="107">
        <v>0.236772216547497</v>
      </c>
      <c r="S11" s="107">
        <v>0</v>
      </c>
      <c r="T11" s="107">
        <v>0</v>
      </c>
      <c r="U11" s="107">
        <v>0</v>
      </c>
      <c r="V11" s="107">
        <v>0</v>
      </c>
      <c r="W11" s="107">
        <v>1</v>
      </c>
      <c r="X11" s="107">
        <v>1</v>
      </c>
      <c r="Y11" s="107">
        <v>1</v>
      </c>
      <c r="Z11" s="107">
        <v>1</v>
      </c>
      <c r="AA11" s="107">
        <v>1</v>
      </c>
    </row>
    <row r="12" spans="2:27">
      <c r="B12" s="123" t="s">
        <v>57</v>
      </c>
      <c r="C12" s="124" t="str">
        <f>IF(INDEX(Definitions,1,MATCH(tbl_Overview[[#This Row],[Field]],Headers,0))="Definition","",INDEX(Definitions,1,MATCH(tbl_Overview[[#This Row],[Field]],Headers,0)))</f>
        <v/>
      </c>
      <c r="D12" s="125" t="str">
        <f>IF(INDEX(Notes,1,MATCH(tbl_Overview[[#This Row],[Field]],Headers,0))="Notes","",INDEX(Notes,1,MATCH(tbl_Overview[[#This Row],[Field]],Headers,0)))</f>
        <v/>
      </c>
      <c r="E12" s="82" t="s">
        <v>73</v>
      </c>
      <c r="F12" s="46">
        <v>3.3670033670033599E-3</v>
      </c>
      <c r="G12" s="126">
        <v>0</v>
      </c>
      <c r="H12" s="127">
        <v>6.4727622749107802E-2</v>
      </c>
      <c r="I12" s="45">
        <v>7128</v>
      </c>
      <c r="J12" s="45">
        <v>3</v>
      </c>
      <c r="K12" s="45">
        <v>891</v>
      </c>
      <c r="L12" s="46">
        <v>1</v>
      </c>
      <c r="M12" s="45">
        <v>0</v>
      </c>
      <c r="N12" s="107">
        <v>2.3086419753086398</v>
      </c>
      <c r="O12" s="107">
        <v>3</v>
      </c>
      <c r="P12" s="107">
        <v>3</v>
      </c>
      <c r="Q12" s="107">
        <v>0.83607124097704899</v>
      </c>
      <c r="R12" s="107">
        <v>0.69901511998890198</v>
      </c>
      <c r="S12" s="107">
        <v>1</v>
      </c>
      <c r="T12" s="107">
        <v>1</v>
      </c>
      <c r="U12" s="107">
        <v>2</v>
      </c>
      <c r="V12" s="107">
        <v>3</v>
      </c>
      <c r="W12" s="107">
        <v>3</v>
      </c>
      <c r="X12" s="107">
        <v>3</v>
      </c>
      <c r="Y12" s="107">
        <v>3</v>
      </c>
      <c r="Z12" s="107">
        <v>2</v>
      </c>
      <c r="AA12" s="107">
        <v>1</v>
      </c>
    </row>
    <row r="13" spans="2:27">
      <c r="B13" s="123" t="s">
        <v>58</v>
      </c>
      <c r="C13" s="124" t="str">
        <f>IF(INDEX(Definitions,1,MATCH(tbl_Overview[[#This Row],[Field]],Headers,0))="Definition","",INDEX(Definitions,1,MATCH(tbl_Overview[[#This Row],[Field]],Headers,0)))</f>
        <v/>
      </c>
      <c r="D13" s="125" t="str">
        <f>IF(INDEX(Notes,1,MATCH(tbl_Overview[[#This Row],[Field]],Headers,0))="Notes","",INDEX(Notes,1,MATCH(tbl_Overview[[#This Row],[Field]],Headers,0)))</f>
        <v/>
      </c>
      <c r="E13" s="82" t="s">
        <v>74</v>
      </c>
      <c r="F13" s="46">
        <v>2.24466891133557E-3</v>
      </c>
      <c r="G13" s="126">
        <v>0</v>
      </c>
      <c r="H13" s="127">
        <v>0.103811192938804</v>
      </c>
      <c r="I13" s="45">
        <v>11432</v>
      </c>
      <c r="J13" s="45">
        <v>2</v>
      </c>
      <c r="K13" s="45">
        <v>891</v>
      </c>
      <c r="L13" s="46">
        <v>1</v>
      </c>
      <c r="M13" s="45">
        <v>0</v>
      </c>
      <c r="N13" s="107"/>
      <c r="O13" s="107"/>
      <c r="P13" s="107" t="s">
        <v>75</v>
      </c>
      <c r="Q13" s="107"/>
      <c r="R13" s="107"/>
      <c r="S13" s="107"/>
      <c r="T13" s="107"/>
      <c r="U13" s="107"/>
      <c r="V13" s="107"/>
      <c r="W13" s="107"/>
      <c r="X13" s="107"/>
      <c r="Y13" s="107"/>
      <c r="Z13" s="107"/>
      <c r="AA13" s="107"/>
    </row>
    <row r="14" spans="2:27">
      <c r="B14" s="123" t="s">
        <v>59</v>
      </c>
      <c r="C14" s="124" t="str">
        <f>IF(INDEX(Definitions,1,MATCH(tbl_Overview[[#This Row],[Field]],Headers,0))="Definition","",INDEX(Definitions,1,MATCH(tbl_Overview[[#This Row],[Field]],Headers,0)))</f>
        <v/>
      </c>
      <c r="D14" s="125" t="str">
        <f>IF(INDEX(Notes,1,MATCH(tbl_Overview[[#This Row],[Field]],Headers,0))="Notes","",INDEX(Notes,1,MATCH(tbl_Overview[[#This Row],[Field]],Headers,0)))</f>
        <v/>
      </c>
      <c r="E14" s="82" t="s">
        <v>76</v>
      </c>
      <c r="F14" s="46">
        <v>9.8765432098765399E-2</v>
      </c>
      <c r="G14" s="126">
        <v>0.198653198653198</v>
      </c>
      <c r="H14" s="127">
        <v>6.4727622749107802E-2</v>
      </c>
      <c r="I14" s="45">
        <v>7128</v>
      </c>
      <c r="J14" s="45">
        <v>88</v>
      </c>
      <c r="K14" s="45">
        <v>714</v>
      </c>
      <c r="L14" s="46">
        <v>0.80134680134680103</v>
      </c>
      <c r="M14" s="45">
        <v>177</v>
      </c>
      <c r="N14" s="107">
        <v>29.699117647058799</v>
      </c>
      <c r="O14" s="107">
        <v>28</v>
      </c>
      <c r="P14" s="107">
        <v>24</v>
      </c>
      <c r="Q14" s="107">
        <v>14.526497332333999</v>
      </c>
      <c r="R14" s="107">
        <v>211.01912474630799</v>
      </c>
      <c r="S14" s="107">
        <v>0.42</v>
      </c>
      <c r="T14" s="107">
        <v>4</v>
      </c>
      <c r="U14" s="107">
        <v>20.125</v>
      </c>
      <c r="V14" s="107">
        <v>28</v>
      </c>
      <c r="W14" s="107">
        <v>38</v>
      </c>
      <c r="X14" s="107">
        <v>56</v>
      </c>
      <c r="Y14" s="107">
        <v>80</v>
      </c>
      <c r="Z14" s="107">
        <v>79.58</v>
      </c>
      <c r="AA14" s="107">
        <v>17.875</v>
      </c>
    </row>
    <row r="15" spans="2:27">
      <c r="B15" s="123" t="s">
        <v>60</v>
      </c>
      <c r="C15" s="124" t="str">
        <f>IF(INDEX(Definitions,1,MATCH(tbl_Overview[[#This Row],[Field]],Headers,0))="Definition","",INDEX(Definitions,1,MATCH(tbl_Overview[[#This Row],[Field]],Headers,0)))</f>
        <v/>
      </c>
      <c r="D15" s="125" t="str">
        <f>IF(INDEX(Notes,1,MATCH(tbl_Overview[[#This Row],[Field]],Headers,0))="Notes","",INDEX(Notes,1,MATCH(tbl_Overview[[#This Row],[Field]],Headers,0)))</f>
        <v/>
      </c>
      <c r="E15" s="82" t="s">
        <v>73</v>
      </c>
      <c r="F15" s="46">
        <v>7.8563411896745202E-3</v>
      </c>
      <c r="G15" s="126">
        <v>0</v>
      </c>
      <c r="H15" s="127">
        <v>6.4727622749107802E-2</v>
      </c>
      <c r="I15" s="45">
        <v>7128</v>
      </c>
      <c r="J15" s="45">
        <v>7</v>
      </c>
      <c r="K15" s="45">
        <v>891</v>
      </c>
      <c r="L15" s="46">
        <v>1</v>
      </c>
      <c r="M15" s="45">
        <v>0</v>
      </c>
      <c r="N15" s="107">
        <v>0.52300785634118896</v>
      </c>
      <c r="O15" s="107">
        <v>0</v>
      </c>
      <c r="P15" s="107">
        <v>0</v>
      </c>
      <c r="Q15" s="107">
        <v>1.10274343229343</v>
      </c>
      <c r="R15" s="107">
        <v>1.21604307746629</v>
      </c>
      <c r="S15" s="107">
        <v>0</v>
      </c>
      <c r="T15" s="107">
        <v>0</v>
      </c>
      <c r="U15" s="107">
        <v>0</v>
      </c>
      <c r="V15" s="107">
        <v>0</v>
      </c>
      <c r="W15" s="107">
        <v>1</v>
      </c>
      <c r="X15" s="107">
        <v>3</v>
      </c>
      <c r="Y15" s="107">
        <v>8</v>
      </c>
      <c r="Z15" s="107">
        <v>8</v>
      </c>
      <c r="AA15" s="107">
        <v>1</v>
      </c>
    </row>
    <row r="16" spans="2:27">
      <c r="B16" s="123" t="s">
        <v>61</v>
      </c>
      <c r="C16" s="124" t="str">
        <f>IF(INDEX(Definitions,1,MATCH(tbl_Overview[[#This Row],[Field]],Headers,0))="Definition","",INDEX(Definitions,1,MATCH(tbl_Overview[[#This Row],[Field]],Headers,0)))</f>
        <v/>
      </c>
      <c r="D16" s="125" t="str">
        <f>IF(INDEX(Notes,1,MATCH(tbl_Overview[[#This Row],[Field]],Headers,0))="Notes","",INDEX(Notes,1,MATCH(tbl_Overview[[#This Row],[Field]],Headers,0)))</f>
        <v/>
      </c>
      <c r="E16" s="82" t="s">
        <v>73</v>
      </c>
      <c r="F16" s="46">
        <v>7.8563411896745202E-3</v>
      </c>
      <c r="G16" s="126">
        <v>0</v>
      </c>
      <c r="H16" s="127">
        <v>6.4727622749107802E-2</v>
      </c>
      <c r="I16" s="45">
        <v>7128</v>
      </c>
      <c r="J16" s="45">
        <v>7</v>
      </c>
      <c r="K16" s="45">
        <v>891</v>
      </c>
      <c r="L16" s="46">
        <v>1</v>
      </c>
      <c r="M16" s="45">
        <v>0</v>
      </c>
      <c r="N16" s="107">
        <v>0.38159371492704802</v>
      </c>
      <c r="O16" s="107">
        <v>0</v>
      </c>
      <c r="P16" s="107">
        <v>0</v>
      </c>
      <c r="Q16" s="107">
        <v>0.80605722112994804</v>
      </c>
      <c r="R16" s="107">
        <v>0.64972824373573401</v>
      </c>
      <c r="S16" s="107">
        <v>0</v>
      </c>
      <c r="T16" s="107">
        <v>0</v>
      </c>
      <c r="U16" s="107">
        <v>0</v>
      </c>
      <c r="V16" s="107">
        <v>0</v>
      </c>
      <c r="W16" s="107">
        <v>0</v>
      </c>
      <c r="X16" s="107">
        <v>2</v>
      </c>
      <c r="Y16" s="107">
        <v>6</v>
      </c>
      <c r="Z16" s="107">
        <v>6</v>
      </c>
      <c r="AA16" s="107">
        <v>0</v>
      </c>
    </row>
    <row r="17" spans="2:27">
      <c r="B17" s="123" t="s">
        <v>62</v>
      </c>
      <c r="C17" s="124" t="str">
        <f>IF(INDEX(Definitions,1,MATCH(tbl_Overview[[#This Row],[Field]],Headers,0))="Definition","",INDEX(Definitions,1,MATCH(tbl_Overview[[#This Row],[Field]],Headers,0)))</f>
        <v/>
      </c>
      <c r="D17" s="125" t="str">
        <f>IF(INDEX(Notes,1,MATCH(tbl_Overview[[#This Row],[Field]],Headers,0))="Notes","",INDEX(Notes,1,MATCH(tbl_Overview[[#This Row],[Field]],Headers,0)))</f>
        <v/>
      </c>
      <c r="E17" s="82" t="s">
        <v>76</v>
      </c>
      <c r="F17" s="46">
        <v>0.27833894500561102</v>
      </c>
      <c r="G17" s="126">
        <v>0</v>
      </c>
      <c r="H17" s="127">
        <v>6.4727622749107802E-2</v>
      </c>
      <c r="I17" s="45">
        <v>7128</v>
      </c>
      <c r="J17" s="45">
        <v>248</v>
      </c>
      <c r="K17" s="45">
        <v>891</v>
      </c>
      <c r="L17" s="46">
        <v>1</v>
      </c>
      <c r="M17" s="45">
        <v>0</v>
      </c>
      <c r="N17" s="107">
        <v>32.2042079685746</v>
      </c>
      <c r="O17" s="107">
        <v>14.4542</v>
      </c>
      <c r="P17" s="107">
        <v>8.0500000000000007</v>
      </c>
      <c r="Q17" s="107">
        <v>49.693428597180898</v>
      </c>
      <c r="R17" s="107">
        <v>2469.4368457431101</v>
      </c>
      <c r="S17" s="107">
        <v>0</v>
      </c>
      <c r="T17" s="107">
        <v>7.2249999999999996</v>
      </c>
      <c r="U17" s="107">
        <v>7.9104000000000001</v>
      </c>
      <c r="V17" s="107">
        <v>14.4542</v>
      </c>
      <c r="W17" s="107">
        <v>31</v>
      </c>
      <c r="X17" s="107">
        <v>112.07915</v>
      </c>
      <c r="Y17" s="107">
        <v>512.32920000000001</v>
      </c>
      <c r="Z17" s="107">
        <v>512.32920000000001</v>
      </c>
      <c r="AA17" s="107">
        <v>23.089600000000001</v>
      </c>
    </row>
    <row r="18" spans="2:27">
      <c r="B18" s="123" t="s">
        <v>63</v>
      </c>
      <c r="C18" s="124" t="str">
        <f>IF(INDEX(Definitions,1,MATCH(tbl_Overview[[#This Row],[Field]],Headers,0))="Definition","",INDEX(Definitions,1,MATCH(tbl_Overview[[#This Row],[Field]],Headers,0)))</f>
        <v/>
      </c>
      <c r="D18" s="125" t="str">
        <f>IF(INDEX(Notes,1,MATCH(tbl_Overview[[#This Row],[Field]],Headers,0))="Notes","",INDEX(Notes,1,MATCH(tbl_Overview[[#This Row],[Field]],Headers,0)))</f>
        <v/>
      </c>
      <c r="E18" s="82" t="s">
        <v>74</v>
      </c>
      <c r="F18" s="46">
        <v>3.3670033670033599E-3</v>
      </c>
      <c r="G18" s="126">
        <v>2.24466891133557E-3</v>
      </c>
      <c r="H18" s="127">
        <v>7.3817458659862098E-2</v>
      </c>
      <c r="I18" s="45">
        <v>8129</v>
      </c>
      <c r="J18" s="45">
        <v>3</v>
      </c>
      <c r="K18" s="45">
        <v>889</v>
      </c>
      <c r="L18" s="46">
        <v>0.99775533108866399</v>
      </c>
      <c r="M18" s="45">
        <v>2</v>
      </c>
      <c r="N18" s="107"/>
      <c r="O18" s="107"/>
      <c r="P18" s="107" t="s">
        <v>77</v>
      </c>
      <c r="Q18" s="107"/>
      <c r="R18" s="107"/>
      <c r="S18" s="107"/>
      <c r="T18" s="107"/>
      <c r="U18" s="107"/>
      <c r="V18" s="107"/>
      <c r="W18" s="107"/>
      <c r="X18" s="107"/>
      <c r="Y18" s="107"/>
      <c r="Z18" s="107"/>
      <c r="AA18" s="107"/>
    </row>
    <row r="19" spans="2:27">
      <c r="B19" s="123" t="s">
        <v>64</v>
      </c>
      <c r="C19" s="124" t="str">
        <f>IF(INDEX(Definitions,1,MATCH(tbl_Overview[[#This Row],[Field]],Headers,0))="Definition","",INDEX(Definitions,1,MATCH(tbl_Overview[[#This Row],[Field]],Headers,0)))</f>
        <v/>
      </c>
      <c r="D19" s="125" t="str">
        <f>IF(INDEX(Notes,1,MATCH(tbl_Overview[[#This Row],[Field]],Headers,0))="Notes","",INDEX(Notes,1,MATCH(tbl_Overview[[#This Row],[Field]],Headers,0)))</f>
        <v/>
      </c>
      <c r="E19" s="82" t="s">
        <v>78</v>
      </c>
      <c r="F19" s="46">
        <v>3.3670033670033599E-3</v>
      </c>
      <c r="G19" s="126">
        <v>0</v>
      </c>
      <c r="H19" s="127">
        <v>9.4349046066670907E-3</v>
      </c>
      <c r="I19" s="45">
        <v>1039</v>
      </c>
      <c r="J19" s="45">
        <v>3</v>
      </c>
      <c r="K19" s="45">
        <v>891</v>
      </c>
      <c r="L19" s="46">
        <v>1</v>
      </c>
      <c r="M19" s="45">
        <v>0</v>
      </c>
      <c r="N19" s="107"/>
      <c r="O19" s="107"/>
      <c r="P19" s="107" t="s">
        <v>79</v>
      </c>
      <c r="Q19" s="107"/>
      <c r="R19" s="107"/>
      <c r="S19" s="107"/>
      <c r="T19" s="107"/>
      <c r="U19" s="107"/>
      <c r="V19" s="107"/>
      <c r="W19" s="107"/>
      <c r="X19" s="107"/>
      <c r="Y19" s="107"/>
      <c r="Z19" s="107"/>
      <c r="AA19" s="107"/>
    </row>
    <row r="20" spans="2:27">
      <c r="B20" s="123" t="s">
        <v>65</v>
      </c>
      <c r="C20" s="124" t="str">
        <f>IF(INDEX(Definitions,1,MATCH(tbl_Overview[[#This Row],[Field]],Headers,0))="Definition","",INDEX(Definitions,1,MATCH(tbl_Overview[[#This Row],[Field]],Headers,0)))</f>
        <v/>
      </c>
      <c r="D20" s="125" t="str">
        <f>IF(INDEX(Notes,1,MATCH(tbl_Overview[[#This Row],[Field]],Headers,0))="Notes","",INDEX(Notes,1,MATCH(tbl_Overview[[#This Row],[Field]],Headers,0)))</f>
        <v/>
      </c>
      <c r="E20" s="82" t="s">
        <v>74</v>
      </c>
      <c r="F20" s="46">
        <v>3.3670033670033599E-3</v>
      </c>
      <c r="G20" s="126">
        <v>0</v>
      </c>
      <c r="H20" s="127">
        <v>9.6446700507614197E-2</v>
      </c>
      <c r="I20" s="45">
        <v>10621</v>
      </c>
      <c r="J20" s="45">
        <v>3</v>
      </c>
      <c r="K20" s="45">
        <v>891</v>
      </c>
      <c r="L20" s="46">
        <v>1</v>
      </c>
      <c r="M20" s="45">
        <v>0</v>
      </c>
      <c r="N20" s="107"/>
      <c r="O20" s="107"/>
      <c r="P20" s="107" t="s">
        <v>80</v>
      </c>
      <c r="Q20" s="107"/>
      <c r="R20" s="107"/>
      <c r="S20" s="107"/>
      <c r="T20" s="107"/>
      <c r="U20" s="107"/>
      <c r="V20" s="107"/>
      <c r="W20" s="107"/>
      <c r="X20" s="107"/>
      <c r="Y20" s="107"/>
      <c r="Z20" s="107"/>
      <c r="AA20" s="107"/>
    </row>
    <row r="21" spans="2:27">
      <c r="B21" s="123" t="s">
        <v>66</v>
      </c>
      <c r="C21" s="124" t="str">
        <f>IF(INDEX(Definitions,1,MATCH(tbl_Overview[[#This Row],[Field]],Headers,0))="Definition","",INDEX(Definitions,1,MATCH(tbl_Overview[[#This Row],[Field]],Headers,0)))</f>
        <v/>
      </c>
      <c r="D21" s="125" t="str">
        <f>IF(INDEX(Notes,1,MATCH(tbl_Overview[[#This Row],[Field]],Headers,0))="Notes","",INDEX(Notes,1,MATCH(tbl_Overview[[#This Row],[Field]],Headers,0)))</f>
        <v/>
      </c>
      <c r="E21" s="82" t="s">
        <v>81</v>
      </c>
      <c r="F21" s="46">
        <v>2.24466891133557E-3</v>
      </c>
      <c r="G21" s="126">
        <v>0</v>
      </c>
      <c r="H21" s="127">
        <v>8.0909528436384701E-3</v>
      </c>
      <c r="I21" s="45">
        <v>891</v>
      </c>
      <c r="J21" s="45">
        <v>2</v>
      </c>
      <c r="K21" s="45">
        <v>891</v>
      </c>
      <c r="L21" s="46">
        <v>1</v>
      </c>
      <c r="M21" s="45">
        <v>0</v>
      </c>
      <c r="N21" s="107"/>
      <c r="O21" s="107"/>
      <c r="P21" s="107" t="b">
        <v>1</v>
      </c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107"/>
    </row>
    <row r="22" spans="2:27">
      <c r="B22" s="123" t="s">
        <v>67</v>
      </c>
      <c r="C22" s="124" t="str">
        <f>IF(INDEX(Definitions,1,MATCH(tbl_Overview[[#This Row],[Field]],Headers,0))="Definition","",INDEX(Definitions,1,MATCH(tbl_Overview[[#This Row],[Field]],Headers,0)))</f>
        <v/>
      </c>
      <c r="D22" s="125" t="str">
        <f>IF(INDEX(Notes,1,MATCH(tbl_Overview[[#This Row],[Field]],Headers,0))="Notes","",INDEX(Notes,1,MATCH(tbl_Overview[[#This Row],[Field]],Headers,0)))</f>
        <v/>
      </c>
      <c r="E22" s="82" t="s">
        <v>78</v>
      </c>
      <c r="F22" s="46">
        <v>7.8563411896745202E-3</v>
      </c>
      <c r="G22" s="126">
        <v>0.77216610549943798</v>
      </c>
      <c r="H22" s="127">
        <v>1.1387266965120799E-2</v>
      </c>
      <c r="I22" s="45">
        <v>1254</v>
      </c>
      <c r="J22" s="45">
        <v>7</v>
      </c>
      <c r="K22" s="45">
        <v>203</v>
      </c>
      <c r="L22" s="46">
        <v>0.22783389450056099</v>
      </c>
      <c r="M22" s="45">
        <v>688</v>
      </c>
      <c r="N22" s="107"/>
      <c r="O22" s="107"/>
      <c r="P22" s="107" t="s">
        <v>82</v>
      </c>
      <c r="Q22" s="107"/>
      <c r="R22" s="107"/>
      <c r="S22" s="107"/>
      <c r="T22" s="107"/>
      <c r="U22" s="107"/>
      <c r="V22" s="107"/>
      <c r="W22" s="107"/>
      <c r="X22" s="107"/>
      <c r="Y22" s="107"/>
      <c r="Z22" s="107"/>
      <c r="AA22" s="107"/>
    </row>
    <row r="23" spans="2:27">
      <c r="B23" s="123" t="s">
        <v>68</v>
      </c>
      <c r="C23" s="124" t="str">
        <f>IF(INDEX(Definitions,1,MATCH(tbl_Overview[[#This Row],[Field]],Headers,0))="Definition","",INDEX(Definitions,1,MATCH(tbl_Overview[[#This Row],[Field]],Headers,0)))</f>
        <v/>
      </c>
      <c r="D23" s="125" t="str">
        <f>IF(INDEX(Notes,1,MATCH(tbl_Overview[[#This Row],[Field]],Headers,0))="Notes","",INDEX(Notes,1,MATCH(tbl_Overview[[#This Row],[Field]],Headers,0)))</f>
        <v/>
      </c>
      <c r="E23" s="82" t="s">
        <v>74</v>
      </c>
      <c r="F23" s="46">
        <v>3.3670033670033599E-3</v>
      </c>
      <c r="G23" s="126">
        <v>2.24466891133557E-3</v>
      </c>
      <c r="H23" s="127">
        <v>0.150795020113872</v>
      </c>
      <c r="I23" s="45">
        <v>16606</v>
      </c>
      <c r="J23" s="45">
        <v>3</v>
      </c>
      <c r="K23" s="45">
        <v>889</v>
      </c>
      <c r="L23" s="46">
        <v>0.99775533108866399</v>
      </c>
      <c r="M23" s="45">
        <v>2</v>
      </c>
      <c r="N23" s="107"/>
      <c r="O23" s="107"/>
      <c r="P23" s="107" t="s">
        <v>83</v>
      </c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</row>
    <row r="24" spans="2:27">
      <c r="B24" s="123" t="s">
        <v>69</v>
      </c>
      <c r="C24" s="124" t="str">
        <f>IF(INDEX(Definitions,1,MATCH(tbl_Overview[[#This Row],[Field]],Headers,0))="Definition","",INDEX(Definitions,1,MATCH(tbl_Overview[[#This Row],[Field]],Headers,0)))</f>
        <v/>
      </c>
      <c r="D24" s="125" t="str">
        <f>IF(INDEX(Notes,1,MATCH(tbl_Overview[[#This Row],[Field]],Headers,0))="Notes","",INDEX(Notes,1,MATCH(tbl_Overview[[#This Row],[Field]],Headers,0)))</f>
        <v/>
      </c>
      <c r="E24" s="82" t="s">
        <v>74</v>
      </c>
      <c r="F24" s="46">
        <v>2.24466891133557E-3</v>
      </c>
      <c r="G24" s="126">
        <v>0</v>
      </c>
      <c r="H24" s="127">
        <v>8.5032191277026603E-2</v>
      </c>
      <c r="I24" s="45">
        <v>9364</v>
      </c>
      <c r="J24" s="45">
        <v>2</v>
      </c>
      <c r="K24" s="45">
        <v>891</v>
      </c>
      <c r="L24" s="46">
        <v>1</v>
      </c>
      <c r="M24" s="45">
        <v>0</v>
      </c>
      <c r="N24" s="107"/>
      <c r="O24" s="107"/>
      <c r="P24" s="107" t="s">
        <v>84</v>
      </c>
      <c r="Q24" s="107"/>
      <c r="R24" s="107"/>
      <c r="S24" s="107"/>
      <c r="T24" s="107"/>
      <c r="U24" s="107"/>
      <c r="V24" s="107"/>
      <c r="W24" s="107"/>
      <c r="X24" s="107"/>
      <c r="Y24" s="107"/>
      <c r="Z24" s="107"/>
      <c r="AA24" s="107"/>
    </row>
    <row r="25" spans="2:27">
      <c r="B25" s="128" t="s">
        <v>70</v>
      </c>
      <c r="C25" s="129" t="str">
        <f>IF(INDEX(Definitions,1,MATCH(tbl_Overview[[#This Row],[Field]],Headers,0))="Definition","",INDEX(Definitions,1,MATCH(tbl_Overview[[#This Row],[Field]],Headers,0)))</f>
        <v/>
      </c>
      <c r="D25" s="130" t="str">
        <f>IF(INDEX(Notes,1,MATCH(tbl_Overview[[#This Row],[Field]],Headers,0))="Notes","",INDEX(Notes,1,MATCH(tbl_Overview[[#This Row],[Field]],Headers,0)))</f>
        <v/>
      </c>
      <c r="E25" s="131" t="s">
        <v>81</v>
      </c>
      <c r="F25" s="132">
        <v>2.24466891133557E-3</v>
      </c>
      <c r="G25" s="133">
        <v>0</v>
      </c>
      <c r="H25" s="134">
        <v>8.0909528436384701E-3</v>
      </c>
      <c r="I25" s="135">
        <v>891</v>
      </c>
      <c r="J25" s="135">
        <v>2</v>
      </c>
      <c r="K25" s="135">
        <v>891</v>
      </c>
      <c r="L25" s="132">
        <v>1</v>
      </c>
      <c r="M25" s="135">
        <v>0</v>
      </c>
      <c r="N25" s="136"/>
      <c r="O25" s="136"/>
      <c r="P25" s="136" t="b">
        <v>1</v>
      </c>
      <c r="Q25" s="136"/>
      <c r="R25" s="136"/>
      <c r="S25" s="136"/>
      <c r="T25" s="136"/>
      <c r="U25" s="136"/>
      <c r="V25" s="136"/>
      <c r="W25" s="136"/>
      <c r="X25" s="136"/>
      <c r="Y25" s="136"/>
      <c r="Z25" s="136"/>
      <c r="AA25" s="136"/>
    </row>
  </sheetData>
  <conditionalFormatting sqref="C7:C8">
    <cfRule type="colorScale" priority="10">
      <colorScale>
        <cfvo type="num" val="0"/>
        <cfvo type="num" val="0.2"/>
        <color theme="1"/>
        <color rgb="FF7A0000"/>
      </colorScale>
    </cfRule>
  </conditionalFormatting>
  <conditionalFormatting sqref="F11:H25">
    <cfRule type="colorScale" priority="7">
      <colorScale>
        <cfvo type="num" val="0"/>
        <cfvo type="num" val="0.2"/>
        <color theme="1"/>
        <color rgb="FF7A0000"/>
      </colorScale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35159-D796-4A3F-A58D-412F5FB36FD4}">
  <sheetPr codeName="Sheet3"/>
  <dimension ref="A1:T969"/>
  <sheetViews>
    <sheetView tabSelected="1" zoomScale="85" zoomScaleNormal="85" workbookViewId="0">
      <pane xSplit="3" ySplit="11" topLeftCell="D12" activePane="bottomRight" state="frozen"/>
      <selection activeCell="B1" sqref="B1"/>
      <selection pane="topRight" activeCell="F1" sqref="F1"/>
      <selection pane="bottomLeft" activeCell="B5" sqref="B5"/>
      <selection pane="bottomRight" activeCell="D11" sqref="D11"/>
    </sheetView>
  </sheetViews>
  <sheetFormatPr defaultRowHeight="14.4" outlineLevelRow="2"/>
  <cols>
    <col min="1" max="1" width="3" style="1" customWidth="1"/>
    <col min="2" max="2" width="2.77734375" style="95" customWidth="1"/>
    <col min="3" max="3" width="25.77734375" style="6" customWidth="1"/>
    <col min="4" max="18" width="27.77734375" style="1" customWidth="1"/>
    <col min="19" max="20" width="15.77734375" customWidth="1"/>
  </cols>
  <sheetData>
    <row r="1" spans="1:20" ht="31.8" hidden="1" customHeight="1">
      <c r="A1" s="32"/>
      <c r="B1" s="32"/>
      <c r="C1" s="33" t="s">
        <v>38</v>
      </c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</row>
    <row r="2" spans="1:20" ht="10.050000000000001" customHeight="1">
      <c r="A2" s="52"/>
      <c r="B2" s="93"/>
      <c r="C2" s="52"/>
      <c r="D2"/>
      <c r="E2"/>
    </row>
    <row r="3" spans="1:20" ht="36.6" customHeight="1">
      <c r="A3" s="54"/>
      <c r="B3" s="106" t="s">
        <v>0</v>
      </c>
      <c r="C3" s="66" t="s">
        <v>55</v>
      </c>
      <c r="D3"/>
      <c r="E3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</row>
    <row r="4" spans="1:20" ht="4.95" customHeight="1">
      <c r="A4" s="52"/>
      <c r="B4" s="93"/>
      <c r="C4" s="52"/>
      <c r="D4"/>
      <c r="E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</row>
    <row r="5" spans="1:20" ht="19.95" customHeight="1">
      <c r="A5" s="54"/>
      <c r="B5" s="65" t="s">
        <v>0</v>
      </c>
      <c r="C5" s="67" t="s">
        <v>29</v>
      </c>
      <c r="D5"/>
      <c r="E5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</row>
    <row r="6" spans="1:20" ht="4.95" customHeight="1">
      <c r="A6" s="25"/>
      <c r="B6" s="60"/>
      <c r="C6" s="61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</row>
    <row r="7" spans="1:20" ht="37.799999999999997" hidden="1" customHeight="1" outlineLevel="1">
      <c r="A7" s="25"/>
      <c r="B7" s="60"/>
      <c r="C7" s="62" t="s">
        <v>37</v>
      </c>
      <c r="D7" s="59" t="s">
        <v>28</v>
      </c>
      <c r="E7" s="59" t="s">
        <v>28</v>
      </c>
      <c r="F7" s="59" t="s">
        <v>28</v>
      </c>
      <c r="G7" s="59" t="s">
        <v>28</v>
      </c>
      <c r="H7" s="59" t="s">
        <v>28</v>
      </c>
      <c r="I7" s="59" t="s">
        <v>28</v>
      </c>
      <c r="J7" s="59" t="s">
        <v>28</v>
      </c>
      <c r="K7" s="59" t="s">
        <v>28</v>
      </c>
      <c r="L7" s="59" t="s">
        <v>28</v>
      </c>
      <c r="M7" s="59" t="s">
        <v>28</v>
      </c>
      <c r="N7" s="59" t="s">
        <v>28</v>
      </c>
      <c r="O7" s="59" t="s">
        <v>28</v>
      </c>
      <c r="P7" s="59" t="s">
        <v>28</v>
      </c>
      <c r="Q7" s="59" t="s">
        <v>28</v>
      </c>
      <c r="R7" s="59" t="s">
        <v>28</v>
      </c>
    </row>
    <row r="8" spans="1:20" ht="10.050000000000001" hidden="1" customHeight="1" outlineLevel="1">
      <c r="A8" s="51"/>
      <c r="B8" s="63"/>
      <c r="C8" s="51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</row>
    <row r="9" spans="1:20" ht="37.799999999999997" hidden="1" customHeight="1" outlineLevel="1">
      <c r="A9" s="25"/>
      <c r="B9" s="94"/>
      <c r="C9" s="62" t="s">
        <v>1</v>
      </c>
      <c r="D9" s="59" t="s">
        <v>1</v>
      </c>
      <c r="E9" s="59" t="s">
        <v>1</v>
      </c>
      <c r="F9" s="59" t="s">
        <v>1</v>
      </c>
      <c r="G9" s="59" t="s">
        <v>1</v>
      </c>
      <c r="H9" s="59" t="s">
        <v>1</v>
      </c>
      <c r="I9" s="59" t="s">
        <v>1</v>
      </c>
      <c r="J9" s="59" t="s">
        <v>1</v>
      </c>
      <c r="K9" s="59" t="s">
        <v>1</v>
      </c>
      <c r="L9" s="59" t="s">
        <v>1</v>
      </c>
      <c r="M9" s="59" t="s">
        <v>1</v>
      </c>
      <c r="N9" s="59" t="s">
        <v>1</v>
      </c>
      <c r="O9" s="59" t="s">
        <v>1</v>
      </c>
      <c r="P9" s="59" t="s">
        <v>1</v>
      </c>
      <c r="Q9" s="59" t="s">
        <v>1</v>
      </c>
      <c r="R9" s="59" t="s">
        <v>1</v>
      </c>
    </row>
    <row r="10" spans="1:20" ht="4.95" hidden="1" customHeight="1" outlineLevel="1">
      <c r="B10" s="23"/>
      <c r="C10" s="3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</row>
    <row r="11" spans="1:20" s="81" customFormat="1" ht="30" customHeight="1" collapsed="1">
      <c r="A11" s="5"/>
      <c r="B11" s="117"/>
      <c r="C11" s="118" t="s">
        <v>2</v>
      </c>
      <c r="D11" s="119" t="s">
        <v>56</v>
      </c>
      <c r="E11" s="119" t="s">
        <v>57</v>
      </c>
      <c r="F11" s="119" t="s">
        <v>58</v>
      </c>
      <c r="G11" s="119" t="s">
        <v>59</v>
      </c>
      <c r="H11" s="119" t="s">
        <v>60</v>
      </c>
      <c r="I11" s="119" t="s">
        <v>61</v>
      </c>
      <c r="J11" s="119" t="s">
        <v>62</v>
      </c>
      <c r="K11" s="119" t="s">
        <v>63</v>
      </c>
      <c r="L11" s="119" t="s">
        <v>64</v>
      </c>
      <c r="M11" s="119" t="s">
        <v>65</v>
      </c>
      <c r="N11" s="119" t="s">
        <v>66</v>
      </c>
      <c r="O11" s="119" t="s">
        <v>67</v>
      </c>
      <c r="P11" s="119" t="s">
        <v>68</v>
      </c>
      <c r="Q11" s="119" t="s">
        <v>69</v>
      </c>
      <c r="R11" s="119" t="s">
        <v>70</v>
      </c>
      <c r="S11" s="81" t="s">
        <v>54</v>
      </c>
      <c r="T11" s="81" t="s">
        <v>71</v>
      </c>
    </row>
    <row r="12" spans="1:20" ht="4.95" customHeight="1">
      <c r="A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</row>
    <row r="13" spans="1:20" ht="19.95" customHeight="1" outlineLevel="1">
      <c r="A13" s="54"/>
      <c r="B13" s="65" t="s">
        <v>0</v>
      </c>
      <c r="C13" s="67" t="s">
        <v>51</v>
      </c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</row>
    <row r="14" spans="1:20" ht="4.95" customHeight="1" outlineLevel="1">
      <c r="A14" s="54"/>
      <c r="B14" s="56"/>
      <c r="C14" s="57"/>
      <c r="D14" s="54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</row>
    <row r="15" spans="1:20" ht="84.6" hidden="1" customHeight="1" outlineLevel="2">
      <c r="A15" s="54"/>
      <c r="B15" s="56"/>
      <c r="C15" s="64"/>
      <c r="D15" s="111" t="s">
        <v>24</v>
      </c>
      <c r="E15" s="112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</row>
    <row r="16" spans="1:20" ht="10.050000000000001" hidden="1" customHeight="1" outlineLevel="2">
      <c r="A16" s="54"/>
      <c r="B16" s="56"/>
      <c r="C16" s="58"/>
      <c r="D16" s="55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</row>
    <row r="17" spans="1:18" hidden="1" outlineLevel="2">
      <c r="A17" s="54"/>
      <c r="B17" s="56"/>
      <c r="C17" s="78" t="s">
        <v>25</v>
      </c>
      <c r="D17" s="80">
        <v>891</v>
      </c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</row>
    <row r="18" spans="1:18" hidden="1" outlineLevel="2">
      <c r="A18" s="54"/>
      <c r="B18" s="56"/>
      <c r="C18" s="78" t="s">
        <v>45</v>
      </c>
      <c r="D18" s="80">
        <v>15</v>
      </c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</row>
    <row r="19" spans="1:18" ht="4.95" hidden="1" customHeight="1" outlineLevel="2">
      <c r="A19" s="54"/>
      <c r="B19" s="56"/>
      <c r="C19" s="58"/>
      <c r="D19" s="55"/>
      <c r="E19"/>
      <c r="F19"/>
      <c r="G19"/>
      <c r="H19"/>
      <c r="I19"/>
      <c r="J19"/>
      <c r="K19"/>
      <c r="L19"/>
      <c r="M19"/>
      <c r="N19"/>
      <c r="O19"/>
      <c r="P19"/>
      <c r="Q19"/>
      <c r="R19"/>
    </row>
    <row r="20" spans="1:18" ht="19.95" customHeight="1" outlineLevel="1" collapsed="1">
      <c r="B20" s="65" t="s">
        <v>0</v>
      </c>
      <c r="C20" s="67" t="s">
        <v>50</v>
      </c>
      <c r="D20" s="79"/>
      <c r="E20"/>
      <c r="F20"/>
      <c r="G20"/>
      <c r="H20"/>
      <c r="I20" s="144"/>
      <c r="J20"/>
      <c r="K20"/>
      <c r="L20"/>
      <c r="M20"/>
      <c r="N20"/>
      <c r="O20"/>
      <c r="P20"/>
      <c r="Q20"/>
      <c r="R20"/>
    </row>
    <row r="21" spans="1:18" ht="4.95" customHeight="1" outlineLevel="1">
      <c r="B21" s="9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</row>
    <row r="22" spans="1:18" ht="14.4" hidden="1" customHeight="1" outlineLevel="2">
      <c r="A22" s="29"/>
      <c r="B22" s="30"/>
      <c r="C22" s="75" t="s">
        <v>3</v>
      </c>
      <c r="D22" s="105" t="s">
        <v>73</v>
      </c>
      <c r="E22" s="105" t="s">
        <v>73</v>
      </c>
      <c r="F22" s="105" t="s">
        <v>74</v>
      </c>
      <c r="G22" s="105" t="s">
        <v>76</v>
      </c>
      <c r="H22" s="105" t="s">
        <v>73</v>
      </c>
      <c r="I22" s="105" t="s">
        <v>73</v>
      </c>
      <c r="J22" s="105" t="s">
        <v>76</v>
      </c>
      <c r="K22" s="105" t="s">
        <v>74</v>
      </c>
      <c r="L22" s="105" t="s">
        <v>78</v>
      </c>
      <c r="M22" s="105" t="s">
        <v>74</v>
      </c>
      <c r="N22" s="105" t="s">
        <v>81</v>
      </c>
      <c r="O22" s="105" t="s">
        <v>78</v>
      </c>
      <c r="P22" s="105" t="s">
        <v>74</v>
      </c>
      <c r="Q22" s="105" t="s">
        <v>74</v>
      </c>
      <c r="R22" s="105" t="s">
        <v>81</v>
      </c>
    </row>
    <row r="23" spans="1:18" ht="14.4" hidden="1" customHeight="1" outlineLevel="2">
      <c r="A23" s="29"/>
      <c r="B23" s="31"/>
      <c r="C23" s="73" t="s">
        <v>7</v>
      </c>
      <c r="D23" s="110">
        <v>2.24466891133557E-3</v>
      </c>
      <c r="E23" s="110">
        <v>3.3670033670033599E-3</v>
      </c>
      <c r="F23" s="110">
        <v>2.24466891133557E-3</v>
      </c>
      <c r="G23" s="110">
        <v>9.8765432098765399E-2</v>
      </c>
      <c r="H23" s="110">
        <v>7.8563411896745202E-3</v>
      </c>
      <c r="I23" s="110">
        <v>7.8563411896745202E-3</v>
      </c>
      <c r="J23" s="110">
        <v>0.27833894500561102</v>
      </c>
      <c r="K23" s="110">
        <v>3.3670033670033599E-3</v>
      </c>
      <c r="L23" s="110">
        <v>3.3670033670033599E-3</v>
      </c>
      <c r="M23" s="110">
        <v>3.3670033670033599E-3</v>
      </c>
      <c r="N23" s="110">
        <v>2.24466891133557E-3</v>
      </c>
      <c r="O23" s="110">
        <v>7.8563411896745202E-3</v>
      </c>
      <c r="P23" s="110">
        <v>3.3670033670033599E-3</v>
      </c>
      <c r="Q23" s="110">
        <v>2.24466891133557E-3</v>
      </c>
      <c r="R23" s="110">
        <v>2.24466891133557E-3</v>
      </c>
    </row>
    <row r="24" spans="1:18" ht="14.4" hidden="1" customHeight="1" outlineLevel="2">
      <c r="A24" s="29"/>
      <c r="B24" s="31"/>
      <c r="C24" s="73" t="s">
        <v>10</v>
      </c>
      <c r="D24" s="110">
        <v>0</v>
      </c>
      <c r="E24" s="110">
        <v>0</v>
      </c>
      <c r="F24" s="110">
        <v>0</v>
      </c>
      <c r="G24" s="110">
        <v>0.198653198653198</v>
      </c>
      <c r="H24" s="110">
        <v>0</v>
      </c>
      <c r="I24" s="110">
        <v>0</v>
      </c>
      <c r="J24" s="110">
        <v>0</v>
      </c>
      <c r="K24" s="110">
        <v>2.24466891133557E-3</v>
      </c>
      <c r="L24" s="110">
        <v>0</v>
      </c>
      <c r="M24" s="110">
        <v>0</v>
      </c>
      <c r="N24" s="110">
        <v>0</v>
      </c>
      <c r="O24" s="110">
        <v>0.77216610549943798</v>
      </c>
      <c r="P24" s="110">
        <v>2.24466891133557E-3</v>
      </c>
      <c r="Q24" s="110">
        <v>0</v>
      </c>
      <c r="R24" s="110">
        <v>0</v>
      </c>
    </row>
    <row r="25" spans="1:18" ht="14.4" hidden="1" customHeight="1" outlineLevel="2">
      <c r="B25" s="11"/>
      <c r="C25" s="77" t="s">
        <v>5</v>
      </c>
      <c r="D25" s="110">
        <v>6.4727622749107802E-2</v>
      </c>
      <c r="E25" s="110">
        <v>6.4727622749107802E-2</v>
      </c>
      <c r="F25" s="110">
        <v>0.103811192938804</v>
      </c>
      <c r="G25" s="110">
        <v>6.4727622749107802E-2</v>
      </c>
      <c r="H25" s="110">
        <v>6.4727622749107802E-2</v>
      </c>
      <c r="I25" s="110">
        <v>6.4727622749107802E-2</v>
      </c>
      <c r="J25" s="110">
        <v>6.4727622749107802E-2</v>
      </c>
      <c r="K25" s="110">
        <v>7.3817458659862098E-2</v>
      </c>
      <c r="L25" s="110">
        <v>9.4349046066670907E-3</v>
      </c>
      <c r="M25" s="110">
        <v>9.6446700507614197E-2</v>
      </c>
      <c r="N25" s="110">
        <v>8.0909528436384701E-3</v>
      </c>
      <c r="O25" s="110">
        <v>1.1387266965120799E-2</v>
      </c>
      <c r="P25" s="110">
        <v>0.150795020113872</v>
      </c>
      <c r="Q25" s="110">
        <v>8.5032191277026603E-2</v>
      </c>
      <c r="R25" s="110">
        <v>8.0909528436384701E-3</v>
      </c>
    </row>
    <row r="26" spans="1:18" ht="14.4" hidden="1" customHeight="1" outlineLevel="2">
      <c r="B26" s="11"/>
      <c r="C26" s="73" t="s">
        <v>4</v>
      </c>
      <c r="D26" s="108">
        <v>7128</v>
      </c>
      <c r="E26" s="108">
        <v>7128</v>
      </c>
      <c r="F26" s="108">
        <v>11432</v>
      </c>
      <c r="G26" s="108">
        <v>7128</v>
      </c>
      <c r="H26" s="108">
        <v>7128</v>
      </c>
      <c r="I26" s="108">
        <v>7128</v>
      </c>
      <c r="J26" s="108">
        <v>7128</v>
      </c>
      <c r="K26" s="108">
        <v>8129</v>
      </c>
      <c r="L26" s="108">
        <v>1039</v>
      </c>
      <c r="M26" s="108">
        <v>10621</v>
      </c>
      <c r="N26" s="108">
        <v>891</v>
      </c>
      <c r="O26" s="108">
        <v>1254</v>
      </c>
      <c r="P26" s="108">
        <v>16606</v>
      </c>
      <c r="Q26" s="108">
        <v>9364</v>
      </c>
      <c r="R26" s="108">
        <v>891</v>
      </c>
    </row>
    <row r="27" spans="1:18" ht="14.4" hidden="1" customHeight="1" outlineLevel="2">
      <c r="B27" s="11"/>
      <c r="C27" s="73" t="s">
        <v>6</v>
      </c>
      <c r="D27" s="108">
        <v>2</v>
      </c>
      <c r="E27" s="108">
        <v>3</v>
      </c>
      <c r="F27" s="108">
        <v>2</v>
      </c>
      <c r="G27" s="108">
        <v>88</v>
      </c>
      <c r="H27" s="108">
        <v>7</v>
      </c>
      <c r="I27" s="108">
        <v>7</v>
      </c>
      <c r="J27" s="108">
        <v>248</v>
      </c>
      <c r="K27" s="108">
        <v>3</v>
      </c>
      <c r="L27" s="108">
        <v>3</v>
      </c>
      <c r="M27" s="108">
        <v>3</v>
      </c>
      <c r="N27" s="108">
        <v>2</v>
      </c>
      <c r="O27" s="108">
        <v>7</v>
      </c>
      <c r="P27" s="108">
        <v>3</v>
      </c>
      <c r="Q27" s="108">
        <v>2</v>
      </c>
      <c r="R27" s="108">
        <v>2</v>
      </c>
    </row>
    <row r="28" spans="1:18" ht="14.4" hidden="1" customHeight="1" outlineLevel="2">
      <c r="B28" s="11"/>
      <c r="C28" s="73" t="s">
        <v>8</v>
      </c>
      <c r="D28" s="108">
        <v>891</v>
      </c>
      <c r="E28" s="108">
        <v>891</v>
      </c>
      <c r="F28" s="108">
        <v>891</v>
      </c>
      <c r="G28" s="108">
        <v>714</v>
      </c>
      <c r="H28" s="108">
        <v>891</v>
      </c>
      <c r="I28" s="108">
        <v>891</v>
      </c>
      <c r="J28" s="108">
        <v>891</v>
      </c>
      <c r="K28" s="108">
        <v>889</v>
      </c>
      <c r="L28" s="108">
        <v>891</v>
      </c>
      <c r="M28" s="108">
        <v>891</v>
      </c>
      <c r="N28" s="108">
        <v>891</v>
      </c>
      <c r="O28" s="108">
        <v>203</v>
      </c>
      <c r="P28" s="108">
        <v>889</v>
      </c>
      <c r="Q28" s="108">
        <v>891</v>
      </c>
      <c r="R28" s="108">
        <v>891</v>
      </c>
    </row>
    <row r="29" spans="1:18" ht="14.4" hidden="1" customHeight="1" outlineLevel="2">
      <c r="B29" s="11"/>
      <c r="C29" s="77" t="s">
        <v>9</v>
      </c>
      <c r="D29" s="109">
        <v>0</v>
      </c>
      <c r="E29" s="109">
        <v>0</v>
      </c>
      <c r="F29" s="109">
        <v>0</v>
      </c>
      <c r="G29" s="109">
        <v>177</v>
      </c>
      <c r="H29" s="109">
        <v>0</v>
      </c>
      <c r="I29" s="109">
        <v>0</v>
      </c>
      <c r="J29" s="109">
        <v>0</v>
      </c>
      <c r="K29" s="109">
        <v>2</v>
      </c>
      <c r="L29" s="109">
        <v>0</v>
      </c>
      <c r="M29" s="109">
        <v>0</v>
      </c>
      <c r="N29" s="109">
        <v>0</v>
      </c>
      <c r="O29" s="109">
        <v>688</v>
      </c>
      <c r="P29" s="109">
        <v>2</v>
      </c>
      <c r="Q29" s="109">
        <v>0</v>
      </c>
      <c r="R29" s="109">
        <v>0</v>
      </c>
    </row>
    <row r="30" spans="1:18" ht="4.95" hidden="1" customHeight="1" outlineLevel="2">
      <c r="B30" s="9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</row>
    <row r="31" spans="1:18" ht="150" hidden="1" customHeight="1" outlineLevel="2">
      <c r="B31" s="17"/>
      <c r="C31" s="13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</row>
    <row r="32" spans="1:18" ht="4.95" hidden="1" customHeight="1" outlineLevel="2">
      <c r="B32" s="9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</row>
    <row r="33" spans="1:18" ht="19.95" customHeight="1" outlineLevel="1" collapsed="1">
      <c r="B33" s="65" t="s">
        <v>0</v>
      </c>
      <c r="C33" s="67" t="s">
        <v>49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</row>
    <row r="34" spans="1:18" ht="4.95" customHeight="1" outlineLevel="1">
      <c r="A34" s="16"/>
      <c r="B34" s="17"/>
      <c r="C34" s="18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</row>
    <row r="35" spans="1:18" ht="14.4" hidden="1" customHeight="1" outlineLevel="2">
      <c r="B35" s="10"/>
      <c r="C35" s="75" t="s">
        <v>11</v>
      </c>
      <c r="D35" s="104">
        <v>0.38383838383838298</v>
      </c>
      <c r="E35" s="104">
        <v>2.3086419753086398</v>
      </c>
      <c r="F35" s="104"/>
      <c r="G35" s="104">
        <v>29.699117647058799</v>
      </c>
      <c r="H35" s="104">
        <v>0.52300785634118896</v>
      </c>
      <c r="I35" s="104">
        <v>0.38159371492704802</v>
      </c>
      <c r="J35" s="104">
        <v>32.2042079685746</v>
      </c>
      <c r="K35" s="104"/>
      <c r="L35" s="104"/>
      <c r="M35" s="104"/>
      <c r="N35" s="104"/>
      <c r="O35" s="104"/>
      <c r="P35" s="104"/>
      <c r="Q35" s="104"/>
      <c r="R35" s="104"/>
    </row>
    <row r="36" spans="1:18" ht="14.4" hidden="1" customHeight="1" outlineLevel="2">
      <c r="B36" s="11"/>
      <c r="C36" s="76" t="s">
        <v>12</v>
      </c>
      <c r="D36" s="103">
        <v>0</v>
      </c>
      <c r="E36" s="103">
        <v>3</v>
      </c>
      <c r="F36" s="103"/>
      <c r="G36" s="103">
        <v>28</v>
      </c>
      <c r="H36" s="103">
        <v>0</v>
      </c>
      <c r="I36" s="103">
        <v>0</v>
      </c>
      <c r="J36" s="103">
        <v>14.4542</v>
      </c>
      <c r="K36" s="103"/>
      <c r="L36" s="103"/>
      <c r="M36" s="103"/>
      <c r="N36" s="103"/>
      <c r="O36" s="103"/>
      <c r="P36" s="103"/>
      <c r="Q36" s="103"/>
      <c r="R36" s="103"/>
    </row>
    <row r="37" spans="1:18" ht="14.4" hidden="1" customHeight="1" outlineLevel="2">
      <c r="B37" s="11"/>
      <c r="C37" s="73" t="s">
        <v>13</v>
      </c>
      <c r="D37" s="104">
        <v>0</v>
      </c>
      <c r="E37" s="104">
        <v>3</v>
      </c>
      <c r="F37" s="104" t="s">
        <v>75</v>
      </c>
      <c r="G37" s="104">
        <v>24</v>
      </c>
      <c r="H37" s="104">
        <v>0</v>
      </c>
      <c r="I37" s="104">
        <v>0</v>
      </c>
      <c r="J37" s="104">
        <v>8.0500000000000007</v>
      </c>
      <c r="K37" s="104" t="s">
        <v>77</v>
      </c>
      <c r="L37" s="104" t="s">
        <v>79</v>
      </c>
      <c r="M37" s="104" t="s">
        <v>80</v>
      </c>
      <c r="N37" s="104" t="b">
        <v>1</v>
      </c>
      <c r="O37" s="104" t="s">
        <v>82</v>
      </c>
      <c r="P37" s="104" t="s">
        <v>83</v>
      </c>
      <c r="Q37" s="104" t="s">
        <v>84</v>
      </c>
      <c r="R37" s="104" t="b">
        <v>1</v>
      </c>
    </row>
    <row r="38" spans="1:18" ht="14.4" hidden="1" customHeight="1" outlineLevel="2">
      <c r="B38" s="11"/>
      <c r="C38" s="76" t="s">
        <v>14</v>
      </c>
      <c r="D38" s="103">
        <v>0.48659245426485698</v>
      </c>
      <c r="E38" s="103">
        <v>0.83607124097704899</v>
      </c>
      <c r="F38" s="103"/>
      <c r="G38" s="103">
        <v>14.526497332333999</v>
      </c>
      <c r="H38" s="103">
        <v>1.10274343229343</v>
      </c>
      <c r="I38" s="103">
        <v>0.80605722112994804</v>
      </c>
      <c r="J38" s="103">
        <v>49.693428597180898</v>
      </c>
      <c r="K38" s="103"/>
      <c r="L38" s="103"/>
      <c r="M38" s="103"/>
      <c r="N38" s="103"/>
      <c r="O38" s="103"/>
      <c r="P38" s="103"/>
      <c r="Q38" s="103"/>
      <c r="R38" s="103"/>
    </row>
    <row r="39" spans="1:18" ht="14.4" hidden="1" customHeight="1" outlineLevel="2">
      <c r="B39" s="11"/>
      <c r="C39" s="77" t="s">
        <v>15</v>
      </c>
      <c r="D39" s="104">
        <v>0.236772216547497</v>
      </c>
      <c r="E39" s="104">
        <v>0.69901511998890198</v>
      </c>
      <c r="F39" s="104"/>
      <c r="G39" s="104">
        <v>211.01912474630799</v>
      </c>
      <c r="H39" s="104">
        <v>1.21604307746629</v>
      </c>
      <c r="I39" s="104">
        <v>0.64972824373573401</v>
      </c>
      <c r="J39" s="104">
        <v>2469.4368457431101</v>
      </c>
      <c r="K39" s="104"/>
      <c r="L39" s="104"/>
      <c r="M39" s="104"/>
      <c r="N39" s="104"/>
      <c r="O39" s="104"/>
      <c r="P39" s="104"/>
      <c r="Q39" s="104"/>
      <c r="R39" s="104"/>
    </row>
    <row r="40" spans="1:18" ht="4.95" hidden="1" customHeight="1" outlineLevel="2">
      <c r="B40" s="9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</row>
    <row r="41" spans="1:18" ht="150" hidden="1" customHeight="1" outlineLevel="2">
      <c r="A41" s="16"/>
      <c r="B41" s="17"/>
      <c r="C41" s="13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</row>
    <row r="42" spans="1:18" ht="4.95" hidden="1" customHeight="1" outlineLevel="2">
      <c r="A42" s="16"/>
      <c r="B42" s="17"/>
      <c r="C42" s="19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</row>
    <row r="43" spans="1:18" ht="19.95" customHeight="1" outlineLevel="1" collapsed="1">
      <c r="B43" s="65" t="s">
        <v>0</v>
      </c>
      <c r="C43" s="67" t="s">
        <v>48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</row>
    <row r="44" spans="1:18" ht="4.95" customHeight="1" outlineLevel="1">
      <c r="A44" s="16"/>
      <c r="B44" s="17"/>
      <c r="C44" s="18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</row>
    <row r="45" spans="1:18" ht="14.4" hidden="1" customHeight="1" outlineLevel="2">
      <c r="B45" s="10"/>
      <c r="C45" s="70" t="s">
        <v>16</v>
      </c>
      <c r="D45" s="103">
        <v>0</v>
      </c>
      <c r="E45" s="103">
        <v>1</v>
      </c>
      <c r="F45" s="103"/>
      <c r="G45" s="103">
        <v>0.42</v>
      </c>
      <c r="H45" s="103">
        <v>0</v>
      </c>
      <c r="I45" s="103">
        <v>0</v>
      </c>
      <c r="J45" s="103">
        <v>0</v>
      </c>
      <c r="K45" s="103"/>
      <c r="L45" s="103"/>
      <c r="M45" s="103"/>
      <c r="N45" s="103"/>
      <c r="O45" s="103"/>
      <c r="P45" s="103"/>
      <c r="Q45" s="103"/>
      <c r="R45" s="103"/>
    </row>
    <row r="46" spans="1:18" ht="14.4" hidden="1" customHeight="1" outlineLevel="2">
      <c r="B46" s="9"/>
      <c r="C46" s="71">
        <v>0.05</v>
      </c>
      <c r="D46" s="104">
        <v>0</v>
      </c>
      <c r="E46" s="104">
        <v>1</v>
      </c>
      <c r="F46" s="104"/>
      <c r="G46" s="104">
        <v>4</v>
      </c>
      <c r="H46" s="104">
        <v>0</v>
      </c>
      <c r="I46" s="104">
        <v>0</v>
      </c>
      <c r="J46" s="104">
        <v>7.2249999999999996</v>
      </c>
      <c r="K46" s="104"/>
      <c r="L46" s="104"/>
      <c r="M46" s="104"/>
      <c r="N46" s="104"/>
      <c r="O46" s="104"/>
      <c r="P46" s="104"/>
      <c r="Q46" s="104"/>
      <c r="R46" s="104"/>
    </row>
    <row r="47" spans="1:18" ht="14.4" hidden="1" customHeight="1" outlineLevel="2">
      <c r="B47" s="9"/>
      <c r="C47" s="72">
        <v>0.25</v>
      </c>
      <c r="D47" s="103">
        <v>0</v>
      </c>
      <c r="E47" s="103">
        <v>2</v>
      </c>
      <c r="F47" s="103"/>
      <c r="G47" s="103">
        <v>20.125</v>
      </c>
      <c r="H47" s="103">
        <v>0</v>
      </c>
      <c r="I47" s="103">
        <v>0</v>
      </c>
      <c r="J47" s="103">
        <v>7.9104000000000001</v>
      </c>
      <c r="K47" s="103"/>
      <c r="L47" s="103"/>
      <c r="M47" s="103"/>
      <c r="N47" s="103"/>
      <c r="O47" s="103"/>
      <c r="P47" s="103"/>
      <c r="Q47" s="103"/>
      <c r="R47" s="103"/>
    </row>
    <row r="48" spans="1:18" ht="14.4" hidden="1" customHeight="1" outlineLevel="2">
      <c r="B48" s="9"/>
      <c r="C48" s="71">
        <v>0.5</v>
      </c>
      <c r="D48" s="104">
        <v>0</v>
      </c>
      <c r="E48" s="104">
        <v>3</v>
      </c>
      <c r="F48" s="104"/>
      <c r="G48" s="104">
        <v>28</v>
      </c>
      <c r="H48" s="104">
        <v>0</v>
      </c>
      <c r="I48" s="104">
        <v>0</v>
      </c>
      <c r="J48" s="104">
        <v>14.4542</v>
      </c>
      <c r="K48" s="104"/>
      <c r="L48" s="104"/>
      <c r="M48" s="104"/>
      <c r="N48" s="104"/>
      <c r="O48" s="104"/>
      <c r="P48" s="104"/>
      <c r="Q48" s="104"/>
      <c r="R48" s="104"/>
    </row>
    <row r="49" spans="1:18" ht="14.4" hidden="1" customHeight="1" outlineLevel="2">
      <c r="B49" s="9"/>
      <c r="C49" s="72">
        <v>0.75</v>
      </c>
      <c r="D49" s="103">
        <v>1</v>
      </c>
      <c r="E49" s="103">
        <v>3</v>
      </c>
      <c r="F49" s="103"/>
      <c r="G49" s="103">
        <v>38</v>
      </c>
      <c r="H49" s="103">
        <v>1</v>
      </c>
      <c r="I49" s="103">
        <v>0</v>
      </c>
      <c r="J49" s="103">
        <v>31</v>
      </c>
      <c r="K49" s="103"/>
      <c r="L49" s="103"/>
      <c r="M49" s="103"/>
      <c r="N49" s="103"/>
      <c r="O49" s="103"/>
      <c r="P49" s="103"/>
      <c r="Q49" s="103"/>
      <c r="R49" s="103"/>
    </row>
    <row r="50" spans="1:18" ht="14.4" hidden="1" customHeight="1" outlineLevel="2">
      <c r="B50" s="9"/>
      <c r="C50" s="71">
        <v>0.95</v>
      </c>
      <c r="D50" s="104">
        <v>1</v>
      </c>
      <c r="E50" s="104">
        <v>3</v>
      </c>
      <c r="F50" s="104"/>
      <c r="G50" s="104">
        <v>56</v>
      </c>
      <c r="H50" s="104">
        <v>3</v>
      </c>
      <c r="I50" s="104">
        <v>2</v>
      </c>
      <c r="J50" s="104">
        <v>112.07915</v>
      </c>
      <c r="K50" s="104"/>
      <c r="L50" s="104"/>
      <c r="M50" s="104"/>
      <c r="N50" s="104"/>
      <c r="O50" s="104"/>
      <c r="P50" s="104"/>
      <c r="Q50" s="104"/>
      <c r="R50" s="104"/>
    </row>
    <row r="51" spans="1:18" ht="14.4" hidden="1" customHeight="1" outlineLevel="2">
      <c r="B51" s="9"/>
      <c r="C51" s="72" t="s">
        <v>17</v>
      </c>
      <c r="D51" s="103">
        <v>1</v>
      </c>
      <c r="E51" s="103">
        <v>3</v>
      </c>
      <c r="F51" s="103"/>
      <c r="G51" s="103">
        <v>80</v>
      </c>
      <c r="H51" s="103">
        <v>8</v>
      </c>
      <c r="I51" s="103">
        <v>6</v>
      </c>
      <c r="J51" s="103">
        <v>512.32920000000001</v>
      </c>
      <c r="K51" s="103"/>
      <c r="L51" s="103"/>
      <c r="M51" s="103"/>
      <c r="N51" s="103"/>
      <c r="O51" s="103"/>
      <c r="P51" s="103"/>
      <c r="Q51" s="103"/>
      <c r="R51" s="103"/>
    </row>
    <row r="52" spans="1:18" ht="14.4" hidden="1" customHeight="1" outlineLevel="2">
      <c r="B52" s="9"/>
      <c r="C52" s="73" t="s">
        <v>18</v>
      </c>
      <c r="D52" s="104">
        <v>1</v>
      </c>
      <c r="E52" s="104">
        <v>2</v>
      </c>
      <c r="F52" s="104"/>
      <c r="G52" s="104">
        <v>79.58</v>
      </c>
      <c r="H52" s="104">
        <v>8</v>
      </c>
      <c r="I52" s="104">
        <v>6</v>
      </c>
      <c r="J52" s="104">
        <v>512.32920000000001</v>
      </c>
      <c r="K52" s="104"/>
      <c r="L52" s="104"/>
      <c r="M52" s="104"/>
      <c r="N52" s="104"/>
      <c r="O52" s="104"/>
      <c r="P52" s="104"/>
      <c r="Q52" s="104"/>
      <c r="R52" s="104"/>
    </row>
    <row r="53" spans="1:18" ht="14.4" hidden="1" customHeight="1" outlineLevel="2">
      <c r="B53" s="9"/>
      <c r="C53" s="74" t="s">
        <v>19</v>
      </c>
      <c r="D53" s="103">
        <v>1</v>
      </c>
      <c r="E53" s="103">
        <v>1</v>
      </c>
      <c r="F53" s="103"/>
      <c r="G53" s="103">
        <v>17.875</v>
      </c>
      <c r="H53" s="103">
        <v>1</v>
      </c>
      <c r="I53" s="103">
        <v>0</v>
      </c>
      <c r="J53" s="103">
        <v>23.089600000000001</v>
      </c>
      <c r="K53" s="103"/>
      <c r="L53" s="103"/>
      <c r="M53" s="103"/>
      <c r="N53" s="103"/>
      <c r="O53" s="103"/>
      <c r="P53" s="103"/>
      <c r="Q53" s="103"/>
      <c r="R53" s="103"/>
    </row>
    <row r="54" spans="1:18" ht="4.95" hidden="1" customHeight="1" outlineLevel="2">
      <c r="B54" s="9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</row>
    <row r="55" spans="1:18" ht="19.95" customHeight="1" outlineLevel="1" collapsed="1">
      <c r="A55" s="23"/>
      <c r="B55" s="65" t="s">
        <v>0</v>
      </c>
      <c r="C55" s="67" t="s">
        <v>47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</row>
    <row r="56" spans="1:18" ht="4.95" customHeight="1" outlineLevel="1">
      <c r="A56" s="23"/>
      <c r="B56" s="17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</row>
    <row r="57" spans="1:18" ht="14.4" hidden="1" customHeight="1" outlineLevel="2">
      <c r="A57" s="23"/>
      <c r="B57" s="23"/>
      <c r="C57" s="68" t="s">
        <v>39</v>
      </c>
      <c r="D57" s="49" t="b">
        <v>0</v>
      </c>
      <c r="E57" s="49" t="b">
        <v>0</v>
      </c>
      <c r="F57" s="49" t="b">
        <v>0</v>
      </c>
      <c r="G57" s="49" t="b">
        <v>0</v>
      </c>
      <c r="H57" s="49" t="b">
        <v>0</v>
      </c>
      <c r="I57" s="49" t="b">
        <v>0</v>
      </c>
      <c r="J57" s="49" t="b">
        <v>0</v>
      </c>
      <c r="K57" s="49" t="b">
        <v>0</v>
      </c>
      <c r="L57" s="49" t="b">
        <v>0</v>
      </c>
      <c r="M57" s="49" t="b">
        <v>0</v>
      </c>
      <c r="N57" s="49" t="b">
        <v>0</v>
      </c>
      <c r="O57" s="49" t="b">
        <v>0</v>
      </c>
      <c r="P57" s="49" t="b">
        <v>0</v>
      </c>
      <c r="Q57" s="49" t="b">
        <v>0</v>
      </c>
      <c r="R57" s="49" t="b">
        <v>0</v>
      </c>
    </row>
    <row r="58" spans="1:18" ht="14.4" hidden="1" customHeight="1" outlineLevel="2">
      <c r="A58" s="23"/>
      <c r="B58" s="23"/>
      <c r="C58" s="68" t="s">
        <v>40</v>
      </c>
      <c r="D58" s="49" t="b">
        <v>0</v>
      </c>
      <c r="E58" s="49" t="b">
        <v>0</v>
      </c>
      <c r="F58" s="49" t="b">
        <v>0</v>
      </c>
      <c r="G58" s="49" t="b">
        <v>0</v>
      </c>
      <c r="H58" s="49" t="b">
        <v>0</v>
      </c>
      <c r="I58" s="49" t="b">
        <v>0</v>
      </c>
      <c r="J58" s="49" t="b">
        <v>0</v>
      </c>
      <c r="K58" s="49" t="b">
        <v>0</v>
      </c>
      <c r="L58" s="49" t="b">
        <v>0</v>
      </c>
      <c r="M58" s="49" t="b">
        <v>0</v>
      </c>
      <c r="N58" s="49" t="b">
        <v>0</v>
      </c>
      <c r="O58" s="49" t="b">
        <v>0</v>
      </c>
      <c r="P58" s="49" t="b">
        <v>0</v>
      </c>
      <c r="Q58" s="49" t="b">
        <v>0</v>
      </c>
      <c r="R58" s="49" t="b">
        <v>0</v>
      </c>
    </row>
    <row r="59" spans="1:18" ht="14.4" hidden="1" customHeight="1" outlineLevel="2">
      <c r="A59" s="23"/>
      <c r="B59" s="23"/>
      <c r="C59" s="68" t="s">
        <v>41</v>
      </c>
      <c r="D59" s="49" t="b">
        <v>0</v>
      </c>
      <c r="E59" s="49" t="b">
        <v>0</v>
      </c>
      <c r="F59" s="49" t="b">
        <v>0</v>
      </c>
      <c r="G59" s="49" t="b">
        <v>0</v>
      </c>
      <c r="H59" s="49" t="b">
        <v>0</v>
      </c>
      <c r="I59" s="49" t="b">
        <v>0</v>
      </c>
      <c r="J59" s="49" t="b">
        <v>0</v>
      </c>
      <c r="K59" s="49" t="b">
        <v>0</v>
      </c>
      <c r="L59" s="49" t="b">
        <v>0</v>
      </c>
      <c r="M59" s="49" t="b">
        <v>0</v>
      </c>
      <c r="N59" s="49" t="b">
        <v>0</v>
      </c>
      <c r="O59" s="49" t="b">
        <v>0</v>
      </c>
      <c r="P59" s="49" t="b">
        <v>0</v>
      </c>
      <c r="Q59" s="49" t="b">
        <v>0</v>
      </c>
      <c r="R59" s="49" t="b">
        <v>0</v>
      </c>
    </row>
    <row r="60" spans="1:18" ht="14.4" hidden="1" customHeight="1" outlineLevel="2">
      <c r="A60" s="23"/>
      <c r="B60" s="23"/>
      <c r="C60" s="68" t="s">
        <v>42</v>
      </c>
      <c r="D60" s="49" t="b">
        <v>0</v>
      </c>
      <c r="E60" s="49" t="b">
        <v>0</v>
      </c>
      <c r="F60" s="49" t="b">
        <v>0</v>
      </c>
      <c r="G60" s="49" t="b">
        <v>0</v>
      </c>
      <c r="H60" s="49" t="b">
        <v>0</v>
      </c>
      <c r="I60" s="49" t="b">
        <v>0</v>
      </c>
      <c r="J60" s="49" t="b">
        <v>0</v>
      </c>
      <c r="K60" s="49" t="b">
        <v>0</v>
      </c>
      <c r="L60" s="49" t="b">
        <v>0</v>
      </c>
      <c r="M60" s="49" t="b">
        <v>0</v>
      </c>
      <c r="N60" s="49" t="b">
        <v>0</v>
      </c>
      <c r="O60" s="49" t="b">
        <v>0</v>
      </c>
      <c r="P60" s="49" t="b">
        <v>0</v>
      </c>
      <c r="Q60" s="49" t="b">
        <v>0</v>
      </c>
      <c r="R60" s="49" t="b">
        <v>0</v>
      </c>
    </row>
    <row r="61" spans="1:18" ht="14.4" hidden="1" customHeight="1" outlineLevel="2">
      <c r="A61" s="23"/>
      <c r="B61" s="23"/>
      <c r="C61" s="68" t="s">
        <v>43</v>
      </c>
      <c r="D61" s="49" t="b">
        <v>0</v>
      </c>
      <c r="E61" s="49" t="b">
        <v>0</v>
      </c>
      <c r="F61" s="49" t="b">
        <v>0</v>
      </c>
      <c r="G61" s="49" t="b">
        <v>0</v>
      </c>
      <c r="H61" s="49" t="b">
        <v>0</v>
      </c>
      <c r="I61" s="49" t="b">
        <v>0</v>
      </c>
      <c r="J61" s="49" t="b">
        <v>0</v>
      </c>
      <c r="K61" s="49" t="b">
        <v>0</v>
      </c>
      <c r="L61" s="49" t="b">
        <v>0</v>
      </c>
      <c r="M61" s="49" t="b">
        <v>0</v>
      </c>
      <c r="N61" s="49" t="b">
        <v>0</v>
      </c>
      <c r="O61" s="49" t="b">
        <v>0</v>
      </c>
      <c r="P61" s="49" t="b">
        <v>0</v>
      </c>
      <c r="Q61" s="49" t="b">
        <v>0</v>
      </c>
      <c r="R61" s="49" t="b">
        <v>0</v>
      </c>
    </row>
    <row r="62" spans="1:18" ht="14.4" hidden="1" customHeight="1" outlineLevel="2">
      <c r="A62" s="23"/>
      <c r="B62" s="23"/>
      <c r="C62" s="68" t="s">
        <v>44</v>
      </c>
      <c r="D62" s="49" t="b">
        <v>0</v>
      </c>
      <c r="E62" s="49" t="b">
        <v>0</v>
      </c>
      <c r="F62" s="49" t="b">
        <v>0</v>
      </c>
      <c r="G62" s="49" t="b">
        <v>0</v>
      </c>
      <c r="H62" s="49" t="b">
        <v>0</v>
      </c>
      <c r="I62" s="49" t="b">
        <v>0</v>
      </c>
      <c r="J62" s="49" t="b">
        <v>0</v>
      </c>
      <c r="K62" s="49" t="b">
        <v>0</v>
      </c>
      <c r="L62" s="49" t="b">
        <v>0</v>
      </c>
      <c r="M62" s="49" t="b">
        <v>0</v>
      </c>
      <c r="N62" s="49" t="b">
        <v>0</v>
      </c>
      <c r="O62" s="49" t="b">
        <v>0</v>
      </c>
      <c r="P62" s="49" t="b">
        <v>0</v>
      </c>
      <c r="Q62" s="49" t="b">
        <v>0</v>
      </c>
      <c r="R62" s="49" t="b">
        <v>0</v>
      </c>
    </row>
    <row r="63" spans="1:18" ht="14.4" hidden="1" customHeight="1" outlineLevel="2">
      <c r="A63" s="23"/>
      <c r="B63" s="23"/>
      <c r="C63" s="68" t="s">
        <v>21</v>
      </c>
      <c r="D63" s="49" t="b">
        <v>0</v>
      </c>
      <c r="E63" s="49" t="b">
        <v>0</v>
      </c>
      <c r="F63" s="49" t="b">
        <v>0</v>
      </c>
      <c r="G63" s="49" t="b">
        <v>0</v>
      </c>
      <c r="H63" s="49" t="b">
        <v>0</v>
      </c>
      <c r="I63" s="49" t="b">
        <v>0</v>
      </c>
      <c r="J63" s="49" t="b">
        <v>0</v>
      </c>
      <c r="K63" s="49" t="b">
        <v>0</v>
      </c>
      <c r="L63" s="49" t="b">
        <v>0</v>
      </c>
      <c r="M63" s="49" t="b">
        <v>0</v>
      </c>
      <c r="N63" s="49" t="b">
        <v>0</v>
      </c>
      <c r="O63" s="49" t="b">
        <v>0</v>
      </c>
      <c r="P63" s="49" t="b">
        <v>0</v>
      </c>
      <c r="Q63" s="49" t="b">
        <v>0</v>
      </c>
      <c r="R63" s="49" t="b">
        <v>0</v>
      </c>
    </row>
    <row r="64" spans="1:18" ht="14.4" hidden="1" customHeight="1" outlineLevel="2">
      <c r="B64" s="23"/>
      <c r="C64" s="69" t="s">
        <v>22</v>
      </c>
      <c r="D64" s="49" t="b">
        <v>0</v>
      </c>
      <c r="E64" s="49" t="b">
        <v>0</v>
      </c>
      <c r="F64" s="49" t="b">
        <v>0</v>
      </c>
      <c r="G64" s="49" t="b">
        <v>0</v>
      </c>
      <c r="H64" s="49" t="b">
        <v>0</v>
      </c>
      <c r="I64" s="49" t="b">
        <v>0</v>
      </c>
      <c r="J64" s="49" t="b">
        <v>0</v>
      </c>
      <c r="K64" s="49" t="b">
        <v>0</v>
      </c>
      <c r="L64" s="49" t="b">
        <v>0</v>
      </c>
      <c r="M64" s="49" t="b">
        <v>0</v>
      </c>
      <c r="N64" s="49" t="b">
        <v>0</v>
      </c>
      <c r="O64" s="49" t="b">
        <v>0</v>
      </c>
      <c r="P64" s="49" t="b">
        <v>0</v>
      </c>
      <c r="Q64" s="49" t="b">
        <v>0</v>
      </c>
      <c r="R64" s="49" t="b">
        <v>0</v>
      </c>
    </row>
    <row r="65" spans="1:20" ht="4.95" hidden="1" customHeight="1" outlineLevel="2">
      <c r="B65" s="17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</row>
    <row r="66" spans="1:20" ht="19.95" customHeight="1" outlineLevel="1" collapsed="1">
      <c r="A66" s="23"/>
      <c r="B66" s="65" t="s">
        <v>0</v>
      </c>
      <c r="C66" s="67" t="s">
        <v>46</v>
      </c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</row>
    <row r="67" spans="1:20" ht="4.95" customHeight="1">
      <c r="A67" s="23"/>
      <c r="B67" s="7"/>
      <c r="C67" s="8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</row>
    <row r="68" spans="1:20" ht="14.4" hidden="1" customHeight="1" outlineLevel="2">
      <c r="A68" s="23"/>
      <c r="B68" s="23"/>
      <c r="C68" s="27" t="str">
        <f>IF(COUNTIF(FieldList1, "&lt;&gt;FALSE") = 0,"",SUBSTITUTE(LOWER(C57)," ","_") &amp;" = ")</f>
        <v/>
      </c>
      <c r="D68" s="26" t="str">
        <f>IF(COUNTIF(FieldList1, "&lt;&gt;FALSE") = 0,"","['"&amp;_xlfn.TEXTJOIN("', '", TRUE, _xlfn._xlws.FILTER(FieldRange,FieldList1&lt;&gt; FALSE, ""))&amp;"']")</f>
        <v/>
      </c>
    </row>
    <row r="69" spans="1:20" ht="14.4" hidden="1" customHeight="1" outlineLevel="2">
      <c r="A69" s="23"/>
      <c r="B69" s="23"/>
      <c r="C69" s="27" t="str">
        <f>IF(COUNTIF(FieldList2, "&lt;&gt;FALSE") = 0,"",SUBSTITUTE(LOWER(C58)," ","_")&amp;" = ")</f>
        <v/>
      </c>
      <c r="D69" s="26" t="str">
        <f>IF(COUNTIF(FieldList2, "&lt;&gt;FALSE") = 0,"","['"&amp;_xlfn.TEXTJOIN("', '", TRUE, _xlfn._xlws.FILTER(FieldRange,FieldList2&lt;&gt; FALSE, ""))&amp;"']")</f>
        <v/>
      </c>
    </row>
    <row r="70" spans="1:20" ht="14.4" hidden="1" customHeight="1" outlineLevel="2">
      <c r="A70" s="23"/>
      <c r="B70" s="23"/>
      <c r="C70" s="27" t="str">
        <f>IF(COUNTIF(FieldList3, "&lt;&gt;FALSE") = 0,"",SUBSTITUTE(LOWER(C59)," ","_")&amp;" = ")</f>
        <v/>
      </c>
      <c r="D70" s="26" t="str">
        <f>IF(COUNTIF(FieldList3, "&lt;&gt;FALSE") = 0,"","['"&amp;_xlfn.TEXTJOIN("', '", TRUE, _xlfn._xlws.FILTER(FieldRange,FieldList3&lt;&gt; FALSE, ""))&amp;"']")</f>
        <v/>
      </c>
    </row>
    <row r="71" spans="1:20" ht="14.4" hidden="1" customHeight="1" outlineLevel="2">
      <c r="A71" s="23"/>
      <c r="B71" s="23"/>
      <c r="C71" s="27" t="str">
        <f>IF(COUNTIF(FieldList4, "&lt;&gt;FALSE") = 0,"",SUBSTITUTE(LOWER(C60)," ","_")&amp;" = ")</f>
        <v/>
      </c>
      <c r="D71" s="26" t="str">
        <f>IF(COUNTIF(FieldList4, "&lt;&gt;FALSE") = 0,"","['"&amp;_xlfn.TEXTJOIN("', '", TRUE, _xlfn._xlws.FILTER(FieldRange,FieldList4&lt;&gt; FALSE, ""))&amp;"']")</f>
        <v/>
      </c>
    </row>
    <row r="72" spans="1:20" ht="14.4" hidden="1" customHeight="1" outlineLevel="2">
      <c r="A72" s="23"/>
      <c r="B72" s="23"/>
      <c r="C72" s="27" t="str">
        <f>IF(COUNTIF(FieldList5, "&lt;&gt;FALSE") = 0,"",SUBSTITUTE(LOWER(C61)," ","_")&amp;" = ")</f>
        <v/>
      </c>
      <c r="D72" s="26" t="str">
        <f>IF(COUNTIF(FieldList5, "&lt;&gt;FALSE") = 0,"","['"&amp;_xlfn.TEXTJOIN("', '", TRUE, _xlfn._xlws.FILTER(FieldRange,FieldList5&lt;&gt; FALSE, ""))&amp;"']")</f>
        <v/>
      </c>
    </row>
    <row r="73" spans="1:20" ht="13.8" hidden="1" customHeight="1" outlineLevel="2">
      <c r="A73" s="23"/>
      <c r="B73" s="23"/>
      <c r="C73" s="27" t="str">
        <f>IF(COUNTIF(FieldList6, "&lt;&gt;FALSE") = 0,"",SUBSTITUTE(LOWER(C62)," ","_")&amp;" = ")</f>
        <v/>
      </c>
      <c r="D73" s="26" t="str">
        <f>IF(COUNTIF(FieldList6, "&lt;&gt;FALSE") = 0,"","['"&amp;_xlfn.TEXTJOIN("', '", TRUE, _xlfn._xlws.FILTER(FieldRange,FieldList6&lt;&gt; FALSE, ""))&amp;"']")</f>
        <v/>
      </c>
    </row>
    <row r="74" spans="1:20" ht="13.8" hidden="1" customHeight="1" outlineLevel="2">
      <c r="A74" s="23"/>
      <c r="B74" s="23"/>
      <c r="C74" s="27" t="str">
        <f>IF(COUNTIF(FieldList7, "&lt;&gt;FALSE") = 0,"",SUBSTITUTE(LOWER(C63)," ","_")&amp;" = ")</f>
        <v/>
      </c>
      <c r="D74" s="26" t="str" cm="1">
        <f t="array" ref="D74">IF(COUNTIF(FieldList7, "&lt;&gt;FALSE") = 0,"","['"&amp;_xlfn.TEXTJOIN("', '", TRUE, _xlfn._xlws.FILTER(FieldRange,FieldList7&lt;&gt; FALSE, ""))&amp;"']")</f>
        <v/>
      </c>
    </row>
    <row r="75" spans="1:20" ht="13.8" hidden="1" customHeight="1" outlineLevel="2">
      <c r="A75" s="23"/>
      <c r="B75" s="23"/>
      <c r="C75" s="27" t="str">
        <f>IF(COUNTIF(FieldList8, "&lt;&gt;FALSE") = 0,"",SUBSTITUTE(LOWER(C64)," ","_")&amp;" = ")</f>
        <v/>
      </c>
      <c r="D75" s="26" t="str" cm="1">
        <f t="array" ref="D75">IF(COUNTIF(FieldList8, "&lt;&gt;FALSE") = 0,"","['"&amp;_xlfn.TEXTJOIN("', '", TRUE, _xlfn._xlws.FILTER(FieldRange,FieldList8&lt;&gt; FALSE, ""))&amp;"']")</f>
        <v/>
      </c>
    </row>
    <row r="76" spans="1:20" ht="14.4" hidden="1" customHeight="1" outlineLevel="2">
      <c r="B76" s="96"/>
      <c r="C76" s="35" t="str">
        <f>IF(COUNTIF(tbl_SourceData[Record List], "&lt;&gt;FALSE") = 0,"",SUBSTITUTE(LOWER(LightHeader)," ", "_") &amp;" = ")</f>
        <v/>
      </c>
      <c r="D76" s="26" t="str" cm="1">
        <f t="array" ref="D76">IF(COUNTIF(tbl_SourceData[Record List], "&lt;&gt;FALSE") = 0,"","['"&amp;_xlfn.TEXTJOIN("', '", TRUE, _xlfn._xlws.FILTER(_xlfn.TAKE(tbl_SourceData[],,-1), tbl_SourceData[Record List] &lt;&gt; FALSE, ""))&amp;"']")</f>
        <v/>
      </c>
    </row>
    <row r="77" spans="1:20" ht="4.95" hidden="1" customHeight="1" outlineLevel="2">
      <c r="B77" s="17"/>
      <c r="C77" s="20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</row>
    <row r="78" spans="1:20" ht="30" customHeight="1" collapsed="1">
      <c r="C78" s="120" t="s">
        <v>20</v>
      </c>
      <c r="D78" s="22" t="s">
        <v>56</v>
      </c>
      <c r="E78" s="22" t="s">
        <v>57</v>
      </c>
      <c r="F78" s="22" t="s">
        <v>58</v>
      </c>
      <c r="G78" s="22" t="s">
        <v>59</v>
      </c>
      <c r="H78" s="22" t="s">
        <v>60</v>
      </c>
      <c r="I78" s="22" t="s">
        <v>61</v>
      </c>
      <c r="J78" s="22" t="s">
        <v>62</v>
      </c>
      <c r="K78" s="22" t="s">
        <v>63</v>
      </c>
      <c r="L78" s="22" t="s">
        <v>64</v>
      </c>
      <c r="M78" s="22" t="s">
        <v>65</v>
      </c>
      <c r="N78" s="22" t="s">
        <v>66</v>
      </c>
      <c r="O78" s="22" t="s">
        <v>67</v>
      </c>
      <c r="P78" s="22" t="s">
        <v>68</v>
      </c>
      <c r="Q78" s="22" t="s">
        <v>69</v>
      </c>
      <c r="R78" s="22" t="s">
        <v>70</v>
      </c>
      <c r="S78" s="120" t="s">
        <v>54</v>
      </c>
      <c r="T78" s="120" t="s">
        <v>71</v>
      </c>
    </row>
    <row r="79" spans="1:20">
      <c r="C79" s="24" t="b">
        <v>0</v>
      </c>
      <c r="D79" s="137">
        <v>0</v>
      </c>
      <c r="E79" s="137">
        <v>3</v>
      </c>
      <c r="F79" s="137" t="s">
        <v>75</v>
      </c>
      <c r="G79" s="137">
        <v>22</v>
      </c>
      <c r="H79" s="137">
        <v>1</v>
      </c>
      <c r="I79" s="137">
        <v>0</v>
      </c>
      <c r="J79" s="137">
        <v>7.25</v>
      </c>
      <c r="K79" s="137" t="s">
        <v>77</v>
      </c>
      <c r="L79" s="137" t="s">
        <v>79</v>
      </c>
      <c r="M79" s="137" t="s">
        <v>80</v>
      </c>
      <c r="N79" s="137" t="b">
        <v>1</v>
      </c>
      <c r="O79" s="137"/>
      <c r="P79" s="137" t="s">
        <v>83</v>
      </c>
      <c r="Q79" s="137" t="s">
        <v>84</v>
      </c>
      <c r="R79" s="137" t="b">
        <v>0</v>
      </c>
      <c r="S79" s="139">
        <v>1</v>
      </c>
      <c r="T79" s="139">
        <v>1.6731212870194901E+19</v>
      </c>
    </row>
    <row r="80" spans="1:20">
      <c r="C80" s="24" t="b">
        <v>0</v>
      </c>
      <c r="D80" s="137">
        <v>1</v>
      </c>
      <c r="E80" s="137">
        <v>1</v>
      </c>
      <c r="F80" s="137" t="s">
        <v>85</v>
      </c>
      <c r="G80" s="137">
        <v>38</v>
      </c>
      <c r="H80" s="137">
        <v>1</v>
      </c>
      <c r="I80" s="137">
        <v>0</v>
      </c>
      <c r="J80" s="137">
        <v>71.283299999999997</v>
      </c>
      <c r="K80" s="137" t="s">
        <v>82</v>
      </c>
      <c r="L80" s="137" t="s">
        <v>86</v>
      </c>
      <c r="M80" s="137" t="s">
        <v>87</v>
      </c>
      <c r="N80" s="137" t="b">
        <v>0</v>
      </c>
      <c r="O80" s="137" t="s">
        <v>82</v>
      </c>
      <c r="P80" s="137" t="s">
        <v>88</v>
      </c>
      <c r="Q80" s="137" t="s">
        <v>89</v>
      </c>
      <c r="R80" s="137" t="b">
        <v>0</v>
      </c>
      <c r="S80" s="139">
        <v>0</v>
      </c>
      <c r="T80" s="139">
        <v>1.6194018436381301E+19</v>
      </c>
    </row>
    <row r="81" spans="3:20">
      <c r="C81" s="24" t="b">
        <v>0</v>
      </c>
      <c r="D81" s="137">
        <v>1</v>
      </c>
      <c r="E81" s="138">
        <v>3</v>
      </c>
      <c r="F81" s="137" t="s">
        <v>85</v>
      </c>
      <c r="G81" s="137">
        <v>26</v>
      </c>
      <c r="H81" s="137">
        <v>0</v>
      </c>
      <c r="I81" s="137">
        <v>0</v>
      </c>
      <c r="J81" s="137">
        <v>7.9249999999999998</v>
      </c>
      <c r="K81" s="137" t="s">
        <v>77</v>
      </c>
      <c r="L81" s="137" t="s">
        <v>79</v>
      </c>
      <c r="M81" s="137" t="s">
        <v>87</v>
      </c>
      <c r="N81" s="137" t="b">
        <v>0</v>
      </c>
      <c r="O81" s="137"/>
      <c r="P81" s="137" t="s">
        <v>83</v>
      </c>
      <c r="Q81" s="137" t="s">
        <v>89</v>
      </c>
      <c r="R81" s="137" t="b">
        <v>1</v>
      </c>
      <c r="S81" s="139">
        <v>1</v>
      </c>
      <c r="T81" s="139">
        <v>2.5030909217704801E+18</v>
      </c>
    </row>
    <row r="82" spans="3:20">
      <c r="C82" s="24" t="b">
        <v>0</v>
      </c>
      <c r="D82" s="137">
        <v>1</v>
      </c>
      <c r="E82" s="138">
        <v>1</v>
      </c>
      <c r="F82" s="137" t="s">
        <v>85</v>
      </c>
      <c r="G82" s="137">
        <v>35</v>
      </c>
      <c r="H82" s="137">
        <v>1</v>
      </c>
      <c r="I82" s="137">
        <v>0</v>
      </c>
      <c r="J82" s="137">
        <v>53.1</v>
      </c>
      <c r="K82" s="137" t="s">
        <v>77</v>
      </c>
      <c r="L82" s="137" t="s">
        <v>86</v>
      </c>
      <c r="M82" s="137" t="s">
        <v>87</v>
      </c>
      <c r="N82" s="137" t="b">
        <v>0</v>
      </c>
      <c r="O82" s="137" t="s">
        <v>82</v>
      </c>
      <c r="P82" s="137" t="s">
        <v>83</v>
      </c>
      <c r="Q82" s="137" t="s">
        <v>89</v>
      </c>
      <c r="R82" s="137" t="b">
        <v>0</v>
      </c>
      <c r="S82" s="139">
        <v>0</v>
      </c>
      <c r="T82" s="139">
        <v>1.24015557615855E+19</v>
      </c>
    </row>
    <row r="83" spans="3:20">
      <c r="C83" s="24" t="b">
        <v>0</v>
      </c>
      <c r="D83" s="137">
        <v>0</v>
      </c>
      <c r="E83" s="138">
        <v>3</v>
      </c>
      <c r="F83" s="137" t="s">
        <v>75</v>
      </c>
      <c r="G83" s="137">
        <v>35</v>
      </c>
      <c r="H83" s="137">
        <v>0</v>
      </c>
      <c r="I83" s="137">
        <v>0</v>
      </c>
      <c r="J83" s="137">
        <v>8.0500000000000007</v>
      </c>
      <c r="K83" s="137" t="s">
        <v>77</v>
      </c>
      <c r="L83" s="137" t="s">
        <v>79</v>
      </c>
      <c r="M83" s="137" t="s">
        <v>80</v>
      </c>
      <c r="N83" s="137" t="b">
        <v>1</v>
      </c>
      <c r="O83" s="137"/>
      <c r="P83" s="137" t="s">
        <v>83</v>
      </c>
      <c r="Q83" s="137" t="s">
        <v>84</v>
      </c>
      <c r="R83" s="137" t="b">
        <v>1</v>
      </c>
      <c r="S83" s="139">
        <v>1</v>
      </c>
      <c r="T83" s="139">
        <v>1.0296334085113301E+19</v>
      </c>
    </row>
    <row r="84" spans="3:20">
      <c r="C84" s="24" t="b">
        <v>0</v>
      </c>
      <c r="D84" s="137">
        <v>0</v>
      </c>
      <c r="E84" s="138">
        <v>3</v>
      </c>
      <c r="F84" s="137" t="s">
        <v>75</v>
      </c>
      <c r="G84" s="137"/>
      <c r="H84" s="137">
        <v>0</v>
      </c>
      <c r="I84" s="137">
        <v>0</v>
      </c>
      <c r="J84" s="137">
        <v>8.4582999999999995</v>
      </c>
      <c r="K84" s="137" t="s">
        <v>90</v>
      </c>
      <c r="L84" s="137" t="s">
        <v>79</v>
      </c>
      <c r="M84" s="137" t="s">
        <v>80</v>
      </c>
      <c r="N84" s="137" t="b">
        <v>1</v>
      </c>
      <c r="O84" s="137"/>
      <c r="P84" s="137" t="s">
        <v>91</v>
      </c>
      <c r="Q84" s="137" t="s">
        <v>84</v>
      </c>
      <c r="R84" s="137" t="b">
        <v>1</v>
      </c>
      <c r="S84" s="139">
        <v>1</v>
      </c>
      <c r="T84" s="139">
        <v>1.6636564730484699E+19</v>
      </c>
    </row>
    <row r="85" spans="3:20">
      <c r="C85" s="24" t="b">
        <v>0</v>
      </c>
      <c r="D85" s="137">
        <v>0</v>
      </c>
      <c r="E85" s="138">
        <v>1</v>
      </c>
      <c r="F85" s="137" t="s">
        <v>75</v>
      </c>
      <c r="G85" s="137">
        <v>54</v>
      </c>
      <c r="H85" s="137">
        <v>0</v>
      </c>
      <c r="I85" s="137">
        <v>0</v>
      </c>
      <c r="J85" s="137">
        <v>51.862499999999997</v>
      </c>
      <c r="K85" s="137" t="s">
        <v>77</v>
      </c>
      <c r="L85" s="137" t="s">
        <v>86</v>
      </c>
      <c r="M85" s="137" t="s">
        <v>80</v>
      </c>
      <c r="N85" s="137" t="b">
        <v>1</v>
      </c>
      <c r="O85" s="137" t="s">
        <v>92</v>
      </c>
      <c r="P85" s="137" t="s">
        <v>83</v>
      </c>
      <c r="Q85" s="137" t="s">
        <v>84</v>
      </c>
      <c r="R85" s="137" t="b">
        <v>1</v>
      </c>
      <c r="S85" s="139">
        <v>0</v>
      </c>
      <c r="T85" s="139">
        <v>3.5355116403679099E+18</v>
      </c>
    </row>
    <row r="86" spans="3:20">
      <c r="C86" s="24" t="b">
        <v>0</v>
      </c>
      <c r="D86" s="137">
        <v>0</v>
      </c>
      <c r="E86" s="138">
        <v>3</v>
      </c>
      <c r="F86" s="137" t="s">
        <v>75</v>
      </c>
      <c r="G86" s="137">
        <v>2</v>
      </c>
      <c r="H86" s="137">
        <v>3</v>
      </c>
      <c r="I86" s="137">
        <v>1</v>
      </c>
      <c r="J86" s="137">
        <v>21.074999999999999</v>
      </c>
      <c r="K86" s="137" t="s">
        <v>77</v>
      </c>
      <c r="L86" s="137" t="s">
        <v>79</v>
      </c>
      <c r="M86" s="137" t="s">
        <v>93</v>
      </c>
      <c r="N86" s="137" t="b">
        <v>0</v>
      </c>
      <c r="O86" s="137"/>
      <c r="P86" s="137" t="s">
        <v>83</v>
      </c>
      <c r="Q86" s="137" t="s">
        <v>84</v>
      </c>
      <c r="R86" s="137" t="b">
        <v>0</v>
      </c>
      <c r="S86" s="139">
        <v>1</v>
      </c>
      <c r="T86" s="139">
        <v>2.1443421880823301E+18</v>
      </c>
    </row>
    <row r="87" spans="3:20">
      <c r="C87" s="24" t="b">
        <v>0</v>
      </c>
      <c r="D87" s="137">
        <v>1</v>
      </c>
      <c r="E87" s="138">
        <v>3</v>
      </c>
      <c r="F87" s="137" t="s">
        <v>85</v>
      </c>
      <c r="G87" s="137">
        <v>27</v>
      </c>
      <c r="H87" s="137">
        <v>0</v>
      </c>
      <c r="I87" s="137">
        <v>2</v>
      </c>
      <c r="J87" s="137">
        <v>11.1333</v>
      </c>
      <c r="K87" s="137" t="s">
        <v>77</v>
      </c>
      <c r="L87" s="137" t="s">
        <v>79</v>
      </c>
      <c r="M87" s="137" t="s">
        <v>87</v>
      </c>
      <c r="N87" s="137" t="b">
        <v>0</v>
      </c>
      <c r="O87" s="137"/>
      <c r="P87" s="137" t="s">
        <v>83</v>
      </c>
      <c r="Q87" s="137" t="s">
        <v>89</v>
      </c>
      <c r="R87" s="137" t="b">
        <v>0</v>
      </c>
      <c r="S87" s="139">
        <v>1</v>
      </c>
      <c r="T87" s="139">
        <v>9.9526475962190602E+18</v>
      </c>
    </row>
    <row r="88" spans="3:20">
      <c r="C88" s="24" t="b">
        <v>0</v>
      </c>
      <c r="D88" s="137">
        <v>1</v>
      </c>
      <c r="E88" s="138">
        <v>2</v>
      </c>
      <c r="F88" s="137" t="s">
        <v>85</v>
      </c>
      <c r="G88" s="137">
        <v>14</v>
      </c>
      <c r="H88" s="137">
        <v>1</v>
      </c>
      <c r="I88" s="137">
        <v>0</v>
      </c>
      <c r="J88" s="137">
        <v>30.070799999999998</v>
      </c>
      <c r="K88" s="137" t="s">
        <v>82</v>
      </c>
      <c r="L88" s="137" t="s">
        <v>94</v>
      </c>
      <c r="M88" s="137" t="s">
        <v>93</v>
      </c>
      <c r="N88" s="137" t="b">
        <v>0</v>
      </c>
      <c r="O88" s="137"/>
      <c r="P88" s="137" t="s">
        <v>88</v>
      </c>
      <c r="Q88" s="137" t="s">
        <v>89</v>
      </c>
      <c r="R88" s="137" t="b">
        <v>0</v>
      </c>
      <c r="S88" s="139">
        <v>1</v>
      </c>
      <c r="T88" s="139">
        <v>1.70432459114619E+19</v>
      </c>
    </row>
    <row r="89" spans="3:20">
      <c r="C89" s="24" t="b">
        <v>0</v>
      </c>
      <c r="D89" s="137">
        <v>1</v>
      </c>
      <c r="E89" s="138">
        <v>3</v>
      </c>
      <c r="F89" s="137" t="s">
        <v>85</v>
      </c>
      <c r="G89" s="137">
        <v>4</v>
      </c>
      <c r="H89" s="137">
        <v>1</v>
      </c>
      <c r="I89" s="137">
        <v>1</v>
      </c>
      <c r="J89" s="137">
        <v>16.7</v>
      </c>
      <c r="K89" s="137" t="s">
        <v>77</v>
      </c>
      <c r="L89" s="137" t="s">
        <v>79</v>
      </c>
      <c r="M89" s="137" t="s">
        <v>93</v>
      </c>
      <c r="N89" s="137" t="b">
        <v>0</v>
      </c>
      <c r="O89" s="137" t="s">
        <v>95</v>
      </c>
      <c r="P89" s="137" t="s">
        <v>83</v>
      </c>
      <c r="Q89" s="137" t="s">
        <v>89</v>
      </c>
      <c r="R89" s="137" t="b">
        <v>0</v>
      </c>
      <c r="S89" s="139">
        <v>0</v>
      </c>
      <c r="T89" s="139">
        <v>1.36800137334435E+19</v>
      </c>
    </row>
    <row r="90" spans="3:20">
      <c r="C90" s="24" t="b">
        <v>0</v>
      </c>
      <c r="D90" s="137">
        <v>1</v>
      </c>
      <c r="E90" s="138">
        <v>1</v>
      </c>
      <c r="F90" s="137" t="s">
        <v>85</v>
      </c>
      <c r="G90" s="137">
        <v>58</v>
      </c>
      <c r="H90" s="137">
        <v>0</v>
      </c>
      <c r="I90" s="137">
        <v>0</v>
      </c>
      <c r="J90" s="137">
        <v>26.55</v>
      </c>
      <c r="K90" s="137" t="s">
        <v>77</v>
      </c>
      <c r="L90" s="137" t="s">
        <v>86</v>
      </c>
      <c r="M90" s="137" t="s">
        <v>87</v>
      </c>
      <c r="N90" s="137" t="b">
        <v>0</v>
      </c>
      <c r="O90" s="137" t="s">
        <v>82</v>
      </c>
      <c r="P90" s="137" t="s">
        <v>83</v>
      </c>
      <c r="Q90" s="137" t="s">
        <v>89</v>
      </c>
      <c r="R90" s="137" t="b">
        <v>1</v>
      </c>
      <c r="S90" s="139">
        <v>0</v>
      </c>
      <c r="T90" s="139">
        <v>1.54677416713599E+18</v>
      </c>
    </row>
    <row r="91" spans="3:20">
      <c r="C91" s="24" t="b">
        <v>0</v>
      </c>
      <c r="D91" s="137">
        <v>0</v>
      </c>
      <c r="E91" s="138">
        <v>3</v>
      </c>
      <c r="F91" s="137" t="s">
        <v>75</v>
      </c>
      <c r="G91" s="137">
        <v>20</v>
      </c>
      <c r="H91" s="137">
        <v>0</v>
      </c>
      <c r="I91" s="137">
        <v>0</v>
      </c>
      <c r="J91" s="137">
        <v>8.0500000000000007</v>
      </c>
      <c r="K91" s="137" t="s">
        <v>77</v>
      </c>
      <c r="L91" s="137" t="s">
        <v>79</v>
      </c>
      <c r="M91" s="137" t="s">
        <v>80</v>
      </c>
      <c r="N91" s="137" t="b">
        <v>1</v>
      </c>
      <c r="O91" s="137"/>
      <c r="P91" s="137" t="s">
        <v>83</v>
      </c>
      <c r="Q91" s="137" t="s">
        <v>84</v>
      </c>
      <c r="R91" s="137" t="b">
        <v>1</v>
      </c>
      <c r="S91" s="139">
        <v>1</v>
      </c>
      <c r="T91" s="139">
        <v>5.7021853875788401E+18</v>
      </c>
    </row>
    <row r="92" spans="3:20">
      <c r="C92" s="24" t="b">
        <v>0</v>
      </c>
      <c r="D92" s="137">
        <v>0</v>
      </c>
      <c r="E92" s="138">
        <v>3</v>
      </c>
      <c r="F92" s="137" t="s">
        <v>75</v>
      </c>
      <c r="G92" s="137">
        <v>39</v>
      </c>
      <c r="H92" s="137">
        <v>1</v>
      </c>
      <c r="I92" s="137">
        <v>5</v>
      </c>
      <c r="J92" s="137">
        <v>31.274999999999999</v>
      </c>
      <c r="K92" s="137" t="s">
        <v>77</v>
      </c>
      <c r="L92" s="137" t="s">
        <v>79</v>
      </c>
      <c r="M92" s="137" t="s">
        <v>80</v>
      </c>
      <c r="N92" s="137" t="b">
        <v>1</v>
      </c>
      <c r="O92" s="137"/>
      <c r="P92" s="137" t="s">
        <v>83</v>
      </c>
      <c r="Q92" s="137" t="s">
        <v>84</v>
      </c>
      <c r="R92" s="137" t="b">
        <v>0</v>
      </c>
      <c r="S92" s="139">
        <v>1</v>
      </c>
      <c r="T92" s="139">
        <v>7.6455744092062403E+18</v>
      </c>
    </row>
    <row r="93" spans="3:20">
      <c r="C93" s="24" t="b">
        <v>0</v>
      </c>
      <c r="D93" s="137">
        <v>0</v>
      </c>
      <c r="E93" s="138">
        <v>3</v>
      </c>
      <c r="F93" s="137" t="s">
        <v>85</v>
      </c>
      <c r="G93" s="137">
        <v>14</v>
      </c>
      <c r="H93" s="137">
        <v>0</v>
      </c>
      <c r="I93" s="137">
        <v>0</v>
      </c>
      <c r="J93" s="137">
        <v>7.8541999999999996</v>
      </c>
      <c r="K93" s="137" t="s">
        <v>77</v>
      </c>
      <c r="L93" s="137" t="s">
        <v>79</v>
      </c>
      <c r="M93" s="137" t="s">
        <v>93</v>
      </c>
      <c r="N93" s="137" t="b">
        <v>0</v>
      </c>
      <c r="O93" s="137"/>
      <c r="P93" s="137" t="s">
        <v>83</v>
      </c>
      <c r="Q93" s="137" t="s">
        <v>84</v>
      </c>
      <c r="R93" s="137" t="b">
        <v>1</v>
      </c>
      <c r="S93" s="139">
        <v>1</v>
      </c>
      <c r="T93" s="139">
        <v>9.0876812241702697E+18</v>
      </c>
    </row>
    <row r="94" spans="3:20">
      <c r="C94" s="24" t="b">
        <v>0</v>
      </c>
      <c r="D94" s="137">
        <v>1</v>
      </c>
      <c r="E94" s="138">
        <v>2</v>
      </c>
      <c r="F94" s="137" t="s">
        <v>85</v>
      </c>
      <c r="G94" s="137">
        <v>55</v>
      </c>
      <c r="H94" s="137">
        <v>0</v>
      </c>
      <c r="I94" s="137">
        <v>0</v>
      </c>
      <c r="J94" s="137">
        <v>16</v>
      </c>
      <c r="K94" s="137" t="s">
        <v>77</v>
      </c>
      <c r="L94" s="137" t="s">
        <v>94</v>
      </c>
      <c r="M94" s="137" t="s">
        <v>87</v>
      </c>
      <c r="N94" s="137" t="b">
        <v>0</v>
      </c>
      <c r="O94" s="137"/>
      <c r="P94" s="137" t="s">
        <v>83</v>
      </c>
      <c r="Q94" s="137" t="s">
        <v>89</v>
      </c>
      <c r="R94" s="137" t="b">
        <v>1</v>
      </c>
      <c r="S94" s="139">
        <v>1</v>
      </c>
      <c r="T94" s="139">
        <v>1.32919702809803E+19</v>
      </c>
    </row>
    <row r="95" spans="3:20">
      <c r="C95" s="24" t="b">
        <v>0</v>
      </c>
      <c r="D95" s="137">
        <v>0</v>
      </c>
      <c r="E95" s="138">
        <v>3</v>
      </c>
      <c r="F95" s="137" t="s">
        <v>75</v>
      </c>
      <c r="G95" s="137">
        <v>2</v>
      </c>
      <c r="H95" s="137">
        <v>4</v>
      </c>
      <c r="I95" s="137">
        <v>1</v>
      </c>
      <c r="J95" s="137">
        <v>29.125</v>
      </c>
      <c r="K95" s="137" t="s">
        <v>90</v>
      </c>
      <c r="L95" s="137" t="s">
        <v>79</v>
      </c>
      <c r="M95" s="137" t="s">
        <v>93</v>
      </c>
      <c r="N95" s="137" t="b">
        <v>0</v>
      </c>
      <c r="O95" s="137"/>
      <c r="P95" s="137" t="s">
        <v>91</v>
      </c>
      <c r="Q95" s="137" t="s">
        <v>84</v>
      </c>
      <c r="R95" s="137" t="b">
        <v>0</v>
      </c>
      <c r="S95" s="139">
        <v>1</v>
      </c>
      <c r="T95" s="139">
        <v>5.9497572672343101E+18</v>
      </c>
    </row>
    <row r="96" spans="3:20">
      <c r="C96" s="24" t="b">
        <v>0</v>
      </c>
      <c r="D96" s="137">
        <v>1</v>
      </c>
      <c r="E96" s="138">
        <v>2</v>
      </c>
      <c r="F96" s="137" t="s">
        <v>75</v>
      </c>
      <c r="G96" s="137"/>
      <c r="H96" s="137">
        <v>0</v>
      </c>
      <c r="I96" s="137">
        <v>0</v>
      </c>
      <c r="J96" s="137">
        <v>13</v>
      </c>
      <c r="K96" s="137" t="s">
        <v>77</v>
      </c>
      <c r="L96" s="137" t="s">
        <v>94</v>
      </c>
      <c r="M96" s="137" t="s">
        <v>80</v>
      </c>
      <c r="N96" s="137" t="b">
        <v>1</v>
      </c>
      <c r="O96" s="137"/>
      <c r="P96" s="137" t="s">
        <v>83</v>
      </c>
      <c r="Q96" s="137" t="s">
        <v>89</v>
      </c>
      <c r="R96" s="137" t="b">
        <v>1</v>
      </c>
      <c r="S96" s="139">
        <v>1</v>
      </c>
      <c r="T96" s="139">
        <v>2.8984420269896998E+17</v>
      </c>
    </row>
    <row r="97" spans="3:20">
      <c r="C97" s="24" t="b">
        <v>0</v>
      </c>
      <c r="D97" s="137">
        <v>0</v>
      </c>
      <c r="E97" s="138">
        <v>3</v>
      </c>
      <c r="F97" s="137" t="s">
        <v>85</v>
      </c>
      <c r="G97" s="137">
        <v>31</v>
      </c>
      <c r="H97" s="137">
        <v>1</v>
      </c>
      <c r="I97" s="137">
        <v>0</v>
      </c>
      <c r="J97" s="137">
        <v>18</v>
      </c>
      <c r="K97" s="137" t="s">
        <v>77</v>
      </c>
      <c r="L97" s="137" t="s">
        <v>79</v>
      </c>
      <c r="M97" s="137" t="s">
        <v>87</v>
      </c>
      <c r="N97" s="137" t="b">
        <v>0</v>
      </c>
      <c r="O97" s="137"/>
      <c r="P97" s="137" t="s">
        <v>83</v>
      </c>
      <c r="Q97" s="137" t="s">
        <v>84</v>
      </c>
      <c r="R97" s="137" t="b">
        <v>0</v>
      </c>
      <c r="S97" s="139">
        <v>1</v>
      </c>
      <c r="T97" s="139">
        <v>7.2595479954009702E+18</v>
      </c>
    </row>
    <row r="98" spans="3:20">
      <c r="C98" s="24" t="b">
        <v>0</v>
      </c>
      <c r="D98" s="137">
        <v>1</v>
      </c>
      <c r="E98" s="138">
        <v>3</v>
      </c>
      <c r="F98" s="137" t="s">
        <v>85</v>
      </c>
      <c r="G98" s="137"/>
      <c r="H98" s="137">
        <v>0</v>
      </c>
      <c r="I98" s="137">
        <v>0</v>
      </c>
      <c r="J98" s="137">
        <v>7.2249999999999996</v>
      </c>
      <c r="K98" s="137" t="s">
        <v>82</v>
      </c>
      <c r="L98" s="137" t="s">
        <v>79</v>
      </c>
      <c r="M98" s="137" t="s">
        <v>87</v>
      </c>
      <c r="N98" s="137" t="b">
        <v>0</v>
      </c>
      <c r="O98" s="137"/>
      <c r="P98" s="137" t="s">
        <v>88</v>
      </c>
      <c r="Q98" s="137" t="s">
        <v>89</v>
      </c>
      <c r="R98" s="137" t="b">
        <v>1</v>
      </c>
      <c r="S98" s="139">
        <v>1</v>
      </c>
      <c r="T98" s="139">
        <v>1.77493326980906E+19</v>
      </c>
    </row>
    <row r="99" spans="3:20">
      <c r="C99" s="24" t="b">
        <v>0</v>
      </c>
      <c r="D99" s="137">
        <v>0</v>
      </c>
      <c r="E99" s="138">
        <v>2</v>
      </c>
      <c r="F99" s="137" t="s">
        <v>75</v>
      </c>
      <c r="G99" s="137">
        <v>35</v>
      </c>
      <c r="H99" s="137">
        <v>0</v>
      </c>
      <c r="I99" s="137">
        <v>0</v>
      </c>
      <c r="J99" s="137">
        <v>26</v>
      </c>
      <c r="K99" s="137" t="s">
        <v>77</v>
      </c>
      <c r="L99" s="137" t="s">
        <v>94</v>
      </c>
      <c r="M99" s="137" t="s">
        <v>80</v>
      </c>
      <c r="N99" s="137" t="b">
        <v>1</v>
      </c>
      <c r="O99" s="137"/>
      <c r="P99" s="137" t="s">
        <v>83</v>
      </c>
      <c r="Q99" s="137" t="s">
        <v>84</v>
      </c>
      <c r="R99" s="137" t="b">
        <v>1</v>
      </c>
      <c r="S99" s="139">
        <v>1</v>
      </c>
      <c r="T99" s="139">
        <v>1.7189590779444001E+19</v>
      </c>
    </row>
    <row r="100" spans="3:20">
      <c r="C100" s="24" t="b">
        <v>0</v>
      </c>
      <c r="D100" s="137">
        <v>1</v>
      </c>
      <c r="E100" s="138">
        <v>2</v>
      </c>
      <c r="F100" s="137" t="s">
        <v>75</v>
      </c>
      <c r="G100" s="137">
        <v>34</v>
      </c>
      <c r="H100" s="137">
        <v>0</v>
      </c>
      <c r="I100" s="137">
        <v>0</v>
      </c>
      <c r="J100" s="137">
        <v>13</v>
      </c>
      <c r="K100" s="137" t="s">
        <v>77</v>
      </c>
      <c r="L100" s="137" t="s">
        <v>94</v>
      </c>
      <c r="M100" s="137" t="s">
        <v>80</v>
      </c>
      <c r="N100" s="137" t="b">
        <v>1</v>
      </c>
      <c r="O100" s="137" t="s">
        <v>96</v>
      </c>
      <c r="P100" s="137" t="s">
        <v>83</v>
      </c>
      <c r="Q100" s="137" t="s">
        <v>89</v>
      </c>
      <c r="R100" s="137" t="b">
        <v>1</v>
      </c>
      <c r="S100" s="139">
        <v>0</v>
      </c>
      <c r="T100" s="139">
        <v>6.3793867544974797E+18</v>
      </c>
    </row>
    <row r="101" spans="3:20">
      <c r="C101" s="24" t="b">
        <v>0</v>
      </c>
      <c r="D101" s="137">
        <v>1</v>
      </c>
      <c r="E101" s="138">
        <v>3</v>
      </c>
      <c r="F101" s="137" t="s">
        <v>85</v>
      </c>
      <c r="G101" s="137">
        <v>15</v>
      </c>
      <c r="H101" s="137">
        <v>0</v>
      </c>
      <c r="I101" s="137">
        <v>0</v>
      </c>
      <c r="J101" s="137">
        <v>8.0291999999999994</v>
      </c>
      <c r="K101" s="137" t="s">
        <v>90</v>
      </c>
      <c r="L101" s="137" t="s">
        <v>79</v>
      </c>
      <c r="M101" s="137" t="s">
        <v>93</v>
      </c>
      <c r="N101" s="137" t="b">
        <v>0</v>
      </c>
      <c r="O101" s="137"/>
      <c r="P101" s="137" t="s">
        <v>91</v>
      </c>
      <c r="Q101" s="137" t="s">
        <v>89</v>
      </c>
      <c r="R101" s="137" t="b">
        <v>1</v>
      </c>
      <c r="S101" s="139">
        <v>1</v>
      </c>
      <c r="T101" s="139">
        <v>7.6906672931471995E+18</v>
      </c>
    </row>
    <row r="102" spans="3:20">
      <c r="C102" s="24" t="b">
        <v>0</v>
      </c>
      <c r="D102" s="137">
        <v>1</v>
      </c>
      <c r="E102" s="138">
        <v>1</v>
      </c>
      <c r="F102" s="137" t="s">
        <v>75</v>
      </c>
      <c r="G102" s="137">
        <v>28</v>
      </c>
      <c r="H102" s="137">
        <v>0</v>
      </c>
      <c r="I102" s="137">
        <v>0</v>
      </c>
      <c r="J102" s="137">
        <v>35.5</v>
      </c>
      <c r="K102" s="137" t="s">
        <v>77</v>
      </c>
      <c r="L102" s="137" t="s">
        <v>86</v>
      </c>
      <c r="M102" s="137" t="s">
        <v>80</v>
      </c>
      <c r="N102" s="137" t="b">
        <v>1</v>
      </c>
      <c r="O102" s="137" t="s">
        <v>97</v>
      </c>
      <c r="P102" s="137" t="s">
        <v>83</v>
      </c>
      <c r="Q102" s="137" t="s">
        <v>89</v>
      </c>
      <c r="R102" s="137" t="b">
        <v>1</v>
      </c>
      <c r="S102" s="139">
        <v>0</v>
      </c>
      <c r="T102" s="139">
        <v>1.5530559191689001E+19</v>
      </c>
    </row>
    <row r="103" spans="3:20">
      <c r="C103" s="24" t="b">
        <v>0</v>
      </c>
      <c r="D103" s="137">
        <v>0</v>
      </c>
      <c r="E103" s="138">
        <v>3</v>
      </c>
      <c r="F103" s="137" t="s">
        <v>85</v>
      </c>
      <c r="G103" s="137">
        <v>8</v>
      </c>
      <c r="H103" s="137">
        <v>3</v>
      </c>
      <c r="I103" s="137">
        <v>1</v>
      </c>
      <c r="J103" s="137">
        <v>21.074999999999999</v>
      </c>
      <c r="K103" s="137" t="s">
        <v>77</v>
      </c>
      <c r="L103" s="137" t="s">
        <v>79</v>
      </c>
      <c r="M103" s="137" t="s">
        <v>93</v>
      </c>
      <c r="N103" s="137" t="b">
        <v>0</v>
      </c>
      <c r="O103" s="137"/>
      <c r="P103" s="137" t="s">
        <v>83</v>
      </c>
      <c r="Q103" s="137" t="s">
        <v>84</v>
      </c>
      <c r="R103" s="137" t="b">
        <v>0</v>
      </c>
      <c r="S103" s="139">
        <v>1</v>
      </c>
      <c r="T103" s="139">
        <v>1.73705684396093E+18</v>
      </c>
    </row>
    <row r="104" spans="3:20">
      <c r="C104" s="24" t="b">
        <v>0</v>
      </c>
      <c r="D104" s="137">
        <v>1</v>
      </c>
      <c r="E104" s="138">
        <v>3</v>
      </c>
      <c r="F104" s="137" t="s">
        <v>85</v>
      </c>
      <c r="G104" s="137">
        <v>38</v>
      </c>
      <c r="H104" s="137">
        <v>1</v>
      </c>
      <c r="I104" s="137">
        <v>5</v>
      </c>
      <c r="J104" s="137">
        <v>31.387499999999999</v>
      </c>
      <c r="K104" s="137" t="s">
        <v>77</v>
      </c>
      <c r="L104" s="137" t="s">
        <v>79</v>
      </c>
      <c r="M104" s="137" t="s">
        <v>87</v>
      </c>
      <c r="N104" s="137" t="b">
        <v>0</v>
      </c>
      <c r="O104" s="137"/>
      <c r="P104" s="137" t="s">
        <v>83</v>
      </c>
      <c r="Q104" s="137" t="s">
        <v>89</v>
      </c>
      <c r="R104" s="137" t="b">
        <v>0</v>
      </c>
      <c r="S104" s="139">
        <v>1</v>
      </c>
      <c r="T104" s="139">
        <v>8.0811351555749304E+18</v>
      </c>
    </row>
    <row r="105" spans="3:20">
      <c r="C105" s="24" t="b">
        <v>0</v>
      </c>
      <c r="D105" s="137">
        <v>0</v>
      </c>
      <c r="E105" s="138">
        <v>3</v>
      </c>
      <c r="F105" s="137" t="s">
        <v>75</v>
      </c>
      <c r="G105" s="137"/>
      <c r="H105" s="137">
        <v>0</v>
      </c>
      <c r="I105" s="137">
        <v>0</v>
      </c>
      <c r="J105" s="137">
        <v>7.2249999999999996</v>
      </c>
      <c r="K105" s="137" t="s">
        <v>82</v>
      </c>
      <c r="L105" s="137" t="s">
        <v>79</v>
      </c>
      <c r="M105" s="137" t="s">
        <v>80</v>
      </c>
      <c r="N105" s="137" t="b">
        <v>1</v>
      </c>
      <c r="O105" s="137"/>
      <c r="P105" s="137" t="s">
        <v>88</v>
      </c>
      <c r="Q105" s="137" t="s">
        <v>84</v>
      </c>
      <c r="R105" s="137" t="b">
        <v>1</v>
      </c>
      <c r="S105" s="139">
        <v>1</v>
      </c>
      <c r="T105" s="139">
        <v>5.4729232098319995E+18</v>
      </c>
    </row>
    <row r="106" spans="3:20">
      <c r="C106" s="24" t="b">
        <v>0</v>
      </c>
      <c r="D106" s="137">
        <v>0</v>
      </c>
      <c r="E106" s="138">
        <v>1</v>
      </c>
      <c r="F106" s="137" t="s">
        <v>75</v>
      </c>
      <c r="G106" s="137">
        <v>19</v>
      </c>
      <c r="H106" s="137">
        <v>3</v>
      </c>
      <c r="I106" s="137">
        <v>2</v>
      </c>
      <c r="J106" s="137">
        <v>263</v>
      </c>
      <c r="K106" s="137" t="s">
        <v>77</v>
      </c>
      <c r="L106" s="137" t="s">
        <v>86</v>
      </c>
      <c r="M106" s="137" t="s">
        <v>80</v>
      </c>
      <c r="N106" s="137" t="b">
        <v>1</v>
      </c>
      <c r="O106" s="137" t="s">
        <v>82</v>
      </c>
      <c r="P106" s="137" t="s">
        <v>83</v>
      </c>
      <c r="Q106" s="137" t="s">
        <v>84</v>
      </c>
      <c r="R106" s="137" t="b">
        <v>0</v>
      </c>
      <c r="S106" s="139">
        <v>0</v>
      </c>
      <c r="T106" s="139">
        <v>4.7166122099191603E+18</v>
      </c>
    </row>
    <row r="107" spans="3:20">
      <c r="C107" s="24" t="b">
        <v>0</v>
      </c>
      <c r="D107" s="137">
        <v>1</v>
      </c>
      <c r="E107" s="138">
        <v>3</v>
      </c>
      <c r="F107" s="137" t="s">
        <v>85</v>
      </c>
      <c r="G107" s="137"/>
      <c r="H107" s="137">
        <v>0</v>
      </c>
      <c r="I107" s="137">
        <v>0</v>
      </c>
      <c r="J107" s="137">
        <v>7.8792</v>
      </c>
      <c r="K107" s="137" t="s">
        <v>90</v>
      </c>
      <c r="L107" s="137" t="s">
        <v>79</v>
      </c>
      <c r="M107" s="137" t="s">
        <v>87</v>
      </c>
      <c r="N107" s="137" t="b">
        <v>0</v>
      </c>
      <c r="O107" s="137"/>
      <c r="P107" s="137" t="s">
        <v>91</v>
      </c>
      <c r="Q107" s="137" t="s">
        <v>89</v>
      </c>
      <c r="R107" s="137" t="b">
        <v>1</v>
      </c>
      <c r="S107" s="139">
        <v>1</v>
      </c>
      <c r="T107" s="139">
        <v>1.1837803142979899E+19</v>
      </c>
    </row>
    <row r="108" spans="3:20">
      <c r="C108" s="24" t="b">
        <v>0</v>
      </c>
      <c r="D108" s="137">
        <v>0</v>
      </c>
      <c r="E108" s="138">
        <v>3</v>
      </c>
      <c r="F108" s="137" t="s">
        <v>75</v>
      </c>
      <c r="G108" s="137"/>
      <c r="H108" s="137">
        <v>0</v>
      </c>
      <c r="I108" s="137">
        <v>0</v>
      </c>
      <c r="J108" s="137">
        <v>7.8958000000000004</v>
      </c>
      <c r="K108" s="137" t="s">
        <v>77</v>
      </c>
      <c r="L108" s="137" t="s">
        <v>79</v>
      </c>
      <c r="M108" s="137" t="s">
        <v>80</v>
      </c>
      <c r="N108" s="137" t="b">
        <v>1</v>
      </c>
      <c r="O108" s="137"/>
      <c r="P108" s="137" t="s">
        <v>83</v>
      </c>
      <c r="Q108" s="137" t="s">
        <v>84</v>
      </c>
      <c r="R108" s="137" t="b">
        <v>1</v>
      </c>
      <c r="S108" s="139">
        <v>1</v>
      </c>
      <c r="T108" s="139">
        <v>1.7970467560381901E+19</v>
      </c>
    </row>
    <row r="109" spans="3:20">
      <c r="C109" s="24" t="b">
        <v>0</v>
      </c>
      <c r="D109" s="137">
        <v>0</v>
      </c>
      <c r="E109" s="138">
        <v>1</v>
      </c>
      <c r="F109" s="137" t="s">
        <v>75</v>
      </c>
      <c r="G109" s="137">
        <v>40</v>
      </c>
      <c r="H109" s="137">
        <v>0</v>
      </c>
      <c r="I109" s="137">
        <v>0</v>
      </c>
      <c r="J109" s="137">
        <v>27.720800000000001</v>
      </c>
      <c r="K109" s="137" t="s">
        <v>82</v>
      </c>
      <c r="L109" s="137" t="s">
        <v>86</v>
      </c>
      <c r="M109" s="137" t="s">
        <v>80</v>
      </c>
      <c r="N109" s="137" t="b">
        <v>1</v>
      </c>
      <c r="O109" s="137"/>
      <c r="P109" s="137" t="s">
        <v>88</v>
      </c>
      <c r="Q109" s="137" t="s">
        <v>84</v>
      </c>
      <c r="R109" s="137" t="b">
        <v>1</v>
      </c>
      <c r="S109" s="139">
        <v>1</v>
      </c>
      <c r="T109" s="139">
        <v>1.5227074200428599E+19</v>
      </c>
    </row>
    <row r="110" spans="3:20">
      <c r="C110" s="24" t="b">
        <v>0</v>
      </c>
      <c r="D110" s="137">
        <v>1</v>
      </c>
      <c r="E110" s="138">
        <v>1</v>
      </c>
      <c r="F110" s="137" t="s">
        <v>85</v>
      </c>
      <c r="G110" s="137"/>
      <c r="H110" s="137">
        <v>1</v>
      </c>
      <c r="I110" s="137">
        <v>0</v>
      </c>
      <c r="J110" s="137">
        <v>146.52080000000001</v>
      </c>
      <c r="K110" s="137" t="s">
        <v>82</v>
      </c>
      <c r="L110" s="137" t="s">
        <v>86</v>
      </c>
      <c r="M110" s="137" t="s">
        <v>87</v>
      </c>
      <c r="N110" s="137" t="b">
        <v>0</v>
      </c>
      <c r="O110" s="137" t="s">
        <v>98</v>
      </c>
      <c r="P110" s="137" t="s">
        <v>88</v>
      </c>
      <c r="Q110" s="137" t="s">
        <v>89</v>
      </c>
      <c r="R110" s="137" t="b">
        <v>0</v>
      </c>
      <c r="S110" s="139">
        <v>1</v>
      </c>
      <c r="T110" s="139">
        <v>3.37689819767117E+18</v>
      </c>
    </row>
    <row r="111" spans="3:20">
      <c r="C111" s="24" t="b">
        <v>0</v>
      </c>
      <c r="D111" s="137">
        <v>1</v>
      </c>
      <c r="E111" s="138">
        <v>3</v>
      </c>
      <c r="F111" s="137" t="s">
        <v>85</v>
      </c>
      <c r="G111" s="137"/>
      <c r="H111" s="137">
        <v>0</v>
      </c>
      <c r="I111" s="137">
        <v>0</v>
      </c>
      <c r="J111" s="137">
        <v>7.75</v>
      </c>
      <c r="K111" s="137" t="s">
        <v>90</v>
      </c>
      <c r="L111" s="137" t="s">
        <v>79</v>
      </c>
      <c r="M111" s="137" t="s">
        <v>87</v>
      </c>
      <c r="N111" s="137" t="b">
        <v>0</v>
      </c>
      <c r="O111" s="137"/>
      <c r="P111" s="137" t="s">
        <v>91</v>
      </c>
      <c r="Q111" s="137" t="s">
        <v>89</v>
      </c>
      <c r="R111" s="137" t="b">
        <v>1</v>
      </c>
      <c r="S111" s="139">
        <v>1</v>
      </c>
      <c r="T111" s="139">
        <v>9.6415297742023398E+17</v>
      </c>
    </row>
    <row r="112" spans="3:20">
      <c r="C112" s="24" t="b">
        <v>0</v>
      </c>
      <c r="D112" s="137">
        <v>0</v>
      </c>
      <c r="E112" s="138">
        <v>2</v>
      </c>
      <c r="F112" s="137" t="s">
        <v>75</v>
      </c>
      <c r="G112" s="137">
        <v>66</v>
      </c>
      <c r="H112" s="137">
        <v>0</v>
      </c>
      <c r="I112" s="137">
        <v>0</v>
      </c>
      <c r="J112" s="137">
        <v>10.5</v>
      </c>
      <c r="K112" s="137" t="s">
        <v>77</v>
      </c>
      <c r="L112" s="137" t="s">
        <v>94</v>
      </c>
      <c r="M112" s="137" t="s">
        <v>80</v>
      </c>
      <c r="N112" s="137" t="b">
        <v>1</v>
      </c>
      <c r="O112" s="137"/>
      <c r="P112" s="137" t="s">
        <v>83</v>
      </c>
      <c r="Q112" s="137" t="s">
        <v>84</v>
      </c>
      <c r="R112" s="137" t="b">
        <v>1</v>
      </c>
      <c r="S112" s="139">
        <v>1</v>
      </c>
      <c r="T112" s="139">
        <v>1.02229671267544E+19</v>
      </c>
    </row>
    <row r="113" spans="3:20">
      <c r="C113" s="24" t="b">
        <v>0</v>
      </c>
      <c r="D113" s="137">
        <v>0</v>
      </c>
      <c r="E113" s="138">
        <v>1</v>
      </c>
      <c r="F113" s="137" t="s">
        <v>75</v>
      </c>
      <c r="G113" s="137">
        <v>28</v>
      </c>
      <c r="H113" s="137">
        <v>1</v>
      </c>
      <c r="I113" s="137">
        <v>0</v>
      </c>
      <c r="J113" s="137">
        <v>82.1708</v>
      </c>
      <c r="K113" s="137" t="s">
        <v>82</v>
      </c>
      <c r="L113" s="137" t="s">
        <v>86</v>
      </c>
      <c r="M113" s="137" t="s">
        <v>80</v>
      </c>
      <c r="N113" s="137" t="b">
        <v>1</v>
      </c>
      <c r="O113" s="137"/>
      <c r="P113" s="137" t="s">
        <v>88</v>
      </c>
      <c r="Q113" s="137" t="s">
        <v>84</v>
      </c>
      <c r="R113" s="137" t="b">
        <v>0</v>
      </c>
      <c r="S113" s="139">
        <v>1</v>
      </c>
      <c r="T113" s="139">
        <v>1.76588093814173E+19</v>
      </c>
    </row>
    <row r="114" spans="3:20">
      <c r="C114" s="24" t="b">
        <v>0</v>
      </c>
      <c r="D114" s="137">
        <v>0</v>
      </c>
      <c r="E114" s="138">
        <v>1</v>
      </c>
      <c r="F114" s="137" t="s">
        <v>75</v>
      </c>
      <c r="G114" s="137">
        <v>42</v>
      </c>
      <c r="H114" s="137">
        <v>1</v>
      </c>
      <c r="I114" s="137">
        <v>0</v>
      </c>
      <c r="J114" s="137">
        <v>52</v>
      </c>
      <c r="K114" s="137" t="s">
        <v>77</v>
      </c>
      <c r="L114" s="137" t="s">
        <v>86</v>
      </c>
      <c r="M114" s="137" t="s">
        <v>80</v>
      </c>
      <c r="N114" s="137" t="b">
        <v>1</v>
      </c>
      <c r="O114" s="137"/>
      <c r="P114" s="137" t="s">
        <v>83</v>
      </c>
      <c r="Q114" s="137" t="s">
        <v>84</v>
      </c>
      <c r="R114" s="137" t="b">
        <v>0</v>
      </c>
      <c r="S114" s="139">
        <v>1</v>
      </c>
      <c r="T114" s="139">
        <v>1.02601264663273E+19</v>
      </c>
    </row>
    <row r="115" spans="3:20">
      <c r="C115" s="24" t="b">
        <v>0</v>
      </c>
      <c r="D115" s="137">
        <v>1</v>
      </c>
      <c r="E115" s="138">
        <v>3</v>
      </c>
      <c r="F115" s="137" t="s">
        <v>75</v>
      </c>
      <c r="G115" s="137"/>
      <c r="H115" s="137">
        <v>0</v>
      </c>
      <c r="I115" s="137">
        <v>0</v>
      </c>
      <c r="J115" s="137">
        <v>7.2291999999999996</v>
      </c>
      <c r="K115" s="137" t="s">
        <v>82</v>
      </c>
      <c r="L115" s="137" t="s">
        <v>79</v>
      </c>
      <c r="M115" s="137" t="s">
        <v>80</v>
      </c>
      <c r="N115" s="137" t="b">
        <v>1</v>
      </c>
      <c r="O115" s="137"/>
      <c r="P115" s="137" t="s">
        <v>88</v>
      </c>
      <c r="Q115" s="137" t="s">
        <v>89</v>
      </c>
      <c r="R115" s="137" t="b">
        <v>1</v>
      </c>
      <c r="S115" s="139">
        <v>1</v>
      </c>
      <c r="T115" s="139">
        <v>1.38830410003666E+19</v>
      </c>
    </row>
    <row r="116" spans="3:20">
      <c r="C116" s="24" t="b">
        <v>0</v>
      </c>
      <c r="D116" s="137">
        <v>0</v>
      </c>
      <c r="E116" s="138">
        <v>3</v>
      </c>
      <c r="F116" s="137" t="s">
        <v>75</v>
      </c>
      <c r="G116" s="137">
        <v>21</v>
      </c>
      <c r="H116" s="137">
        <v>0</v>
      </c>
      <c r="I116" s="137">
        <v>0</v>
      </c>
      <c r="J116" s="137">
        <v>8.0500000000000007</v>
      </c>
      <c r="K116" s="137" t="s">
        <v>77</v>
      </c>
      <c r="L116" s="137" t="s">
        <v>79</v>
      </c>
      <c r="M116" s="137" t="s">
        <v>80</v>
      </c>
      <c r="N116" s="137" t="b">
        <v>1</v>
      </c>
      <c r="O116" s="137"/>
      <c r="P116" s="137" t="s">
        <v>83</v>
      </c>
      <c r="Q116" s="137" t="s">
        <v>84</v>
      </c>
      <c r="R116" s="137" t="b">
        <v>1</v>
      </c>
      <c r="S116" s="139">
        <v>1</v>
      </c>
      <c r="T116" s="139">
        <v>2.22990516956077E+18</v>
      </c>
    </row>
    <row r="117" spans="3:20">
      <c r="C117" s="24" t="b">
        <v>0</v>
      </c>
      <c r="D117" s="137">
        <v>0</v>
      </c>
      <c r="E117" s="138">
        <v>3</v>
      </c>
      <c r="F117" s="137" t="s">
        <v>85</v>
      </c>
      <c r="G117" s="137">
        <v>18</v>
      </c>
      <c r="H117" s="137">
        <v>2</v>
      </c>
      <c r="I117" s="137">
        <v>0</v>
      </c>
      <c r="J117" s="137">
        <v>18</v>
      </c>
      <c r="K117" s="137" t="s">
        <v>77</v>
      </c>
      <c r="L117" s="137" t="s">
        <v>79</v>
      </c>
      <c r="M117" s="137" t="s">
        <v>87</v>
      </c>
      <c r="N117" s="137" t="b">
        <v>0</v>
      </c>
      <c r="O117" s="137"/>
      <c r="P117" s="137" t="s">
        <v>83</v>
      </c>
      <c r="Q117" s="137" t="s">
        <v>84</v>
      </c>
      <c r="R117" s="137" t="b">
        <v>0</v>
      </c>
      <c r="S117" s="139">
        <v>1</v>
      </c>
      <c r="T117" s="139">
        <v>1.51399405976291E+19</v>
      </c>
    </row>
    <row r="118" spans="3:20">
      <c r="C118" s="24" t="b">
        <v>0</v>
      </c>
      <c r="D118" s="137">
        <v>1</v>
      </c>
      <c r="E118" s="138">
        <v>3</v>
      </c>
      <c r="F118" s="137" t="s">
        <v>85</v>
      </c>
      <c r="G118" s="137">
        <v>14</v>
      </c>
      <c r="H118" s="137">
        <v>1</v>
      </c>
      <c r="I118" s="137">
        <v>0</v>
      </c>
      <c r="J118" s="137">
        <v>11.2417</v>
      </c>
      <c r="K118" s="137" t="s">
        <v>82</v>
      </c>
      <c r="L118" s="137" t="s">
        <v>79</v>
      </c>
      <c r="M118" s="137" t="s">
        <v>93</v>
      </c>
      <c r="N118" s="137" t="b">
        <v>0</v>
      </c>
      <c r="O118" s="137"/>
      <c r="P118" s="137" t="s">
        <v>88</v>
      </c>
      <c r="Q118" s="137" t="s">
        <v>89</v>
      </c>
      <c r="R118" s="137" t="b">
        <v>0</v>
      </c>
      <c r="S118" s="139">
        <v>1</v>
      </c>
      <c r="T118" s="139">
        <v>1.67656958924225E+19</v>
      </c>
    </row>
    <row r="119" spans="3:20">
      <c r="C119" s="24" t="b">
        <v>0</v>
      </c>
      <c r="D119" s="137">
        <v>0</v>
      </c>
      <c r="E119" s="138">
        <v>3</v>
      </c>
      <c r="F119" s="137" t="s">
        <v>85</v>
      </c>
      <c r="G119" s="137">
        <v>40</v>
      </c>
      <c r="H119" s="137">
        <v>1</v>
      </c>
      <c r="I119" s="137">
        <v>0</v>
      </c>
      <c r="J119" s="137">
        <v>9.4749999999999996</v>
      </c>
      <c r="K119" s="137" t="s">
        <v>77</v>
      </c>
      <c r="L119" s="137" t="s">
        <v>79</v>
      </c>
      <c r="M119" s="137" t="s">
        <v>87</v>
      </c>
      <c r="N119" s="137" t="b">
        <v>0</v>
      </c>
      <c r="O119" s="137"/>
      <c r="P119" s="137" t="s">
        <v>83</v>
      </c>
      <c r="Q119" s="137" t="s">
        <v>84</v>
      </c>
      <c r="R119" s="137" t="b">
        <v>0</v>
      </c>
      <c r="S119" s="139">
        <v>1</v>
      </c>
      <c r="T119" s="139">
        <v>4.2192869641641902E+18</v>
      </c>
    </row>
    <row r="120" spans="3:20">
      <c r="C120" s="24" t="b">
        <v>0</v>
      </c>
      <c r="D120" s="137">
        <v>0</v>
      </c>
      <c r="E120" s="138">
        <v>2</v>
      </c>
      <c r="F120" s="137" t="s">
        <v>85</v>
      </c>
      <c r="G120" s="137">
        <v>27</v>
      </c>
      <c r="H120" s="137">
        <v>1</v>
      </c>
      <c r="I120" s="137">
        <v>0</v>
      </c>
      <c r="J120" s="137">
        <v>21</v>
      </c>
      <c r="K120" s="137" t="s">
        <v>77</v>
      </c>
      <c r="L120" s="137" t="s">
        <v>94</v>
      </c>
      <c r="M120" s="137" t="s">
        <v>87</v>
      </c>
      <c r="N120" s="137" t="b">
        <v>0</v>
      </c>
      <c r="O120" s="137"/>
      <c r="P120" s="137" t="s">
        <v>83</v>
      </c>
      <c r="Q120" s="137" t="s">
        <v>84</v>
      </c>
      <c r="R120" s="137" t="b">
        <v>0</v>
      </c>
      <c r="S120" s="139">
        <v>1</v>
      </c>
      <c r="T120" s="139">
        <v>7.7223194436756698E+17</v>
      </c>
    </row>
    <row r="121" spans="3:20">
      <c r="C121" s="24" t="b">
        <v>0</v>
      </c>
      <c r="D121" s="137">
        <v>0</v>
      </c>
      <c r="E121" s="138">
        <v>3</v>
      </c>
      <c r="F121" s="137" t="s">
        <v>75</v>
      </c>
      <c r="G121" s="137"/>
      <c r="H121" s="137">
        <v>0</v>
      </c>
      <c r="I121" s="137">
        <v>0</v>
      </c>
      <c r="J121" s="137">
        <v>7.8958000000000004</v>
      </c>
      <c r="K121" s="137" t="s">
        <v>82</v>
      </c>
      <c r="L121" s="137" t="s">
        <v>79</v>
      </c>
      <c r="M121" s="137" t="s">
        <v>80</v>
      </c>
      <c r="N121" s="137" t="b">
        <v>1</v>
      </c>
      <c r="O121" s="137"/>
      <c r="P121" s="137" t="s">
        <v>88</v>
      </c>
      <c r="Q121" s="137" t="s">
        <v>84</v>
      </c>
      <c r="R121" s="137" t="b">
        <v>1</v>
      </c>
      <c r="S121" s="139">
        <v>1</v>
      </c>
      <c r="T121" s="139">
        <v>2.95438231408177E+18</v>
      </c>
    </row>
    <row r="122" spans="3:20">
      <c r="C122" s="24" t="b">
        <v>0</v>
      </c>
      <c r="D122" s="137">
        <v>1</v>
      </c>
      <c r="E122" s="138">
        <v>2</v>
      </c>
      <c r="F122" s="137" t="s">
        <v>85</v>
      </c>
      <c r="G122" s="137">
        <v>3</v>
      </c>
      <c r="H122" s="137">
        <v>1</v>
      </c>
      <c r="I122" s="137">
        <v>2</v>
      </c>
      <c r="J122" s="137">
        <v>41.5792</v>
      </c>
      <c r="K122" s="137" t="s">
        <v>82</v>
      </c>
      <c r="L122" s="137" t="s">
        <v>94</v>
      </c>
      <c r="M122" s="137" t="s">
        <v>93</v>
      </c>
      <c r="N122" s="137" t="b">
        <v>0</v>
      </c>
      <c r="O122" s="137"/>
      <c r="P122" s="137" t="s">
        <v>88</v>
      </c>
      <c r="Q122" s="137" t="s">
        <v>89</v>
      </c>
      <c r="R122" s="137" t="b">
        <v>0</v>
      </c>
      <c r="S122" s="139">
        <v>1</v>
      </c>
      <c r="T122" s="139">
        <v>9.2099802883863101E+18</v>
      </c>
    </row>
    <row r="123" spans="3:20">
      <c r="C123" s="24" t="b">
        <v>0</v>
      </c>
      <c r="D123" s="137">
        <v>1</v>
      </c>
      <c r="E123" s="138">
        <v>3</v>
      </c>
      <c r="F123" s="137" t="s">
        <v>85</v>
      </c>
      <c r="G123" s="137">
        <v>19</v>
      </c>
      <c r="H123" s="137">
        <v>0</v>
      </c>
      <c r="I123" s="137">
        <v>0</v>
      </c>
      <c r="J123" s="137">
        <v>7.8792</v>
      </c>
      <c r="K123" s="137" t="s">
        <v>90</v>
      </c>
      <c r="L123" s="137" t="s">
        <v>79</v>
      </c>
      <c r="M123" s="137" t="s">
        <v>87</v>
      </c>
      <c r="N123" s="137" t="b">
        <v>0</v>
      </c>
      <c r="O123" s="137"/>
      <c r="P123" s="137" t="s">
        <v>91</v>
      </c>
      <c r="Q123" s="137" t="s">
        <v>89</v>
      </c>
      <c r="R123" s="137" t="b">
        <v>1</v>
      </c>
      <c r="S123" s="139">
        <v>1</v>
      </c>
      <c r="T123" s="139">
        <v>1.4168791894713201E+19</v>
      </c>
    </row>
    <row r="124" spans="3:20">
      <c r="C124" s="24" t="b">
        <v>0</v>
      </c>
      <c r="D124" s="137">
        <v>0</v>
      </c>
      <c r="E124" s="138">
        <v>3</v>
      </c>
      <c r="F124" s="137" t="s">
        <v>75</v>
      </c>
      <c r="G124" s="137"/>
      <c r="H124" s="137">
        <v>0</v>
      </c>
      <c r="I124" s="137">
        <v>0</v>
      </c>
      <c r="J124" s="137">
        <v>8.0500000000000007</v>
      </c>
      <c r="K124" s="137" t="s">
        <v>77</v>
      </c>
      <c r="L124" s="137" t="s">
        <v>79</v>
      </c>
      <c r="M124" s="137" t="s">
        <v>80</v>
      </c>
      <c r="N124" s="137" t="b">
        <v>1</v>
      </c>
      <c r="O124" s="137"/>
      <c r="P124" s="137" t="s">
        <v>83</v>
      </c>
      <c r="Q124" s="137" t="s">
        <v>84</v>
      </c>
      <c r="R124" s="137" t="b">
        <v>1</v>
      </c>
      <c r="S124" s="139">
        <v>1</v>
      </c>
      <c r="T124" s="139">
        <v>1.0519935439659201E+19</v>
      </c>
    </row>
    <row r="125" spans="3:20">
      <c r="C125" s="24" t="b">
        <v>0</v>
      </c>
      <c r="D125" s="137">
        <v>0</v>
      </c>
      <c r="E125" s="138">
        <v>3</v>
      </c>
      <c r="F125" s="137" t="s">
        <v>75</v>
      </c>
      <c r="G125" s="137"/>
      <c r="H125" s="137">
        <v>1</v>
      </c>
      <c r="I125" s="137">
        <v>0</v>
      </c>
      <c r="J125" s="137">
        <v>15.5</v>
      </c>
      <c r="K125" s="137" t="s">
        <v>90</v>
      </c>
      <c r="L125" s="137" t="s">
        <v>79</v>
      </c>
      <c r="M125" s="137" t="s">
        <v>80</v>
      </c>
      <c r="N125" s="137" t="b">
        <v>1</v>
      </c>
      <c r="O125" s="137"/>
      <c r="P125" s="137" t="s">
        <v>91</v>
      </c>
      <c r="Q125" s="137" t="s">
        <v>84</v>
      </c>
      <c r="R125" s="137" t="b">
        <v>0</v>
      </c>
      <c r="S125" s="139">
        <v>1</v>
      </c>
      <c r="T125" s="139">
        <v>6.6137722916600801E+18</v>
      </c>
    </row>
    <row r="126" spans="3:20">
      <c r="C126" s="24" t="b">
        <v>0</v>
      </c>
      <c r="D126" s="137">
        <v>1</v>
      </c>
      <c r="E126" s="138">
        <v>3</v>
      </c>
      <c r="F126" s="137" t="s">
        <v>85</v>
      </c>
      <c r="G126" s="137"/>
      <c r="H126" s="137">
        <v>0</v>
      </c>
      <c r="I126" s="137">
        <v>0</v>
      </c>
      <c r="J126" s="137">
        <v>7.75</v>
      </c>
      <c r="K126" s="137" t="s">
        <v>90</v>
      </c>
      <c r="L126" s="137" t="s">
        <v>79</v>
      </c>
      <c r="M126" s="137" t="s">
        <v>87</v>
      </c>
      <c r="N126" s="137" t="b">
        <v>0</v>
      </c>
      <c r="O126" s="137"/>
      <c r="P126" s="137" t="s">
        <v>91</v>
      </c>
      <c r="Q126" s="137" t="s">
        <v>89</v>
      </c>
      <c r="R126" s="137" t="b">
        <v>1</v>
      </c>
      <c r="S126" s="139">
        <v>1</v>
      </c>
      <c r="T126" s="139">
        <v>9.6415297742023398E+17</v>
      </c>
    </row>
    <row r="127" spans="3:20">
      <c r="C127" s="24" t="b">
        <v>0</v>
      </c>
      <c r="D127" s="137">
        <v>0</v>
      </c>
      <c r="E127" s="138">
        <v>3</v>
      </c>
      <c r="F127" s="137" t="s">
        <v>75</v>
      </c>
      <c r="G127" s="137"/>
      <c r="H127" s="137">
        <v>2</v>
      </c>
      <c r="I127" s="137">
        <v>0</v>
      </c>
      <c r="J127" s="137">
        <v>21.679200000000002</v>
      </c>
      <c r="K127" s="137" t="s">
        <v>82</v>
      </c>
      <c r="L127" s="137" t="s">
        <v>79</v>
      </c>
      <c r="M127" s="137" t="s">
        <v>80</v>
      </c>
      <c r="N127" s="137" t="b">
        <v>1</v>
      </c>
      <c r="O127" s="137"/>
      <c r="P127" s="137" t="s">
        <v>88</v>
      </c>
      <c r="Q127" s="137" t="s">
        <v>84</v>
      </c>
      <c r="R127" s="137" t="b">
        <v>0</v>
      </c>
      <c r="S127" s="139">
        <v>1</v>
      </c>
      <c r="T127" s="139">
        <v>1.6692826398251901E+19</v>
      </c>
    </row>
    <row r="128" spans="3:20">
      <c r="C128" s="24" t="b">
        <v>0</v>
      </c>
      <c r="D128" s="137">
        <v>0</v>
      </c>
      <c r="E128" s="138">
        <v>3</v>
      </c>
      <c r="F128" s="137" t="s">
        <v>85</v>
      </c>
      <c r="G128" s="137">
        <v>18</v>
      </c>
      <c r="H128" s="137">
        <v>1</v>
      </c>
      <c r="I128" s="137">
        <v>0</v>
      </c>
      <c r="J128" s="137">
        <v>17.8</v>
      </c>
      <c r="K128" s="137" t="s">
        <v>77</v>
      </c>
      <c r="L128" s="137" t="s">
        <v>79</v>
      </c>
      <c r="M128" s="137" t="s">
        <v>87</v>
      </c>
      <c r="N128" s="137" t="b">
        <v>0</v>
      </c>
      <c r="O128" s="137"/>
      <c r="P128" s="137" t="s">
        <v>83</v>
      </c>
      <c r="Q128" s="137" t="s">
        <v>84</v>
      </c>
      <c r="R128" s="137" t="b">
        <v>0</v>
      </c>
      <c r="S128" s="139">
        <v>1</v>
      </c>
      <c r="T128" s="139">
        <v>1.1655308711644101E+19</v>
      </c>
    </row>
    <row r="129" spans="3:20">
      <c r="C129" s="24" t="b">
        <v>0</v>
      </c>
      <c r="D129" s="137">
        <v>0</v>
      </c>
      <c r="E129" s="138">
        <v>3</v>
      </c>
      <c r="F129" s="137" t="s">
        <v>75</v>
      </c>
      <c r="G129" s="137">
        <v>7</v>
      </c>
      <c r="H129" s="137">
        <v>4</v>
      </c>
      <c r="I129" s="137">
        <v>1</v>
      </c>
      <c r="J129" s="137">
        <v>39.6875</v>
      </c>
      <c r="K129" s="137" t="s">
        <v>77</v>
      </c>
      <c r="L129" s="137" t="s">
        <v>79</v>
      </c>
      <c r="M129" s="137" t="s">
        <v>93</v>
      </c>
      <c r="N129" s="137" t="b">
        <v>0</v>
      </c>
      <c r="O129" s="137"/>
      <c r="P129" s="137" t="s">
        <v>83</v>
      </c>
      <c r="Q129" s="137" t="s">
        <v>84</v>
      </c>
      <c r="R129" s="137" t="b">
        <v>0</v>
      </c>
      <c r="S129" s="139">
        <v>1</v>
      </c>
      <c r="T129" s="139">
        <v>6.5890087548200202E+18</v>
      </c>
    </row>
    <row r="130" spans="3:20">
      <c r="C130" s="24" t="b">
        <v>0</v>
      </c>
      <c r="D130" s="137">
        <v>0</v>
      </c>
      <c r="E130" s="138">
        <v>3</v>
      </c>
      <c r="F130" s="137" t="s">
        <v>75</v>
      </c>
      <c r="G130" s="137">
        <v>21</v>
      </c>
      <c r="H130" s="137">
        <v>0</v>
      </c>
      <c r="I130" s="137">
        <v>0</v>
      </c>
      <c r="J130" s="137">
        <v>7.8</v>
      </c>
      <c r="K130" s="137" t="s">
        <v>77</v>
      </c>
      <c r="L130" s="137" t="s">
        <v>79</v>
      </c>
      <c r="M130" s="137" t="s">
        <v>80</v>
      </c>
      <c r="N130" s="137" t="b">
        <v>1</v>
      </c>
      <c r="O130" s="137"/>
      <c r="P130" s="137" t="s">
        <v>83</v>
      </c>
      <c r="Q130" s="137" t="s">
        <v>84</v>
      </c>
      <c r="R130" s="137" t="b">
        <v>1</v>
      </c>
      <c r="S130" s="139">
        <v>1</v>
      </c>
      <c r="T130" s="139">
        <v>1.78904016584488E+19</v>
      </c>
    </row>
    <row r="131" spans="3:20">
      <c r="C131" s="24" t="b">
        <v>0</v>
      </c>
      <c r="D131" s="137">
        <v>1</v>
      </c>
      <c r="E131" s="138">
        <v>1</v>
      </c>
      <c r="F131" s="137" t="s">
        <v>85</v>
      </c>
      <c r="G131" s="137">
        <v>49</v>
      </c>
      <c r="H131" s="137">
        <v>1</v>
      </c>
      <c r="I131" s="137">
        <v>0</v>
      </c>
      <c r="J131" s="137">
        <v>76.729200000000006</v>
      </c>
      <c r="K131" s="137" t="s">
        <v>82</v>
      </c>
      <c r="L131" s="137" t="s">
        <v>86</v>
      </c>
      <c r="M131" s="137" t="s">
        <v>87</v>
      </c>
      <c r="N131" s="137" t="b">
        <v>0</v>
      </c>
      <c r="O131" s="137" t="s">
        <v>96</v>
      </c>
      <c r="P131" s="137" t="s">
        <v>88</v>
      </c>
      <c r="Q131" s="137" t="s">
        <v>89</v>
      </c>
      <c r="R131" s="137" t="b">
        <v>0</v>
      </c>
      <c r="S131" s="139">
        <v>0</v>
      </c>
      <c r="T131" s="139">
        <v>7.5640156099836897E+18</v>
      </c>
    </row>
    <row r="132" spans="3:20">
      <c r="C132" s="24" t="b">
        <v>0</v>
      </c>
      <c r="D132" s="137">
        <v>1</v>
      </c>
      <c r="E132" s="138">
        <v>2</v>
      </c>
      <c r="F132" s="137" t="s">
        <v>85</v>
      </c>
      <c r="G132" s="137">
        <v>29</v>
      </c>
      <c r="H132" s="137">
        <v>1</v>
      </c>
      <c r="I132" s="137">
        <v>0</v>
      </c>
      <c r="J132" s="137">
        <v>26</v>
      </c>
      <c r="K132" s="137" t="s">
        <v>77</v>
      </c>
      <c r="L132" s="137" t="s">
        <v>94</v>
      </c>
      <c r="M132" s="137" t="s">
        <v>87</v>
      </c>
      <c r="N132" s="137" t="b">
        <v>0</v>
      </c>
      <c r="O132" s="137"/>
      <c r="P132" s="137" t="s">
        <v>83</v>
      </c>
      <c r="Q132" s="137" t="s">
        <v>89</v>
      </c>
      <c r="R132" s="137" t="b">
        <v>0</v>
      </c>
      <c r="S132" s="139">
        <v>1</v>
      </c>
      <c r="T132" s="139">
        <v>1.2771388903925201E+19</v>
      </c>
    </row>
    <row r="133" spans="3:20">
      <c r="C133" s="24" t="b">
        <v>0</v>
      </c>
      <c r="D133" s="137">
        <v>0</v>
      </c>
      <c r="E133" s="138">
        <v>1</v>
      </c>
      <c r="F133" s="137" t="s">
        <v>75</v>
      </c>
      <c r="G133" s="137">
        <v>65</v>
      </c>
      <c r="H133" s="137">
        <v>0</v>
      </c>
      <c r="I133" s="137">
        <v>1</v>
      </c>
      <c r="J133" s="137">
        <v>61.979199999999999</v>
      </c>
      <c r="K133" s="137" t="s">
        <v>82</v>
      </c>
      <c r="L133" s="137" t="s">
        <v>86</v>
      </c>
      <c r="M133" s="137" t="s">
        <v>80</v>
      </c>
      <c r="N133" s="137" t="b">
        <v>1</v>
      </c>
      <c r="O133" s="137" t="s">
        <v>98</v>
      </c>
      <c r="P133" s="137" t="s">
        <v>88</v>
      </c>
      <c r="Q133" s="137" t="s">
        <v>84</v>
      </c>
      <c r="R133" s="137" t="b">
        <v>0</v>
      </c>
      <c r="S133" s="139">
        <v>0</v>
      </c>
      <c r="T133" s="139">
        <v>8.4468636431757896E+18</v>
      </c>
    </row>
    <row r="134" spans="3:20">
      <c r="C134" s="24" t="b">
        <v>0</v>
      </c>
      <c r="D134" s="137">
        <v>1</v>
      </c>
      <c r="E134" s="138">
        <v>1</v>
      </c>
      <c r="F134" s="137" t="s">
        <v>75</v>
      </c>
      <c r="G134" s="137"/>
      <c r="H134" s="137">
        <v>0</v>
      </c>
      <c r="I134" s="137">
        <v>0</v>
      </c>
      <c r="J134" s="137">
        <v>35.5</v>
      </c>
      <c r="K134" s="137" t="s">
        <v>77</v>
      </c>
      <c r="L134" s="137" t="s">
        <v>86</v>
      </c>
      <c r="M134" s="137" t="s">
        <v>80</v>
      </c>
      <c r="N134" s="137" t="b">
        <v>1</v>
      </c>
      <c r="O134" s="137" t="s">
        <v>82</v>
      </c>
      <c r="P134" s="137" t="s">
        <v>83</v>
      </c>
      <c r="Q134" s="137" t="s">
        <v>89</v>
      </c>
      <c r="R134" s="137" t="b">
        <v>1</v>
      </c>
      <c r="S134" s="139">
        <v>1</v>
      </c>
      <c r="T134" s="139">
        <v>1.1779669370958801E+19</v>
      </c>
    </row>
    <row r="135" spans="3:20">
      <c r="C135" s="24" t="b">
        <v>0</v>
      </c>
      <c r="D135" s="137">
        <v>1</v>
      </c>
      <c r="E135" s="138">
        <v>2</v>
      </c>
      <c r="F135" s="137" t="s">
        <v>85</v>
      </c>
      <c r="G135" s="137">
        <v>21</v>
      </c>
      <c r="H135" s="137">
        <v>0</v>
      </c>
      <c r="I135" s="137">
        <v>0</v>
      </c>
      <c r="J135" s="137">
        <v>10.5</v>
      </c>
      <c r="K135" s="137" t="s">
        <v>77</v>
      </c>
      <c r="L135" s="137" t="s">
        <v>94</v>
      </c>
      <c r="M135" s="137" t="s">
        <v>87</v>
      </c>
      <c r="N135" s="137" t="b">
        <v>0</v>
      </c>
      <c r="O135" s="137"/>
      <c r="P135" s="137" t="s">
        <v>83</v>
      </c>
      <c r="Q135" s="137" t="s">
        <v>89</v>
      </c>
      <c r="R135" s="137" t="b">
        <v>1</v>
      </c>
      <c r="S135" s="139">
        <v>1</v>
      </c>
      <c r="T135" s="139">
        <v>3.5925382684544799E+18</v>
      </c>
    </row>
    <row r="136" spans="3:20">
      <c r="C136" s="24" t="b">
        <v>0</v>
      </c>
      <c r="D136" s="137">
        <v>0</v>
      </c>
      <c r="E136" s="138">
        <v>3</v>
      </c>
      <c r="F136" s="137" t="s">
        <v>75</v>
      </c>
      <c r="G136" s="137">
        <v>28.5</v>
      </c>
      <c r="H136" s="137">
        <v>0</v>
      </c>
      <c r="I136" s="137">
        <v>0</v>
      </c>
      <c r="J136" s="137">
        <v>7.2291999999999996</v>
      </c>
      <c r="K136" s="137" t="s">
        <v>82</v>
      </c>
      <c r="L136" s="137" t="s">
        <v>79</v>
      </c>
      <c r="M136" s="137" t="s">
        <v>80</v>
      </c>
      <c r="N136" s="137" t="b">
        <v>1</v>
      </c>
      <c r="O136" s="137"/>
      <c r="P136" s="137" t="s">
        <v>88</v>
      </c>
      <c r="Q136" s="137" t="s">
        <v>84</v>
      </c>
      <c r="R136" s="137" t="b">
        <v>1</v>
      </c>
      <c r="S136" s="139">
        <v>1</v>
      </c>
      <c r="T136" s="139">
        <v>6.5348552615593595E+18</v>
      </c>
    </row>
    <row r="137" spans="3:20">
      <c r="C137" s="24" t="b">
        <v>0</v>
      </c>
      <c r="D137" s="137">
        <v>1</v>
      </c>
      <c r="E137" s="138">
        <v>2</v>
      </c>
      <c r="F137" s="137" t="s">
        <v>85</v>
      </c>
      <c r="G137" s="137">
        <v>5</v>
      </c>
      <c r="H137" s="137">
        <v>1</v>
      </c>
      <c r="I137" s="137">
        <v>2</v>
      </c>
      <c r="J137" s="137">
        <v>27.75</v>
      </c>
      <c r="K137" s="137" t="s">
        <v>77</v>
      </c>
      <c r="L137" s="137" t="s">
        <v>94</v>
      </c>
      <c r="M137" s="137" t="s">
        <v>93</v>
      </c>
      <c r="N137" s="137" t="b">
        <v>0</v>
      </c>
      <c r="O137" s="137"/>
      <c r="P137" s="137" t="s">
        <v>83</v>
      </c>
      <c r="Q137" s="137" t="s">
        <v>89</v>
      </c>
      <c r="R137" s="137" t="b">
        <v>0</v>
      </c>
      <c r="S137" s="139">
        <v>1</v>
      </c>
      <c r="T137" s="139">
        <v>4.7331437463489004E+18</v>
      </c>
    </row>
    <row r="138" spans="3:20">
      <c r="C138" s="24" t="b">
        <v>0</v>
      </c>
      <c r="D138" s="137">
        <v>0</v>
      </c>
      <c r="E138" s="138">
        <v>3</v>
      </c>
      <c r="F138" s="137" t="s">
        <v>75</v>
      </c>
      <c r="G138" s="137">
        <v>11</v>
      </c>
      <c r="H138" s="137">
        <v>5</v>
      </c>
      <c r="I138" s="137">
        <v>2</v>
      </c>
      <c r="J138" s="137">
        <v>46.9</v>
      </c>
      <c r="K138" s="137" t="s">
        <v>77</v>
      </c>
      <c r="L138" s="137" t="s">
        <v>79</v>
      </c>
      <c r="M138" s="137" t="s">
        <v>93</v>
      </c>
      <c r="N138" s="137" t="b">
        <v>0</v>
      </c>
      <c r="O138" s="137"/>
      <c r="P138" s="137" t="s">
        <v>83</v>
      </c>
      <c r="Q138" s="137" t="s">
        <v>84</v>
      </c>
      <c r="R138" s="137" t="b">
        <v>0</v>
      </c>
      <c r="S138" s="139">
        <v>1</v>
      </c>
      <c r="T138" s="139">
        <v>1.6724544763988699E+19</v>
      </c>
    </row>
    <row r="139" spans="3:20">
      <c r="C139" s="24" t="b">
        <v>0</v>
      </c>
      <c r="D139" s="137">
        <v>0</v>
      </c>
      <c r="E139" s="138">
        <v>3</v>
      </c>
      <c r="F139" s="137" t="s">
        <v>75</v>
      </c>
      <c r="G139" s="137">
        <v>22</v>
      </c>
      <c r="H139" s="137">
        <v>0</v>
      </c>
      <c r="I139" s="137">
        <v>0</v>
      </c>
      <c r="J139" s="137">
        <v>7.2291999999999996</v>
      </c>
      <c r="K139" s="137" t="s">
        <v>82</v>
      </c>
      <c r="L139" s="137" t="s">
        <v>79</v>
      </c>
      <c r="M139" s="137" t="s">
        <v>80</v>
      </c>
      <c r="N139" s="137" t="b">
        <v>1</v>
      </c>
      <c r="O139" s="137"/>
      <c r="P139" s="137" t="s">
        <v>88</v>
      </c>
      <c r="Q139" s="137" t="s">
        <v>84</v>
      </c>
      <c r="R139" s="137" t="b">
        <v>1</v>
      </c>
      <c r="S139" s="139">
        <v>1</v>
      </c>
      <c r="T139" s="139">
        <v>7.8412906154768302E+18</v>
      </c>
    </row>
    <row r="140" spans="3:20">
      <c r="C140" s="24" t="b">
        <v>0</v>
      </c>
      <c r="D140" s="137">
        <v>1</v>
      </c>
      <c r="E140" s="138">
        <v>1</v>
      </c>
      <c r="F140" s="137" t="s">
        <v>85</v>
      </c>
      <c r="G140" s="137">
        <v>38</v>
      </c>
      <c r="H140" s="137">
        <v>0</v>
      </c>
      <c r="I140" s="137">
        <v>0</v>
      </c>
      <c r="J140" s="137">
        <v>80</v>
      </c>
      <c r="K140" s="137"/>
      <c r="L140" s="137" t="s">
        <v>86</v>
      </c>
      <c r="M140" s="137" t="s">
        <v>87</v>
      </c>
      <c r="N140" s="137" t="b">
        <v>0</v>
      </c>
      <c r="O140" s="137" t="s">
        <v>98</v>
      </c>
      <c r="P140" s="137"/>
      <c r="Q140" s="137" t="s">
        <v>89</v>
      </c>
      <c r="R140" s="137" t="b">
        <v>1</v>
      </c>
      <c r="S140" s="139">
        <v>1</v>
      </c>
      <c r="T140" s="139">
        <v>3.5600473759129001E+18</v>
      </c>
    </row>
    <row r="141" spans="3:20">
      <c r="C141" s="24" t="b">
        <v>0</v>
      </c>
      <c r="D141" s="137">
        <v>0</v>
      </c>
      <c r="E141" s="138">
        <v>1</v>
      </c>
      <c r="F141" s="137" t="s">
        <v>75</v>
      </c>
      <c r="G141" s="137">
        <v>45</v>
      </c>
      <c r="H141" s="137">
        <v>1</v>
      </c>
      <c r="I141" s="137">
        <v>0</v>
      </c>
      <c r="J141" s="137">
        <v>83.474999999999994</v>
      </c>
      <c r="K141" s="137" t="s">
        <v>77</v>
      </c>
      <c r="L141" s="137" t="s">
        <v>86</v>
      </c>
      <c r="M141" s="137" t="s">
        <v>80</v>
      </c>
      <c r="N141" s="137" t="b">
        <v>1</v>
      </c>
      <c r="O141" s="137" t="s">
        <v>82</v>
      </c>
      <c r="P141" s="137" t="s">
        <v>83</v>
      </c>
      <c r="Q141" s="137" t="s">
        <v>84</v>
      </c>
      <c r="R141" s="137" t="b">
        <v>0</v>
      </c>
      <c r="S141" s="139">
        <v>0</v>
      </c>
      <c r="T141" s="139">
        <v>3.6654260996786499E+18</v>
      </c>
    </row>
    <row r="142" spans="3:20">
      <c r="C142" s="24" t="b">
        <v>0</v>
      </c>
      <c r="D142" s="137">
        <v>0</v>
      </c>
      <c r="E142" s="138">
        <v>3</v>
      </c>
      <c r="F142" s="137" t="s">
        <v>75</v>
      </c>
      <c r="G142" s="137">
        <v>4</v>
      </c>
      <c r="H142" s="137">
        <v>3</v>
      </c>
      <c r="I142" s="137">
        <v>2</v>
      </c>
      <c r="J142" s="137">
        <v>27.9</v>
      </c>
      <c r="K142" s="137" t="s">
        <v>77</v>
      </c>
      <c r="L142" s="137" t="s">
        <v>79</v>
      </c>
      <c r="M142" s="137" t="s">
        <v>93</v>
      </c>
      <c r="N142" s="137" t="b">
        <v>0</v>
      </c>
      <c r="O142" s="137"/>
      <c r="P142" s="137" t="s">
        <v>83</v>
      </c>
      <c r="Q142" s="137" t="s">
        <v>84</v>
      </c>
      <c r="R142" s="137" t="b">
        <v>0</v>
      </c>
      <c r="S142" s="139">
        <v>1</v>
      </c>
      <c r="T142" s="139">
        <v>9.9728187374566502E+18</v>
      </c>
    </row>
    <row r="143" spans="3:20">
      <c r="C143" s="24" t="b">
        <v>0</v>
      </c>
      <c r="D143" s="137">
        <v>0</v>
      </c>
      <c r="E143" s="138">
        <v>1</v>
      </c>
      <c r="F143" s="137" t="s">
        <v>75</v>
      </c>
      <c r="G143" s="137"/>
      <c r="H143" s="137">
        <v>0</v>
      </c>
      <c r="I143" s="137">
        <v>0</v>
      </c>
      <c r="J143" s="137">
        <v>27.720800000000001</v>
      </c>
      <c r="K143" s="137" t="s">
        <v>82</v>
      </c>
      <c r="L143" s="137" t="s">
        <v>86</v>
      </c>
      <c r="M143" s="137" t="s">
        <v>80</v>
      </c>
      <c r="N143" s="137" t="b">
        <v>1</v>
      </c>
      <c r="O143" s="137"/>
      <c r="P143" s="137" t="s">
        <v>88</v>
      </c>
      <c r="Q143" s="137" t="s">
        <v>84</v>
      </c>
      <c r="R143" s="137" t="b">
        <v>1</v>
      </c>
      <c r="S143" s="139">
        <v>1</v>
      </c>
      <c r="T143" s="139">
        <v>1.67028729440001E+19</v>
      </c>
    </row>
    <row r="144" spans="3:20">
      <c r="C144" s="24" t="b">
        <v>0</v>
      </c>
      <c r="D144" s="137">
        <v>1</v>
      </c>
      <c r="E144" s="138">
        <v>3</v>
      </c>
      <c r="F144" s="137" t="s">
        <v>75</v>
      </c>
      <c r="G144" s="137"/>
      <c r="H144" s="137">
        <v>1</v>
      </c>
      <c r="I144" s="137">
        <v>1</v>
      </c>
      <c r="J144" s="137">
        <v>15.245799999999999</v>
      </c>
      <c r="K144" s="137" t="s">
        <v>82</v>
      </c>
      <c r="L144" s="137" t="s">
        <v>79</v>
      </c>
      <c r="M144" s="137" t="s">
        <v>80</v>
      </c>
      <c r="N144" s="137" t="b">
        <v>1</v>
      </c>
      <c r="O144" s="137"/>
      <c r="P144" s="137" t="s">
        <v>88</v>
      </c>
      <c r="Q144" s="137" t="s">
        <v>89</v>
      </c>
      <c r="R144" s="137" t="b">
        <v>0</v>
      </c>
      <c r="S144" s="139">
        <v>1</v>
      </c>
      <c r="T144" s="139">
        <v>1.6080472643208901E+19</v>
      </c>
    </row>
    <row r="145" spans="3:20">
      <c r="C145" s="24" t="b">
        <v>0</v>
      </c>
      <c r="D145" s="137">
        <v>1</v>
      </c>
      <c r="E145" s="138">
        <v>2</v>
      </c>
      <c r="F145" s="137" t="s">
        <v>85</v>
      </c>
      <c r="G145" s="137">
        <v>29</v>
      </c>
      <c r="H145" s="137">
        <v>0</v>
      </c>
      <c r="I145" s="137">
        <v>0</v>
      </c>
      <c r="J145" s="137">
        <v>10.5</v>
      </c>
      <c r="K145" s="137" t="s">
        <v>77</v>
      </c>
      <c r="L145" s="137" t="s">
        <v>94</v>
      </c>
      <c r="M145" s="137" t="s">
        <v>87</v>
      </c>
      <c r="N145" s="137" t="b">
        <v>0</v>
      </c>
      <c r="O145" s="137" t="s">
        <v>99</v>
      </c>
      <c r="P145" s="137" t="s">
        <v>83</v>
      </c>
      <c r="Q145" s="137" t="s">
        <v>89</v>
      </c>
      <c r="R145" s="137" t="b">
        <v>1</v>
      </c>
      <c r="S145" s="139">
        <v>0</v>
      </c>
      <c r="T145" s="139">
        <v>6.2156306390571305E+18</v>
      </c>
    </row>
    <row r="146" spans="3:20">
      <c r="C146" s="24" t="b">
        <v>0</v>
      </c>
      <c r="D146" s="137">
        <v>0</v>
      </c>
      <c r="E146" s="138">
        <v>3</v>
      </c>
      <c r="F146" s="137" t="s">
        <v>75</v>
      </c>
      <c r="G146" s="137">
        <v>19</v>
      </c>
      <c r="H146" s="137">
        <v>0</v>
      </c>
      <c r="I146" s="137">
        <v>0</v>
      </c>
      <c r="J146" s="137">
        <v>8.1583000000000006</v>
      </c>
      <c r="K146" s="137" t="s">
        <v>77</v>
      </c>
      <c r="L146" s="137" t="s">
        <v>79</v>
      </c>
      <c r="M146" s="137" t="s">
        <v>80</v>
      </c>
      <c r="N146" s="137" t="b">
        <v>1</v>
      </c>
      <c r="O146" s="137"/>
      <c r="P146" s="137" t="s">
        <v>83</v>
      </c>
      <c r="Q146" s="137" t="s">
        <v>84</v>
      </c>
      <c r="R146" s="137" t="b">
        <v>1</v>
      </c>
      <c r="S146" s="139">
        <v>1</v>
      </c>
      <c r="T146" s="139">
        <v>1.55719501447239E+19</v>
      </c>
    </row>
    <row r="147" spans="3:20">
      <c r="C147" s="24" t="b">
        <v>0</v>
      </c>
      <c r="D147" s="137">
        <v>1</v>
      </c>
      <c r="E147" s="138">
        <v>3</v>
      </c>
      <c r="F147" s="137" t="s">
        <v>85</v>
      </c>
      <c r="G147" s="137">
        <v>17</v>
      </c>
      <c r="H147" s="137">
        <v>4</v>
      </c>
      <c r="I147" s="137">
        <v>2</v>
      </c>
      <c r="J147" s="137">
        <v>7.9249999999999998</v>
      </c>
      <c r="K147" s="137" t="s">
        <v>77</v>
      </c>
      <c r="L147" s="137" t="s">
        <v>79</v>
      </c>
      <c r="M147" s="137" t="s">
        <v>87</v>
      </c>
      <c r="N147" s="137" t="b">
        <v>0</v>
      </c>
      <c r="O147" s="137"/>
      <c r="P147" s="137" t="s">
        <v>83</v>
      </c>
      <c r="Q147" s="137" t="s">
        <v>89</v>
      </c>
      <c r="R147" s="137" t="b">
        <v>0</v>
      </c>
      <c r="S147" s="139">
        <v>1</v>
      </c>
      <c r="T147" s="139">
        <v>6.9545526158320804E+18</v>
      </c>
    </row>
    <row r="148" spans="3:20">
      <c r="C148" s="24" t="b">
        <v>0</v>
      </c>
      <c r="D148" s="137">
        <v>0</v>
      </c>
      <c r="E148" s="138">
        <v>3</v>
      </c>
      <c r="F148" s="137" t="s">
        <v>75</v>
      </c>
      <c r="G148" s="137">
        <v>26</v>
      </c>
      <c r="H148" s="137">
        <v>2</v>
      </c>
      <c r="I148" s="137">
        <v>0</v>
      </c>
      <c r="J148" s="137">
        <v>8.6624999999999996</v>
      </c>
      <c r="K148" s="137" t="s">
        <v>77</v>
      </c>
      <c r="L148" s="137" t="s">
        <v>79</v>
      </c>
      <c r="M148" s="137" t="s">
        <v>80</v>
      </c>
      <c r="N148" s="137" t="b">
        <v>1</v>
      </c>
      <c r="O148" s="137"/>
      <c r="P148" s="137" t="s">
        <v>83</v>
      </c>
      <c r="Q148" s="137" t="s">
        <v>84</v>
      </c>
      <c r="R148" s="137" t="b">
        <v>0</v>
      </c>
      <c r="S148" s="139">
        <v>1</v>
      </c>
      <c r="T148" s="139">
        <v>1.15859429090966E+19</v>
      </c>
    </row>
    <row r="149" spans="3:20">
      <c r="C149" s="24" t="b">
        <v>0</v>
      </c>
      <c r="D149" s="137">
        <v>0</v>
      </c>
      <c r="E149" s="138">
        <v>2</v>
      </c>
      <c r="F149" s="137" t="s">
        <v>75</v>
      </c>
      <c r="G149" s="137">
        <v>32</v>
      </c>
      <c r="H149" s="137">
        <v>0</v>
      </c>
      <c r="I149" s="137">
        <v>0</v>
      </c>
      <c r="J149" s="137">
        <v>10.5</v>
      </c>
      <c r="K149" s="137" t="s">
        <v>77</v>
      </c>
      <c r="L149" s="137" t="s">
        <v>94</v>
      </c>
      <c r="M149" s="137" t="s">
        <v>80</v>
      </c>
      <c r="N149" s="137" t="b">
        <v>1</v>
      </c>
      <c r="O149" s="137"/>
      <c r="P149" s="137" t="s">
        <v>83</v>
      </c>
      <c r="Q149" s="137" t="s">
        <v>84</v>
      </c>
      <c r="R149" s="137" t="b">
        <v>1</v>
      </c>
      <c r="S149" s="139">
        <v>1</v>
      </c>
      <c r="T149" s="139">
        <v>8.8179415873420001E+18</v>
      </c>
    </row>
    <row r="150" spans="3:20">
      <c r="C150" s="24" t="b">
        <v>0</v>
      </c>
      <c r="D150" s="137">
        <v>0</v>
      </c>
      <c r="E150" s="138">
        <v>3</v>
      </c>
      <c r="F150" s="137" t="s">
        <v>85</v>
      </c>
      <c r="G150" s="137">
        <v>16</v>
      </c>
      <c r="H150" s="137">
        <v>5</v>
      </c>
      <c r="I150" s="137">
        <v>2</v>
      </c>
      <c r="J150" s="137">
        <v>46.9</v>
      </c>
      <c r="K150" s="137" t="s">
        <v>77</v>
      </c>
      <c r="L150" s="137" t="s">
        <v>79</v>
      </c>
      <c r="M150" s="137" t="s">
        <v>87</v>
      </c>
      <c r="N150" s="137" t="b">
        <v>0</v>
      </c>
      <c r="O150" s="137"/>
      <c r="P150" s="137" t="s">
        <v>83</v>
      </c>
      <c r="Q150" s="137" t="s">
        <v>84</v>
      </c>
      <c r="R150" s="137" t="b">
        <v>0</v>
      </c>
      <c r="S150" s="139">
        <v>1</v>
      </c>
      <c r="T150" s="139">
        <v>5.2469648558949601E+18</v>
      </c>
    </row>
    <row r="151" spans="3:20">
      <c r="C151" s="24" t="b">
        <v>0</v>
      </c>
      <c r="D151" s="137">
        <v>0</v>
      </c>
      <c r="E151" s="138">
        <v>2</v>
      </c>
      <c r="F151" s="137" t="s">
        <v>75</v>
      </c>
      <c r="G151" s="137">
        <v>21</v>
      </c>
      <c r="H151" s="137">
        <v>0</v>
      </c>
      <c r="I151" s="137">
        <v>0</v>
      </c>
      <c r="J151" s="137">
        <v>73.5</v>
      </c>
      <c r="K151" s="137" t="s">
        <v>77</v>
      </c>
      <c r="L151" s="137" t="s">
        <v>94</v>
      </c>
      <c r="M151" s="137" t="s">
        <v>80</v>
      </c>
      <c r="N151" s="137" t="b">
        <v>1</v>
      </c>
      <c r="O151" s="137"/>
      <c r="P151" s="137" t="s">
        <v>83</v>
      </c>
      <c r="Q151" s="137" t="s">
        <v>84</v>
      </c>
      <c r="R151" s="137" t="b">
        <v>1</v>
      </c>
      <c r="S151" s="139">
        <v>1</v>
      </c>
      <c r="T151" s="139">
        <v>1.6279752570821499E+18</v>
      </c>
    </row>
    <row r="152" spans="3:20">
      <c r="C152" s="24" t="b">
        <v>0</v>
      </c>
      <c r="D152" s="137">
        <v>0</v>
      </c>
      <c r="E152" s="138">
        <v>3</v>
      </c>
      <c r="F152" s="137" t="s">
        <v>75</v>
      </c>
      <c r="G152" s="137">
        <v>26</v>
      </c>
      <c r="H152" s="137">
        <v>1</v>
      </c>
      <c r="I152" s="137">
        <v>0</v>
      </c>
      <c r="J152" s="137">
        <v>14.4542</v>
      </c>
      <c r="K152" s="137" t="s">
        <v>82</v>
      </c>
      <c r="L152" s="137" t="s">
        <v>79</v>
      </c>
      <c r="M152" s="137" t="s">
        <v>80</v>
      </c>
      <c r="N152" s="137" t="b">
        <v>1</v>
      </c>
      <c r="O152" s="137"/>
      <c r="P152" s="137" t="s">
        <v>88</v>
      </c>
      <c r="Q152" s="137" t="s">
        <v>84</v>
      </c>
      <c r="R152" s="137" t="b">
        <v>0</v>
      </c>
      <c r="S152" s="139">
        <v>1</v>
      </c>
      <c r="T152" s="139">
        <v>1.49974195257229E+19</v>
      </c>
    </row>
    <row r="153" spans="3:20">
      <c r="C153" s="24" t="b">
        <v>0</v>
      </c>
      <c r="D153" s="137">
        <v>1</v>
      </c>
      <c r="E153" s="138">
        <v>3</v>
      </c>
      <c r="F153" s="137" t="s">
        <v>75</v>
      </c>
      <c r="G153" s="137">
        <v>32</v>
      </c>
      <c r="H153" s="137">
        <v>0</v>
      </c>
      <c r="I153" s="137">
        <v>0</v>
      </c>
      <c r="J153" s="137">
        <v>56.495800000000003</v>
      </c>
      <c r="K153" s="137" t="s">
        <v>77</v>
      </c>
      <c r="L153" s="137" t="s">
        <v>79</v>
      </c>
      <c r="M153" s="137" t="s">
        <v>80</v>
      </c>
      <c r="N153" s="137" t="b">
        <v>1</v>
      </c>
      <c r="O153" s="137"/>
      <c r="P153" s="137" t="s">
        <v>83</v>
      </c>
      <c r="Q153" s="137" t="s">
        <v>89</v>
      </c>
      <c r="R153" s="137" t="b">
        <v>1</v>
      </c>
      <c r="S153" s="139">
        <v>1</v>
      </c>
      <c r="T153" s="139">
        <v>1.19681300433309E+19</v>
      </c>
    </row>
    <row r="154" spans="3:20">
      <c r="C154" s="24" t="b">
        <v>0</v>
      </c>
      <c r="D154" s="137">
        <v>0</v>
      </c>
      <c r="E154" s="138">
        <v>3</v>
      </c>
      <c r="F154" s="137" t="s">
        <v>75</v>
      </c>
      <c r="G154" s="137">
        <v>25</v>
      </c>
      <c r="H154" s="137">
        <v>0</v>
      </c>
      <c r="I154" s="137">
        <v>0</v>
      </c>
      <c r="J154" s="137">
        <v>7.65</v>
      </c>
      <c r="K154" s="137" t="s">
        <v>77</v>
      </c>
      <c r="L154" s="137" t="s">
        <v>79</v>
      </c>
      <c r="M154" s="137" t="s">
        <v>80</v>
      </c>
      <c r="N154" s="137" t="b">
        <v>1</v>
      </c>
      <c r="O154" s="137" t="s">
        <v>99</v>
      </c>
      <c r="P154" s="137" t="s">
        <v>83</v>
      </c>
      <c r="Q154" s="137" t="s">
        <v>84</v>
      </c>
      <c r="R154" s="137" t="b">
        <v>1</v>
      </c>
      <c r="S154" s="139">
        <v>0</v>
      </c>
      <c r="T154" s="139">
        <v>8.0915010365234104E+18</v>
      </c>
    </row>
    <row r="155" spans="3:20">
      <c r="C155" s="24" t="b">
        <v>0</v>
      </c>
      <c r="D155" s="137">
        <v>0</v>
      </c>
      <c r="E155" s="138">
        <v>3</v>
      </c>
      <c r="F155" s="137" t="s">
        <v>75</v>
      </c>
      <c r="G155" s="137"/>
      <c r="H155" s="137">
        <v>0</v>
      </c>
      <c r="I155" s="137">
        <v>0</v>
      </c>
      <c r="J155" s="137">
        <v>7.8958000000000004</v>
      </c>
      <c r="K155" s="137" t="s">
        <v>77</v>
      </c>
      <c r="L155" s="137" t="s">
        <v>79</v>
      </c>
      <c r="M155" s="137" t="s">
        <v>80</v>
      </c>
      <c r="N155" s="137" t="b">
        <v>1</v>
      </c>
      <c r="O155" s="137"/>
      <c r="P155" s="137" t="s">
        <v>83</v>
      </c>
      <c r="Q155" s="137" t="s">
        <v>84</v>
      </c>
      <c r="R155" s="137" t="b">
        <v>1</v>
      </c>
      <c r="S155" s="139">
        <v>1</v>
      </c>
      <c r="T155" s="139">
        <v>1.7970467560381901E+19</v>
      </c>
    </row>
    <row r="156" spans="3:20">
      <c r="C156" s="24" t="b">
        <v>0</v>
      </c>
      <c r="D156" s="137">
        <v>0</v>
      </c>
      <c r="E156" s="138">
        <v>3</v>
      </c>
      <c r="F156" s="137" t="s">
        <v>75</v>
      </c>
      <c r="G156" s="137"/>
      <c r="H156" s="137">
        <v>0</v>
      </c>
      <c r="I156" s="137">
        <v>0</v>
      </c>
      <c r="J156" s="137">
        <v>8.0500000000000007</v>
      </c>
      <c r="K156" s="137" t="s">
        <v>77</v>
      </c>
      <c r="L156" s="137" t="s">
        <v>79</v>
      </c>
      <c r="M156" s="137" t="s">
        <v>80</v>
      </c>
      <c r="N156" s="137" t="b">
        <v>1</v>
      </c>
      <c r="O156" s="137"/>
      <c r="P156" s="137" t="s">
        <v>83</v>
      </c>
      <c r="Q156" s="137" t="s">
        <v>84</v>
      </c>
      <c r="R156" s="137" t="b">
        <v>1</v>
      </c>
      <c r="S156" s="139">
        <v>1</v>
      </c>
      <c r="T156" s="139">
        <v>1.0519935439659201E+19</v>
      </c>
    </row>
    <row r="157" spans="3:20">
      <c r="C157" s="24" t="b">
        <v>0</v>
      </c>
      <c r="D157" s="137">
        <v>1</v>
      </c>
      <c r="E157" s="138">
        <v>2</v>
      </c>
      <c r="F157" s="137" t="s">
        <v>75</v>
      </c>
      <c r="G157" s="137">
        <v>0.83</v>
      </c>
      <c r="H157" s="137">
        <v>0</v>
      </c>
      <c r="I157" s="137">
        <v>2</v>
      </c>
      <c r="J157" s="137">
        <v>29</v>
      </c>
      <c r="K157" s="137" t="s">
        <v>77</v>
      </c>
      <c r="L157" s="137" t="s">
        <v>94</v>
      </c>
      <c r="M157" s="137" t="s">
        <v>93</v>
      </c>
      <c r="N157" s="137" t="b">
        <v>0</v>
      </c>
      <c r="O157" s="137"/>
      <c r="P157" s="137" t="s">
        <v>83</v>
      </c>
      <c r="Q157" s="137" t="s">
        <v>89</v>
      </c>
      <c r="R157" s="137" t="b">
        <v>0</v>
      </c>
      <c r="S157" s="139">
        <v>1</v>
      </c>
      <c r="T157" s="139">
        <v>9.8730525879237591E+18</v>
      </c>
    </row>
    <row r="158" spans="3:20">
      <c r="C158" s="24" t="b">
        <v>0</v>
      </c>
      <c r="D158" s="137">
        <v>1</v>
      </c>
      <c r="E158" s="138">
        <v>3</v>
      </c>
      <c r="F158" s="137" t="s">
        <v>85</v>
      </c>
      <c r="G158" s="137">
        <v>30</v>
      </c>
      <c r="H158" s="137">
        <v>0</v>
      </c>
      <c r="I158" s="137">
        <v>0</v>
      </c>
      <c r="J158" s="137">
        <v>12.475</v>
      </c>
      <c r="K158" s="137" t="s">
        <v>77</v>
      </c>
      <c r="L158" s="137" t="s">
        <v>79</v>
      </c>
      <c r="M158" s="137" t="s">
        <v>87</v>
      </c>
      <c r="N158" s="137" t="b">
        <v>0</v>
      </c>
      <c r="O158" s="137"/>
      <c r="P158" s="137" t="s">
        <v>83</v>
      </c>
      <c r="Q158" s="137" t="s">
        <v>89</v>
      </c>
      <c r="R158" s="137" t="b">
        <v>1</v>
      </c>
      <c r="S158" s="139">
        <v>1</v>
      </c>
      <c r="T158" s="139">
        <v>1.72406716511925E+19</v>
      </c>
    </row>
    <row r="159" spans="3:20">
      <c r="C159" s="24" t="b">
        <v>0</v>
      </c>
      <c r="D159" s="137">
        <v>0</v>
      </c>
      <c r="E159" s="138">
        <v>3</v>
      </c>
      <c r="F159" s="137" t="s">
        <v>75</v>
      </c>
      <c r="G159" s="137">
        <v>22</v>
      </c>
      <c r="H159" s="137">
        <v>0</v>
      </c>
      <c r="I159" s="137">
        <v>0</v>
      </c>
      <c r="J159" s="137">
        <v>9</v>
      </c>
      <c r="K159" s="137" t="s">
        <v>77</v>
      </c>
      <c r="L159" s="137" t="s">
        <v>79</v>
      </c>
      <c r="M159" s="137" t="s">
        <v>80</v>
      </c>
      <c r="N159" s="137" t="b">
        <v>1</v>
      </c>
      <c r="O159" s="137"/>
      <c r="P159" s="137" t="s">
        <v>83</v>
      </c>
      <c r="Q159" s="137" t="s">
        <v>84</v>
      </c>
      <c r="R159" s="137" t="b">
        <v>1</v>
      </c>
      <c r="S159" s="139">
        <v>1</v>
      </c>
      <c r="T159" s="139">
        <v>1.6525846516972599E+19</v>
      </c>
    </row>
    <row r="160" spans="3:20">
      <c r="C160" s="24" t="b">
        <v>0</v>
      </c>
      <c r="D160" s="137">
        <v>1</v>
      </c>
      <c r="E160" s="138">
        <v>3</v>
      </c>
      <c r="F160" s="137" t="s">
        <v>75</v>
      </c>
      <c r="G160" s="137">
        <v>29</v>
      </c>
      <c r="H160" s="137">
        <v>0</v>
      </c>
      <c r="I160" s="137">
        <v>0</v>
      </c>
      <c r="J160" s="137">
        <v>9.5</v>
      </c>
      <c r="K160" s="137" t="s">
        <v>77</v>
      </c>
      <c r="L160" s="137" t="s">
        <v>79</v>
      </c>
      <c r="M160" s="137" t="s">
        <v>80</v>
      </c>
      <c r="N160" s="137" t="b">
        <v>1</v>
      </c>
      <c r="O160" s="137"/>
      <c r="P160" s="137" t="s">
        <v>83</v>
      </c>
      <c r="Q160" s="137" t="s">
        <v>89</v>
      </c>
      <c r="R160" s="137" t="b">
        <v>1</v>
      </c>
      <c r="S160" s="139">
        <v>1</v>
      </c>
      <c r="T160" s="139">
        <v>1.1157973348400699E+19</v>
      </c>
    </row>
    <row r="161" spans="3:20">
      <c r="C161" s="24" t="b">
        <v>0</v>
      </c>
      <c r="D161" s="137">
        <v>1</v>
      </c>
      <c r="E161" s="138">
        <v>3</v>
      </c>
      <c r="F161" s="137" t="s">
        <v>85</v>
      </c>
      <c r="G161" s="137"/>
      <c r="H161" s="137">
        <v>0</v>
      </c>
      <c r="I161" s="137">
        <v>0</v>
      </c>
      <c r="J161" s="137">
        <v>7.7874999999999996</v>
      </c>
      <c r="K161" s="137" t="s">
        <v>90</v>
      </c>
      <c r="L161" s="137" t="s">
        <v>79</v>
      </c>
      <c r="M161" s="137" t="s">
        <v>87</v>
      </c>
      <c r="N161" s="137" t="b">
        <v>0</v>
      </c>
      <c r="O161" s="137"/>
      <c r="P161" s="137" t="s">
        <v>91</v>
      </c>
      <c r="Q161" s="137" t="s">
        <v>89</v>
      </c>
      <c r="R161" s="137" t="b">
        <v>1</v>
      </c>
      <c r="S161" s="139">
        <v>1</v>
      </c>
      <c r="T161" s="139">
        <v>8.8055431055972096E+18</v>
      </c>
    </row>
    <row r="162" spans="3:20">
      <c r="C162" s="24" t="b">
        <v>0</v>
      </c>
      <c r="D162" s="137">
        <v>0</v>
      </c>
      <c r="E162" s="138">
        <v>1</v>
      </c>
      <c r="F162" s="137" t="s">
        <v>75</v>
      </c>
      <c r="G162" s="137">
        <v>28</v>
      </c>
      <c r="H162" s="137">
        <v>0</v>
      </c>
      <c r="I162" s="137">
        <v>0</v>
      </c>
      <c r="J162" s="137">
        <v>47.1</v>
      </c>
      <c r="K162" s="137" t="s">
        <v>77</v>
      </c>
      <c r="L162" s="137" t="s">
        <v>86</v>
      </c>
      <c r="M162" s="137" t="s">
        <v>80</v>
      </c>
      <c r="N162" s="137" t="b">
        <v>1</v>
      </c>
      <c r="O162" s="137"/>
      <c r="P162" s="137" t="s">
        <v>83</v>
      </c>
      <c r="Q162" s="137" t="s">
        <v>84</v>
      </c>
      <c r="R162" s="137" t="b">
        <v>1</v>
      </c>
      <c r="S162" s="139">
        <v>1</v>
      </c>
      <c r="T162" s="139">
        <v>3.4254636297786102E+18</v>
      </c>
    </row>
    <row r="163" spans="3:20">
      <c r="C163" s="24" t="b">
        <v>0</v>
      </c>
      <c r="D163" s="137">
        <v>1</v>
      </c>
      <c r="E163" s="138">
        <v>2</v>
      </c>
      <c r="F163" s="137" t="s">
        <v>85</v>
      </c>
      <c r="G163" s="137">
        <v>17</v>
      </c>
      <c r="H163" s="137">
        <v>0</v>
      </c>
      <c r="I163" s="137">
        <v>0</v>
      </c>
      <c r="J163" s="137">
        <v>10.5</v>
      </c>
      <c r="K163" s="137" t="s">
        <v>77</v>
      </c>
      <c r="L163" s="137" t="s">
        <v>94</v>
      </c>
      <c r="M163" s="137" t="s">
        <v>87</v>
      </c>
      <c r="N163" s="137" t="b">
        <v>0</v>
      </c>
      <c r="O163" s="137"/>
      <c r="P163" s="137" t="s">
        <v>83</v>
      </c>
      <c r="Q163" s="137" t="s">
        <v>89</v>
      </c>
      <c r="R163" s="137" t="b">
        <v>1</v>
      </c>
      <c r="S163" s="139">
        <v>1</v>
      </c>
      <c r="T163" s="139">
        <v>4.21604158669455E+18</v>
      </c>
    </row>
    <row r="164" spans="3:20">
      <c r="C164" s="24" t="b">
        <v>0</v>
      </c>
      <c r="D164" s="137">
        <v>1</v>
      </c>
      <c r="E164" s="138">
        <v>3</v>
      </c>
      <c r="F164" s="137" t="s">
        <v>85</v>
      </c>
      <c r="G164" s="137">
        <v>33</v>
      </c>
      <c r="H164" s="137">
        <v>3</v>
      </c>
      <c r="I164" s="137">
        <v>0</v>
      </c>
      <c r="J164" s="137">
        <v>15.85</v>
      </c>
      <c r="K164" s="137" t="s">
        <v>77</v>
      </c>
      <c r="L164" s="137" t="s">
        <v>79</v>
      </c>
      <c r="M164" s="137" t="s">
        <v>87</v>
      </c>
      <c r="N164" s="137" t="b">
        <v>0</v>
      </c>
      <c r="O164" s="137"/>
      <c r="P164" s="137" t="s">
        <v>83</v>
      </c>
      <c r="Q164" s="137" t="s">
        <v>89</v>
      </c>
      <c r="R164" s="137" t="b">
        <v>0</v>
      </c>
      <c r="S164" s="139">
        <v>1</v>
      </c>
      <c r="T164" s="139">
        <v>1.6107496775478301E+19</v>
      </c>
    </row>
    <row r="165" spans="3:20">
      <c r="C165" s="24" t="b">
        <v>0</v>
      </c>
      <c r="D165" s="137">
        <v>0</v>
      </c>
      <c r="E165" s="138">
        <v>3</v>
      </c>
      <c r="F165" s="137" t="s">
        <v>75</v>
      </c>
      <c r="G165" s="137">
        <v>16</v>
      </c>
      <c r="H165" s="137">
        <v>1</v>
      </c>
      <c r="I165" s="137">
        <v>3</v>
      </c>
      <c r="J165" s="137">
        <v>34.375</v>
      </c>
      <c r="K165" s="137" t="s">
        <v>77</v>
      </c>
      <c r="L165" s="137" t="s">
        <v>79</v>
      </c>
      <c r="M165" s="137" t="s">
        <v>80</v>
      </c>
      <c r="N165" s="137" t="b">
        <v>1</v>
      </c>
      <c r="O165" s="137"/>
      <c r="P165" s="137" t="s">
        <v>83</v>
      </c>
      <c r="Q165" s="137" t="s">
        <v>84</v>
      </c>
      <c r="R165" s="137" t="b">
        <v>0</v>
      </c>
      <c r="S165" s="139">
        <v>1</v>
      </c>
      <c r="T165" s="139">
        <v>3.0545982355756698E+18</v>
      </c>
    </row>
    <row r="166" spans="3:20">
      <c r="C166" s="24" t="b">
        <v>0</v>
      </c>
      <c r="D166" s="137">
        <v>0</v>
      </c>
      <c r="E166" s="138">
        <v>3</v>
      </c>
      <c r="F166" s="137" t="s">
        <v>75</v>
      </c>
      <c r="G166" s="137"/>
      <c r="H166" s="137">
        <v>0</v>
      </c>
      <c r="I166" s="137">
        <v>0</v>
      </c>
      <c r="J166" s="137">
        <v>8.0500000000000007</v>
      </c>
      <c r="K166" s="137" t="s">
        <v>77</v>
      </c>
      <c r="L166" s="137" t="s">
        <v>79</v>
      </c>
      <c r="M166" s="137" t="s">
        <v>80</v>
      </c>
      <c r="N166" s="137" t="b">
        <v>1</v>
      </c>
      <c r="O166" s="137"/>
      <c r="P166" s="137" t="s">
        <v>83</v>
      </c>
      <c r="Q166" s="137" t="s">
        <v>84</v>
      </c>
      <c r="R166" s="137" t="b">
        <v>1</v>
      </c>
      <c r="S166" s="139">
        <v>1</v>
      </c>
      <c r="T166" s="139">
        <v>1.0519935439659201E+19</v>
      </c>
    </row>
    <row r="167" spans="3:20">
      <c r="C167" s="24" t="b">
        <v>0</v>
      </c>
      <c r="D167" s="137">
        <v>1</v>
      </c>
      <c r="E167" s="138">
        <v>1</v>
      </c>
      <c r="F167" s="137" t="s">
        <v>85</v>
      </c>
      <c r="G167" s="137">
        <v>23</v>
      </c>
      <c r="H167" s="137">
        <v>3</v>
      </c>
      <c r="I167" s="137">
        <v>2</v>
      </c>
      <c r="J167" s="137">
        <v>263</v>
      </c>
      <c r="K167" s="137" t="s">
        <v>77</v>
      </c>
      <c r="L167" s="137" t="s">
        <v>86</v>
      </c>
      <c r="M167" s="137" t="s">
        <v>87</v>
      </c>
      <c r="N167" s="137" t="b">
        <v>0</v>
      </c>
      <c r="O167" s="137" t="s">
        <v>82</v>
      </c>
      <c r="P167" s="137" t="s">
        <v>83</v>
      </c>
      <c r="Q167" s="137" t="s">
        <v>89</v>
      </c>
      <c r="R167" s="137" t="b">
        <v>0</v>
      </c>
      <c r="S167" s="139">
        <v>0</v>
      </c>
      <c r="T167" s="139">
        <v>1.3862878833411101E+19</v>
      </c>
    </row>
    <row r="168" spans="3:20">
      <c r="C168" s="24" t="b">
        <v>0</v>
      </c>
      <c r="D168" s="137">
        <v>0</v>
      </c>
      <c r="E168" s="138">
        <v>3</v>
      </c>
      <c r="F168" s="137" t="s">
        <v>75</v>
      </c>
      <c r="G168" s="137">
        <v>24</v>
      </c>
      <c r="H168" s="137">
        <v>0</v>
      </c>
      <c r="I168" s="137">
        <v>0</v>
      </c>
      <c r="J168" s="137">
        <v>8.0500000000000007</v>
      </c>
      <c r="K168" s="137" t="s">
        <v>77</v>
      </c>
      <c r="L168" s="137" t="s">
        <v>79</v>
      </c>
      <c r="M168" s="137" t="s">
        <v>80</v>
      </c>
      <c r="N168" s="137" t="b">
        <v>1</v>
      </c>
      <c r="O168" s="137"/>
      <c r="P168" s="137" t="s">
        <v>83</v>
      </c>
      <c r="Q168" s="137" t="s">
        <v>84</v>
      </c>
      <c r="R168" s="137" t="b">
        <v>1</v>
      </c>
      <c r="S168" s="139">
        <v>1</v>
      </c>
      <c r="T168" s="139">
        <v>2.8689294322046198E+18</v>
      </c>
    </row>
    <row r="169" spans="3:20">
      <c r="C169" s="24" t="b">
        <v>0</v>
      </c>
      <c r="D169" s="137">
        <v>0</v>
      </c>
      <c r="E169" s="138">
        <v>3</v>
      </c>
      <c r="F169" s="137" t="s">
        <v>75</v>
      </c>
      <c r="G169" s="137">
        <v>29</v>
      </c>
      <c r="H169" s="137">
        <v>0</v>
      </c>
      <c r="I169" s="137">
        <v>0</v>
      </c>
      <c r="J169" s="137">
        <v>8.0500000000000007</v>
      </c>
      <c r="K169" s="137" t="s">
        <v>77</v>
      </c>
      <c r="L169" s="137" t="s">
        <v>79</v>
      </c>
      <c r="M169" s="137" t="s">
        <v>80</v>
      </c>
      <c r="N169" s="137" t="b">
        <v>1</v>
      </c>
      <c r="O169" s="137"/>
      <c r="P169" s="137" t="s">
        <v>83</v>
      </c>
      <c r="Q169" s="137" t="s">
        <v>84</v>
      </c>
      <c r="R169" s="137" t="b">
        <v>1</v>
      </c>
      <c r="S169" s="139">
        <v>1</v>
      </c>
      <c r="T169" s="139">
        <v>9.5773127892868506E+18</v>
      </c>
    </row>
    <row r="170" spans="3:20">
      <c r="C170" s="24" t="b">
        <v>0</v>
      </c>
      <c r="D170" s="137">
        <v>0</v>
      </c>
      <c r="E170" s="138">
        <v>3</v>
      </c>
      <c r="F170" s="137" t="s">
        <v>75</v>
      </c>
      <c r="G170" s="137">
        <v>20</v>
      </c>
      <c r="H170" s="137">
        <v>0</v>
      </c>
      <c r="I170" s="137">
        <v>0</v>
      </c>
      <c r="J170" s="137">
        <v>7.8541999999999996</v>
      </c>
      <c r="K170" s="137" t="s">
        <v>77</v>
      </c>
      <c r="L170" s="137" t="s">
        <v>79</v>
      </c>
      <c r="M170" s="137" t="s">
        <v>80</v>
      </c>
      <c r="N170" s="137" t="b">
        <v>1</v>
      </c>
      <c r="O170" s="137"/>
      <c r="P170" s="137" t="s">
        <v>83</v>
      </c>
      <c r="Q170" s="137" t="s">
        <v>84</v>
      </c>
      <c r="R170" s="137" t="b">
        <v>1</v>
      </c>
      <c r="S170" s="139">
        <v>1</v>
      </c>
      <c r="T170" s="139">
        <v>3.2846468523254502E+18</v>
      </c>
    </row>
    <row r="171" spans="3:20">
      <c r="C171" s="24" t="b">
        <v>0</v>
      </c>
      <c r="D171" s="137">
        <v>0</v>
      </c>
      <c r="E171" s="138">
        <v>1</v>
      </c>
      <c r="F171" s="137" t="s">
        <v>75</v>
      </c>
      <c r="G171" s="137">
        <v>46</v>
      </c>
      <c r="H171" s="137">
        <v>1</v>
      </c>
      <c r="I171" s="137">
        <v>0</v>
      </c>
      <c r="J171" s="137">
        <v>61.174999999999997</v>
      </c>
      <c r="K171" s="137" t="s">
        <v>77</v>
      </c>
      <c r="L171" s="137" t="s">
        <v>86</v>
      </c>
      <c r="M171" s="137" t="s">
        <v>80</v>
      </c>
      <c r="N171" s="137" t="b">
        <v>1</v>
      </c>
      <c r="O171" s="137" t="s">
        <v>92</v>
      </c>
      <c r="P171" s="137" t="s">
        <v>83</v>
      </c>
      <c r="Q171" s="137" t="s">
        <v>84</v>
      </c>
      <c r="R171" s="137" t="b">
        <v>0</v>
      </c>
      <c r="S171" s="139">
        <v>0</v>
      </c>
      <c r="T171" s="139">
        <v>5.8667606258084803E+18</v>
      </c>
    </row>
    <row r="172" spans="3:20">
      <c r="C172" s="24" t="b">
        <v>0</v>
      </c>
      <c r="D172" s="137">
        <v>0</v>
      </c>
      <c r="E172" s="138">
        <v>3</v>
      </c>
      <c r="F172" s="137" t="s">
        <v>75</v>
      </c>
      <c r="G172" s="137">
        <v>26</v>
      </c>
      <c r="H172" s="137">
        <v>1</v>
      </c>
      <c r="I172" s="137">
        <v>2</v>
      </c>
      <c r="J172" s="137">
        <v>20.574999999999999</v>
      </c>
      <c r="K172" s="137" t="s">
        <v>77</v>
      </c>
      <c r="L172" s="137" t="s">
        <v>79</v>
      </c>
      <c r="M172" s="137" t="s">
        <v>80</v>
      </c>
      <c r="N172" s="137" t="b">
        <v>1</v>
      </c>
      <c r="O172" s="137"/>
      <c r="P172" s="137" t="s">
        <v>83</v>
      </c>
      <c r="Q172" s="137" t="s">
        <v>84</v>
      </c>
      <c r="R172" s="137" t="b">
        <v>0</v>
      </c>
      <c r="S172" s="139">
        <v>1</v>
      </c>
      <c r="T172" s="139">
        <v>1.79555136614271E+19</v>
      </c>
    </row>
    <row r="173" spans="3:20">
      <c r="C173" s="24" t="b">
        <v>0</v>
      </c>
      <c r="D173" s="137">
        <v>0</v>
      </c>
      <c r="E173" s="138">
        <v>3</v>
      </c>
      <c r="F173" s="137" t="s">
        <v>75</v>
      </c>
      <c r="G173" s="137">
        <v>59</v>
      </c>
      <c r="H173" s="137">
        <v>0</v>
      </c>
      <c r="I173" s="137">
        <v>0</v>
      </c>
      <c r="J173" s="137">
        <v>7.25</v>
      </c>
      <c r="K173" s="137" t="s">
        <v>77</v>
      </c>
      <c r="L173" s="137" t="s">
        <v>79</v>
      </c>
      <c r="M173" s="137" t="s">
        <v>80</v>
      </c>
      <c r="N173" s="137" t="b">
        <v>1</v>
      </c>
      <c r="O173" s="137"/>
      <c r="P173" s="137" t="s">
        <v>83</v>
      </c>
      <c r="Q173" s="137" t="s">
        <v>84</v>
      </c>
      <c r="R173" s="137" t="b">
        <v>1</v>
      </c>
      <c r="S173" s="139">
        <v>1</v>
      </c>
      <c r="T173" s="139">
        <v>1.3960666902089001E+19</v>
      </c>
    </row>
    <row r="174" spans="3:20">
      <c r="C174" s="24" t="b">
        <v>0</v>
      </c>
      <c r="D174" s="137">
        <v>0</v>
      </c>
      <c r="E174" s="138">
        <v>3</v>
      </c>
      <c r="F174" s="137" t="s">
        <v>75</v>
      </c>
      <c r="G174" s="137"/>
      <c r="H174" s="137">
        <v>0</v>
      </c>
      <c r="I174" s="137">
        <v>0</v>
      </c>
      <c r="J174" s="137">
        <v>8.0500000000000007</v>
      </c>
      <c r="K174" s="137" t="s">
        <v>77</v>
      </c>
      <c r="L174" s="137" t="s">
        <v>79</v>
      </c>
      <c r="M174" s="137" t="s">
        <v>80</v>
      </c>
      <c r="N174" s="137" t="b">
        <v>1</v>
      </c>
      <c r="O174" s="137"/>
      <c r="P174" s="137" t="s">
        <v>83</v>
      </c>
      <c r="Q174" s="137" t="s">
        <v>84</v>
      </c>
      <c r="R174" s="137" t="b">
        <v>1</v>
      </c>
      <c r="S174" s="139">
        <v>1</v>
      </c>
      <c r="T174" s="139">
        <v>1.0519935439659201E+19</v>
      </c>
    </row>
    <row r="175" spans="3:20">
      <c r="C175" s="24" t="b">
        <v>0</v>
      </c>
      <c r="D175" s="137">
        <v>0</v>
      </c>
      <c r="E175" s="138">
        <v>1</v>
      </c>
      <c r="F175" s="137" t="s">
        <v>75</v>
      </c>
      <c r="G175" s="137">
        <v>71</v>
      </c>
      <c r="H175" s="137">
        <v>0</v>
      </c>
      <c r="I175" s="137">
        <v>0</v>
      </c>
      <c r="J175" s="137">
        <v>34.654200000000003</v>
      </c>
      <c r="K175" s="137" t="s">
        <v>82</v>
      </c>
      <c r="L175" s="137" t="s">
        <v>86</v>
      </c>
      <c r="M175" s="137" t="s">
        <v>80</v>
      </c>
      <c r="N175" s="137" t="b">
        <v>1</v>
      </c>
      <c r="O175" s="137" t="s">
        <v>97</v>
      </c>
      <c r="P175" s="137" t="s">
        <v>88</v>
      </c>
      <c r="Q175" s="137" t="s">
        <v>84</v>
      </c>
      <c r="R175" s="137" t="b">
        <v>1</v>
      </c>
      <c r="S175" s="139">
        <v>0</v>
      </c>
      <c r="T175" s="139">
        <v>1.18342106669369E+19</v>
      </c>
    </row>
    <row r="176" spans="3:20">
      <c r="C176" s="24" t="b">
        <v>0</v>
      </c>
      <c r="D176" s="137">
        <v>1</v>
      </c>
      <c r="E176" s="138">
        <v>1</v>
      </c>
      <c r="F176" s="137" t="s">
        <v>75</v>
      </c>
      <c r="G176" s="137">
        <v>23</v>
      </c>
      <c r="H176" s="137">
        <v>0</v>
      </c>
      <c r="I176" s="137">
        <v>1</v>
      </c>
      <c r="J176" s="137">
        <v>63.3583</v>
      </c>
      <c r="K176" s="137" t="s">
        <v>82</v>
      </c>
      <c r="L176" s="137" t="s">
        <v>86</v>
      </c>
      <c r="M176" s="137" t="s">
        <v>80</v>
      </c>
      <c r="N176" s="137" t="b">
        <v>1</v>
      </c>
      <c r="O176" s="137" t="s">
        <v>96</v>
      </c>
      <c r="P176" s="137" t="s">
        <v>88</v>
      </c>
      <c r="Q176" s="137" t="s">
        <v>89</v>
      </c>
      <c r="R176" s="137" t="b">
        <v>0</v>
      </c>
      <c r="S176" s="139">
        <v>0</v>
      </c>
      <c r="T176" s="139">
        <v>5.4562104535768904E+18</v>
      </c>
    </row>
    <row r="177" spans="3:20">
      <c r="C177" s="24" t="b">
        <v>0</v>
      </c>
      <c r="D177" s="137">
        <v>1</v>
      </c>
      <c r="E177" s="138">
        <v>2</v>
      </c>
      <c r="F177" s="137" t="s">
        <v>85</v>
      </c>
      <c r="G177" s="137">
        <v>34</v>
      </c>
      <c r="H177" s="137">
        <v>0</v>
      </c>
      <c r="I177" s="137">
        <v>1</v>
      </c>
      <c r="J177" s="137">
        <v>23</v>
      </c>
      <c r="K177" s="137" t="s">
        <v>77</v>
      </c>
      <c r="L177" s="137" t="s">
        <v>94</v>
      </c>
      <c r="M177" s="137" t="s">
        <v>87</v>
      </c>
      <c r="N177" s="137" t="b">
        <v>0</v>
      </c>
      <c r="O177" s="137"/>
      <c r="P177" s="137" t="s">
        <v>83</v>
      </c>
      <c r="Q177" s="137" t="s">
        <v>89</v>
      </c>
      <c r="R177" s="137" t="b">
        <v>0</v>
      </c>
      <c r="S177" s="139">
        <v>1</v>
      </c>
      <c r="T177" s="139">
        <v>4.5769839046631997E+18</v>
      </c>
    </row>
    <row r="178" spans="3:20">
      <c r="C178" s="24" t="b">
        <v>0</v>
      </c>
      <c r="D178" s="137">
        <v>0</v>
      </c>
      <c r="E178" s="138">
        <v>2</v>
      </c>
      <c r="F178" s="137" t="s">
        <v>75</v>
      </c>
      <c r="G178" s="137">
        <v>34</v>
      </c>
      <c r="H178" s="137">
        <v>1</v>
      </c>
      <c r="I178" s="137">
        <v>0</v>
      </c>
      <c r="J178" s="137">
        <v>26</v>
      </c>
      <c r="K178" s="137" t="s">
        <v>77</v>
      </c>
      <c r="L178" s="137" t="s">
        <v>94</v>
      </c>
      <c r="M178" s="137" t="s">
        <v>80</v>
      </c>
      <c r="N178" s="137" t="b">
        <v>1</v>
      </c>
      <c r="O178" s="137"/>
      <c r="P178" s="137" t="s">
        <v>83</v>
      </c>
      <c r="Q178" s="137" t="s">
        <v>84</v>
      </c>
      <c r="R178" s="137" t="b">
        <v>0</v>
      </c>
      <c r="S178" s="139">
        <v>1</v>
      </c>
      <c r="T178" s="139">
        <v>4.4521183290443402E+18</v>
      </c>
    </row>
    <row r="179" spans="3:20">
      <c r="C179" s="24" t="b">
        <v>0</v>
      </c>
      <c r="D179" s="137">
        <v>0</v>
      </c>
      <c r="E179" s="138">
        <v>3</v>
      </c>
      <c r="F179" s="137" t="s">
        <v>85</v>
      </c>
      <c r="G179" s="137">
        <v>28</v>
      </c>
      <c r="H179" s="137">
        <v>0</v>
      </c>
      <c r="I179" s="137">
        <v>0</v>
      </c>
      <c r="J179" s="137">
        <v>7.8958000000000004</v>
      </c>
      <c r="K179" s="137" t="s">
        <v>77</v>
      </c>
      <c r="L179" s="137" t="s">
        <v>79</v>
      </c>
      <c r="M179" s="137" t="s">
        <v>87</v>
      </c>
      <c r="N179" s="137" t="b">
        <v>0</v>
      </c>
      <c r="O179" s="137"/>
      <c r="P179" s="137" t="s">
        <v>83</v>
      </c>
      <c r="Q179" s="137" t="s">
        <v>84</v>
      </c>
      <c r="R179" s="137" t="b">
        <v>1</v>
      </c>
      <c r="S179" s="139">
        <v>1</v>
      </c>
      <c r="T179" s="139">
        <v>1.1789618796488401E+19</v>
      </c>
    </row>
    <row r="180" spans="3:20">
      <c r="C180" s="24" t="b">
        <v>0</v>
      </c>
      <c r="D180" s="137">
        <v>0</v>
      </c>
      <c r="E180" s="138">
        <v>3</v>
      </c>
      <c r="F180" s="137" t="s">
        <v>75</v>
      </c>
      <c r="G180" s="137"/>
      <c r="H180" s="137">
        <v>0</v>
      </c>
      <c r="I180" s="137">
        <v>0</v>
      </c>
      <c r="J180" s="137">
        <v>7.8958000000000004</v>
      </c>
      <c r="K180" s="137" t="s">
        <v>77</v>
      </c>
      <c r="L180" s="137" t="s">
        <v>79</v>
      </c>
      <c r="M180" s="137" t="s">
        <v>80</v>
      </c>
      <c r="N180" s="137" t="b">
        <v>1</v>
      </c>
      <c r="O180" s="137"/>
      <c r="P180" s="137" t="s">
        <v>83</v>
      </c>
      <c r="Q180" s="137" t="s">
        <v>84</v>
      </c>
      <c r="R180" s="137" t="b">
        <v>1</v>
      </c>
      <c r="S180" s="139">
        <v>1</v>
      </c>
      <c r="T180" s="139">
        <v>1.7970467560381901E+19</v>
      </c>
    </row>
    <row r="181" spans="3:20">
      <c r="C181" s="24" t="b">
        <v>0</v>
      </c>
      <c r="D181" s="137">
        <v>0</v>
      </c>
      <c r="E181" s="138">
        <v>1</v>
      </c>
      <c r="F181" s="137" t="s">
        <v>75</v>
      </c>
      <c r="G181" s="137">
        <v>21</v>
      </c>
      <c r="H181" s="137">
        <v>0</v>
      </c>
      <c r="I181" s="137">
        <v>1</v>
      </c>
      <c r="J181" s="137">
        <v>77.287499999999994</v>
      </c>
      <c r="K181" s="137" t="s">
        <v>77</v>
      </c>
      <c r="L181" s="137" t="s">
        <v>86</v>
      </c>
      <c r="M181" s="137" t="s">
        <v>80</v>
      </c>
      <c r="N181" s="137" t="b">
        <v>1</v>
      </c>
      <c r="O181" s="137" t="s">
        <v>96</v>
      </c>
      <c r="P181" s="137" t="s">
        <v>83</v>
      </c>
      <c r="Q181" s="137" t="s">
        <v>84</v>
      </c>
      <c r="R181" s="137" t="b">
        <v>0</v>
      </c>
      <c r="S181" s="139">
        <v>0</v>
      </c>
      <c r="T181" s="139">
        <v>1.17969919773196E+19</v>
      </c>
    </row>
    <row r="182" spans="3:20">
      <c r="C182" s="24" t="b">
        <v>0</v>
      </c>
      <c r="D182" s="137">
        <v>0</v>
      </c>
      <c r="E182" s="138">
        <v>3</v>
      </c>
      <c r="F182" s="137" t="s">
        <v>75</v>
      </c>
      <c r="G182" s="137">
        <v>33</v>
      </c>
      <c r="H182" s="137">
        <v>0</v>
      </c>
      <c r="I182" s="137">
        <v>0</v>
      </c>
      <c r="J182" s="137">
        <v>8.6541999999999994</v>
      </c>
      <c r="K182" s="137" t="s">
        <v>77</v>
      </c>
      <c r="L182" s="137" t="s">
        <v>79</v>
      </c>
      <c r="M182" s="137" t="s">
        <v>80</v>
      </c>
      <c r="N182" s="137" t="b">
        <v>1</v>
      </c>
      <c r="O182" s="137"/>
      <c r="P182" s="137" t="s">
        <v>83</v>
      </c>
      <c r="Q182" s="137" t="s">
        <v>84</v>
      </c>
      <c r="R182" s="137" t="b">
        <v>1</v>
      </c>
      <c r="S182" s="139">
        <v>1</v>
      </c>
      <c r="T182" s="139">
        <v>1.5131723867986399E+19</v>
      </c>
    </row>
    <row r="183" spans="3:20">
      <c r="C183" s="24" t="b">
        <v>0</v>
      </c>
      <c r="D183" s="137">
        <v>0</v>
      </c>
      <c r="E183" s="138">
        <v>3</v>
      </c>
      <c r="F183" s="137" t="s">
        <v>75</v>
      </c>
      <c r="G183" s="137">
        <v>37</v>
      </c>
      <c r="H183" s="137">
        <v>2</v>
      </c>
      <c r="I183" s="137">
        <v>0</v>
      </c>
      <c r="J183" s="137">
        <v>7.9249999999999998</v>
      </c>
      <c r="K183" s="137" t="s">
        <v>77</v>
      </c>
      <c r="L183" s="137" t="s">
        <v>79</v>
      </c>
      <c r="M183" s="137" t="s">
        <v>80</v>
      </c>
      <c r="N183" s="137" t="b">
        <v>1</v>
      </c>
      <c r="O183" s="137"/>
      <c r="P183" s="137" t="s">
        <v>83</v>
      </c>
      <c r="Q183" s="137" t="s">
        <v>84</v>
      </c>
      <c r="R183" s="137" t="b">
        <v>0</v>
      </c>
      <c r="S183" s="139">
        <v>1</v>
      </c>
      <c r="T183" s="139">
        <v>7.4246201106616105E+18</v>
      </c>
    </row>
    <row r="184" spans="3:20">
      <c r="C184" s="24" t="b">
        <v>0</v>
      </c>
      <c r="D184" s="137">
        <v>0</v>
      </c>
      <c r="E184" s="138">
        <v>3</v>
      </c>
      <c r="F184" s="137" t="s">
        <v>75</v>
      </c>
      <c r="G184" s="137">
        <v>28</v>
      </c>
      <c r="H184" s="137">
        <v>0</v>
      </c>
      <c r="I184" s="137">
        <v>0</v>
      </c>
      <c r="J184" s="137">
        <v>7.8958000000000004</v>
      </c>
      <c r="K184" s="137" t="s">
        <v>77</v>
      </c>
      <c r="L184" s="137" t="s">
        <v>79</v>
      </c>
      <c r="M184" s="137" t="s">
        <v>80</v>
      </c>
      <c r="N184" s="137" t="b">
        <v>1</v>
      </c>
      <c r="O184" s="137"/>
      <c r="P184" s="137" t="s">
        <v>83</v>
      </c>
      <c r="Q184" s="137" t="s">
        <v>84</v>
      </c>
      <c r="R184" s="137" t="b">
        <v>1</v>
      </c>
      <c r="S184" s="139">
        <v>1</v>
      </c>
      <c r="T184" s="139">
        <v>1.26909617605963E+19</v>
      </c>
    </row>
    <row r="185" spans="3:20">
      <c r="C185" s="24" t="b">
        <v>0</v>
      </c>
      <c r="D185" s="137">
        <v>1</v>
      </c>
      <c r="E185" s="138">
        <v>3</v>
      </c>
      <c r="F185" s="137" t="s">
        <v>85</v>
      </c>
      <c r="G185" s="137">
        <v>21</v>
      </c>
      <c r="H185" s="137">
        <v>0</v>
      </c>
      <c r="I185" s="137">
        <v>0</v>
      </c>
      <c r="J185" s="137">
        <v>7.65</v>
      </c>
      <c r="K185" s="137" t="s">
        <v>77</v>
      </c>
      <c r="L185" s="137" t="s">
        <v>79</v>
      </c>
      <c r="M185" s="137" t="s">
        <v>87</v>
      </c>
      <c r="N185" s="137" t="b">
        <v>0</v>
      </c>
      <c r="O185" s="137"/>
      <c r="P185" s="137" t="s">
        <v>83</v>
      </c>
      <c r="Q185" s="137" t="s">
        <v>89</v>
      </c>
      <c r="R185" s="137" t="b">
        <v>1</v>
      </c>
      <c r="S185" s="139">
        <v>1</v>
      </c>
      <c r="T185" s="139">
        <v>5.6464439635629896E+18</v>
      </c>
    </row>
    <row r="186" spans="3:20">
      <c r="C186" s="24" t="b">
        <v>0</v>
      </c>
      <c r="D186" s="137">
        <v>1</v>
      </c>
      <c r="E186" s="138">
        <v>3</v>
      </c>
      <c r="F186" s="137" t="s">
        <v>75</v>
      </c>
      <c r="G186" s="137"/>
      <c r="H186" s="137">
        <v>0</v>
      </c>
      <c r="I186" s="137">
        <v>0</v>
      </c>
      <c r="J186" s="137">
        <v>7.7750000000000004</v>
      </c>
      <c r="K186" s="137" t="s">
        <v>77</v>
      </c>
      <c r="L186" s="137" t="s">
        <v>79</v>
      </c>
      <c r="M186" s="137" t="s">
        <v>80</v>
      </c>
      <c r="N186" s="137" t="b">
        <v>1</v>
      </c>
      <c r="O186" s="137"/>
      <c r="P186" s="137" t="s">
        <v>83</v>
      </c>
      <c r="Q186" s="137" t="s">
        <v>89</v>
      </c>
      <c r="R186" s="137" t="b">
        <v>1</v>
      </c>
      <c r="S186" s="139">
        <v>1</v>
      </c>
      <c r="T186" s="139">
        <v>1.1498813480459201E+19</v>
      </c>
    </row>
    <row r="187" spans="3:20">
      <c r="C187" s="24" t="b">
        <v>0</v>
      </c>
      <c r="D187" s="137">
        <v>0</v>
      </c>
      <c r="E187" s="138">
        <v>3</v>
      </c>
      <c r="F187" s="137" t="s">
        <v>75</v>
      </c>
      <c r="G187" s="137">
        <v>38</v>
      </c>
      <c r="H187" s="137">
        <v>0</v>
      </c>
      <c r="I187" s="137">
        <v>0</v>
      </c>
      <c r="J187" s="137">
        <v>7.8958000000000004</v>
      </c>
      <c r="K187" s="137" t="s">
        <v>77</v>
      </c>
      <c r="L187" s="137" t="s">
        <v>79</v>
      </c>
      <c r="M187" s="137" t="s">
        <v>80</v>
      </c>
      <c r="N187" s="137" t="b">
        <v>1</v>
      </c>
      <c r="O187" s="137"/>
      <c r="P187" s="137" t="s">
        <v>83</v>
      </c>
      <c r="Q187" s="137" t="s">
        <v>84</v>
      </c>
      <c r="R187" s="137" t="b">
        <v>1</v>
      </c>
      <c r="S187" s="139">
        <v>1</v>
      </c>
      <c r="T187" s="139">
        <v>8.71395484494895E+18</v>
      </c>
    </row>
    <row r="188" spans="3:20">
      <c r="C188" s="24" t="b">
        <v>0</v>
      </c>
      <c r="D188" s="137">
        <v>1</v>
      </c>
      <c r="E188" s="138">
        <v>3</v>
      </c>
      <c r="F188" s="137" t="s">
        <v>85</v>
      </c>
      <c r="G188" s="137"/>
      <c r="H188" s="137">
        <v>1</v>
      </c>
      <c r="I188" s="137">
        <v>0</v>
      </c>
      <c r="J188" s="137">
        <v>24.15</v>
      </c>
      <c r="K188" s="137" t="s">
        <v>90</v>
      </c>
      <c r="L188" s="137" t="s">
        <v>79</v>
      </c>
      <c r="M188" s="137" t="s">
        <v>87</v>
      </c>
      <c r="N188" s="137" t="b">
        <v>0</v>
      </c>
      <c r="O188" s="137"/>
      <c r="P188" s="137" t="s">
        <v>91</v>
      </c>
      <c r="Q188" s="137" t="s">
        <v>89</v>
      </c>
      <c r="R188" s="137" t="b">
        <v>0</v>
      </c>
      <c r="S188" s="139">
        <v>1</v>
      </c>
      <c r="T188" s="139">
        <v>1.5854088790862899E+18</v>
      </c>
    </row>
    <row r="189" spans="3:20">
      <c r="C189" s="24" t="b">
        <v>0</v>
      </c>
      <c r="D189" s="137">
        <v>0</v>
      </c>
      <c r="E189" s="138">
        <v>1</v>
      </c>
      <c r="F189" s="137" t="s">
        <v>75</v>
      </c>
      <c r="G189" s="137">
        <v>47</v>
      </c>
      <c r="H189" s="137">
        <v>0</v>
      </c>
      <c r="I189" s="137">
        <v>0</v>
      </c>
      <c r="J189" s="137">
        <v>52</v>
      </c>
      <c r="K189" s="137" t="s">
        <v>77</v>
      </c>
      <c r="L189" s="137" t="s">
        <v>86</v>
      </c>
      <c r="M189" s="137" t="s">
        <v>80</v>
      </c>
      <c r="N189" s="137" t="b">
        <v>1</v>
      </c>
      <c r="O189" s="137" t="s">
        <v>82</v>
      </c>
      <c r="P189" s="137" t="s">
        <v>83</v>
      </c>
      <c r="Q189" s="137" t="s">
        <v>84</v>
      </c>
      <c r="R189" s="137" t="b">
        <v>1</v>
      </c>
      <c r="S189" s="139">
        <v>0</v>
      </c>
      <c r="T189" s="139">
        <v>1.5484200823089199E+19</v>
      </c>
    </row>
    <row r="190" spans="3:20">
      <c r="C190" s="24" t="b">
        <v>0</v>
      </c>
      <c r="D190" s="137">
        <v>0</v>
      </c>
      <c r="E190" s="138">
        <v>3</v>
      </c>
      <c r="F190" s="137" t="s">
        <v>85</v>
      </c>
      <c r="G190" s="137">
        <v>14.5</v>
      </c>
      <c r="H190" s="137">
        <v>1</v>
      </c>
      <c r="I190" s="137">
        <v>0</v>
      </c>
      <c r="J190" s="137">
        <v>14.4542</v>
      </c>
      <c r="K190" s="137" t="s">
        <v>82</v>
      </c>
      <c r="L190" s="137" t="s">
        <v>79</v>
      </c>
      <c r="M190" s="137" t="s">
        <v>93</v>
      </c>
      <c r="N190" s="137" t="b">
        <v>0</v>
      </c>
      <c r="O190" s="137"/>
      <c r="P190" s="137" t="s">
        <v>88</v>
      </c>
      <c r="Q190" s="137" t="s">
        <v>84</v>
      </c>
      <c r="R190" s="137" t="b">
        <v>0</v>
      </c>
      <c r="S190" s="139">
        <v>1</v>
      </c>
      <c r="T190" s="139">
        <v>8.3894516061733796E+18</v>
      </c>
    </row>
    <row r="191" spans="3:20">
      <c r="C191" s="24" t="b">
        <v>0</v>
      </c>
      <c r="D191" s="137">
        <v>0</v>
      </c>
      <c r="E191" s="138">
        <v>3</v>
      </c>
      <c r="F191" s="137" t="s">
        <v>75</v>
      </c>
      <c r="G191" s="137">
        <v>22</v>
      </c>
      <c r="H191" s="137">
        <v>0</v>
      </c>
      <c r="I191" s="137">
        <v>0</v>
      </c>
      <c r="J191" s="137">
        <v>8.0500000000000007</v>
      </c>
      <c r="K191" s="137" t="s">
        <v>77</v>
      </c>
      <c r="L191" s="137" t="s">
        <v>79</v>
      </c>
      <c r="M191" s="137" t="s">
        <v>80</v>
      </c>
      <c r="N191" s="137" t="b">
        <v>1</v>
      </c>
      <c r="O191" s="137"/>
      <c r="P191" s="137" t="s">
        <v>83</v>
      </c>
      <c r="Q191" s="137" t="s">
        <v>84</v>
      </c>
      <c r="R191" s="137" t="b">
        <v>1</v>
      </c>
      <c r="S191" s="139">
        <v>1</v>
      </c>
      <c r="T191" s="139">
        <v>7.32794109032546E+18</v>
      </c>
    </row>
    <row r="192" spans="3:20">
      <c r="C192" s="24" t="b">
        <v>0</v>
      </c>
      <c r="D192" s="137">
        <v>0</v>
      </c>
      <c r="E192" s="138">
        <v>3</v>
      </c>
      <c r="F192" s="137" t="s">
        <v>85</v>
      </c>
      <c r="G192" s="137">
        <v>20</v>
      </c>
      <c r="H192" s="137">
        <v>1</v>
      </c>
      <c r="I192" s="137">
        <v>0</v>
      </c>
      <c r="J192" s="137">
        <v>9.8249999999999993</v>
      </c>
      <c r="K192" s="137" t="s">
        <v>77</v>
      </c>
      <c r="L192" s="137" t="s">
        <v>79</v>
      </c>
      <c r="M192" s="137" t="s">
        <v>87</v>
      </c>
      <c r="N192" s="137" t="b">
        <v>0</v>
      </c>
      <c r="O192" s="137"/>
      <c r="P192" s="137" t="s">
        <v>83</v>
      </c>
      <c r="Q192" s="137" t="s">
        <v>84</v>
      </c>
      <c r="R192" s="137" t="b">
        <v>0</v>
      </c>
      <c r="S192" s="139">
        <v>1</v>
      </c>
      <c r="T192" s="139">
        <v>1.658199590778E+19</v>
      </c>
    </row>
    <row r="193" spans="3:20">
      <c r="C193" s="24" t="b">
        <v>0</v>
      </c>
      <c r="D193" s="137">
        <v>0</v>
      </c>
      <c r="E193" s="138">
        <v>3</v>
      </c>
      <c r="F193" s="137" t="s">
        <v>85</v>
      </c>
      <c r="G193" s="137">
        <v>17</v>
      </c>
      <c r="H193" s="137">
        <v>0</v>
      </c>
      <c r="I193" s="137">
        <v>0</v>
      </c>
      <c r="J193" s="137">
        <v>14.458299999999999</v>
      </c>
      <c r="K193" s="137" t="s">
        <v>82</v>
      </c>
      <c r="L193" s="137" t="s">
        <v>79</v>
      </c>
      <c r="M193" s="137" t="s">
        <v>87</v>
      </c>
      <c r="N193" s="137" t="b">
        <v>0</v>
      </c>
      <c r="O193" s="137"/>
      <c r="P193" s="137" t="s">
        <v>88</v>
      </c>
      <c r="Q193" s="137" t="s">
        <v>84</v>
      </c>
      <c r="R193" s="137" t="b">
        <v>1</v>
      </c>
      <c r="S193" s="139">
        <v>1</v>
      </c>
      <c r="T193" s="139">
        <v>4.2927333238875699E+18</v>
      </c>
    </row>
    <row r="194" spans="3:20">
      <c r="C194" s="24" t="b">
        <v>0</v>
      </c>
      <c r="D194" s="137">
        <v>0</v>
      </c>
      <c r="E194" s="138">
        <v>3</v>
      </c>
      <c r="F194" s="137" t="s">
        <v>75</v>
      </c>
      <c r="G194" s="137">
        <v>21</v>
      </c>
      <c r="H194" s="137">
        <v>0</v>
      </c>
      <c r="I194" s="137">
        <v>0</v>
      </c>
      <c r="J194" s="137">
        <v>7.9249999999999998</v>
      </c>
      <c r="K194" s="137" t="s">
        <v>77</v>
      </c>
      <c r="L194" s="137" t="s">
        <v>79</v>
      </c>
      <c r="M194" s="137" t="s">
        <v>80</v>
      </c>
      <c r="N194" s="137" t="b">
        <v>1</v>
      </c>
      <c r="O194" s="137"/>
      <c r="P194" s="137" t="s">
        <v>83</v>
      </c>
      <c r="Q194" s="137" t="s">
        <v>84</v>
      </c>
      <c r="R194" s="137" t="b">
        <v>1</v>
      </c>
      <c r="S194" s="139">
        <v>1</v>
      </c>
      <c r="T194" s="139">
        <v>1.4803358993628701E+19</v>
      </c>
    </row>
    <row r="195" spans="3:20">
      <c r="C195" s="24" t="b">
        <v>0</v>
      </c>
      <c r="D195" s="137">
        <v>0</v>
      </c>
      <c r="E195" s="138">
        <v>3</v>
      </c>
      <c r="F195" s="137" t="s">
        <v>75</v>
      </c>
      <c r="G195" s="137">
        <v>70.5</v>
      </c>
      <c r="H195" s="137">
        <v>0</v>
      </c>
      <c r="I195" s="137">
        <v>0</v>
      </c>
      <c r="J195" s="137">
        <v>7.75</v>
      </c>
      <c r="K195" s="137" t="s">
        <v>90</v>
      </c>
      <c r="L195" s="137" t="s">
        <v>79</v>
      </c>
      <c r="M195" s="137" t="s">
        <v>80</v>
      </c>
      <c r="N195" s="137" t="b">
        <v>1</v>
      </c>
      <c r="O195" s="137"/>
      <c r="P195" s="137" t="s">
        <v>91</v>
      </c>
      <c r="Q195" s="137" t="s">
        <v>84</v>
      </c>
      <c r="R195" s="137" t="b">
        <v>1</v>
      </c>
      <c r="S195" s="139">
        <v>1</v>
      </c>
      <c r="T195" s="139">
        <v>1.04142279060522E+19</v>
      </c>
    </row>
    <row r="196" spans="3:20">
      <c r="C196" s="24" t="b">
        <v>0</v>
      </c>
      <c r="D196" s="137">
        <v>0</v>
      </c>
      <c r="E196" s="138">
        <v>2</v>
      </c>
      <c r="F196" s="137" t="s">
        <v>75</v>
      </c>
      <c r="G196" s="137">
        <v>29</v>
      </c>
      <c r="H196" s="137">
        <v>1</v>
      </c>
      <c r="I196" s="137">
        <v>0</v>
      </c>
      <c r="J196" s="137">
        <v>21</v>
      </c>
      <c r="K196" s="137" t="s">
        <v>77</v>
      </c>
      <c r="L196" s="137" t="s">
        <v>94</v>
      </c>
      <c r="M196" s="137" t="s">
        <v>80</v>
      </c>
      <c r="N196" s="137" t="b">
        <v>1</v>
      </c>
      <c r="O196" s="137"/>
      <c r="P196" s="137" t="s">
        <v>83</v>
      </c>
      <c r="Q196" s="137" t="s">
        <v>84</v>
      </c>
      <c r="R196" s="137" t="b">
        <v>0</v>
      </c>
      <c r="S196" s="139">
        <v>1</v>
      </c>
      <c r="T196" s="139">
        <v>4.2291130258217702E+18</v>
      </c>
    </row>
    <row r="197" spans="3:20">
      <c r="C197" s="24" t="b">
        <v>0</v>
      </c>
      <c r="D197" s="137">
        <v>0</v>
      </c>
      <c r="E197" s="138">
        <v>1</v>
      </c>
      <c r="F197" s="137" t="s">
        <v>75</v>
      </c>
      <c r="G197" s="137">
        <v>24</v>
      </c>
      <c r="H197" s="137">
        <v>0</v>
      </c>
      <c r="I197" s="137">
        <v>1</v>
      </c>
      <c r="J197" s="137">
        <v>247.52080000000001</v>
      </c>
      <c r="K197" s="137" t="s">
        <v>82</v>
      </c>
      <c r="L197" s="137" t="s">
        <v>86</v>
      </c>
      <c r="M197" s="137" t="s">
        <v>80</v>
      </c>
      <c r="N197" s="137" t="b">
        <v>1</v>
      </c>
      <c r="O197" s="137" t="s">
        <v>98</v>
      </c>
      <c r="P197" s="137" t="s">
        <v>88</v>
      </c>
      <c r="Q197" s="137" t="s">
        <v>84</v>
      </c>
      <c r="R197" s="137" t="b">
        <v>0</v>
      </c>
      <c r="S197" s="139">
        <v>0</v>
      </c>
      <c r="T197" s="139">
        <v>1.19773311397411E+19</v>
      </c>
    </row>
    <row r="198" spans="3:20">
      <c r="C198" s="24" t="b">
        <v>0</v>
      </c>
      <c r="D198" s="137">
        <v>0</v>
      </c>
      <c r="E198" s="138">
        <v>3</v>
      </c>
      <c r="F198" s="137" t="s">
        <v>85</v>
      </c>
      <c r="G198" s="137">
        <v>2</v>
      </c>
      <c r="H198" s="137">
        <v>4</v>
      </c>
      <c r="I198" s="137">
        <v>2</v>
      </c>
      <c r="J198" s="137">
        <v>31.274999999999999</v>
      </c>
      <c r="K198" s="137" t="s">
        <v>77</v>
      </c>
      <c r="L198" s="137" t="s">
        <v>79</v>
      </c>
      <c r="M198" s="137" t="s">
        <v>93</v>
      </c>
      <c r="N198" s="137" t="b">
        <v>0</v>
      </c>
      <c r="O198" s="137"/>
      <c r="P198" s="137" t="s">
        <v>83</v>
      </c>
      <c r="Q198" s="137" t="s">
        <v>84</v>
      </c>
      <c r="R198" s="137" t="b">
        <v>0</v>
      </c>
      <c r="S198" s="139">
        <v>1</v>
      </c>
      <c r="T198" s="139">
        <v>3.6633054858203899E+18</v>
      </c>
    </row>
    <row r="199" spans="3:20">
      <c r="C199" s="24" t="b">
        <v>0</v>
      </c>
      <c r="D199" s="137">
        <v>0</v>
      </c>
      <c r="E199" s="138">
        <v>2</v>
      </c>
      <c r="F199" s="137" t="s">
        <v>75</v>
      </c>
      <c r="G199" s="137">
        <v>21</v>
      </c>
      <c r="H199" s="137">
        <v>2</v>
      </c>
      <c r="I199" s="137">
        <v>0</v>
      </c>
      <c r="J199" s="137">
        <v>73.5</v>
      </c>
      <c r="K199" s="137" t="s">
        <v>77</v>
      </c>
      <c r="L199" s="137" t="s">
        <v>94</v>
      </c>
      <c r="M199" s="137" t="s">
        <v>80</v>
      </c>
      <c r="N199" s="137" t="b">
        <v>1</v>
      </c>
      <c r="O199" s="137"/>
      <c r="P199" s="137" t="s">
        <v>83</v>
      </c>
      <c r="Q199" s="137" t="s">
        <v>84</v>
      </c>
      <c r="R199" s="137" t="b">
        <v>0</v>
      </c>
      <c r="S199" s="139">
        <v>1</v>
      </c>
      <c r="T199" s="139">
        <v>1.15786877830615E+19</v>
      </c>
    </row>
    <row r="200" spans="3:20">
      <c r="C200" s="24" t="b">
        <v>0</v>
      </c>
      <c r="D200" s="137">
        <v>0</v>
      </c>
      <c r="E200" s="138">
        <v>3</v>
      </c>
      <c r="F200" s="137" t="s">
        <v>75</v>
      </c>
      <c r="G200" s="137"/>
      <c r="H200" s="137">
        <v>0</v>
      </c>
      <c r="I200" s="137">
        <v>0</v>
      </c>
      <c r="J200" s="137">
        <v>8.0500000000000007</v>
      </c>
      <c r="K200" s="137" t="s">
        <v>77</v>
      </c>
      <c r="L200" s="137" t="s">
        <v>79</v>
      </c>
      <c r="M200" s="137" t="s">
        <v>80</v>
      </c>
      <c r="N200" s="137" t="b">
        <v>1</v>
      </c>
      <c r="O200" s="137"/>
      <c r="P200" s="137" t="s">
        <v>83</v>
      </c>
      <c r="Q200" s="137" t="s">
        <v>84</v>
      </c>
      <c r="R200" s="137" t="b">
        <v>1</v>
      </c>
      <c r="S200" s="139">
        <v>1</v>
      </c>
      <c r="T200" s="139">
        <v>1.0519935439659201E+19</v>
      </c>
    </row>
    <row r="201" spans="3:20">
      <c r="C201" s="24" t="b">
        <v>0</v>
      </c>
      <c r="D201" s="137">
        <v>0</v>
      </c>
      <c r="E201" s="138">
        <v>2</v>
      </c>
      <c r="F201" s="137" t="s">
        <v>75</v>
      </c>
      <c r="G201" s="137">
        <v>32.5</v>
      </c>
      <c r="H201" s="137">
        <v>1</v>
      </c>
      <c r="I201" s="137">
        <v>0</v>
      </c>
      <c r="J201" s="137">
        <v>30.070799999999998</v>
      </c>
      <c r="K201" s="137" t="s">
        <v>82</v>
      </c>
      <c r="L201" s="137" t="s">
        <v>94</v>
      </c>
      <c r="M201" s="137" t="s">
        <v>80</v>
      </c>
      <c r="N201" s="137" t="b">
        <v>1</v>
      </c>
      <c r="O201" s="137"/>
      <c r="P201" s="137" t="s">
        <v>88</v>
      </c>
      <c r="Q201" s="137" t="s">
        <v>84</v>
      </c>
      <c r="R201" s="137" t="b">
        <v>0</v>
      </c>
      <c r="S201" s="139">
        <v>1</v>
      </c>
      <c r="T201" s="139">
        <v>1.5455281188528699E+19</v>
      </c>
    </row>
    <row r="202" spans="3:20">
      <c r="C202" s="24" t="b">
        <v>0</v>
      </c>
      <c r="D202" s="137">
        <v>1</v>
      </c>
      <c r="E202" s="138">
        <v>2</v>
      </c>
      <c r="F202" s="137" t="s">
        <v>85</v>
      </c>
      <c r="G202" s="137">
        <v>32.5</v>
      </c>
      <c r="H202" s="137">
        <v>0</v>
      </c>
      <c r="I202" s="137">
        <v>0</v>
      </c>
      <c r="J202" s="137">
        <v>13</v>
      </c>
      <c r="K202" s="137" t="s">
        <v>77</v>
      </c>
      <c r="L202" s="137" t="s">
        <v>94</v>
      </c>
      <c r="M202" s="137" t="s">
        <v>87</v>
      </c>
      <c r="N202" s="137" t="b">
        <v>0</v>
      </c>
      <c r="O202" s="137" t="s">
        <v>92</v>
      </c>
      <c r="P202" s="137" t="s">
        <v>83</v>
      </c>
      <c r="Q202" s="137" t="s">
        <v>89</v>
      </c>
      <c r="R202" s="137" t="b">
        <v>1</v>
      </c>
      <c r="S202" s="139">
        <v>0</v>
      </c>
      <c r="T202" s="139">
        <v>1.17757190705879E+19</v>
      </c>
    </row>
    <row r="203" spans="3:20">
      <c r="C203" s="24" t="b">
        <v>0</v>
      </c>
      <c r="D203" s="137">
        <v>0</v>
      </c>
      <c r="E203" s="138">
        <v>1</v>
      </c>
      <c r="F203" s="137" t="s">
        <v>75</v>
      </c>
      <c r="G203" s="137">
        <v>54</v>
      </c>
      <c r="H203" s="137">
        <v>0</v>
      </c>
      <c r="I203" s="137">
        <v>1</v>
      </c>
      <c r="J203" s="137">
        <v>77.287499999999994</v>
      </c>
      <c r="K203" s="137" t="s">
        <v>77</v>
      </c>
      <c r="L203" s="137" t="s">
        <v>86</v>
      </c>
      <c r="M203" s="137" t="s">
        <v>80</v>
      </c>
      <c r="N203" s="137" t="b">
        <v>1</v>
      </c>
      <c r="O203" s="137" t="s">
        <v>96</v>
      </c>
      <c r="P203" s="137" t="s">
        <v>83</v>
      </c>
      <c r="Q203" s="137" t="s">
        <v>84</v>
      </c>
      <c r="R203" s="137" t="b">
        <v>0</v>
      </c>
      <c r="S203" s="139">
        <v>0</v>
      </c>
      <c r="T203" s="139">
        <v>9.6470175039468093E+18</v>
      </c>
    </row>
    <row r="204" spans="3:20">
      <c r="C204" s="24" t="b">
        <v>0</v>
      </c>
      <c r="D204" s="137">
        <v>1</v>
      </c>
      <c r="E204" s="138">
        <v>3</v>
      </c>
      <c r="F204" s="137" t="s">
        <v>75</v>
      </c>
      <c r="G204" s="137">
        <v>12</v>
      </c>
      <c r="H204" s="137">
        <v>1</v>
      </c>
      <c r="I204" s="137">
        <v>0</v>
      </c>
      <c r="J204" s="137">
        <v>11.2417</v>
      </c>
      <c r="K204" s="137" t="s">
        <v>82</v>
      </c>
      <c r="L204" s="137" t="s">
        <v>79</v>
      </c>
      <c r="M204" s="137" t="s">
        <v>93</v>
      </c>
      <c r="N204" s="137" t="b">
        <v>0</v>
      </c>
      <c r="O204" s="137"/>
      <c r="P204" s="137" t="s">
        <v>88</v>
      </c>
      <c r="Q204" s="137" t="s">
        <v>89</v>
      </c>
      <c r="R204" s="137" t="b">
        <v>0</v>
      </c>
      <c r="S204" s="139">
        <v>1</v>
      </c>
      <c r="T204" s="139">
        <v>1.4932428505062601E+19</v>
      </c>
    </row>
    <row r="205" spans="3:20">
      <c r="C205" s="24" t="b">
        <v>0</v>
      </c>
      <c r="D205" s="137">
        <v>0</v>
      </c>
      <c r="E205" s="138">
        <v>3</v>
      </c>
      <c r="F205" s="137" t="s">
        <v>75</v>
      </c>
      <c r="G205" s="137"/>
      <c r="H205" s="137">
        <v>0</v>
      </c>
      <c r="I205" s="137">
        <v>0</v>
      </c>
      <c r="J205" s="137">
        <v>7.75</v>
      </c>
      <c r="K205" s="137" t="s">
        <v>90</v>
      </c>
      <c r="L205" s="137" t="s">
        <v>79</v>
      </c>
      <c r="M205" s="137" t="s">
        <v>80</v>
      </c>
      <c r="N205" s="137" t="b">
        <v>1</v>
      </c>
      <c r="O205" s="137"/>
      <c r="P205" s="137" t="s">
        <v>91</v>
      </c>
      <c r="Q205" s="137" t="s">
        <v>84</v>
      </c>
      <c r="R205" s="137" t="b">
        <v>1</v>
      </c>
      <c r="S205" s="139">
        <v>1</v>
      </c>
      <c r="T205" s="139">
        <v>8.8562668406319196E+18</v>
      </c>
    </row>
    <row r="206" spans="3:20">
      <c r="C206" s="24" t="b">
        <v>0</v>
      </c>
      <c r="D206" s="137">
        <v>1</v>
      </c>
      <c r="E206" s="138">
        <v>3</v>
      </c>
      <c r="F206" s="137" t="s">
        <v>75</v>
      </c>
      <c r="G206" s="137">
        <v>24</v>
      </c>
      <c r="H206" s="137">
        <v>0</v>
      </c>
      <c r="I206" s="137">
        <v>0</v>
      </c>
      <c r="J206" s="137">
        <v>7.1417000000000002</v>
      </c>
      <c r="K206" s="137" t="s">
        <v>77</v>
      </c>
      <c r="L206" s="137" t="s">
        <v>79</v>
      </c>
      <c r="M206" s="137" t="s">
        <v>80</v>
      </c>
      <c r="N206" s="137" t="b">
        <v>1</v>
      </c>
      <c r="O206" s="137"/>
      <c r="P206" s="137" t="s">
        <v>83</v>
      </c>
      <c r="Q206" s="137" t="s">
        <v>89</v>
      </c>
      <c r="R206" s="137" t="b">
        <v>1</v>
      </c>
      <c r="S206" s="139">
        <v>1</v>
      </c>
      <c r="T206" s="139">
        <v>7.2734235218248397E+18</v>
      </c>
    </row>
    <row r="207" spans="3:20">
      <c r="C207" s="24" t="b">
        <v>0</v>
      </c>
      <c r="D207" s="137">
        <v>1</v>
      </c>
      <c r="E207" s="138">
        <v>3</v>
      </c>
      <c r="F207" s="137" t="s">
        <v>85</v>
      </c>
      <c r="G207" s="137"/>
      <c r="H207" s="137">
        <v>1</v>
      </c>
      <c r="I207" s="137">
        <v>1</v>
      </c>
      <c r="J207" s="137">
        <v>22.3583</v>
      </c>
      <c r="K207" s="137" t="s">
        <v>82</v>
      </c>
      <c r="L207" s="137" t="s">
        <v>79</v>
      </c>
      <c r="M207" s="137" t="s">
        <v>87</v>
      </c>
      <c r="N207" s="137" t="b">
        <v>0</v>
      </c>
      <c r="O207" s="137" t="s">
        <v>99</v>
      </c>
      <c r="P207" s="137" t="s">
        <v>88</v>
      </c>
      <c r="Q207" s="137" t="s">
        <v>89</v>
      </c>
      <c r="R207" s="137" t="b">
        <v>0</v>
      </c>
      <c r="S207" s="139">
        <v>1</v>
      </c>
      <c r="T207" s="139">
        <v>1.5451435620946401E+18</v>
      </c>
    </row>
    <row r="208" spans="3:20">
      <c r="C208" s="24" t="b">
        <v>0</v>
      </c>
      <c r="D208" s="137">
        <v>0</v>
      </c>
      <c r="E208" s="138">
        <v>3</v>
      </c>
      <c r="F208" s="137" t="s">
        <v>75</v>
      </c>
      <c r="G208" s="137">
        <v>45</v>
      </c>
      <c r="H208" s="137">
        <v>0</v>
      </c>
      <c r="I208" s="137">
        <v>0</v>
      </c>
      <c r="J208" s="137">
        <v>6.9749999999999996</v>
      </c>
      <c r="K208" s="137" t="s">
        <v>77</v>
      </c>
      <c r="L208" s="137" t="s">
        <v>79</v>
      </c>
      <c r="M208" s="137" t="s">
        <v>80</v>
      </c>
      <c r="N208" s="137" t="b">
        <v>1</v>
      </c>
      <c r="O208" s="137"/>
      <c r="P208" s="137" t="s">
        <v>83</v>
      </c>
      <c r="Q208" s="137" t="s">
        <v>84</v>
      </c>
      <c r="R208" s="137" t="b">
        <v>1</v>
      </c>
      <c r="S208" s="139">
        <v>1</v>
      </c>
      <c r="T208" s="139">
        <v>4.25710150987981E+18</v>
      </c>
    </row>
    <row r="209" spans="3:20">
      <c r="C209" s="24" t="b">
        <v>0</v>
      </c>
      <c r="D209" s="137">
        <v>0</v>
      </c>
      <c r="E209" s="138">
        <v>3</v>
      </c>
      <c r="F209" s="137" t="s">
        <v>75</v>
      </c>
      <c r="G209" s="137">
        <v>33</v>
      </c>
      <c r="H209" s="137">
        <v>0</v>
      </c>
      <c r="I209" s="137">
        <v>0</v>
      </c>
      <c r="J209" s="137">
        <v>7.8958000000000004</v>
      </c>
      <c r="K209" s="137" t="s">
        <v>82</v>
      </c>
      <c r="L209" s="137" t="s">
        <v>79</v>
      </c>
      <c r="M209" s="137" t="s">
        <v>80</v>
      </c>
      <c r="N209" s="137" t="b">
        <v>1</v>
      </c>
      <c r="O209" s="137"/>
      <c r="P209" s="137" t="s">
        <v>88</v>
      </c>
      <c r="Q209" s="137" t="s">
        <v>84</v>
      </c>
      <c r="R209" s="137" t="b">
        <v>1</v>
      </c>
      <c r="S209" s="139">
        <v>1</v>
      </c>
      <c r="T209" s="139">
        <v>1.36292183694447E+19</v>
      </c>
    </row>
    <row r="210" spans="3:20">
      <c r="C210" s="24" t="b">
        <v>0</v>
      </c>
      <c r="D210" s="137">
        <v>0</v>
      </c>
      <c r="E210" s="138">
        <v>3</v>
      </c>
      <c r="F210" s="137" t="s">
        <v>75</v>
      </c>
      <c r="G210" s="137">
        <v>20</v>
      </c>
      <c r="H210" s="137">
        <v>0</v>
      </c>
      <c r="I210" s="137">
        <v>0</v>
      </c>
      <c r="J210" s="137">
        <v>7.05</v>
      </c>
      <c r="K210" s="137" t="s">
        <v>77</v>
      </c>
      <c r="L210" s="137" t="s">
        <v>79</v>
      </c>
      <c r="M210" s="137" t="s">
        <v>80</v>
      </c>
      <c r="N210" s="137" t="b">
        <v>1</v>
      </c>
      <c r="O210" s="137"/>
      <c r="P210" s="137" t="s">
        <v>83</v>
      </c>
      <c r="Q210" s="137" t="s">
        <v>84</v>
      </c>
      <c r="R210" s="137" t="b">
        <v>1</v>
      </c>
      <c r="S210" s="139">
        <v>1</v>
      </c>
      <c r="T210" s="139">
        <v>1.46558277200617E+19</v>
      </c>
    </row>
    <row r="211" spans="3:20">
      <c r="C211" s="24" t="b">
        <v>0</v>
      </c>
      <c r="D211" s="137">
        <v>0</v>
      </c>
      <c r="E211" s="138">
        <v>3</v>
      </c>
      <c r="F211" s="137" t="s">
        <v>85</v>
      </c>
      <c r="G211" s="137">
        <v>47</v>
      </c>
      <c r="H211" s="137">
        <v>1</v>
      </c>
      <c r="I211" s="137">
        <v>0</v>
      </c>
      <c r="J211" s="137">
        <v>14.5</v>
      </c>
      <c r="K211" s="137" t="s">
        <v>77</v>
      </c>
      <c r="L211" s="137" t="s">
        <v>79</v>
      </c>
      <c r="M211" s="137" t="s">
        <v>87</v>
      </c>
      <c r="N211" s="137" t="b">
        <v>0</v>
      </c>
      <c r="O211" s="137"/>
      <c r="P211" s="137" t="s">
        <v>83</v>
      </c>
      <c r="Q211" s="137" t="s">
        <v>84</v>
      </c>
      <c r="R211" s="137" t="b">
        <v>0</v>
      </c>
      <c r="S211" s="139">
        <v>1</v>
      </c>
      <c r="T211" s="139">
        <v>6.8357213672442701E+17</v>
      </c>
    </row>
    <row r="212" spans="3:20">
      <c r="C212" s="24" t="b">
        <v>0</v>
      </c>
      <c r="D212" s="137">
        <v>1</v>
      </c>
      <c r="E212" s="138">
        <v>2</v>
      </c>
      <c r="F212" s="137" t="s">
        <v>85</v>
      </c>
      <c r="G212" s="137">
        <v>29</v>
      </c>
      <c r="H212" s="137">
        <v>1</v>
      </c>
      <c r="I212" s="137">
        <v>0</v>
      </c>
      <c r="J212" s="137">
        <v>26</v>
      </c>
      <c r="K212" s="137" t="s">
        <v>77</v>
      </c>
      <c r="L212" s="137" t="s">
        <v>94</v>
      </c>
      <c r="M212" s="137" t="s">
        <v>87</v>
      </c>
      <c r="N212" s="137" t="b">
        <v>0</v>
      </c>
      <c r="O212" s="137"/>
      <c r="P212" s="137" t="s">
        <v>83</v>
      </c>
      <c r="Q212" s="137" t="s">
        <v>89</v>
      </c>
      <c r="R212" s="137" t="b">
        <v>0</v>
      </c>
      <c r="S212" s="139">
        <v>1</v>
      </c>
      <c r="T212" s="139">
        <v>1.2771388903925201E+19</v>
      </c>
    </row>
    <row r="213" spans="3:20">
      <c r="C213" s="24" t="b">
        <v>0</v>
      </c>
      <c r="D213" s="137">
        <v>0</v>
      </c>
      <c r="E213" s="138">
        <v>2</v>
      </c>
      <c r="F213" s="137" t="s">
        <v>75</v>
      </c>
      <c r="G213" s="137">
        <v>25</v>
      </c>
      <c r="H213" s="137">
        <v>0</v>
      </c>
      <c r="I213" s="137">
        <v>0</v>
      </c>
      <c r="J213" s="137">
        <v>13</v>
      </c>
      <c r="K213" s="137" t="s">
        <v>77</v>
      </c>
      <c r="L213" s="137" t="s">
        <v>94</v>
      </c>
      <c r="M213" s="137" t="s">
        <v>80</v>
      </c>
      <c r="N213" s="137" t="b">
        <v>1</v>
      </c>
      <c r="O213" s="137"/>
      <c r="P213" s="137" t="s">
        <v>83</v>
      </c>
      <c r="Q213" s="137" t="s">
        <v>84</v>
      </c>
      <c r="R213" s="137" t="b">
        <v>1</v>
      </c>
      <c r="S213" s="139">
        <v>1</v>
      </c>
      <c r="T213" s="139">
        <v>1.45445304985682E+19</v>
      </c>
    </row>
    <row r="214" spans="3:20">
      <c r="C214" s="24" t="b">
        <v>0</v>
      </c>
      <c r="D214" s="137">
        <v>0</v>
      </c>
      <c r="E214" s="138">
        <v>2</v>
      </c>
      <c r="F214" s="137" t="s">
        <v>75</v>
      </c>
      <c r="G214" s="137">
        <v>23</v>
      </c>
      <c r="H214" s="137">
        <v>0</v>
      </c>
      <c r="I214" s="137">
        <v>0</v>
      </c>
      <c r="J214" s="137">
        <v>15.0458</v>
      </c>
      <c r="K214" s="137" t="s">
        <v>82</v>
      </c>
      <c r="L214" s="137" t="s">
        <v>94</v>
      </c>
      <c r="M214" s="137" t="s">
        <v>80</v>
      </c>
      <c r="N214" s="137" t="b">
        <v>1</v>
      </c>
      <c r="O214" s="137"/>
      <c r="P214" s="137" t="s">
        <v>88</v>
      </c>
      <c r="Q214" s="137" t="s">
        <v>84</v>
      </c>
      <c r="R214" s="137" t="b">
        <v>1</v>
      </c>
      <c r="S214" s="139">
        <v>1</v>
      </c>
      <c r="T214" s="139">
        <v>1.3302480445389901E+18</v>
      </c>
    </row>
    <row r="215" spans="3:20">
      <c r="C215" s="24" t="b">
        <v>0</v>
      </c>
      <c r="D215" s="137">
        <v>1</v>
      </c>
      <c r="E215" s="138">
        <v>1</v>
      </c>
      <c r="F215" s="137" t="s">
        <v>85</v>
      </c>
      <c r="G215" s="137">
        <v>19</v>
      </c>
      <c r="H215" s="137">
        <v>0</v>
      </c>
      <c r="I215" s="137">
        <v>2</v>
      </c>
      <c r="J215" s="137">
        <v>26.283300000000001</v>
      </c>
      <c r="K215" s="137" t="s">
        <v>77</v>
      </c>
      <c r="L215" s="137" t="s">
        <v>86</v>
      </c>
      <c r="M215" s="137" t="s">
        <v>87</v>
      </c>
      <c r="N215" s="137" t="b">
        <v>0</v>
      </c>
      <c r="O215" s="137" t="s">
        <v>96</v>
      </c>
      <c r="P215" s="137" t="s">
        <v>83</v>
      </c>
      <c r="Q215" s="137" t="s">
        <v>89</v>
      </c>
      <c r="R215" s="137" t="b">
        <v>0</v>
      </c>
      <c r="S215" s="139">
        <v>0</v>
      </c>
      <c r="T215" s="139">
        <v>7.1669608227961498E+18</v>
      </c>
    </row>
    <row r="216" spans="3:20">
      <c r="C216" s="24" t="b">
        <v>0</v>
      </c>
      <c r="D216" s="137">
        <v>0</v>
      </c>
      <c r="E216" s="138">
        <v>1</v>
      </c>
      <c r="F216" s="137" t="s">
        <v>75</v>
      </c>
      <c r="G216" s="137">
        <v>37</v>
      </c>
      <c r="H216" s="137">
        <v>1</v>
      </c>
      <c r="I216" s="137">
        <v>0</v>
      </c>
      <c r="J216" s="137">
        <v>53.1</v>
      </c>
      <c r="K216" s="137" t="s">
        <v>77</v>
      </c>
      <c r="L216" s="137" t="s">
        <v>86</v>
      </c>
      <c r="M216" s="137" t="s">
        <v>80</v>
      </c>
      <c r="N216" s="137" t="b">
        <v>1</v>
      </c>
      <c r="O216" s="137" t="s">
        <v>82</v>
      </c>
      <c r="P216" s="137" t="s">
        <v>83</v>
      </c>
      <c r="Q216" s="137" t="s">
        <v>84</v>
      </c>
      <c r="R216" s="137" t="b">
        <v>0</v>
      </c>
      <c r="S216" s="139">
        <v>0</v>
      </c>
      <c r="T216" s="139">
        <v>1.3573662013482E+19</v>
      </c>
    </row>
    <row r="217" spans="3:20">
      <c r="C217" s="24" t="b">
        <v>0</v>
      </c>
      <c r="D217" s="137">
        <v>0</v>
      </c>
      <c r="E217" s="138">
        <v>3</v>
      </c>
      <c r="F217" s="137" t="s">
        <v>75</v>
      </c>
      <c r="G217" s="137">
        <v>16</v>
      </c>
      <c r="H217" s="137">
        <v>0</v>
      </c>
      <c r="I217" s="137">
        <v>0</v>
      </c>
      <c r="J217" s="137">
        <v>9.2166999999999994</v>
      </c>
      <c r="K217" s="137" t="s">
        <v>77</v>
      </c>
      <c r="L217" s="137" t="s">
        <v>79</v>
      </c>
      <c r="M217" s="137" t="s">
        <v>80</v>
      </c>
      <c r="N217" s="137" t="b">
        <v>1</v>
      </c>
      <c r="O217" s="137"/>
      <c r="P217" s="137" t="s">
        <v>83</v>
      </c>
      <c r="Q217" s="137" t="s">
        <v>84</v>
      </c>
      <c r="R217" s="137" t="b">
        <v>1</v>
      </c>
      <c r="S217" s="139">
        <v>1</v>
      </c>
      <c r="T217" s="139">
        <v>1.6113756437082401E+19</v>
      </c>
    </row>
    <row r="218" spans="3:20">
      <c r="C218" s="24" t="b">
        <v>0</v>
      </c>
      <c r="D218" s="137">
        <v>0</v>
      </c>
      <c r="E218" s="138">
        <v>1</v>
      </c>
      <c r="F218" s="137" t="s">
        <v>75</v>
      </c>
      <c r="G218" s="137">
        <v>24</v>
      </c>
      <c r="H218" s="137">
        <v>0</v>
      </c>
      <c r="I218" s="137">
        <v>0</v>
      </c>
      <c r="J218" s="137">
        <v>79.2</v>
      </c>
      <c r="K218" s="137" t="s">
        <v>82</v>
      </c>
      <c r="L218" s="137" t="s">
        <v>86</v>
      </c>
      <c r="M218" s="137" t="s">
        <v>80</v>
      </c>
      <c r="N218" s="137" t="b">
        <v>1</v>
      </c>
      <c r="O218" s="137" t="s">
        <v>98</v>
      </c>
      <c r="P218" s="137" t="s">
        <v>88</v>
      </c>
      <c r="Q218" s="137" t="s">
        <v>84</v>
      </c>
      <c r="R218" s="137" t="b">
        <v>1</v>
      </c>
      <c r="S218" s="139">
        <v>0</v>
      </c>
      <c r="T218" s="139">
        <v>3.9488840862296602E+18</v>
      </c>
    </row>
    <row r="219" spans="3:20">
      <c r="C219" s="24" t="b">
        <v>0</v>
      </c>
      <c r="D219" s="137">
        <v>0</v>
      </c>
      <c r="E219" s="138">
        <v>3</v>
      </c>
      <c r="F219" s="137" t="s">
        <v>85</v>
      </c>
      <c r="G219" s="137"/>
      <c r="H219" s="137">
        <v>0</v>
      </c>
      <c r="I219" s="137">
        <v>2</v>
      </c>
      <c r="J219" s="137">
        <v>15.245799999999999</v>
      </c>
      <c r="K219" s="137" t="s">
        <v>82</v>
      </c>
      <c r="L219" s="137" t="s">
        <v>79</v>
      </c>
      <c r="M219" s="137" t="s">
        <v>87</v>
      </c>
      <c r="N219" s="137" t="b">
        <v>0</v>
      </c>
      <c r="O219" s="137"/>
      <c r="P219" s="137" t="s">
        <v>88</v>
      </c>
      <c r="Q219" s="137" t="s">
        <v>84</v>
      </c>
      <c r="R219" s="137" t="b">
        <v>0</v>
      </c>
      <c r="S219" s="139">
        <v>1</v>
      </c>
      <c r="T219" s="139">
        <v>3.1565380265626598E+18</v>
      </c>
    </row>
    <row r="220" spans="3:20">
      <c r="C220" s="24" t="b">
        <v>0</v>
      </c>
      <c r="D220" s="137">
        <v>1</v>
      </c>
      <c r="E220" s="138">
        <v>3</v>
      </c>
      <c r="F220" s="137" t="s">
        <v>85</v>
      </c>
      <c r="G220" s="137">
        <v>22</v>
      </c>
      <c r="H220" s="137">
        <v>0</v>
      </c>
      <c r="I220" s="137">
        <v>0</v>
      </c>
      <c r="J220" s="137">
        <v>7.75</v>
      </c>
      <c r="K220" s="137" t="s">
        <v>77</v>
      </c>
      <c r="L220" s="137" t="s">
        <v>79</v>
      </c>
      <c r="M220" s="137" t="s">
        <v>87</v>
      </c>
      <c r="N220" s="137" t="b">
        <v>0</v>
      </c>
      <c r="O220" s="137"/>
      <c r="P220" s="137" t="s">
        <v>83</v>
      </c>
      <c r="Q220" s="137" t="s">
        <v>89</v>
      </c>
      <c r="R220" s="137" t="b">
        <v>1</v>
      </c>
      <c r="S220" s="139">
        <v>1</v>
      </c>
      <c r="T220" s="139">
        <v>1.64199402258827E+19</v>
      </c>
    </row>
    <row r="221" spans="3:20">
      <c r="C221" s="24" t="b">
        <v>0</v>
      </c>
      <c r="D221" s="137">
        <v>1</v>
      </c>
      <c r="E221" s="138">
        <v>3</v>
      </c>
      <c r="F221" s="137" t="s">
        <v>85</v>
      </c>
      <c r="G221" s="137">
        <v>24</v>
      </c>
      <c r="H221" s="137">
        <v>1</v>
      </c>
      <c r="I221" s="137">
        <v>0</v>
      </c>
      <c r="J221" s="137">
        <v>15.85</v>
      </c>
      <c r="K221" s="137" t="s">
        <v>77</v>
      </c>
      <c r="L221" s="137" t="s">
        <v>79</v>
      </c>
      <c r="M221" s="137" t="s">
        <v>87</v>
      </c>
      <c r="N221" s="137" t="b">
        <v>0</v>
      </c>
      <c r="O221" s="137"/>
      <c r="P221" s="137" t="s">
        <v>83</v>
      </c>
      <c r="Q221" s="137" t="s">
        <v>89</v>
      </c>
      <c r="R221" s="137" t="b">
        <v>0</v>
      </c>
      <c r="S221" s="139">
        <v>1</v>
      </c>
      <c r="T221" s="139">
        <v>1.70762101153467E+19</v>
      </c>
    </row>
    <row r="222" spans="3:20">
      <c r="C222" s="24" t="b">
        <v>0</v>
      </c>
      <c r="D222" s="137">
        <v>0</v>
      </c>
      <c r="E222" s="138">
        <v>3</v>
      </c>
      <c r="F222" s="137" t="s">
        <v>75</v>
      </c>
      <c r="G222" s="137">
        <v>19</v>
      </c>
      <c r="H222" s="137">
        <v>0</v>
      </c>
      <c r="I222" s="137">
        <v>0</v>
      </c>
      <c r="J222" s="137">
        <v>6.75</v>
      </c>
      <c r="K222" s="137" t="s">
        <v>90</v>
      </c>
      <c r="L222" s="137" t="s">
        <v>79</v>
      </c>
      <c r="M222" s="137" t="s">
        <v>80</v>
      </c>
      <c r="N222" s="137" t="b">
        <v>1</v>
      </c>
      <c r="O222" s="137"/>
      <c r="P222" s="137" t="s">
        <v>91</v>
      </c>
      <c r="Q222" s="137" t="s">
        <v>84</v>
      </c>
      <c r="R222" s="137" t="b">
        <v>1</v>
      </c>
      <c r="S222" s="139">
        <v>1</v>
      </c>
      <c r="T222" s="139">
        <v>3.82177185018127E+18</v>
      </c>
    </row>
    <row r="223" spans="3:20">
      <c r="C223" s="24" t="b">
        <v>0</v>
      </c>
      <c r="D223" s="137">
        <v>0</v>
      </c>
      <c r="E223" s="138">
        <v>2</v>
      </c>
      <c r="F223" s="137" t="s">
        <v>75</v>
      </c>
      <c r="G223" s="137">
        <v>18</v>
      </c>
      <c r="H223" s="137">
        <v>0</v>
      </c>
      <c r="I223" s="137">
        <v>0</v>
      </c>
      <c r="J223" s="137">
        <v>11.5</v>
      </c>
      <c r="K223" s="137" t="s">
        <v>77</v>
      </c>
      <c r="L223" s="137" t="s">
        <v>94</v>
      </c>
      <c r="M223" s="137" t="s">
        <v>80</v>
      </c>
      <c r="N223" s="137" t="b">
        <v>1</v>
      </c>
      <c r="O223" s="137"/>
      <c r="P223" s="137" t="s">
        <v>83</v>
      </c>
      <c r="Q223" s="137" t="s">
        <v>84</v>
      </c>
      <c r="R223" s="137" t="b">
        <v>1</v>
      </c>
      <c r="S223" s="139">
        <v>1</v>
      </c>
      <c r="T223" s="139">
        <v>1.17409391668719E+19</v>
      </c>
    </row>
    <row r="224" spans="3:20">
      <c r="C224" s="24" t="b">
        <v>0</v>
      </c>
      <c r="D224" s="137">
        <v>0</v>
      </c>
      <c r="E224" s="138">
        <v>2</v>
      </c>
      <c r="F224" s="137" t="s">
        <v>75</v>
      </c>
      <c r="G224" s="137">
        <v>19</v>
      </c>
      <c r="H224" s="137">
        <v>1</v>
      </c>
      <c r="I224" s="137">
        <v>1</v>
      </c>
      <c r="J224" s="137">
        <v>36.75</v>
      </c>
      <c r="K224" s="137" t="s">
        <v>77</v>
      </c>
      <c r="L224" s="137" t="s">
        <v>94</v>
      </c>
      <c r="M224" s="137" t="s">
        <v>80</v>
      </c>
      <c r="N224" s="137" t="b">
        <v>1</v>
      </c>
      <c r="O224" s="137"/>
      <c r="P224" s="137" t="s">
        <v>83</v>
      </c>
      <c r="Q224" s="137" t="s">
        <v>84</v>
      </c>
      <c r="R224" s="137" t="b">
        <v>0</v>
      </c>
      <c r="S224" s="139">
        <v>1</v>
      </c>
      <c r="T224" s="139">
        <v>1.70494638310028E+19</v>
      </c>
    </row>
    <row r="225" spans="3:20">
      <c r="C225" s="24" t="b">
        <v>0</v>
      </c>
      <c r="D225" s="137">
        <v>1</v>
      </c>
      <c r="E225" s="138">
        <v>3</v>
      </c>
      <c r="F225" s="137" t="s">
        <v>75</v>
      </c>
      <c r="G225" s="137">
        <v>27</v>
      </c>
      <c r="H225" s="137">
        <v>0</v>
      </c>
      <c r="I225" s="137">
        <v>0</v>
      </c>
      <c r="J225" s="137">
        <v>7.7957999999999998</v>
      </c>
      <c r="K225" s="137" t="s">
        <v>77</v>
      </c>
      <c r="L225" s="137" t="s">
        <v>79</v>
      </c>
      <c r="M225" s="137" t="s">
        <v>80</v>
      </c>
      <c r="N225" s="137" t="b">
        <v>1</v>
      </c>
      <c r="O225" s="137"/>
      <c r="P225" s="137" t="s">
        <v>83</v>
      </c>
      <c r="Q225" s="137" t="s">
        <v>89</v>
      </c>
      <c r="R225" s="137" t="b">
        <v>1</v>
      </c>
      <c r="S225" s="139">
        <v>1</v>
      </c>
      <c r="T225" s="139">
        <v>1.1206368064091699E+19</v>
      </c>
    </row>
    <row r="226" spans="3:20">
      <c r="C226" s="24" t="b">
        <v>0</v>
      </c>
      <c r="D226" s="137">
        <v>0</v>
      </c>
      <c r="E226" s="138">
        <v>3</v>
      </c>
      <c r="F226" s="137" t="s">
        <v>85</v>
      </c>
      <c r="G226" s="137">
        <v>9</v>
      </c>
      <c r="H226" s="137">
        <v>2</v>
      </c>
      <c r="I226" s="137">
        <v>2</v>
      </c>
      <c r="J226" s="137">
        <v>34.375</v>
      </c>
      <c r="K226" s="137" t="s">
        <v>77</v>
      </c>
      <c r="L226" s="137" t="s">
        <v>79</v>
      </c>
      <c r="M226" s="137" t="s">
        <v>93</v>
      </c>
      <c r="N226" s="137" t="b">
        <v>0</v>
      </c>
      <c r="O226" s="137"/>
      <c r="P226" s="137" t="s">
        <v>83</v>
      </c>
      <c r="Q226" s="137" t="s">
        <v>84</v>
      </c>
      <c r="R226" s="137" t="b">
        <v>0</v>
      </c>
      <c r="S226" s="139">
        <v>1</v>
      </c>
      <c r="T226" s="139">
        <v>1.80851195725528E+19</v>
      </c>
    </row>
    <row r="227" spans="3:20">
      <c r="C227" s="24" t="b">
        <v>0</v>
      </c>
      <c r="D227" s="137">
        <v>0</v>
      </c>
      <c r="E227" s="138">
        <v>2</v>
      </c>
      <c r="F227" s="137" t="s">
        <v>75</v>
      </c>
      <c r="G227" s="137">
        <v>36.5</v>
      </c>
      <c r="H227" s="137">
        <v>0</v>
      </c>
      <c r="I227" s="137">
        <v>2</v>
      </c>
      <c r="J227" s="137">
        <v>26</v>
      </c>
      <c r="K227" s="137" t="s">
        <v>77</v>
      </c>
      <c r="L227" s="137" t="s">
        <v>94</v>
      </c>
      <c r="M227" s="137" t="s">
        <v>80</v>
      </c>
      <c r="N227" s="137" t="b">
        <v>1</v>
      </c>
      <c r="O227" s="137" t="s">
        <v>99</v>
      </c>
      <c r="P227" s="137" t="s">
        <v>83</v>
      </c>
      <c r="Q227" s="137" t="s">
        <v>84</v>
      </c>
      <c r="R227" s="137" t="b">
        <v>0</v>
      </c>
      <c r="S227" s="139">
        <v>0</v>
      </c>
      <c r="T227" s="139">
        <v>1.35180764321921E+18</v>
      </c>
    </row>
    <row r="228" spans="3:20">
      <c r="C228" s="24" t="b">
        <v>0</v>
      </c>
      <c r="D228" s="137">
        <v>0</v>
      </c>
      <c r="E228" s="138">
        <v>2</v>
      </c>
      <c r="F228" s="137" t="s">
        <v>75</v>
      </c>
      <c r="G228" s="137">
        <v>42</v>
      </c>
      <c r="H228" s="137">
        <v>0</v>
      </c>
      <c r="I228" s="137">
        <v>0</v>
      </c>
      <c r="J228" s="137">
        <v>13</v>
      </c>
      <c r="K228" s="137" t="s">
        <v>77</v>
      </c>
      <c r="L228" s="137" t="s">
        <v>94</v>
      </c>
      <c r="M228" s="137" t="s">
        <v>80</v>
      </c>
      <c r="N228" s="137" t="b">
        <v>1</v>
      </c>
      <c r="O228" s="137"/>
      <c r="P228" s="137" t="s">
        <v>83</v>
      </c>
      <c r="Q228" s="137" t="s">
        <v>84</v>
      </c>
      <c r="R228" s="137" t="b">
        <v>1</v>
      </c>
      <c r="S228" s="139">
        <v>1</v>
      </c>
      <c r="T228" s="139">
        <v>8.4302955597998203E+18</v>
      </c>
    </row>
    <row r="229" spans="3:20">
      <c r="C229" s="24" t="b">
        <v>0</v>
      </c>
      <c r="D229" s="137">
        <v>0</v>
      </c>
      <c r="E229" s="138">
        <v>2</v>
      </c>
      <c r="F229" s="137" t="s">
        <v>75</v>
      </c>
      <c r="G229" s="137">
        <v>51</v>
      </c>
      <c r="H229" s="137">
        <v>0</v>
      </c>
      <c r="I229" s="137">
        <v>0</v>
      </c>
      <c r="J229" s="137">
        <v>12.525</v>
      </c>
      <c r="K229" s="137" t="s">
        <v>77</v>
      </c>
      <c r="L229" s="137" t="s">
        <v>94</v>
      </c>
      <c r="M229" s="137" t="s">
        <v>80</v>
      </c>
      <c r="N229" s="137" t="b">
        <v>1</v>
      </c>
      <c r="O229" s="137"/>
      <c r="P229" s="137" t="s">
        <v>83</v>
      </c>
      <c r="Q229" s="137" t="s">
        <v>84</v>
      </c>
      <c r="R229" s="137" t="b">
        <v>1</v>
      </c>
      <c r="S229" s="139">
        <v>1</v>
      </c>
      <c r="T229" s="139">
        <v>1.7498752525394401E+18</v>
      </c>
    </row>
    <row r="230" spans="3:20">
      <c r="C230" s="24" t="b">
        <v>0</v>
      </c>
      <c r="D230" s="137">
        <v>1</v>
      </c>
      <c r="E230" s="138">
        <v>1</v>
      </c>
      <c r="F230" s="137" t="s">
        <v>85</v>
      </c>
      <c r="G230" s="137">
        <v>22</v>
      </c>
      <c r="H230" s="137">
        <v>1</v>
      </c>
      <c r="I230" s="137">
        <v>0</v>
      </c>
      <c r="J230" s="137">
        <v>66.599999999999994</v>
      </c>
      <c r="K230" s="137" t="s">
        <v>77</v>
      </c>
      <c r="L230" s="137" t="s">
        <v>86</v>
      </c>
      <c r="M230" s="137" t="s">
        <v>87</v>
      </c>
      <c r="N230" s="137" t="b">
        <v>0</v>
      </c>
      <c r="O230" s="137" t="s">
        <v>82</v>
      </c>
      <c r="P230" s="137" t="s">
        <v>83</v>
      </c>
      <c r="Q230" s="137" t="s">
        <v>89</v>
      </c>
      <c r="R230" s="137" t="b">
        <v>0</v>
      </c>
      <c r="S230" s="139">
        <v>0</v>
      </c>
      <c r="T230" s="139">
        <v>1.1368303509932599E+19</v>
      </c>
    </row>
    <row r="231" spans="3:20">
      <c r="C231" s="24" t="b">
        <v>0</v>
      </c>
      <c r="D231" s="137">
        <v>0</v>
      </c>
      <c r="E231" s="138">
        <v>3</v>
      </c>
      <c r="F231" s="137" t="s">
        <v>75</v>
      </c>
      <c r="G231" s="137">
        <v>55.5</v>
      </c>
      <c r="H231" s="137">
        <v>0</v>
      </c>
      <c r="I231" s="137">
        <v>0</v>
      </c>
      <c r="J231" s="137">
        <v>8.0500000000000007</v>
      </c>
      <c r="K231" s="137" t="s">
        <v>77</v>
      </c>
      <c r="L231" s="137" t="s">
        <v>79</v>
      </c>
      <c r="M231" s="137" t="s">
        <v>80</v>
      </c>
      <c r="N231" s="137" t="b">
        <v>1</v>
      </c>
      <c r="O231" s="137"/>
      <c r="P231" s="137" t="s">
        <v>83</v>
      </c>
      <c r="Q231" s="137" t="s">
        <v>84</v>
      </c>
      <c r="R231" s="137" t="b">
        <v>1</v>
      </c>
      <c r="S231" s="139">
        <v>1</v>
      </c>
      <c r="T231" s="139">
        <v>1.6941007847961801E+19</v>
      </c>
    </row>
    <row r="232" spans="3:20">
      <c r="C232" s="24" t="b">
        <v>0</v>
      </c>
      <c r="D232" s="137">
        <v>0</v>
      </c>
      <c r="E232" s="138">
        <v>3</v>
      </c>
      <c r="F232" s="137" t="s">
        <v>75</v>
      </c>
      <c r="G232" s="137">
        <v>40.5</v>
      </c>
      <c r="H232" s="137">
        <v>0</v>
      </c>
      <c r="I232" s="137">
        <v>2</v>
      </c>
      <c r="J232" s="137">
        <v>14.5</v>
      </c>
      <c r="K232" s="137" t="s">
        <v>77</v>
      </c>
      <c r="L232" s="137" t="s">
        <v>79</v>
      </c>
      <c r="M232" s="137" t="s">
        <v>80</v>
      </c>
      <c r="N232" s="137" t="b">
        <v>1</v>
      </c>
      <c r="O232" s="137"/>
      <c r="P232" s="137" t="s">
        <v>83</v>
      </c>
      <c r="Q232" s="137" t="s">
        <v>84</v>
      </c>
      <c r="R232" s="137" t="b">
        <v>0</v>
      </c>
      <c r="S232" s="139">
        <v>1</v>
      </c>
      <c r="T232" s="139">
        <v>5.1436140258342195E+18</v>
      </c>
    </row>
    <row r="233" spans="3:20">
      <c r="C233" s="24" t="b">
        <v>0</v>
      </c>
      <c r="D233" s="137">
        <v>0</v>
      </c>
      <c r="E233" s="138">
        <v>3</v>
      </c>
      <c r="F233" s="137" t="s">
        <v>75</v>
      </c>
      <c r="G233" s="137"/>
      <c r="H233" s="137">
        <v>0</v>
      </c>
      <c r="I233" s="137">
        <v>0</v>
      </c>
      <c r="J233" s="137">
        <v>7.3125</v>
      </c>
      <c r="K233" s="137" t="s">
        <v>77</v>
      </c>
      <c r="L233" s="137" t="s">
        <v>79</v>
      </c>
      <c r="M233" s="137" t="s">
        <v>80</v>
      </c>
      <c r="N233" s="137" t="b">
        <v>1</v>
      </c>
      <c r="O233" s="137"/>
      <c r="P233" s="137" t="s">
        <v>83</v>
      </c>
      <c r="Q233" s="137" t="s">
        <v>84</v>
      </c>
      <c r="R233" s="137" t="b">
        <v>1</v>
      </c>
      <c r="S233" s="139">
        <v>1</v>
      </c>
      <c r="T233" s="139">
        <v>1.67582745524004E+19</v>
      </c>
    </row>
    <row r="234" spans="3:20">
      <c r="C234" s="24" t="b">
        <v>0</v>
      </c>
      <c r="D234" s="137">
        <v>0</v>
      </c>
      <c r="E234" s="138">
        <v>1</v>
      </c>
      <c r="F234" s="137" t="s">
        <v>75</v>
      </c>
      <c r="G234" s="137">
        <v>51</v>
      </c>
      <c r="H234" s="137">
        <v>0</v>
      </c>
      <c r="I234" s="137">
        <v>1</v>
      </c>
      <c r="J234" s="137">
        <v>61.379199999999997</v>
      </c>
      <c r="K234" s="137" t="s">
        <v>82</v>
      </c>
      <c r="L234" s="137" t="s">
        <v>86</v>
      </c>
      <c r="M234" s="137" t="s">
        <v>80</v>
      </c>
      <c r="N234" s="137" t="b">
        <v>1</v>
      </c>
      <c r="O234" s="137"/>
      <c r="P234" s="137" t="s">
        <v>88</v>
      </c>
      <c r="Q234" s="137" t="s">
        <v>84</v>
      </c>
      <c r="R234" s="137" t="b">
        <v>0</v>
      </c>
      <c r="S234" s="139">
        <v>1</v>
      </c>
      <c r="T234" s="139">
        <v>1.68060670613462E+19</v>
      </c>
    </row>
    <row r="235" spans="3:20">
      <c r="C235" s="24" t="b">
        <v>0</v>
      </c>
      <c r="D235" s="137">
        <v>1</v>
      </c>
      <c r="E235" s="138">
        <v>3</v>
      </c>
      <c r="F235" s="137" t="s">
        <v>85</v>
      </c>
      <c r="G235" s="137">
        <v>16</v>
      </c>
      <c r="H235" s="137">
        <v>0</v>
      </c>
      <c r="I235" s="137">
        <v>0</v>
      </c>
      <c r="J235" s="137">
        <v>7.7332999999999998</v>
      </c>
      <c r="K235" s="137" t="s">
        <v>90</v>
      </c>
      <c r="L235" s="137" t="s">
        <v>79</v>
      </c>
      <c r="M235" s="137" t="s">
        <v>87</v>
      </c>
      <c r="N235" s="137" t="b">
        <v>0</v>
      </c>
      <c r="O235" s="137"/>
      <c r="P235" s="137" t="s">
        <v>91</v>
      </c>
      <c r="Q235" s="137" t="s">
        <v>89</v>
      </c>
      <c r="R235" s="137" t="b">
        <v>1</v>
      </c>
      <c r="S235" s="139">
        <v>1</v>
      </c>
      <c r="T235" s="139">
        <v>1.27739310350685E+19</v>
      </c>
    </row>
    <row r="236" spans="3:20">
      <c r="C236" s="24" t="b">
        <v>0</v>
      </c>
      <c r="D236" s="137">
        <v>0</v>
      </c>
      <c r="E236" s="138">
        <v>3</v>
      </c>
      <c r="F236" s="137" t="s">
        <v>75</v>
      </c>
      <c r="G236" s="137">
        <v>30</v>
      </c>
      <c r="H236" s="137">
        <v>0</v>
      </c>
      <c r="I236" s="137">
        <v>0</v>
      </c>
      <c r="J236" s="137">
        <v>8.0500000000000007</v>
      </c>
      <c r="K236" s="137" t="s">
        <v>77</v>
      </c>
      <c r="L236" s="137" t="s">
        <v>79</v>
      </c>
      <c r="M236" s="137" t="s">
        <v>80</v>
      </c>
      <c r="N236" s="137" t="b">
        <v>1</v>
      </c>
      <c r="O236" s="137"/>
      <c r="P236" s="137" t="s">
        <v>83</v>
      </c>
      <c r="Q236" s="137" t="s">
        <v>84</v>
      </c>
      <c r="R236" s="137" t="b">
        <v>1</v>
      </c>
      <c r="S236" s="139">
        <v>1</v>
      </c>
      <c r="T236" s="139">
        <v>3.9468574058521201E+18</v>
      </c>
    </row>
    <row r="237" spans="3:20">
      <c r="C237" s="24" t="b">
        <v>0</v>
      </c>
      <c r="D237" s="137">
        <v>0</v>
      </c>
      <c r="E237" s="138">
        <v>3</v>
      </c>
      <c r="F237" s="137" t="s">
        <v>75</v>
      </c>
      <c r="G237" s="137"/>
      <c r="H237" s="137">
        <v>0</v>
      </c>
      <c r="I237" s="137">
        <v>0</v>
      </c>
      <c r="J237" s="137">
        <v>8.6624999999999996</v>
      </c>
      <c r="K237" s="137" t="s">
        <v>77</v>
      </c>
      <c r="L237" s="137" t="s">
        <v>79</v>
      </c>
      <c r="M237" s="137" t="s">
        <v>80</v>
      </c>
      <c r="N237" s="137" t="b">
        <v>1</v>
      </c>
      <c r="O237" s="137"/>
      <c r="P237" s="137" t="s">
        <v>83</v>
      </c>
      <c r="Q237" s="137" t="s">
        <v>84</v>
      </c>
      <c r="R237" s="137" t="b">
        <v>1</v>
      </c>
      <c r="S237" s="139">
        <v>1</v>
      </c>
      <c r="T237" s="139">
        <v>1.17587755855027E+19</v>
      </c>
    </row>
    <row r="238" spans="3:20">
      <c r="C238" s="24" t="b">
        <v>0</v>
      </c>
      <c r="D238" s="137">
        <v>0</v>
      </c>
      <c r="E238" s="138">
        <v>3</v>
      </c>
      <c r="F238" s="137" t="s">
        <v>75</v>
      </c>
      <c r="G238" s="137"/>
      <c r="H238" s="137">
        <v>8</v>
      </c>
      <c r="I238" s="137">
        <v>2</v>
      </c>
      <c r="J238" s="137">
        <v>69.55</v>
      </c>
      <c r="K238" s="137" t="s">
        <v>77</v>
      </c>
      <c r="L238" s="137" t="s">
        <v>79</v>
      </c>
      <c r="M238" s="137" t="s">
        <v>80</v>
      </c>
      <c r="N238" s="137" t="b">
        <v>1</v>
      </c>
      <c r="O238" s="137"/>
      <c r="P238" s="137" t="s">
        <v>83</v>
      </c>
      <c r="Q238" s="137" t="s">
        <v>84</v>
      </c>
      <c r="R238" s="137" t="b">
        <v>0</v>
      </c>
      <c r="S238" s="139">
        <v>1</v>
      </c>
      <c r="T238" s="139">
        <v>1.2395330416317399E+19</v>
      </c>
    </row>
    <row r="239" spans="3:20">
      <c r="C239" s="24" t="b">
        <v>0</v>
      </c>
      <c r="D239" s="137">
        <v>0</v>
      </c>
      <c r="E239" s="138">
        <v>3</v>
      </c>
      <c r="F239" s="137" t="s">
        <v>75</v>
      </c>
      <c r="G239" s="137">
        <v>44</v>
      </c>
      <c r="H239" s="137">
        <v>0</v>
      </c>
      <c r="I239" s="137">
        <v>1</v>
      </c>
      <c r="J239" s="137">
        <v>16.100000000000001</v>
      </c>
      <c r="K239" s="137" t="s">
        <v>77</v>
      </c>
      <c r="L239" s="137" t="s">
        <v>79</v>
      </c>
      <c r="M239" s="137" t="s">
        <v>80</v>
      </c>
      <c r="N239" s="137" t="b">
        <v>1</v>
      </c>
      <c r="O239" s="137"/>
      <c r="P239" s="137" t="s">
        <v>83</v>
      </c>
      <c r="Q239" s="137" t="s">
        <v>84</v>
      </c>
      <c r="R239" s="137" t="b">
        <v>0</v>
      </c>
      <c r="S239" s="139">
        <v>1</v>
      </c>
      <c r="T239" s="139">
        <v>6.89061812229248E+18</v>
      </c>
    </row>
    <row r="240" spans="3:20">
      <c r="C240" s="24" t="b">
        <v>0</v>
      </c>
      <c r="D240" s="137">
        <v>1</v>
      </c>
      <c r="E240" s="138">
        <v>2</v>
      </c>
      <c r="F240" s="137" t="s">
        <v>85</v>
      </c>
      <c r="G240" s="137">
        <v>40</v>
      </c>
      <c r="H240" s="137">
        <v>0</v>
      </c>
      <c r="I240" s="137">
        <v>0</v>
      </c>
      <c r="J240" s="137">
        <v>15.75</v>
      </c>
      <c r="K240" s="137" t="s">
        <v>77</v>
      </c>
      <c r="L240" s="137" t="s">
        <v>94</v>
      </c>
      <c r="M240" s="137" t="s">
        <v>87</v>
      </c>
      <c r="N240" s="137" t="b">
        <v>0</v>
      </c>
      <c r="O240" s="137"/>
      <c r="P240" s="137" t="s">
        <v>83</v>
      </c>
      <c r="Q240" s="137" t="s">
        <v>89</v>
      </c>
      <c r="R240" s="137" t="b">
        <v>1</v>
      </c>
      <c r="S240" s="139">
        <v>1</v>
      </c>
      <c r="T240" s="139">
        <v>8.2465820665108398E+18</v>
      </c>
    </row>
    <row r="241" spans="3:20">
      <c r="C241" s="24" t="b">
        <v>0</v>
      </c>
      <c r="D241" s="137">
        <v>0</v>
      </c>
      <c r="E241" s="138">
        <v>3</v>
      </c>
      <c r="F241" s="137" t="s">
        <v>75</v>
      </c>
      <c r="G241" s="137">
        <v>26</v>
      </c>
      <c r="H241" s="137">
        <v>0</v>
      </c>
      <c r="I241" s="137">
        <v>0</v>
      </c>
      <c r="J241" s="137">
        <v>7.7750000000000004</v>
      </c>
      <c r="K241" s="137" t="s">
        <v>77</v>
      </c>
      <c r="L241" s="137" t="s">
        <v>79</v>
      </c>
      <c r="M241" s="137" t="s">
        <v>80</v>
      </c>
      <c r="N241" s="137" t="b">
        <v>1</v>
      </c>
      <c r="O241" s="137"/>
      <c r="P241" s="137" t="s">
        <v>83</v>
      </c>
      <c r="Q241" s="137" t="s">
        <v>84</v>
      </c>
      <c r="R241" s="137" t="b">
        <v>1</v>
      </c>
      <c r="S241" s="139">
        <v>1</v>
      </c>
      <c r="T241" s="139">
        <v>4.1904794272098002E+18</v>
      </c>
    </row>
    <row r="242" spans="3:20">
      <c r="C242" s="24" t="b">
        <v>0</v>
      </c>
      <c r="D242" s="137">
        <v>0</v>
      </c>
      <c r="E242" s="138">
        <v>3</v>
      </c>
      <c r="F242" s="137" t="s">
        <v>75</v>
      </c>
      <c r="G242" s="137">
        <v>17</v>
      </c>
      <c r="H242" s="137">
        <v>0</v>
      </c>
      <c r="I242" s="137">
        <v>0</v>
      </c>
      <c r="J242" s="137">
        <v>8.6624999999999996</v>
      </c>
      <c r="K242" s="137" t="s">
        <v>77</v>
      </c>
      <c r="L242" s="137" t="s">
        <v>79</v>
      </c>
      <c r="M242" s="137" t="s">
        <v>80</v>
      </c>
      <c r="N242" s="137" t="b">
        <v>1</v>
      </c>
      <c r="O242" s="137"/>
      <c r="P242" s="137" t="s">
        <v>83</v>
      </c>
      <c r="Q242" s="137" t="s">
        <v>84</v>
      </c>
      <c r="R242" s="137" t="b">
        <v>1</v>
      </c>
      <c r="S242" s="139">
        <v>1</v>
      </c>
      <c r="T242" s="139">
        <v>3.0286653837999002E+18</v>
      </c>
    </row>
    <row r="243" spans="3:20">
      <c r="C243" s="24" t="b">
        <v>0</v>
      </c>
      <c r="D243" s="137">
        <v>0</v>
      </c>
      <c r="E243" s="138">
        <v>3</v>
      </c>
      <c r="F243" s="137" t="s">
        <v>75</v>
      </c>
      <c r="G243" s="137">
        <v>1</v>
      </c>
      <c r="H243" s="137">
        <v>4</v>
      </c>
      <c r="I243" s="137">
        <v>1</v>
      </c>
      <c r="J243" s="137">
        <v>39.6875</v>
      </c>
      <c r="K243" s="137" t="s">
        <v>77</v>
      </c>
      <c r="L243" s="137" t="s">
        <v>79</v>
      </c>
      <c r="M243" s="137" t="s">
        <v>93</v>
      </c>
      <c r="N243" s="137" t="b">
        <v>0</v>
      </c>
      <c r="O243" s="137"/>
      <c r="P243" s="137" t="s">
        <v>83</v>
      </c>
      <c r="Q243" s="137" t="s">
        <v>84</v>
      </c>
      <c r="R243" s="137" t="b">
        <v>0</v>
      </c>
      <c r="S243" s="139">
        <v>1</v>
      </c>
      <c r="T243" s="139">
        <v>1.2865523151143201E+19</v>
      </c>
    </row>
    <row r="244" spans="3:20">
      <c r="C244" s="24" t="b">
        <v>0</v>
      </c>
      <c r="D244" s="137">
        <v>1</v>
      </c>
      <c r="E244" s="138">
        <v>3</v>
      </c>
      <c r="F244" s="137" t="s">
        <v>75</v>
      </c>
      <c r="G244" s="137">
        <v>9</v>
      </c>
      <c r="H244" s="137">
        <v>0</v>
      </c>
      <c r="I244" s="137">
        <v>2</v>
      </c>
      <c r="J244" s="137">
        <v>20.524999999999999</v>
      </c>
      <c r="K244" s="137" t="s">
        <v>77</v>
      </c>
      <c r="L244" s="137" t="s">
        <v>79</v>
      </c>
      <c r="M244" s="137" t="s">
        <v>93</v>
      </c>
      <c r="N244" s="137" t="b">
        <v>0</v>
      </c>
      <c r="O244" s="137"/>
      <c r="P244" s="137" t="s">
        <v>83</v>
      </c>
      <c r="Q244" s="137" t="s">
        <v>89</v>
      </c>
      <c r="R244" s="137" t="b">
        <v>0</v>
      </c>
      <c r="S244" s="139">
        <v>1</v>
      </c>
      <c r="T244" s="139">
        <v>7.9727074791757701E+18</v>
      </c>
    </row>
    <row r="245" spans="3:20">
      <c r="C245" s="24" t="b">
        <v>0</v>
      </c>
      <c r="D245" s="137">
        <v>1</v>
      </c>
      <c r="E245" s="138">
        <v>1</v>
      </c>
      <c r="F245" s="137" t="s">
        <v>85</v>
      </c>
      <c r="G245" s="137"/>
      <c r="H245" s="137">
        <v>0</v>
      </c>
      <c r="I245" s="137">
        <v>1</v>
      </c>
      <c r="J245" s="137">
        <v>55</v>
      </c>
      <c r="K245" s="137" t="s">
        <v>77</v>
      </c>
      <c r="L245" s="137" t="s">
        <v>86</v>
      </c>
      <c r="M245" s="137" t="s">
        <v>87</v>
      </c>
      <c r="N245" s="137" t="b">
        <v>0</v>
      </c>
      <c r="O245" s="137" t="s">
        <v>92</v>
      </c>
      <c r="P245" s="137" t="s">
        <v>83</v>
      </c>
      <c r="Q245" s="137" t="s">
        <v>89</v>
      </c>
      <c r="R245" s="137" t="b">
        <v>0</v>
      </c>
      <c r="S245" s="139">
        <v>1</v>
      </c>
      <c r="T245" s="139">
        <v>4.7997402617172101E+18</v>
      </c>
    </row>
    <row r="246" spans="3:20">
      <c r="C246" s="24" t="b">
        <v>0</v>
      </c>
      <c r="D246" s="137">
        <v>0</v>
      </c>
      <c r="E246" s="138">
        <v>3</v>
      </c>
      <c r="F246" s="137" t="s">
        <v>85</v>
      </c>
      <c r="G246" s="137">
        <v>45</v>
      </c>
      <c r="H246" s="137">
        <v>1</v>
      </c>
      <c r="I246" s="137">
        <v>4</v>
      </c>
      <c r="J246" s="137">
        <v>27.9</v>
      </c>
      <c r="K246" s="137" t="s">
        <v>77</v>
      </c>
      <c r="L246" s="137" t="s">
        <v>79</v>
      </c>
      <c r="M246" s="137" t="s">
        <v>87</v>
      </c>
      <c r="N246" s="137" t="b">
        <v>0</v>
      </c>
      <c r="O246" s="137"/>
      <c r="P246" s="137" t="s">
        <v>83</v>
      </c>
      <c r="Q246" s="137" t="s">
        <v>84</v>
      </c>
      <c r="R246" s="137" t="b">
        <v>0</v>
      </c>
      <c r="S246" s="139">
        <v>1</v>
      </c>
      <c r="T246" s="139">
        <v>1.3679067168879401E+19</v>
      </c>
    </row>
    <row r="247" spans="3:20">
      <c r="C247" s="24" t="b">
        <v>0</v>
      </c>
      <c r="D247" s="137">
        <v>0</v>
      </c>
      <c r="E247" s="138">
        <v>1</v>
      </c>
      <c r="F247" s="137" t="s">
        <v>75</v>
      </c>
      <c r="G247" s="137"/>
      <c r="H247" s="137">
        <v>0</v>
      </c>
      <c r="I247" s="137">
        <v>0</v>
      </c>
      <c r="J247" s="137">
        <v>25.925000000000001</v>
      </c>
      <c r="K247" s="137" t="s">
        <v>77</v>
      </c>
      <c r="L247" s="137" t="s">
        <v>86</v>
      </c>
      <c r="M247" s="137" t="s">
        <v>80</v>
      </c>
      <c r="N247" s="137" t="b">
        <v>1</v>
      </c>
      <c r="O247" s="137"/>
      <c r="P247" s="137" t="s">
        <v>83</v>
      </c>
      <c r="Q247" s="137" t="s">
        <v>84</v>
      </c>
      <c r="R247" s="137" t="b">
        <v>1</v>
      </c>
      <c r="S247" s="139">
        <v>1</v>
      </c>
      <c r="T247" s="139">
        <v>7.8386508226250598E+18</v>
      </c>
    </row>
    <row r="248" spans="3:20">
      <c r="C248" s="24" t="b">
        <v>0</v>
      </c>
      <c r="D248" s="137">
        <v>0</v>
      </c>
      <c r="E248" s="138">
        <v>3</v>
      </c>
      <c r="F248" s="137" t="s">
        <v>75</v>
      </c>
      <c r="G248" s="137">
        <v>28</v>
      </c>
      <c r="H248" s="137">
        <v>0</v>
      </c>
      <c r="I248" s="137">
        <v>0</v>
      </c>
      <c r="J248" s="137">
        <v>56.495800000000003</v>
      </c>
      <c r="K248" s="137" t="s">
        <v>77</v>
      </c>
      <c r="L248" s="137" t="s">
        <v>79</v>
      </c>
      <c r="M248" s="137" t="s">
        <v>80</v>
      </c>
      <c r="N248" s="137" t="b">
        <v>1</v>
      </c>
      <c r="O248" s="137"/>
      <c r="P248" s="137" t="s">
        <v>83</v>
      </c>
      <c r="Q248" s="137" t="s">
        <v>84</v>
      </c>
      <c r="R248" s="137" t="b">
        <v>1</v>
      </c>
      <c r="S248" s="139">
        <v>1</v>
      </c>
      <c r="T248" s="139">
        <v>1.9531582212967802E+17</v>
      </c>
    </row>
    <row r="249" spans="3:20">
      <c r="C249" s="24" t="b">
        <v>0</v>
      </c>
      <c r="D249" s="137">
        <v>0</v>
      </c>
      <c r="E249" s="138">
        <v>1</v>
      </c>
      <c r="F249" s="137" t="s">
        <v>75</v>
      </c>
      <c r="G249" s="137">
        <v>61</v>
      </c>
      <c r="H249" s="137">
        <v>0</v>
      </c>
      <c r="I249" s="137">
        <v>0</v>
      </c>
      <c r="J249" s="137">
        <v>33.5</v>
      </c>
      <c r="K249" s="137" t="s">
        <v>77</v>
      </c>
      <c r="L249" s="137" t="s">
        <v>86</v>
      </c>
      <c r="M249" s="137" t="s">
        <v>80</v>
      </c>
      <c r="N249" s="137" t="b">
        <v>1</v>
      </c>
      <c r="O249" s="137" t="s">
        <v>98</v>
      </c>
      <c r="P249" s="137" t="s">
        <v>83</v>
      </c>
      <c r="Q249" s="137" t="s">
        <v>84</v>
      </c>
      <c r="R249" s="137" t="b">
        <v>1</v>
      </c>
      <c r="S249" s="139">
        <v>0</v>
      </c>
      <c r="T249" s="139">
        <v>9.9568281182457999E+18</v>
      </c>
    </row>
    <row r="250" spans="3:20">
      <c r="C250" s="24" t="b">
        <v>0</v>
      </c>
      <c r="D250" s="137">
        <v>0</v>
      </c>
      <c r="E250" s="138">
        <v>3</v>
      </c>
      <c r="F250" s="137" t="s">
        <v>75</v>
      </c>
      <c r="G250" s="137">
        <v>4</v>
      </c>
      <c r="H250" s="137">
        <v>4</v>
      </c>
      <c r="I250" s="137">
        <v>1</v>
      </c>
      <c r="J250" s="137">
        <v>29.125</v>
      </c>
      <c r="K250" s="137" t="s">
        <v>90</v>
      </c>
      <c r="L250" s="137" t="s">
        <v>79</v>
      </c>
      <c r="M250" s="137" t="s">
        <v>93</v>
      </c>
      <c r="N250" s="137" t="b">
        <v>0</v>
      </c>
      <c r="O250" s="137"/>
      <c r="P250" s="137" t="s">
        <v>91</v>
      </c>
      <c r="Q250" s="137" t="s">
        <v>84</v>
      </c>
      <c r="R250" s="137" t="b">
        <v>0</v>
      </c>
      <c r="S250" s="139">
        <v>1</v>
      </c>
      <c r="T250" s="139">
        <v>8.3864288329072005E+18</v>
      </c>
    </row>
    <row r="251" spans="3:20">
      <c r="C251" s="24" t="b">
        <v>0</v>
      </c>
      <c r="D251" s="137">
        <v>1</v>
      </c>
      <c r="E251" s="138">
        <v>3</v>
      </c>
      <c r="F251" s="137" t="s">
        <v>85</v>
      </c>
      <c r="G251" s="137">
        <v>1</v>
      </c>
      <c r="H251" s="137">
        <v>1</v>
      </c>
      <c r="I251" s="137">
        <v>1</v>
      </c>
      <c r="J251" s="137">
        <v>11.1333</v>
      </c>
      <c r="K251" s="137" t="s">
        <v>77</v>
      </c>
      <c r="L251" s="137" t="s">
        <v>79</v>
      </c>
      <c r="M251" s="137" t="s">
        <v>93</v>
      </c>
      <c r="N251" s="137" t="b">
        <v>0</v>
      </c>
      <c r="O251" s="137"/>
      <c r="P251" s="137" t="s">
        <v>83</v>
      </c>
      <c r="Q251" s="137" t="s">
        <v>89</v>
      </c>
      <c r="R251" s="137" t="b">
        <v>0</v>
      </c>
      <c r="S251" s="139">
        <v>1</v>
      </c>
      <c r="T251" s="139">
        <v>1.74264333492211E+19</v>
      </c>
    </row>
    <row r="252" spans="3:20">
      <c r="C252" s="24" t="b">
        <v>0</v>
      </c>
      <c r="D252" s="137">
        <v>0</v>
      </c>
      <c r="E252" s="138">
        <v>3</v>
      </c>
      <c r="F252" s="137" t="s">
        <v>75</v>
      </c>
      <c r="G252" s="137">
        <v>21</v>
      </c>
      <c r="H252" s="137">
        <v>0</v>
      </c>
      <c r="I252" s="137">
        <v>0</v>
      </c>
      <c r="J252" s="137">
        <v>7.9249999999999998</v>
      </c>
      <c r="K252" s="137" t="s">
        <v>77</v>
      </c>
      <c r="L252" s="137" t="s">
        <v>79</v>
      </c>
      <c r="M252" s="137" t="s">
        <v>80</v>
      </c>
      <c r="N252" s="137" t="b">
        <v>1</v>
      </c>
      <c r="O252" s="137"/>
      <c r="P252" s="137" t="s">
        <v>83</v>
      </c>
      <c r="Q252" s="137" t="s">
        <v>84</v>
      </c>
      <c r="R252" s="137" t="b">
        <v>1</v>
      </c>
      <c r="S252" s="139">
        <v>1</v>
      </c>
      <c r="T252" s="139">
        <v>1.4803358993628701E+19</v>
      </c>
    </row>
    <row r="253" spans="3:20">
      <c r="C253" s="24" t="b">
        <v>0</v>
      </c>
      <c r="D253" s="137">
        <v>0</v>
      </c>
      <c r="E253" s="138">
        <v>1</v>
      </c>
      <c r="F253" s="137" t="s">
        <v>75</v>
      </c>
      <c r="G253" s="137">
        <v>56</v>
      </c>
      <c r="H253" s="137">
        <v>0</v>
      </c>
      <c r="I253" s="137">
        <v>0</v>
      </c>
      <c r="J253" s="137">
        <v>30.695799999999998</v>
      </c>
      <c r="K253" s="137" t="s">
        <v>82</v>
      </c>
      <c r="L253" s="137" t="s">
        <v>86</v>
      </c>
      <c r="M253" s="137" t="s">
        <v>80</v>
      </c>
      <c r="N253" s="137" t="b">
        <v>1</v>
      </c>
      <c r="O253" s="137" t="s">
        <v>97</v>
      </c>
      <c r="P253" s="137" t="s">
        <v>88</v>
      </c>
      <c r="Q253" s="137" t="s">
        <v>84</v>
      </c>
      <c r="R253" s="137" t="b">
        <v>1</v>
      </c>
      <c r="S253" s="139">
        <v>0</v>
      </c>
      <c r="T253" s="139">
        <v>1.11578326789567E+19</v>
      </c>
    </row>
    <row r="254" spans="3:20">
      <c r="C254" s="24" t="b">
        <v>0</v>
      </c>
      <c r="D254" s="137">
        <v>0</v>
      </c>
      <c r="E254" s="138">
        <v>3</v>
      </c>
      <c r="F254" s="137" t="s">
        <v>75</v>
      </c>
      <c r="G254" s="137">
        <v>18</v>
      </c>
      <c r="H254" s="137">
        <v>1</v>
      </c>
      <c r="I254" s="137">
        <v>1</v>
      </c>
      <c r="J254" s="137">
        <v>7.8541999999999996</v>
      </c>
      <c r="K254" s="137" t="s">
        <v>77</v>
      </c>
      <c r="L254" s="137" t="s">
        <v>79</v>
      </c>
      <c r="M254" s="137" t="s">
        <v>80</v>
      </c>
      <c r="N254" s="137" t="b">
        <v>1</v>
      </c>
      <c r="O254" s="137"/>
      <c r="P254" s="137" t="s">
        <v>83</v>
      </c>
      <c r="Q254" s="137" t="s">
        <v>84</v>
      </c>
      <c r="R254" s="137" t="b">
        <v>0</v>
      </c>
      <c r="S254" s="139">
        <v>1</v>
      </c>
      <c r="T254" s="139">
        <v>7.1514496671952599E+18</v>
      </c>
    </row>
    <row r="255" spans="3:20">
      <c r="C255" s="24" t="b">
        <v>0</v>
      </c>
      <c r="D255" s="137">
        <v>0</v>
      </c>
      <c r="E255" s="138">
        <v>3</v>
      </c>
      <c r="F255" s="137" t="s">
        <v>75</v>
      </c>
      <c r="G255" s="137"/>
      <c r="H255" s="137">
        <v>3</v>
      </c>
      <c r="I255" s="137">
        <v>1</v>
      </c>
      <c r="J255" s="137">
        <v>25.466699999999999</v>
      </c>
      <c r="K255" s="137" t="s">
        <v>77</v>
      </c>
      <c r="L255" s="137" t="s">
        <v>79</v>
      </c>
      <c r="M255" s="137" t="s">
        <v>80</v>
      </c>
      <c r="N255" s="137" t="b">
        <v>1</v>
      </c>
      <c r="O255" s="137"/>
      <c r="P255" s="137" t="s">
        <v>83</v>
      </c>
      <c r="Q255" s="137" t="s">
        <v>84</v>
      </c>
      <c r="R255" s="137" t="b">
        <v>0</v>
      </c>
      <c r="S255" s="139">
        <v>1</v>
      </c>
      <c r="T255" s="139">
        <v>3.5549032741041802E+18</v>
      </c>
    </row>
    <row r="256" spans="3:20">
      <c r="C256" s="24" t="b">
        <v>0</v>
      </c>
      <c r="D256" s="137">
        <v>0</v>
      </c>
      <c r="E256" s="138">
        <v>1</v>
      </c>
      <c r="F256" s="137" t="s">
        <v>85</v>
      </c>
      <c r="G256" s="137">
        <v>50</v>
      </c>
      <c r="H256" s="137">
        <v>0</v>
      </c>
      <c r="I256" s="137">
        <v>0</v>
      </c>
      <c r="J256" s="137">
        <v>28.712499999999999</v>
      </c>
      <c r="K256" s="137" t="s">
        <v>82</v>
      </c>
      <c r="L256" s="137" t="s">
        <v>86</v>
      </c>
      <c r="M256" s="137" t="s">
        <v>87</v>
      </c>
      <c r="N256" s="137" t="b">
        <v>0</v>
      </c>
      <c r="O256" s="137" t="s">
        <v>82</v>
      </c>
      <c r="P256" s="137" t="s">
        <v>88</v>
      </c>
      <c r="Q256" s="137" t="s">
        <v>84</v>
      </c>
      <c r="R256" s="137" t="b">
        <v>1</v>
      </c>
      <c r="S256" s="139">
        <v>0</v>
      </c>
      <c r="T256" s="139">
        <v>1.30333323312216E+17</v>
      </c>
    </row>
    <row r="257" spans="3:20">
      <c r="C257" s="24" t="b">
        <v>0</v>
      </c>
      <c r="D257" s="137">
        <v>0</v>
      </c>
      <c r="E257" s="138">
        <v>2</v>
      </c>
      <c r="F257" s="137" t="s">
        <v>75</v>
      </c>
      <c r="G257" s="137">
        <v>30</v>
      </c>
      <c r="H257" s="137">
        <v>0</v>
      </c>
      <c r="I257" s="137">
        <v>0</v>
      </c>
      <c r="J257" s="137">
        <v>13</v>
      </c>
      <c r="K257" s="137" t="s">
        <v>77</v>
      </c>
      <c r="L257" s="137" t="s">
        <v>94</v>
      </c>
      <c r="M257" s="137" t="s">
        <v>80</v>
      </c>
      <c r="N257" s="137" t="b">
        <v>1</v>
      </c>
      <c r="O257" s="137"/>
      <c r="P257" s="137" t="s">
        <v>83</v>
      </c>
      <c r="Q257" s="137" t="s">
        <v>84</v>
      </c>
      <c r="R257" s="137" t="b">
        <v>1</v>
      </c>
      <c r="S257" s="139">
        <v>1</v>
      </c>
      <c r="T257" s="139">
        <v>2.9304945046951398E+18</v>
      </c>
    </row>
    <row r="258" spans="3:20">
      <c r="C258" s="24" t="b">
        <v>0</v>
      </c>
      <c r="D258" s="137">
        <v>0</v>
      </c>
      <c r="E258" s="138">
        <v>3</v>
      </c>
      <c r="F258" s="137" t="s">
        <v>75</v>
      </c>
      <c r="G258" s="137">
        <v>36</v>
      </c>
      <c r="H258" s="137">
        <v>0</v>
      </c>
      <c r="I258" s="137">
        <v>0</v>
      </c>
      <c r="J258" s="137">
        <v>0</v>
      </c>
      <c r="K258" s="137" t="s">
        <v>77</v>
      </c>
      <c r="L258" s="137" t="s">
        <v>79</v>
      </c>
      <c r="M258" s="137" t="s">
        <v>80</v>
      </c>
      <c r="N258" s="137" t="b">
        <v>1</v>
      </c>
      <c r="O258" s="137"/>
      <c r="P258" s="137" t="s">
        <v>83</v>
      </c>
      <c r="Q258" s="137" t="s">
        <v>84</v>
      </c>
      <c r="R258" s="137" t="b">
        <v>1</v>
      </c>
      <c r="S258" s="139">
        <v>1</v>
      </c>
      <c r="T258" s="139">
        <v>7.34063730327902E+18</v>
      </c>
    </row>
    <row r="259" spans="3:20">
      <c r="C259" s="24" t="b">
        <v>0</v>
      </c>
      <c r="D259" s="137">
        <v>0</v>
      </c>
      <c r="E259" s="138">
        <v>3</v>
      </c>
      <c r="F259" s="137" t="s">
        <v>85</v>
      </c>
      <c r="G259" s="137"/>
      <c r="H259" s="137">
        <v>8</v>
      </c>
      <c r="I259" s="137">
        <v>2</v>
      </c>
      <c r="J259" s="137">
        <v>69.55</v>
      </c>
      <c r="K259" s="137" t="s">
        <v>77</v>
      </c>
      <c r="L259" s="137" t="s">
        <v>79</v>
      </c>
      <c r="M259" s="137" t="s">
        <v>87</v>
      </c>
      <c r="N259" s="137" t="b">
        <v>0</v>
      </c>
      <c r="O259" s="137"/>
      <c r="P259" s="137" t="s">
        <v>83</v>
      </c>
      <c r="Q259" s="137" t="s">
        <v>84</v>
      </c>
      <c r="R259" s="137" t="b">
        <v>0</v>
      </c>
      <c r="S259" s="139">
        <v>1</v>
      </c>
      <c r="T259" s="139">
        <v>1.5412107601280899E+19</v>
      </c>
    </row>
    <row r="260" spans="3:20">
      <c r="C260" s="24" t="b">
        <v>0</v>
      </c>
      <c r="D260" s="137">
        <v>0</v>
      </c>
      <c r="E260" s="138">
        <v>2</v>
      </c>
      <c r="F260" s="137" t="s">
        <v>75</v>
      </c>
      <c r="G260" s="137"/>
      <c r="H260" s="137">
        <v>0</v>
      </c>
      <c r="I260" s="137">
        <v>0</v>
      </c>
      <c r="J260" s="137">
        <v>15.05</v>
      </c>
      <c r="K260" s="137" t="s">
        <v>82</v>
      </c>
      <c r="L260" s="137" t="s">
        <v>94</v>
      </c>
      <c r="M260" s="137" t="s">
        <v>80</v>
      </c>
      <c r="N260" s="137" t="b">
        <v>1</v>
      </c>
      <c r="O260" s="137"/>
      <c r="P260" s="137" t="s">
        <v>88</v>
      </c>
      <c r="Q260" s="137" t="s">
        <v>84</v>
      </c>
      <c r="R260" s="137" t="b">
        <v>1</v>
      </c>
      <c r="S260" s="139">
        <v>1</v>
      </c>
      <c r="T260" s="139">
        <v>6.5037791222465198E+18</v>
      </c>
    </row>
    <row r="261" spans="3:20">
      <c r="C261" s="24" t="b">
        <v>0</v>
      </c>
      <c r="D261" s="137">
        <v>0</v>
      </c>
      <c r="E261" s="138">
        <v>3</v>
      </c>
      <c r="F261" s="137" t="s">
        <v>75</v>
      </c>
      <c r="G261" s="137">
        <v>9</v>
      </c>
      <c r="H261" s="137">
        <v>4</v>
      </c>
      <c r="I261" s="137">
        <v>2</v>
      </c>
      <c r="J261" s="137">
        <v>31.387499999999999</v>
      </c>
      <c r="K261" s="137" t="s">
        <v>77</v>
      </c>
      <c r="L261" s="137" t="s">
        <v>79</v>
      </c>
      <c r="M261" s="137" t="s">
        <v>93</v>
      </c>
      <c r="N261" s="137" t="b">
        <v>0</v>
      </c>
      <c r="O261" s="137"/>
      <c r="P261" s="137" t="s">
        <v>83</v>
      </c>
      <c r="Q261" s="137" t="s">
        <v>84</v>
      </c>
      <c r="R261" s="137" t="b">
        <v>0</v>
      </c>
      <c r="S261" s="139">
        <v>1</v>
      </c>
      <c r="T261" s="139">
        <v>1.72231802759192E+19</v>
      </c>
    </row>
    <row r="262" spans="3:20">
      <c r="C262" s="24" t="b">
        <v>0</v>
      </c>
      <c r="D262" s="137">
        <v>1</v>
      </c>
      <c r="E262" s="138">
        <v>2</v>
      </c>
      <c r="F262" s="137" t="s">
        <v>75</v>
      </c>
      <c r="G262" s="137">
        <v>1</v>
      </c>
      <c r="H262" s="137">
        <v>2</v>
      </c>
      <c r="I262" s="137">
        <v>1</v>
      </c>
      <c r="J262" s="137">
        <v>39</v>
      </c>
      <c r="K262" s="137" t="s">
        <v>77</v>
      </c>
      <c r="L262" s="137" t="s">
        <v>94</v>
      </c>
      <c r="M262" s="137" t="s">
        <v>93</v>
      </c>
      <c r="N262" s="137" t="b">
        <v>0</v>
      </c>
      <c r="O262" s="137" t="s">
        <v>99</v>
      </c>
      <c r="P262" s="137" t="s">
        <v>83</v>
      </c>
      <c r="Q262" s="137" t="s">
        <v>89</v>
      </c>
      <c r="R262" s="137" t="b">
        <v>0</v>
      </c>
      <c r="S262" s="139">
        <v>0</v>
      </c>
      <c r="T262" s="139">
        <v>5.2046393290641797E+18</v>
      </c>
    </row>
    <row r="263" spans="3:20">
      <c r="C263" s="24" t="b">
        <v>0</v>
      </c>
      <c r="D263" s="137">
        <v>1</v>
      </c>
      <c r="E263" s="138">
        <v>3</v>
      </c>
      <c r="F263" s="137" t="s">
        <v>85</v>
      </c>
      <c r="G263" s="137">
        <v>4</v>
      </c>
      <c r="H263" s="137">
        <v>0</v>
      </c>
      <c r="I263" s="137">
        <v>2</v>
      </c>
      <c r="J263" s="137">
        <v>22.024999999999999</v>
      </c>
      <c r="K263" s="137" t="s">
        <v>77</v>
      </c>
      <c r="L263" s="137" t="s">
        <v>79</v>
      </c>
      <c r="M263" s="137" t="s">
        <v>93</v>
      </c>
      <c r="N263" s="137" t="b">
        <v>0</v>
      </c>
      <c r="O263" s="137"/>
      <c r="P263" s="137" t="s">
        <v>83</v>
      </c>
      <c r="Q263" s="137" t="s">
        <v>89</v>
      </c>
      <c r="R263" s="137" t="b">
        <v>0</v>
      </c>
      <c r="S263" s="139">
        <v>1</v>
      </c>
      <c r="T263" s="139">
        <v>3.13873537574739E+18</v>
      </c>
    </row>
    <row r="264" spans="3:20">
      <c r="C264" s="24" t="b">
        <v>0</v>
      </c>
      <c r="D264" s="137">
        <v>0</v>
      </c>
      <c r="E264" s="138">
        <v>1</v>
      </c>
      <c r="F264" s="137" t="s">
        <v>75</v>
      </c>
      <c r="G264" s="137"/>
      <c r="H264" s="137">
        <v>0</v>
      </c>
      <c r="I264" s="137">
        <v>0</v>
      </c>
      <c r="J264" s="137">
        <v>50</v>
      </c>
      <c r="K264" s="137" t="s">
        <v>77</v>
      </c>
      <c r="L264" s="137" t="s">
        <v>86</v>
      </c>
      <c r="M264" s="137" t="s">
        <v>80</v>
      </c>
      <c r="N264" s="137" t="b">
        <v>1</v>
      </c>
      <c r="O264" s="137" t="s">
        <v>97</v>
      </c>
      <c r="P264" s="137" t="s">
        <v>83</v>
      </c>
      <c r="Q264" s="137" t="s">
        <v>84</v>
      </c>
      <c r="R264" s="137" t="b">
        <v>1</v>
      </c>
      <c r="S264" s="139">
        <v>1</v>
      </c>
      <c r="T264" s="139">
        <v>1.3327764699922901E+19</v>
      </c>
    </row>
    <row r="265" spans="3:20">
      <c r="C265" s="24" t="b">
        <v>0</v>
      </c>
      <c r="D265" s="137">
        <v>1</v>
      </c>
      <c r="E265" s="138">
        <v>3</v>
      </c>
      <c r="F265" s="137" t="s">
        <v>85</v>
      </c>
      <c r="G265" s="137"/>
      <c r="H265" s="137">
        <v>1</v>
      </c>
      <c r="I265" s="137">
        <v>0</v>
      </c>
      <c r="J265" s="137">
        <v>15.5</v>
      </c>
      <c r="K265" s="137" t="s">
        <v>90</v>
      </c>
      <c r="L265" s="137" t="s">
        <v>79</v>
      </c>
      <c r="M265" s="137" t="s">
        <v>87</v>
      </c>
      <c r="N265" s="137" t="b">
        <v>0</v>
      </c>
      <c r="O265" s="137"/>
      <c r="P265" s="137" t="s">
        <v>91</v>
      </c>
      <c r="Q265" s="137" t="s">
        <v>89</v>
      </c>
      <c r="R265" s="137" t="b">
        <v>0</v>
      </c>
      <c r="S265" s="139">
        <v>1</v>
      </c>
      <c r="T265" s="139">
        <v>6.4154019982692997E+18</v>
      </c>
    </row>
    <row r="266" spans="3:20">
      <c r="C266" s="24" t="b">
        <v>0</v>
      </c>
      <c r="D266" s="137">
        <v>1</v>
      </c>
      <c r="E266" s="138">
        <v>1</v>
      </c>
      <c r="F266" s="137" t="s">
        <v>75</v>
      </c>
      <c r="G266" s="137">
        <v>45</v>
      </c>
      <c r="H266" s="137">
        <v>0</v>
      </c>
      <c r="I266" s="137">
        <v>0</v>
      </c>
      <c r="J266" s="137">
        <v>26.55</v>
      </c>
      <c r="K266" s="137" t="s">
        <v>77</v>
      </c>
      <c r="L266" s="137" t="s">
        <v>86</v>
      </c>
      <c r="M266" s="137" t="s">
        <v>80</v>
      </c>
      <c r="N266" s="137" t="b">
        <v>1</v>
      </c>
      <c r="O266" s="137"/>
      <c r="P266" s="137" t="s">
        <v>83</v>
      </c>
      <c r="Q266" s="137" t="s">
        <v>89</v>
      </c>
      <c r="R266" s="137" t="b">
        <v>1</v>
      </c>
      <c r="S266" s="139">
        <v>1</v>
      </c>
      <c r="T266" s="139">
        <v>3.5537674176194401E+18</v>
      </c>
    </row>
    <row r="267" spans="3:20">
      <c r="C267" s="24" t="b">
        <v>0</v>
      </c>
      <c r="D267" s="137">
        <v>0</v>
      </c>
      <c r="E267" s="138">
        <v>3</v>
      </c>
      <c r="F267" s="137" t="s">
        <v>75</v>
      </c>
      <c r="G267" s="137">
        <v>40</v>
      </c>
      <c r="H267" s="137">
        <v>1</v>
      </c>
      <c r="I267" s="137">
        <v>1</v>
      </c>
      <c r="J267" s="137">
        <v>15.5</v>
      </c>
      <c r="K267" s="137" t="s">
        <v>90</v>
      </c>
      <c r="L267" s="137" t="s">
        <v>79</v>
      </c>
      <c r="M267" s="137" t="s">
        <v>80</v>
      </c>
      <c r="N267" s="137" t="b">
        <v>1</v>
      </c>
      <c r="O267" s="137"/>
      <c r="P267" s="137" t="s">
        <v>91</v>
      </c>
      <c r="Q267" s="137" t="s">
        <v>84</v>
      </c>
      <c r="R267" s="137" t="b">
        <v>0</v>
      </c>
      <c r="S267" s="139">
        <v>1</v>
      </c>
      <c r="T267" s="139">
        <v>9.7119047136509891E+18</v>
      </c>
    </row>
    <row r="268" spans="3:20">
      <c r="C268" s="24" t="b">
        <v>0</v>
      </c>
      <c r="D268" s="137">
        <v>0</v>
      </c>
      <c r="E268" s="138">
        <v>3</v>
      </c>
      <c r="F268" s="137" t="s">
        <v>75</v>
      </c>
      <c r="G268" s="137">
        <v>36</v>
      </c>
      <c r="H268" s="137">
        <v>0</v>
      </c>
      <c r="I268" s="137">
        <v>0</v>
      </c>
      <c r="J268" s="137">
        <v>7.8958000000000004</v>
      </c>
      <c r="K268" s="137" t="s">
        <v>77</v>
      </c>
      <c r="L268" s="137" t="s">
        <v>79</v>
      </c>
      <c r="M268" s="137" t="s">
        <v>80</v>
      </c>
      <c r="N268" s="137" t="b">
        <v>1</v>
      </c>
      <c r="O268" s="137"/>
      <c r="P268" s="137" t="s">
        <v>83</v>
      </c>
      <c r="Q268" s="137" t="s">
        <v>84</v>
      </c>
      <c r="R268" s="137" t="b">
        <v>1</v>
      </c>
      <c r="S268" s="139">
        <v>1</v>
      </c>
      <c r="T268" s="139">
        <v>1.20761566858687E+19</v>
      </c>
    </row>
    <row r="269" spans="3:20">
      <c r="C269" s="24" t="b">
        <v>0</v>
      </c>
      <c r="D269" s="137">
        <v>1</v>
      </c>
      <c r="E269" s="138">
        <v>2</v>
      </c>
      <c r="F269" s="137" t="s">
        <v>85</v>
      </c>
      <c r="G269" s="137">
        <v>32</v>
      </c>
      <c r="H269" s="137">
        <v>0</v>
      </c>
      <c r="I269" s="137">
        <v>0</v>
      </c>
      <c r="J269" s="137">
        <v>13</v>
      </c>
      <c r="K269" s="137" t="s">
        <v>77</v>
      </c>
      <c r="L269" s="137" t="s">
        <v>94</v>
      </c>
      <c r="M269" s="137" t="s">
        <v>87</v>
      </c>
      <c r="N269" s="137" t="b">
        <v>0</v>
      </c>
      <c r="O269" s="137"/>
      <c r="P269" s="137" t="s">
        <v>83</v>
      </c>
      <c r="Q269" s="137" t="s">
        <v>89</v>
      </c>
      <c r="R269" s="137" t="b">
        <v>1</v>
      </c>
      <c r="S269" s="139">
        <v>1</v>
      </c>
      <c r="T269" s="139">
        <v>2.6572770623176899E+18</v>
      </c>
    </row>
    <row r="270" spans="3:20">
      <c r="C270" s="24" t="b">
        <v>0</v>
      </c>
      <c r="D270" s="137">
        <v>0</v>
      </c>
      <c r="E270" s="138">
        <v>2</v>
      </c>
      <c r="F270" s="137" t="s">
        <v>75</v>
      </c>
      <c r="G270" s="137">
        <v>19</v>
      </c>
      <c r="H270" s="137">
        <v>0</v>
      </c>
      <c r="I270" s="137">
        <v>0</v>
      </c>
      <c r="J270" s="137">
        <v>13</v>
      </c>
      <c r="K270" s="137" t="s">
        <v>77</v>
      </c>
      <c r="L270" s="137" t="s">
        <v>94</v>
      </c>
      <c r="M270" s="137" t="s">
        <v>80</v>
      </c>
      <c r="N270" s="137" t="b">
        <v>1</v>
      </c>
      <c r="O270" s="137"/>
      <c r="P270" s="137" t="s">
        <v>83</v>
      </c>
      <c r="Q270" s="137" t="s">
        <v>84</v>
      </c>
      <c r="R270" s="137" t="b">
        <v>1</v>
      </c>
      <c r="S270" s="139">
        <v>1</v>
      </c>
      <c r="T270" s="139">
        <v>5.6893236346331095E+18</v>
      </c>
    </row>
    <row r="271" spans="3:20">
      <c r="C271" s="24" t="b">
        <v>0</v>
      </c>
      <c r="D271" s="137">
        <v>1</v>
      </c>
      <c r="E271" s="138">
        <v>3</v>
      </c>
      <c r="F271" s="137" t="s">
        <v>85</v>
      </c>
      <c r="G271" s="137">
        <v>19</v>
      </c>
      <c r="H271" s="137">
        <v>1</v>
      </c>
      <c r="I271" s="137">
        <v>0</v>
      </c>
      <c r="J271" s="137">
        <v>7.8541999999999996</v>
      </c>
      <c r="K271" s="137" t="s">
        <v>77</v>
      </c>
      <c r="L271" s="137" t="s">
        <v>79</v>
      </c>
      <c r="M271" s="137" t="s">
        <v>87</v>
      </c>
      <c r="N271" s="137" t="b">
        <v>0</v>
      </c>
      <c r="O271" s="137"/>
      <c r="P271" s="137" t="s">
        <v>83</v>
      </c>
      <c r="Q271" s="137" t="s">
        <v>89</v>
      </c>
      <c r="R271" s="137" t="b">
        <v>0</v>
      </c>
      <c r="S271" s="139">
        <v>1</v>
      </c>
      <c r="T271" s="139">
        <v>3.0203818295115602E+18</v>
      </c>
    </row>
    <row r="272" spans="3:20">
      <c r="C272" s="24" t="b">
        <v>0</v>
      </c>
      <c r="D272" s="137">
        <v>1</v>
      </c>
      <c r="E272" s="138">
        <v>2</v>
      </c>
      <c r="F272" s="137" t="s">
        <v>75</v>
      </c>
      <c r="G272" s="137">
        <v>3</v>
      </c>
      <c r="H272" s="137">
        <v>1</v>
      </c>
      <c r="I272" s="137">
        <v>1</v>
      </c>
      <c r="J272" s="137">
        <v>26</v>
      </c>
      <c r="K272" s="137" t="s">
        <v>77</v>
      </c>
      <c r="L272" s="137" t="s">
        <v>94</v>
      </c>
      <c r="M272" s="137" t="s">
        <v>93</v>
      </c>
      <c r="N272" s="137" t="b">
        <v>0</v>
      </c>
      <c r="O272" s="137" t="s">
        <v>99</v>
      </c>
      <c r="P272" s="137" t="s">
        <v>83</v>
      </c>
      <c r="Q272" s="137" t="s">
        <v>89</v>
      </c>
      <c r="R272" s="137" t="b">
        <v>0</v>
      </c>
      <c r="S272" s="139">
        <v>0</v>
      </c>
      <c r="T272" s="139">
        <v>9.560028161123371E+18</v>
      </c>
    </row>
    <row r="273" spans="3:20">
      <c r="C273" s="24" t="b">
        <v>0</v>
      </c>
      <c r="D273" s="137">
        <v>1</v>
      </c>
      <c r="E273" s="138">
        <v>1</v>
      </c>
      <c r="F273" s="137" t="s">
        <v>85</v>
      </c>
      <c r="G273" s="137">
        <v>44</v>
      </c>
      <c r="H273" s="137">
        <v>0</v>
      </c>
      <c r="I273" s="137">
        <v>0</v>
      </c>
      <c r="J273" s="137">
        <v>27.720800000000001</v>
      </c>
      <c r="K273" s="137" t="s">
        <v>82</v>
      </c>
      <c r="L273" s="137" t="s">
        <v>86</v>
      </c>
      <c r="M273" s="137" t="s">
        <v>87</v>
      </c>
      <c r="N273" s="137" t="b">
        <v>0</v>
      </c>
      <c r="O273" s="137" t="s">
        <v>98</v>
      </c>
      <c r="P273" s="137" t="s">
        <v>88</v>
      </c>
      <c r="Q273" s="137" t="s">
        <v>89</v>
      </c>
      <c r="R273" s="137" t="b">
        <v>1</v>
      </c>
      <c r="S273" s="139">
        <v>0</v>
      </c>
      <c r="T273" s="139">
        <v>6.1778841973819197E+18</v>
      </c>
    </row>
    <row r="274" spans="3:20">
      <c r="C274" s="24" t="b">
        <v>0</v>
      </c>
      <c r="D274" s="137">
        <v>1</v>
      </c>
      <c r="E274" s="138">
        <v>1</v>
      </c>
      <c r="F274" s="137" t="s">
        <v>85</v>
      </c>
      <c r="G274" s="137">
        <v>58</v>
      </c>
      <c r="H274" s="137">
        <v>0</v>
      </c>
      <c r="I274" s="137">
        <v>0</v>
      </c>
      <c r="J274" s="137">
        <v>146.52080000000001</v>
      </c>
      <c r="K274" s="137" t="s">
        <v>82</v>
      </c>
      <c r="L274" s="137" t="s">
        <v>86</v>
      </c>
      <c r="M274" s="137" t="s">
        <v>87</v>
      </c>
      <c r="N274" s="137" t="b">
        <v>0</v>
      </c>
      <c r="O274" s="137" t="s">
        <v>98</v>
      </c>
      <c r="P274" s="137" t="s">
        <v>88</v>
      </c>
      <c r="Q274" s="137" t="s">
        <v>89</v>
      </c>
      <c r="R274" s="137" t="b">
        <v>1</v>
      </c>
      <c r="S274" s="139">
        <v>0</v>
      </c>
      <c r="T274" s="139">
        <v>1.3374878132931199E+19</v>
      </c>
    </row>
    <row r="275" spans="3:20">
      <c r="C275" s="24" t="b">
        <v>0</v>
      </c>
      <c r="D275" s="137">
        <v>0</v>
      </c>
      <c r="E275" s="138">
        <v>3</v>
      </c>
      <c r="F275" s="137" t="s">
        <v>75</v>
      </c>
      <c r="G275" s="137"/>
      <c r="H275" s="137">
        <v>0</v>
      </c>
      <c r="I275" s="137">
        <v>0</v>
      </c>
      <c r="J275" s="137">
        <v>7.75</v>
      </c>
      <c r="K275" s="137" t="s">
        <v>90</v>
      </c>
      <c r="L275" s="137" t="s">
        <v>79</v>
      </c>
      <c r="M275" s="137" t="s">
        <v>80</v>
      </c>
      <c r="N275" s="137" t="b">
        <v>1</v>
      </c>
      <c r="O275" s="137"/>
      <c r="P275" s="137" t="s">
        <v>91</v>
      </c>
      <c r="Q275" s="137" t="s">
        <v>84</v>
      </c>
      <c r="R275" s="137" t="b">
        <v>1</v>
      </c>
      <c r="S275" s="139">
        <v>1</v>
      </c>
      <c r="T275" s="139">
        <v>8.8562668406319196E+18</v>
      </c>
    </row>
    <row r="276" spans="3:20">
      <c r="C276" s="24" t="b">
        <v>0</v>
      </c>
      <c r="D276" s="137">
        <v>0</v>
      </c>
      <c r="E276" s="138">
        <v>3</v>
      </c>
      <c r="F276" s="137" t="s">
        <v>75</v>
      </c>
      <c r="G276" s="137">
        <v>42</v>
      </c>
      <c r="H276" s="137">
        <v>0</v>
      </c>
      <c r="I276" s="137">
        <v>1</v>
      </c>
      <c r="J276" s="137">
        <v>8.4041999999999994</v>
      </c>
      <c r="K276" s="137" t="s">
        <v>77</v>
      </c>
      <c r="L276" s="137" t="s">
        <v>79</v>
      </c>
      <c r="M276" s="137" t="s">
        <v>80</v>
      </c>
      <c r="N276" s="137" t="b">
        <v>1</v>
      </c>
      <c r="O276" s="137"/>
      <c r="P276" s="137" t="s">
        <v>83</v>
      </c>
      <c r="Q276" s="137" t="s">
        <v>84</v>
      </c>
      <c r="R276" s="137" t="b">
        <v>0</v>
      </c>
      <c r="S276" s="139">
        <v>1</v>
      </c>
      <c r="T276" s="139">
        <v>8.1418058515703695E+18</v>
      </c>
    </row>
    <row r="277" spans="3:20">
      <c r="C277" s="24" t="b">
        <v>0</v>
      </c>
      <c r="D277" s="137">
        <v>1</v>
      </c>
      <c r="E277" s="138">
        <v>3</v>
      </c>
      <c r="F277" s="137" t="s">
        <v>85</v>
      </c>
      <c r="G277" s="137"/>
      <c r="H277" s="137">
        <v>0</v>
      </c>
      <c r="I277" s="137">
        <v>0</v>
      </c>
      <c r="J277" s="137">
        <v>7.75</v>
      </c>
      <c r="K277" s="137" t="s">
        <v>90</v>
      </c>
      <c r="L277" s="137" t="s">
        <v>79</v>
      </c>
      <c r="M277" s="137" t="s">
        <v>87</v>
      </c>
      <c r="N277" s="137" t="b">
        <v>0</v>
      </c>
      <c r="O277" s="137"/>
      <c r="P277" s="137" t="s">
        <v>91</v>
      </c>
      <c r="Q277" s="137" t="s">
        <v>89</v>
      </c>
      <c r="R277" s="137" t="b">
        <v>1</v>
      </c>
      <c r="S277" s="139">
        <v>1</v>
      </c>
      <c r="T277" s="139">
        <v>9.6415297742023398E+17</v>
      </c>
    </row>
    <row r="278" spans="3:20">
      <c r="C278" s="24" t="b">
        <v>0</v>
      </c>
      <c r="D278" s="137">
        <v>0</v>
      </c>
      <c r="E278" s="138">
        <v>2</v>
      </c>
      <c r="F278" s="137" t="s">
        <v>85</v>
      </c>
      <c r="G278" s="137">
        <v>24</v>
      </c>
      <c r="H278" s="137">
        <v>0</v>
      </c>
      <c r="I278" s="137">
        <v>0</v>
      </c>
      <c r="J278" s="137">
        <v>13</v>
      </c>
      <c r="K278" s="137" t="s">
        <v>77</v>
      </c>
      <c r="L278" s="137" t="s">
        <v>94</v>
      </c>
      <c r="M278" s="137" t="s">
        <v>87</v>
      </c>
      <c r="N278" s="137" t="b">
        <v>0</v>
      </c>
      <c r="O278" s="137"/>
      <c r="P278" s="137" t="s">
        <v>83</v>
      </c>
      <c r="Q278" s="137" t="s">
        <v>84</v>
      </c>
      <c r="R278" s="137" t="b">
        <v>1</v>
      </c>
      <c r="S278" s="139">
        <v>1</v>
      </c>
      <c r="T278" s="139">
        <v>8.3693840258119496E+18</v>
      </c>
    </row>
    <row r="279" spans="3:20">
      <c r="C279" s="24" t="b">
        <v>0</v>
      </c>
      <c r="D279" s="137">
        <v>0</v>
      </c>
      <c r="E279" s="138">
        <v>3</v>
      </c>
      <c r="F279" s="137" t="s">
        <v>75</v>
      </c>
      <c r="G279" s="137">
        <v>28</v>
      </c>
      <c r="H279" s="137">
        <v>0</v>
      </c>
      <c r="I279" s="137">
        <v>0</v>
      </c>
      <c r="J279" s="137">
        <v>9.5</v>
      </c>
      <c r="K279" s="137" t="s">
        <v>77</v>
      </c>
      <c r="L279" s="137" t="s">
        <v>79</v>
      </c>
      <c r="M279" s="137" t="s">
        <v>80</v>
      </c>
      <c r="N279" s="137" t="b">
        <v>1</v>
      </c>
      <c r="O279" s="137"/>
      <c r="P279" s="137" t="s">
        <v>83</v>
      </c>
      <c r="Q279" s="137" t="s">
        <v>84</v>
      </c>
      <c r="R279" s="137" t="b">
        <v>1</v>
      </c>
      <c r="S279" s="139">
        <v>1</v>
      </c>
      <c r="T279" s="139">
        <v>2.7331724813587901E+18</v>
      </c>
    </row>
    <row r="280" spans="3:20">
      <c r="C280" s="24" t="b">
        <v>0</v>
      </c>
      <c r="D280" s="137">
        <v>0</v>
      </c>
      <c r="E280" s="138">
        <v>3</v>
      </c>
      <c r="F280" s="137" t="s">
        <v>75</v>
      </c>
      <c r="G280" s="137"/>
      <c r="H280" s="137">
        <v>8</v>
      </c>
      <c r="I280" s="137">
        <v>2</v>
      </c>
      <c r="J280" s="137">
        <v>69.55</v>
      </c>
      <c r="K280" s="137" t="s">
        <v>77</v>
      </c>
      <c r="L280" s="137" t="s">
        <v>79</v>
      </c>
      <c r="M280" s="137" t="s">
        <v>80</v>
      </c>
      <c r="N280" s="137" t="b">
        <v>1</v>
      </c>
      <c r="O280" s="137"/>
      <c r="P280" s="137" t="s">
        <v>83</v>
      </c>
      <c r="Q280" s="137" t="s">
        <v>84</v>
      </c>
      <c r="R280" s="137" t="b">
        <v>0</v>
      </c>
      <c r="S280" s="139">
        <v>1</v>
      </c>
      <c r="T280" s="139">
        <v>1.2395330416317399E+19</v>
      </c>
    </row>
    <row r="281" spans="3:20">
      <c r="C281" s="24" t="b">
        <v>0</v>
      </c>
      <c r="D281" s="137">
        <v>0</v>
      </c>
      <c r="E281" s="138">
        <v>3</v>
      </c>
      <c r="F281" s="137" t="s">
        <v>75</v>
      </c>
      <c r="G281" s="137">
        <v>34</v>
      </c>
      <c r="H281" s="137">
        <v>0</v>
      </c>
      <c r="I281" s="137">
        <v>0</v>
      </c>
      <c r="J281" s="137">
        <v>6.4958</v>
      </c>
      <c r="K281" s="137" t="s">
        <v>77</v>
      </c>
      <c r="L281" s="137" t="s">
        <v>79</v>
      </c>
      <c r="M281" s="137" t="s">
        <v>80</v>
      </c>
      <c r="N281" s="137" t="b">
        <v>1</v>
      </c>
      <c r="O281" s="137"/>
      <c r="P281" s="137" t="s">
        <v>83</v>
      </c>
      <c r="Q281" s="137" t="s">
        <v>84</v>
      </c>
      <c r="R281" s="137" t="b">
        <v>1</v>
      </c>
      <c r="S281" s="139">
        <v>1</v>
      </c>
      <c r="T281" s="139">
        <v>1.1125439392344101E+19</v>
      </c>
    </row>
    <row r="282" spans="3:20">
      <c r="C282" s="24" t="b">
        <v>0</v>
      </c>
      <c r="D282" s="137">
        <v>0</v>
      </c>
      <c r="E282" s="138">
        <v>3</v>
      </c>
      <c r="F282" s="137" t="s">
        <v>75</v>
      </c>
      <c r="G282" s="137">
        <v>45.5</v>
      </c>
      <c r="H282" s="137">
        <v>0</v>
      </c>
      <c r="I282" s="137">
        <v>0</v>
      </c>
      <c r="J282" s="137">
        <v>7.2249999999999996</v>
      </c>
      <c r="K282" s="137" t="s">
        <v>82</v>
      </c>
      <c r="L282" s="137" t="s">
        <v>79</v>
      </c>
      <c r="M282" s="137" t="s">
        <v>80</v>
      </c>
      <c r="N282" s="137" t="b">
        <v>1</v>
      </c>
      <c r="O282" s="137"/>
      <c r="P282" s="137" t="s">
        <v>88</v>
      </c>
      <c r="Q282" s="137" t="s">
        <v>84</v>
      </c>
      <c r="R282" s="137" t="b">
        <v>1</v>
      </c>
      <c r="S282" s="139">
        <v>1</v>
      </c>
      <c r="T282" s="139">
        <v>2.59978022530767E+18</v>
      </c>
    </row>
    <row r="283" spans="3:20">
      <c r="C283" s="24" t="b">
        <v>0</v>
      </c>
      <c r="D283" s="137">
        <v>1</v>
      </c>
      <c r="E283" s="138">
        <v>3</v>
      </c>
      <c r="F283" s="137" t="s">
        <v>75</v>
      </c>
      <c r="G283" s="137">
        <v>18</v>
      </c>
      <c r="H283" s="137">
        <v>0</v>
      </c>
      <c r="I283" s="137">
        <v>0</v>
      </c>
      <c r="J283" s="137">
        <v>8.0500000000000007</v>
      </c>
      <c r="K283" s="137" t="s">
        <v>77</v>
      </c>
      <c r="L283" s="137" t="s">
        <v>79</v>
      </c>
      <c r="M283" s="137" t="s">
        <v>80</v>
      </c>
      <c r="N283" s="137" t="b">
        <v>1</v>
      </c>
      <c r="O283" s="137"/>
      <c r="P283" s="137" t="s">
        <v>83</v>
      </c>
      <c r="Q283" s="137" t="s">
        <v>89</v>
      </c>
      <c r="R283" s="137" t="b">
        <v>1</v>
      </c>
      <c r="S283" s="139">
        <v>1</v>
      </c>
      <c r="T283" s="139">
        <v>5.88760110835149E+18</v>
      </c>
    </row>
    <row r="284" spans="3:20">
      <c r="C284" s="24" t="b">
        <v>0</v>
      </c>
      <c r="D284" s="137">
        <v>0</v>
      </c>
      <c r="E284" s="138">
        <v>3</v>
      </c>
      <c r="F284" s="137" t="s">
        <v>85</v>
      </c>
      <c r="G284" s="137">
        <v>2</v>
      </c>
      <c r="H284" s="137">
        <v>0</v>
      </c>
      <c r="I284" s="137">
        <v>1</v>
      </c>
      <c r="J284" s="137">
        <v>10.4625</v>
      </c>
      <c r="K284" s="137" t="s">
        <v>77</v>
      </c>
      <c r="L284" s="137" t="s">
        <v>79</v>
      </c>
      <c r="M284" s="137" t="s">
        <v>93</v>
      </c>
      <c r="N284" s="137" t="b">
        <v>0</v>
      </c>
      <c r="O284" s="137" t="s">
        <v>95</v>
      </c>
      <c r="P284" s="137" t="s">
        <v>83</v>
      </c>
      <c r="Q284" s="137" t="s">
        <v>84</v>
      </c>
      <c r="R284" s="137" t="b">
        <v>0</v>
      </c>
      <c r="S284" s="139">
        <v>0</v>
      </c>
      <c r="T284" s="139">
        <v>1.2328178926896699E+19</v>
      </c>
    </row>
    <row r="285" spans="3:20">
      <c r="C285" s="24" t="b">
        <v>0</v>
      </c>
      <c r="D285" s="137">
        <v>0</v>
      </c>
      <c r="E285" s="138">
        <v>3</v>
      </c>
      <c r="F285" s="137" t="s">
        <v>75</v>
      </c>
      <c r="G285" s="137">
        <v>32</v>
      </c>
      <c r="H285" s="137">
        <v>1</v>
      </c>
      <c r="I285" s="137">
        <v>0</v>
      </c>
      <c r="J285" s="137">
        <v>15.85</v>
      </c>
      <c r="K285" s="137" t="s">
        <v>77</v>
      </c>
      <c r="L285" s="137" t="s">
        <v>79</v>
      </c>
      <c r="M285" s="137" t="s">
        <v>80</v>
      </c>
      <c r="N285" s="137" t="b">
        <v>1</v>
      </c>
      <c r="O285" s="137"/>
      <c r="P285" s="137" t="s">
        <v>83</v>
      </c>
      <c r="Q285" s="137" t="s">
        <v>84</v>
      </c>
      <c r="R285" s="137" t="b">
        <v>0</v>
      </c>
      <c r="S285" s="139">
        <v>1</v>
      </c>
      <c r="T285" s="139">
        <v>1.6385265151726701E+19</v>
      </c>
    </row>
    <row r="286" spans="3:20">
      <c r="C286" s="24" t="b">
        <v>0</v>
      </c>
      <c r="D286" s="137">
        <v>1</v>
      </c>
      <c r="E286" s="138">
        <v>3</v>
      </c>
      <c r="F286" s="137" t="s">
        <v>75</v>
      </c>
      <c r="G286" s="137">
        <v>26</v>
      </c>
      <c r="H286" s="137">
        <v>0</v>
      </c>
      <c r="I286" s="137">
        <v>0</v>
      </c>
      <c r="J286" s="137">
        <v>18.787500000000001</v>
      </c>
      <c r="K286" s="137" t="s">
        <v>82</v>
      </c>
      <c r="L286" s="137" t="s">
        <v>79</v>
      </c>
      <c r="M286" s="137" t="s">
        <v>80</v>
      </c>
      <c r="N286" s="137" t="b">
        <v>1</v>
      </c>
      <c r="O286" s="137"/>
      <c r="P286" s="137" t="s">
        <v>88</v>
      </c>
      <c r="Q286" s="137" t="s">
        <v>89</v>
      </c>
      <c r="R286" s="137" t="b">
        <v>1</v>
      </c>
      <c r="S286" s="139">
        <v>1</v>
      </c>
      <c r="T286" s="139">
        <v>9.4048738362581504E+18</v>
      </c>
    </row>
    <row r="287" spans="3:20">
      <c r="C287" s="24" t="b">
        <v>0</v>
      </c>
      <c r="D287" s="137">
        <v>1</v>
      </c>
      <c r="E287" s="138">
        <v>3</v>
      </c>
      <c r="F287" s="137" t="s">
        <v>85</v>
      </c>
      <c r="G287" s="137">
        <v>16</v>
      </c>
      <c r="H287" s="137">
        <v>0</v>
      </c>
      <c r="I287" s="137">
        <v>0</v>
      </c>
      <c r="J287" s="137">
        <v>7.75</v>
      </c>
      <c r="K287" s="137" t="s">
        <v>90</v>
      </c>
      <c r="L287" s="137" t="s">
        <v>79</v>
      </c>
      <c r="M287" s="137" t="s">
        <v>87</v>
      </c>
      <c r="N287" s="137" t="b">
        <v>0</v>
      </c>
      <c r="O287" s="137"/>
      <c r="P287" s="137" t="s">
        <v>91</v>
      </c>
      <c r="Q287" s="137" t="s">
        <v>89</v>
      </c>
      <c r="R287" s="137" t="b">
        <v>1</v>
      </c>
      <c r="S287" s="139">
        <v>1</v>
      </c>
      <c r="T287" s="139">
        <v>9.0063630858259802E+17</v>
      </c>
    </row>
    <row r="288" spans="3:20">
      <c r="C288" s="24" t="b">
        <v>0</v>
      </c>
      <c r="D288" s="137">
        <v>1</v>
      </c>
      <c r="E288" s="138">
        <v>1</v>
      </c>
      <c r="F288" s="137" t="s">
        <v>75</v>
      </c>
      <c r="G288" s="137">
        <v>40</v>
      </c>
      <c r="H288" s="137">
        <v>0</v>
      </c>
      <c r="I288" s="137">
        <v>0</v>
      </c>
      <c r="J288" s="137">
        <v>31</v>
      </c>
      <c r="K288" s="137" t="s">
        <v>82</v>
      </c>
      <c r="L288" s="137" t="s">
        <v>86</v>
      </c>
      <c r="M288" s="137" t="s">
        <v>80</v>
      </c>
      <c r="N288" s="137" t="b">
        <v>1</v>
      </c>
      <c r="O288" s="137" t="s">
        <v>97</v>
      </c>
      <c r="P288" s="137" t="s">
        <v>88</v>
      </c>
      <c r="Q288" s="137" t="s">
        <v>89</v>
      </c>
      <c r="R288" s="137" t="b">
        <v>1</v>
      </c>
      <c r="S288" s="139">
        <v>0</v>
      </c>
      <c r="T288" s="139">
        <v>8.7739668871390802E+18</v>
      </c>
    </row>
    <row r="289" spans="3:20">
      <c r="C289" s="24" t="b">
        <v>0</v>
      </c>
      <c r="D289" s="137">
        <v>0</v>
      </c>
      <c r="E289" s="138">
        <v>3</v>
      </c>
      <c r="F289" s="137" t="s">
        <v>75</v>
      </c>
      <c r="G289" s="137">
        <v>24</v>
      </c>
      <c r="H289" s="137">
        <v>0</v>
      </c>
      <c r="I289" s="137">
        <v>0</v>
      </c>
      <c r="J289" s="137">
        <v>7.05</v>
      </c>
      <c r="K289" s="137" t="s">
        <v>77</v>
      </c>
      <c r="L289" s="137" t="s">
        <v>79</v>
      </c>
      <c r="M289" s="137" t="s">
        <v>80</v>
      </c>
      <c r="N289" s="137" t="b">
        <v>1</v>
      </c>
      <c r="O289" s="137"/>
      <c r="P289" s="137" t="s">
        <v>83</v>
      </c>
      <c r="Q289" s="137" t="s">
        <v>84</v>
      </c>
      <c r="R289" s="137" t="b">
        <v>1</v>
      </c>
      <c r="S289" s="139">
        <v>1</v>
      </c>
      <c r="T289" s="139">
        <v>5.6381315455515197E+18</v>
      </c>
    </row>
    <row r="290" spans="3:20">
      <c r="C290" s="24" t="b">
        <v>0</v>
      </c>
      <c r="D290" s="137">
        <v>1</v>
      </c>
      <c r="E290" s="138">
        <v>2</v>
      </c>
      <c r="F290" s="137" t="s">
        <v>85</v>
      </c>
      <c r="G290" s="137">
        <v>35</v>
      </c>
      <c r="H290" s="137">
        <v>0</v>
      </c>
      <c r="I290" s="137">
        <v>0</v>
      </c>
      <c r="J290" s="137">
        <v>21</v>
      </c>
      <c r="K290" s="137" t="s">
        <v>77</v>
      </c>
      <c r="L290" s="137" t="s">
        <v>94</v>
      </c>
      <c r="M290" s="137" t="s">
        <v>87</v>
      </c>
      <c r="N290" s="137" t="b">
        <v>0</v>
      </c>
      <c r="O290" s="137"/>
      <c r="P290" s="137" t="s">
        <v>83</v>
      </c>
      <c r="Q290" s="137" t="s">
        <v>89</v>
      </c>
      <c r="R290" s="137" t="b">
        <v>1</v>
      </c>
      <c r="S290" s="139">
        <v>1</v>
      </c>
      <c r="T290" s="139">
        <v>1.7190707729158001E+19</v>
      </c>
    </row>
    <row r="291" spans="3:20">
      <c r="C291" s="24" t="b">
        <v>0</v>
      </c>
      <c r="D291" s="137">
        <v>0</v>
      </c>
      <c r="E291" s="138">
        <v>3</v>
      </c>
      <c r="F291" s="137" t="s">
        <v>75</v>
      </c>
      <c r="G291" s="137">
        <v>22</v>
      </c>
      <c r="H291" s="137">
        <v>0</v>
      </c>
      <c r="I291" s="137">
        <v>0</v>
      </c>
      <c r="J291" s="137">
        <v>7.25</v>
      </c>
      <c r="K291" s="137" t="s">
        <v>77</v>
      </c>
      <c r="L291" s="137" t="s">
        <v>79</v>
      </c>
      <c r="M291" s="137" t="s">
        <v>80</v>
      </c>
      <c r="N291" s="137" t="b">
        <v>1</v>
      </c>
      <c r="O291" s="137"/>
      <c r="P291" s="137" t="s">
        <v>83</v>
      </c>
      <c r="Q291" s="137" t="s">
        <v>84</v>
      </c>
      <c r="R291" s="137" t="b">
        <v>1</v>
      </c>
      <c r="S291" s="139">
        <v>1</v>
      </c>
      <c r="T291" s="139">
        <v>1.53533716193414E+19</v>
      </c>
    </row>
    <row r="292" spans="3:20">
      <c r="C292" s="24" t="b">
        <v>0</v>
      </c>
      <c r="D292" s="137">
        <v>0</v>
      </c>
      <c r="E292" s="138">
        <v>2</v>
      </c>
      <c r="F292" s="137" t="s">
        <v>75</v>
      </c>
      <c r="G292" s="137">
        <v>30</v>
      </c>
      <c r="H292" s="137">
        <v>0</v>
      </c>
      <c r="I292" s="137">
        <v>0</v>
      </c>
      <c r="J292" s="137">
        <v>13</v>
      </c>
      <c r="K292" s="137" t="s">
        <v>77</v>
      </c>
      <c r="L292" s="137" t="s">
        <v>94</v>
      </c>
      <c r="M292" s="137" t="s">
        <v>80</v>
      </c>
      <c r="N292" s="137" t="b">
        <v>1</v>
      </c>
      <c r="O292" s="137"/>
      <c r="P292" s="137" t="s">
        <v>83</v>
      </c>
      <c r="Q292" s="137" t="s">
        <v>84</v>
      </c>
      <c r="R292" s="137" t="b">
        <v>1</v>
      </c>
      <c r="S292" s="139">
        <v>1</v>
      </c>
      <c r="T292" s="139">
        <v>2.9304945046951398E+18</v>
      </c>
    </row>
    <row r="293" spans="3:20">
      <c r="C293" s="24" t="b">
        <v>0</v>
      </c>
      <c r="D293" s="137">
        <v>0</v>
      </c>
      <c r="E293" s="138">
        <v>3</v>
      </c>
      <c r="F293" s="137" t="s">
        <v>75</v>
      </c>
      <c r="G293" s="137"/>
      <c r="H293" s="137">
        <v>1</v>
      </c>
      <c r="I293" s="137">
        <v>0</v>
      </c>
      <c r="J293" s="137">
        <v>7.75</v>
      </c>
      <c r="K293" s="137" t="s">
        <v>90</v>
      </c>
      <c r="L293" s="137" t="s">
        <v>79</v>
      </c>
      <c r="M293" s="137" t="s">
        <v>80</v>
      </c>
      <c r="N293" s="137" t="b">
        <v>1</v>
      </c>
      <c r="O293" s="137"/>
      <c r="P293" s="137" t="s">
        <v>91</v>
      </c>
      <c r="Q293" s="137" t="s">
        <v>84</v>
      </c>
      <c r="R293" s="137" t="b">
        <v>0</v>
      </c>
      <c r="S293" s="139">
        <v>1</v>
      </c>
      <c r="T293" s="139">
        <v>9.7670752698118697E+18</v>
      </c>
    </row>
    <row r="294" spans="3:20">
      <c r="C294" s="24" t="b">
        <v>0</v>
      </c>
      <c r="D294" s="137">
        <v>1</v>
      </c>
      <c r="E294" s="138">
        <v>1</v>
      </c>
      <c r="F294" s="137" t="s">
        <v>85</v>
      </c>
      <c r="G294" s="137">
        <v>31</v>
      </c>
      <c r="H294" s="137">
        <v>1</v>
      </c>
      <c r="I294" s="137">
        <v>0</v>
      </c>
      <c r="J294" s="137">
        <v>113.27500000000001</v>
      </c>
      <c r="K294" s="137" t="s">
        <v>82</v>
      </c>
      <c r="L294" s="137" t="s">
        <v>86</v>
      </c>
      <c r="M294" s="137" t="s">
        <v>87</v>
      </c>
      <c r="N294" s="137" t="b">
        <v>0</v>
      </c>
      <c r="O294" s="137" t="s">
        <v>96</v>
      </c>
      <c r="P294" s="137" t="s">
        <v>88</v>
      </c>
      <c r="Q294" s="137" t="s">
        <v>89</v>
      </c>
      <c r="R294" s="137" t="b">
        <v>0</v>
      </c>
      <c r="S294" s="139">
        <v>0</v>
      </c>
      <c r="T294" s="139">
        <v>7.0318157104987996E+18</v>
      </c>
    </row>
    <row r="295" spans="3:20">
      <c r="C295" s="24" t="b">
        <v>0</v>
      </c>
      <c r="D295" s="137">
        <v>1</v>
      </c>
      <c r="E295" s="138">
        <v>3</v>
      </c>
      <c r="F295" s="137" t="s">
        <v>85</v>
      </c>
      <c r="G295" s="137">
        <v>27</v>
      </c>
      <c r="H295" s="137">
        <v>0</v>
      </c>
      <c r="I295" s="137">
        <v>0</v>
      </c>
      <c r="J295" s="137">
        <v>7.9249999999999998</v>
      </c>
      <c r="K295" s="137" t="s">
        <v>77</v>
      </c>
      <c r="L295" s="137" t="s">
        <v>79</v>
      </c>
      <c r="M295" s="137" t="s">
        <v>87</v>
      </c>
      <c r="N295" s="137" t="b">
        <v>0</v>
      </c>
      <c r="O295" s="137"/>
      <c r="P295" s="137" t="s">
        <v>83</v>
      </c>
      <c r="Q295" s="137" t="s">
        <v>89</v>
      </c>
      <c r="R295" s="137" t="b">
        <v>1</v>
      </c>
      <c r="S295" s="139">
        <v>1</v>
      </c>
      <c r="T295" s="139">
        <v>1.14617239463283E+19</v>
      </c>
    </row>
    <row r="296" spans="3:20">
      <c r="C296" s="24" t="b">
        <v>0</v>
      </c>
      <c r="D296" s="137">
        <v>0</v>
      </c>
      <c r="E296" s="138">
        <v>2</v>
      </c>
      <c r="F296" s="137" t="s">
        <v>75</v>
      </c>
      <c r="G296" s="137">
        <v>42</v>
      </c>
      <c r="H296" s="137">
        <v>1</v>
      </c>
      <c r="I296" s="137">
        <v>0</v>
      </c>
      <c r="J296" s="137">
        <v>27</v>
      </c>
      <c r="K296" s="137" t="s">
        <v>77</v>
      </c>
      <c r="L296" s="137" t="s">
        <v>94</v>
      </c>
      <c r="M296" s="137" t="s">
        <v>80</v>
      </c>
      <c r="N296" s="137" t="b">
        <v>1</v>
      </c>
      <c r="O296" s="137"/>
      <c r="P296" s="137" t="s">
        <v>83</v>
      </c>
      <c r="Q296" s="137" t="s">
        <v>84</v>
      </c>
      <c r="R296" s="137" t="b">
        <v>0</v>
      </c>
      <c r="S296" s="139">
        <v>1</v>
      </c>
      <c r="T296" s="139">
        <v>1.15554903750331E+19</v>
      </c>
    </row>
    <row r="297" spans="3:20">
      <c r="C297" s="24" t="b">
        <v>0</v>
      </c>
      <c r="D297" s="137">
        <v>1</v>
      </c>
      <c r="E297" s="138">
        <v>1</v>
      </c>
      <c r="F297" s="137" t="s">
        <v>85</v>
      </c>
      <c r="G297" s="137">
        <v>32</v>
      </c>
      <c r="H297" s="137">
        <v>0</v>
      </c>
      <c r="I297" s="137">
        <v>0</v>
      </c>
      <c r="J297" s="137">
        <v>76.291700000000006</v>
      </c>
      <c r="K297" s="137" t="s">
        <v>82</v>
      </c>
      <c r="L297" s="137" t="s">
        <v>86</v>
      </c>
      <c r="M297" s="137" t="s">
        <v>87</v>
      </c>
      <c r="N297" s="137" t="b">
        <v>0</v>
      </c>
      <c r="O297" s="137" t="s">
        <v>96</v>
      </c>
      <c r="P297" s="137" t="s">
        <v>88</v>
      </c>
      <c r="Q297" s="137" t="s">
        <v>89</v>
      </c>
      <c r="R297" s="137" t="b">
        <v>1</v>
      </c>
      <c r="S297" s="139">
        <v>0</v>
      </c>
      <c r="T297" s="139">
        <v>3.8735011679899699E+18</v>
      </c>
    </row>
    <row r="298" spans="3:20">
      <c r="C298" s="24" t="b">
        <v>0</v>
      </c>
      <c r="D298" s="137">
        <v>0</v>
      </c>
      <c r="E298" s="138">
        <v>2</v>
      </c>
      <c r="F298" s="137" t="s">
        <v>75</v>
      </c>
      <c r="G298" s="137">
        <v>30</v>
      </c>
      <c r="H298" s="137">
        <v>0</v>
      </c>
      <c r="I298" s="137">
        <v>0</v>
      </c>
      <c r="J298" s="137">
        <v>10.5</v>
      </c>
      <c r="K298" s="137" t="s">
        <v>77</v>
      </c>
      <c r="L298" s="137" t="s">
        <v>94</v>
      </c>
      <c r="M298" s="137" t="s">
        <v>80</v>
      </c>
      <c r="N298" s="137" t="b">
        <v>1</v>
      </c>
      <c r="O298" s="137"/>
      <c r="P298" s="137" t="s">
        <v>83</v>
      </c>
      <c r="Q298" s="137" t="s">
        <v>84</v>
      </c>
      <c r="R298" s="137" t="b">
        <v>1</v>
      </c>
      <c r="S298" s="139">
        <v>1</v>
      </c>
      <c r="T298" s="139">
        <v>1.25847394563066E+19</v>
      </c>
    </row>
    <row r="299" spans="3:20">
      <c r="C299" s="24" t="b">
        <v>0</v>
      </c>
      <c r="D299" s="137">
        <v>1</v>
      </c>
      <c r="E299" s="138">
        <v>3</v>
      </c>
      <c r="F299" s="137" t="s">
        <v>75</v>
      </c>
      <c r="G299" s="137">
        <v>16</v>
      </c>
      <c r="H299" s="137">
        <v>0</v>
      </c>
      <c r="I299" s="137">
        <v>0</v>
      </c>
      <c r="J299" s="137">
        <v>8.0500000000000007</v>
      </c>
      <c r="K299" s="137" t="s">
        <v>77</v>
      </c>
      <c r="L299" s="137" t="s">
        <v>79</v>
      </c>
      <c r="M299" s="137" t="s">
        <v>80</v>
      </c>
      <c r="N299" s="137" t="b">
        <v>1</v>
      </c>
      <c r="O299" s="137"/>
      <c r="P299" s="137" t="s">
        <v>83</v>
      </c>
      <c r="Q299" s="137" t="s">
        <v>89</v>
      </c>
      <c r="R299" s="137" t="b">
        <v>1</v>
      </c>
      <c r="S299" s="139">
        <v>1</v>
      </c>
      <c r="T299" s="139">
        <v>9.4642128096749901E+17</v>
      </c>
    </row>
    <row r="300" spans="3:20">
      <c r="C300" s="24" t="b">
        <v>0</v>
      </c>
      <c r="D300" s="137">
        <v>0</v>
      </c>
      <c r="E300" s="138">
        <v>2</v>
      </c>
      <c r="F300" s="137" t="s">
        <v>75</v>
      </c>
      <c r="G300" s="137">
        <v>27</v>
      </c>
      <c r="H300" s="137">
        <v>0</v>
      </c>
      <c r="I300" s="137">
        <v>0</v>
      </c>
      <c r="J300" s="137">
        <v>13</v>
      </c>
      <c r="K300" s="137" t="s">
        <v>77</v>
      </c>
      <c r="L300" s="137" t="s">
        <v>94</v>
      </c>
      <c r="M300" s="137" t="s">
        <v>80</v>
      </c>
      <c r="N300" s="137" t="b">
        <v>1</v>
      </c>
      <c r="O300" s="137"/>
      <c r="P300" s="137" t="s">
        <v>83</v>
      </c>
      <c r="Q300" s="137" t="s">
        <v>84</v>
      </c>
      <c r="R300" s="137" t="b">
        <v>1</v>
      </c>
      <c r="S300" s="139">
        <v>1</v>
      </c>
      <c r="T300" s="139">
        <v>9.7019234227305103E+18</v>
      </c>
    </row>
    <row r="301" spans="3:20">
      <c r="C301" s="24" t="b">
        <v>0</v>
      </c>
      <c r="D301" s="137">
        <v>0</v>
      </c>
      <c r="E301" s="138">
        <v>3</v>
      </c>
      <c r="F301" s="137" t="s">
        <v>75</v>
      </c>
      <c r="G301" s="137">
        <v>51</v>
      </c>
      <c r="H301" s="137">
        <v>0</v>
      </c>
      <c r="I301" s="137">
        <v>0</v>
      </c>
      <c r="J301" s="137">
        <v>8.0500000000000007</v>
      </c>
      <c r="K301" s="137" t="s">
        <v>77</v>
      </c>
      <c r="L301" s="137" t="s">
        <v>79</v>
      </c>
      <c r="M301" s="137" t="s">
        <v>80</v>
      </c>
      <c r="N301" s="137" t="b">
        <v>1</v>
      </c>
      <c r="O301" s="137"/>
      <c r="P301" s="137" t="s">
        <v>83</v>
      </c>
      <c r="Q301" s="137" t="s">
        <v>84</v>
      </c>
      <c r="R301" s="137" t="b">
        <v>1</v>
      </c>
      <c r="S301" s="139">
        <v>1</v>
      </c>
      <c r="T301" s="139">
        <v>1.71921041368663E+19</v>
      </c>
    </row>
    <row r="302" spans="3:20">
      <c r="C302" s="24" t="b">
        <v>0</v>
      </c>
      <c r="D302" s="137">
        <v>0</v>
      </c>
      <c r="E302" s="138">
        <v>3</v>
      </c>
      <c r="F302" s="137" t="s">
        <v>75</v>
      </c>
      <c r="G302" s="137"/>
      <c r="H302" s="137">
        <v>0</v>
      </c>
      <c r="I302" s="137">
        <v>0</v>
      </c>
      <c r="J302" s="137">
        <v>7.8958000000000004</v>
      </c>
      <c r="K302" s="137" t="s">
        <v>77</v>
      </c>
      <c r="L302" s="137" t="s">
        <v>79</v>
      </c>
      <c r="M302" s="137" t="s">
        <v>80</v>
      </c>
      <c r="N302" s="137" t="b">
        <v>1</v>
      </c>
      <c r="O302" s="137"/>
      <c r="P302" s="137" t="s">
        <v>83</v>
      </c>
      <c r="Q302" s="137" t="s">
        <v>84</v>
      </c>
      <c r="R302" s="137" t="b">
        <v>1</v>
      </c>
      <c r="S302" s="139">
        <v>1</v>
      </c>
      <c r="T302" s="139">
        <v>1.7970467560381901E+19</v>
      </c>
    </row>
    <row r="303" spans="3:20">
      <c r="C303" s="24" t="b">
        <v>0</v>
      </c>
      <c r="D303" s="137">
        <v>1</v>
      </c>
      <c r="E303" s="138">
        <v>1</v>
      </c>
      <c r="F303" s="137" t="s">
        <v>75</v>
      </c>
      <c r="G303" s="137">
        <v>38</v>
      </c>
      <c r="H303" s="137">
        <v>1</v>
      </c>
      <c r="I303" s="137">
        <v>0</v>
      </c>
      <c r="J303" s="137">
        <v>90</v>
      </c>
      <c r="K303" s="137" t="s">
        <v>77</v>
      </c>
      <c r="L303" s="137" t="s">
        <v>86</v>
      </c>
      <c r="M303" s="137" t="s">
        <v>80</v>
      </c>
      <c r="N303" s="137" t="b">
        <v>1</v>
      </c>
      <c r="O303" s="137" t="s">
        <v>82</v>
      </c>
      <c r="P303" s="137" t="s">
        <v>83</v>
      </c>
      <c r="Q303" s="137" t="s">
        <v>89</v>
      </c>
      <c r="R303" s="137" t="b">
        <v>0</v>
      </c>
      <c r="S303" s="139">
        <v>0</v>
      </c>
      <c r="T303" s="139">
        <v>1.24012483505058E+19</v>
      </c>
    </row>
    <row r="304" spans="3:20">
      <c r="C304" s="24" t="b">
        <v>0</v>
      </c>
      <c r="D304" s="137">
        <v>0</v>
      </c>
      <c r="E304" s="138">
        <v>3</v>
      </c>
      <c r="F304" s="137" t="s">
        <v>75</v>
      </c>
      <c r="G304" s="137">
        <v>22</v>
      </c>
      <c r="H304" s="137">
        <v>0</v>
      </c>
      <c r="I304" s="137">
        <v>0</v>
      </c>
      <c r="J304" s="137">
        <v>9.35</v>
      </c>
      <c r="K304" s="137" t="s">
        <v>77</v>
      </c>
      <c r="L304" s="137" t="s">
        <v>79</v>
      </c>
      <c r="M304" s="137" t="s">
        <v>80</v>
      </c>
      <c r="N304" s="137" t="b">
        <v>1</v>
      </c>
      <c r="O304" s="137"/>
      <c r="P304" s="137" t="s">
        <v>83</v>
      </c>
      <c r="Q304" s="137" t="s">
        <v>84</v>
      </c>
      <c r="R304" s="137" t="b">
        <v>1</v>
      </c>
      <c r="S304" s="139">
        <v>1</v>
      </c>
      <c r="T304" s="139">
        <v>3.8798915891575598E+18</v>
      </c>
    </row>
    <row r="305" spans="3:20">
      <c r="C305" s="24" t="b">
        <v>0</v>
      </c>
      <c r="D305" s="137">
        <v>1</v>
      </c>
      <c r="E305" s="138">
        <v>2</v>
      </c>
      <c r="F305" s="137" t="s">
        <v>75</v>
      </c>
      <c r="G305" s="137">
        <v>19</v>
      </c>
      <c r="H305" s="137">
        <v>0</v>
      </c>
      <c r="I305" s="137">
        <v>0</v>
      </c>
      <c r="J305" s="137">
        <v>10.5</v>
      </c>
      <c r="K305" s="137" t="s">
        <v>77</v>
      </c>
      <c r="L305" s="137" t="s">
        <v>94</v>
      </c>
      <c r="M305" s="137" t="s">
        <v>80</v>
      </c>
      <c r="N305" s="137" t="b">
        <v>1</v>
      </c>
      <c r="O305" s="137"/>
      <c r="P305" s="137" t="s">
        <v>83</v>
      </c>
      <c r="Q305" s="137" t="s">
        <v>89</v>
      </c>
      <c r="R305" s="137" t="b">
        <v>1</v>
      </c>
      <c r="S305" s="139">
        <v>1</v>
      </c>
      <c r="T305" s="139">
        <v>1.5763582224303901E+19</v>
      </c>
    </row>
    <row r="306" spans="3:20">
      <c r="C306" s="24" t="b">
        <v>0</v>
      </c>
      <c r="D306" s="137">
        <v>0</v>
      </c>
      <c r="E306" s="138">
        <v>3</v>
      </c>
      <c r="F306" s="137" t="s">
        <v>75</v>
      </c>
      <c r="G306" s="137">
        <v>20.5</v>
      </c>
      <c r="H306" s="137">
        <v>0</v>
      </c>
      <c r="I306" s="137">
        <v>0</v>
      </c>
      <c r="J306" s="137">
        <v>7.25</v>
      </c>
      <c r="K306" s="137" t="s">
        <v>77</v>
      </c>
      <c r="L306" s="137" t="s">
        <v>79</v>
      </c>
      <c r="M306" s="137" t="s">
        <v>80</v>
      </c>
      <c r="N306" s="137" t="b">
        <v>1</v>
      </c>
      <c r="O306" s="137"/>
      <c r="P306" s="137" t="s">
        <v>83</v>
      </c>
      <c r="Q306" s="137" t="s">
        <v>84</v>
      </c>
      <c r="R306" s="137" t="b">
        <v>1</v>
      </c>
      <c r="S306" s="139">
        <v>1</v>
      </c>
      <c r="T306" s="139">
        <v>1.2375040812648801E+18</v>
      </c>
    </row>
    <row r="307" spans="3:20">
      <c r="C307" s="24" t="b">
        <v>0</v>
      </c>
      <c r="D307" s="137">
        <v>0</v>
      </c>
      <c r="E307" s="138">
        <v>2</v>
      </c>
      <c r="F307" s="137" t="s">
        <v>75</v>
      </c>
      <c r="G307" s="137">
        <v>18</v>
      </c>
      <c r="H307" s="137">
        <v>0</v>
      </c>
      <c r="I307" s="137">
        <v>0</v>
      </c>
      <c r="J307" s="137">
        <v>13</v>
      </c>
      <c r="K307" s="137" t="s">
        <v>77</v>
      </c>
      <c r="L307" s="137" t="s">
        <v>94</v>
      </c>
      <c r="M307" s="137" t="s">
        <v>80</v>
      </c>
      <c r="N307" s="137" t="b">
        <v>1</v>
      </c>
      <c r="O307" s="137"/>
      <c r="P307" s="137" t="s">
        <v>83</v>
      </c>
      <c r="Q307" s="137" t="s">
        <v>84</v>
      </c>
      <c r="R307" s="137" t="b">
        <v>1</v>
      </c>
      <c r="S307" s="139">
        <v>1</v>
      </c>
      <c r="T307" s="139">
        <v>8.1203815258330798E+18</v>
      </c>
    </row>
    <row r="308" spans="3:20">
      <c r="C308" s="24" t="b">
        <v>0</v>
      </c>
      <c r="D308" s="137">
        <v>0</v>
      </c>
      <c r="E308" s="138">
        <v>3</v>
      </c>
      <c r="F308" s="137" t="s">
        <v>85</v>
      </c>
      <c r="G308" s="137"/>
      <c r="H308" s="137">
        <v>3</v>
      </c>
      <c r="I308" s="137">
        <v>1</v>
      </c>
      <c r="J308" s="137">
        <v>25.466699999999999</v>
      </c>
      <c r="K308" s="137" t="s">
        <v>77</v>
      </c>
      <c r="L308" s="137" t="s">
        <v>79</v>
      </c>
      <c r="M308" s="137" t="s">
        <v>87</v>
      </c>
      <c r="N308" s="137" t="b">
        <v>0</v>
      </c>
      <c r="O308" s="137"/>
      <c r="P308" s="137" t="s">
        <v>83</v>
      </c>
      <c r="Q308" s="137" t="s">
        <v>84</v>
      </c>
      <c r="R308" s="137" t="b">
        <v>0</v>
      </c>
      <c r="S308" s="139">
        <v>1</v>
      </c>
      <c r="T308" s="139">
        <v>1.80108942157732E+19</v>
      </c>
    </row>
    <row r="309" spans="3:20">
      <c r="C309" s="24" t="b">
        <v>0</v>
      </c>
      <c r="D309" s="137">
        <v>1</v>
      </c>
      <c r="E309" s="138">
        <v>1</v>
      </c>
      <c r="F309" s="137" t="s">
        <v>85</v>
      </c>
      <c r="G309" s="137">
        <v>35</v>
      </c>
      <c r="H309" s="137">
        <v>1</v>
      </c>
      <c r="I309" s="137">
        <v>0</v>
      </c>
      <c r="J309" s="137">
        <v>83.474999999999994</v>
      </c>
      <c r="K309" s="137" t="s">
        <v>77</v>
      </c>
      <c r="L309" s="137" t="s">
        <v>86</v>
      </c>
      <c r="M309" s="137" t="s">
        <v>87</v>
      </c>
      <c r="N309" s="137" t="b">
        <v>0</v>
      </c>
      <c r="O309" s="137" t="s">
        <v>82</v>
      </c>
      <c r="P309" s="137" t="s">
        <v>83</v>
      </c>
      <c r="Q309" s="137" t="s">
        <v>89</v>
      </c>
      <c r="R309" s="137" t="b">
        <v>0</v>
      </c>
      <c r="S309" s="139">
        <v>0</v>
      </c>
      <c r="T309" s="139">
        <v>1.2203098860426199E+19</v>
      </c>
    </row>
    <row r="310" spans="3:20">
      <c r="C310" s="24" t="b">
        <v>0</v>
      </c>
      <c r="D310" s="137">
        <v>0</v>
      </c>
      <c r="E310" s="138">
        <v>3</v>
      </c>
      <c r="F310" s="137" t="s">
        <v>75</v>
      </c>
      <c r="G310" s="137">
        <v>29</v>
      </c>
      <c r="H310" s="137">
        <v>0</v>
      </c>
      <c r="I310" s="137">
        <v>0</v>
      </c>
      <c r="J310" s="137">
        <v>7.7750000000000004</v>
      </c>
      <c r="K310" s="137" t="s">
        <v>77</v>
      </c>
      <c r="L310" s="137" t="s">
        <v>79</v>
      </c>
      <c r="M310" s="137" t="s">
        <v>80</v>
      </c>
      <c r="N310" s="137" t="b">
        <v>1</v>
      </c>
      <c r="O310" s="137"/>
      <c r="P310" s="137" t="s">
        <v>83</v>
      </c>
      <c r="Q310" s="137" t="s">
        <v>84</v>
      </c>
      <c r="R310" s="137" t="b">
        <v>1</v>
      </c>
      <c r="S310" s="139">
        <v>1</v>
      </c>
      <c r="T310" s="139">
        <v>7.6956216161629798E+18</v>
      </c>
    </row>
    <row r="311" spans="3:20">
      <c r="C311" s="24" t="b">
        <v>0</v>
      </c>
      <c r="D311" s="137">
        <v>0</v>
      </c>
      <c r="E311" s="138">
        <v>2</v>
      </c>
      <c r="F311" s="137" t="s">
        <v>75</v>
      </c>
      <c r="G311" s="137">
        <v>59</v>
      </c>
      <c r="H311" s="137">
        <v>0</v>
      </c>
      <c r="I311" s="137">
        <v>0</v>
      </c>
      <c r="J311" s="137">
        <v>13.5</v>
      </c>
      <c r="K311" s="137" t="s">
        <v>77</v>
      </c>
      <c r="L311" s="137" t="s">
        <v>94</v>
      </c>
      <c r="M311" s="137" t="s">
        <v>80</v>
      </c>
      <c r="N311" s="137" t="b">
        <v>1</v>
      </c>
      <c r="O311" s="137"/>
      <c r="P311" s="137" t="s">
        <v>83</v>
      </c>
      <c r="Q311" s="137" t="s">
        <v>84</v>
      </c>
      <c r="R311" s="137" t="b">
        <v>1</v>
      </c>
      <c r="S311" s="139">
        <v>1</v>
      </c>
      <c r="T311" s="139">
        <v>2.8973609836313902E+18</v>
      </c>
    </row>
    <row r="312" spans="3:20">
      <c r="C312" s="24" t="b">
        <v>0</v>
      </c>
      <c r="D312" s="137">
        <v>1</v>
      </c>
      <c r="E312" s="138">
        <v>3</v>
      </c>
      <c r="F312" s="137" t="s">
        <v>85</v>
      </c>
      <c r="G312" s="137">
        <v>5</v>
      </c>
      <c r="H312" s="137">
        <v>4</v>
      </c>
      <c r="I312" s="137">
        <v>2</v>
      </c>
      <c r="J312" s="137">
        <v>31.387499999999999</v>
      </c>
      <c r="K312" s="137" t="s">
        <v>77</v>
      </c>
      <c r="L312" s="137" t="s">
        <v>79</v>
      </c>
      <c r="M312" s="137" t="s">
        <v>93</v>
      </c>
      <c r="N312" s="137" t="b">
        <v>0</v>
      </c>
      <c r="O312" s="137"/>
      <c r="P312" s="137" t="s">
        <v>83</v>
      </c>
      <c r="Q312" s="137" t="s">
        <v>89</v>
      </c>
      <c r="R312" s="137" t="b">
        <v>0</v>
      </c>
      <c r="S312" s="139">
        <v>1</v>
      </c>
      <c r="T312" s="139">
        <v>1.5363454117979601E+19</v>
      </c>
    </row>
    <row r="313" spans="3:20">
      <c r="C313" s="24" t="b">
        <v>0</v>
      </c>
      <c r="D313" s="137">
        <v>0</v>
      </c>
      <c r="E313" s="138">
        <v>2</v>
      </c>
      <c r="F313" s="137" t="s">
        <v>75</v>
      </c>
      <c r="G313" s="137">
        <v>24</v>
      </c>
      <c r="H313" s="137">
        <v>0</v>
      </c>
      <c r="I313" s="137">
        <v>0</v>
      </c>
      <c r="J313" s="137">
        <v>10.5</v>
      </c>
      <c r="K313" s="137" t="s">
        <v>77</v>
      </c>
      <c r="L313" s="137" t="s">
        <v>94</v>
      </c>
      <c r="M313" s="137" t="s">
        <v>80</v>
      </c>
      <c r="N313" s="137" t="b">
        <v>1</v>
      </c>
      <c r="O313" s="137"/>
      <c r="P313" s="137" t="s">
        <v>83</v>
      </c>
      <c r="Q313" s="137" t="s">
        <v>84</v>
      </c>
      <c r="R313" s="137" t="b">
        <v>1</v>
      </c>
      <c r="S313" s="139">
        <v>1</v>
      </c>
      <c r="T313" s="139">
        <v>8.2320392417077002E+18</v>
      </c>
    </row>
    <row r="314" spans="3:20">
      <c r="C314" s="24" t="b">
        <v>0</v>
      </c>
      <c r="D314" s="137">
        <v>0</v>
      </c>
      <c r="E314" s="138">
        <v>3</v>
      </c>
      <c r="F314" s="137" t="s">
        <v>85</v>
      </c>
      <c r="G314" s="137"/>
      <c r="H314" s="137">
        <v>0</v>
      </c>
      <c r="I314" s="137">
        <v>0</v>
      </c>
      <c r="J314" s="137">
        <v>7.55</v>
      </c>
      <c r="K314" s="137" t="s">
        <v>77</v>
      </c>
      <c r="L314" s="137" t="s">
        <v>79</v>
      </c>
      <c r="M314" s="137" t="s">
        <v>87</v>
      </c>
      <c r="N314" s="137" t="b">
        <v>0</v>
      </c>
      <c r="O314" s="137"/>
      <c r="P314" s="137" t="s">
        <v>83</v>
      </c>
      <c r="Q314" s="137" t="s">
        <v>84</v>
      </c>
      <c r="R314" s="137" t="b">
        <v>1</v>
      </c>
      <c r="S314" s="139">
        <v>1</v>
      </c>
      <c r="T314" s="139">
        <v>6.9088770639434496E+18</v>
      </c>
    </row>
    <row r="315" spans="3:20">
      <c r="C315" s="24" t="b">
        <v>0</v>
      </c>
      <c r="D315" s="137">
        <v>0</v>
      </c>
      <c r="E315" s="138">
        <v>2</v>
      </c>
      <c r="F315" s="137" t="s">
        <v>75</v>
      </c>
      <c r="G315" s="137">
        <v>44</v>
      </c>
      <c r="H315" s="137">
        <v>1</v>
      </c>
      <c r="I315" s="137">
        <v>0</v>
      </c>
      <c r="J315" s="137">
        <v>26</v>
      </c>
      <c r="K315" s="137" t="s">
        <v>77</v>
      </c>
      <c r="L315" s="137" t="s">
        <v>94</v>
      </c>
      <c r="M315" s="137" t="s">
        <v>80</v>
      </c>
      <c r="N315" s="137" t="b">
        <v>1</v>
      </c>
      <c r="O315" s="137"/>
      <c r="P315" s="137" t="s">
        <v>83</v>
      </c>
      <c r="Q315" s="137" t="s">
        <v>84</v>
      </c>
      <c r="R315" s="137" t="b">
        <v>0</v>
      </c>
      <c r="S315" s="139">
        <v>1</v>
      </c>
      <c r="T315" s="139">
        <v>1.6441809334955801E+19</v>
      </c>
    </row>
    <row r="316" spans="3:20">
      <c r="C316" s="24" t="b">
        <v>0</v>
      </c>
      <c r="D316" s="137">
        <v>1</v>
      </c>
      <c r="E316" s="138">
        <v>2</v>
      </c>
      <c r="F316" s="137" t="s">
        <v>85</v>
      </c>
      <c r="G316" s="137">
        <v>8</v>
      </c>
      <c r="H316" s="137">
        <v>0</v>
      </c>
      <c r="I316" s="137">
        <v>2</v>
      </c>
      <c r="J316" s="137">
        <v>26.25</v>
      </c>
      <c r="K316" s="137" t="s">
        <v>77</v>
      </c>
      <c r="L316" s="137" t="s">
        <v>94</v>
      </c>
      <c r="M316" s="137" t="s">
        <v>93</v>
      </c>
      <c r="N316" s="137" t="b">
        <v>0</v>
      </c>
      <c r="O316" s="137"/>
      <c r="P316" s="137" t="s">
        <v>83</v>
      </c>
      <c r="Q316" s="137" t="s">
        <v>89</v>
      </c>
      <c r="R316" s="137" t="b">
        <v>0</v>
      </c>
      <c r="S316" s="139">
        <v>1</v>
      </c>
      <c r="T316" s="139">
        <v>8.3003135876204301E+17</v>
      </c>
    </row>
    <row r="317" spans="3:20">
      <c r="C317" s="24" t="b">
        <v>0</v>
      </c>
      <c r="D317" s="137">
        <v>0</v>
      </c>
      <c r="E317" s="138">
        <v>2</v>
      </c>
      <c r="F317" s="137" t="s">
        <v>75</v>
      </c>
      <c r="G317" s="137">
        <v>19</v>
      </c>
      <c r="H317" s="137">
        <v>0</v>
      </c>
      <c r="I317" s="137">
        <v>0</v>
      </c>
      <c r="J317" s="137">
        <v>10.5</v>
      </c>
      <c r="K317" s="137" t="s">
        <v>77</v>
      </c>
      <c r="L317" s="137" t="s">
        <v>94</v>
      </c>
      <c r="M317" s="137" t="s">
        <v>80</v>
      </c>
      <c r="N317" s="137" t="b">
        <v>1</v>
      </c>
      <c r="O317" s="137"/>
      <c r="P317" s="137" t="s">
        <v>83</v>
      </c>
      <c r="Q317" s="137" t="s">
        <v>84</v>
      </c>
      <c r="R317" s="137" t="b">
        <v>1</v>
      </c>
      <c r="S317" s="139">
        <v>1</v>
      </c>
      <c r="T317" s="139">
        <v>8.5347755811743296E+17</v>
      </c>
    </row>
    <row r="318" spans="3:20">
      <c r="C318" s="24" t="b">
        <v>0</v>
      </c>
      <c r="D318" s="137">
        <v>0</v>
      </c>
      <c r="E318" s="138">
        <v>2</v>
      </c>
      <c r="F318" s="137" t="s">
        <v>75</v>
      </c>
      <c r="G318" s="137">
        <v>33</v>
      </c>
      <c r="H318" s="137">
        <v>0</v>
      </c>
      <c r="I318" s="137">
        <v>0</v>
      </c>
      <c r="J318" s="137">
        <v>12.275</v>
      </c>
      <c r="K318" s="137" t="s">
        <v>77</v>
      </c>
      <c r="L318" s="137" t="s">
        <v>94</v>
      </c>
      <c r="M318" s="137" t="s">
        <v>80</v>
      </c>
      <c r="N318" s="137" t="b">
        <v>1</v>
      </c>
      <c r="O318" s="137"/>
      <c r="P318" s="137" t="s">
        <v>83</v>
      </c>
      <c r="Q318" s="137" t="s">
        <v>84</v>
      </c>
      <c r="R318" s="137" t="b">
        <v>1</v>
      </c>
      <c r="S318" s="139">
        <v>1</v>
      </c>
      <c r="T318" s="139">
        <v>1.57619705543494E+19</v>
      </c>
    </row>
    <row r="319" spans="3:20">
      <c r="C319" s="24" t="b">
        <v>0</v>
      </c>
      <c r="D319" s="137">
        <v>0</v>
      </c>
      <c r="E319" s="138">
        <v>3</v>
      </c>
      <c r="F319" s="137" t="s">
        <v>85</v>
      </c>
      <c r="G319" s="137"/>
      <c r="H319" s="137">
        <v>1</v>
      </c>
      <c r="I319" s="137">
        <v>0</v>
      </c>
      <c r="J319" s="137">
        <v>14.4542</v>
      </c>
      <c r="K319" s="137" t="s">
        <v>82</v>
      </c>
      <c r="L319" s="137" t="s">
        <v>79</v>
      </c>
      <c r="M319" s="137" t="s">
        <v>87</v>
      </c>
      <c r="N319" s="137" t="b">
        <v>0</v>
      </c>
      <c r="O319" s="137"/>
      <c r="P319" s="137" t="s">
        <v>88</v>
      </c>
      <c r="Q319" s="137" t="s">
        <v>84</v>
      </c>
      <c r="R319" s="137" t="b">
        <v>0</v>
      </c>
      <c r="S319" s="139">
        <v>1</v>
      </c>
      <c r="T319" s="139">
        <v>2.1090869766638999E+18</v>
      </c>
    </row>
    <row r="320" spans="3:20">
      <c r="C320" s="24" t="b">
        <v>0</v>
      </c>
      <c r="D320" s="137">
        <v>1</v>
      </c>
      <c r="E320" s="138">
        <v>3</v>
      </c>
      <c r="F320" s="137" t="s">
        <v>85</v>
      </c>
      <c r="G320" s="137"/>
      <c r="H320" s="137">
        <v>1</v>
      </c>
      <c r="I320" s="137">
        <v>0</v>
      </c>
      <c r="J320" s="137">
        <v>15.5</v>
      </c>
      <c r="K320" s="137" t="s">
        <v>90</v>
      </c>
      <c r="L320" s="137" t="s">
        <v>79</v>
      </c>
      <c r="M320" s="137" t="s">
        <v>87</v>
      </c>
      <c r="N320" s="137" t="b">
        <v>0</v>
      </c>
      <c r="O320" s="137"/>
      <c r="P320" s="137" t="s">
        <v>91</v>
      </c>
      <c r="Q320" s="137" t="s">
        <v>89</v>
      </c>
      <c r="R320" s="137" t="b">
        <v>0</v>
      </c>
      <c r="S320" s="139">
        <v>1</v>
      </c>
      <c r="T320" s="139">
        <v>6.4154019982692997E+18</v>
      </c>
    </row>
    <row r="321" spans="3:20">
      <c r="C321" s="24" t="b">
        <v>0</v>
      </c>
      <c r="D321" s="137">
        <v>0</v>
      </c>
      <c r="E321" s="138">
        <v>2</v>
      </c>
      <c r="F321" s="137" t="s">
        <v>75</v>
      </c>
      <c r="G321" s="137">
        <v>29</v>
      </c>
      <c r="H321" s="137">
        <v>0</v>
      </c>
      <c r="I321" s="137">
        <v>0</v>
      </c>
      <c r="J321" s="137">
        <v>10.5</v>
      </c>
      <c r="K321" s="137" t="s">
        <v>77</v>
      </c>
      <c r="L321" s="137" t="s">
        <v>94</v>
      </c>
      <c r="M321" s="137" t="s">
        <v>80</v>
      </c>
      <c r="N321" s="137" t="b">
        <v>1</v>
      </c>
      <c r="O321" s="137"/>
      <c r="P321" s="137" t="s">
        <v>83</v>
      </c>
      <c r="Q321" s="137" t="s">
        <v>84</v>
      </c>
      <c r="R321" s="137" t="b">
        <v>1</v>
      </c>
      <c r="S321" s="139">
        <v>1</v>
      </c>
      <c r="T321" s="139">
        <v>7.0743552935355095E+18</v>
      </c>
    </row>
    <row r="322" spans="3:20">
      <c r="C322" s="24" t="b">
        <v>0</v>
      </c>
      <c r="D322" s="137">
        <v>0</v>
      </c>
      <c r="E322" s="138">
        <v>3</v>
      </c>
      <c r="F322" s="137" t="s">
        <v>75</v>
      </c>
      <c r="G322" s="137">
        <v>22</v>
      </c>
      <c r="H322" s="137">
        <v>0</v>
      </c>
      <c r="I322" s="137">
        <v>0</v>
      </c>
      <c r="J322" s="137">
        <v>7.125</v>
      </c>
      <c r="K322" s="137" t="s">
        <v>77</v>
      </c>
      <c r="L322" s="137" t="s">
        <v>79</v>
      </c>
      <c r="M322" s="137" t="s">
        <v>80</v>
      </c>
      <c r="N322" s="137" t="b">
        <v>1</v>
      </c>
      <c r="O322" s="137"/>
      <c r="P322" s="137" t="s">
        <v>83</v>
      </c>
      <c r="Q322" s="137" t="s">
        <v>84</v>
      </c>
      <c r="R322" s="137" t="b">
        <v>1</v>
      </c>
      <c r="S322" s="139">
        <v>1</v>
      </c>
      <c r="T322" s="139">
        <v>6.7856652876754903E+18</v>
      </c>
    </row>
    <row r="323" spans="3:20">
      <c r="C323" s="24" t="b">
        <v>0</v>
      </c>
      <c r="D323" s="137">
        <v>0</v>
      </c>
      <c r="E323" s="138">
        <v>3</v>
      </c>
      <c r="F323" s="137" t="s">
        <v>75</v>
      </c>
      <c r="G323" s="137">
        <v>30</v>
      </c>
      <c r="H323" s="137">
        <v>0</v>
      </c>
      <c r="I323" s="137">
        <v>0</v>
      </c>
      <c r="J323" s="137">
        <v>7.2249999999999996</v>
      </c>
      <c r="K323" s="137" t="s">
        <v>82</v>
      </c>
      <c r="L323" s="137" t="s">
        <v>79</v>
      </c>
      <c r="M323" s="137" t="s">
        <v>80</v>
      </c>
      <c r="N323" s="137" t="b">
        <v>1</v>
      </c>
      <c r="O323" s="137"/>
      <c r="P323" s="137" t="s">
        <v>88</v>
      </c>
      <c r="Q323" s="137" t="s">
        <v>84</v>
      </c>
      <c r="R323" s="137" t="b">
        <v>1</v>
      </c>
      <c r="S323" s="139">
        <v>1</v>
      </c>
      <c r="T323" s="139">
        <v>1.7308696645677601E+19</v>
      </c>
    </row>
    <row r="324" spans="3:20">
      <c r="C324" s="24" t="b">
        <v>0</v>
      </c>
      <c r="D324" s="137">
        <v>0</v>
      </c>
      <c r="E324" s="138">
        <v>1</v>
      </c>
      <c r="F324" s="137" t="s">
        <v>75</v>
      </c>
      <c r="G324" s="137">
        <v>44</v>
      </c>
      <c r="H324" s="137">
        <v>2</v>
      </c>
      <c r="I324" s="137">
        <v>0</v>
      </c>
      <c r="J324" s="137">
        <v>90</v>
      </c>
      <c r="K324" s="137" t="s">
        <v>90</v>
      </c>
      <c r="L324" s="137" t="s">
        <v>86</v>
      </c>
      <c r="M324" s="137" t="s">
        <v>80</v>
      </c>
      <c r="N324" s="137" t="b">
        <v>1</v>
      </c>
      <c r="O324" s="137" t="s">
        <v>82</v>
      </c>
      <c r="P324" s="137" t="s">
        <v>91</v>
      </c>
      <c r="Q324" s="137" t="s">
        <v>84</v>
      </c>
      <c r="R324" s="137" t="b">
        <v>0</v>
      </c>
      <c r="S324" s="139">
        <v>0</v>
      </c>
      <c r="T324" s="139">
        <v>1.3086341214419E+17</v>
      </c>
    </row>
    <row r="325" spans="3:20">
      <c r="C325" s="24" t="b">
        <v>0</v>
      </c>
      <c r="D325" s="137">
        <v>0</v>
      </c>
      <c r="E325" s="138">
        <v>3</v>
      </c>
      <c r="F325" s="137" t="s">
        <v>85</v>
      </c>
      <c r="G325" s="137">
        <v>25</v>
      </c>
      <c r="H325" s="137">
        <v>0</v>
      </c>
      <c r="I325" s="137">
        <v>0</v>
      </c>
      <c r="J325" s="137">
        <v>7.7750000000000004</v>
      </c>
      <c r="K325" s="137" t="s">
        <v>77</v>
      </c>
      <c r="L325" s="137" t="s">
        <v>79</v>
      </c>
      <c r="M325" s="137" t="s">
        <v>87</v>
      </c>
      <c r="N325" s="137" t="b">
        <v>0</v>
      </c>
      <c r="O325" s="137"/>
      <c r="P325" s="137" t="s">
        <v>83</v>
      </c>
      <c r="Q325" s="137" t="s">
        <v>84</v>
      </c>
      <c r="R325" s="137" t="b">
        <v>1</v>
      </c>
      <c r="S325" s="139">
        <v>1</v>
      </c>
      <c r="T325" s="139">
        <v>1.29069248467666E+19</v>
      </c>
    </row>
    <row r="326" spans="3:20">
      <c r="C326" s="24" t="b">
        <v>0</v>
      </c>
      <c r="D326" s="137">
        <v>1</v>
      </c>
      <c r="E326" s="138">
        <v>2</v>
      </c>
      <c r="F326" s="137" t="s">
        <v>85</v>
      </c>
      <c r="G326" s="137">
        <v>24</v>
      </c>
      <c r="H326" s="137">
        <v>0</v>
      </c>
      <c r="I326" s="137">
        <v>2</v>
      </c>
      <c r="J326" s="137">
        <v>14.5</v>
      </c>
      <c r="K326" s="137" t="s">
        <v>77</v>
      </c>
      <c r="L326" s="137" t="s">
        <v>94</v>
      </c>
      <c r="M326" s="137" t="s">
        <v>87</v>
      </c>
      <c r="N326" s="137" t="b">
        <v>0</v>
      </c>
      <c r="O326" s="137"/>
      <c r="P326" s="137" t="s">
        <v>83</v>
      </c>
      <c r="Q326" s="137" t="s">
        <v>89</v>
      </c>
      <c r="R326" s="137" t="b">
        <v>0</v>
      </c>
      <c r="S326" s="139">
        <v>1</v>
      </c>
      <c r="T326" s="139">
        <v>1.5563588285659099E+19</v>
      </c>
    </row>
    <row r="327" spans="3:20">
      <c r="C327" s="24" t="b">
        <v>0</v>
      </c>
      <c r="D327" s="137">
        <v>1</v>
      </c>
      <c r="E327" s="138">
        <v>1</v>
      </c>
      <c r="F327" s="137" t="s">
        <v>75</v>
      </c>
      <c r="G327" s="137">
        <v>37</v>
      </c>
      <c r="H327" s="137">
        <v>1</v>
      </c>
      <c r="I327" s="137">
        <v>1</v>
      </c>
      <c r="J327" s="137">
        <v>52.554200000000002</v>
      </c>
      <c r="K327" s="137" t="s">
        <v>77</v>
      </c>
      <c r="L327" s="137" t="s">
        <v>86</v>
      </c>
      <c r="M327" s="137" t="s">
        <v>80</v>
      </c>
      <c r="N327" s="137" t="b">
        <v>1</v>
      </c>
      <c r="O327" s="137" t="s">
        <v>96</v>
      </c>
      <c r="P327" s="137" t="s">
        <v>83</v>
      </c>
      <c r="Q327" s="137" t="s">
        <v>89</v>
      </c>
      <c r="R327" s="137" t="b">
        <v>0</v>
      </c>
      <c r="S327" s="139">
        <v>0</v>
      </c>
      <c r="T327" s="139">
        <v>1.4132975161920801E+19</v>
      </c>
    </row>
    <row r="328" spans="3:20">
      <c r="C328" s="24" t="b">
        <v>0</v>
      </c>
      <c r="D328" s="137">
        <v>0</v>
      </c>
      <c r="E328" s="138">
        <v>2</v>
      </c>
      <c r="F328" s="137" t="s">
        <v>75</v>
      </c>
      <c r="G328" s="137">
        <v>54</v>
      </c>
      <c r="H328" s="137">
        <v>1</v>
      </c>
      <c r="I328" s="137">
        <v>0</v>
      </c>
      <c r="J328" s="137">
        <v>26</v>
      </c>
      <c r="K328" s="137" t="s">
        <v>77</v>
      </c>
      <c r="L328" s="137" t="s">
        <v>94</v>
      </c>
      <c r="M328" s="137" t="s">
        <v>80</v>
      </c>
      <c r="N328" s="137" t="b">
        <v>1</v>
      </c>
      <c r="O328" s="137"/>
      <c r="P328" s="137" t="s">
        <v>83</v>
      </c>
      <c r="Q328" s="137" t="s">
        <v>84</v>
      </c>
      <c r="R328" s="137" t="b">
        <v>0</v>
      </c>
      <c r="S328" s="139">
        <v>1</v>
      </c>
      <c r="T328" s="139">
        <v>8.1604179266591104E+17</v>
      </c>
    </row>
    <row r="329" spans="3:20">
      <c r="C329" s="24" t="b">
        <v>0</v>
      </c>
      <c r="D329" s="137">
        <v>0</v>
      </c>
      <c r="E329" s="138">
        <v>3</v>
      </c>
      <c r="F329" s="137" t="s">
        <v>75</v>
      </c>
      <c r="G329" s="137"/>
      <c r="H329" s="137">
        <v>0</v>
      </c>
      <c r="I329" s="137">
        <v>0</v>
      </c>
      <c r="J329" s="137">
        <v>7.25</v>
      </c>
      <c r="K329" s="137" t="s">
        <v>77</v>
      </c>
      <c r="L329" s="137" t="s">
        <v>79</v>
      </c>
      <c r="M329" s="137" t="s">
        <v>80</v>
      </c>
      <c r="N329" s="137" t="b">
        <v>1</v>
      </c>
      <c r="O329" s="137"/>
      <c r="P329" s="137" t="s">
        <v>83</v>
      </c>
      <c r="Q329" s="137" t="s">
        <v>84</v>
      </c>
      <c r="R329" s="137" t="b">
        <v>1</v>
      </c>
      <c r="S329" s="139">
        <v>1</v>
      </c>
      <c r="T329" s="139">
        <v>1.24309295546305E+19</v>
      </c>
    </row>
    <row r="330" spans="3:20">
      <c r="C330" s="24" t="b">
        <v>0</v>
      </c>
      <c r="D330" s="137">
        <v>0</v>
      </c>
      <c r="E330" s="138">
        <v>3</v>
      </c>
      <c r="F330" s="137" t="s">
        <v>85</v>
      </c>
      <c r="G330" s="137">
        <v>29</v>
      </c>
      <c r="H330" s="137">
        <v>1</v>
      </c>
      <c r="I330" s="137">
        <v>1</v>
      </c>
      <c r="J330" s="137">
        <v>10.4625</v>
      </c>
      <c r="K330" s="137" t="s">
        <v>77</v>
      </c>
      <c r="L330" s="137" t="s">
        <v>79</v>
      </c>
      <c r="M330" s="137" t="s">
        <v>87</v>
      </c>
      <c r="N330" s="137" t="b">
        <v>0</v>
      </c>
      <c r="O330" s="137" t="s">
        <v>95</v>
      </c>
      <c r="P330" s="137" t="s">
        <v>83</v>
      </c>
      <c r="Q330" s="137" t="s">
        <v>84</v>
      </c>
      <c r="R330" s="137" t="b">
        <v>0</v>
      </c>
      <c r="S330" s="139">
        <v>0</v>
      </c>
      <c r="T330" s="139">
        <v>4.8840636705075599E+18</v>
      </c>
    </row>
    <row r="331" spans="3:20">
      <c r="C331" s="24" t="b">
        <v>0</v>
      </c>
      <c r="D331" s="137">
        <v>0</v>
      </c>
      <c r="E331" s="138">
        <v>1</v>
      </c>
      <c r="F331" s="137" t="s">
        <v>75</v>
      </c>
      <c r="G331" s="137">
        <v>62</v>
      </c>
      <c r="H331" s="137">
        <v>0</v>
      </c>
      <c r="I331" s="137">
        <v>0</v>
      </c>
      <c r="J331" s="137">
        <v>26.55</v>
      </c>
      <c r="K331" s="137" t="s">
        <v>77</v>
      </c>
      <c r="L331" s="137" t="s">
        <v>86</v>
      </c>
      <c r="M331" s="137" t="s">
        <v>80</v>
      </c>
      <c r="N331" s="137" t="b">
        <v>1</v>
      </c>
      <c r="O331" s="137" t="s">
        <v>82</v>
      </c>
      <c r="P331" s="137" t="s">
        <v>83</v>
      </c>
      <c r="Q331" s="137" t="s">
        <v>84</v>
      </c>
      <c r="R331" s="137" t="b">
        <v>1</v>
      </c>
      <c r="S331" s="139">
        <v>0</v>
      </c>
      <c r="T331" s="139">
        <v>2.4686248408602199E+18</v>
      </c>
    </row>
    <row r="332" spans="3:20">
      <c r="C332" s="24" t="b">
        <v>0</v>
      </c>
      <c r="D332" s="137">
        <v>0</v>
      </c>
      <c r="E332" s="138">
        <v>3</v>
      </c>
      <c r="F332" s="137" t="s">
        <v>75</v>
      </c>
      <c r="G332" s="137">
        <v>30</v>
      </c>
      <c r="H332" s="137">
        <v>1</v>
      </c>
      <c r="I332" s="137">
        <v>0</v>
      </c>
      <c r="J332" s="137">
        <v>16.100000000000001</v>
      </c>
      <c r="K332" s="137" t="s">
        <v>77</v>
      </c>
      <c r="L332" s="137" t="s">
        <v>79</v>
      </c>
      <c r="M332" s="137" t="s">
        <v>80</v>
      </c>
      <c r="N332" s="137" t="b">
        <v>1</v>
      </c>
      <c r="O332" s="137"/>
      <c r="P332" s="137" t="s">
        <v>83</v>
      </c>
      <c r="Q332" s="137" t="s">
        <v>84</v>
      </c>
      <c r="R332" s="137" t="b">
        <v>0</v>
      </c>
      <c r="S332" s="139">
        <v>1</v>
      </c>
      <c r="T332" s="139">
        <v>1.2002203329979501E+19</v>
      </c>
    </row>
    <row r="333" spans="3:20">
      <c r="C333" s="24" t="b">
        <v>0</v>
      </c>
      <c r="D333" s="137">
        <v>0</v>
      </c>
      <c r="E333" s="138">
        <v>3</v>
      </c>
      <c r="F333" s="137" t="s">
        <v>85</v>
      </c>
      <c r="G333" s="137">
        <v>41</v>
      </c>
      <c r="H333" s="137">
        <v>0</v>
      </c>
      <c r="I333" s="137">
        <v>2</v>
      </c>
      <c r="J333" s="137">
        <v>20.212499999999999</v>
      </c>
      <c r="K333" s="137" t="s">
        <v>77</v>
      </c>
      <c r="L333" s="137" t="s">
        <v>79</v>
      </c>
      <c r="M333" s="137" t="s">
        <v>87</v>
      </c>
      <c r="N333" s="137" t="b">
        <v>0</v>
      </c>
      <c r="O333" s="137"/>
      <c r="P333" s="137" t="s">
        <v>83</v>
      </c>
      <c r="Q333" s="137" t="s">
        <v>84</v>
      </c>
      <c r="R333" s="137" t="b">
        <v>0</v>
      </c>
      <c r="S333" s="139">
        <v>1</v>
      </c>
      <c r="T333" s="139">
        <v>1.12496329034776E+19</v>
      </c>
    </row>
    <row r="334" spans="3:20">
      <c r="C334" s="24" t="b">
        <v>0</v>
      </c>
      <c r="D334" s="137">
        <v>1</v>
      </c>
      <c r="E334" s="138">
        <v>3</v>
      </c>
      <c r="F334" s="137" t="s">
        <v>85</v>
      </c>
      <c r="G334" s="137">
        <v>29</v>
      </c>
      <c r="H334" s="137">
        <v>0</v>
      </c>
      <c r="I334" s="137">
        <v>2</v>
      </c>
      <c r="J334" s="137">
        <v>15.245799999999999</v>
      </c>
      <c r="K334" s="137" t="s">
        <v>82</v>
      </c>
      <c r="L334" s="137" t="s">
        <v>79</v>
      </c>
      <c r="M334" s="137" t="s">
        <v>87</v>
      </c>
      <c r="N334" s="137" t="b">
        <v>0</v>
      </c>
      <c r="O334" s="137"/>
      <c r="P334" s="137" t="s">
        <v>88</v>
      </c>
      <c r="Q334" s="137" t="s">
        <v>89</v>
      </c>
      <c r="R334" s="137" t="b">
        <v>0</v>
      </c>
      <c r="S334" s="139">
        <v>1</v>
      </c>
      <c r="T334" s="139">
        <v>5.6706007894006303E+18</v>
      </c>
    </row>
    <row r="335" spans="3:20">
      <c r="C335" s="24" t="b">
        <v>0</v>
      </c>
      <c r="D335" s="137">
        <v>1</v>
      </c>
      <c r="E335" s="138">
        <v>1</v>
      </c>
      <c r="F335" s="137" t="s">
        <v>85</v>
      </c>
      <c r="G335" s="137"/>
      <c r="H335" s="137">
        <v>0</v>
      </c>
      <c r="I335" s="137">
        <v>0</v>
      </c>
      <c r="J335" s="137">
        <v>79.2</v>
      </c>
      <c r="K335" s="137" t="s">
        <v>82</v>
      </c>
      <c r="L335" s="137" t="s">
        <v>86</v>
      </c>
      <c r="M335" s="137" t="s">
        <v>87</v>
      </c>
      <c r="N335" s="137" t="b">
        <v>0</v>
      </c>
      <c r="O335" s="137"/>
      <c r="P335" s="137" t="s">
        <v>88</v>
      </c>
      <c r="Q335" s="137" t="s">
        <v>89</v>
      </c>
      <c r="R335" s="137" t="b">
        <v>1</v>
      </c>
      <c r="S335" s="139">
        <v>1</v>
      </c>
      <c r="T335" s="139">
        <v>1.2563945013908699E+19</v>
      </c>
    </row>
    <row r="336" spans="3:20">
      <c r="C336" s="24" t="b">
        <v>0</v>
      </c>
      <c r="D336" s="137">
        <v>1</v>
      </c>
      <c r="E336" s="138">
        <v>1</v>
      </c>
      <c r="F336" s="137" t="s">
        <v>85</v>
      </c>
      <c r="G336" s="137">
        <v>30</v>
      </c>
      <c r="H336" s="137">
        <v>0</v>
      </c>
      <c r="I336" s="137">
        <v>0</v>
      </c>
      <c r="J336" s="137">
        <v>86.5</v>
      </c>
      <c r="K336" s="137" t="s">
        <v>77</v>
      </c>
      <c r="L336" s="137" t="s">
        <v>86</v>
      </c>
      <c r="M336" s="137" t="s">
        <v>87</v>
      </c>
      <c r="N336" s="137" t="b">
        <v>0</v>
      </c>
      <c r="O336" s="137" t="s">
        <v>98</v>
      </c>
      <c r="P336" s="137" t="s">
        <v>83</v>
      </c>
      <c r="Q336" s="137" t="s">
        <v>89</v>
      </c>
      <c r="R336" s="137" t="b">
        <v>1</v>
      </c>
      <c r="S336" s="139">
        <v>0</v>
      </c>
      <c r="T336" s="139">
        <v>4.5716078569482701E+18</v>
      </c>
    </row>
    <row r="337" spans="3:20">
      <c r="C337" s="24" t="b">
        <v>0</v>
      </c>
      <c r="D337" s="137">
        <v>1</v>
      </c>
      <c r="E337" s="138">
        <v>1</v>
      </c>
      <c r="F337" s="137" t="s">
        <v>85</v>
      </c>
      <c r="G337" s="137">
        <v>35</v>
      </c>
      <c r="H337" s="137">
        <v>0</v>
      </c>
      <c r="I337" s="137">
        <v>0</v>
      </c>
      <c r="J337" s="137">
        <v>512.32920000000001</v>
      </c>
      <c r="K337" s="137" t="s">
        <v>82</v>
      </c>
      <c r="L337" s="137" t="s">
        <v>86</v>
      </c>
      <c r="M337" s="137" t="s">
        <v>87</v>
      </c>
      <c r="N337" s="137" t="b">
        <v>0</v>
      </c>
      <c r="O337" s="137"/>
      <c r="P337" s="137" t="s">
        <v>88</v>
      </c>
      <c r="Q337" s="137" t="s">
        <v>89</v>
      </c>
      <c r="R337" s="137" t="b">
        <v>1</v>
      </c>
      <c r="S337" s="139">
        <v>1</v>
      </c>
      <c r="T337" s="139">
        <v>1.3471022772478501E+19</v>
      </c>
    </row>
    <row r="338" spans="3:20">
      <c r="C338" s="24" t="b">
        <v>0</v>
      </c>
      <c r="D338" s="137">
        <v>1</v>
      </c>
      <c r="E338" s="138">
        <v>2</v>
      </c>
      <c r="F338" s="137" t="s">
        <v>85</v>
      </c>
      <c r="G338" s="137">
        <v>50</v>
      </c>
      <c r="H338" s="137">
        <v>0</v>
      </c>
      <c r="I338" s="137">
        <v>1</v>
      </c>
      <c r="J338" s="137">
        <v>26</v>
      </c>
      <c r="K338" s="137" t="s">
        <v>77</v>
      </c>
      <c r="L338" s="137" t="s">
        <v>94</v>
      </c>
      <c r="M338" s="137" t="s">
        <v>87</v>
      </c>
      <c r="N338" s="137" t="b">
        <v>0</v>
      </c>
      <c r="O338" s="137"/>
      <c r="P338" s="137" t="s">
        <v>83</v>
      </c>
      <c r="Q338" s="137" t="s">
        <v>89</v>
      </c>
      <c r="R338" s="137" t="b">
        <v>0</v>
      </c>
      <c r="S338" s="139">
        <v>1</v>
      </c>
      <c r="T338" s="139">
        <v>6.1758910170857595E+18</v>
      </c>
    </row>
    <row r="339" spans="3:20">
      <c r="C339" s="24" t="b">
        <v>0</v>
      </c>
      <c r="D339" s="137">
        <v>0</v>
      </c>
      <c r="E339" s="138">
        <v>3</v>
      </c>
      <c r="F339" s="137" t="s">
        <v>75</v>
      </c>
      <c r="G339" s="137"/>
      <c r="H339" s="137">
        <v>0</v>
      </c>
      <c r="I339" s="137">
        <v>0</v>
      </c>
      <c r="J339" s="137">
        <v>7.75</v>
      </c>
      <c r="K339" s="137" t="s">
        <v>90</v>
      </c>
      <c r="L339" s="137" t="s">
        <v>79</v>
      </c>
      <c r="M339" s="137" t="s">
        <v>80</v>
      </c>
      <c r="N339" s="137" t="b">
        <v>1</v>
      </c>
      <c r="O339" s="137"/>
      <c r="P339" s="137" t="s">
        <v>91</v>
      </c>
      <c r="Q339" s="137" t="s">
        <v>84</v>
      </c>
      <c r="R339" s="137" t="b">
        <v>1</v>
      </c>
      <c r="S339" s="139">
        <v>1</v>
      </c>
      <c r="T339" s="139">
        <v>8.8562668406319196E+18</v>
      </c>
    </row>
    <row r="340" spans="3:20">
      <c r="C340" s="24" t="b">
        <v>0</v>
      </c>
      <c r="D340" s="137">
        <v>1</v>
      </c>
      <c r="E340" s="138">
        <v>3</v>
      </c>
      <c r="F340" s="137" t="s">
        <v>75</v>
      </c>
      <c r="G340" s="137">
        <v>3</v>
      </c>
      <c r="H340" s="137">
        <v>4</v>
      </c>
      <c r="I340" s="137">
        <v>2</v>
      </c>
      <c r="J340" s="137">
        <v>31.387499999999999</v>
      </c>
      <c r="K340" s="137" t="s">
        <v>77</v>
      </c>
      <c r="L340" s="137" t="s">
        <v>79</v>
      </c>
      <c r="M340" s="137" t="s">
        <v>93</v>
      </c>
      <c r="N340" s="137" t="b">
        <v>0</v>
      </c>
      <c r="O340" s="137"/>
      <c r="P340" s="137" t="s">
        <v>83</v>
      </c>
      <c r="Q340" s="137" t="s">
        <v>89</v>
      </c>
      <c r="R340" s="137" t="b">
        <v>0</v>
      </c>
      <c r="S340" s="139">
        <v>1</v>
      </c>
      <c r="T340" s="139">
        <v>1.7068091589471199E+19</v>
      </c>
    </row>
    <row r="341" spans="3:20">
      <c r="C341" s="24" t="b">
        <v>0</v>
      </c>
      <c r="D341" s="137">
        <v>0</v>
      </c>
      <c r="E341" s="138">
        <v>1</v>
      </c>
      <c r="F341" s="137" t="s">
        <v>75</v>
      </c>
      <c r="G341" s="137">
        <v>52</v>
      </c>
      <c r="H341" s="137">
        <v>1</v>
      </c>
      <c r="I341" s="137">
        <v>1</v>
      </c>
      <c r="J341" s="137">
        <v>79.650000000000006</v>
      </c>
      <c r="K341" s="137" t="s">
        <v>77</v>
      </c>
      <c r="L341" s="137" t="s">
        <v>86</v>
      </c>
      <c r="M341" s="137" t="s">
        <v>80</v>
      </c>
      <c r="N341" s="137" t="b">
        <v>1</v>
      </c>
      <c r="O341" s="137" t="s">
        <v>92</v>
      </c>
      <c r="P341" s="137" t="s">
        <v>83</v>
      </c>
      <c r="Q341" s="137" t="s">
        <v>84</v>
      </c>
      <c r="R341" s="137" t="b">
        <v>0</v>
      </c>
      <c r="S341" s="139">
        <v>0</v>
      </c>
      <c r="T341" s="139">
        <v>1.6154070376289499E+19</v>
      </c>
    </row>
    <row r="342" spans="3:20">
      <c r="C342" s="24" t="b">
        <v>0</v>
      </c>
      <c r="D342" s="137">
        <v>0</v>
      </c>
      <c r="E342" s="138">
        <v>1</v>
      </c>
      <c r="F342" s="137" t="s">
        <v>75</v>
      </c>
      <c r="G342" s="137">
        <v>40</v>
      </c>
      <c r="H342" s="137">
        <v>0</v>
      </c>
      <c r="I342" s="137">
        <v>0</v>
      </c>
      <c r="J342" s="137">
        <v>0</v>
      </c>
      <c r="K342" s="137" t="s">
        <v>77</v>
      </c>
      <c r="L342" s="137" t="s">
        <v>86</v>
      </c>
      <c r="M342" s="137" t="s">
        <v>80</v>
      </c>
      <c r="N342" s="137" t="b">
        <v>1</v>
      </c>
      <c r="O342" s="137" t="s">
        <v>98</v>
      </c>
      <c r="P342" s="137" t="s">
        <v>83</v>
      </c>
      <c r="Q342" s="137" t="s">
        <v>84</v>
      </c>
      <c r="R342" s="137" t="b">
        <v>1</v>
      </c>
      <c r="S342" s="139">
        <v>0</v>
      </c>
      <c r="T342" s="139">
        <v>2.26666888839843E+18</v>
      </c>
    </row>
    <row r="343" spans="3:20">
      <c r="C343" s="24" t="b">
        <v>0</v>
      </c>
      <c r="D343" s="137">
        <v>0</v>
      </c>
      <c r="E343" s="138">
        <v>3</v>
      </c>
      <c r="F343" s="137" t="s">
        <v>85</v>
      </c>
      <c r="G343" s="137"/>
      <c r="H343" s="137">
        <v>0</v>
      </c>
      <c r="I343" s="137">
        <v>0</v>
      </c>
      <c r="J343" s="137">
        <v>7.75</v>
      </c>
      <c r="K343" s="137" t="s">
        <v>90</v>
      </c>
      <c r="L343" s="137" t="s">
        <v>79</v>
      </c>
      <c r="M343" s="137" t="s">
        <v>87</v>
      </c>
      <c r="N343" s="137" t="b">
        <v>0</v>
      </c>
      <c r="O343" s="137"/>
      <c r="P343" s="137" t="s">
        <v>91</v>
      </c>
      <c r="Q343" s="137" t="s">
        <v>84</v>
      </c>
      <c r="R343" s="137" t="b">
        <v>1</v>
      </c>
      <c r="S343" s="139">
        <v>1</v>
      </c>
      <c r="T343" s="139">
        <v>5.1455566141950003E+18</v>
      </c>
    </row>
    <row r="344" spans="3:20">
      <c r="C344" s="24" t="b">
        <v>0</v>
      </c>
      <c r="D344" s="137">
        <v>0</v>
      </c>
      <c r="E344" s="138">
        <v>2</v>
      </c>
      <c r="F344" s="137" t="s">
        <v>75</v>
      </c>
      <c r="G344" s="137">
        <v>36</v>
      </c>
      <c r="H344" s="137">
        <v>0</v>
      </c>
      <c r="I344" s="137">
        <v>0</v>
      </c>
      <c r="J344" s="137">
        <v>10.5</v>
      </c>
      <c r="K344" s="137" t="s">
        <v>77</v>
      </c>
      <c r="L344" s="137" t="s">
        <v>94</v>
      </c>
      <c r="M344" s="137" t="s">
        <v>80</v>
      </c>
      <c r="N344" s="137" t="b">
        <v>1</v>
      </c>
      <c r="O344" s="137"/>
      <c r="P344" s="137" t="s">
        <v>83</v>
      </c>
      <c r="Q344" s="137" t="s">
        <v>84</v>
      </c>
      <c r="R344" s="137" t="b">
        <v>1</v>
      </c>
      <c r="S344" s="139">
        <v>1</v>
      </c>
      <c r="T344" s="139">
        <v>1.8185124768323799E+19</v>
      </c>
    </row>
    <row r="345" spans="3:20">
      <c r="C345" s="24" t="b">
        <v>0</v>
      </c>
      <c r="D345" s="137">
        <v>0</v>
      </c>
      <c r="E345" s="138">
        <v>3</v>
      </c>
      <c r="F345" s="137" t="s">
        <v>75</v>
      </c>
      <c r="G345" s="137">
        <v>16</v>
      </c>
      <c r="H345" s="137">
        <v>4</v>
      </c>
      <c r="I345" s="137">
        <v>1</v>
      </c>
      <c r="J345" s="137">
        <v>39.6875</v>
      </c>
      <c r="K345" s="137" t="s">
        <v>77</v>
      </c>
      <c r="L345" s="137" t="s">
        <v>79</v>
      </c>
      <c r="M345" s="137" t="s">
        <v>80</v>
      </c>
      <c r="N345" s="137" t="b">
        <v>1</v>
      </c>
      <c r="O345" s="137"/>
      <c r="P345" s="137" t="s">
        <v>83</v>
      </c>
      <c r="Q345" s="137" t="s">
        <v>84</v>
      </c>
      <c r="R345" s="137" t="b">
        <v>0</v>
      </c>
      <c r="S345" s="139">
        <v>1</v>
      </c>
      <c r="T345" s="139">
        <v>1.38332524942801E+19</v>
      </c>
    </row>
    <row r="346" spans="3:20">
      <c r="C346" s="24" t="b">
        <v>0</v>
      </c>
      <c r="D346" s="137">
        <v>1</v>
      </c>
      <c r="E346" s="138">
        <v>3</v>
      </c>
      <c r="F346" s="137" t="s">
        <v>75</v>
      </c>
      <c r="G346" s="137">
        <v>25</v>
      </c>
      <c r="H346" s="137">
        <v>1</v>
      </c>
      <c r="I346" s="137">
        <v>0</v>
      </c>
      <c r="J346" s="137">
        <v>7.7750000000000004</v>
      </c>
      <c r="K346" s="137" t="s">
        <v>77</v>
      </c>
      <c r="L346" s="137" t="s">
        <v>79</v>
      </c>
      <c r="M346" s="137" t="s">
        <v>80</v>
      </c>
      <c r="N346" s="137" t="b">
        <v>1</v>
      </c>
      <c r="O346" s="137"/>
      <c r="P346" s="137" t="s">
        <v>83</v>
      </c>
      <c r="Q346" s="137" t="s">
        <v>89</v>
      </c>
      <c r="R346" s="137" t="b">
        <v>0</v>
      </c>
      <c r="S346" s="139">
        <v>1</v>
      </c>
      <c r="T346" s="139">
        <v>1.45377128408214E+19</v>
      </c>
    </row>
    <row r="347" spans="3:20">
      <c r="C347" s="24" t="b">
        <v>0</v>
      </c>
      <c r="D347" s="137">
        <v>1</v>
      </c>
      <c r="E347" s="138">
        <v>1</v>
      </c>
      <c r="F347" s="137" t="s">
        <v>85</v>
      </c>
      <c r="G347" s="137">
        <v>58</v>
      </c>
      <c r="H347" s="137">
        <v>0</v>
      </c>
      <c r="I347" s="137">
        <v>1</v>
      </c>
      <c r="J347" s="137">
        <v>153.46250000000001</v>
      </c>
      <c r="K347" s="137" t="s">
        <v>77</v>
      </c>
      <c r="L347" s="137" t="s">
        <v>86</v>
      </c>
      <c r="M347" s="137" t="s">
        <v>87</v>
      </c>
      <c r="N347" s="137" t="b">
        <v>0</v>
      </c>
      <c r="O347" s="137" t="s">
        <v>82</v>
      </c>
      <c r="P347" s="137" t="s">
        <v>83</v>
      </c>
      <c r="Q347" s="137" t="s">
        <v>89</v>
      </c>
      <c r="R347" s="137" t="b">
        <v>0</v>
      </c>
      <c r="S347" s="139">
        <v>0</v>
      </c>
      <c r="T347" s="139">
        <v>1.00083752604805E+19</v>
      </c>
    </row>
    <row r="348" spans="3:20">
      <c r="C348" s="24" t="b">
        <v>0</v>
      </c>
      <c r="D348" s="137">
        <v>1</v>
      </c>
      <c r="E348" s="138">
        <v>1</v>
      </c>
      <c r="F348" s="137" t="s">
        <v>85</v>
      </c>
      <c r="G348" s="137">
        <v>35</v>
      </c>
      <c r="H348" s="137">
        <v>0</v>
      </c>
      <c r="I348" s="137">
        <v>0</v>
      </c>
      <c r="J348" s="137">
        <v>135.63329999999999</v>
      </c>
      <c r="K348" s="137" t="s">
        <v>77</v>
      </c>
      <c r="L348" s="137" t="s">
        <v>86</v>
      </c>
      <c r="M348" s="137" t="s">
        <v>87</v>
      </c>
      <c r="N348" s="137" t="b">
        <v>0</v>
      </c>
      <c r="O348" s="137" t="s">
        <v>82</v>
      </c>
      <c r="P348" s="137" t="s">
        <v>83</v>
      </c>
      <c r="Q348" s="137" t="s">
        <v>89</v>
      </c>
      <c r="R348" s="137" t="b">
        <v>1</v>
      </c>
      <c r="S348" s="139">
        <v>0</v>
      </c>
      <c r="T348" s="139">
        <v>1.4188694182703E+19</v>
      </c>
    </row>
    <row r="349" spans="3:20">
      <c r="C349" s="24" t="b">
        <v>0</v>
      </c>
      <c r="D349" s="137">
        <v>0</v>
      </c>
      <c r="E349" s="138">
        <v>1</v>
      </c>
      <c r="F349" s="137" t="s">
        <v>75</v>
      </c>
      <c r="G349" s="137"/>
      <c r="H349" s="137">
        <v>0</v>
      </c>
      <c r="I349" s="137">
        <v>0</v>
      </c>
      <c r="J349" s="137">
        <v>31</v>
      </c>
      <c r="K349" s="137" t="s">
        <v>77</v>
      </c>
      <c r="L349" s="137" t="s">
        <v>86</v>
      </c>
      <c r="M349" s="137" t="s">
        <v>80</v>
      </c>
      <c r="N349" s="137" t="b">
        <v>1</v>
      </c>
      <c r="O349" s="137"/>
      <c r="P349" s="137" t="s">
        <v>83</v>
      </c>
      <c r="Q349" s="137" t="s">
        <v>84</v>
      </c>
      <c r="R349" s="137" t="b">
        <v>1</v>
      </c>
      <c r="S349" s="139">
        <v>1</v>
      </c>
      <c r="T349" s="139">
        <v>6.18901067620318E+18</v>
      </c>
    </row>
    <row r="350" spans="3:20">
      <c r="C350" s="24" t="b">
        <v>0</v>
      </c>
      <c r="D350" s="137">
        <v>1</v>
      </c>
      <c r="E350" s="138">
        <v>3</v>
      </c>
      <c r="F350" s="137" t="s">
        <v>75</v>
      </c>
      <c r="G350" s="137">
        <v>25</v>
      </c>
      <c r="H350" s="137">
        <v>0</v>
      </c>
      <c r="I350" s="137">
        <v>0</v>
      </c>
      <c r="J350" s="137">
        <v>0</v>
      </c>
      <c r="K350" s="137" t="s">
        <v>77</v>
      </c>
      <c r="L350" s="137" t="s">
        <v>79</v>
      </c>
      <c r="M350" s="137" t="s">
        <v>80</v>
      </c>
      <c r="N350" s="137" t="b">
        <v>1</v>
      </c>
      <c r="O350" s="137"/>
      <c r="P350" s="137" t="s">
        <v>83</v>
      </c>
      <c r="Q350" s="137" t="s">
        <v>89</v>
      </c>
      <c r="R350" s="137" t="b">
        <v>1</v>
      </c>
      <c r="S350" s="139">
        <v>1</v>
      </c>
      <c r="T350" s="139">
        <v>1.19136079254308E+19</v>
      </c>
    </row>
    <row r="351" spans="3:20">
      <c r="C351" s="24" t="b">
        <v>0</v>
      </c>
      <c r="D351" s="137">
        <v>1</v>
      </c>
      <c r="E351" s="138">
        <v>2</v>
      </c>
      <c r="F351" s="137" t="s">
        <v>85</v>
      </c>
      <c r="G351" s="137">
        <v>41</v>
      </c>
      <c r="H351" s="137">
        <v>0</v>
      </c>
      <c r="I351" s="137">
        <v>1</v>
      </c>
      <c r="J351" s="137">
        <v>19.5</v>
      </c>
      <c r="K351" s="137" t="s">
        <v>77</v>
      </c>
      <c r="L351" s="137" t="s">
        <v>94</v>
      </c>
      <c r="M351" s="137" t="s">
        <v>87</v>
      </c>
      <c r="N351" s="137" t="b">
        <v>0</v>
      </c>
      <c r="O351" s="137"/>
      <c r="P351" s="137" t="s">
        <v>83</v>
      </c>
      <c r="Q351" s="137" t="s">
        <v>89</v>
      </c>
      <c r="R351" s="137" t="b">
        <v>0</v>
      </c>
      <c r="S351" s="139">
        <v>1</v>
      </c>
      <c r="T351" s="139">
        <v>1.6098756901665401E+19</v>
      </c>
    </row>
    <row r="352" spans="3:20">
      <c r="C352" s="24" t="b">
        <v>0</v>
      </c>
      <c r="D352" s="137">
        <v>0</v>
      </c>
      <c r="E352" s="138">
        <v>1</v>
      </c>
      <c r="F352" s="137" t="s">
        <v>75</v>
      </c>
      <c r="G352" s="137">
        <v>37</v>
      </c>
      <c r="H352" s="137">
        <v>0</v>
      </c>
      <c r="I352" s="137">
        <v>1</v>
      </c>
      <c r="J352" s="137">
        <v>29.7</v>
      </c>
      <c r="K352" s="137" t="s">
        <v>82</v>
      </c>
      <c r="L352" s="137" t="s">
        <v>86</v>
      </c>
      <c r="M352" s="137" t="s">
        <v>80</v>
      </c>
      <c r="N352" s="137" t="b">
        <v>1</v>
      </c>
      <c r="O352" s="137" t="s">
        <v>82</v>
      </c>
      <c r="P352" s="137" t="s">
        <v>88</v>
      </c>
      <c r="Q352" s="137" t="s">
        <v>84</v>
      </c>
      <c r="R352" s="137" t="b">
        <v>0</v>
      </c>
      <c r="S352" s="139">
        <v>0</v>
      </c>
      <c r="T352" s="139">
        <v>1.53107633011205E+19</v>
      </c>
    </row>
    <row r="353" spans="3:20">
      <c r="C353" s="24" t="b">
        <v>0</v>
      </c>
      <c r="D353" s="137">
        <v>1</v>
      </c>
      <c r="E353" s="138">
        <v>3</v>
      </c>
      <c r="F353" s="137" t="s">
        <v>85</v>
      </c>
      <c r="G353" s="137"/>
      <c r="H353" s="137">
        <v>0</v>
      </c>
      <c r="I353" s="137">
        <v>0</v>
      </c>
      <c r="J353" s="137">
        <v>7.75</v>
      </c>
      <c r="K353" s="137" t="s">
        <v>90</v>
      </c>
      <c r="L353" s="137" t="s">
        <v>79</v>
      </c>
      <c r="M353" s="137" t="s">
        <v>87</v>
      </c>
      <c r="N353" s="137" t="b">
        <v>0</v>
      </c>
      <c r="O353" s="137"/>
      <c r="P353" s="137" t="s">
        <v>91</v>
      </c>
      <c r="Q353" s="137" t="s">
        <v>89</v>
      </c>
      <c r="R353" s="137" t="b">
        <v>1</v>
      </c>
      <c r="S353" s="139">
        <v>1</v>
      </c>
      <c r="T353" s="139">
        <v>9.6415297742023398E+17</v>
      </c>
    </row>
    <row r="354" spans="3:20">
      <c r="C354" s="24" t="b">
        <v>0</v>
      </c>
      <c r="D354" s="137">
        <v>1</v>
      </c>
      <c r="E354" s="138">
        <v>1</v>
      </c>
      <c r="F354" s="137" t="s">
        <v>85</v>
      </c>
      <c r="G354" s="137">
        <v>63</v>
      </c>
      <c r="H354" s="137">
        <v>1</v>
      </c>
      <c r="I354" s="137">
        <v>0</v>
      </c>
      <c r="J354" s="137">
        <v>77.958299999999994</v>
      </c>
      <c r="K354" s="137" t="s">
        <v>77</v>
      </c>
      <c r="L354" s="137" t="s">
        <v>86</v>
      </c>
      <c r="M354" s="137" t="s">
        <v>87</v>
      </c>
      <c r="N354" s="137" t="b">
        <v>0</v>
      </c>
      <c r="O354" s="137" t="s">
        <v>96</v>
      </c>
      <c r="P354" s="137" t="s">
        <v>83</v>
      </c>
      <c r="Q354" s="137" t="s">
        <v>89</v>
      </c>
      <c r="R354" s="137" t="b">
        <v>0</v>
      </c>
      <c r="S354" s="139">
        <v>0</v>
      </c>
      <c r="T354" s="139">
        <v>1.33170155397342E+19</v>
      </c>
    </row>
    <row r="355" spans="3:20">
      <c r="C355" s="24" t="b">
        <v>0</v>
      </c>
      <c r="D355" s="137">
        <v>0</v>
      </c>
      <c r="E355" s="138">
        <v>3</v>
      </c>
      <c r="F355" s="137" t="s">
        <v>85</v>
      </c>
      <c r="G355" s="137">
        <v>45</v>
      </c>
      <c r="H355" s="137">
        <v>0</v>
      </c>
      <c r="I355" s="137">
        <v>0</v>
      </c>
      <c r="J355" s="137">
        <v>7.75</v>
      </c>
      <c r="K355" s="137" t="s">
        <v>77</v>
      </c>
      <c r="L355" s="137" t="s">
        <v>79</v>
      </c>
      <c r="M355" s="137" t="s">
        <v>87</v>
      </c>
      <c r="N355" s="137" t="b">
        <v>0</v>
      </c>
      <c r="O355" s="137"/>
      <c r="P355" s="137" t="s">
        <v>83</v>
      </c>
      <c r="Q355" s="137" t="s">
        <v>84</v>
      </c>
      <c r="R355" s="137" t="b">
        <v>1</v>
      </c>
      <c r="S355" s="139">
        <v>1</v>
      </c>
      <c r="T355" s="139">
        <v>1.2194646828559699E+17</v>
      </c>
    </row>
    <row r="356" spans="3:20">
      <c r="C356" s="24" t="b">
        <v>0</v>
      </c>
      <c r="D356" s="137">
        <v>0</v>
      </c>
      <c r="E356" s="138">
        <v>2</v>
      </c>
      <c r="F356" s="137" t="s">
        <v>75</v>
      </c>
      <c r="G356" s="137"/>
      <c r="H356" s="137">
        <v>0</v>
      </c>
      <c r="I356" s="137">
        <v>0</v>
      </c>
      <c r="J356" s="137">
        <v>0</v>
      </c>
      <c r="K356" s="137" t="s">
        <v>77</v>
      </c>
      <c r="L356" s="137" t="s">
        <v>94</v>
      </c>
      <c r="M356" s="137" t="s">
        <v>80</v>
      </c>
      <c r="N356" s="137" t="b">
        <v>1</v>
      </c>
      <c r="O356" s="137"/>
      <c r="P356" s="137" t="s">
        <v>83</v>
      </c>
      <c r="Q356" s="137" t="s">
        <v>84</v>
      </c>
      <c r="R356" s="137" t="b">
        <v>1</v>
      </c>
      <c r="S356" s="139">
        <v>1</v>
      </c>
      <c r="T356" s="139">
        <v>1.3784493890172299E+19</v>
      </c>
    </row>
    <row r="357" spans="3:20">
      <c r="C357" s="24" t="b">
        <v>0</v>
      </c>
      <c r="D357" s="137">
        <v>0</v>
      </c>
      <c r="E357" s="138">
        <v>3</v>
      </c>
      <c r="F357" s="137" t="s">
        <v>75</v>
      </c>
      <c r="G357" s="137">
        <v>7</v>
      </c>
      <c r="H357" s="137">
        <v>4</v>
      </c>
      <c r="I357" s="137">
        <v>1</v>
      </c>
      <c r="J357" s="137">
        <v>29.125</v>
      </c>
      <c r="K357" s="137" t="s">
        <v>90</v>
      </c>
      <c r="L357" s="137" t="s">
        <v>79</v>
      </c>
      <c r="M357" s="137" t="s">
        <v>93</v>
      </c>
      <c r="N357" s="137" t="b">
        <v>0</v>
      </c>
      <c r="O357" s="137"/>
      <c r="P357" s="137" t="s">
        <v>91</v>
      </c>
      <c r="Q357" s="137" t="s">
        <v>84</v>
      </c>
      <c r="R357" s="137" t="b">
        <v>0</v>
      </c>
      <c r="S357" s="139">
        <v>1</v>
      </c>
      <c r="T357" s="139">
        <v>5.6103160589344102E+18</v>
      </c>
    </row>
    <row r="358" spans="3:20">
      <c r="C358" s="24" t="b">
        <v>0</v>
      </c>
      <c r="D358" s="137">
        <v>1</v>
      </c>
      <c r="E358" s="138">
        <v>3</v>
      </c>
      <c r="F358" s="137" t="s">
        <v>85</v>
      </c>
      <c r="G358" s="137">
        <v>35</v>
      </c>
      <c r="H358" s="137">
        <v>1</v>
      </c>
      <c r="I358" s="137">
        <v>1</v>
      </c>
      <c r="J358" s="137">
        <v>20.25</v>
      </c>
      <c r="K358" s="137" t="s">
        <v>77</v>
      </c>
      <c r="L358" s="137" t="s">
        <v>79</v>
      </c>
      <c r="M358" s="137" t="s">
        <v>87</v>
      </c>
      <c r="N358" s="137" t="b">
        <v>0</v>
      </c>
      <c r="O358" s="137"/>
      <c r="P358" s="137" t="s">
        <v>83</v>
      </c>
      <c r="Q358" s="137" t="s">
        <v>89</v>
      </c>
      <c r="R358" s="137" t="b">
        <v>0</v>
      </c>
      <c r="S358" s="139">
        <v>1</v>
      </c>
      <c r="T358" s="139">
        <v>1.13353111506892E+19</v>
      </c>
    </row>
    <row r="359" spans="3:20">
      <c r="C359" s="24" t="b">
        <v>0</v>
      </c>
      <c r="D359" s="137">
        <v>0</v>
      </c>
      <c r="E359" s="138">
        <v>3</v>
      </c>
      <c r="F359" s="137" t="s">
        <v>75</v>
      </c>
      <c r="G359" s="137">
        <v>65</v>
      </c>
      <c r="H359" s="137">
        <v>0</v>
      </c>
      <c r="I359" s="137">
        <v>0</v>
      </c>
      <c r="J359" s="137">
        <v>7.75</v>
      </c>
      <c r="K359" s="137" t="s">
        <v>90</v>
      </c>
      <c r="L359" s="137" t="s">
        <v>79</v>
      </c>
      <c r="M359" s="137" t="s">
        <v>80</v>
      </c>
      <c r="N359" s="137" t="b">
        <v>1</v>
      </c>
      <c r="O359" s="137"/>
      <c r="P359" s="137" t="s">
        <v>91</v>
      </c>
      <c r="Q359" s="137" t="s">
        <v>84</v>
      </c>
      <c r="R359" s="137" t="b">
        <v>1</v>
      </c>
      <c r="S359" s="139">
        <v>1</v>
      </c>
      <c r="T359" s="139">
        <v>5.2770977869010903E+18</v>
      </c>
    </row>
    <row r="360" spans="3:20">
      <c r="C360" s="24" t="b">
        <v>0</v>
      </c>
      <c r="D360" s="137">
        <v>0</v>
      </c>
      <c r="E360" s="138">
        <v>3</v>
      </c>
      <c r="F360" s="137" t="s">
        <v>75</v>
      </c>
      <c r="G360" s="137">
        <v>28</v>
      </c>
      <c r="H360" s="137">
        <v>0</v>
      </c>
      <c r="I360" s="137">
        <v>0</v>
      </c>
      <c r="J360" s="137">
        <v>7.8541999999999996</v>
      </c>
      <c r="K360" s="137" t="s">
        <v>77</v>
      </c>
      <c r="L360" s="137" t="s">
        <v>79</v>
      </c>
      <c r="M360" s="137" t="s">
        <v>80</v>
      </c>
      <c r="N360" s="137" t="b">
        <v>1</v>
      </c>
      <c r="O360" s="137"/>
      <c r="P360" s="137" t="s">
        <v>83</v>
      </c>
      <c r="Q360" s="137" t="s">
        <v>84</v>
      </c>
      <c r="R360" s="137" t="b">
        <v>1</v>
      </c>
      <c r="S360" s="139">
        <v>1</v>
      </c>
      <c r="T360" s="139">
        <v>9.0991275669441905E+18</v>
      </c>
    </row>
    <row r="361" spans="3:20">
      <c r="C361" s="24" t="b">
        <v>0</v>
      </c>
      <c r="D361" s="137">
        <v>0</v>
      </c>
      <c r="E361" s="138">
        <v>3</v>
      </c>
      <c r="F361" s="137" t="s">
        <v>75</v>
      </c>
      <c r="G361" s="137">
        <v>16</v>
      </c>
      <c r="H361" s="137">
        <v>0</v>
      </c>
      <c r="I361" s="137">
        <v>0</v>
      </c>
      <c r="J361" s="137">
        <v>9.5</v>
      </c>
      <c r="K361" s="137" t="s">
        <v>77</v>
      </c>
      <c r="L361" s="137" t="s">
        <v>79</v>
      </c>
      <c r="M361" s="137" t="s">
        <v>80</v>
      </c>
      <c r="N361" s="137" t="b">
        <v>1</v>
      </c>
      <c r="O361" s="137"/>
      <c r="P361" s="137" t="s">
        <v>83</v>
      </c>
      <c r="Q361" s="137" t="s">
        <v>84</v>
      </c>
      <c r="R361" s="137" t="b">
        <v>1</v>
      </c>
      <c r="S361" s="139">
        <v>1</v>
      </c>
      <c r="T361" s="139">
        <v>1.79427938723858E+18</v>
      </c>
    </row>
    <row r="362" spans="3:20">
      <c r="C362" s="24" t="b">
        <v>0</v>
      </c>
      <c r="D362" s="137">
        <v>1</v>
      </c>
      <c r="E362" s="138">
        <v>3</v>
      </c>
      <c r="F362" s="137" t="s">
        <v>75</v>
      </c>
      <c r="G362" s="137">
        <v>19</v>
      </c>
      <c r="H362" s="137">
        <v>0</v>
      </c>
      <c r="I362" s="137">
        <v>0</v>
      </c>
      <c r="J362" s="137">
        <v>8.0500000000000007</v>
      </c>
      <c r="K362" s="137" t="s">
        <v>77</v>
      </c>
      <c r="L362" s="137" t="s">
        <v>79</v>
      </c>
      <c r="M362" s="137" t="s">
        <v>80</v>
      </c>
      <c r="N362" s="137" t="b">
        <v>1</v>
      </c>
      <c r="O362" s="137"/>
      <c r="P362" s="137" t="s">
        <v>83</v>
      </c>
      <c r="Q362" s="137" t="s">
        <v>89</v>
      </c>
      <c r="R362" s="137" t="b">
        <v>1</v>
      </c>
      <c r="S362" s="139">
        <v>1</v>
      </c>
      <c r="T362" s="139">
        <v>1.53042391626175E+19</v>
      </c>
    </row>
    <row r="363" spans="3:20">
      <c r="C363" s="24" t="b">
        <v>0</v>
      </c>
      <c r="D363" s="137">
        <v>0</v>
      </c>
      <c r="E363" s="138">
        <v>1</v>
      </c>
      <c r="F363" s="137" t="s">
        <v>75</v>
      </c>
      <c r="G363" s="137"/>
      <c r="H363" s="137">
        <v>0</v>
      </c>
      <c r="I363" s="137">
        <v>0</v>
      </c>
      <c r="J363" s="137">
        <v>26</v>
      </c>
      <c r="K363" s="137" t="s">
        <v>77</v>
      </c>
      <c r="L363" s="137" t="s">
        <v>86</v>
      </c>
      <c r="M363" s="137" t="s">
        <v>80</v>
      </c>
      <c r="N363" s="137" t="b">
        <v>1</v>
      </c>
      <c r="O363" s="137" t="s">
        <v>97</v>
      </c>
      <c r="P363" s="137" t="s">
        <v>83</v>
      </c>
      <c r="Q363" s="137" t="s">
        <v>84</v>
      </c>
      <c r="R363" s="137" t="b">
        <v>1</v>
      </c>
      <c r="S363" s="139">
        <v>1</v>
      </c>
      <c r="T363" s="139">
        <v>3.0053914657257298E+18</v>
      </c>
    </row>
    <row r="364" spans="3:20">
      <c r="C364" s="24" t="b">
        <v>0</v>
      </c>
      <c r="D364" s="137">
        <v>0</v>
      </c>
      <c r="E364" s="138">
        <v>3</v>
      </c>
      <c r="F364" s="137" t="s">
        <v>75</v>
      </c>
      <c r="G364" s="137">
        <v>33</v>
      </c>
      <c r="H364" s="137">
        <v>0</v>
      </c>
      <c r="I364" s="137">
        <v>0</v>
      </c>
      <c r="J364" s="137">
        <v>8.6624999999999996</v>
      </c>
      <c r="K364" s="137" t="s">
        <v>82</v>
      </c>
      <c r="L364" s="137" t="s">
        <v>79</v>
      </c>
      <c r="M364" s="137" t="s">
        <v>80</v>
      </c>
      <c r="N364" s="137" t="b">
        <v>1</v>
      </c>
      <c r="O364" s="137"/>
      <c r="P364" s="137" t="s">
        <v>88</v>
      </c>
      <c r="Q364" s="137" t="s">
        <v>84</v>
      </c>
      <c r="R364" s="137" t="b">
        <v>1</v>
      </c>
      <c r="S364" s="139">
        <v>1</v>
      </c>
      <c r="T364" s="139">
        <v>1.1044029760903899E+19</v>
      </c>
    </row>
    <row r="365" spans="3:20">
      <c r="C365" s="24" t="b">
        <v>0</v>
      </c>
      <c r="D365" s="137">
        <v>1</v>
      </c>
      <c r="E365" s="138">
        <v>3</v>
      </c>
      <c r="F365" s="137" t="s">
        <v>75</v>
      </c>
      <c r="G365" s="137">
        <v>30</v>
      </c>
      <c r="H365" s="137">
        <v>0</v>
      </c>
      <c r="I365" s="137">
        <v>0</v>
      </c>
      <c r="J365" s="137">
        <v>9.5</v>
      </c>
      <c r="K365" s="137" t="s">
        <v>77</v>
      </c>
      <c r="L365" s="137" t="s">
        <v>79</v>
      </c>
      <c r="M365" s="137" t="s">
        <v>80</v>
      </c>
      <c r="N365" s="137" t="b">
        <v>1</v>
      </c>
      <c r="O365" s="137"/>
      <c r="P365" s="137" t="s">
        <v>83</v>
      </c>
      <c r="Q365" s="137" t="s">
        <v>89</v>
      </c>
      <c r="R365" s="137" t="b">
        <v>1</v>
      </c>
      <c r="S365" s="139">
        <v>1</v>
      </c>
      <c r="T365" s="139">
        <v>4.7428667751986502E+17</v>
      </c>
    </row>
    <row r="366" spans="3:20">
      <c r="C366" s="24" t="b">
        <v>0</v>
      </c>
      <c r="D366" s="137">
        <v>0</v>
      </c>
      <c r="E366" s="138">
        <v>3</v>
      </c>
      <c r="F366" s="137" t="s">
        <v>75</v>
      </c>
      <c r="G366" s="137">
        <v>22</v>
      </c>
      <c r="H366" s="137">
        <v>0</v>
      </c>
      <c r="I366" s="137">
        <v>0</v>
      </c>
      <c r="J366" s="137">
        <v>7.8958000000000004</v>
      </c>
      <c r="K366" s="137" t="s">
        <v>77</v>
      </c>
      <c r="L366" s="137" t="s">
        <v>79</v>
      </c>
      <c r="M366" s="137" t="s">
        <v>80</v>
      </c>
      <c r="N366" s="137" t="b">
        <v>1</v>
      </c>
      <c r="O366" s="137"/>
      <c r="P366" s="137" t="s">
        <v>83</v>
      </c>
      <c r="Q366" s="137" t="s">
        <v>84</v>
      </c>
      <c r="R366" s="137" t="b">
        <v>1</v>
      </c>
      <c r="S366" s="139">
        <v>1</v>
      </c>
      <c r="T366" s="139">
        <v>1.18144678467071E+19</v>
      </c>
    </row>
    <row r="367" spans="3:20">
      <c r="C367" s="24" t="b">
        <v>0</v>
      </c>
      <c r="D367" s="137">
        <v>1</v>
      </c>
      <c r="E367" s="138">
        <v>2</v>
      </c>
      <c r="F367" s="137" t="s">
        <v>75</v>
      </c>
      <c r="G367" s="137">
        <v>42</v>
      </c>
      <c r="H367" s="137">
        <v>0</v>
      </c>
      <c r="I367" s="137">
        <v>0</v>
      </c>
      <c r="J367" s="137">
        <v>13</v>
      </c>
      <c r="K367" s="137" t="s">
        <v>77</v>
      </c>
      <c r="L367" s="137" t="s">
        <v>94</v>
      </c>
      <c r="M367" s="137" t="s">
        <v>80</v>
      </c>
      <c r="N367" s="137" t="b">
        <v>1</v>
      </c>
      <c r="O367" s="137"/>
      <c r="P367" s="137" t="s">
        <v>83</v>
      </c>
      <c r="Q367" s="137" t="s">
        <v>89</v>
      </c>
      <c r="R367" s="137" t="b">
        <v>1</v>
      </c>
      <c r="S367" s="139">
        <v>1</v>
      </c>
      <c r="T367" s="139">
        <v>5.7619386857363896E+18</v>
      </c>
    </row>
    <row r="368" spans="3:20">
      <c r="C368" s="24" t="b">
        <v>0</v>
      </c>
      <c r="D368" s="137">
        <v>1</v>
      </c>
      <c r="E368" s="138">
        <v>3</v>
      </c>
      <c r="F368" s="137" t="s">
        <v>85</v>
      </c>
      <c r="G368" s="137">
        <v>22</v>
      </c>
      <c r="H368" s="137">
        <v>0</v>
      </c>
      <c r="I368" s="137">
        <v>0</v>
      </c>
      <c r="J368" s="137">
        <v>7.75</v>
      </c>
      <c r="K368" s="137" t="s">
        <v>90</v>
      </c>
      <c r="L368" s="137" t="s">
        <v>79</v>
      </c>
      <c r="M368" s="137" t="s">
        <v>87</v>
      </c>
      <c r="N368" s="137" t="b">
        <v>0</v>
      </c>
      <c r="O368" s="137"/>
      <c r="P368" s="137" t="s">
        <v>91</v>
      </c>
      <c r="Q368" s="137" t="s">
        <v>89</v>
      </c>
      <c r="R368" s="137" t="b">
        <v>1</v>
      </c>
      <c r="S368" s="139">
        <v>1</v>
      </c>
      <c r="T368" s="139">
        <v>8.4086567049864899E+18</v>
      </c>
    </row>
    <row r="369" spans="3:20">
      <c r="C369" s="24" t="b">
        <v>0</v>
      </c>
      <c r="D369" s="137">
        <v>1</v>
      </c>
      <c r="E369" s="138">
        <v>1</v>
      </c>
      <c r="F369" s="137" t="s">
        <v>85</v>
      </c>
      <c r="G369" s="137">
        <v>26</v>
      </c>
      <c r="H369" s="137">
        <v>0</v>
      </c>
      <c r="I369" s="137">
        <v>0</v>
      </c>
      <c r="J369" s="137">
        <v>78.849999999999994</v>
      </c>
      <c r="K369" s="137" t="s">
        <v>77</v>
      </c>
      <c r="L369" s="137" t="s">
        <v>86</v>
      </c>
      <c r="M369" s="137" t="s">
        <v>87</v>
      </c>
      <c r="N369" s="137" t="b">
        <v>0</v>
      </c>
      <c r="O369" s="137"/>
      <c r="P369" s="137" t="s">
        <v>83</v>
      </c>
      <c r="Q369" s="137" t="s">
        <v>89</v>
      </c>
      <c r="R369" s="137" t="b">
        <v>1</v>
      </c>
      <c r="S369" s="139">
        <v>1</v>
      </c>
      <c r="T369" s="139">
        <v>1.77346346721599E+19</v>
      </c>
    </row>
    <row r="370" spans="3:20">
      <c r="C370" s="24" t="b">
        <v>0</v>
      </c>
      <c r="D370" s="137">
        <v>1</v>
      </c>
      <c r="E370" s="138">
        <v>1</v>
      </c>
      <c r="F370" s="137" t="s">
        <v>85</v>
      </c>
      <c r="G370" s="137">
        <v>19</v>
      </c>
      <c r="H370" s="137">
        <v>1</v>
      </c>
      <c r="I370" s="137">
        <v>0</v>
      </c>
      <c r="J370" s="137">
        <v>91.0792</v>
      </c>
      <c r="K370" s="137" t="s">
        <v>82</v>
      </c>
      <c r="L370" s="137" t="s">
        <v>86</v>
      </c>
      <c r="M370" s="137" t="s">
        <v>87</v>
      </c>
      <c r="N370" s="137" t="b">
        <v>0</v>
      </c>
      <c r="O370" s="137" t="s">
        <v>98</v>
      </c>
      <c r="P370" s="137" t="s">
        <v>88</v>
      </c>
      <c r="Q370" s="137" t="s">
        <v>89</v>
      </c>
      <c r="R370" s="137" t="b">
        <v>0</v>
      </c>
      <c r="S370" s="139">
        <v>0</v>
      </c>
      <c r="T370" s="139">
        <v>8.9801804605796803E+18</v>
      </c>
    </row>
    <row r="371" spans="3:20">
      <c r="C371" s="24" t="b">
        <v>0</v>
      </c>
      <c r="D371" s="137">
        <v>0</v>
      </c>
      <c r="E371" s="138">
        <v>2</v>
      </c>
      <c r="F371" s="137" t="s">
        <v>75</v>
      </c>
      <c r="G371" s="137">
        <v>36</v>
      </c>
      <c r="H371" s="137">
        <v>0</v>
      </c>
      <c r="I371" s="137">
        <v>0</v>
      </c>
      <c r="J371" s="137">
        <v>12.875</v>
      </c>
      <c r="K371" s="137" t="s">
        <v>82</v>
      </c>
      <c r="L371" s="137" t="s">
        <v>94</v>
      </c>
      <c r="M371" s="137" t="s">
        <v>80</v>
      </c>
      <c r="N371" s="137" t="b">
        <v>1</v>
      </c>
      <c r="O371" s="137" t="s">
        <v>96</v>
      </c>
      <c r="P371" s="137" t="s">
        <v>88</v>
      </c>
      <c r="Q371" s="137" t="s">
        <v>84</v>
      </c>
      <c r="R371" s="137" t="b">
        <v>1</v>
      </c>
      <c r="S371" s="139">
        <v>0</v>
      </c>
      <c r="T371" s="139">
        <v>9.6859604811130102E+18</v>
      </c>
    </row>
    <row r="372" spans="3:20">
      <c r="C372" s="24" t="b">
        <v>0</v>
      </c>
      <c r="D372" s="137">
        <v>0</v>
      </c>
      <c r="E372" s="138">
        <v>3</v>
      </c>
      <c r="F372" s="137" t="s">
        <v>85</v>
      </c>
      <c r="G372" s="137">
        <v>24</v>
      </c>
      <c r="H372" s="137">
        <v>0</v>
      </c>
      <c r="I372" s="137">
        <v>0</v>
      </c>
      <c r="J372" s="137">
        <v>8.85</v>
      </c>
      <c r="K372" s="137" t="s">
        <v>77</v>
      </c>
      <c r="L372" s="137" t="s">
        <v>79</v>
      </c>
      <c r="M372" s="137" t="s">
        <v>87</v>
      </c>
      <c r="N372" s="137" t="b">
        <v>0</v>
      </c>
      <c r="O372" s="137"/>
      <c r="P372" s="137" t="s">
        <v>83</v>
      </c>
      <c r="Q372" s="137" t="s">
        <v>84</v>
      </c>
      <c r="R372" s="137" t="b">
        <v>1</v>
      </c>
      <c r="S372" s="139">
        <v>1</v>
      </c>
      <c r="T372" s="139">
        <v>3.9135367050793098E+18</v>
      </c>
    </row>
    <row r="373" spans="3:20">
      <c r="C373" s="24" t="b">
        <v>0</v>
      </c>
      <c r="D373" s="137">
        <v>0</v>
      </c>
      <c r="E373" s="138">
        <v>3</v>
      </c>
      <c r="F373" s="137" t="s">
        <v>75</v>
      </c>
      <c r="G373" s="137">
        <v>24</v>
      </c>
      <c r="H373" s="137">
        <v>0</v>
      </c>
      <c r="I373" s="137">
        <v>0</v>
      </c>
      <c r="J373" s="137">
        <v>7.8958000000000004</v>
      </c>
      <c r="K373" s="137" t="s">
        <v>77</v>
      </c>
      <c r="L373" s="137" t="s">
        <v>79</v>
      </c>
      <c r="M373" s="137" t="s">
        <v>80</v>
      </c>
      <c r="N373" s="137" t="b">
        <v>1</v>
      </c>
      <c r="O373" s="137"/>
      <c r="P373" s="137" t="s">
        <v>83</v>
      </c>
      <c r="Q373" s="137" t="s">
        <v>84</v>
      </c>
      <c r="R373" s="137" t="b">
        <v>1</v>
      </c>
      <c r="S373" s="139">
        <v>1</v>
      </c>
      <c r="T373" s="139">
        <v>1.3665593054706801E+19</v>
      </c>
    </row>
    <row r="374" spans="3:20">
      <c r="C374" s="24" t="b">
        <v>0</v>
      </c>
      <c r="D374" s="137">
        <v>0</v>
      </c>
      <c r="E374" s="138">
        <v>1</v>
      </c>
      <c r="F374" s="137" t="s">
        <v>75</v>
      </c>
      <c r="G374" s="137"/>
      <c r="H374" s="137">
        <v>0</v>
      </c>
      <c r="I374" s="137">
        <v>0</v>
      </c>
      <c r="J374" s="137">
        <v>27.720800000000001</v>
      </c>
      <c r="K374" s="137" t="s">
        <v>82</v>
      </c>
      <c r="L374" s="137" t="s">
        <v>86</v>
      </c>
      <c r="M374" s="137" t="s">
        <v>80</v>
      </c>
      <c r="N374" s="137" t="b">
        <v>1</v>
      </c>
      <c r="O374" s="137"/>
      <c r="P374" s="137" t="s">
        <v>88</v>
      </c>
      <c r="Q374" s="137" t="s">
        <v>84</v>
      </c>
      <c r="R374" s="137" t="b">
        <v>1</v>
      </c>
      <c r="S374" s="139">
        <v>1</v>
      </c>
      <c r="T374" s="139">
        <v>1.67028729440001E+19</v>
      </c>
    </row>
    <row r="375" spans="3:20">
      <c r="C375" s="24" t="b">
        <v>0</v>
      </c>
      <c r="D375" s="137">
        <v>0</v>
      </c>
      <c r="E375" s="138">
        <v>3</v>
      </c>
      <c r="F375" s="137" t="s">
        <v>75</v>
      </c>
      <c r="G375" s="137">
        <v>23.5</v>
      </c>
      <c r="H375" s="137">
        <v>0</v>
      </c>
      <c r="I375" s="137">
        <v>0</v>
      </c>
      <c r="J375" s="137">
        <v>7.2291999999999996</v>
      </c>
      <c r="K375" s="137" t="s">
        <v>82</v>
      </c>
      <c r="L375" s="137" t="s">
        <v>79</v>
      </c>
      <c r="M375" s="137" t="s">
        <v>80</v>
      </c>
      <c r="N375" s="137" t="b">
        <v>1</v>
      </c>
      <c r="O375" s="137"/>
      <c r="P375" s="137" t="s">
        <v>88</v>
      </c>
      <c r="Q375" s="137" t="s">
        <v>84</v>
      </c>
      <c r="R375" s="137" t="b">
        <v>1</v>
      </c>
      <c r="S375" s="139">
        <v>1</v>
      </c>
      <c r="T375" s="139">
        <v>9.5437627481035203E+18</v>
      </c>
    </row>
    <row r="376" spans="3:20">
      <c r="C376" s="24" t="b">
        <v>0</v>
      </c>
      <c r="D376" s="137">
        <v>0</v>
      </c>
      <c r="E376" s="138">
        <v>1</v>
      </c>
      <c r="F376" s="137" t="s">
        <v>85</v>
      </c>
      <c r="G376" s="137">
        <v>2</v>
      </c>
      <c r="H376" s="137">
        <v>1</v>
      </c>
      <c r="I376" s="137">
        <v>2</v>
      </c>
      <c r="J376" s="137">
        <v>151.55000000000001</v>
      </c>
      <c r="K376" s="137" t="s">
        <v>77</v>
      </c>
      <c r="L376" s="137" t="s">
        <v>86</v>
      </c>
      <c r="M376" s="137" t="s">
        <v>93</v>
      </c>
      <c r="N376" s="137" t="b">
        <v>0</v>
      </c>
      <c r="O376" s="137" t="s">
        <v>82</v>
      </c>
      <c r="P376" s="137" t="s">
        <v>83</v>
      </c>
      <c r="Q376" s="137" t="s">
        <v>84</v>
      </c>
      <c r="R376" s="137" t="b">
        <v>0</v>
      </c>
      <c r="S376" s="139">
        <v>0</v>
      </c>
      <c r="T376" s="139">
        <v>3.6547636939860598E+18</v>
      </c>
    </row>
    <row r="377" spans="3:20">
      <c r="C377" s="24" t="b">
        <v>0</v>
      </c>
      <c r="D377" s="137">
        <v>1</v>
      </c>
      <c r="E377" s="138">
        <v>1</v>
      </c>
      <c r="F377" s="137" t="s">
        <v>75</v>
      </c>
      <c r="G377" s="137"/>
      <c r="H377" s="137">
        <v>0</v>
      </c>
      <c r="I377" s="137">
        <v>0</v>
      </c>
      <c r="J377" s="137">
        <v>30.5</v>
      </c>
      <c r="K377" s="137" t="s">
        <v>77</v>
      </c>
      <c r="L377" s="137" t="s">
        <v>86</v>
      </c>
      <c r="M377" s="137" t="s">
        <v>80</v>
      </c>
      <c r="N377" s="137" t="b">
        <v>1</v>
      </c>
      <c r="O377" s="137" t="s">
        <v>82</v>
      </c>
      <c r="P377" s="137" t="s">
        <v>83</v>
      </c>
      <c r="Q377" s="137" t="s">
        <v>89</v>
      </c>
      <c r="R377" s="137" t="b">
        <v>1</v>
      </c>
      <c r="S377" s="139">
        <v>1</v>
      </c>
      <c r="T377" s="139">
        <v>1.6766148369515999E+19</v>
      </c>
    </row>
    <row r="378" spans="3:20">
      <c r="C378" s="24" t="b">
        <v>0</v>
      </c>
      <c r="D378" s="137">
        <v>1</v>
      </c>
      <c r="E378" s="138">
        <v>1</v>
      </c>
      <c r="F378" s="137" t="s">
        <v>85</v>
      </c>
      <c r="G378" s="137">
        <v>50</v>
      </c>
      <c r="H378" s="137">
        <v>0</v>
      </c>
      <c r="I378" s="137">
        <v>1</v>
      </c>
      <c r="J378" s="137">
        <v>247.52080000000001</v>
      </c>
      <c r="K378" s="137" t="s">
        <v>82</v>
      </c>
      <c r="L378" s="137" t="s">
        <v>86</v>
      </c>
      <c r="M378" s="137" t="s">
        <v>87</v>
      </c>
      <c r="N378" s="137" t="b">
        <v>0</v>
      </c>
      <c r="O378" s="137" t="s">
        <v>98</v>
      </c>
      <c r="P378" s="137" t="s">
        <v>88</v>
      </c>
      <c r="Q378" s="137" t="s">
        <v>89</v>
      </c>
      <c r="R378" s="137" t="b">
        <v>0</v>
      </c>
      <c r="S378" s="139">
        <v>0</v>
      </c>
      <c r="T378" s="139">
        <v>1.70135494072693E+19</v>
      </c>
    </row>
    <row r="379" spans="3:20">
      <c r="C379" s="24" t="b">
        <v>0</v>
      </c>
      <c r="D379" s="137">
        <v>1</v>
      </c>
      <c r="E379" s="138">
        <v>3</v>
      </c>
      <c r="F379" s="137" t="s">
        <v>85</v>
      </c>
      <c r="G379" s="137"/>
      <c r="H379" s="137">
        <v>0</v>
      </c>
      <c r="I379" s="137">
        <v>0</v>
      </c>
      <c r="J379" s="137">
        <v>7.75</v>
      </c>
      <c r="K379" s="137" t="s">
        <v>90</v>
      </c>
      <c r="L379" s="137" t="s">
        <v>79</v>
      </c>
      <c r="M379" s="137" t="s">
        <v>87</v>
      </c>
      <c r="N379" s="137" t="b">
        <v>0</v>
      </c>
      <c r="O379" s="137"/>
      <c r="P379" s="137" t="s">
        <v>91</v>
      </c>
      <c r="Q379" s="137" t="s">
        <v>89</v>
      </c>
      <c r="R379" s="137" t="b">
        <v>1</v>
      </c>
      <c r="S379" s="139">
        <v>1</v>
      </c>
      <c r="T379" s="139">
        <v>9.6415297742023398E+17</v>
      </c>
    </row>
    <row r="380" spans="3:20">
      <c r="C380" s="24" t="b">
        <v>0</v>
      </c>
      <c r="D380" s="137">
        <v>1</v>
      </c>
      <c r="E380" s="138">
        <v>3</v>
      </c>
      <c r="F380" s="137" t="s">
        <v>75</v>
      </c>
      <c r="G380" s="137"/>
      <c r="H380" s="137">
        <v>2</v>
      </c>
      <c r="I380" s="137">
        <v>0</v>
      </c>
      <c r="J380" s="137">
        <v>23.25</v>
      </c>
      <c r="K380" s="137" t="s">
        <v>90</v>
      </c>
      <c r="L380" s="137" t="s">
        <v>79</v>
      </c>
      <c r="M380" s="137" t="s">
        <v>80</v>
      </c>
      <c r="N380" s="137" t="b">
        <v>1</v>
      </c>
      <c r="O380" s="137"/>
      <c r="P380" s="137" t="s">
        <v>91</v>
      </c>
      <c r="Q380" s="137" t="s">
        <v>89</v>
      </c>
      <c r="R380" s="137" t="b">
        <v>0</v>
      </c>
      <c r="S380" s="139">
        <v>1</v>
      </c>
      <c r="T380" s="139">
        <v>6.6761612449761905E+18</v>
      </c>
    </row>
    <row r="381" spans="3:20">
      <c r="C381" s="24" t="b">
        <v>0</v>
      </c>
      <c r="D381" s="137">
        <v>0</v>
      </c>
      <c r="E381" s="138">
        <v>3</v>
      </c>
      <c r="F381" s="137" t="s">
        <v>75</v>
      </c>
      <c r="G381" s="137">
        <v>19</v>
      </c>
      <c r="H381" s="137">
        <v>0</v>
      </c>
      <c r="I381" s="137">
        <v>0</v>
      </c>
      <c r="J381" s="137">
        <v>0</v>
      </c>
      <c r="K381" s="137" t="s">
        <v>77</v>
      </c>
      <c r="L381" s="137" t="s">
        <v>79</v>
      </c>
      <c r="M381" s="137" t="s">
        <v>80</v>
      </c>
      <c r="N381" s="137" t="b">
        <v>1</v>
      </c>
      <c r="O381" s="137"/>
      <c r="P381" s="137" t="s">
        <v>83</v>
      </c>
      <c r="Q381" s="137" t="s">
        <v>84</v>
      </c>
      <c r="R381" s="137" t="b">
        <v>1</v>
      </c>
      <c r="S381" s="139">
        <v>1</v>
      </c>
      <c r="T381" s="139">
        <v>1.2623684951734E+19</v>
      </c>
    </row>
    <row r="382" spans="3:20">
      <c r="C382" s="24" t="b">
        <v>0</v>
      </c>
      <c r="D382" s="137">
        <v>1</v>
      </c>
      <c r="E382" s="138">
        <v>2</v>
      </c>
      <c r="F382" s="137" t="s">
        <v>85</v>
      </c>
      <c r="G382" s="137"/>
      <c r="H382" s="137">
        <v>0</v>
      </c>
      <c r="I382" s="137">
        <v>0</v>
      </c>
      <c r="J382" s="137">
        <v>12.35</v>
      </c>
      <c r="K382" s="137" t="s">
        <v>90</v>
      </c>
      <c r="L382" s="137" t="s">
        <v>94</v>
      </c>
      <c r="M382" s="137" t="s">
        <v>87</v>
      </c>
      <c r="N382" s="137" t="b">
        <v>0</v>
      </c>
      <c r="O382" s="137" t="s">
        <v>92</v>
      </c>
      <c r="P382" s="137" t="s">
        <v>91</v>
      </c>
      <c r="Q382" s="137" t="s">
        <v>89</v>
      </c>
      <c r="R382" s="137" t="b">
        <v>1</v>
      </c>
      <c r="S382" s="139">
        <v>1</v>
      </c>
      <c r="T382" s="139">
        <v>5.6441492376254003E+18</v>
      </c>
    </row>
    <row r="383" spans="3:20">
      <c r="C383" s="24" t="b">
        <v>0</v>
      </c>
      <c r="D383" s="137">
        <v>0</v>
      </c>
      <c r="E383" s="138">
        <v>3</v>
      </c>
      <c r="F383" s="137" t="s">
        <v>75</v>
      </c>
      <c r="G383" s="137"/>
      <c r="H383" s="137">
        <v>0</v>
      </c>
      <c r="I383" s="137">
        <v>0</v>
      </c>
      <c r="J383" s="137">
        <v>8.0500000000000007</v>
      </c>
      <c r="K383" s="137" t="s">
        <v>77</v>
      </c>
      <c r="L383" s="137" t="s">
        <v>79</v>
      </c>
      <c r="M383" s="137" t="s">
        <v>80</v>
      </c>
      <c r="N383" s="137" t="b">
        <v>1</v>
      </c>
      <c r="O383" s="137"/>
      <c r="P383" s="137" t="s">
        <v>83</v>
      </c>
      <c r="Q383" s="137" t="s">
        <v>84</v>
      </c>
      <c r="R383" s="137" t="b">
        <v>1</v>
      </c>
      <c r="S383" s="139">
        <v>1</v>
      </c>
      <c r="T383" s="139">
        <v>1.0519935439659201E+19</v>
      </c>
    </row>
    <row r="384" spans="3:20">
      <c r="C384" s="24" t="b">
        <v>0</v>
      </c>
      <c r="D384" s="137">
        <v>1</v>
      </c>
      <c r="E384" s="138">
        <v>1</v>
      </c>
      <c r="F384" s="137" t="s">
        <v>75</v>
      </c>
      <c r="G384" s="137">
        <v>0.92</v>
      </c>
      <c r="H384" s="137">
        <v>1</v>
      </c>
      <c r="I384" s="137">
        <v>2</v>
      </c>
      <c r="J384" s="137">
        <v>151.55000000000001</v>
      </c>
      <c r="K384" s="137" t="s">
        <v>77</v>
      </c>
      <c r="L384" s="137" t="s">
        <v>86</v>
      </c>
      <c r="M384" s="137" t="s">
        <v>93</v>
      </c>
      <c r="N384" s="137" t="b">
        <v>0</v>
      </c>
      <c r="O384" s="137" t="s">
        <v>82</v>
      </c>
      <c r="P384" s="137" t="s">
        <v>83</v>
      </c>
      <c r="Q384" s="137" t="s">
        <v>89</v>
      </c>
      <c r="R384" s="137" t="b">
        <v>0</v>
      </c>
      <c r="S384" s="139">
        <v>0</v>
      </c>
      <c r="T384" s="139">
        <v>1.77917254537385E+19</v>
      </c>
    </row>
    <row r="385" spans="3:20">
      <c r="C385" s="24" t="b">
        <v>0</v>
      </c>
      <c r="D385" s="137">
        <v>1</v>
      </c>
      <c r="E385" s="138">
        <v>1</v>
      </c>
      <c r="F385" s="137" t="s">
        <v>85</v>
      </c>
      <c r="G385" s="137"/>
      <c r="H385" s="137">
        <v>0</v>
      </c>
      <c r="I385" s="137">
        <v>0</v>
      </c>
      <c r="J385" s="137">
        <v>110.88330000000001</v>
      </c>
      <c r="K385" s="137" t="s">
        <v>82</v>
      </c>
      <c r="L385" s="137" t="s">
        <v>86</v>
      </c>
      <c r="M385" s="137" t="s">
        <v>87</v>
      </c>
      <c r="N385" s="137" t="b">
        <v>0</v>
      </c>
      <c r="O385" s="137"/>
      <c r="P385" s="137" t="s">
        <v>88</v>
      </c>
      <c r="Q385" s="137" t="s">
        <v>89</v>
      </c>
      <c r="R385" s="137" t="b">
        <v>1</v>
      </c>
      <c r="S385" s="139">
        <v>1</v>
      </c>
      <c r="T385" s="139">
        <v>4.8677097903959204E+18</v>
      </c>
    </row>
    <row r="386" spans="3:20">
      <c r="C386" s="24" t="b">
        <v>0</v>
      </c>
      <c r="D386" s="137">
        <v>1</v>
      </c>
      <c r="E386" s="138">
        <v>1</v>
      </c>
      <c r="F386" s="137" t="s">
        <v>85</v>
      </c>
      <c r="G386" s="137">
        <v>17</v>
      </c>
      <c r="H386" s="137">
        <v>1</v>
      </c>
      <c r="I386" s="137">
        <v>0</v>
      </c>
      <c r="J386" s="137">
        <v>108.9</v>
      </c>
      <c r="K386" s="137" t="s">
        <v>82</v>
      </c>
      <c r="L386" s="137" t="s">
        <v>86</v>
      </c>
      <c r="M386" s="137" t="s">
        <v>87</v>
      </c>
      <c r="N386" s="137" t="b">
        <v>0</v>
      </c>
      <c r="O386" s="137" t="s">
        <v>82</v>
      </c>
      <c r="P386" s="137" t="s">
        <v>88</v>
      </c>
      <c r="Q386" s="137" t="s">
        <v>89</v>
      </c>
      <c r="R386" s="137" t="b">
        <v>0</v>
      </c>
      <c r="S386" s="139">
        <v>0</v>
      </c>
      <c r="T386" s="139">
        <v>6.2356375047086295E+18</v>
      </c>
    </row>
    <row r="387" spans="3:20">
      <c r="C387" s="24" t="b">
        <v>0</v>
      </c>
      <c r="D387" s="137">
        <v>0</v>
      </c>
      <c r="E387" s="138">
        <v>2</v>
      </c>
      <c r="F387" s="137" t="s">
        <v>75</v>
      </c>
      <c r="G387" s="137">
        <v>30</v>
      </c>
      <c r="H387" s="137">
        <v>1</v>
      </c>
      <c r="I387" s="137">
        <v>0</v>
      </c>
      <c r="J387" s="137">
        <v>24</v>
      </c>
      <c r="K387" s="137" t="s">
        <v>82</v>
      </c>
      <c r="L387" s="137" t="s">
        <v>94</v>
      </c>
      <c r="M387" s="137" t="s">
        <v>80</v>
      </c>
      <c r="N387" s="137" t="b">
        <v>1</v>
      </c>
      <c r="O387" s="137"/>
      <c r="P387" s="137" t="s">
        <v>88</v>
      </c>
      <c r="Q387" s="137" t="s">
        <v>84</v>
      </c>
      <c r="R387" s="137" t="b">
        <v>0</v>
      </c>
      <c r="S387" s="139">
        <v>1</v>
      </c>
      <c r="T387" s="139">
        <v>2.4498338679810499E+18</v>
      </c>
    </row>
    <row r="388" spans="3:20">
      <c r="C388" s="24" t="b">
        <v>0</v>
      </c>
      <c r="D388" s="137">
        <v>1</v>
      </c>
      <c r="E388" s="138">
        <v>1</v>
      </c>
      <c r="F388" s="137" t="s">
        <v>85</v>
      </c>
      <c r="G388" s="137">
        <v>30</v>
      </c>
      <c r="H388" s="137">
        <v>0</v>
      </c>
      <c r="I388" s="137">
        <v>0</v>
      </c>
      <c r="J388" s="137">
        <v>56.929200000000002</v>
      </c>
      <c r="K388" s="137" t="s">
        <v>82</v>
      </c>
      <c r="L388" s="137" t="s">
        <v>86</v>
      </c>
      <c r="M388" s="137" t="s">
        <v>87</v>
      </c>
      <c r="N388" s="137" t="b">
        <v>0</v>
      </c>
      <c r="O388" s="137" t="s">
        <v>92</v>
      </c>
      <c r="P388" s="137" t="s">
        <v>88</v>
      </c>
      <c r="Q388" s="137" t="s">
        <v>89</v>
      </c>
      <c r="R388" s="137" t="b">
        <v>1</v>
      </c>
      <c r="S388" s="139">
        <v>0</v>
      </c>
      <c r="T388" s="139">
        <v>1.02005004318685E+19</v>
      </c>
    </row>
    <row r="389" spans="3:20">
      <c r="C389" s="24" t="b">
        <v>0</v>
      </c>
      <c r="D389" s="137">
        <v>1</v>
      </c>
      <c r="E389" s="138">
        <v>1</v>
      </c>
      <c r="F389" s="137" t="s">
        <v>85</v>
      </c>
      <c r="G389" s="137">
        <v>24</v>
      </c>
      <c r="H389" s="137">
        <v>0</v>
      </c>
      <c r="I389" s="137">
        <v>0</v>
      </c>
      <c r="J389" s="137">
        <v>83.158299999999997</v>
      </c>
      <c r="K389" s="137" t="s">
        <v>82</v>
      </c>
      <c r="L389" s="137" t="s">
        <v>86</v>
      </c>
      <c r="M389" s="137" t="s">
        <v>87</v>
      </c>
      <c r="N389" s="137" t="b">
        <v>0</v>
      </c>
      <c r="O389" s="137" t="s">
        <v>82</v>
      </c>
      <c r="P389" s="137" t="s">
        <v>88</v>
      </c>
      <c r="Q389" s="137" t="s">
        <v>89</v>
      </c>
      <c r="R389" s="137" t="b">
        <v>1</v>
      </c>
      <c r="S389" s="139">
        <v>0</v>
      </c>
      <c r="T389" s="139">
        <v>1.5686890017861599E+19</v>
      </c>
    </row>
    <row r="390" spans="3:20">
      <c r="C390" s="24" t="b">
        <v>0</v>
      </c>
      <c r="D390" s="137">
        <v>1</v>
      </c>
      <c r="E390" s="138">
        <v>1</v>
      </c>
      <c r="F390" s="137" t="s">
        <v>85</v>
      </c>
      <c r="G390" s="137">
        <v>18</v>
      </c>
      <c r="H390" s="137">
        <v>2</v>
      </c>
      <c r="I390" s="137">
        <v>2</v>
      </c>
      <c r="J390" s="137">
        <v>262.375</v>
      </c>
      <c r="K390" s="137" t="s">
        <v>82</v>
      </c>
      <c r="L390" s="137" t="s">
        <v>86</v>
      </c>
      <c r="M390" s="137" t="s">
        <v>87</v>
      </c>
      <c r="N390" s="137" t="b">
        <v>0</v>
      </c>
      <c r="O390" s="137" t="s">
        <v>98</v>
      </c>
      <c r="P390" s="137" t="s">
        <v>88</v>
      </c>
      <c r="Q390" s="137" t="s">
        <v>89</v>
      </c>
      <c r="R390" s="137" t="b">
        <v>0</v>
      </c>
      <c r="S390" s="139">
        <v>0</v>
      </c>
      <c r="T390" s="139">
        <v>2.07487687981775E+18</v>
      </c>
    </row>
    <row r="391" spans="3:20">
      <c r="C391" s="24" t="b">
        <v>0</v>
      </c>
      <c r="D391" s="137">
        <v>0</v>
      </c>
      <c r="E391" s="138">
        <v>2</v>
      </c>
      <c r="F391" s="137" t="s">
        <v>85</v>
      </c>
      <c r="G391" s="137">
        <v>26</v>
      </c>
      <c r="H391" s="137">
        <v>1</v>
      </c>
      <c r="I391" s="137">
        <v>1</v>
      </c>
      <c r="J391" s="137">
        <v>26</v>
      </c>
      <c r="K391" s="137" t="s">
        <v>77</v>
      </c>
      <c r="L391" s="137" t="s">
        <v>94</v>
      </c>
      <c r="M391" s="137" t="s">
        <v>87</v>
      </c>
      <c r="N391" s="137" t="b">
        <v>0</v>
      </c>
      <c r="O391" s="137"/>
      <c r="P391" s="137" t="s">
        <v>83</v>
      </c>
      <c r="Q391" s="137" t="s">
        <v>84</v>
      </c>
      <c r="R391" s="137" t="b">
        <v>0</v>
      </c>
      <c r="S391" s="139">
        <v>1</v>
      </c>
      <c r="T391" s="139">
        <v>1.28061056294343E+19</v>
      </c>
    </row>
    <row r="392" spans="3:20">
      <c r="C392" s="24" t="b">
        <v>0</v>
      </c>
      <c r="D392" s="137">
        <v>0</v>
      </c>
      <c r="E392" s="138">
        <v>3</v>
      </c>
      <c r="F392" s="137" t="s">
        <v>75</v>
      </c>
      <c r="G392" s="137">
        <v>28</v>
      </c>
      <c r="H392" s="137">
        <v>0</v>
      </c>
      <c r="I392" s="137">
        <v>0</v>
      </c>
      <c r="J392" s="137">
        <v>7.8958000000000004</v>
      </c>
      <c r="K392" s="137" t="s">
        <v>77</v>
      </c>
      <c r="L392" s="137" t="s">
        <v>79</v>
      </c>
      <c r="M392" s="137" t="s">
        <v>80</v>
      </c>
      <c r="N392" s="137" t="b">
        <v>1</v>
      </c>
      <c r="O392" s="137"/>
      <c r="P392" s="137" t="s">
        <v>83</v>
      </c>
      <c r="Q392" s="137" t="s">
        <v>84</v>
      </c>
      <c r="R392" s="137" t="b">
        <v>1</v>
      </c>
      <c r="S392" s="139">
        <v>1</v>
      </c>
      <c r="T392" s="139">
        <v>1.26909617605963E+19</v>
      </c>
    </row>
    <row r="393" spans="3:20">
      <c r="C393" s="24" t="b">
        <v>0</v>
      </c>
      <c r="D393" s="137">
        <v>0</v>
      </c>
      <c r="E393" s="138">
        <v>2</v>
      </c>
      <c r="F393" s="137" t="s">
        <v>75</v>
      </c>
      <c r="G393" s="137">
        <v>43</v>
      </c>
      <c r="H393" s="137">
        <v>1</v>
      </c>
      <c r="I393" s="137">
        <v>1</v>
      </c>
      <c r="J393" s="137">
        <v>26.25</v>
      </c>
      <c r="K393" s="137" t="s">
        <v>77</v>
      </c>
      <c r="L393" s="137" t="s">
        <v>94</v>
      </c>
      <c r="M393" s="137" t="s">
        <v>80</v>
      </c>
      <c r="N393" s="137" t="b">
        <v>1</v>
      </c>
      <c r="O393" s="137"/>
      <c r="P393" s="137" t="s">
        <v>83</v>
      </c>
      <c r="Q393" s="137" t="s">
        <v>84</v>
      </c>
      <c r="R393" s="137" t="b">
        <v>0</v>
      </c>
      <c r="S393" s="139">
        <v>1</v>
      </c>
      <c r="T393" s="139">
        <v>2.8780791009791401E+18</v>
      </c>
    </row>
    <row r="394" spans="3:20">
      <c r="C394" s="24" t="b">
        <v>0</v>
      </c>
      <c r="D394" s="137">
        <v>1</v>
      </c>
      <c r="E394" s="138">
        <v>3</v>
      </c>
      <c r="F394" s="137" t="s">
        <v>85</v>
      </c>
      <c r="G394" s="137">
        <v>26</v>
      </c>
      <c r="H394" s="137">
        <v>0</v>
      </c>
      <c r="I394" s="137">
        <v>0</v>
      </c>
      <c r="J394" s="137">
        <v>7.8541999999999996</v>
      </c>
      <c r="K394" s="137" t="s">
        <v>77</v>
      </c>
      <c r="L394" s="137" t="s">
        <v>79</v>
      </c>
      <c r="M394" s="137" t="s">
        <v>87</v>
      </c>
      <c r="N394" s="137" t="b">
        <v>0</v>
      </c>
      <c r="O394" s="137"/>
      <c r="P394" s="137" t="s">
        <v>83</v>
      </c>
      <c r="Q394" s="137" t="s">
        <v>89</v>
      </c>
      <c r="R394" s="137" t="b">
        <v>1</v>
      </c>
      <c r="S394" s="139">
        <v>1</v>
      </c>
      <c r="T394" s="139">
        <v>1.10682628447983E+19</v>
      </c>
    </row>
    <row r="395" spans="3:20">
      <c r="C395" s="24" t="b">
        <v>0</v>
      </c>
      <c r="D395" s="137">
        <v>1</v>
      </c>
      <c r="E395" s="138">
        <v>2</v>
      </c>
      <c r="F395" s="137" t="s">
        <v>85</v>
      </c>
      <c r="G395" s="137">
        <v>24</v>
      </c>
      <c r="H395" s="137">
        <v>1</v>
      </c>
      <c r="I395" s="137">
        <v>0</v>
      </c>
      <c r="J395" s="137">
        <v>26</v>
      </c>
      <c r="K395" s="137" t="s">
        <v>77</v>
      </c>
      <c r="L395" s="137" t="s">
        <v>94</v>
      </c>
      <c r="M395" s="137" t="s">
        <v>87</v>
      </c>
      <c r="N395" s="137" t="b">
        <v>0</v>
      </c>
      <c r="O395" s="137"/>
      <c r="P395" s="137" t="s">
        <v>83</v>
      </c>
      <c r="Q395" s="137" t="s">
        <v>89</v>
      </c>
      <c r="R395" s="137" t="b">
        <v>0</v>
      </c>
      <c r="S395" s="139">
        <v>1</v>
      </c>
      <c r="T395" s="139">
        <v>5.7548897490203003E+18</v>
      </c>
    </row>
    <row r="396" spans="3:20">
      <c r="C396" s="24" t="b">
        <v>0</v>
      </c>
      <c r="D396" s="137">
        <v>0</v>
      </c>
      <c r="E396" s="138">
        <v>2</v>
      </c>
      <c r="F396" s="137" t="s">
        <v>75</v>
      </c>
      <c r="G396" s="137">
        <v>54</v>
      </c>
      <c r="H396" s="137">
        <v>0</v>
      </c>
      <c r="I396" s="137">
        <v>0</v>
      </c>
      <c r="J396" s="137">
        <v>14</v>
      </c>
      <c r="K396" s="137" t="s">
        <v>77</v>
      </c>
      <c r="L396" s="137" t="s">
        <v>94</v>
      </c>
      <c r="M396" s="137" t="s">
        <v>80</v>
      </c>
      <c r="N396" s="137" t="b">
        <v>1</v>
      </c>
      <c r="O396" s="137"/>
      <c r="P396" s="137" t="s">
        <v>83</v>
      </c>
      <c r="Q396" s="137" t="s">
        <v>84</v>
      </c>
      <c r="R396" s="137" t="b">
        <v>1</v>
      </c>
      <c r="S396" s="139">
        <v>1</v>
      </c>
      <c r="T396" s="139">
        <v>7.5735566454494502E+17</v>
      </c>
    </row>
    <row r="397" spans="3:20">
      <c r="C397" s="24" t="b">
        <v>0</v>
      </c>
      <c r="D397" s="137">
        <v>1</v>
      </c>
      <c r="E397" s="138">
        <v>1</v>
      </c>
      <c r="F397" s="137" t="s">
        <v>85</v>
      </c>
      <c r="G397" s="137">
        <v>31</v>
      </c>
      <c r="H397" s="137">
        <v>0</v>
      </c>
      <c r="I397" s="137">
        <v>2</v>
      </c>
      <c r="J397" s="137">
        <v>164.86670000000001</v>
      </c>
      <c r="K397" s="137" t="s">
        <v>77</v>
      </c>
      <c r="L397" s="137" t="s">
        <v>86</v>
      </c>
      <c r="M397" s="137" t="s">
        <v>87</v>
      </c>
      <c r="N397" s="137" t="b">
        <v>0</v>
      </c>
      <c r="O397" s="137" t="s">
        <v>82</v>
      </c>
      <c r="P397" s="137" t="s">
        <v>83</v>
      </c>
      <c r="Q397" s="137" t="s">
        <v>89</v>
      </c>
      <c r="R397" s="137" t="b">
        <v>0</v>
      </c>
      <c r="S397" s="139">
        <v>0</v>
      </c>
      <c r="T397" s="139">
        <v>5.82496011046929E+18</v>
      </c>
    </row>
    <row r="398" spans="3:20">
      <c r="C398" s="24" t="b">
        <v>0</v>
      </c>
      <c r="D398" s="137">
        <v>1</v>
      </c>
      <c r="E398" s="138">
        <v>1</v>
      </c>
      <c r="F398" s="137" t="s">
        <v>85</v>
      </c>
      <c r="G398" s="137">
        <v>40</v>
      </c>
      <c r="H398" s="137">
        <v>1</v>
      </c>
      <c r="I398" s="137">
        <v>1</v>
      </c>
      <c r="J398" s="137">
        <v>134.5</v>
      </c>
      <c r="K398" s="137" t="s">
        <v>82</v>
      </c>
      <c r="L398" s="137" t="s">
        <v>86</v>
      </c>
      <c r="M398" s="137" t="s">
        <v>87</v>
      </c>
      <c r="N398" s="137" t="b">
        <v>0</v>
      </c>
      <c r="O398" s="137" t="s">
        <v>92</v>
      </c>
      <c r="P398" s="137" t="s">
        <v>88</v>
      </c>
      <c r="Q398" s="137" t="s">
        <v>89</v>
      </c>
      <c r="R398" s="137" t="b">
        <v>0</v>
      </c>
      <c r="S398" s="139">
        <v>0</v>
      </c>
      <c r="T398" s="139">
        <v>1.1080873305303099E+19</v>
      </c>
    </row>
    <row r="399" spans="3:20">
      <c r="C399" s="24" t="b">
        <v>0</v>
      </c>
      <c r="D399" s="137">
        <v>0</v>
      </c>
      <c r="E399" s="138">
        <v>3</v>
      </c>
      <c r="F399" s="137" t="s">
        <v>75</v>
      </c>
      <c r="G399" s="137">
        <v>22</v>
      </c>
      <c r="H399" s="137">
        <v>0</v>
      </c>
      <c r="I399" s="137">
        <v>0</v>
      </c>
      <c r="J399" s="137">
        <v>7.25</v>
      </c>
      <c r="K399" s="137" t="s">
        <v>77</v>
      </c>
      <c r="L399" s="137" t="s">
        <v>79</v>
      </c>
      <c r="M399" s="137" t="s">
        <v>80</v>
      </c>
      <c r="N399" s="137" t="b">
        <v>1</v>
      </c>
      <c r="O399" s="137"/>
      <c r="P399" s="137" t="s">
        <v>83</v>
      </c>
      <c r="Q399" s="137" t="s">
        <v>84</v>
      </c>
      <c r="R399" s="137" t="b">
        <v>1</v>
      </c>
      <c r="S399" s="139">
        <v>1</v>
      </c>
      <c r="T399" s="139">
        <v>1.53533716193414E+19</v>
      </c>
    </row>
    <row r="400" spans="3:20">
      <c r="C400" s="24" t="b">
        <v>0</v>
      </c>
      <c r="D400" s="137">
        <v>0</v>
      </c>
      <c r="E400" s="138">
        <v>3</v>
      </c>
      <c r="F400" s="137" t="s">
        <v>75</v>
      </c>
      <c r="G400" s="137">
        <v>27</v>
      </c>
      <c r="H400" s="137">
        <v>0</v>
      </c>
      <c r="I400" s="137">
        <v>0</v>
      </c>
      <c r="J400" s="137">
        <v>7.8958000000000004</v>
      </c>
      <c r="K400" s="137" t="s">
        <v>77</v>
      </c>
      <c r="L400" s="137" t="s">
        <v>79</v>
      </c>
      <c r="M400" s="137" t="s">
        <v>80</v>
      </c>
      <c r="N400" s="137" t="b">
        <v>1</v>
      </c>
      <c r="O400" s="137"/>
      <c r="P400" s="137" t="s">
        <v>83</v>
      </c>
      <c r="Q400" s="137" t="s">
        <v>84</v>
      </c>
      <c r="R400" s="137" t="b">
        <v>1</v>
      </c>
      <c r="S400" s="139">
        <v>1</v>
      </c>
      <c r="T400" s="139">
        <v>4.7232996567427604E+18</v>
      </c>
    </row>
    <row r="401" spans="3:20">
      <c r="C401" s="24" t="b">
        <v>0</v>
      </c>
      <c r="D401" s="137">
        <v>1</v>
      </c>
      <c r="E401" s="138">
        <v>2</v>
      </c>
      <c r="F401" s="137" t="s">
        <v>85</v>
      </c>
      <c r="G401" s="137">
        <v>30</v>
      </c>
      <c r="H401" s="137">
        <v>0</v>
      </c>
      <c r="I401" s="137">
        <v>0</v>
      </c>
      <c r="J401" s="137">
        <v>12.35</v>
      </c>
      <c r="K401" s="137" t="s">
        <v>90</v>
      </c>
      <c r="L401" s="137" t="s">
        <v>94</v>
      </c>
      <c r="M401" s="137" t="s">
        <v>87</v>
      </c>
      <c r="N401" s="137" t="b">
        <v>0</v>
      </c>
      <c r="O401" s="137"/>
      <c r="P401" s="137" t="s">
        <v>91</v>
      </c>
      <c r="Q401" s="137" t="s">
        <v>89</v>
      </c>
      <c r="R401" s="137" t="b">
        <v>1</v>
      </c>
      <c r="S401" s="139">
        <v>1</v>
      </c>
      <c r="T401" s="139">
        <v>6.7196542277450496E+18</v>
      </c>
    </row>
    <row r="402" spans="3:20">
      <c r="C402" s="24" t="b">
        <v>0</v>
      </c>
      <c r="D402" s="137">
        <v>1</v>
      </c>
      <c r="E402" s="138">
        <v>2</v>
      </c>
      <c r="F402" s="137" t="s">
        <v>85</v>
      </c>
      <c r="G402" s="137">
        <v>22</v>
      </c>
      <c r="H402" s="137">
        <v>1</v>
      </c>
      <c r="I402" s="137">
        <v>1</v>
      </c>
      <c r="J402" s="137">
        <v>29</v>
      </c>
      <c r="K402" s="137" t="s">
        <v>77</v>
      </c>
      <c r="L402" s="137" t="s">
        <v>94</v>
      </c>
      <c r="M402" s="137" t="s">
        <v>87</v>
      </c>
      <c r="N402" s="137" t="b">
        <v>0</v>
      </c>
      <c r="O402" s="137"/>
      <c r="P402" s="137" t="s">
        <v>83</v>
      </c>
      <c r="Q402" s="137" t="s">
        <v>89</v>
      </c>
      <c r="R402" s="137" t="b">
        <v>0</v>
      </c>
      <c r="S402" s="139">
        <v>1</v>
      </c>
      <c r="T402" s="139">
        <v>6.2057247021075098E+18</v>
      </c>
    </row>
    <row r="403" spans="3:20">
      <c r="C403" s="24" t="b">
        <v>0</v>
      </c>
      <c r="D403" s="137">
        <v>0</v>
      </c>
      <c r="E403" s="138">
        <v>3</v>
      </c>
      <c r="F403" s="137" t="s">
        <v>75</v>
      </c>
      <c r="G403" s="137"/>
      <c r="H403" s="137">
        <v>8</v>
      </c>
      <c r="I403" s="137">
        <v>2</v>
      </c>
      <c r="J403" s="137">
        <v>69.55</v>
      </c>
      <c r="K403" s="137" t="s">
        <v>77</v>
      </c>
      <c r="L403" s="137" t="s">
        <v>79</v>
      </c>
      <c r="M403" s="137" t="s">
        <v>80</v>
      </c>
      <c r="N403" s="137" t="b">
        <v>1</v>
      </c>
      <c r="O403" s="137"/>
      <c r="P403" s="137" t="s">
        <v>83</v>
      </c>
      <c r="Q403" s="137" t="s">
        <v>84</v>
      </c>
      <c r="R403" s="137" t="b">
        <v>0</v>
      </c>
      <c r="S403" s="139">
        <v>1</v>
      </c>
      <c r="T403" s="139">
        <v>1.2395330416317399E+19</v>
      </c>
    </row>
    <row r="404" spans="3:20">
      <c r="C404" s="24" t="b">
        <v>0</v>
      </c>
      <c r="D404" s="137">
        <v>1</v>
      </c>
      <c r="E404" s="138">
        <v>1</v>
      </c>
      <c r="F404" s="137" t="s">
        <v>85</v>
      </c>
      <c r="G404" s="137">
        <v>36</v>
      </c>
      <c r="H404" s="137">
        <v>0</v>
      </c>
      <c r="I404" s="137">
        <v>0</v>
      </c>
      <c r="J404" s="137">
        <v>135.63329999999999</v>
      </c>
      <c r="K404" s="137" t="s">
        <v>82</v>
      </c>
      <c r="L404" s="137" t="s">
        <v>86</v>
      </c>
      <c r="M404" s="137" t="s">
        <v>87</v>
      </c>
      <c r="N404" s="137" t="b">
        <v>0</v>
      </c>
      <c r="O404" s="137" t="s">
        <v>82</v>
      </c>
      <c r="P404" s="137" t="s">
        <v>88</v>
      </c>
      <c r="Q404" s="137" t="s">
        <v>89</v>
      </c>
      <c r="R404" s="137" t="b">
        <v>1</v>
      </c>
      <c r="S404" s="139">
        <v>0</v>
      </c>
      <c r="T404" s="139">
        <v>1.5504267919476001E+19</v>
      </c>
    </row>
    <row r="405" spans="3:20">
      <c r="C405" s="24" t="b">
        <v>0</v>
      </c>
      <c r="D405" s="137">
        <v>0</v>
      </c>
      <c r="E405" s="138">
        <v>3</v>
      </c>
      <c r="F405" s="137" t="s">
        <v>75</v>
      </c>
      <c r="G405" s="137">
        <v>61</v>
      </c>
      <c r="H405" s="137">
        <v>0</v>
      </c>
      <c r="I405" s="137">
        <v>0</v>
      </c>
      <c r="J405" s="137">
        <v>6.2374999999999998</v>
      </c>
      <c r="K405" s="137" t="s">
        <v>77</v>
      </c>
      <c r="L405" s="137" t="s">
        <v>79</v>
      </c>
      <c r="M405" s="137" t="s">
        <v>80</v>
      </c>
      <c r="N405" s="137" t="b">
        <v>1</v>
      </c>
      <c r="O405" s="137"/>
      <c r="P405" s="137" t="s">
        <v>83</v>
      </c>
      <c r="Q405" s="137" t="s">
        <v>84</v>
      </c>
      <c r="R405" s="137" t="b">
        <v>1</v>
      </c>
      <c r="S405" s="139">
        <v>1</v>
      </c>
      <c r="T405" s="139">
        <v>1.5825008698808499E+18</v>
      </c>
    </row>
    <row r="406" spans="3:20">
      <c r="C406" s="24" t="b">
        <v>0</v>
      </c>
      <c r="D406" s="137">
        <v>1</v>
      </c>
      <c r="E406" s="138">
        <v>2</v>
      </c>
      <c r="F406" s="137" t="s">
        <v>85</v>
      </c>
      <c r="G406" s="137">
        <v>36</v>
      </c>
      <c r="H406" s="137">
        <v>0</v>
      </c>
      <c r="I406" s="137">
        <v>0</v>
      </c>
      <c r="J406" s="137">
        <v>13</v>
      </c>
      <c r="K406" s="137" t="s">
        <v>77</v>
      </c>
      <c r="L406" s="137" t="s">
        <v>94</v>
      </c>
      <c r="M406" s="137" t="s">
        <v>87</v>
      </c>
      <c r="N406" s="137" t="b">
        <v>0</v>
      </c>
      <c r="O406" s="137" t="s">
        <v>96</v>
      </c>
      <c r="P406" s="137" t="s">
        <v>83</v>
      </c>
      <c r="Q406" s="137" t="s">
        <v>89</v>
      </c>
      <c r="R406" s="137" t="b">
        <v>1</v>
      </c>
      <c r="S406" s="139">
        <v>0</v>
      </c>
      <c r="T406" s="139">
        <v>1.14627527679256E+19</v>
      </c>
    </row>
    <row r="407" spans="3:20">
      <c r="C407" s="24" t="b">
        <v>0</v>
      </c>
      <c r="D407" s="137">
        <v>1</v>
      </c>
      <c r="E407" s="138">
        <v>3</v>
      </c>
      <c r="F407" s="137" t="s">
        <v>85</v>
      </c>
      <c r="G407" s="137">
        <v>31</v>
      </c>
      <c r="H407" s="137">
        <v>1</v>
      </c>
      <c r="I407" s="137">
        <v>1</v>
      </c>
      <c r="J407" s="137">
        <v>20.524999999999999</v>
      </c>
      <c r="K407" s="137" t="s">
        <v>77</v>
      </c>
      <c r="L407" s="137" t="s">
        <v>79</v>
      </c>
      <c r="M407" s="137" t="s">
        <v>87</v>
      </c>
      <c r="N407" s="137" t="b">
        <v>0</v>
      </c>
      <c r="O407" s="137"/>
      <c r="P407" s="137" t="s">
        <v>83</v>
      </c>
      <c r="Q407" s="137" t="s">
        <v>89</v>
      </c>
      <c r="R407" s="137" t="b">
        <v>0</v>
      </c>
      <c r="S407" s="139">
        <v>1</v>
      </c>
      <c r="T407" s="139">
        <v>1.03866246755122E+18</v>
      </c>
    </row>
    <row r="408" spans="3:20">
      <c r="C408" s="24" t="b">
        <v>0</v>
      </c>
      <c r="D408" s="137">
        <v>1</v>
      </c>
      <c r="E408" s="138">
        <v>1</v>
      </c>
      <c r="F408" s="137" t="s">
        <v>85</v>
      </c>
      <c r="G408" s="137">
        <v>16</v>
      </c>
      <c r="H408" s="137">
        <v>0</v>
      </c>
      <c r="I408" s="137">
        <v>1</v>
      </c>
      <c r="J408" s="137">
        <v>57.979199999999999</v>
      </c>
      <c r="K408" s="137" t="s">
        <v>82</v>
      </c>
      <c r="L408" s="137" t="s">
        <v>86</v>
      </c>
      <c r="M408" s="137" t="s">
        <v>87</v>
      </c>
      <c r="N408" s="137" t="b">
        <v>0</v>
      </c>
      <c r="O408" s="137" t="s">
        <v>98</v>
      </c>
      <c r="P408" s="137" t="s">
        <v>88</v>
      </c>
      <c r="Q408" s="137" t="s">
        <v>89</v>
      </c>
      <c r="R408" s="137" t="b">
        <v>0</v>
      </c>
      <c r="S408" s="139">
        <v>0</v>
      </c>
      <c r="T408" s="139">
        <v>1.5469756546725401E+19</v>
      </c>
    </row>
    <row r="409" spans="3:20">
      <c r="C409" s="24" t="b">
        <v>0</v>
      </c>
      <c r="D409" s="137">
        <v>1</v>
      </c>
      <c r="E409" s="138">
        <v>3</v>
      </c>
      <c r="F409" s="137" t="s">
        <v>85</v>
      </c>
      <c r="G409" s="137"/>
      <c r="H409" s="137">
        <v>2</v>
      </c>
      <c r="I409" s="137">
        <v>0</v>
      </c>
      <c r="J409" s="137">
        <v>23.25</v>
      </c>
      <c r="K409" s="137" t="s">
        <v>90</v>
      </c>
      <c r="L409" s="137" t="s">
        <v>79</v>
      </c>
      <c r="M409" s="137" t="s">
        <v>87</v>
      </c>
      <c r="N409" s="137" t="b">
        <v>0</v>
      </c>
      <c r="O409" s="137"/>
      <c r="P409" s="137" t="s">
        <v>91</v>
      </c>
      <c r="Q409" s="137" t="s">
        <v>89</v>
      </c>
      <c r="R409" s="137" t="b">
        <v>0</v>
      </c>
      <c r="S409" s="139">
        <v>1</v>
      </c>
      <c r="T409" s="139">
        <v>8.91121229769293E+18</v>
      </c>
    </row>
    <row r="410" spans="3:20">
      <c r="C410" s="24" t="b">
        <v>0</v>
      </c>
      <c r="D410" s="137">
        <v>0</v>
      </c>
      <c r="E410" s="138">
        <v>1</v>
      </c>
      <c r="F410" s="137" t="s">
        <v>75</v>
      </c>
      <c r="G410" s="137">
        <v>45.5</v>
      </c>
      <c r="H410" s="137">
        <v>0</v>
      </c>
      <c r="I410" s="137">
        <v>0</v>
      </c>
      <c r="J410" s="137">
        <v>28.5</v>
      </c>
      <c r="K410" s="137" t="s">
        <v>77</v>
      </c>
      <c r="L410" s="137" t="s">
        <v>86</v>
      </c>
      <c r="M410" s="137" t="s">
        <v>80</v>
      </c>
      <c r="N410" s="137" t="b">
        <v>1</v>
      </c>
      <c r="O410" s="137" t="s">
        <v>82</v>
      </c>
      <c r="P410" s="137" t="s">
        <v>83</v>
      </c>
      <c r="Q410" s="137" t="s">
        <v>84</v>
      </c>
      <c r="R410" s="137" t="b">
        <v>1</v>
      </c>
      <c r="S410" s="139">
        <v>0</v>
      </c>
      <c r="T410" s="139">
        <v>2.6821388223706099E+17</v>
      </c>
    </row>
    <row r="411" spans="3:20">
      <c r="C411" s="24" t="b">
        <v>0</v>
      </c>
      <c r="D411" s="137">
        <v>0</v>
      </c>
      <c r="E411" s="138">
        <v>1</v>
      </c>
      <c r="F411" s="137" t="s">
        <v>75</v>
      </c>
      <c r="G411" s="137">
        <v>38</v>
      </c>
      <c r="H411" s="137">
        <v>0</v>
      </c>
      <c r="I411" s="137">
        <v>1</v>
      </c>
      <c r="J411" s="137">
        <v>153.46250000000001</v>
      </c>
      <c r="K411" s="137" t="s">
        <v>77</v>
      </c>
      <c r="L411" s="137" t="s">
        <v>86</v>
      </c>
      <c r="M411" s="137" t="s">
        <v>80</v>
      </c>
      <c r="N411" s="137" t="b">
        <v>1</v>
      </c>
      <c r="O411" s="137" t="s">
        <v>82</v>
      </c>
      <c r="P411" s="137" t="s">
        <v>83</v>
      </c>
      <c r="Q411" s="137" t="s">
        <v>84</v>
      </c>
      <c r="R411" s="137" t="b">
        <v>0</v>
      </c>
      <c r="S411" s="139">
        <v>0</v>
      </c>
      <c r="T411" s="139">
        <v>2.5551094617218202E+18</v>
      </c>
    </row>
    <row r="412" spans="3:20">
      <c r="C412" s="24" t="b">
        <v>0</v>
      </c>
      <c r="D412" s="137">
        <v>0</v>
      </c>
      <c r="E412" s="138">
        <v>3</v>
      </c>
      <c r="F412" s="137" t="s">
        <v>75</v>
      </c>
      <c r="G412" s="137">
        <v>16</v>
      </c>
      <c r="H412" s="137">
        <v>2</v>
      </c>
      <c r="I412" s="137">
        <v>0</v>
      </c>
      <c r="J412" s="137">
        <v>18</v>
      </c>
      <c r="K412" s="137" t="s">
        <v>77</v>
      </c>
      <c r="L412" s="137" t="s">
        <v>79</v>
      </c>
      <c r="M412" s="137" t="s">
        <v>80</v>
      </c>
      <c r="N412" s="137" t="b">
        <v>1</v>
      </c>
      <c r="O412" s="137"/>
      <c r="P412" s="137" t="s">
        <v>83</v>
      </c>
      <c r="Q412" s="137" t="s">
        <v>84</v>
      </c>
      <c r="R412" s="137" t="b">
        <v>0</v>
      </c>
      <c r="S412" s="139">
        <v>1</v>
      </c>
      <c r="T412" s="139">
        <v>8.5207535558394204E+18</v>
      </c>
    </row>
    <row r="413" spans="3:20">
      <c r="C413" s="24" t="b">
        <v>0</v>
      </c>
      <c r="D413" s="137">
        <v>1</v>
      </c>
      <c r="E413" s="138">
        <v>1</v>
      </c>
      <c r="F413" s="137" t="s">
        <v>85</v>
      </c>
      <c r="G413" s="137"/>
      <c r="H413" s="137">
        <v>1</v>
      </c>
      <c r="I413" s="137">
        <v>0</v>
      </c>
      <c r="J413" s="137">
        <v>133.65</v>
      </c>
      <c r="K413" s="137" t="s">
        <v>77</v>
      </c>
      <c r="L413" s="137" t="s">
        <v>86</v>
      </c>
      <c r="M413" s="137" t="s">
        <v>87</v>
      </c>
      <c r="N413" s="137" t="b">
        <v>0</v>
      </c>
      <c r="O413" s="137"/>
      <c r="P413" s="137" t="s">
        <v>83</v>
      </c>
      <c r="Q413" s="137" t="s">
        <v>89</v>
      </c>
      <c r="R413" s="137" t="b">
        <v>0</v>
      </c>
      <c r="S413" s="139">
        <v>1</v>
      </c>
      <c r="T413" s="139">
        <v>1.38932132844474E+19</v>
      </c>
    </row>
    <row r="414" spans="3:20">
      <c r="C414" s="24" t="b">
        <v>0</v>
      </c>
      <c r="D414" s="137">
        <v>0</v>
      </c>
      <c r="E414" s="138">
        <v>3</v>
      </c>
      <c r="F414" s="137" t="s">
        <v>75</v>
      </c>
      <c r="G414" s="137"/>
      <c r="H414" s="137">
        <v>0</v>
      </c>
      <c r="I414" s="137">
        <v>0</v>
      </c>
      <c r="J414" s="137">
        <v>7.8958000000000004</v>
      </c>
      <c r="K414" s="137" t="s">
        <v>77</v>
      </c>
      <c r="L414" s="137" t="s">
        <v>79</v>
      </c>
      <c r="M414" s="137" t="s">
        <v>80</v>
      </c>
      <c r="N414" s="137" t="b">
        <v>1</v>
      </c>
      <c r="O414" s="137"/>
      <c r="P414" s="137" t="s">
        <v>83</v>
      </c>
      <c r="Q414" s="137" t="s">
        <v>84</v>
      </c>
      <c r="R414" s="137" t="b">
        <v>1</v>
      </c>
      <c r="S414" s="139">
        <v>1</v>
      </c>
      <c r="T414" s="139">
        <v>1.7970467560381901E+19</v>
      </c>
    </row>
    <row r="415" spans="3:20">
      <c r="C415" s="24" t="b">
        <v>0</v>
      </c>
      <c r="D415" s="137">
        <v>0</v>
      </c>
      <c r="E415" s="138">
        <v>1</v>
      </c>
      <c r="F415" s="137" t="s">
        <v>75</v>
      </c>
      <c r="G415" s="137">
        <v>29</v>
      </c>
      <c r="H415" s="137">
        <v>1</v>
      </c>
      <c r="I415" s="137">
        <v>0</v>
      </c>
      <c r="J415" s="137">
        <v>66.599999999999994</v>
      </c>
      <c r="K415" s="137" t="s">
        <v>77</v>
      </c>
      <c r="L415" s="137" t="s">
        <v>86</v>
      </c>
      <c r="M415" s="137" t="s">
        <v>80</v>
      </c>
      <c r="N415" s="137" t="b">
        <v>1</v>
      </c>
      <c r="O415" s="137" t="s">
        <v>82</v>
      </c>
      <c r="P415" s="137" t="s">
        <v>83</v>
      </c>
      <c r="Q415" s="137" t="s">
        <v>84</v>
      </c>
      <c r="R415" s="137" t="b">
        <v>0</v>
      </c>
      <c r="S415" s="139">
        <v>0</v>
      </c>
      <c r="T415" s="139">
        <v>7.2140634266751201E+18</v>
      </c>
    </row>
    <row r="416" spans="3:20">
      <c r="C416" s="24" t="b">
        <v>0</v>
      </c>
      <c r="D416" s="137">
        <v>1</v>
      </c>
      <c r="E416" s="138">
        <v>1</v>
      </c>
      <c r="F416" s="137" t="s">
        <v>85</v>
      </c>
      <c r="G416" s="137">
        <v>41</v>
      </c>
      <c r="H416" s="137">
        <v>0</v>
      </c>
      <c r="I416" s="137">
        <v>0</v>
      </c>
      <c r="J416" s="137">
        <v>134.5</v>
      </c>
      <c r="K416" s="137" t="s">
        <v>82</v>
      </c>
      <c r="L416" s="137" t="s">
        <v>86</v>
      </c>
      <c r="M416" s="137" t="s">
        <v>87</v>
      </c>
      <c r="N416" s="137" t="b">
        <v>0</v>
      </c>
      <c r="O416" s="137" t="s">
        <v>92</v>
      </c>
      <c r="P416" s="137" t="s">
        <v>88</v>
      </c>
      <c r="Q416" s="137" t="s">
        <v>89</v>
      </c>
      <c r="R416" s="137" t="b">
        <v>1</v>
      </c>
      <c r="S416" s="139">
        <v>0</v>
      </c>
      <c r="T416" s="139">
        <v>9.9658662417129805E+17</v>
      </c>
    </row>
    <row r="417" spans="3:20">
      <c r="C417" s="24" t="b">
        <v>0</v>
      </c>
      <c r="D417" s="137">
        <v>1</v>
      </c>
      <c r="E417" s="138">
        <v>3</v>
      </c>
      <c r="F417" s="137" t="s">
        <v>75</v>
      </c>
      <c r="G417" s="137">
        <v>45</v>
      </c>
      <c r="H417" s="137">
        <v>0</v>
      </c>
      <c r="I417" s="137">
        <v>0</v>
      </c>
      <c r="J417" s="137">
        <v>8.0500000000000007</v>
      </c>
      <c r="K417" s="137" t="s">
        <v>77</v>
      </c>
      <c r="L417" s="137" t="s">
        <v>79</v>
      </c>
      <c r="M417" s="137" t="s">
        <v>80</v>
      </c>
      <c r="N417" s="137" t="b">
        <v>1</v>
      </c>
      <c r="O417" s="137"/>
      <c r="P417" s="137" t="s">
        <v>83</v>
      </c>
      <c r="Q417" s="137" t="s">
        <v>89</v>
      </c>
      <c r="R417" s="137" t="b">
        <v>1</v>
      </c>
      <c r="S417" s="139">
        <v>1</v>
      </c>
      <c r="T417" s="139">
        <v>1.3327066036913199E+19</v>
      </c>
    </row>
    <row r="418" spans="3:20">
      <c r="C418" s="24" t="b">
        <v>0</v>
      </c>
      <c r="D418" s="137">
        <v>0</v>
      </c>
      <c r="E418" s="138">
        <v>1</v>
      </c>
      <c r="F418" s="137" t="s">
        <v>75</v>
      </c>
      <c r="G418" s="137">
        <v>45</v>
      </c>
      <c r="H418" s="137">
        <v>0</v>
      </c>
      <c r="I418" s="137">
        <v>0</v>
      </c>
      <c r="J418" s="137">
        <v>35.5</v>
      </c>
      <c r="K418" s="137" t="s">
        <v>77</v>
      </c>
      <c r="L418" s="137" t="s">
        <v>86</v>
      </c>
      <c r="M418" s="137" t="s">
        <v>80</v>
      </c>
      <c r="N418" s="137" t="b">
        <v>1</v>
      </c>
      <c r="O418" s="137"/>
      <c r="P418" s="137" t="s">
        <v>83</v>
      </c>
      <c r="Q418" s="137" t="s">
        <v>84</v>
      </c>
      <c r="R418" s="137" t="b">
        <v>1</v>
      </c>
      <c r="S418" s="139">
        <v>1</v>
      </c>
      <c r="T418" s="139">
        <v>4.2491395315459098E+18</v>
      </c>
    </row>
    <row r="419" spans="3:20">
      <c r="C419" s="24" t="b">
        <v>0</v>
      </c>
      <c r="D419" s="137">
        <v>1</v>
      </c>
      <c r="E419" s="138">
        <v>2</v>
      </c>
      <c r="F419" s="137" t="s">
        <v>75</v>
      </c>
      <c r="G419" s="137">
        <v>2</v>
      </c>
      <c r="H419" s="137">
        <v>1</v>
      </c>
      <c r="I419" s="137">
        <v>1</v>
      </c>
      <c r="J419" s="137">
        <v>26</v>
      </c>
      <c r="K419" s="137" t="s">
        <v>77</v>
      </c>
      <c r="L419" s="137" t="s">
        <v>94</v>
      </c>
      <c r="M419" s="137" t="s">
        <v>93</v>
      </c>
      <c r="N419" s="137" t="b">
        <v>0</v>
      </c>
      <c r="O419" s="137" t="s">
        <v>99</v>
      </c>
      <c r="P419" s="137" t="s">
        <v>83</v>
      </c>
      <c r="Q419" s="137" t="s">
        <v>89</v>
      </c>
      <c r="R419" s="137" t="b">
        <v>0</v>
      </c>
      <c r="S419" s="139">
        <v>0</v>
      </c>
      <c r="T419" s="139">
        <v>1.4868206509027101E+19</v>
      </c>
    </row>
    <row r="420" spans="3:20">
      <c r="C420" s="24" t="b">
        <v>0</v>
      </c>
      <c r="D420" s="137">
        <v>1</v>
      </c>
      <c r="E420" s="138">
        <v>1</v>
      </c>
      <c r="F420" s="137" t="s">
        <v>85</v>
      </c>
      <c r="G420" s="137">
        <v>24</v>
      </c>
      <c r="H420" s="137">
        <v>3</v>
      </c>
      <c r="I420" s="137">
        <v>2</v>
      </c>
      <c r="J420" s="137">
        <v>263</v>
      </c>
      <c r="K420" s="137" t="s">
        <v>77</v>
      </c>
      <c r="L420" s="137" t="s">
        <v>86</v>
      </c>
      <c r="M420" s="137" t="s">
        <v>87</v>
      </c>
      <c r="N420" s="137" t="b">
        <v>0</v>
      </c>
      <c r="O420" s="137" t="s">
        <v>82</v>
      </c>
      <c r="P420" s="137" t="s">
        <v>83</v>
      </c>
      <c r="Q420" s="137" t="s">
        <v>89</v>
      </c>
      <c r="R420" s="137" t="b">
        <v>0</v>
      </c>
      <c r="S420" s="139">
        <v>0</v>
      </c>
      <c r="T420" s="139">
        <v>9.7997033604958003E+18</v>
      </c>
    </row>
    <row r="421" spans="3:20">
      <c r="C421" s="24" t="b">
        <v>0</v>
      </c>
      <c r="D421" s="137">
        <v>0</v>
      </c>
      <c r="E421" s="138">
        <v>2</v>
      </c>
      <c r="F421" s="137" t="s">
        <v>75</v>
      </c>
      <c r="G421" s="137">
        <v>28</v>
      </c>
      <c r="H421" s="137">
        <v>0</v>
      </c>
      <c r="I421" s="137">
        <v>0</v>
      </c>
      <c r="J421" s="137">
        <v>13</v>
      </c>
      <c r="K421" s="137" t="s">
        <v>77</v>
      </c>
      <c r="L421" s="137" t="s">
        <v>94</v>
      </c>
      <c r="M421" s="137" t="s">
        <v>80</v>
      </c>
      <c r="N421" s="137" t="b">
        <v>1</v>
      </c>
      <c r="O421" s="137"/>
      <c r="P421" s="137" t="s">
        <v>83</v>
      </c>
      <c r="Q421" s="137" t="s">
        <v>84</v>
      </c>
      <c r="R421" s="137" t="b">
        <v>1</v>
      </c>
      <c r="S421" s="139">
        <v>1</v>
      </c>
      <c r="T421" s="139">
        <v>1.59658963116201E+19</v>
      </c>
    </row>
    <row r="422" spans="3:20">
      <c r="C422" s="24" t="b">
        <v>0</v>
      </c>
      <c r="D422" s="137">
        <v>0</v>
      </c>
      <c r="E422" s="138">
        <v>2</v>
      </c>
      <c r="F422" s="137" t="s">
        <v>75</v>
      </c>
      <c r="G422" s="137">
        <v>25</v>
      </c>
      <c r="H422" s="137">
        <v>0</v>
      </c>
      <c r="I422" s="137">
        <v>0</v>
      </c>
      <c r="J422" s="137">
        <v>13</v>
      </c>
      <c r="K422" s="137" t="s">
        <v>77</v>
      </c>
      <c r="L422" s="137" t="s">
        <v>94</v>
      </c>
      <c r="M422" s="137" t="s">
        <v>80</v>
      </c>
      <c r="N422" s="137" t="b">
        <v>1</v>
      </c>
      <c r="O422" s="137"/>
      <c r="P422" s="137" t="s">
        <v>83</v>
      </c>
      <c r="Q422" s="137" t="s">
        <v>84</v>
      </c>
      <c r="R422" s="137" t="b">
        <v>1</v>
      </c>
      <c r="S422" s="139">
        <v>1</v>
      </c>
      <c r="T422" s="139">
        <v>1.45445304985682E+19</v>
      </c>
    </row>
    <row r="423" spans="3:20">
      <c r="C423" s="24" t="b">
        <v>0</v>
      </c>
      <c r="D423" s="137">
        <v>0</v>
      </c>
      <c r="E423" s="138">
        <v>2</v>
      </c>
      <c r="F423" s="137" t="s">
        <v>75</v>
      </c>
      <c r="G423" s="137">
        <v>36</v>
      </c>
      <c r="H423" s="137">
        <v>0</v>
      </c>
      <c r="I423" s="137">
        <v>0</v>
      </c>
      <c r="J423" s="137">
        <v>13</v>
      </c>
      <c r="K423" s="137" t="s">
        <v>77</v>
      </c>
      <c r="L423" s="137" t="s">
        <v>94</v>
      </c>
      <c r="M423" s="137" t="s">
        <v>80</v>
      </c>
      <c r="N423" s="137" t="b">
        <v>1</v>
      </c>
      <c r="O423" s="137"/>
      <c r="P423" s="137" t="s">
        <v>83</v>
      </c>
      <c r="Q423" s="137" t="s">
        <v>84</v>
      </c>
      <c r="R423" s="137" t="b">
        <v>1</v>
      </c>
      <c r="S423" s="139">
        <v>1</v>
      </c>
      <c r="T423" s="139">
        <v>6.8775833547157699E+18</v>
      </c>
    </row>
    <row r="424" spans="3:20">
      <c r="C424" s="24" t="b">
        <v>0</v>
      </c>
      <c r="D424" s="137">
        <v>1</v>
      </c>
      <c r="E424" s="138">
        <v>2</v>
      </c>
      <c r="F424" s="137" t="s">
        <v>85</v>
      </c>
      <c r="G424" s="137">
        <v>24</v>
      </c>
      <c r="H424" s="137">
        <v>0</v>
      </c>
      <c r="I424" s="137">
        <v>0</v>
      </c>
      <c r="J424" s="137">
        <v>13</v>
      </c>
      <c r="K424" s="137" t="s">
        <v>77</v>
      </c>
      <c r="L424" s="137" t="s">
        <v>94</v>
      </c>
      <c r="M424" s="137" t="s">
        <v>87</v>
      </c>
      <c r="N424" s="137" t="b">
        <v>0</v>
      </c>
      <c r="O424" s="137" t="s">
        <v>99</v>
      </c>
      <c r="P424" s="137" t="s">
        <v>83</v>
      </c>
      <c r="Q424" s="137" t="s">
        <v>89</v>
      </c>
      <c r="R424" s="137" t="b">
        <v>1</v>
      </c>
      <c r="S424" s="139">
        <v>0</v>
      </c>
      <c r="T424" s="139">
        <v>1.6926772517728899E+19</v>
      </c>
    </row>
    <row r="425" spans="3:20">
      <c r="C425" s="24" t="b">
        <v>0</v>
      </c>
      <c r="D425" s="137">
        <v>1</v>
      </c>
      <c r="E425" s="138">
        <v>2</v>
      </c>
      <c r="F425" s="137" t="s">
        <v>85</v>
      </c>
      <c r="G425" s="137">
        <v>40</v>
      </c>
      <c r="H425" s="137">
        <v>0</v>
      </c>
      <c r="I425" s="137">
        <v>0</v>
      </c>
      <c r="J425" s="137">
        <v>13</v>
      </c>
      <c r="K425" s="137" t="s">
        <v>77</v>
      </c>
      <c r="L425" s="137" t="s">
        <v>94</v>
      </c>
      <c r="M425" s="137" t="s">
        <v>87</v>
      </c>
      <c r="N425" s="137" t="b">
        <v>0</v>
      </c>
      <c r="O425" s="137"/>
      <c r="P425" s="137" t="s">
        <v>83</v>
      </c>
      <c r="Q425" s="137" t="s">
        <v>89</v>
      </c>
      <c r="R425" s="137" t="b">
        <v>1</v>
      </c>
      <c r="S425" s="139">
        <v>1</v>
      </c>
      <c r="T425" s="139">
        <v>1.5020843937574601E+19</v>
      </c>
    </row>
    <row r="426" spans="3:20">
      <c r="C426" s="24" t="b">
        <v>0</v>
      </c>
      <c r="D426" s="137">
        <v>1</v>
      </c>
      <c r="E426" s="138">
        <v>3</v>
      </c>
      <c r="F426" s="137" t="s">
        <v>85</v>
      </c>
      <c r="G426" s="137"/>
      <c r="H426" s="137">
        <v>1</v>
      </c>
      <c r="I426" s="137">
        <v>0</v>
      </c>
      <c r="J426" s="137">
        <v>16.100000000000001</v>
      </c>
      <c r="K426" s="137" t="s">
        <v>77</v>
      </c>
      <c r="L426" s="137" t="s">
        <v>79</v>
      </c>
      <c r="M426" s="137" t="s">
        <v>87</v>
      </c>
      <c r="N426" s="137" t="b">
        <v>0</v>
      </c>
      <c r="O426" s="137"/>
      <c r="P426" s="137" t="s">
        <v>83</v>
      </c>
      <c r="Q426" s="137" t="s">
        <v>89</v>
      </c>
      <c r="R426" s="137" t="b">
        <v>0</v>
      </c>
      <c r="S426" s="139">
        <v>1</v>
      </c>
      <c r="T426" s="139">
        <v>1.74732797207161E+19</v>
      </c>
    </row>
    <row r="427" spans="3:20">
      <c r="C427" s="24" t="b">
        <v>0</v>
      </c>
      <c r="D427" s="137">
        <v>1</v>
      </c>
      <c r="E427" s="138">
        <v>3</v>
      </c>
      <c r="F427" s="137" t="s">
        <v>75</v>
      </c>
      <c r="G427" s="137">
        <v>3</v>
      </c>
      <c r="H427" s="137">
        <v>1</v>
      </c>
      <c r="I427" s="137">
        <v>1</v>
      </c>
      <c r="J427" s="137">
        <v>15.9</v>
      </c>
      <c r="K427" s="137" t="s">
        <v>77</v>
      </c>
      <c r="L427" s="137" t="s">
        <v>79</v>
      </c>
      <c r="M427" s="137" t="s">
        <v>93</v>
      </c>
      <c r="N427" s="137" t="b">
        <v>0</v>
      </c>
      <c r="O427" s="137"/>
      <c r="P427" s="137" t="s">
        <v>83</v>
      </c>
      <c r="Q427" s="137" t="s">
        <v>89</v>
      </c>
      <c r="R427" s="137" t="b">
        <v>0</v>
      </c>
      <c r="S427" s="139">
        <v>1</v>
      </c>
      <c r="T427" s="139">
        <v>3.6434985044377902E+18</v>
      </c>
    </row>
    <row r="428" spans="3:20">
      <c r="C428" s="24" t="b">
        <v>0</v>
      </c>
      <c r="D428" s="137">
        <v>0</v>
      </c>
      <c r="E428" s="138">
        <v>3</v>
      </c>
      <c r="F428" s="137" t="s">
        <v>75</v>
      </c>
      <c r="G428" s="137">
        <v>42</v>
      </c>
      <c r="H428" s="137">
        <v>0</v>
      </c>
      <c r="I428" s="137">
        <v>0</v>
      </c>
      <c r="J428" s="137">
        <v>8.6624999999999996</v>
      </c>
      <c r="K428" s="137" t="s">
        <v>77</v>
      </c>
      <c r="L428" s="137" t="s">
        <v>79</v>
      </c>
      <c r="M428" s="137" t="s">
        <v>80</v>
      </c>
      <c r="N428" s="137" t="b">
        <v>1</v>
      </c>
      <c r="O428" s="137"/>
      <c r="P428" s="137" t="s">
        <v>83</v>
      </c>
      <c r="Q428" s="137" t="s">
        <v>84</v>
      </c>
      <c r="R428" s="137" t="b">
        <v>1</v>
      </c>
      <c r="S428" s="139">
        <v>1</v>
      </c>
      <c r="T428" s="139">
        <v>1.20384322040029E+19</v>
      </c>
    </row>
    <row r="429" spans="3:20">
      <c r="C429" s="24" t="b">
        <v>0</v>
      </c>
      <c r="D429" s="137">
        <v>0</v>
      </c>
      <c r="E429" s="138">
        <v>3</v>
      </c>
      <c r="F429" s="137" t="s">
        <v>75</v>
      </c>
      <c r="G429" s="137">
        <v>23</v>
      </c>
      <c r="H429" s="137">
        <v>0</v>
      </c>
      <c r="I429" s="137">
        <v>0</v>
      </c>
      <c r="J429" s="137">
        <v>9.2249999999999996</v>
      </c>
      <c r="K429" s="137" t="s">
        <v>77</v>
      </c>
      <c r="L429" s="137" t="s">
        <v>79</v>
      </c>
      <c r="M429" s="137" t="s">
        <v>80</v>
      </c>
      <c r="N429" s="137" t="b">
        <v>1</v>
      </c>
      <c r="O429" s="137"/>
      <c r="P429" s="137" t="s">
        <v>83</v>
      </c>
      <c r="Q429" s="137" t="s">
        <v>84</v>
      </c>
      <c r="R429" s="137" t="b">
        <v>1</v>
      </c>
      <c r="S429" s="139">
        <v>1</v>
      </c>
      <c r="T429" s="139">
        <v>1.51202320792047E+19</v>
      </c>
    </row>
    <row r="430" spans="3:20">
      <c r="C430" s="24" t="b">
        <v>0</v>
      </c>
      <c r="D430" s="137">
        <v>0</v>
      </c>
      <c r="E430" s="138">
        <v>1</v>
      </c>
      <c r="F430" s="137" t="s">
        <v>75</v>
      </c>
      <c r="G430" s="137"/>
      <c r="H430" s="137">
        <v>0</v>
      </c>
      <c r="I430" s="137">
        <v>0</v>
      </c>
      <c r="J430" s="137">
        <v>35</v>
      </c>
      <c r="K430" s="137" t="s">
        <v>77</v>
      </c>
      <c r="L430" s="137" t="s">
        <v>86</v>
      </c>
      <c r="M430" s="137" t="s">
        <v>80</v>
      </c>
      <c r="N430" s="137" t="b">
        <v>1</v>
      </c>
      <c r="O430" s="137" t="s">
        <v>82</v>
      </c>
      <c r="P430" s="137" t="s">
        <v>83</v>
      </c>
      <c r="Q430" s="137" t="s">
        <v>84</v>
      </c>
      <c r="R430" s="137" t="b">
        <v>1</v>
      </c>
      <c r="S430" s="139">
        <v>1</v>
      </c>
      <c r="T430" s="139">
        <v>1.1437490486937801E+19</v>
      </c>
    </row>
    <row r="431" spans="3:20">
      <c r="C431" s="24" t="b">
        <v>0</v>
      </c>
      <c r="D431" s="137">
        <v>0</v>
      </c>
      <c r="E431" s="138">
        <v>3</v>
      </c>
      <c r="F431" s="137" t="s">
        <v>75</v>
      </c>
      <c r="G431" s="137">
        <v>15</v>
      </c>
      <c r="H431" s="137">
        <v>1</v>
      </c>
      <c r="I431" s="137">
        <v>1</v>
      </c>
      <c r="J431" s="137">
        <v>7.2291999999999996</v>
      </c>
      <c r="K431" s="137" t="s">
        <v>82</v>
      </c>
      <c r="L431" s="137" t="s">
        <v>79</v>
      </c>
      <c r="M431" s="137" t="s">
        <v>93</v>
      </c>
      <c r="N431" s="137" t="b">
        <v>0</v>
      </c>
      <c r="O431" s="137"/>
      <c r="P431" s="137" t="s">
        <v>88</v>
      </c>
      <c r="Q431" s="137" t="s">
        <v>84</v>
      </c>
      <c r="R431" s="137" t="b">
        <v>0</v>
      </c>
      <c r="S431" s="139">
        <v>1</v>
      </c>
      <c r="T431" s="139">
        <v>6.4118001709889597E+18</v>
      </c>
    </row>
    <row r="432" spans="3:20">
      <c r="C432" s="24" t="b">
        <v>0</v>
      </c>
      <c r="D432" s="137">
        <v>0</v>
      </c>
      <c r="E432" s="138">
        <v>3</v>
      </c>
      <c r="F432" s="137" t="s">
        <v>75</v>
      </c>
      <c r="G432" s="137">
        <v>25</v>
      </c>
      <c r="H432" s="137">
        <v>1</v>
      </c>
      <c r="I432" s="137">
        <v>0</v>
      </c>
      <c r="J432" s="137">
        <v>17.8</v>
      </c>
      <c r="K432" s="137" t="s">
        <v>77</v>
      </c>
      <c r="L432" s="137" t="s">
        <v>79</v>
      </c>
      <c r="M432" s="137" t="s">
        <v>80</v>
      </c>
      <c r="N432" s="137" t="b">
        <v>1</v>
      </c>
      <c r="O432" s="137"/>
      <c r="P432" s="137" t="s">
        <v>83</v>
      </c>
      <c r="Q432" s="137" t="s">
        <v>84</v>
      </c>
      <c r="R432" s="137" t="b">
        <v>0</v>
      </c>
      <c r="S432" s="139">
        <v>1</v>
      </c>
      <c r="T432" s="139">
        <v>1.0860867024836399E+19</v>
      </c>
    </row>
    <row r="433" spans="3:20">
      <c r="C433" s="24" t="b">
        <v>0</v>
      </c>
      <c r="D433" s="137">
        <v>0</v>
      </c>
      <c r="E433" s="138">
        <v>3</v>
      </c>
      <c r="F433" s="137" t="s">
        <v>75</v>
      </c>
      <c r="G433" s="137"/>
      <c r="H433" s="137">
        <v>0</v>
      </c>
      <c r="I433" s="137">
        <v>0</v>
      </c>
      <c r="J433" s="137">
        <v>7.2249999999999996</v>
      </c>
      <c r="K433" s="137" t="s">
        <v>82</v>
      </c>
      <c r="L433" s="137" t="s">
        <v>79</v>
      </c>
      <c r="M433" s="137" t="s">
        <v>80</v>
      </c>
      <c r="N433" s="137" t="b">
        <v>1</v>
      </c>
      <c r="O433" s="137"/>
      <c r="P433" s="137" t="s">
        <v>88</v>
      </c>
      <c r="Q433" s="137" t="s">
        <v>84</v>
      </c>
      <c r="R433" s="137" t="b">
        <v>1</v>
      </c>
      <c r="S433" s="139">
        <v>1</v>
      </c>
      <c r="T433" s="139">
        <v>5.4729232098319995E+18</v>
      </c>
    </row>
    <row r="434" spans="3:20">
      <c r="C434" s="24" t="b">
        <v>0</v>
      </c>
      <c r="D434" s="137">
        <v>0</v>
      </c>
      <c r="E434" s="138">
        <v>3</v>
      </c>
      <c r="F434" s="137" t="s">
        <v>75</v>
      </c>
      <c r="G434" s="137">
        <v>28</v>
      </c>
      <c r="H434" s="137">
        <v>0</v>
      </c>
      <c r="I434" s="137">
        <v>0</v>
      </c>
      <c r="J434" s="137">
        <v>9.5</v>
      </c>
      <c r="K434" s="137" t="s">
        <v>77</v>
      </c>
      <c r="L434" s="137" t="s">
        <v>79</v>
      </c>
      <c r="M434" s="137" t="s">
        <v>80</v>
      </c>
      <c r="N434" s="137" t="b">
        <v>1</v>
      </c>
      <c r="O434" s="137"/>
      <c r="P434" s="137" t="s">
        <v>83</v>
      </c>
      <c r="Q434" s="137" t="s">
        <v>84</v>
      </c>
      <c r="R434" s="137" t="b">
        <v>1</v>
      </c>
      <c r="S434" s="139">
        <v>1</v>
      </c>
      <c r="T434" s="139">
        <v>2.7331724813587901E+18</v>
      </c>
    </row>
    <row r="435" spans="3:20">
      <c r="C435" s="24" t="b">
        <v>0</v>
      </c>
      <c r="D435" s="137">
        <v>1</v>
      </c>
      <c r="E435" s="138">
        <v>1</v>
      </c>
      <c r="F435" s="137" t="s">
        <v>85</v>
      </c>
      <c r="G435" s="137">
        <v>22</v>
      </c>
      <c r="H435" s="137">
        <v>0</v>
      </c>
      <c r="I435" s="137">
        <v>1</v>
      </c>
      <c r="J435" s="137">
        <v>55</v>
      </c>
      <c r="K435" s="137" t="s">
        <v>77</v>
      </c>
      <c r="L435" s="137" t="s">
        <v>86</v>
      </c>
      <c r="M435" s="137" t="s">
        <v>87</v>
      </c>
      <c r="N435" s="137" t="b">
        <v>0</v>
      </c>
      <c r="O435" s="137" t="s">
        <v>92</v>
      </c>
      <c r="P435" s="137" t="s">
        <v>83</v>
      </c>
      <c r="Q435" s="137" t="s">
        <v>89</v>
      </c>
      <c r="R435" s="137" t="b">
        <v>0</v>
      </c>
      <c r="S435" s="139">
        <v>0</v>
      </c>
      <c r="T435" s="139">
        <v>1.5498911481314001E+19</v>
      </c>
    </row>
    <row r="436" spans="3:20">
      <c r="C436" s="24" t="b">
        <v>0</v>
      </c>
      <c r="D436" s="137">
        <v>0</v>
      </c>
      <c r="E436" s="138">
        <v>2</v>
      </c>
      <c r="F436" s="137" t="s">
        <v>85</v>
      </c>
      <c r="G436" s="137">
        <v>38</v>
      </c>
      <c r="H436" s="137">
        <v>0</v>
      </c>
      <c r="I436" s="137">
        <v>0</v>
      </c>
      <c r="J436" s="137">
        <v>13</v>
      </c>
      <c r="K436" s="137" t="s">
        <v>77</v>
      </c>
      <c r="L436" s="137" t="s">
        <v>94</v>
      </c>
      <c r="M436" s="137" t="s">
        <v>87</v>
      </c>
      <c r="N436" s="137" t="b">
        <v>0</v>
      </c>
      <c r="O436" s="137"/>
      <c r="P436" s="137" t="s">
        <v>83</v>
      </c>
      <c r="Q436" s="137" t="s">
        <v>84</v>
      </c>
      <c r="R436" s="137" t="b">
        <v>1</v>
      </c>
      <c r="S436" s="139">
        <v>1</v>
      </c>
      <c r="T436" s="139">
        <v>1.28000832938374E+19</v>
      </c>
    </row>
    <row r="437" spans="3:20">
      <c r="C437" s="24" t="b">
        <v>0</v>
      </c>
      <c r="D437" s="137">
        <v>1</v>
      </c>
      <c r="E437" s="138">
        <v>3</v>
      </c>
      <c r="F437" s="137" t="s">
        <v>85</v>
      </c>
      <c r="G437" s="137"/>
      <c r="H437" s="137">
        <v>0</v>
      </c>
      <c r="I437" s="137">
        <v>0</v>
      </c>
      <c r="J437" s="137">
        <v>7.8792</v>
      </c>
      <c r="K437" s="137" t="s">
        <v>90</v>
      </c>
      <c r="L437" s="137" t="s">
        <v>79</v>
      </c>
      <c r="M437" s="137" t="s">
        <v>87</v>
      </c>
      <c r="N437" s="137" t="b">
        <v>0</v>
      </c>
      <c r="O437" s="137"/>
      <c r="P437" s="137" t="s">
        <v>91</v>
      </c>
      <c r="Q437" s="137" t="s">
        <v>89</v>
      </c>
      <c r="R437" s="137" t="b">
        <v>1</v>
      </c>
      <c r="S437" s="139">
        <v>1</v>
      </c>
      <c r="T437" s="139">
        <v>1.1837803142979899E+19</v>
      </c>
    </row>
    <row r="438" spans="3:20">
      <c r="C438" s="24" t="b">
        <v>0</v>
      </c>
      <c r="D438" s="137">
        <v>1</v>
      </c>
      <c r="E438" s="138">
        <v>3</v>
      </c>
      <c r="F438" s="137" t="s">
        <v>85</v>
      </c>
      <c r="G438" s="137"/>
      <c r="H438" s="137">
        <v>0</v>
      </c>
      <c r="I438" s="137">
        <v>0</v>
      </c>
      <c r="J438" s="137">
        <v>7.8792</v>
      </c>
      <c r="K438" s="137" t="s">
        <v>90</v>
      </c>
      <c r="L438" s="137" t="s">
        <v>79</v>
      </c>
      <c r="M438" s="137" t="s">
        <v>87</v>
      </c>
      <c r="N438" s="137" t="b">
        <v>0</v>
      </c>
      <c r="O438" s="137"/>
      <c r="P438" s="137" t="s">
        <v>91</v>
      </c>
      <c r="Q438" s="137" t="s">
        <v>89</v>
      </c>
      <c r="R438" s="137" t="b">
        <v>1</v>
      </c>
      <c r="S438" s="139">
        <v>1</v>
      </c>
      <c r="T438" s="139">
        <v>1.1837803142979899E+19</v>
      </c>
    </row>
    <row r="439" spans="3:20">
      <c r="C439" s="24" t="b">
        <v>0</v>
      </c>
      <c r="D439" s="137">
        <v>0</v>
      </c>
      <c r="E439" s="138">
        <v>3</v>
      </c>
      <c r="F439" s="137" t="s">
        <v>75</v>
      </c>
      <c r="G439" s="137">
        <v>40</v>
      </c>
      <c r="H439" s="137">
        <v>1</v>
      </c>
      <c r="I439" s="137">
        <v>4</v>
      </c>
      <c r="J439" s="137">
        <v>27.9</v>
      </c>
      <c r="K439" s="137" t="s">
        <v>77</v>
      </c>
      <c r="L439" s="137" t="s">
        <v>79</v>
      </c>
      <c r="M439" s="137" t="s">
        <v>80</v>
      </c>
      <c r="N439" s="137" t="b">
        <v>1</v>
      </c>
      <c r="O439" s="137"/>
      <c r="P439" s="137" t="s">
        <v>83</v>
      </c>
      <c r="Q439" s="137" t="s">
        <v>84</v>
      </c>
      <c r="R439" s="137" t="b">
        <v>0</v>
      </c>
      <c r="S439" s="139">
        <v>1</v>
      </c>
      <c r="T439" s="139">
        <v>1.4756570580994401E+18</v>
      </c>
    </row>
    <row r="440" spans="3:20">
      <c r="C440" s="24" t="b">
        <v>0</v>
      </c>
      <c r="D440" s="137">
        <v>0</v>
      </c>
      <c r="E440" s="138">
        <v>2</v>
      </c>
      <c r="F440" s="137" t="s">
        <v>75</v>
      </c>
      <c r="G440" s="137">
        <v>29</v>
      </c>
      <c r="H440" s="137">
        <v>1</v>
      </c>
      <c r="I440" s="137">
        <v>0</v>
      </c>
      <c r="J440" s="137">
        <v>27.720800000000001</v>
      </c>
      <c r="K440" s="137" t="s">
        <v>82</v>
      </c>
      <c r="L440" s="137" t="s">
        <v>94</v>
      </c>
      <c r="M440" s="137" t="s">
        <v>80</v>
      </c>
      <c r="N440" s="137" t="b">
        <v>1</v>
      </c>
      <c r="O440" s="137"/>
      <c r="P440" s="137" t="s">
        <v>88</v>
      </c>
      <c r="Q440" s="137" t="s">
        <v>84</v>
      </c>
      <c r="R440" s="137" t="b">
        <v>0</v>
      </c>
      <c r="S440" s="139">
        <v>1</v>
      </c>
      <c r="T440" s="139">
        <v>1.4483450679719E+19</v>
      </c>
    </row>
    <row r="441" spans="3:20">
      <c r="C441" s="24" t="b">
        <v>0</v>
      </c>
      <c r="D441" s="137">
        <v>0</v>
      </c>
      <c r="E441" s="138">
        <v>3</v>
      </c>
      <c r="F441" s="137" t="s">
        <v>85</v>
      </c>
      <c r="G441" s="137">
        <v>45</v>
      </c>
      <c r="H441" s="137">
        <v>0</v>
      </c>
      <c r="I441" s="137">
        <v>1</v>
      </c>
      <c r="J441" s="137">
        <v>14.4542</v>
      </c>
      <c r="K441" s="137" t="s">
        <v>82</v>
      </c>
      <c r="L441" s="137" t="s">
        <v>79</v>
      </c>
      <c r="M441" s="137" t="s">
        <v>87</v>
      </c>
      <c r="N441" s="137" t="b">
        <v>0</v>
      </c>
      <c r="O441" s="137"/>
      <c r="P441" s="137" t="s">
        <v>88</v>
      </c>
      <c r="Q441" s="137" t="s">
        <v>84</v>
      </c>
      <c r="R441" s="137" t="b">
        <v>0</v>
      </c>
      <c r="S441" s="139">
        <v>1</v>
      </c>
      <c r="T441" s="139">
        <v>7.0712731976496E+17</v>
      </c>
    </row>
    <row r="442" spans="3:20">
      <c r="C442" s="24" t="b">
        <v>0</v>
      </c>
      <c r="D442" s="137">
        <v>0</v>
      </c>
      <c r="E442" s="138">
        <v>3</v>
      </c>
      <c r="F442" s="137" t="s">
        <v>75</v>
      </c>
      <c r="G442" s="137">
        <v>35</v>
      </c>
      <c r="H442" s="137">
        <v>0</v>
      </c>
      <c r="I442" s="137">
        <v>0</v>
      </c>
      <c r="J442" s="137">
        <v>7.05</v>
      </c>
      <c r="K442" s="137" t="s">
        <v>77</v>
      </c>
      <c r="L442" s="137" t="s">
        <v>79</v>
      </c>
      <c r="M442" s="137" t="s">
        <v>80</v>
      </c>
      <c r="N442" s="137" t="b">
        <v>1</v>
      </c>
      <c r="O442" s="137"/>
      <c r="P442" s="137" t="s">
        <v>83</v>
      </c>
      <c r="Q442" s="137" t="s">
        <v>84</v>
      </c>
      <c r="R442" s="137" t="b">
        <v>1</v>
      </c>
      <c r="S442" s="139">
        <v>1</v>
      </c>
      <c r="T442" s="139">
        <v>1.1291811543492999E+19</v>
      </c>
    </row>
    <row r="443" spans="3:20">
      <c r="C443" s="24" t="b">
        <v>0</v>
      </c>
      <c r="D443" s="137">
        <v>0</v>
      </c>
      <c r="E443" s="138">
        <v>3</v>
      </c>
      <c r="F443" s="137" t="s">
        <v>75</v>
      </c>
      <c r="G443" s="137"/>
      <c r="H443" s="137">
        <v>1</v>
      </c>
      <c r="I443" s="137">
        <v>0</v>
      </c>
      <c r="J443" s="137">
        <v>15.5</v>
      </c>
      <c r="K443" s="137" t="s">
        <v>90</v>
      </c>
      <c r="L443" s="137" t="s">
        <v>79</v>
      </c>
      <c r="M443" s="137" t="s">
        <v>80</v>
      </c>
      <c r="N443" s="137" t="b">
        <v>1</v>
      </c>
      <c r="O443" s="137"/>
      <c r="P443" s="137" t="s">
        <v>91</v>
      </c>
      <c r="Q443" s="137" t="s">
        <v>84</v>
      </c>
      <c r="R443" s="137" t="b">
        <v>0</v>
      </c>
      <c r="S443" s="139">
        <v>1</v>
      </c>
      <c r="T443" s="139">
        <v>6.6137722916600801E+18</v>
      </c>
    </row>
    <row r="444" spans="3:20">
      <c r="C444" s="24" t="b">
        <v>0</v>
      </c>
      <c r="D444" s="137">
        <v>0</v>
      </c>
      <c r="E444" s="138">
        <v>3</v>
      </c>
      <c r="F444" s="137" t="s">
        <v>75</v>
      </c>
      <c r="G444" s="137">
        <v>30</v>
      </c>
      <c r="H444" s="137">
        <v>0</v>
      </c>
      <c r="I444" s="137">
        <v>0</v>
      </c>
      <c r="J444" s="137">
        <v>7.25</v>
      </c>
      <c r="K444" s="137" t="s">
        <v>77</v>
      </c>
      <c r="L444" s="137" t="s">
        <v>79</v>
      </c>
      <c r="M444" s="137" t="s">
        <v>80</v>
      </c>
      <c r="N444" s="137" t="b">
        <v>1</v>
      </c>
      <c r="O444" s="137"/>
      <c r="P444" s="137" t="s">
        <v>83</v>
      </c>
      <c r="Q444" s="137" t="s">
        <v>84</v>
      </c>
      <c r="R444" s="137" t="b">
        <v>1</v>
      </c>
      <c r="S444" s="139">
        <v>1</v>
      </c>
      <c r="T444" s="139">
        <v>1.18047239644817E+19</v>
      </c>
    </row>
    <row r="445" spans="3:20">
      <c r="C445" s="24" t="b">
        <v>0</v>
      </c>
      <c r="D445" s="137">
        <v>1</v>
      </c>
      <c r="E445" s="138">
        <v>1</v>
      </c>
      <c r="F445" s="137" t="s">
        <v>85</v>
      </c>
      <c r="G445" s="137">
        <v>60</v>
      </c>
      <c r="H445" s="137">
        <v>1</v>
      </c>
      <c r="I445" s="137">
        <v>0</v>
      </c>
      <c r="J445" s="137">
        <v>75.25</v>
      </c>
      <c r="K445" s="137" t="s">
        <v>82</v>
      </c>
      <c r="L445" s="137" t="s">
        <v>86</v>
      </c>
      <c r="M445" s="137" t="s">
        <v>87</v>
      </c>
      <c r="N445" s="137" t="b">
        <v>0</v>
      </c>
      <c r="O445" s="137" t="s">
        <v>96</v>
      </c>
      <c r="P445" s="137" t="s">
        <v>88</v>
      </c>
      <c r="Q445" s="137" t="s">
        <v>89</v>
      </c>
      <c r="R445" s="137" t="b">
        <v>0</v>
      </c>
      <c r="S445" s="139">
        <v>0</v>
      </c>
      <c r="T445" s="139">
        <v>1.2923425226397301E+19</v>
      </c>
    </row>
    <row r="446" spans="3:20">
      <c r="C446" s="24" t="b">
        <v>0</v>
      </c>
      <c r="D446" s="137">
        <v>1</v>
      </c>
      <c r="E446" s="138">
        <v>3</v>
      </c>
      <c r="F446" s="137" t="s">
        <v>85</v>
      </c>
      <c r="G446" s="137"/>
      <c r="H446" s="137">
        <v>0</v>
      </c>
      <c r="I446" s="137">
        <v>0</v>
      </c>
      <c r="J446" s="137">
        <v>7.2291999999999996</v>
      </c>
      <c r="K446" s="137" t="s">
        <v>82</v>
      </c>
      <c r="L446" s="137" t="s">
        <v>79</v>
      </c>
      <c r="M446" s="137" t="s">
        <v>87</v>
      </c>
      <c r="N446" s="137" t="b">
        <v>0</v>
      </c>
      <c r="O446" s="137"/>
      <c r="P446" s="137" t="s">
        <v>88</v>
      </c>
      <c r="Q446" s="137" t="s">
        <v>89</v>
      </c>
      <c r="R446" s="137" t="b">
        <v>1</v>
      </c>
      <c r="S446" s="139">
        <v>1</v>
      </c>
      <c r="T446" s="139">
        <v>1.5249903048369101E+19</v>
      </c>
    </row>
    <row r="447" spans="3:20">
      <c r="C447" s="24" t="b">
        <v>0</v>
      </c>
      <c r="D447" s="137">
        <v>1</v>
      </c>
      <c r="E447" s="138">
        <v>3</v>
      </c>
      <c r="F447" s="137" t="s">
        <v>85</v>
      </c>
      <c r="G447" s="137"/>
      <c r="H447" s="137">
        <v>0</v>
      </c>
      <c r="I447" s="137">
        <v>0</v>
      </c>
      <c r="J447" s="137">
        <v>7.75</v>
      </c>
      <c r="K447" s="137" t="s">
        <v>90</v>
      </c>
      <c r="L447" s="137" t="s">
        <v>79</v>
      </c>
      <c r="M447" s="137" t="s">
        <v>87</v>
      </c>
      <c r="N447" s="137" t="b">
        <v>0</v>
      </c>
      <c r="O447" s="137"/>
      <c r="P447" s="137" t="s">
        <v>91</v>
      </c>
      <c r="Q447" s="137" t="s">
        <v>89</v>
      </c>
      <c r="R447" s="137" t="b">
        <v>1</v>
      </c>
      <c r="S447" s="139">
        <v>1</v>
      </c>
      <c r="T447" s="139">
        <v>9.6415297742023398E+17</v>
      </c>
    </row>
    <row r="448" spans="3:20">
      <c r="C448" s="24" t="b">
        <v>0</v>
      </c>
      <c r="D448" s="137">
        <v>1</v>
      </c>
      <c r="E448" s="138">
        <v>1</v>
      </c>
      <c r="F448" s="137" t="s">
        <v>85</v>
      </c>
      <c r="G448" s="137">
        <v>24</v>
      </c>
      <c r="H448" s="137">
        <v>0</v>
      </c>
      <c r="I448" s="137">
        <v>0</v>
      </c>
      <c r="J448" s="137">
        <v>69.3</v>
      </c>
      <c r="K448" s="137" t="s">
        <v>82</v>
      </c>
      <c r="L448" s="137" t="s">
        <v>86</v>
      </c>
      <c r="M448" s="137" t="s">
        <v>87</v>
      </c>
      <c r="N448" s="137" t="b">
        <v>0</v>
      </c>
      <c r="O448" s="137" t="s">
        <v>98</v>
      </c>
      <c r="P448" s="137" t="s">
        <v>88</v>
      </c>
      <c r="Q448" s="137" t="s">
        <v>89</v>
      </c>
      <c r="R448" s="137" t="b">
        <v>1</v>
      </c>
      <c r="S448" s="139">
        <v>0</v>
      </c>
      <c r="T448" s="139">
        <v>8.2936938985161503E+18</v>
      </c>
    </row>
    <row r="449" spans="3:20">
      <c r="C449" s="24" t="b">
        <v>0</v>
      </c>
      <c r="D449" s="137">
        <v>1</v>
      </c>
      <c r="E449" s="138">
        <v>1</v>
      </c>
      <c r="F449" s="137" t="s">
        <v>75</v>
      </c>
      <c r="G449" s="137">
        <v>25</v>
      </c>
      <c r="H449" s="137">
        <v>1</v>
      </c>
      <c r="I449" s="137">
        <v>0</v>
      </c>
      <c r="J449" s="137">
        <v>55.441699999999997</v>
      </c>
      <c r="K449" s="137" t="s">
        <v>82</v>
      </c>
      <c r="L449" s="137" t="s">
        <v>86</v>
      </c>
      <c r="M449" s="137" t="s">
        <v>80</v>
      </c>
      <c r="N449" s="137" t="b">
        <v>1</v>
      </c>
      <c r="O449" s="137" t="s">
        <v>92</v>
      </c>
      <c r="P449" s="137" t="s">
        <v>88</v>
      </c>
      <c r="Q449" s="137" t="s">
        <v>89</v>
      </c>
      <c r="R449" s="137" t="b">
        <v>0</v>
      </c>
      <c r="S449" s="139">
        <v>0</v>
      </c>
      <c r="T449" s="139">
        <v>7.0060272000378501E+18</v>
      </c>
    </row>
    <row r="450" spans="3:20">
      <c r="C450" s="24" t="b">
        <v>0</v>
      </c>
      <c r="D450" s="137">
        <v>0</v>
      </c>
      <c r="E450" s="138">
        <v>3</v>
      </c>
      <c r="F450" s="137" t="s">
        <v>75</v>
      </c>
      <c r="G450" s="137">
        <v>18</v>
      </c>
      <c r="H450" s="137">
        <v>1</v>
      </c>
      <c r="I450" s="137">
        <v>0</v>
      </c>
      <c r="J450" s="137">
        <v>6.4958</v>
      </c>
      <c r="K450" s="137" t="s">
        <v>77</v>
      </c>
      <c r="L450" s="137" t="s">
        <v>79</v>
      </c>
      <c r="M450" s="137" t="s">
        <v>80</v>
      </c>
      <c r="N450" s="137" t="b">
        <v>1</v>
      </c>
      <c r="O450" s="137"/>
      <c r="P450" s="137" t="s">
        <v>83</v>
      </c>
      <c r="Q450" s="137" t="s">
        <v>84</v>
      </c>
      <c r="R450" s="137" t="b">
        <v>0</v>
      </c>
      <c r="S450" s="139">
        <v>1</v>
      </c>
      <c r="T450" s="139">
        <v>7.9353593447033201E+18</v>
      </c>
    </row>
    <row r="451" spans="3:20">
      <c r="C451" s="24" t="b">
        <v>0</v>
      </c>
      <c r="D451" s="137">
        <v>0</v>
      </c>
      <c r="E451" s="138">
        <v>3</v>
      </c>
      <c r="F451" s="137" t="s">
        <v>75</v>
      </c>
      <c r="G451" s="137">
        <v>19</v>
      </c>
      <c r="H451" s="137">
        <v>0</v>
      </c>
      <c r="I451" s="137">
        <v>0</v>
      </c>
      <c r="J451" s="137">
        <v>8.0500000000000007</v>
      </c>
      <c r="K451" s="137" t="s">
        <v>77</v>
      </c>
      <c r="L451" s="137" t="s">
        <v>79</v>
      </c>
      <c r="M451" s="137" t="s">
        <v>80</v>
      </c>
      <c r="N451" s="137" t="b">
        <v>1</v>
      </c>
      <c r="O451" s="137"/>
      <c r="P451" s="137" t="s">
        <v>83</v>
      </c>
      <c r="Q451" s="137" t="s">
        <v>84</v>
      </c>
      <c r="R451" s="137" t="b">
        <v>1</v>
      </c>
      <c r="S451" s="139">
        <v>1</v>
      </c>
      <c r="T451" s="139">
        <v>7.3971076366221998E+18</v>
      </c>
    </row>
    <row r="452" spans="3:20">
      <c r="C452" s="24" t="b">
        <v>0</v>
      </c>
      <c r="D452" s="137">
        <v>0</v>
      </c>
      <c r="E452" s="138">
        <v>1</v>
      </c>
      <c r="F452" s="137" t="s">
        <v>75</v>
      </c>
      <c r="G452" s="137">
        <v>22</v>
      </c>
      <c r="H452" s="137">
        <v>0</v>
      </c>
      <c r="I452" s="137">
        <v>0</v>
      </c>
      <c r="J452" s="137">
        <v>135.63329999999999</v>
      </c>
      <c r="K452" s="137" t="s">
        <v>82</v>
      </c>
      <c r="L452" s="137" t="s">
        <v>86</v>
      </c>
      <c r="M452" s="137" t="s">
        <v>80</v>
      </c>
      <c r="N452" s="137" t="b">
        <v>1</v>
      </c>
      <c r="O452" s="137"/>
      <c r="P452" s="137" t="s">
        <v>88</v>
      </c>
      <c r="Q452" s="137" t="s">
        <v>84</v>
      </c>
      <c r="R452" s="137" t="b">
        <v>1</v>
      </c>
      <c r="S452" s="139">
        <v>1</v>
      </c>
      <c r="T452" s="139">
        <v>1.50618077733022E+19</v>
      </c>
    </row>
    <row r="453" spans="3:20">
      <c r="C453" s="24" t="b">
        <v>0</v>
      </c>
      <c r="D453" s="137">
        <v>0</v>
      </c>
      <c r="E453" s="138">
        <v>3</v>
      </c>
      <c r="F453" s="137" t="s">
        <v>85</v>
      </c>
      <c r="G453" s="137">
        <v>3</v>
      </c>
      <c r="H453" s="137">
        <v>3</v>
      </c>
      <c r="I453" s="137">
        <v>1</v>
      </c>
      <c r="J453" s="137">
        <v>21.074999999999999</v>
      </c>
      <c r="K453" s="137" t="s">
        <v>77</v>
      </c>
      <c r="L453" s="137" t="s">
        <v>79</v>
      </c>
      <c r="M453" s="137" t="s">
        <v>93</v>
      </c>
      <c r="N453" s="137" t="b">
        <v>0</v>
      </c>
      <c r="O453" s="137"/>
      <c r="P453" s="137" t="s">
        <v>83</v>
      </c>
      <c r="Q453" s="137" t="s">
        <v>84</v>
      </c>
      <c r="R453" s="137" t="b">
        <v>0</v>
      </c>
      <c r="S453" s="139">
        <v>1</v>
      </c>
      <c r="T453" s="139">
        <v>1.2869434489655699E+19</v>
      </c>
    </row>
    <row r="454" spans="3:20">
      <c r="C454" s="24" t="b">
        <v>0</v>
      </c>
      <c r="D454" s="137">
        <v>1</v>
      </c>
      <c r="E454" s="138">
        <v>1</v>
      </c>
      <c r="F454" s="137" t="s">
        <v>85</v>
      </c>
      <c r="G454" s="137"/>
      <c r="H454" s="137">
        <v>1</v>
      </c>
      <c r="I454" s="137">
        <v>0</v>
      </c>
      <c r="J454" s="137">
        <v>82.1708</v>
      </c>
      <c r="K454" s="137" t="s">
        <v>82</v>
      </c>
      <c r="L454" s="137" t="s">
        <v>86</v>
      </c>
      <c r="M454" s="137" t="s">
        <v>87</v>
      </c>
      <c r="N454" s="137" t="b">
        <v>0</v>
      </c>
      <c r="O454" s="137"/>
      <c r="P454" s="137" t="s">
        <v>88</v>
      </c>
      <c r="Q454" s="137" t="s">
        <v>89</v>
      </c>
      <c r="R454" s="137" t="b">
        <v>0</v>
      </c>
      <c r="S454" s="139">
        <v>1</v>
      </c>
      <c r="T454" s="139">
        <v>4.9705914843094098E+18</v>
      </c>
    </row>
    <row r="455" spans="3:20">
      <c r="C455" s="24" t="b">
        <v>0</v>
      </c>
      <c r="D455" s="137">
        <v>1</v>
      </c>
      <c r="E455" s="138">
        <v>3</v>
      </c>
      <c r="F455" s="137" t="s">
        <v>85</v>
      </c>
      <c r="G455" s="137">
        <v>22</v>
      </c>
      <c r="H455" s="137">
        <v>0</v>
      </c>
      <c r="I455" s="137">
        <v>0</v>
      </c>
      <c r="J455" s="137">
        <v>7.25</v>
      </c>
      <c r="K455" s="137" t="s">
        <v>77</v>
      </c>
      <c r="L455" s="137" t="s">
        <v>79</v>
      </c>
      <c r="M455" s="137" t="s">
        <v>87</v>
      </c>
      <c r="N455" s="137" t="b">
        <v>0</v>
      </c>
      <c r="O455" s="137"/>
      <c r="P455" s="137" t="s">
        <v>83</v>
      </c>
      <c r="Q455" s="137" t="s">
        <v>89</v>
      </c>
      <c r="R455" s="137" t="b">
        <v>1</v>
      </c>
      <c r="S455" s="139">
        <v>1</v>
      </c>
      <c r="T455" s="139">
        <v>1.34146970768937E+19</v>
      </c>
    </row>
    <row r="456" spans="3:20">
      <c r="C456" s="24" t="b">
        <v>0</v>
      </c>
      <c r="D456" s="137">
        <v>0</v>
      </c>
      <c r="E456" s="138">
        <v>1</v>
      </c>
      <c r="F456" s="137" t="s">
        <v>75</v>
      </c>
      <c r="G456" s="137">
        <v>27</v>
      </c>
      <c r="H456" s="137">
        <v>0</v>
      </c>
      <c r="I456" s="137">
        <v>2</v>
      </c>
      <c r="J456" s="137">
        <v>211.5</v>
      </c>
      <c r="K456" s="137" t="s">
        <v>82</v>
      </c>
      <c r="L456" s="137" t="s">
        <v>86</v>
      </c>
      <c r="M456" s="137" t="s">
        <v>80</v>
      </c>
      <c r="N456" s="137" t="b">
        <v>1</v>
      </c>
      <c r="O456" s="137" t="s">
        <v>82</v>
      </c>
      <c r="P456" s="137" t="s">
        <v>88</v>
      </c>
      <c r="Q456" s="137" t="s">
        <v>84</v>
      </c>
      <c r="R456" s="137" t="b">
        <v>0</v>
      </c>
      <c r="S456" s="139">
        <v>0</v>
      </c>
      <c r="T456" s="139">
        <v>7.21861669226129E+18</v>
      </c>
    </row>
    <row r="457" spans="3:20">
      <c r="C457" s="24" t="b">
        <v>0</v>
      </c>
      <c r="D457" s="137">
        <v>0</v>
      </c>
      <c r="E457" s="138">
        <v>3</v>
      </c>
      <c r="F457" s="137" t="s">
        <v>75</v>
      </c>
      <c r="G457" s="137">
        <v>20</v>
      </c>
      <c r="H457" s="137">
        <v>0</v>
      </c>
      <c r="I457" s="137">
        <v>0</v>
      </c>
      <c r="J457" s="137">
        <v>4.0125000000000002</v>
      </c>
      <c r="K457" s="137" t="s">
        <v>82</v>
      </c>
      <c r="L457" s="137" t="s">
        <v>79</v>
      </c>
      <c r="M457" s="137" t="s">
        <v>80</v>
      </c>
      <c r="N457" s="137" t="b">
        <v>1</v>
      </c>
      <c r="O457" s="137"/>
      <c r="P457" s="137" t="s">
        <v>88</v>
      </c>
      <c r="Q457" s="137" t="s">
        <v>84</v>
      </c>
      <c r="R457" s="137" t="b">
        <v>1</v>
      </c>
      <c r="S457" s="139">
        <v>1</v>
      </c>
      <c r="T457" s="139">
        <v>4.58747441980928E+18</v>
      </c>
    </row>
    <row r="458" spans="3:20">
      <c r="C458" s="24" t="b">
        <v>0</v>
      </c>
      <c r="D458" s="137">
        <v>0</v>
      </c>
      <c r="E458" s="138">
        <v>3</v>
      </c>
      <c r="F458" s="137" t="s">
        <v>75</v>
      </c>
      <c r="G458" s="137">
        <v>19</v>
      </c>
      <c r="H458" s="137">
        <v>0</v>
      </c>
      <c r="I458" s="137">
        <v>0</v>
      </c>
      <c r="J458" s="137">
        <v>7.7750000000000004</v>
      </c>
      <c r="K458" s="137" t="s">
        <v>77</v>
      </c>
      <c r="L458" s="137" t="s">
        <v>79</v>
      </c>
      <c r="M458" s="137" t="s">
        <v>80</v>
      </c>
      <c r="N458" s="137" t="b">
        <v>1</v>
      </c>
      <c r="O458" s="137"/>
      <c r="P458" s="137" t="s">
        <v>83</v>
      </c>
      <c r="Q458" s="137" t="s">
        <v>84</v>
      </c>
      <c r="R458" s="137" t="b">
        <v>1</v>
      </c>
      <c r="S458" s="139">
        <v>1</v>
      </c>
      <c r="T458" s="139">
        <v>1.1401156577386199E+19</v>
      </c>
    </row>
    <row r="459" spans="3:20">
      <c r="C459" s="24" t="b">
        <v>0</v>
      </c>
      <c r="D459" s="137">
        <v>1</v>
      </c>
      <c r="E459" s="138">
        <v>1</v>
      </c>
      <c r="F459" s="137" t="s">
        <v>85</v>
      </c>
      <c r="G459" s="137">
        <v>42</v>
      </c>
      <c r="H459" s="137">
        <v>0</v>
      </c>
      <c r="I459" s="137">
        <v>0</v>
      </c>
      <c r="J459" s="137">
        <v>227.52500000000001</v>
      </c>
      <c r="K459" s="137" t="s">
        <v>82</v>
      </c>
      <c r="L459" s="137" t="s">
        <v>86</v>
      </c>
      <c r="M459" s="137" t="s">
        <v>87</v>
      </c>
      <c r="N459" s="137" t="b">
        <v>0</v>
      </c>
      <c r="O459" s="137"/>
      <c r="P459" s="137" t="s">
        <v>88</v>
      </c>
      <c r="Q459" s="137" t="s">
        <v>89</v>
      </c>
      <c r="R459" s="137" t="b">
        <v>1</v>
      </c>
      <c r="S459" s="139">
        <v>1</v>
      </c>
      <c r="T459" s="139">
        <v>1.3863657494694101E+19</v>
      </c>
    </row>
    <row r="460" spans="3:20">
      <c r="C460" s="24" t="b">
        <v>0</v>
      </c>
      <c r="D460" s="137">
        <v>1</v>
      </c>
      <c r="E460" s="138">
        <v>3</v>
      </c>
      <c r="F460" s="137" t="s">
        <v>85</v>
      </c>
      <c r="G460" s="137">
        <v>1</v>
      </c>
      <c r="H460" s="137">
        <v>0</v>
      </c>
      <c r="I460" s="137">
        <v>2</v>
      </c>
      <c r="J460" s="137">
        <v>15.7417</v>
      </c>
      <c r="K460" s="137" t="s">
        <v>82</v>
      </c>
      <c r="L460" s="137" t="s">
        <v>79</v>
      </c>
      <c r="M460" s="137" t="s">
        <v>93</v>
      </c>
      <c r="N460" s="137" t="b">
        <v>0</v>
      </c>
      <c r="O460" s="137"/>
      <c r="P460" s="137" t="s">
        <v>88</v>
      </c>
      <c r="Q460" s="137" t="s">
        <v>89</v>
      </c>
      <c r="R460" s="137" t="b">
        <v>0</v>
      </c>
      <c r="S460" s="139">
        <v>1</v>
      </c>
      <c r="T460" s="139">
        <v>1.5078603658858899E+19</v>
      </c>
    </row>
    <row r="461" spans="3:20">
      <c r="C461" s="24" t="b">
        <v>0</v>
      </c>
      <c r="D461" s="137">
        <v>0</v>
      </c>
      <c r="E461" s="138">
        <v>3</v>
      </c>
      <c r="F461" s="137" t="s">
        <v>75</v>
      </c>
      <c r="G461" s="137">
        <v>32</v>
      </c>
      <c r="H461" s="137">
        <v>0</v>
      </c>
      <c r="I461" s="137">
        <v>0</v>
      </c>
      <c r="J461" s="137">
        <v>7.9249999999999998</v>
      </c>
      <c r="K461" s="137" t="s">
        <v>77</v>
      </c>
      <c r="L461" s="137" t="s">
        <v>79</v>
      </c>
      <c r="M461" s="137" t="s">
        <v>80</v>
      </c>
      <c r="N461" s="137" t="b">
        <v>1</v>
      </c>
      <c r="O461" s="137"/>
      <c r="P461" s="137" t="s">
        <v>83</v>
      </c>
      <c r="Q461" s="137" t="s">
        <v>84</v>
      </c>
      <c r="R461" s="137" t="b">
        <v>1</v>
      </c>
      <c r="S461" s="139">
        <v>1</v>
      </c>
      <c r="T461" s="139">
        <v>1.2445234185820799E+19</v>
      </c>
    </row>
    <row r="462" spans="3:20">
      <c r="C462" s="24" t="b">
        <v>0</v>
      </c>
      <c r="D462" s="137">
        <v>1</v>
      </c>
      <c r="E462" s="138">
        <v>1</v>
      </c>
      <c r="F462" s="137" t="s">
        <v>85</v>
      </c>
      <c r="G462" s="137">
        <v>35</v>
      </c>
      <c r="H462" s="137">
        <v>1</v>
      </c>
      <c r="I462" s="137">
        <v>0</v>
      </c>
      <c r="J462" s="137">
        <v>52</v>
      </c>
      <c r="K462" s="137" t="s">
        <v>77</v>
      </c>
      <c r="L462" s="137" t="s">
        <v>86</v>
      </c>
      <c r="M462" s="137" t="s">
        <v>87</v>
      </c>
      <c r="N462" s="137" t="b">
        <v>0</v>
      </c>
      <c r="O462" s="137"/>
      <c r="P462" s="137" t="s">
        <v>83</v>
      </c>
      <c r="Q462" s="137" t="s">
        <v>89</v>
      </c>
      <c r="R462" s="137" t="b">
        <v>0</v>
      </c>
      <c r="S462" s="139">
        <v>1</v>
      </c>
      <c r="T462" s="139">
        <v>1.4467501060892E+19</v>
      </c>
    </row>
    <row r="463" spans="3:20">
      <c r="C463" s="24" t="b">
        <v>0</v>
      </c>
      <c r="D463" s="137">
        <v>0</v>
      </c>
      <c r="E463" s="138">
        <v>3</v>
      </c>
      <c r="F463" s="137" t="s">
        <v>75</v>
      </c>
      <c r="G463" s="137"/>
      <c r="H463" s="137">
        <v>0</v>
      </c>
      <c r="I463" s="137">
        <v>0</v>
      </c>
      <c r="J463" s="137">
        <v>7.8958000000000004</v>
      </c>
      <c r="K463" s="137" t="s">
        <v>77</v>
      </c>
      <c r="L463" s="137" t="s">
        <v>79</v>
      </c>
      <c r="M463" s="137" t="s">
        <v>80</v>
      </c>
      <c r="N463" s="137" t="b">
        <v>1</v>
      </c>
      <c r="O463" s="137"/>
      <c r="P463" s="137" t="s">
        <v>83</v>
      </c>
      <c r="Q463" s="137" t="s">
        <v>84</v>
      </c>
      <c r="R463" s="137" t="b">
        <v>1</v>
      </c>
      <c r="S463" s="139">
        <v>1</v>
      </c>
      <c r="T463" s="139">
        <v>1.7970467560381901E+19</v>
      </c>
    </row>
    <row r="464" spans="3:20">
      <c r="C464" s="24" t="b">
        <v>0</v>
      </c>
      <c r="D464" s="137">
        <v>0</v>
      </c>
      <c r="E464" s="138">
        <v>2</v>
      </c>
      <c r="F464" s="137" t="s">
        <v>75</v>
      </c>
      <c r="G464" s="137">
        <v>18</v>
      </c>
      <c r="H464" s="137">
        <v>0</v>
      </c>
      <c r="I464" s="137">
        <v>0</v>
      </c>
      <c r="J464" s="137">
        <v>73.5</v>
      </c>
      <c r="K464" s="137" t="s">
        <v>77</v>
      </c>
      <c r="L464" s="137" t="s">
        <v>94</v>
      </c>
      <c r="M464" s="137" t="s">
        <v>80</v>
      </c>
      <c r="N464" s="137" t="b">
        <v>1</v>
      </c>
      <c r="O464" s="137"/>
      <c r="P464" s="137" t="s">
        <v>83</v>
      </c>
      <c r="Q464" s="137" t="s">
        <v>84</v>
      </c>
      <c r="R464" s="137" t="b">
        <v>1</v>
      </c>
      <c r="S464" s="139">
        <v>1</v>
      </c>
      <c r="T464" s="139">
        <v>9.2311191400029491E+18</v>
      </c>
    </row>
    <row r="465" spans="3:20">
      <c r="C465" s="24" t="b">
        <v>0</v>
      </c>
      <c r="D465" s="137">
        <v>0</v>
      </c>
      <c r="E465" s="138">
        <v>3</v>
      </c>
      <c r="F465" s="137" t="s">
        <v>75</v>
      </c>
      <c r="G465" s="137">
        <v>1</v>
      </c>
      <c r="H465" s="137">
        <v>5</v>
      </c>
      <c r="I465" s="137">
        <v>2</v>
      </c>
      <c r="J465" s="137">
        <v>46.9</v>
      </c>
      <c r="K465" s="137" t="s">
        <v>77</v>
      </c>
      <c r="L465" s="137" t="s">
        <v>79</v>
      </c>
      <c r="M465" s="137" t="s">
        <v>93</v>
      </c>
      <c r="N465" s="137" t="b">
        <v>0</v>
      </c>
      <c r="O465" s="137"/>
      <c r="P465" s="137" t="s">
        <v>83</v>
      </c>
      <c r="Q465" s="137" t="s">
        <v>84</v>
      </c>
      <c r="R465" s="137" t="b">
        <v>0</v>
      </c>
      <c r="S465" s="139">
        <v>1</v>
      </c>
      <c r="T465" s="139">
        <v>1.65859477236886E+19</v>
      </c>
    </row>
    <row r="466" spans="3:20">
      <c r="C466" s="24" t="b">
        <v>0</v>
      </c>
      <c r="D466" s="137">
        <v>1</v>
      </c>
      <c r="E466" s="138">
        <v>2</v>
      </c>
      <c r="F466" s="137" t="s">
        <v>85</v>
      </c>
      <c r="G466" s="137">
        <v>36</v>
      </c>
      <c r="H466" s="137">
        <v>0</v>
      </c>
      <c r="I466" s="137">
        <v>0</v>
      </c>
      <c r="J466" s="137">
        <v>13</v>
      </c>
      <c r="K466" s="137" t="s">
        <v>77</v>
      </c>
      <c r="L466" s="137" t="s">
        <v>94</v>
      </c>
      <c r="M466" s="137" t="s">
        <v>87</v>
      </c>
      <c r="N466" s="137" t="b">
        <v>0</v>
      </c>
      <c r="O466" s="137"/>
      <c r="P466" s="137" t="s">
        <v>83</v>
      </c>
      <c r="Q466" s="137" t="s">
        <v>89</v>
      </c>
      <c r="R466" s="137" t="b">
        <v>1</v>
      </c>
      <c r="S466" s="139">
        <v>1</v>
      </c>
      <c r="T466" s="139">
        <v>1.0163058749527599E+19</v>
      </c>
    </row>
    <row r="467" spans="3:20">
      <c r="C467" s="24" t="b">
        <v>0</v>
      </c>
      <c r="D467" s="137">
        <v>0</v>
      </c>
      <c r="E467" s="138">
        <v>3</v>
      </c>
      <c r="F467" s="137" t="s">
        <v>75</v>
      </c>
      <c r="G467" s="137"/>
      <c r="H467" s="137">
        <v>0</v>
      </c>
      <c r="I467" s="137">
        <v>0</v>
      </c>
      <c r="J467" s="137">
        <v>7.7291999999999996</v>
      </c>
      <c r="K467" s="137" t="s">
        <v>90</v>
      </c>
      <c r="L467" s="137" t="s">
        <v>79</v>
      </c>
      <c r="M467" s="137" t="s">
        <v>80</v>
      </c>
      <c r="N467" s="137" t="b">
        <v>1</v>
      </c>
      <c r="O467" s="137"/>
      <c r="P467" s="137" t="s">
        <v>91</v>
      </c>
      <c r="Q467" s="137" t="s">
        <v>84</v>
      </c>
      <c r="R467" s="137" t="b">
        <v>1</v>
      </c>
      <c r="S467" s="139">
        <v>1</v>
      </c>
      <c r="T467" s="139">
        <v>1.00826072081786E+19</v>
      </c>
    </row>
    <row r="468" spans="3:20">
      <c r="C468" s="24" t="b">
        <v>0</v>
      </c>
      <c r="D468" s="137">
        <v>1</v>
      </c>
      <c r="E468" s="138">
        <v>2</v>
      </c>
      <c r="F468" s="137" t="s">
        <v>85</v>
      </c>
      <c r="G468" s="137">
        <v>17</v>
      </c>
      <c r="H468" s="137">
        <v>0</v>
      </c>
      <c r="I468" s="137">
        <v>0</v>
      </c>
      <c r="J468" s="137">
        <v>12</v>
      </c>
      <c r="K468" s="137" t="s">
        <v>82</v>
      </c>
      <c r="L468" s="137" t="s">
        <v>94</v>
      </c>
      <c r="M468" s="137" t="s">
        <v>87</v>
      </c>
      <c r="N468" s="137" t="b">
        <v>0</v>
      </c>
      <c r="O468" s="137"/>
      <c r="P468" s="137" t="s">
        <v>88</v>
      </c>
      <c r="Q468" s="137" t="s">
        <v>89</v>
      </c>
      <c r="R468" s="137" t="b">
        <v>1</v>
      </c>
      <c r="S468" s="139">
        <v>1</v>
      </c>
      <c r="T468" s="139">
        <v>7.7122941609903008E+16</v>
      </c>
    </row>
    <row r="469" spans="3:20">
      <c r="C469" s="24" t="b">
        <v>0</v>
      </c>
      <c r="D469" s="137">
        <v>1</v>
      </c>
      <c r="E469" s="138">
        <v>1</v>
      </c>
      <c r="F469" s="137" t="s">
        <v>75</v>
      </c>
      <c r="G469" s="137">
        <v>36</v>
      </c>
      <c r="H469" s="137">
        <v>1</v>
      </c>
      <c r="I469" s="137">
        <v>2</v>
      </c>
      <c r="J469" s="137">
        <v>120</v>
      </c>
      <c r="K469" s="137" t="s">
        <v>77</v>
      </c>
      <c r="L469" s="137" t="s">
        <v>86</v>
      </c>
      <c r="M469" s="137" t="s">
        <v>80</v>
      </c>
      <c r="N469" s="137" t="b">
        <v>1</v>
      </c>
      <c r="O469" s="137" t="s">
        <v>98</v>
      </c>
      <c r="P469" s="137" t="s">
        <v>83</v>
      </c>
      <c r="Q469" s="137" t="s">
        <v>89</v>
      </c>
      <c r="R469" s="137" t="b">
        <v>0</v>
      </c>
      <c r="S469" s="139">
        <v>0</v>
      </c>
      <c r="T469" s="139">
        <v>9.6260724866430095E+18</v>
      </c>
    </row>
    <row r="470" spans="3:20">
      <c r="C470" s="24" t="b">
        <v>0</v>
      </c>
      <c r="D470" s="137">
        <v>1</v>
      </c>
      <c r="E470" s="138">
        <v>3</v>
      </c>
      <c r="F470" s="137" t="s">
        <v>75</v>
      </c>
      <c r="G470" s="137">
        <v>21</v>
      </c>
      <c r="H470" s="137">
        <v>0</v>
      </c>
      <c r="I470" s="137">
        <v>0</v>
      </c>
      <c r="J470" s="137">
        <v>7.7957999999999998</v>
      </c>
      <c r="K470" s="137" t="s">
        <v>77</v>
      </c>
      <c r="L470" s="137" t="s">
        <v>79</v>
      </c>
      <c r="M470" s="137" t="s">
        <v>80</v>
      </c>
      <c r="N470" s="137" t="b">
        <v>1</v>
      </c>
      <c r="O470" s="137"/>
      <c r="P470" s="137" t="s">
        <v>83</v>
      </c>
      <c r="Q470" s="137" t="s">
        <v>89</v>
      </c>
      <c r="R470" s="137" t="b">
        <v>1</v>
      </c>
      <c r="S470" s="139">
        <v>1</v>
      </c>
      <c r="T470" s="139">
        <v>1.2743706938548601E+19</v>
      </c>
    </row>
    <row r="471" spans="3:20">
      <c r="C471" s="24" t="b">
        <v>0</v>
      </c>
      <c r="D471" s="137">
        <v>0</v>
      </c>
      <c r="E471" s="138">
        <v>3</v>
      </c>
      <c r="F471" s="137" t="s">
        <v>75</v>
      </c>
      <c r="G471" s="137">
        <v>28</v>
      </c>
      <c r="H471" s="137">
        <v>2</v>
      </c>
      <c r="I471" s="137">
        <v>0</v>
      </c>
      <c r="J471" s="137">
        <v>7.9249999999999998</v>
      </c>
      <c r="K471" s="137" t="s">
        <v>77</v>
      </c>
      <c r="L471" s="137" t="s">
        <v>79</v>
      </c>
      <c r="M471" s="137" t="s">
        <v>80</v>
      </c>
      <c r="N471" s="137" t="b">
        <v>1</v>
      </c>
      <c r="O471" s="137"/>
      <c r="P471" s="137" t="s">
        <v>83</v>
      </c>
      <c r="Q471" s="137" t="s">
        <v>84</v>
      </c>
      <c r="R471" s="137" t="b">
        <v>0</v>
      </c>
      <c r="S471" s="139">
        <v>1</v>
      </c>
      <c r="T471" s="139">
        <v>1.2302238563812901E+19</v>
      </c>
    </row>
    <row r="472" spans="3:20">
      <c r="C472" s="24" t="b">
        <v>0</v>
      </c>
      <c r="D472" s="137">
        <v>1</v>
      </c>
      <c r="E472" s="138">
        <v>1</v>
      </c>
      <c r="F472" s="137" t="s">
        <v>85</v>
      </c>
      <c r="G472" s="137">
        <v>23</v>
      </c>
      <c r="H472" s="137">
        <v>1</v>
      </c>
      <c r="I472" s="137">
        <v>0</v>
      </c>
      <c r="J472" s="137">
        <v>113.27500000000001</v>
      </c>
      <c r="K472" s="137" t="s">
        <v>82</v>
      </c>
      <c r="L472" s="137" t="s">
        <v>86</v>
      </c>
      <c r="M472" s="137" t="s">
        <v>87</v>
      </c>
      <c r="N472" s="137" t="b">
        <v>0</v>
      </c>
      <c r="O472" s="137" t="s">
        <v>96</v>
      </c>
      <c r="P472" s="137" t="s">
        <v>88</v>
      </c>
      <c r="Q472" s="137" t="s">
        <v>89</v>
      </c>
      <c r="R472" s="137" t="b">
        <v>0</v>
      </c>
      <c r="S472" s="139">
        <v>0</v>
      </c>
      <c r="T472" s="139">
        <v>1.5849222255050701E+19</v>
      </c>
    </row>
    <row r="473" spans="3:20">
      <c r="C473" s="24" t="b">
        <v>0</v>
      </c>
      <c r="D473" s="137">
        <v>1</v>
      </c>
      <c r="E473" s="138">
        <v>3</v>
      </c>
      <c r="F473" s="137" t="s">
        <v>85</v>
      </c>
      <c r="G473" s="137">
        <v>24</v>
      </c>
      <c r="H473" s="137">
        <v>0</v>
      </c>
      <c r="I473" s="137">
        <v>2</v>
      </c>
      <c r="J473" s="137">
        <v>16.7</v>
      </c>
      <c r="K473" s="137" t="s">
        <v>77</v>
      </c>
      <c r="L473" s="137" t="s">
        <v>79</v>
      </c>
      <c r="M473" s="137" t="s">
        <v>87</v>
      </c>
      <c r="N473" s="137" t="b">
        <v>0</v>
      </c>
      <c r="O473" s="137" t="s">
        <v>95</v>
      </c>
      <c r="P473" s="137" t="s">
        <v>83</v>
      </c>
      <c r="Q473" s="137" t="s">
        <v>89</v>
      </c>
      <c r="R473" s="137" t="b">
        <v>0</v>
      </c>
      <c r="S473" s="139">
        <v>0</v>
      </c>
      <c r="T473" s="139">
        <v>8.40223590143202E+18</v>
      </c>
    </row>
    <row r="474" spans="3:20">
      <c r="C474" s="24" t="b">
        <v>0</v>
      </c>
      <c r="D474" s="137">
        <v>0</v>
      </c>
      <c r="E474" s="138">
        <v>3</v>
      </c>
      <c r="F474" s="137" t="s">
        <v>75</v>
      </c>
      <c r="G474" s="137">
        <v>22</v>
      </c>
      <c r="H474" s="137">
        <v>0</v>
      </c>
      <c r="I474" s="137">
        <v>0</v>
      </c>
      <c r="J474" s="137">
        <v>7.7957999999999998</v>
      </c>
      <c r="K474" s="137" t="s">
        <v>77</v>
      </c>
      <c r="L474" s="137" t="s">
        <v>79</v>
      </c>
      <c r="M474" s="137" t="s">
        <v>80</v>
      </c>
      <c r="N474" s="137" t="b">
        <v>1</v>
      </c>
      <c r="O474" s="137"/>
      <c r="P474" s="137" t="s">
        <v>83</v>
      </c>
      <c r="Q474" s="137" t="s">
        <v>84</v>
      </c>
      <c r="R474" s="137" t="b">
        <v>1</v>
      </c>
      <c r="S474" s="139">
        <v>1</v>
      </c>
      <c r="T474" s="139">
        <v>2.7853468164258801E+18</v>
      </c>
    </row>
    <row r="475" spans="3:20">
      <c r="C475" s="24" t="b">
        <v>0</v>
      </c>
      <c r="D475" s="137">
        <v>0</v>
      </c>
      <c r="E475" s="138">
        <v>3</v>
      </c>
      <c r="F475" s="137" t="s">
        <v>85</v>
      </c>
      <c r="G475" s="137">
        <v>31</v>
      </c>
      <c r="H475" s="137">
        <v>0</v>
      </c>
      <c r="I475" s="137">
        <v>0</v>
      </c>
      <c r="J475" s="137">
        <v>7.8541999999999996</v>
      </c>
      <c r="K475" s="137" t="s">
        <v>77</v>
      </c>
      <c r="L475" s="137" t="s">
        <v>79</v>
      </c>
      <c r="M475" s="137" t="s">
        <v>87</v>
      </c>
      <c r="N475" s="137" t="b">
        <v>0</v>
      </c>
      <c r="O475" s="137"/>
      <c r="P475" s="137" t="s">
        <v>83</v>
      </c>
      <c r="Q475" s="137" t="s">
        <v>84</v>
      </c>
      <c r="R475" s="137" t="b">
        <v>1</v>
      </c>
      <c r="S475" s="139">
        <v>1</v>
      </c>
      <c r="T475" s="139">
        <v>1.4492405098959499E+19</v>
      </c>
    </row>
    <row r="476" spans="3:20">
      <c r="C476" s="24" t="b">
        <v>0</v>
      </c>
      <c r="D476" s="137">
        <v>0</v>
      </c>
      <c r="E476" s="138">
        <v>2</v>
      </c>
      <c r="F476" s="137" t="s">
        <v>75</v>
      </c>
      <c r="G476" s="137">
        <v>46</v>
      </c>
      <c r="H476" s="137">
        <v>0</v>
      </c>
      <c r="I476" s="137">
        <v>0</v>
      </c>
      <c r="J476" s="137">
        <v>26</v>
      </c>
      <c r="K476" s="137" t="s">
        <v>77</v>
      </c>
      <c r="L476" s="137" t="s">
        <v>94</v>
      </c>
      <c r="M476" s="137" t="s">
        <v>80</v>
      </c>
      <c r="N476" s="137" t="b">
        <v>1</v>
      </c>
      <c r="O476" s="137"/>
      <c r="P476" s="137" t="s">
        <v>83</v>
      </c>
      <c r="Q476" s="137" t="s">
        <v>84</v>
      </c>
      <c r="R476" s="137" t="b">
        <v>1</v>
      </c>
      <c r="S476" s="139">
        <v>1</v>
      </c>
      <c r="T476" s="139">
        <v>3.4501842928939699E+18</v>
      </c>
    </row>
    <row r="477" spans="3:20">
      <c r="C477" s="24" t="b">
        <v>0</v>
      </c>
      <c r="D477" s="137">
        <v>0</v>
      </c>
      <c r="E477" s="138">
        <v>2</v>
      </c>
      <c r="F477" s="137" t="s">
        <v>75</v>
      </c>
      <c r="G477" s="137">
        <v>23</v>
      </c>
      <c r="H477" s="137">
        <v>0</v>
      </c>
      <c r="I477" s="137">
        <v>0</v>
      </c>
      <c r="J477" s="137">
        <v>10.5</v>
      </c>
      <c r="K477" s="137" t="s">
        <v>77</v>
      </c>
      <c r="L477" s="137" t="s">
        <v>94</v>
      </c>
      <c r="M477" s="137" t="s">
        <v>80</v>
      </c>
      <c r="N477" s="137" t="b">
        <v>1</v>
      </c>
      <c r="O477" s="137"/>
      <c r="P477" s="137" t="s">
        <v>83</v>
      </c>
      <c r="Q477" s="137" t="s">
        <v>84</v>
      </c>
      <c r="R477" s="137" t="b">
        <v>1</v>
      </c>
      <c r="S477" s="139">
        <v>1</v>
      </c>
      <c r="T477" s="139">
        <v>5.4614295232677499E+18</v>
      </c>
    </row>
    <row r="478" spans="3:20">
      <c r="C478" s="24" t="b">
        <v>0</v>
      </c>
      <c r="D478" s="137">
        <v>1</v>
      </c>
      <c r="E478" s="138">
        <v>2</v>
      </c>
      <c r="F478" s="137" t="s">
        <v>85</v>
      </c>
      <c r="G478" s="137">
        <v>28</v>
      </c>
      <c r="H478" s="137">
        <v>0</v>
      </c>
      <c r="I478" s="137">
        <v>0</v>
      </c>
      <c r="J478" s="137">
        <v>12.65</v>
      </c>
      <c r="K478" s="137" t="s">
        <v>77</v>
      </c>
      <c r="L478" s="137" t="s">
        <v>94</v>
      </c>
      <c r="M478" s="137" t="s">
        <v>87</v>
      </c>
      <c r="N478" s="137" t="b">
        <v>0</v>
      </c>
      <c r="O478" s="137"/>
      <c r="P478" s="137" t="s">
        <v>83</v>
      </c>
      <c r="Q478" s="137" t="s">
        <v>89</v>
      </c>
      <c r="R478" s="137" t="b">
        <v>1</v>
      </c>
      <c r="S478" s="139">
        <v>1</v>
      </c>
      <c r="T478" s="139">
        <v>2.4276480522849802E+18</v>
      </c>
    </row>
    <row r="479" spans="3:20">
      <c r="C479" s="24" t="b">
        <v>0</v>
      </c>
      <c r="D479" s="137">
        <v>1</v>
      </c>
      <c r="E479" s="138">
        <v>3</v>
      </c>
      <c r="F479" s="137" t="s">
        <v>75</v>
      </c>
      <c r="G479" s="137">
        <v>39</v>
      </c>
      <c r="H479" s="137">
        <v>0</v>
      </c>
      <c r="I479" s="137">
        <v>0</v>
      </c>
      <c r="J479" s="137">
        <v>7.9249999999999998</v>
      </c>
      <c r="K479" s="137" t="s">
        <v>77</v>
      </c>
      <c r="L479" s="137" t="s">
        <v>79</v>
      </c>
      <c r="M479" s="137" t="s">
        <v>80</v>
      </c>
      <c r="N479" s="137" t="b">
        <v>1</v>
      </c>
      <c r="O479" s="137"/>
      <c r="P479" s="137" t="s">
        <v>83</v>
      </c>
      <c r="Q479" s="137" t="s">
        <v>89</v>
      </c>
      <c r="R479" s="137" t="b">
        <v>1</v>
      </c>
      <c r="S479" s="139">
        <v>1</v>
      </c>
      <c r="T479" s="139">
        <v>5.5368386285029499E+18</v>
      </c>
    </row>
    <row r="480" spans="3:20">
      <c r="C480" s="24" t="b">
        <v>0</v>
      </c>
      <c r="D480" s="137">
        <v>0</v>
      </c>
      <c r="E480" s="138">
        <v>3</v>
      </c>
      <c r="F480" s="137" t="s">
        <v>75</v>
      </c>
      <c r="G480" s="137">
        <v>26</v>
      </c>
      <c r="H480" s="137">
        <v>0</v>
      </c>
      <c r="I480" s="137">
        <v>0</v>
      </c>
      <c r="J480" s="137">
        <v>8.0500000000000007</v>
      </c>
      <c r="K480" s="137" t="s">
        <v>77</v>
      </c>
      <c r="L480" s="137" t="s">
        <v>79</v>
      </c>
      <c r="M480" s="137" t="s">
        <v>80</v>
      </c>
      <c r="N480" s="137" t="b">
        <v>1</v>
      </c>
      <c r="O480" s="137"/>
      <c r="P480" s="137" t="s">
        <v>83</v>
      </c>
      <c r="Q480" s="137" t="s">
        <v>84</v>
      </c>
      <c r="R480" s="137" t="b">
        <v>1</v>
      </c>
      <c r="S480" s="139">
        <v>1</v>
      </c>
      <c r="T480" s="139">
        <v>1.7726849880584901E+19</v>
      </c>
    </row>
    <row r="481" spans="3:20">
      <c r="C481" s="24" t="b">
        <v>0</v>
      </c>
      <c r="D481" s="137">
        <v>0</v>
      </c>
      <c r="E481" s="138">
        <v>3</v>
      </c>
      <c r="F481" s="137" t="s">
        <v>85</v>
      </c>
      <c r="G481" s="137">
        <v>21</v>
      </c>
      <c r="H481" s="137">
        <v>1</v>
      </c>
      <c r="I481" s="137">
        <v>0</v>
      </c>
      <c r="J481" s="137">
        <v>9.8249999999999993</v>
      </c>
      <c r="K481" s="137" t="s">
        <v>77</v>
      </c>
      <c r="L481" s="137" t="s">
        <v>79</v>
      </c>
      <c r="M481" s="137" t="s">
        <v>87</v>
      </c>
      <c r="N481" s="137" t="b">
        <v>0</v>
      </c>
      <c r="O481" s="137"/>
      <c r="P481" s="137" t="s">
        <v>83</v>
      </c>
      <c r="Q481" s="137" t="s">
        <v>84</v>
      </c>
      <c r="R481" s="137" t="b">
        <v>0</v>
      </c>
      <c r="S481" s="139">
        <v>1</v>
      </c>
      <c r="T481" s="139">
        <v>3.0783314304056402E+18</v>
      </c>
    </row>
    <row r="482" spans="3:20">
      <c r="C482" s="24" t="b">
        <v>0</v>
      </c>
      <c r="D482" s="137">
        <v>0</v>
      </c>
      <c r="E482" s="138">
        <v>3</v>
      </c>
      <c r="F482" s="137" t="s">
        <v>75</v>
      </c>
      <c r="G482" s="137">
        <v>28</v>
      </c>
      <c r="H482" s="137">
        <v>1</v>
      </c>
      <c r="I482" s="137">
        <v>0</v>
      </c>
      <c r="J482" s="137">
        <v>15.85</v>
      </c>
      <c r="K482" s="137" t="s">
        <v>77</v>
      </c>
      <c r="L482" s="137" t="s">
        <v>79</v>
      </c>
      <c r="M482" s="137" t="s">
        <v>80</v>
      </c>
      <c r="N482" s="137" t="b">
        <v>1</v>
      </c>
      <c r="O482" s="137"/>
      <c r="P482" s="137" t="s">
        <v>83</v>
      </c>
      <c r="Q482" s="137" t="s">
        <v>84</v>
      </c>
      <c r="R482" s="137" t="b">
        <v>0</v>
      </c>
      <c r="S482" s="139">
        <v>1</v>
      </c>
      <c r="T482" s="139">
        <v>1.50269234934493E+19</v>
      </c>
    </row>
    <row r="483" spans="3:20">
      <c r="C483" s="24" t="b">
        <v>0</v>
      </c>
      <c r="D483" s="137">
        <v>0</v>
      </c>
      <c r="E483" s="138">
        <v>3</v>
      </c>
      <c r="F483" s="137" t="s">
        <v>85</v>
      </c>
      <c r="G483" s="137">
        <v>20</v>
      </c>
      <c r="H483" s="137">
        <v>0</v>
      </c>
      <c r="I483" s="137">
        <v>0</v>
      </c>
      <c r="J483" s="137">
        <v>8.6624999999999996</v>
      </c>
      <c r="K483" s="137" t="s">
        <v>77</v>
      </c>
      <c r="L483" s="137" t="s">
        <v>79</v>
      </c>
      <c r="M483" s="137" t="s">
        <v>87</v>
      </c>
      <c r="N483" s="137" t="b">
        <v>0</v>
      </c>
      <c r="O483" s="137"/>
      <c r="P483" s="137" t="s">
        <v>83</v>
      </c>
      <c r="Q483" s="137" t="s">
        <v>84</v>
      </c>
      <c r="R483" s="137" t="b">
        <v>1</v>
      </c>
      <c r="S483" s="139">
        <v>1</v>
      </c>
      <c r="T483" s="139">
        <v>5.0471556762410496E+18</v>
      </c>
    </row>
    <row r="484" spans="3:20">
      <c r="C484" s="24" t="b">
        <v>0</v>
      </c>
      <c r="D484" s="137">
        <v>0</v>
      </c>
      <c r="E484" s="138">
        <v>2</v>
      </c>
      <c r="F484" s="137" t="s">
        <v>75</v>
      </c>
      <c r="G484" s="137">
        <v>34</v>
      </c>
      <c r="H484" s="137">
        <v>1</v>
      </c>
      <c r="I484" s="137">
        <v>0</v>
      </c>
      <c r="J484" s="137">
        <v>21</v>
      </c>
      <c r="K484" s="137" t="s">
        <v>77</v>
      </c>
      <c r="L484" s="137" t="s">
        <v>94</v>
      </c>
      <c r="M484" s="137" t="s">
        <v>80</v>
      </c>
      <c r="N484" s="137" t="b">
        <v>1</v>
      </c>
      <c r="O484" s="137"/>
      <c r="P484" s="137" t="s">
        <v>83</v>
      </c>
      <c r="Q484" s="137" t="s">
        <v>84</v>
      </c>
      <c r="R484" s="137" t="b">
        <v>0</v>
      </c>
      <c r="S484" s="139">
        <v>1</v>
      </c>
      <c r="T484" s="139">
        <v>7.0698537418648105E+18</v>
      </c>
    </row>
    <row r="485" spans="3:20">
      <c r="C485" s="24" t="b">
        <v>0</v>
      </c>
      <c r="D485" s="137">
        <v>0</v>
      </c>
      <c r="E485" s="138">
        <v>3</v>
      </c>
      <c r="F485" s="137" t="s">
        <v>75</v>
      </c>
      <c r="G485" s="137">
        <v>51</v>
      </c>
      <c r="H485" s="137">
        <v>0</v>
      </c>
      <c r="I485" s="137">
        <v>0</v>
      </c>
      <c r="J485" s="137">
        <v>7.75</v>
      </c>
      <c r="K485" s="137" t="s">
        <v>77</v>
      </c>
      <c r="L485" s="137" t="s">
        <v>79</v>
      </c>
      <c r="M485" s="137" t="s">
        <v>80</v>
      </c>
      <c r="N485" s="137" t="b">
        <v>1</v>
      </c>
      <c r="O485" s="137"/>
      <c r="P485" s="137" t="s">
        <v>83</v>
      </c>
      <c r="Q485" s="137" t="s">
        <v>84</v>
      </c>
      <c r="R485" s="137" t="b">
        <v>1</v>
      </c>
      <c r="S485" s="139">
        <v>1</v>
      </c>
      <c r="T485" s="139">
        <v>1.55221056812062E+19</v>
      </c>
    </row>
    <row r="486" spans="3:20">
      <c r="C486" s="24" t="b">
        <v>0</v>
      </c>
      <c r="D486" s="137">
        <v>1</v>
      </c>
      <c r="E486" s="138">
        <v>2</v>
      </c>
      <c r="F486" s="137" t="s">
        <v>75</v>
      </c>
      <c r="G486" s="137">
        <v>3</v>
      </c>
      <c r="H486" s="137">
        <v>1</v>
      </c>
      <c r="I486" s="137">
        <v>1</v>
      </c>
      <c r="J486" s="137">
        <v>18.75</v>
      </c>
      <c r="K486" s="137" t="s">
        <v>77</v>
      </c>
      <c r="L486" s="137" t="s">
        <v>94</v>
      </c>
      <c r="M486" s="137" t="s">
        <v>93</v>
      </c>
      <c r="N486" s="137" t="b">
        <v>0</v>
      </c>
      <c r="O486" s="137"/>
      <c r="P486" s="137" t="s">
        <v>83</v>
      </c>
      <c r="Q486" s="137" t="s">
        <v>89</v>
      </c>
      <c r="R486" s="137" t="b">
        <v>0</v>
      </c>
      <c r="S486" s="139">
        <v>1</v>
      </c>
      <c r="T486" s="139">
        <v>1.00999065320361E+19</v>
      </c>
    </row>
    <row r="487" spans="3:20">
      <c r="C487" s="24" t="b">
        <v>0</v>
      </c>
      <c r="D487" s="137">
        <v>0</v>
      </c>
      <c r="E487" s="138">
        <v>3</v>
      </c>
      <c r="F487" s="137" t="s">
        <v>75</v>
      </c>
      <c r="G487" s="137">
        <v>21</v>
      </c>
      <c r="H487" s="137">
        <v>0</v>
      </c>
      <c r="I487" s="137">
        <v>0</v>
      </c>
      <c r="J487" s="137">
        <v>7.7750000000000004</v>
      </c>
      <c r="K487" s="137" t="s">
        <v>77</v>
      </c>
      <c r="L487" s="137" t="s">
        <v>79</v>
      </c>
      <c r="M487" s="137" t="s">
        <v>80</v>
      </c>
      <c r="N487" s="137" t="b">
        <v>1</v>
      </c>
      <c r="O487" s="137"/>
      <c r="P487" s="137" t="s">
        <v>83</v>
      </c>
      <c r="Q487" s="137" t="s">
        <v>84</v>
      </c>
      <c r="R487" s="137" t="b">
        <v>1</v>
      </c>
      <c r="S487" s="139">
        <v>1</v>
      </c>
      <c r="T487" s="139">
        <v>5.5569811668579103E+18</v>
      </c>
    </row>
    <row r="488" spans="3:20">
      <c r="C488" s="24" t="b">
        <v>0</v>
      </c>
      <c r="D488" s="137">
        <v>0</v>
      </c>
      <c r="E488" s="138">
        <v>3</v>
      </c>
      <c r="F488" s="137" t="s">
        <v>85</v>
      </c>
      <c r="G488" s="137"/>
      <c r="H488" s="137">
        <v>3</v>
      </c>
      <c r="I488" s="137">
        <v>1</v>
      </c>
      <c r="J488" s="137">
        <v>25.466699999999999</v>
      </c>
      <c r="K488" s="137" t="s">
        <v>77</v>
      </c>
      <c r="L488" s="137" t="s">
        <v>79</v>
      </c>
      <c r="M488" s="137" t="s">
        <v>87</v>
      </c>
      <c r="N488" s="137" t="b">
        <v>0</v>
      </c>
      <c r="O488" s="137"/>
      <c r="P488" s="137" t="s">
        <v>83</v>
      </c>
      <c r="Q488" s="137" t="s">
        <v>84</v>
      </c>
      <c r="R488" s="137" t="b">
        <v>0</v>
      </c>
      <c r="S488" s="139">
        <v>1</v>
      </c>
      <c r="T488" s="139">
        <v>1.80108942157732E+19</v>
      </c>
    </row>
    <row r="489" spans="3:20">
      <c r="C489" s="24" t="b">
        <v>0</v>
      </c>
      <c r="D489" s="137">
        <v>0</v>
      </c>
      <c r="E489" s="138">
        <v>3</v>
      </c>
      <c r="F489" s="137" t="s">
        <v>75</v>
      </c>
      <c r="G489" s="137"/>
      <c r="H489" s="137">
        <v>0</v>
      </c>
      <c r="I489" s="137">
        <v>0</v>
      </c>
      <c r="J489" s="137">
        <v>7.8958000000000004</v>
      </c>
      <c r="K489" s="137" t="s">
        <v>77</v>
      </c>
      <c r="L489" s="137" t="s">
        <v>79</v>
      </c>
      <c r="M489" s="137" t="s">
        <v>80</v>
      </c>
      <c r="N489" s="137" t="b">
        <v>1</v>
      </c>
      <c r="O489" s="137"/>
      <c r="P489" s="137" t="s">
        <v>83</v>
      </c>
      <c r="Q489" s="137" t="s">
        <v>84</v>
      </c>
      <c r="R489" s="137" t="b">
        <v>1</v>
      </c>
      <c r="S489" s="139">
        <v>1</v>
      </c>
      <c r="T489" s="139">
        <v>1.7970467560381901E+19</v>
      </c>
    </row>
    <row r="490" spans="3:20">
      <c r="C490" s="24" t="b">
        <v>0</v>
      </c>
      <c r="D490" s="137">
        <v>0</v>
      </c>
      <c r="E490" s="138">
        <v>3</v>
      </c>
      <c r="F490" s="137" t="s">
        <v>75</v>
      </c>
      <c r="G490" s="137"/>
      <c r="H490" s="137">
        <v>0</v>
      </c>
      <c r="I490" s="137">
        <v>0</v>
      </c>
      <c r="J490" s="137">
        <v>6.8582999999999998</v>
      </c>
      <c r="K490" s="137" t="s">
        <v>90</v>
      </c>
      <c r="L490" s="137" t="s">
        <v>79</v>
      </c>
      <c r="M490" s="137" t="s">
        <v>80</v>
      </c>
      <c r="N490" s="137" t="b">
        <v>1</v>
      </c>
      <c r="O490" s="137"/>
      <c r="P490" s="137" t="s">
        <v>91</v>
      </c>
      <c r="Q490" s="137" t="s">
        <v>84</v>
      </c>
      <c r="R490" s="137" t="b">
        <v>1</v>
      </c>
      <c r="S490" s="139">
        <v>1</v>
      </c>
      <c r="T490" s="139">
        <v>1.13896913986392E+19</v>
      </c>
    </row>
    <row r="491" spans="3:20">
      <c r="C491" s="24" t="b">
        <v>0</v>
      </c>
      <c r="D491" s="137">
        <v>1</v>
      </c>
      <c r="E491" s="138">
        <v>1</v>
      </c>
      <c r="F491" s="137" t="s">
        <v>85</v>
      </c>
      <c r="G491" s="137">
        <v>33</v>
      </c>
      <c r="H491" s="137">
        <v>1</v>
      </c>
      <c r="I491" s="137">
        <v>0</v>
      </c>
      <c r="J491" s="137">
        <v>90</v>
      </c>
      <c r="K491" s="137" t="s">
        <v>90</v>
      </c>
      <c r="L491" s="137" t="s">
        <v>86</v>
      </c>
      <c r="M491" s="137" t="s">
        <v>87</v>
      </c>
      <c r="N491" s="137" t="b">
        <v>0</v>
      </c>
      <c r="O491" s="137" t="s">
        <v>82</v>
      </c>
      <c r="P491" s="137" t="s">
        <v>91</v>
      </c>
      <c r="Q491" s="137" t="s">
        <v>89</v>
      </c>
      <c r="R491" s="137" t="b">
        <v>0</v>
      </c>
      <c r="S491" s="139">
        <v>0</v>
      </c>
      <c r="T491" s="139">
        <v>1.8102786322744101E+19</v>
      </c>
    </row>
    <row r="492" spans="3:20">
      <c r="C492" s="24" t="b">
        <v>0</v>
      </c>
      <c r="D492" s="137">
        <v>0</v>
      </c>
      <c r="E492" s="138">
        <v>2</v>
      </c>
      <c r="F492" s="137" t="s">
        <v>75</v>
      </c>
      <c r="G492" s="137"/>
      <c r="H492" s="137">
        <v>0</v>
      </c>
      <c r="I492" s="137">
        <v>0</v>
      </c>
      <c r="J492" s="137">
        <v>0</v>
      </c>
      <c r="K492" s="137" t="s">
        <v>77</v>
      </c>
      <c r="L492" s="137" t="s">
        <v>94</v>
      </c>
      <c r="M492" s="137" t="s">
        <v>80</v>
      </c>
      <c r="N492" s="137" t="b">
        <v>1</v>
      </c>
      <c r="O492" s="137"/>
      <c r="P492" s="137" t="s">
        <v>83</v>
      </c>
      <c r="Q492" s="137" t="s">
        <v>84</v>
      </c>
      <c r="R492" s="137" t="b">
        <v>1</v>
      </c>
      <c r="S492" s="139">
        <v>1</v>
      </c>
      <c r="T492" s="139">
        <v>1.3784493890172299E+19</v>
      </c>
    </row>
    <row r="493" spans="3:20">
      <c r="C493" s="24" t="b">
        <v>0</v>
      </c>
      <c r="D493" s="137">
        <v>1</v>
      </c>
      <c r="E493" s="138">
        <v>3</v>
      </c>
      <c r="F493" s="137" t="s">
        <v>75</v>
      </c>
      <c r="G493" s="137">
        <v>44</v>
      </c>
      <c r="H493" s="137">
        <v>0</v>
      </c>
      <c r="I493" s="137">
        <v>0</v>
      </c>
      <c r="J493" s="137">
        <v>7.9249999999999998</v>
      </c>
      <c r="K493" s="137" t="s">
        <v>77</v>
      </c>
      <c r="L493" s="137" t="s">
        <v>79</v>
      </c>
      <c r="M493" s="137" t="s">
        <v>80</v>
      </c>
      <c r="N493" s="137" t="b">
        <v>1</v>
      </c>
      <c r="O493" s="137"/>
      <c r="P493" s="137" t="s">
        <v>83</v>
      </c>
      <c r="Q493" s="137" t="s">
        <v>89</v>
      </c>
      <c r="R493" s="137" t="b">
        <v>1</v>
      </c>
      <c r="S493" s="139">
        <v>1</v>
      </c>
      <c r="T493" s="139">
        <v>1.84160255050642E+18</v>
      </c>
    </row>
    <row r="494" spans="3:20">
      <c r="C494" s="24" t="b">
        <v>0</v>
      </c>
      <c r="D494" s="137">
        <v>0</v>
      </c>
      <c r="E494" s="138">
        <v>3</v>
      </c>
      <c r="F494" s="137" t="s">
        <v>85</v>
      </c>
      <c r="G494" s="137"/>
      <c r="H494" s="137">
        <v>0</v>
      </c>
      <c r="I494" s="137">
        <v>0</v>
      </c>
      <c r="J494" s="137">
        <v>8.0500000000000007</v>
      </c>
      <c r="K494" s="137" t="s">
        <v>77</v>
      </c>
      <c r="L494" s="137" t="s">
        <v>79</v>
      </c>
      <c r="M494" s="137" t="s">
        <v>87</v>
      </c>
      <c r="N494" s="137" t="b">
        <v>0</v>
      </c>
      <c r="O494" s="137"/>
      <c r="P494" s="137" t="s">
        <v>83</v>
      </c>
      <c r="Q494" s="137" t="s">
        <v>84</v>
      </c>
      <c r="R494" s="137" t="b">
        <v>1</v>
      </c>
      <c r="S494" s="139">
        <v>1</v>
      </c>
      <c r="T494" s="139">
        <v>3.9798746025796198E+18</v>
      </c>
    </row>
    <row r="495" spans="3:20">
      <c r="C495" s="24" t="b">
        <v>0</v>
      </c>
      <c r="D495" s="137">
        <v>1</v>
      </c>
      <c r="E495" s="138">
        <v>2</v>
      </c>
      <c r="F495" s="137" t="s">
        <v>85</v>
      </c>
      <c r="G495" s="137">
        <v>34</v>
      </c>
      <c r="H495" s="137">
        <v>1</v>
      </c>
      <c r="I495" s="137">
        <v>1</v>
      </c>
      <c r="J495" s="137">
        <v>32.5</v>
      </c>
      <c r="K495" s="137" t="s">
        <v>77</v>
      </c>
      <c r="L495" s="137" t="s">
        <v>94</v>
      </c>
      <c r="M495" s="137" t="s">
        <v>87</v>
      </c>
      <c r="N495" s="137" t="b">
        <v>0</v>
      </c>
      <c r="O495" s="137"/>
      <c r="P495" s="137" t="s">
        <v>83</v>
      </c>
      <c r="Q495" s="137" t="s">
        <v>89</v>
      </c>
      <c r="R495" s="137" t="b">
        <v>0</v>
      </c>
      <c r="S495" s="139">
        <v>1</v>
      </c>
      <c r="T495" s="139">
        <v>3.7102944741996902E+18</v>
      </c>
    </row>
    <row r="496" spans="3:20">
      <c r="C496" s="24" t="b">
        <v>0</v>
      </c>
      <c r="D496" s="137">
        <v>1</v>
      </c>
      <c r="E496" s="138">
        <v>2</v>
      </c>
      <c r="F496" s="137" t="s">
        <v>85</v>
      </c>
      <c r="G496" s="137">
        <v>18</v>
      </c>
      <c r="H496" s="137">
        <v>0</v>
      </c>
      <c r="I496" s="137">
        <v>2</v>
      </c>
      <c r="J496" s="137">
        <v>13</v>
      </c>
      <c r="K496" s="137" t="s">
        <v>77</v>
      </c>
      <c r="L496" s="137" t="s">
        <v>94</v>
      </c>
      <c r="M496" s="137" t="s">
        <v>87</v>
      </c>
      <c r="N496" s="137" t="b">
        <v>0</v>
      </c>
      <c r="O496" s="137"/>
      <c r="P496" s="137" t="s">
        <v>83</v>
      </c>
      <c r="Q496" s="137" t="s">
        <v>89</v>
      </c>
      <c r="R496" s="137" t="b">
        <v>0</v>
      </c>
      <c r="S496" s="139">
        <v>1</v>
      </c>
      <c r="T496" s="139">
        <v>5.7864251885360998E+18</v>
      </c>
    </row>
    <row r="497" spans="3:20">
      <c r="C497" s="24" t="b">
        <v>0</v>
      </c>
      <c r="D497" s="137">
        <v>0</v>
      </c>
      <c r="E497" s="138">
        <v>2</v>
      </c>
      <c r="F497" s="137" t="s">
        <v>75</v>
      </c>
      <c r="G497" s="137">
        <v>30</v>
      </c>
      <c r="H497" s="137">
        <v>0</v>
      </c>
      <c r="I497" s="137">
        <v>0</v>
      </c>
      <c r="J497" s="137">
        <v>13</v>
      </c>
      <c r="K497" s="137" t="s">
        <v>77</v>
      </c>
      <c r="L497" s="137" t="s">
        <v>94</v>
      </c>
      <c r="M497" s="137" t="s">
        <v>80</v>
      </c>
      <c r="N497" s="137" t="b">
        <v>1</v>
      </c>
      <c r="O497" s="137"/>
      <c r="P497" s="137" t="s">
        <v>83</v>
      </c>
      <c r="Q497" s="137" t="s">
        <v>84</v>
      </c>
      <c r="R497" s="137" t="b">
        <v>1</v>
      </c>
      <c r="S497" s="139">
        <v>1</v>
      </c>
      <c r="T497" s="139">
        <v>2.9304945046951398E+18</v>
      </c>
    </row>
    <row r="498" spans="3:20">
      <c r="C498" s="24" t="b">
        <v>0</v>
      </c>
      <c r="D498" s="137">
        <v>0</v>
      </c>
      <c r="E498" s="138">
        <v>3</v>
      </c>
      <c r="F498" s="137" t="s">
        <v>85</v>
      </c>
      <c r="G498" s="137">
        <v>10</v>
      </c>
      <c r="H498" s="137">
        <v>0</v>
      </c>
      <c r="I498" s="137">
        <v>2</v>
      </c>
      <c r="J498" s="137">
        <v>24.15</v>
      </c>
      <c r="K498" s="137" t="s">
        <v>77</v>
      </c>
      <c r="L498" s="137" t="s">
        <v>79</v>
      </c>
      <c r="M498" s="137" t="s">
        <v>93</v>
      </c>
      <c r="N498" s="137" t="b">
        <v>0</v>
      </c>
      <c r="O498" s="137"/>
      <c r="P498" s="137" t="s">
        <v>83</v>
      </c>
      <c r="Q498" s="137" t="s">
        <v>84</v>
      </c>
      <c r="R498" s="137" t="b">
        <v>0</v>
      </c>
      <c r="S498" s="139">
        <v>1</v>
      </c>
      <c r="T498" s="139">
        <v>1.18309974550637E+18</v>
      </c>
    </row>
    <row r="499" spans="3:20">
      <c r="C499" s="24" t="b">
        <v>0</v>
      </c>
      <c r="D499" s="137">
        <v>0</v>
      </c>
      <c r="E499" s="138">
        <v>3</v>
      </c>
      <c r="F499" s="137" t="s">
        <v>75</v>
      </c>
      <c r="G499" s="137"/>
      <c r="H499" s="137">
        <v>0</v>
      </c>
      <c r="I499" s="137">
        <v>0</v>
      </c>
      <c r="J499" s="137">
        <v>7.8958000000000004</v>
      </c>
      <c r="K499" s="137" t="s">
        <v>82</v>
      </c>
      <c r="L499" s="137" t="s">
        <v>79</v>
      </c>
      <c r="M499" s="137" t="s">
        <v>80</v>
      </c>
      <c r="N499" s="137" t="b">
        <v>1</v>
      </c>
      <c r="O499" s="137"/>
      <c r="P499" s="137" t="s">
        <v>88</v>
      </c>
      <c r="Q499" s="137" t="s">
        <v>84</v>
      </c>
      <c r="R499" s="137" t="b">
        <v>1</v>
      </c>
      <c r="S499" s="139">
        <v>1</v>
      </c>
      <c r="T499" s="139">
        <v>2.95438231408177E+18</v>
      </c>
    </row>
    <row r="500" spans="3:20">
      <c r="C500" s="24" t="b">
        <v>0</v>
      </c>
      <c r="D500" s="137">
        <v>0</v>
      </c>
      <c r="E500" s="138">
        <v>3</v>
      </c>
      <c r="F500" s="137" t="s">
        <v>75</v>
      </c>
      <c r="G500" s="137">
        <v>21</v>
      </c>
      <c r="H500" s="137">
        <v>0</v>
      </c>
      <c r="I500" s="137">
        <v>0</v>
      </c>
      <c r="J500" s="137">
        <v>7.7332999999999998</v>
      </c>
      <c r="K500" s="137" t="s">
        <v>90</v>
      </c>
      <c r="L500" s="137" t="s">
        <v>79</v>
      </c>
      <c r="M500" s="137" t="s">
        <v>80</v>
      </c>
      <c r="N500" s="137" t="b">
        <v>1</v>
      </c>
      <c r="O500" s="137"/>
      <c r="P500" s="137" t="s">
        <v>91</v>
      </c>
      <c r="Q500" s="137" t="s">
        <v>84</v>
      </c>
      <c r="R500" s="137" t="b">
        <v>1</v>
      </c>
      <c r="S500" s="139">
        <v>1</v>
      </c>
      <c r="T500" s="139">
        <v>1.2763121274078401E+19</v>
      </c>
    </row>
    <row r="501" spans="3:20">
      <c r="C501" s="24" t="b">
        <v>0</v>
      </c>
      <c r="D501" s="137">
        <v>0</v>
      </c>
      <c r="E501" s="138">
        <v>3</v>
      </c>
      <c r="F501" s="137" t="s">
        <v>75</v>
      </c>
      <c r="G501" s="137">
        <v>29</v>
      </c>
      <c r="H501" s="137">
        <v>0</v>
      </c>
      <c r="I501" s="137">
        <v>0</v>
      </c>
      <c r="J501" s="137">
        <v>7.875</v>
      </c>
      <c r="K501" s="137" t="s">
        <v>77</v>
      </c>
      <c r="L501" s="137" t="s">
        <v>79</v>
      </c>
      <c r="M501" s="137" t="s">
        <v>80</v>
      </c>
      <c r="N501" s="137" t="b">
        <v>1</v>
      </c>
      <c r="O501" s="137"/>
      <c r="P501" s="137" t="s">
        <v>83</v>
      </c>
      <c r="Q501" s="137" t="s">
        <v>84</v>
      </c>
      <c r="R501" s="137" t="b">
        <v>1</v>
      </c>
      <c r="S501" s="139">
        <v>1</v>
      </c>
      <c r="T501" s="139">
        <v>1.46831036859891E+19</v>
      </c>
    </row>
    <row r="502" spans="3:20">
      <c r="C502" s="24" t="b">
        <v>0</v>
      </c>
      <c r="D502" s="137">
        <v>0</v>
      </c>
      <c r="E502" s="138">
        <v>3</v>
      </c>
      <c r="F502" s="137" t="s">
        <v>85</v>
      </c>
      <c r="G502" s="137">
        <v>28</v>
      </c>
      <c r="H502" s="137">
        <v>1</v>
      </c>
      <c r="I502" s="137">
        <v>1</v>
      </c>
      <c r="J502" s="137">
        <v>14.4</v>
      </c>
      <c r="K502" s="137" t="s">
        <v>77</v>
      </c>
      <c r="L502" s="137" t="s">
        <v>79</v>
      </c>
      <c r="M502" s="137" t="s">
        <v>87</v>
      </c>
      <c r="N502" s="137" t="b">
        <v>0</v>
      </c>
      <c r="O502" s="137"/>
      <c r="P502" s="137" t="s">
        <v>83</v>
      </c>
      <c r="Q502" s="137" t="s">
        <v>84</v>
      </c>
      <c r="R502" s="137" t="b">
        <v>0</v>
      </c>
      <c r="S502" s="139">
        <v>1</v>
      </c>
      <c r="T502" s="139">
        <v>2.48018557590543E+18</v>
      </c>
    </row>
    <row r="503" spans="3:20">
      <c r="C503" s="24" t="b">
        <v>0</v>
      </c>
      <c r="D503" s="137">
        <v>0</v>
      </c>
      <c r="E503" s="138">
        <v>3</v>
      </c>
      <c r="F503" s="137" t="s">
        <v>75</v>
      </c>
      <c r="G503" s="137">
        <v>18</v>
      </c>
      <c r="H503" s="137">
        <v>1</v>
      </c>
      <c r="I503" s="137">
        <v>1</v>
      </c>
      <c r="J503" s="137">
        <v>20.212499999999999</v>
      </c>
      <c r="K503" s="137" t="s">
        <v>77</v>
      </c>
      <c r="L503" s="137" t="s">
        <v>79</v>
      </c>
      <c r="M503" s="137" t="s">
        <v>80</v>
      </c>
      <c r="N503" s="137" t="b">
        <v>1</v>
      </c>
      <c r="O503" s="137"/>
      <c r="P503" s="137" t="s">
        <v>83</v>
      </c>
      <c r="Q503" s="137" t="s">
        <v>84</v>
      </c>
      <c r="R503" s="137" t="b">
        <v>0</v>
      </c>
      <c r="S503" s="139">
        <v>1</v>
      </c>
      <c r="T503" s="139">
        <v>1.7785714043503499E+19</v>
      </c>
    </row>
    <row r="504" spans="3:20">
      <c r="C504" s="24" t="b">
        <v>0</v>
      </c>
      <c r="D504" s="137">
        <v>0</v>
      </c>
      <c r="E504" s="138">
        <v>3</v>
      </c>
      <c r="F504" s="137" t="s">
        <v>75</v>
      </c>
      <c r="G504" s="137"/>
      <c r="H504" s="137">
        <v>0</v>
      </c>
      <c r="I504" s="137">
        <v>0</v>
      </c>
      <c r="J504" s="137">
        <v>7.25</v>
      </c>
      <c r="K504" s="137" t="s">
        <v>77</v>
      </c>
      <c r="L504" s="137" t="s">
        <v>79</v>
      </c>
      <c r="M504" s="137" t="s">
        <v>80</v>
      </c>
      <c r="N504" s="137" t="b">
        <v>1</v>
      </c>
      <c r="O504" s="137"/>
      <c r="P504" s="137" t="s">
        <v>83</v>
      </c>
      <c r="Q504" s="137" t="s">
        <v>84</v>
      </c>
      <c r="R504" s="137" t="b">
        <v>1</v>
      </c>
      <c r="S504" s="139">
        <v>1</v>
      </c>
      <c r="T504" s="139">
        <v>1.24309295546305E+19</v>
      </c>
    </row>
    <row r="505" spans="3:20">
      <c r="C505" s="24" t="b">
        <v>0</v>
      </c>
      <c r="D505" s="137">
        <v>1</v>
      </c>
      <c r="E505" s="138">
        <v>2</v>
      </c>
      <c r="F505" s="137" t="s">
        <v>85</v>
      </c>
      <c r="G505" s="137">
        <v>28</v>
      </c>
      <c r="H505" s="137">
        <v>1</v>
      </c>
      <c r="I505" s="137">
        <v>0</v>
      </c>
      <c r="J505" s="137">
        <v>26</v>
      </c>
      <c r="K505" s="137" t="s">
        <v>77</v>
      </c>
      <c r="L505" s="137" t="s">
        <v>94</v>
      </c>
      <c r="M505" s="137" t="s">
        <v>87</v>
      </c>
      <c r="N505" s="137" t="b">
        <v>0</v>
      </c>
      <c r="O505" s="137"/>
      <c r="P505" s="137" t="s">
        <v>83</v>
      </c>
      <c r="Q505" s="137" t="s">
        <v>89</v>
      </c>
      <c r="R505" s="137" t="b">
        <v>0</v>
      </c>
      <c r="S505" s="139">
        <v>1</v>
      </c>
      <c r="T505" s="139">
        <v>1.4778055549317501E+19</v>
      </c>
    </row>
    <row r="506" spans="3:20">
      <c r="C506" s="24" t="b">
        <v>0</v>
      </c>
      <c r="D506" s="137">
        <v>1</v>
      </c>
      <c r="E506" s="138">
        <v>2</v>
      </c>
      <c r="F506" s="137" t="s">
        <v>85</v>
      </c>
      <c r="G506" s="137">
        <v>19</v>
      </c>
      <c r="H506" s="137">
        <v>0</v>
      </c>
      <c r="I506" s="137">
        <v>0</v>
      </c>
      <c r="J506" s="137">
        <v>26</v>
      </c>
      <c r="K506" s="137" t="s">
        <v>77</v>
      </c>
      <c r="L506" s="137" t="s">
        <v>94</v>
      </c>
      <c r="M506" s="137" t="s">
        <v>87</v>
      </c>
      <c r="N506" s="137" t="b">
        <v>0</v>
      </c>
      <c r="O506" s="137"/>
      <c r="P506" s="137" t="s">
        <v>83</v>
      </c>
      <c r="Q506" s="137" t="s">
        <v>89</v>
      </c>
      <c r="R506" s="137" t="b">
        <v>1</v>
      </c>
      <c r="S506" s="139">
        <v>1</v>
      </c>
      <c r="T506" s="139">
        <v>1.16476828826885E+19</v>
      </c>
    </row>
    <row r="507" spans="3:20">
      <c r="C507" s="24" t="b">
        <v>0</v>
      </c>
      <c r="D507" s="137">
        <v>0</v>
      </c>
      <c r="E507" s="138">
        <v>3</v>
      </c>
      <c r="F507" s="137" t="s">
        <v>75</v>
      </c>
      <c r="G507" s="137"/>
      <c r="H507" s="137">
        <v>0</v>
      </c>
      <c r="I507" s="137">
        <v>0</v>
      </c>
      <c r="J507" s="137">
        <v>7.75</v>
      </c>
      <c r="K507" s="137" t="s">
        <v>90</v>
      </c>
      <c r="L507" s="137" t="s">
        <v>79</v>
      </c>
      <c r="M507" s="137" t="s">
        <v>80</v>
      </c>
      <c r="N507" s="137" t="b">
        <v>1</v>
      </c>
      <c r="O507" s="137"/>
      <c r="P507" s="137" t="s">
        <v>91</v>
      </c>
      <c r="Q507" s="137" t="s">
        <v>84</v>
      </c>
      <c r="R507" s="137" t="b">
        <v>1</v>
      </c>
      <c r="S507" s="139">
        <v>1</v>
      </c>
      <c r="T507" s="139">
        <v>8.8562668406319196E+18</v>
      </c>
    </row>
    <row r="508" spans="3:20">
      <c r="C508" s="24" t="b">
        <v>0</v>
      </c>
      <c r="D508" s="137">
        <v>1</v>
      </c>
      <c r="E508" s="138">
        <v>3</v>
      </c>
      <c r="F508" s="137" t="s">
        <v>75</v>
      </c>
      <c r="G508" s="137">
        <v>32</v>
      </c>
      <c r="H508" s="137">
        <v>0</v>
      </c>
      <c r="I508" s="137">
        <v>0</v>
      </c>
      <c r="J508" s="137">
        <v>8.0500000000000007</v>
      </c>
      <c r="K508" s="137" t="s">
        <v>77</v>
      </c>
      <c r="L508" s="137" t="s">
        <v>79</v>
      </c>
      <c r="M508" s="137" t="s">
        <v>80</v>
      </c>
      <c r="N508" s="137" t="b">
        <v>1</v>
      </c>
      <c r="O508" s="137" t="s">
        <v>92</v>
      </c>
      <c r="P508" s="137" t="s">
        <v>83</v>
      </c>
      <c r="Q508" s="137" t="s">
        <v>89</v>
      </c>
      <c r="R508" s="137" t="b">
        <v>1</v>
      </c>
      <c r="S508" s="139">
        <v>0</v>
      </c>
      <c r="T508" s="139">
        <v>1.4223064245304101E+19</v>
      </c>
    </row>
    <row r="509" spans="3:20">
      <c r="C509" s="24" t="b">
        <v>0</v>
      </c>
      <c r="D509" s="137">
        <v>1</v>
      </c>
      <c r="E509" s="138">
        <v>1</v>
      </c>
      <c r="F509" s="137" t="s">
        <v>75</v>
      </c>
      <c r="G509" s="137">
        <v>28</v>
      </c>
      <c r="H509" s="137">
        <v>0</v>
      </c>
      <c r="I509" s="137">
        <v>0</v>
      </c>
      <c r="J509" s="137">
        <v>26.55</v>
      </c>
      <c r="K509" s="137" t="s">
        <v>77</v>
      </c>
      <c r="L509" s="137" t="s">
        <v>86</v>
      </c>
      <c r="M509" s="137" t="s">
        <v>80</v>
      </c>
      <c r="N509" s="137" t="b">
        <v>1</v>
      </c>
      <c r="O509" s="137" t="s">
        <v>82</v>
      </c>
      <c r="P509" s="137" t="s">
        <v>83</v>
      </c>
      <c r="Q509" s="137" t="s">
        <v>89</v>
      </c>
      <c r="R509" s="137" t="b">
        <v>1</v>
      </c>
      <c r="S509" s="139">
        <v>0</v>
      </c>
      <c r="T509" s="139">
        <v>7.6559514767339602E+18</v>
      </c>
    </row>
    <row r="510" spans="3:20">
      <c r="C510" s="24" t="b">
        <v>0</v>
      </c>
      <c r="D510" s="137">
        <v>1</v>
      </c>
      <c r="E510" s="138">
        <v>3</v>
      </c>
      <c r="F510" s="137" t="s">
        <v>85</v>
      </c>
      <c r="G510" s="137"/>
      <c r="H510" s="137">
        <v>1</v>
      </c>
      <c r="I510" s="137">
        <v>0</v>
      </c>
      <c r="J510" s="137">
        <v>16.100000000000001</v>
      </c>
      <c r="K510" s="137" t="s">
        <v>77</v>
      </c>
      <c r="L510" s="137" t="s">
        <v>79</v>
      </c>
      <c r="M510" s="137" t="s">
        <v>87</v>
      </c>
      <c r="N510" s="137" t="b">
        <v>0</v>
      </c>
      <c r="O510" s="137"/>
      <c r="P510" s="137" t="s">
        <v>83</v>
      </c>
      <c r="Q510" s="137" t="s">
        <v>89</v>
      </c>
      <c r="R510" s="137" t="b">
        <v>0</v>
      </c>
      <c r="S510" s="139">
        <v>1</v>
      </c>
      <c r="T510" s="139">
        <v>1.74732797207161E+19</v>
      </c>
    </row>
    <row r="511" spans="3:20">
      <c r="C511" s="24" t="b">
        <v>0</v>
      </c>
      <c r="D511" s="137">
        <v>1</v>
      </c>
      <c r="E511" s="138">
        <v>2</v>
      </c>
      <c r="F511" s="137" t="s">
        <v>85</v>
      </c>
      <c r="G511" s="137">
        <v>42</v>
      </c>
      <c r="H511" s="137">
        <v>1</v>
      </c>
      <c r="I511" s="137">
        <v>0</v>
      </c>
      <c r="J511" s="137">
        <v>26</v>
      </c>
      <c r="K511" s="137" t="s">
        <v>77</v>
      </c>
      <c r="L511" s="137" t="s">
        <v>94</v>
      </c>
      <c r="M511" s="137" t="s">
        <v>87</v>
      </c>
      <c r="N511" s="137" t="b">
        <v>0</v>
      </c>
      <c r="O511" s="137"/>
      <c r="P511" s="137" t="s">
        <v>83</v>
      </c>
      <c r="Q511" s="137" t="s">
        <v>89</v>
      </c>
      <c r="R511" s="137" t="b">
        <v>0</v>
      </c>
      <c r="S511" s="139">
        <v>1</v>
      </c>
      <c r="T511" s="139">
        <v>1.6778987397568E+19</v>
      </c>
    </row>
    <row r="512" spans="3:20">
      <c r="C512" s="24" t="b">
        <v>0</v>
      </c>
      <c r="D512" s="137">
        <v>0</v>
      </c>
      <c r="E512" s="138">
        <v>3</v>
      </c>
      <c r="F512" s="137" t="s">
        <v>75</v>
      </c>
      <c r="G512" s="137">
        <v>17</v>
      </c>
      <c r="H512" s="137">
        <v>0</v>
      </c>
      <c r="I512" s="137">
        <v>0</v>
      </c>
      <c r="J512" s="137">
        <v>7.125</v>
      </c>
      <c r="K512" s="137" t="s">
        <v>77</v>
      </c>
      <c r="L512" s="137" t="s">
        <v>79</v>
      </c>
      <c r="M512" s="137" t="s">
        <v>80</v>
      </c>
      <c r="N512" s="137" t="b">
        <v>1</v>
      </c>
      <c r="O512" s="137"/>
      <c r="P512" s="137" t="s">
        <v>83</v>
      </c>
      <c r="Q512" s="137" t="s">
        <v>84</v>
      </c>
      <c r="R512" s="137" t="b">
        <v>1</v>
      </c>
      <c r="S512" s="139">
        <v>1</v>
      </c>
      <c r="T512" s="139">
        <v>1.4029548718116999E+19</v>
      </c>
    </row>
    <row r="513" spans="3:20">
      <c r="C513" s="24" t="b">
        <v>0</v>
      </c>
      <c r="D513" s="137">
        <v>0</v>
      </c>
      <c r="E513" s="138">
        <v>1</v>
      </c>
      <c r="F513" s="137" t="s">
        <v>75</v>
      </c>
      <c r="G513" s="137">
        <v>50</v>
      </c>
      <c r="H513" s="137">
        <v>1</v>
      </c>
      <c r="I513" s="137">
        <v>0</v>
      </c>
      <c r="J513" s="137">
        <v>55.9</v>
      </c>
      <c r="K513" s="137" t="s">
        <v>77</v>
      </c>
      <c r="L513" s="137" t="s">
        <v>86</v>
      </c>
      <c r="M513" s="137" t="s">
        <v>80</v>
      </c>
      <c r="N513" s="137" t="b">
        <v>1</v>
      </c>
      <c r="O513" s="137" t="s">
        <v>92</v>
      </c>
      <c r="P513" s="137" t="s">
        <v>83</v>
      </c>
      <c r="Q513" s="137" t="s">
        <v>84</v>
      </c>
      <c r="R513" s="137" t="b">
        <v>0</v>
      </c>
      <c r="S513" s="139">
        <v>0</v>
      </c>
      <c r="T513" s="139">
        <v>3.49888835336467E+18</v>
      </c>
    </row>
    <row r="514" spans="3:20">
      <c r="C514" s="24" t="b">
        <v>0</v>
      </c>
      <c r="D514" s="137">
        <v>1</v>
      </c>
      <c r="E514" s="138">
        <v>1</v>
      </c>
      <c r="F514" s="137" t="s">
        <v>85</v>
      </c>
      <c r="G514" s="137">
        <v>14</v>
      </c>
      <c r="H514" s="137">
        <v>1</v>
      </c>
      <c r="I514" s="137">
        <v>2</v>
      </c>
      <c r="J514" s="137">
        <v>120</v>
      </c>
      <c r="K514" s="137" t="s">
        <v>77</v>
      </c>
      <c r="L514" s="137" t="s">
        <v>86</v>
      </c>
      <c r="M514" s="137" t="s">
        <v>93</v>
      </c>
      <c r="N514" s="137" t="b">
        <v>0</v>
      </c>
      <c r="O514" s="137" t="s">
        <v>98</v>
      </c>
      <c r="P514" s="137" t="s">
        <v>83</v>
      </c>
      <c r="Q514" s="137" t="s">
        <v>89</v>
      </c>
      <c r="R514" s="137" t="b">
        <v>0</v>
      </c>
      <c r="S514" s="139">
        <v>0</v>
      </c>
      <c r="T514" s="139">
        <v>1.73805422651956E+19</v>
      </c>
    </row>
    <row r="515" spans="3:20">
      <c r="C515" s="24" t="b">
        <v>0</v>
      </c>
      <c r="D515" s="137">
        <v>0</v>
      </c>
      <c r="E515" s="138">
        <v>3</v>
      </c>
      <c r="F515" s="137" t="s">
        <v>85</v>
      </c>
      <c r="G515" s="137">
        <v>21</v>
      </c>
      <c r="H515" s="137">
        <v>2</v>
      </c>
      <c r="I515" s="137">
        <v>2</v>
      </c>
      <c r="J515" s="137">
        <v>34.375</v>
      </c>
      <c r="K515" s="137" t="s">
        <v>77</v>
      </c>
      <c r="L515" s="137" t="s">
        <v>79</v>
      </c>
      <c r="M515" s="137" t="s">
        <v>87</v>
      </c>
      <c r="N515" s="137" t="b">
        <v>0</v>
      </c>
      <c r="O515" s="137"/>
      <c r="P515" s="137" t="s">
        <v>83</v>
      </c>
      <c r="Q515" s="137" t="s">
        <v>84</v>
      </c>
      <c r="R515" s="137" t="b">
        <v>0</v>
      </c>
      <c r="S515" s="139">
        <v>1</v>
      </c>
      <c r="T515" s="139">
        <v>6.2822673049299804E+18</v>
      </c>
    </row>
    <row r="516" spans="3:20">
      <c r="C516" s="24" t="b">
        <v>0</v>
      </c>
      <c r="D516" s="137">
        <v>1</v>
      </c>
      <c r="E516" s="138">
        <v>2</v>
      </c>
      <c r="F516" s="137" t="s">
        <v>85</v>
      </c>
      <c r="G516" s="137">
        <v>24</v>
      </c>
      <c r="H516" s="137">
        <v>2</v>
      </c>
      <c r="I516" s="137">
        <v>3</v>
      </c>
      <c r="J516" s="137">
        <v>18.75</v>
      </c>
      <c r="K516" s="137" t="s">
        <v>77</v>
      </c>
      <c r="L516" s="137" t="s">
        <v>94</v>
      </c>
      <c r="M516" s="137" t="s">
        <v>87</v>
      </c>
      <c r="N516" s="137" t="b">
        <v>0</v>
      </c>
      <c r="O516" s="137"/>
      <c r="P516" s="137" t="s">
        <v>83</v>
      </c>
      <c r="Q516" s="137" t="s">
        <v>89</v>
      </c>
      <c r="R516" s="137" t="b">
        <v>0</v>
      </c>
      <c r="S516" s="139">
        <v>1</v>
      </c>
      <c r="T516" s="139">
        <v>1.7645696889951799E+19</v>
      </c>
    </row>
    <row r="517" spans="3:20">
      <c r="C517" s="24" t="b">
        <v>0</v>
      </c>
      <c r="D517" s="137">
        <v>0</v>
      </c>
      <c r="E517" s="138">
        <v>1</v>
      </c>
      <c r="F517" s="137" t="s">
        <v>75</v>
      </c>
      <c r="G517" s="137">
        <v>64</v>
      </c>
      <c r="H517" s="137">
        <v>1</v>
      </c>
      <c r="I517" s="137">
        <v>4</v>
      </c>
      <c r="J517" s="137">
        <v>263</v>
      </c>
      <c r="K517" s="137" t="s">
        <v>77</v>
      </c>
      <c r="L517" s="137" t="s">
        <v>86</v>
      </c>
      <c r="M517" s="137" t="s">
        <v>80</v>
      </c>
      <c r="N517" s="137" t="b">
        <v>1</v>
      </c>
      <c r="O517" s="137" t="s">
        <v>82</v>
      </c>
      <c r="P517" s="137" t="s">
        <v>83</v>
      </c>
      <c r="Q517" s="137" t="s">
        <v>84</v>
      </c>
      <c r="R517" s="137" t="b">
        <v>0</v>
      </c>
      <c r="S517" s="139">
        <v>0</v>
      </c>
      <c r="T517" s="139">
        <v>1.34035793214325E+19</v>
      </c>
    </row>
    <row r="518" spans="3:20">
      <c r="C518" s="24" t="b">
        <v>0</v>
      </c>
      <c r="D518" s="137">
        <v>0</v>
      </c>
      <c r="E518" s="138">
        <v>2</v>
      </c>
      <c r="F518" s="137" t="s">
        <v>75</v>
      </c>
      <c r="G518" s="137">
        <v>31</v>
      </c>
      <c r="H518" s="137">
        <v>0</v>
      </c>
      <c r="I518" s="137">
        <v>0</v>
      </c>
      <c r="J518" s="137">
        <v>10.5</v>
      </c>
      <c r="K518" s="137" t="s">
        <v>77</v>
      </c>
      <c r="L518" s="137" t="s">
        <v>94</v>
      </c>
      <c r="M518" s="137" t="s">
        <v>80</v>
      </c>
      <c r="N518" s="137" t="b">
        <v>1</v>
      </c>
      <c r="O518" s="137"/>
      <c r="P518" s="137" t="s">
        <v>83</v>
      </c>
      <c r="Q518" s="137" t="s">
        <v>84</v>
      </c>
      <c r="R518" s="137" t="b">
        <v>1</v>
      </c>
      <c r="S518" s="139">
        <v>1</v>
      </c>
      <c r="T518" s="139">
        <v>1.8951589352659699E+18</v>
      </c>
    </row>
    <row r="519" spans="3:20">
      <c r="C519" s="24" t="b">
        <v>0</v>
      </c>
      <c r="D519" s="137">
        <v>1</v>
      </c>
      <c r="E519" s="138">
        <v>2</v>
      </c>
      <c r="F519" s="137" t="s">
        <v>85</v>
      </c>
      <c r="G519" s="137">
        <v>45</v>
      </c>
      <c r="H519" s="137">
        <v>1</v>
      </c>
      <c r="I519" s="137">
        <v>1</v>
      </c>
      <c r="J519" s="137">
        <v>26.25</v>
      </c>
      <c r="K519" s="137" t="s">
        <v>77</v>
      </c>
      <c r="L519" s="137" t="s">
        <v>94</v>
      </c>
      <c r="M519" s="137" t="s">
        <v>87</v>
      </c>
      <c r="N519" s="137" t="b">
        <v>0</v>
      </c>
      <c r="O519" s="137"/>
      <c r="P519" s="137" t="s">
        <v>83</v>
      </c>
      <c r="Q519" s="137" t="s">
        <v>89</v>
      </c>
      <c r="R519" s="137" t="b">
        <v>0</v>
      </c>
      <c r="S519" s="139">
        <v>1</v>
      </c>
      <c r="T519" s="139">
        <v>1.2312488412858599E+19</v>
      </c>
    </row>
    <row r="520" spans="3:20">
      <c r="C520" s="24" t="b">
        <v>0</v>
      </c>
      <c r="D520" s="137">
        <v>0</v>
      </c>
      <c r="E520" s="138">
        <v>3</v>
      </c>
      <c r="F520" s="137" t="s">
        <v>75</v>
      </c>
      <c r="G520" s="137">
        <v>20</v>
      </c>
      <c r="H520" s="137">
        <v>0</v>
      </c>
      <c r="I520" s="137">
        <v>0</v>
      </c>
      <c r="J520" s="137">
        <v>9.5</v>
      </c>
      <c r="K520" s="137" t="s">
        <v>77</v>
      </c>
      <c r="L520" s="137" t="s">
        <v>79</v>
      </c>
      <c r="M520" s="137" t="s">
        <v>80</v>
      </c>
      <c r="N520" s="137" t="b">
        <v>1</v>
      </c>
      <c r="O520" s="137"/>
      <c r="P520" s="137" t="s">
        <v>83</v>
      </c>
      <c r="Q520" s="137" t="s">
        <v>84</v>
      </c>
      <c r="R520" s="137" t="b">
        <v>1</v>
      </c>
      <c r="S520" s="139">
        <v>1</v>
      </c>
      <c r="T520" s="139">
        <v>1.76722372278162E+19</v>
      </c>
    </row>
    <row r="521" spans="3:20">
      <c r="C521" s="24" t="b">
        <v>0</v>
      </c>
      <c r="D521" s="137">
        <v>0</v>
      </c>
      <c r="E521" s="138">
        <v>3</v>
      </c>
      <c r="F521" s="137" t="s">
        <v>75</v>
      </c>
      <c r="G521" s="137">
        <v>25</v>
      </c>
      <c r="H521" s="137">
        <v>1</v>
      </c>
      <c r="I521" s="137">
        <v>0</v>
      </c>
      <c r="J521" s="137">
        <v>7.7750000000000004</v>
      </c>
      <c r="K521" s="137" t="s">
        <v>77</v>
      </c>
      <c r="L521" s="137" t="s">
        <v>79</v>
      </c>
      <c r="M521" s="137" t="s">
        <v>80</v>
      </c>
      <c r="N521" s="137" t="b">
        <v>1</v>
      </c>
      <c r="O521" s="137"/>
      <c r="P521" s="137" t="s">
        <v>83</v>
      </c>
      <c r="Q521" s="137" t="s">
        <v>84</v>
      </c>
      <c r="R521" s="137" t="b">
        <v>0</v>
      </c>
      <c r="S521" s="139">
        <v>1</v>
      </c>
      <c r="T521" s="139">
        <v>3.6596250812493998E+18</v>
      </c>
    </row>
    <row r="522" spans="3:20">
      <c r="C522" s="24" t="b">
        <v>0</v>
      </c>
      <c r="D522" s="137">
        <v>1</v>
      </c>
      <c r="E522" s="138">
        <v>2</v>
      </c>
      <c r="F522" s="137" t="s">
        <v>85</v>
      </c>
      <c r="G522" s="137">
        <v>28</v>
      </c>
      <c r="H522" s="137">
        <v>0</v>
      </c>
      <c r="I522" s="137">
        <v>0</v>
      </c>
      <c r="J522" s="137">
        <v>13</v>
      </c>
      <c r="K522" s="137" t="s">
        <v>77</v>
      </c>
      <c r="L522" s="137" t="s">
        <v>94</v>
      </c>
      <c r="M522" s="137" t="s">
        <v>87</v>
      </c>
      <c r="N522" s="137" t="b">
        <v>0</v>
      </c>
      <c r="O522" s="137"/>
      <c r="P522" s="137" t="s">
        <v>83</v>
      </c>
      <c r="Q522" s="137" t="s">
        <v>89</v>
      </c>
      <c r="R522" s="137" t="b">
        <v>1</v>
      </c>
      <c r="S522" s="139">
        <v>1</v>
      </c>
      <c r="T522" s="139">
        <v>1.74605403415423E+19</v>
      </c>
    </row>
    <row r="523" spans="3:20">
      <c r="C523" s="24" t="b">
        <v>0</v>
      </c>
      <c r="D523" s="137">
        <v>1</v>
      </c>
      <c r="E523" s="138">
        <v>3</v>
      </c>
      <c r="F523" s="137" t="s">
        <v>75</v>
      </c>
      <c r="G523" s="137"/>
      <c r="H523" s="137">
        <v>0</v>
      </c>
      <c r="I523" s="137">
        <v>0</v>
      </c>
      <c r="J523" s="137">
        <v>8.1125000000000007</v>
      </c>
      <c r="K523" s="137" t="s">
        <v>77</v>
      </c>
      <c r="L523" s="137" t="s">
        <v>79</v>
      </c>
      <c r="M523" s="137" t="s">
        <v>80</v>
      </c>
      <c r="N523" s="137" t="b">
        <v>1</v>
      </c>
      <c r="O523" s="137"/>
      <c r="P523" s="137" t="s">
        <v>83</v>
      </c>
      <c r="Q523" s="137" t="s">
        <v>89</v>
      </c>
      <c r="R523" s="137" t="b">
        <v>1</v>
      </c>
      <c r="S523" s="139">
        <v>1</v>
      </c>
      <c r="T523" s="139">
        <v>1.50482547153134E+19</v>
      </c>
    </row>
    <row r="524" spans="3:20">
      <c r="C524" s="24" t="b">
        <v>0</v>
      </c>
      <c r="D524" s="137">
        <v>1</v>
      </c>
      <c r="E524" s="138">
        <v>1</v>
      </c>
      <c r="F524" s="137" t="s">
        <v>75</v>
      </c>
      <c r="G524" s="137">
        <v>4</v>
      </c>
      <c r="H524" s="137">
        <v>0</v>
      </c>
      <c r="I524" s="137">
        <v>2</v>
      </c>
      <c r="J524" s="137">
        <v>81.8583</v>
      </c>
      <c r="K524" s="137" t="s">
        <v>77</v>
      </c>
      <c r="L524" s="137" t="s">
        <v>86</v>
      </c>
      <c r="M524" s="137" t="s">
        <v>93</v>
      </c>
      <c r="N524" s="137" t="b">
        <v>0</v>
      </c>
      <c r="O524" s="137" t="s">
        <v>97</v>
      </c>
      <c r="P524" s="137" t="s">
        <v>83</v>
      </c>
      <c r="Q524" s="137" t="s">
        <v>89</v>
      </c>
      <c r="R524" s="137" t="b">
        <v>0</v>
      </c>
      <c r="S524" s="139">
        <v>0</v>
      </c>
      <c r="T524" s="139">
        <v>1.12664914284851E+19</v>
      </c>
    </row>
    <row r="525" spans="3:20">
      <c r="C525" s="24" t="b">
        <v>0</v>
      </c>
      <c r="D525" s="137">
        <v>1</v>
      </c>
      <c r="E525" s="138">
        <v>2</v>
      </c>
      <c r="F525" s="137" t="s">
        <v>85</v>
      </c>
      <c r="G525" s="137">
        <v>13</v>
      </c>
      <c r="H525" s="137">
        <v>0</v>
      </c>
      <c r="I525" s="137">
        <v>1</v>
      </c>
      <c r="J525" s="137">
        <v>19.5</v>
      </c>
      <c r="K525" s="137" t="s">
        <v>77</v>
      </c>
      <c r="L525" s="137" t="s">
        <v>94</v>
      </c>
      <c r="M525" s="137" t="s">
        <v>93</v>
      </c>
      <c r="N525" s="137" t="b">
        <v>0</v>
      </c>
      <c r="O525" s="137"/>
      <c r="P525" s="137" t="s">
        <v>83</v>
      </c>
      <c r="Q525" s="137" t="s">
        <v>89</v>
      </c>
      <c r="R525" s="137" t="b">
        <v>0</v>
      </c>
      <c r="S525" s="139">
        <v>1</v>
      </c>
      <c r="T525" s="139">
        <v>8.8488414832499497E+18</v>
      </c>
    </row>
    <row r="526" spans="3:20">
      <c r="C526" s="24" t="b">
        <v>0</v>
      </c>
      <c r="D526" s="137">
        <v>1</v>
      </c>
      <c r="E526" s="138">
        <v>1</v>
      </c>
      <c r="F526" s="137" t="s">
        <v>75</v>
      </c>
      <c r="G526" s="137">
        <v>34</v>
      </c>
      <c r="H526" s="137">
        <v>0</v>
      </c>
      <c r="I526" s="137">
        <v>0</v>
      </c>
      <c r="J526" s="137">
        <v>26.55</v>
      </c>
      <c r="K526" s="137" t="s">
        <v>77</v>
      </c>
      <c r="L526" s="137" t="s">
        <v>86</v>
      </c>
      <c r="M526" s="137" t="s">
        <v>80</v>
      </c>
      <c r="N526" s="137" t="b">
        <v>1</v>
      </c>
      <c r="O526" s="137"/>
      <c r="P526" s="137" t="s">
        <v>83</v>
      </c>
      <c r="Q526" s="137" t="s">
        <v>89</v>
      </c>
      <c r="R526" s="137" t="b">
        <v>1</v>
      </c>
      <c r="S526" s="139">
        <v>1</v>
      </c>
      <c r="T526" s="139">
        <v>5.5118167063218002E+18</v>
      </c>
    </row>
    <row r="527" spans="3:20">
      <c r="C527" s="24" t="b">
        <v>0</v>
      </c>
      <c r="D527" s="137">
        <v>1</v>
      </c>
      <c r="E527" s="138">
        <v>3</v>
      </c>
      <c r="F527" s="137" t="s">
        <v>85</v>
      </c>
      <c r="G527" s="137">
        <v>5</v>
      </c>
      <c r="H527" s="137">
        <v>2</v>
      </c>
      <c r="I527" s="137">
        <v>1</v>
      </c>
      <c r="J527" s="137">
        <v>19.258299999999998</v>
      </c>
      <c r="K527" s="137" t="s">
        <v>82</v>
      </c>
      <c r="L527" s="137" t="s">
        <v>79</v>
      </c>
      <c r="M527" s="137" t="s">
        <v>93</v>
      </c>
      <c r="N527" s="137" t="b">
        <v>0</v>
      </c>
      <c r="O527" s="137"/>
      <c r="P527" s="137" t="s">
        <v>88</v>
      </c>
      <c r="Q527" s="137" t="s">
        <v>89</v>
      </c>
      <c r="R527" s="137" t="b">
        <v>0</v>
      </c>
      <c r="S527" s="139">
        <v>1</v>
      </c>
      <c r="T527" s="139">
        <v>8.6088136428135199E+18</v>
      </c>
    </row>
    <row r="528" spans="3:20">
      <c r="C528" s="24" t="b">
        <v>0</v>
      </c>
      <c r="D528" s="137">
        <v>1</v>
      </c>
      <c r="E528" s="138">
        <v>1</v>
      </c>
      <c r="F528" s="137" t="s">
        <v>75</v>
      </c>
      <c r="G528" s="137">
        <v>52</v>
      </c>
      <c r="H528" s="137">
        <v>0</v>
      </c>
      <c r="I528" s="137">
        <v>0</v>
      </c>
      <c r="J528" s="137">
        <v>30.5</v>
      </c>
      <c r="K528" s="137" t="s">
        <v>77</v>
      </c>
      <c r="L528" s="137" t="s">
        <v>86</v>
      </c>
      <c r="M528" s="137" t="s">
        <v>80</v>
      </c>
      <c r="N528" s="137" t="b">
        <v>1</v>
      </c>
      <c r="O528" s="137" t="s">
        <v>82</v>
      </c>
      <c r="P528" s="137" t="s">
        <v>83</v>
      </c>
      <c r="Q528" s="137" t="s">
        <v>89</v>
      </c>
      <c r="R528" s="137" t="b">
        <v>1</v>
      </c>
      <c r="S528" s="139">
        <v>0</v>
      </c>
      <c r="T528" s="139">
        <v>1.44157816926789E+19</v>
      </c>
    </row>
    <row r="529" spans="3:20">
      <c r="C529" s="24" t="b">
        <v>0</v>
      </c>
      <c r="D529" s="137">
        <v>0</v>
      </c>
      <c r="E529" s="138">
        <v>2</v>
      </c>
      <c r="F529" s="137" t="s">
        <v>75</v>
      </c>
      <c r="G529" s="137">
        <v>36</v>
      </c>
      <c r="H529" s="137">
        <v>1</v>
      </c>
      <c r="I529" s="137">
        <v>2</v>
      </c>
      <c r="J529" s="137">
        <v>27.75</v>
      </c>
      <c r="K529" s="137" t="s">
        <v>77</v>
      </c>
      <c r="L529" s="137" t="s">
        <v>94</v>
      </c>
      <c r="M529" s="137" t="s">
        <v>80</v>
      </c>
      <c r="N529" s="137" t="b">
        <v>1</v>
      </c>
      <c r="O529" s="137"/>
      <c r="P529" s="137" t="s">
        <v>83</v>
      </c>
      <c r="Q529" s="137" t="s">
        <v>84</v>
      </c>
      <c r="R529" s="137" t="b">
        <v>0</v>
      </c>
      <c r="S529" s="139">
        <v>1</v>
      </c>
      <c r="T529" s="139">
        <v>1.3021384115739001E+19</v>
      </c>
    </row>
    <row r="530" spans="3:20">
      <c r="C530" s="24" t="b">
        <v>0</v>
      </c>
      <c r="D530" s="137">
        <v>0</v>
      </c>
      <c r="E530" s="138">
        <v>3</v>
      </c>
      <c r="F530" s="137" t="s">
        <v>75</v>
      </c>
      <c r="G530" s="137"/>
      <c r="H530" s="137">
        <v>1</v>
      </c>
      <c r="I530" s="137">
        <v>0</v>
      </c>
      <c r="J530" s="137">
        <v>19.966699999999999</v>
      </c>
      <c r="K530" s="137" t="s">
        <v>77</v>
      </c>
      <c r="L530" s="137" t="s">
        <v>79</v>
      </c>
      <c r="M530" s="137" t="s">
        <v>80</v>
      </c>
      <c r="N530" s="137" t="b">
        <v>1</v>
      </c>
      <c r="O530" s="137"/>
      <c r="P530" s="137" t="s">
        <v>83</v>
      </c>
      <c r="Q530" s="137" t="s">
        <v>84</v>
      </c>
      <c r="R530" s="137" t="b">
        <v>0</v>
      </c>
      <c r="S530" s="139">
        <v>1</v>
      </c>
      <c r="T530" s="139">
        <v>1.7734883989043599E+19</v>
      </c>
    </row>
    <row r="531" spans="3:20">
      <c r="C531" s="24" t="b">
        <v>0</v>
      </c>
      <c r="D531" s="137">
        <v>0</v>
      </c>
      <c r="E531" s="138">
        <v>1</v>
      </c>
      <c r="F531" s="137" t="s">
        <v>75</v>
      </c>
      <c r="G531" s="137">
        <v>30</v>
      </c>
      <c r="H531" s="137">
        <v>0</v>
      </c>
      <c r="I531" s="137">
        <v>0</v>
      </c>
      <c r="J531" s="137">
        <v>27.75</v>
      </c>
      <c r="K531" s="137" t="s">
        <v>82</v>
      </c>
      <c r="L531" s="137" t="s">
        <v>86</v>
      </c>
      <c r="M531" s="137" t="s">
        <v>80</v>
      </c>
      <c r="N531" s="137" t="b">
        <v>1</v>
      </c>
      <c r="O531" s="137" t="s">
        <v>82</v>
      </c>
      <c r="P531" s="137" t="s">
        <v>88</v>
      </c>
      <c r="Q531" s="137" t="s">
        <v>84</v>
      </c>
      <c r="R531" s="137" t="b">
        <v>1</v>
      </c>
      <c r="S531" s="139">
        <v>0</v>
      </c>
      <c r="T531" s="139">
        <v>8.9929848279743703E+18</v>
      </c>
    </row>
    <row r="532" spans="3:20">
      <c r="C532" s="24" t="b">
        <v>0</v>
      </c>
      <c r="D532" s="137">
        <v>1</v>
      </c>
      <c r="E532" s="138">
        <v>1</v>
      </c>
      <c r="F532" s="137" t="s">
        <v>75</v>
      </c>
      <c r="G532" s="137">
        <v>49</v>
      </c>
      <c r="H532" s="137">
        <v>1</v>
      </c>
      <c r="I532" s="137">
        <v>0</v>
      </c>
      <c r="J532" s="137">
        <v>89.104200000000006</v>
      </c>
      <c r="K532" s="137" t="s">
        <v>82</v>
      </c>
      <c r="L532" s="137" t="s">
        <v>86</v>
      </c>
      <c r="M532" s="137" t="s">
        <v>80</v>
      </c>
      <c r="N532" s="137" t="b">
        <v>1</v>
      </c>
      <c r="O532" s="137" t="s">
        <v>82</v>
      </c>
      <c r="P532" s="137" t="s">
        <v>88</v>
      </c>
      <c r="Q532" s="137" t="s">
        <v>89</v>
      </c>
      <c r="R532" s="137" t="b">
        <v>0</v>
      </c>
      <c r="S532" s="139">
        <v>0</v>
      </c>
      <c r="T532" s="139">
        <v>1.6159262499033301E+19</v>
      </c>
    </row>
    <row r="533" spans="3:20">
      <c r="C533" s="24" t="b">
        <v>0</v>
      </c>
      <c r="D533" s="137">
        <v>0</v>
      </c>
      <c r="E533" s="138">
        <v>3</v>
      </c>
      <c r="F533" s="137" t="s">
        <v>75</v>
      </c>
      <c r="G533" s="137"/>
      <c r="H533" s="137">
        <v>0</v>
      </c>
      <c r="I533" s="137">
        <v>0</v>
      </c>
      <c r="J533" s="137">
        <v>8.0500000000000007</v>
      </c>
      <c r="K533" s="137" t="s">
        <v>77</v>
      </c>
      <c r="L533" s="137" t="s">
        <v>79</v>
      </c>
      <c r="M533" s="137" t="s">
        <v>80</v>
      </c>
      <c r="N533" s="137" t="b">
        <v>1</v>
      </c>
      <c r="O533" s="137"/>
      <c r="P533" s="137" t="s">
        <v>83</v>
      </c>
      <c r="Q533" s="137" t="s">
        <v>84</v>
      </c>
      <c r="R533" s="137" t="b">
        <v>1</v>
      </c>
      <c r="S533" s="139">
        <v>1</v>
      </c>
      <c r="T533" s="139">
        <v>1.0519935439659201E+19</v>
      </c>
    </row>
    <row r="534" spans="3:20">
      <c r="C534" s="24" t="b">
        <v>0</v>
      </c>
      <c r="D534" s="137">
        <v>1</v>
      </c>
      <c r="E534" s="138">
        <v>3</v>
      </c>
      <c r="F534" s="137" t="s">
        <v>75</v>
      </c>
      <c r="G534" s="137">
        <v>29</v>
      </c>
      <c r="H534" s="137">
        <v>0</v>
      </c>
      <c r="I534" s="137">
        <v>0</v>
      </c>
      <c r="J534" s="137">
        <v>7.8958000000000004</v>
      </c>
      <c r="K534" s="137" t="s">
        <v>82</v>
      </c>
      <c r="L534" s="137" t="s">
        <v>79</v>
      </c>
      <c r="M534" s="137" t="s">
        <v>80</v>
      </c>
      <c r="N534" s="137" t="b">
        <v>1</v>
      </c>
      <c r="O534" s="137"/>
      <c r="P534" s="137" t="s">
        <v>88</v>
      </c>
      <c r="Q534" s="137" t="s">
        <v>89</v>
      </c>
      <c r="R534" s="137" t="b">
        <v>1</v>
      </c>
      <c r="S534" s="139">
        <v>1</v>
      </c>
      <c r="T534" s="139">
        <v>1.51757033434896E+18</v>
      </c>
    </row>
    <row r="535" spans="3:20">
      <c r="C535" s="24" t="b">
        <v>0</v>
      </c>
      <c r="D535" s="137">
        <v>0</v>
      </c>
      <c r="E535" s="138">
        <v>1</v>
      </c>
      <c r="F535" s="137" t="s">
        <v>75</v>
      </c>
      <c r="G535" s="137">
        <v>65</v>
      </c>
      <c r="H535" s="137">
        <v>0</v>
      </c>
      <c r="I535" s="137">
        <v>0</v>
      </c>
      <c r="J535" s="137">
        <v>26.55</v>
      </c>
      <c r="K535" s="137" t="s">
        <v>77</v>
      </c>
      <c r="L535" s="137" t="s">
        <v>86</v>
      </c>
      <c r="M535" s="137" t="s">
        <v>80</v>
      </c>
      <c r="N535" s="137" t="b">
        <v>1</v>
      </c>
      <c r="O535" s="137" t="s">
        <v>92</v>
      </c>
      <c r="P535" s="137" t="s">
        <v>83</v>
      </c>
      <c r="Q535" s="137" t="s">
        <v>84</v>
      </c>
      <c r="R535" s="137" t="b">
        <v>1</v>
      </c>
      <c r="S535" s="139">
        <v>0</v>
      </c>
      <c r="T535" s="139">
        <v>2.27115537565038E+18</v>
      </c>
    </row>
    <row r="536" spans="3:20">
      <c r="C536" s="24" t="b">
        <v>0</v>
      </c>
      <c r="D536" s="137">
        <v>1</v>
      </c>
      <c r="E536" s="138">
        <v>1</v>
      </c>
      <c r="F536" s="137" t="s">
        <v>85</v>
      </c>
      <c r="G536" s="137"/>
      <c r="H536" s="137">
        <v>1</v>
      </c>
      <c r="I536" s="137">
        <v>0</v>
      </c>
      <c r="J536" s="137">
        <v>51.862499999999997</v>
      </c>
      <c r="K536" s="137" t="s">
        <v>77</v>
      </c>
      <c r="L536" s="137" t="s">
        <v>86</v>
      </c>
      <c r="M536" s="137" t="s">
        <v>87</v>
      </c>
      <c r="N536" s="137" t="b">
        <v>0</v>
      </c>
      <c r="O536" s="137" t="s">
        <v>96</v>
      </c>
      <c r="P536" s="137" t="s">
        <v>83</v>
      </c>
      <c r="Q536" s="137" t="s">
        <v>89</v>
      </c>
      <c r="R536" s="137" t="b">
        <v>0</v>
      </c>
      <c r="S536" s="139">
        <v>1</v>
      </c>
      <c r="T536" s="139">
        <v>4.0560728996202301E+18</v>
      </c>
    </row>
    <row r="537" spans="3:20">
      <c r="C537" s="24" t="b">
        <v>0</v>
      </c>
      <c r="D537" s="137">
        <v>1</v>
      </c>
      <c r="E537" s="138">
        <v>2</v>
      </c>
      <c r="F537" s="137" t="s">
        <v>85</v>
      </c>
      <c r="G537" s="137">
        <v>50</v>
      </c>
      <c r="H537" s="137">
        <v>0</v>
      </c>
      <c r="I537" s="137">
        <v>0</v>
      </c>
      <c r="J537" s="137">
        <v>10.5</v>
      </c>
      <c r="K537" s="137" t="s">
        <v>77</v>
      </c>
      <c r="L537" s="137" t="s">
        <v>94</v>
      </c>
      <c r="M537" s="137" t="s">
        <v>87</v>
      </c>
      <c r="N537" s="137" t="b">
        <v>0</v>
      </c>
      <c r="O537" s="137"/>
      <c r="P537" s="137" t="s">
        <v>83</v>
      </c>
      <c r="Q537" s="137" t="s">
        <v>89</v>
      </c>
      <c r="R537" s="137" t="b">
        <v>1</v>
      </c>
      <c r="S537" s="139">
        <v>1</v>
      </c>
      <c r="T537" s="139">
        <v>1.5008703859524801E+19</v>
      </c>
    </row>
    <row r="538" spans="3:20">
      <c r="C538" s="24" t="b">
        <v>0</v>
      </c>
      <c r="D538" s="137">
        <v>0</v>
      </c>
      <c r="E538" s="138">
        <v>3</v>
      </c>
      <c r="F538" s="137" t="s">
        <v>75</v>
      </c>
      <c r="G538" s="137"/>
      <c r="H538" s="137">
        <v>0</v>
      </c>
      <c r="I538" s="137">
        <v>0</v>
      </c>
      <c r="J538" s="137">
        <v>7.75</v>
      </c>
      <c r="K538" s="137" t="s">
        <v>90</v>
      </c>
      <c r="L538" s="137" t="s">
        <v>79</v>
      </c>
      <c r="M538" s="137" t="s">
        <v>80</v>
      </c>
      <c r="N538" s="137" t="b">
        <v>1</v>
      </c>
      <c r="O538" s="137"/>
      <c r="P538" s="137" t="s">
        <v>91</v>
      </c>
      <c r="Q538" s="137" t="s">
        <v>84</v>
      </c>
      <c r="R538" s="137" t="b">
        <v>1</v>
      </c>
      <c r="S538" s="139">
        <v>1</v>
      </c>
      <c r="T538" s="139">
        <v>8.8562668406319196E+18</v>
      </c>
    </row>
    <row r="539" spans="3:20">
      <c r="C539" s="24" t="b">
        <v>0</v>
      </c>
      <c r="D539" s="137">
        <v>1</v>
      </c>
      <c r="E539" s="138">
        <v>1</v>
      </c>
      <c r="F539" s="137" t="s">
        <v>75</v>
      </c>
      <c r="G539" s="137">
        <v>48</v>
      </c>
      <c r="H539" s="137">
        <v>0</v>
      </c>
      <c r="I539" s="137">
        <v>0</v>
      </c>
      <c r="J539" s="137">
        <v>26.55</v>
      </c>
      <c r="K539" s="137" t="s">
        <v>77</v>
      </c>
      <c r="L539" s="137" t="s">
        <v>86</v>
      </c>
      <c r="M539" s="137" t="s">
        <v>80</v>
      </c>
      <c r="N539" s="137" t="b">
        <v>1</v>
      </c>
      <c r="O539" s="137" t="s">
        <v>92</v>
      </c>
      <c r="P539" s="137" t="s">
        <v>83</v>
      </c>
      <c r="Q539" s="137" t="s">
        <v>89</v>
      </c>
      <c r="R539" s="137" t="b">
        <v>1</v>
      </c>
      <c r="S539" s="139">
        <v>0</v>
      </c>
      <c r="T539" s="139">
        <v>4.76848428507968E+18</v>
      </c>
    </row>
    <row r="540" spans="3:20">
      <c r="C540" s="24" t="b">
        <v>0</v>
      </c>
      <c r="D540" s="137">
        <v>0</v>
      </c>
      <c r="E540" s="138">
        <v>3</v>
      </c>
      <c r="F540" s="137" t="s">
        <v>75</v>
      </c>
      <c r="G540" s="137">
        <v>34</v>
      </c>
      <c r="H540" s="137">
        <v>0</v>
      </c>
      <c r="I540" s="137">
        <v>0</v>
      </c>
      <c r="J540" s="137">
        <v>8.0500000000000007</v>
      </c>
      <c r="K540" s="137" t="s">
        <v>77</v>
      </c>
      <c r="L540" s="137" t="s">
        <v>79</v>
      </c>
      <c r="M540" s="137" t="s">
        <v>80</v>
      </c>
      <c r="N540" s="137" t="b">
        <v>1</v>
      </c>
      <c r="O540" s="137"/>
      <c r="P540" s="137" t="s">
        <v>83</v>
      </c>
      <c r="Q540" s="137" t="s">
        <v>84</v>
      </c>
      <c r="R540" s="137" t="b">
        <v>1</v>
      </c>
      <c r="S540" s="139">
        <v>1</v>
      </c>
      <c r="T540" s="139">
        <v>1.81207378784796E+19</v>
      </c>
    </row>
    <row r="541" spans="3:20">
      <c r="C541" s="24" t="b">
        <v>0</v>
      </c>
      <c r="D541" s="137">
        <v>0</v>
      </c>
      <c r="E541" s="138">
        <v>1</v>
      </c>
      <c r="F541" s="137" t="s">
        <v>75</v>
      </c>
      <c r="G541" s="137">
        <v>47</v>
      </c>
      <c r="H541" s="137">
        <v>0</v>
      </c>
      <c r="I541" s="137">
        <v>0</v>
      </c>
      <c r="J541" s="137">
        <v>38.5</v>
      </c>
      <c r="K541" s="137" t="s">
        <v>77</v>
      </c>
      <c r="L541" s="137" t="s">
        <v>86</v>
      </c>
      <c r="M541" s="137" t="s">
        <v>80</v>
      </c>
      <c r="N541" s="137" t="b">
        <v>1</v>
      </c>
      <c r="O541" s="137" t="s">
        <v>92</v>
      </c>
      <c r="P541" s="137" t="s">
        <v>83</v>
      </c>
      <c r="Q541" s="137" t="s">
        <v>84</v>
      </c>
      <c r="R541" s="137" t="b">
        <v>1</v>
      </c>
      <c r="S541" s="139">
        <v>0</v>
      </c>
      <c r="T541" s="139">
        <v>9.0689579091461202E+18</v>
      </c>
    </row>
    <row r="542" spans="3:20">
      <c r="C542" s="24" t="b">
        <v>0</v>
      </c>
      <c r="D542" s="137">
        <v>0</v>
      </c>
      <c r="E542" s="138">
        <v>2</v>
      </c>
      <c r="F542" s="137" t="s">
        <v>75</v>
      </c>
      <c r="G542" s="137">
        <v>48</v>
      </c>
      <c r="H542" s="137">
        <v>0</v>
      </c>
      <c r="I542" s="137">
        <v>0</v>
      </c>
      <c r="J542" s="137">
        <v>13</v>
      </c>
      <c r="K542" s="137" t="s">
        <v>77</v>
      </c>
      <c r="L542" s="137" t="s">
        <v>94</v>
      </c>
      <c r="M542" s="137" t="s">
        <v>80</v>
      </c>
      <c r="N542" s="137" t="b">
        <v>1</v>
      </c>
      <c r="O542" s="137"/>
      <c r="P542" s="137" t="s">
        <v>83</v>
      </c>
      <c r="Q542" s="137" t="s">
        <v>84</v>
      </c>
      <c r="R542" s="137" t="b">
        <v>1</v>
      </c>
      <c r="S542" s="139">
        <v>1</v>
      </c>
      <c r="T542" s="139">
        <v>1.3860502636040499E+19</v>
      </c>
    </row>
    <row r="543" spans="3:20">
      <c r="C543" s="24" t="b">
        <v>0</v>
      </c>
      <c r="D543" s="137">
        <v>0</v>
      </c>
      <c r="E543" s="138">
        <v>3</v>
      </c>
      <c r="F543" s="137" t="s">
        <v>75</v>
      </c>
      <c r="G543" s="137"/>
      <c r="H543" s="137">
        <v>0</v>
      </c>
      <c r="I543" s="137">
        <v>0</v>
      </c>
      <c r="J543" s="137">
        <v>8.0500000000000007</v>
      </c>
      <c r="K543" s="137" t="s">
        <v>77</v>
      </c>
      <c r="L543" s="137" t="s">
        <v>79</v>
      </c>
      <c r="M543" s="137" t="s">
        <v>80</v>
      </c>
      <c r="N543" s="137" t="b">
        <v>1</v>
      </c>
      <c r="O543" s="137"/>
      <c r="P543" s="137" t="s">
        <v>83</v>
      </c>
      <c r="Q543" s="137" t="s">
        <v>84</v>
      </c>
      <c r="R543" s="137" t="b">
        <v>1</v>
      </c>
      <c r="S543" s="139">
        <v>1</v>
      </c>
      <c r="T543" s="139">
        <v>1.0519935439659201E+19</v>
      </c>
    </row>
    <row r="544" spans="3:20">
      <c r="C544" s="24" t="b">
        <v>0</v>
      </c>
      <c r="D544" s="137">
        <v>0</v>
      </c>
      <c r="E544" s="138">
        <v>3</v>
      </c>
      <c r="F544" s="137" t="s">
        <v>75</v>
      </c>
      <c r="G544" s="137">
        <v>38</v>
      </c>
      <c r="H544" s="137">
        <v>0</v>
      </c>
      <c r="I544" s="137">
        <v>0</v>
      </c>
      <c r="J544" s="137">
        <v>7.05</v>
      </c>
      <c r="K544" s="137" t="s">
        <v>77</v>
      </c>
      <c r="L544" s="137" t="s">
        <v>79</v>
      </c>
      <c r="M544" s="137" t="s">
        <v>80</v>
      </c>
      <c r="N544" s="137" t="b">
        <v>1</v>
      </c>
      <c r="O544" s="137"/>
      <c r="P544" s="137" t="s">
        <v>83</v>
      </c>
      <c r="Q544" s="137" t="s">
        <v>84</v>
      </c>
      <c r="R544" s="137" t="b">
        <v>1</v>
      </c>
      <c r="S544" s="139">
        <v>1</v>
      </c>
      <c r="T544" s="139">
        <v>9.6458711202147103E+18</v>
      </c>
    </row>
    <row r="545" spans="3:20">
      <c r="C545" s="24" t="b">
        <v>0</v>
      </c>
      <c r="D545" s="137">
        <v>0</v>
      </c>
      <c r="E545" s="138">
        <v>2</v>
      </c>
      <c r="F545" s="137" t="s">
        <v>75</v>
      </c>
      <c r="G545" s="137"/>
      <c r="H545" s="137">
        <v>0</v>
      </c>
      <c r="I545" s="137">
        <v>0</v>
      </c>
      <c r="J545" s="137">
        <v>0</v>
      </c>
      <c r="K545" s="137" t="s">
        <v>77</v>
      </c>
      <c r="L545" s="137" t="s">
        <v>94</v>
      </c>
      <c r="M545" s="137" t="s">
        <v>80</v>
      </c>
      <c r="N545" s="137" t="b">
        <v>1</v>
      </c>
      <c r="O545" s="137"/>
      <c r="P545" s="137" t="s">
        <v>83</v>
      </c>
      <c r="Q545" s="137" t="s">
        <v>84</v>
      </c>
      <c r="R545" s="137" t="b">
        <v>1</v>
      </c>
      <c r="S545" s="139">
        <v>1</v>
      </c>
      <c r="T545" s="139">
        <v>1.3784493890172299E+19</v>
      </c>
    </row>
    <row r="546" spans="3:20">
      <c r="C546" s="24" t="b">
        <v>0</v>
      </c>
      <c r="D546" s="137">
        <v>0</v>
      </c>
      <c r="E546" s="138">
        <v>1</v>
      </c>
      <c r="F546" s="137" t="s">
        <v>75</v>
      </c>
      <c r="G546" s="137">
        <v>56</v>
      </c>
      <c r="H546" s="137">
        <v>0</v>
      </c>
      <c r="I546" s="137">
        <v>0</v>
      </c>
      <c r="J546" s="137">
        <v>26.55</v>
      </c>
      <c r="K546" s="137" t="s">
        <v>77</v>
      </c>
      <c r="L546" s="137" t="s">
        <v>86</v>
      </c>
      <c r="M546" s="137" t="s">
        <v>80</v>
      </c>
      <c r="N546" s="137" t="b">
        <v>1</v>
      </c>
      <c r="O546" s="137"/>
      <c r="P546" s="137" t="s">
        <v>83</v>
      </c>
      <c r="Q546" s="137" t="s">
        <v>84</v>
      </c>
      <c r="R546" s="137" t="b">
        <v>1</v>
      </c>
      <c r="S546" s="139">
        <v>1</v>
      </c>
      <c r="T546" s="139">
        <v>1.50430836875281E+19</v>
      </c>
    </row>
    <row r="547" spans="3:20">
      <c r="C547" s="24" t="b">
        <v>0</v>
      </c>
      <c r="D547" s="137">
        <v>0</v>
      </c>
      <c r="E547" s="138">
        <v>3</v>
      </c>
      <c r="F547" s="137" t="s">
        <v>75</v>
      </c>
      <c r="G547" s="137"/>
      <c r="H547" s="137">
        <v>0</v>
      </c>
      <c r="I547" s="137">
        <v>0</v>
      </c>
      <c r="J547" s="137">
        <v>7.7249999999999996</v>
      </c>
      <c r="K547" s="137" t="s">
        <v>90</v>
      </c>
      <c r="L547" s="137" t="s">
        <v>79</v>
      </c>
      <c r="M547" s="137" t="s">
        <v>80</v>
      </c>
      <c r="N547" s="137" t="b">
        <v>1</v>
      </c>
      <c r="O547" s="137"/>
      <c r="P547" s="137" t="s">
        <v>91</v>
      </c>
      <c r="Q547" s="137" t="s">
        <v>84</v>
      </c>
      <c r="R547" s="137" t="b">
        <v>1</v>
      </c>
      <c r="S547" s="139">
        <v>1</v>
      </c>
      <c r="T547" s="139">
        <v>1.62064935567766E+19</v>
      </c>
    </row>
    <row r="548" spans="3:20">
      <c r="C548" s="24" t="b">
        <v>0</v>
      </c>
      <c r="D548" s="137">
        <v>1</v>
      </c>
      <c r="E548" s="138">
        <v>3</v>
      </c>
      <c r="F548" s="137" t="s">
        <v>85</v>
      </c>
      <c r="G548" s="137">
        <v>0.75</v>
      </c>
      <c r="H548" s="137">
        <v>2</v>
      </c>
      <c r="I548" s="137">
        <v>1</v>
      </c>
      <c r="J548" s="137">
        <v>19.258299999999998</v>
      </c>
      <c r="K548" s="137" t="s">
        <v>82</v>
      </c>
      <c r="L548" s="137" t="s">
        <v>79</v>
      </c>
      <c r="M548" s="137" t="s">
        <v>93</v>
      </c>
      <c r="N548" s="137" t="b">
        <v>0</v>
      </c>
      <c r="O548" s="137"/>
      <c r="P548" s="137" t="s">
        <v>88</v>
      </c>
      <c r="Q548" s="137" t="s">
        <v>89</v>
      </c>
      <c r="R548" s="137" t="b">
        <v>0</v>
      </c>
      <c r="S548" s="139">
        <v>1</v>
      </c>
      <c r="T548" s="139">
        <v>1.3639990042755799E+19</v>
      </c>
    </row>
    <row r="549" spans="3:20">
      <c r="C549" s="24" t="b">
        <v>0</v>
      </c>
      <c r="D549" s="137">
        <v>0</v>
      </c>
      <c r="E549" s="138">
        <v>3</v>
      </c>
      <c r="F549" s="137" t="s">
        <v>75</v>
      </c>
      <c r="G549" s="137"/>
      <c r="H549" s="137">
        <v>0</v>
      </c>
      <c r="I549" s="137">
        <v>0</v>
      </c>
      <c r="J549" s="137">
        <v>7.25</v>
      </c>
      <c r="K549" s="137" t="s">
        <v>77</v>
      </c>
      <c r="L549" s="137" t="s">
        <v>79</v>
      </c>
      <c r="M549" s="137" t="s">
        <v>80</v>
      </c>
      <c r="N549" s="137" t="b">
        <v>1</v>
      </c>
      <c r="O549" s="137"/>
      <c r="P549" s="137" t="s">
        <v>83</v>
      </c>
      <c r="Q549" s="137" t="s">
        <v>84</v>
      </c>
      <c r="R549" s="137" t="b">
        <v>1</v>
      </c>
      <c r="S549" s="139">
        <v>1</v>
      </c>
      <c r="T549" s="139">
        <v>1.24309295546305E+19</v>
      </c>
    </row>
    <row r="550" spans="3:20">
      <c r="C550" s="24" t="b">
        <v>0</v>
      </c>
      <c r="D550" s="137">
        <v>0</v>
      </c>
      <c r="E550" s="138">
        <v>3</v>
      </c>
      <c r="F550" s="137" t="s">
        <v>75</v>
      </c>
      <c r="G550" s="137">
        <v>38</v>
      </c>
      <c r="H550" s="137">
        <v>0</v>
      </c>
      <c r="I550" s="137">
        <v>0</v>
      </c>
      <c r="J550" s="137">
        <v>8.6624999999999996</v>
      </c>
      <c r="K550" s="137" t="s">
        <v>77</v>
      </c>
      <c r="L550" s="137" t="s">
        <v>79</v>
      </c>
      <c r="M550" s="137" t="s">
        <v>80</v>
      </c>
      <c r="N550" s="137" t="b">
        <v>1</v>
      </c>
      <c r="O550" s="137"/>
      <c r="P550" s="137" t="s">
        <v>83</v>
      </c>
      <c r="Q550" s="137" t="s">
        <v>84</v>
      </c>
      <c r="R550" s="137" t="b">
        <v>1</v>
      </c>
      <c r="S550" s="139">
        <v>1</v>
      </c>
      <c r="T550" s="139">
        <v>1.3985547662474199E+19</v>
      </c>
    </row>
    <row r="551" spans="3:20">
      <c r="C551" s="24" t="b">
        <v>0</v>
      </c>
      <c r="D551" s="137">
        <v>1</v>
      </c>
      <c r="E551" s="138">
        <v>2</v>
      </c>
      <c r="F551" s="137" t="s">
        <v>85</v>
      </c>
      <c r="G551" s="137">
        <v>33</v>
      </c>
      <c r="H551" s="137">
        <v>1</v>
      </c>
      <c r="I551" s="137">
        <v>2</v>
      </c>
      <c r="J551" s="137">
        <v>27.75</v>
      </c>
      <c r="K551" s="137" t="s">
        <v>77</v>
      </c>
      <c r="L551" s="137" t="s">
        <v>94</v>
      </c>
      <c r="M551" s="137" t="s">
        <v>87</v>
      </c>
      <c r="N551" s="137" t="b">
        <v>0</v>
      </c>
      <c r="O551" s="137"/>
      <c r="P551" s="137" t="s">
        <v>83</v>
      </c>
      <c r="Q551" s="137" t="s">
        <v>89</v>
      </c>
      <c r="R551" s="137" t="b">
        <v>0</v>
      </c>
      <c r="S551" s="139">
        <v>1</v>
      </c>
      <c r="T551" s="139">
        <v>1.77023802658933E+19</v>
      </c>
    </row>
    <row r="552" spans="3:20">
      <c r="C552" s="24" t="b">
        <v>0</v>
      </c>
      <c r="D552" s="137">
        <v>1</v>
      </c>
      <c r="E552" s="138">
        <v>2</v>
      </c>
      <c r="F552" s="137" t="s">
        <v>85</v>
      </c>
      <c r="G552" s="137">
        <v>23</v>
      </c>
      <c r="H552" s="137">
        <v>0</v>
      </c>
      <c r="I552" s="137">
        <v>0</v>
      </c>
      <c r="J552" s="137">
        <v>13.791700000000001</v>
      </c>
      <c r="K552" s="137" t="s">
        <v>82</v>
      </c>
      <c r="L552" s="137" t="s">
        <v>94</v>
      </c>
      <c r="M552" s="137" t="s">
        <v>87</v>
      </c>
      <c r="N552" s="137" t="b">
        <v>0</v>
      </c>
      <c r="O552" s="137" t="s">
        <v>96</v>
      </c>
      <c r="P552" s="137" t="s">
        <v>88</v>
      </c>
      <c r="Q552" s="137" t="s">
        <v>89</v>
      </c>
      <c r="R552" s="137" t="b">
        <v>1</v>
      </c>
      <c r="S552" s="139">
        <v>0</v>
      </c>
      <c r="T552" s="139">
        <v>1.07568539760511E+19</v>
      </c>
    </row>
    <row r="553" spans="3:20">
      <c r="C553" s="24" t="b">
        <v>0</v>
      </c>
      <c r="D553" s="137">
        <v>0</v>
      </c>
      <c r="E553" s="138">
        <v>3</v>
      </c>
      <c r="F553" s="137" t="s">
        <v>85</v>
      </c>
      <c r="G553" s="137">
        <v>22</v>
      </c>
      <c r="H553" s="137">
        <v>0</v>
      </c>
      <c r="I553" s="137">
        <v>0</v>
      </c>
      <c r="J553" s="137">
        <v>9.8375000000000004</v>
      </c>
      <c r="K553" s="137" t="s">
        <v>77</v>
      </c>
      <c r="L553" s="137" t="s">
        <v>79</v>
      </c>
      <c r="M553" s="137" t="s">
        <v>87</v>
      </c>
      <c r="N553" s="137" t="b">
        <v>0</v>
      </c>
      <c r="O553" s="137"/>
      <c r="P553" s="137" t="s">
        <v>83</v>
      </c>
      <c r="Q553" s="137" t="s">
        <v>84</v>
      </c>
      <c r="R553" s="137" t="b">
        <v>1</v>
      </c>
      <c r="S553" s="139">
        <v>1</v>
      </c>
      <c r="T553" s="139">
        <v>4.6507615581891604E+18</v>
      </c>
    </row>
    <row r="554" spans="3:20">
      <c r="C554" s="24" t="b">
        <v>0</v>
      </c>
      <c r="D554" s="137">
        <v>0</v>
      </c>
      <c r="E554" s="138">
        <v>1</v>
      </c>
      <c r="F554" s="137" t="s">
        <v>75</v>
      </c>
      <c r="G554" s="137"/>
      <c r="H554" s="137">
        <v>0</v>
      </c>
      <c r="I554" s="137">
        <v>0</v>
      </c>
      <c r="J554" s="137">
        <v>52</v>
      </c>
      <c r="K554" s="137" t="s">
        <v>77</v>
      </c>
      <c r="L554" s="137" t="s">
        <v>86</v>
      </c>
      <c r="M554" s="137" t="s">
        <v>80</v>
      </c>
      <c r="N554" s="137" t="b">
        <v>1</v>
      </c>
      <c r="O554" s="137" t="s">
        <v>97</v>
      </c>
      <c r="P554" s="137" t="s">
        <v>83</v>
      </c>
      <c r="Q554" s="137" t="s">
        <v>84</v>
      </c>
      <c r="R554" s="137" t="b">
        <v>1</v>
      </c>
      <c r="S554" s="139">
        <v>1</v>
      </c>
      <c r="T554" s="139">
        <v>1.53222544692415E+19</v>
      </c>
    </row>
    <row r="555" spans="3:20">
      <c r="C555" s="24" t="b">
        <v>0</v>
      </c>
      <c r="D555" s="137">
        <v>0</v>
      </c>
      <c r="E555" s="138">
        <v>2</v>
      </c>
      <c r="F555" s="137" t="s">
        <v>75</v>
      </c>
      <c r="G555" s="137">
        <v>34</v>
      </c>
      <c r="H555" s="137">
        <v>1</v>
      </c>
      <c r="I555" s="137">
        <v>0</v>
      </c>
      <c r="J555" s="137">
        <v>21</v>
      </c>
      <c r="K555" s="137" t="s">
        <v>77</v>
      </c>
      <c r="L555" s="137" t="s">
        <v>94</v>
      </c>
      <c r="M555" s="137" t="s">
        <v>80</v>
      </c>
      <c r="N555" s="137" t="b">
        <v>1</v>
      </c>
      <c r="O555" s="137"/>
      <c r="P555" s="137" t="s">
        <v>83</v>
      </c>
      <c r="Q555" s="137" t="s">
        <v>84</v>
      </c>
      <c r="R555" s="137" t="b">
        <v>0</v>
      </c>
      <c r="S555" s="139">
        <v>1</v>
      </c>
      <c r="T555" s="139">
        <v>7.0698537418648105E+18</v>
      </c>
    </row>
    <row r="556" spans="3:20">
      <c r="C556" s="24" t="b">
        <v>0</v>
      </c>
      <c r="D556" s="137">
        <v>0</v>
      </c>
      <c r="E556" s="138">
        <v>3</v>
      </c>
      <c r="F556" s="137" t="s">
        <v>75</v>
      </c>
      <c r="G556" s="137">
        <v>29</v>
      </c>
      <c r="H556" s="137">
        <v>1</v>
      </c>
      <c r="I556" s="137">
        <v>0</v>
      </c>
      <c r="J556" s="137">
        <v>7.0457999999999998</v>
      </c>
      <c r="K556" s="137" t="s">
        <v>77</v>
      </c>
      <c r="L556" s="137" t="s">
        <v>79</v>
      </c>
      <c r="M556" s="137" t="s">
        <v>80</v>
      </c>
      <c r="N556" s="137" t="b">
        <v>1</v>
      </c>
      <c r="O556" s="137"/>
      <c r="P556" s="137" t="s">
        <v>83</v>
      </c>
      <c r="Q556" s="137" t="s">
        <v>84</v>
      </c>
      <c r="R556" s="137" t="b">
        <v>0</v>
      </c>
      <c r="S556" s="139">
        <v>1</v>
      </c>
      <c r="T556" s="139">
        <v>2.8520567101437302E+18</v>
      </c>
    </row>
    <row r="557" spans="3:20">
      <c r="C557" s="24" t="b">
        <v>0</v>
      </c>
      <c r="D557" s="137">
        <v>0</v>
      </c>
      <c r="E557" s="138">
        <v>3</v>
      </c>
      <c r="F557" s="137" t="s">
        <v>75</v>
      </c>
      <c r="G557" s="137">
        <v>22</v>
      </c>
      <c r="H557" s="137">
        <v>0</v>
      </c>
      <c r="I557" s="137">
        <v>0</v>
      </c>
      <c r="J557" s="137">
        <v>7.5208000000000004</v>
      </c>
      <c r="K557" s="137" t="s">
        <v>77</v>
      </c>
      <c r="L557" s="137" t="s">
        <v>79</v>
      </c>
      <c r="M557" s="137" t="s">
        <v>80</v>
      </c>
      <c r="N557" s="137" t="b">
        <v>1</v>
      </c>
      <c r="O557" s="137"/>
      <c r="P557" s="137" t="s">
        <v>83</v>
      </c>
      <c r="Q557" s="137" t="s">
        <v>84</v>
      </c>
      <c r="R557" s="137" t="b">
        <v>1</v>
      </c>
      <c r="S557" s="139">
        <v>1</v>
      </c>
      <c r="T557" s="139">
        <v>2.5700863075462E+17</v>
      </c>
    </row>
    <row r="558" spans="3:20">
      <c r="C558" s="24" t="b">
        <v>0</v>
      </c>
      <c r="D558" s="137">
        <v>1</v>
      </c>
      <c r="E558" s="138">
        <v>3</v>
      </c>
      <c r="F558" s="137" t="s">
        <v>85</v>
      </c>
      <c r="G558" s="137">
        <v>2</v>
      </c>
      <c r="H558" s="137">
        <v>0</v>
      </c>
      <c r="I558" s="137">
        <v>1</v>
      </c>
      <c r="J558" s="137">
        <v>12.2875</v>
      </c>
      <c r="K558" s="137" t="s">
        <v>77</v>
      </c>
      <c r="L558" s="137" t="s">
        <v>79</v>
      </c>
      <c r="M558" s="137" t="s">
        <v>93</v>
      </c>
      <c r="N558" s="137" t="b">
        <v>0</v>
      </c>
      <c r="O558" s="137"/>
      <c r="P558" s="137" t="s">
        <v>83</v>
      </c>
      <c r="Q558" s="137" t="s">
        <v>89</v>
      </c>
      <c r="R558" s="137" t="b">
        <v>0</v>
      </c>
      <c r="S558" s="139">
        <v>1</v>
      </c>
      <c r="T558" s="139">
        <v>5.60903076078952E+17</v>
      </c>
    </row>
    <row r="559" spans="3:20">
      <c r="C559" s="24" t="b">
        <v>0</v>
      </c>
      <c r="D559" s="137">
        <v>0</v>
      </c>
      <c r="E559" s="138">
        <v>3</v>
      </c>
      <c r="F559" s="137" t="s">
        <v>75</v>
      </c>
      <c r="G559" s="137">
        <v>9</v>
      </c>
      <c r="H559" s="137">
        <v>5</v>
      </c>
      <c r="I559" s="137">
        <v>2</v>
      </c>
      <c r="J559" s="137">
        <v>46.9</v>
      </c>
      <c r="K559" s="137" t="s">
        <v>77</v>
      </c>
      <c r="L559" s="137" t="s">
        <v>79</v>
      </c>
      <c r="M559" s="137" t="s">
        <v>93</v>
      </c>
      <c r="N559" s="137" t="b">
        <v>0</v>
      </c>
      <c r="O559" s="137"/>
      <c r="P559" s="137" t="s">
        <v>83</v>
      </c>
      <c r="Q559" s="137" t="s">
        <v>84</v>
      </c>
      <c r="R559" s="137" t="b">
        <v>0</v>
      </c>
      <c r="S559" s="139">
        <v>1</v>
      </c>
      <c r="T559" s="139">
        <v>1.5187630118243999E+18</v>
      </c>
    </row>
    <row r="560" spans="3:20">
      <c r="C560" s="24" t="b">
        <v>0</v>
      </c>
      <c r="D560" s="137">
        <v>0</v>
      </c>
      <c r="E560" s="138">
        <v>2</v>
      </c>
      <c r="F560" s="137" t="s">
        <v>75</v>
      </c>
      <c r="G560" s="137"/>
      <c r="H560" s="137">
        <v>0</v>
      </c>
      <c r="I560" s="137">
        <v>0</v>
      </c>
      <c r="J560" s="137">
        <v>0</v>
      </c>
      <c r="K560" s="137" t="s">
        <v>77</v>
      </c>
      <c r="L560" s="137" t="s">
        <v>94</v>
      </c>
      <c r="M560" s="137" t="s">
        <v>80</v>
      </c>
      <c r="N560" s="137" t="b">
        <v>1</v>
      </c>
      <c r="O560" s="137"/>
      <c r="P560" s="137" t="s">
        <v>83</v>
      </c>
      <c r="Q560" s="137" t="s">
        <v>84</v>
      </c>
      <c r="R560" s="137" t="b">
        <v>1</v>
      </c>
      <c r="S560" s="139">
        <v>1</v>
      </c>
      <c r="T560" s="139">
        <v>1.3784493890172299E+19</v>
      </c>
    </row>
    <row r="561" spans="3:20">
      <c r="C561" s="24" t="b">
        <v>0</v>
      </c>
      <c r="D561" s="137">
        <v>0</v>
      </c>
      <c r="E561" s="138">
        <v>3</v>
      </c>
      <c r="F561" s="137" t="s">
        <v>75</v>
      </c>
      <c r="G561" s="137">
        <v>50</v>
      </c>
      <c r="H561" s="137">
        <v>0</v>
      </c>
      <c r="I561" s="137">
        <v>0</v>
      </c>
      <c r="J561" s="137">
        <v>8.0500000000000007</v>
      </c>
      <c r="K561" s="137" t="s">
        <v>77</v>
      </c>
      <c r="L561" s="137" t="s">
        <v>79</v>
      </c>
      <c r="M561" s="137" t="s">
        <v>80</v>
      </c>
      <c r="N561" s="137" t="b">
        <v>1</v>
      </c>
      <c r="O561" s="137"/>
      <c r="P561" s="137" t="s">
        <v>83</v>
      </c>
      <c r="Q561" s="137" t="s">
        <v>84</v>
      </c>
      <c r="R561" s="137" t="b">
        <v>1</v>
      </c>
      <c r="S561" s="139">
        <v>1</v>
      </c>
      <c r="T561" s="139">
        <v>3.5374491790543099E+18</v>
      </c>
    </row>
    <row r="562" spans="3:20">
      <c r="C562" s="24" t="b">
        <v>0</v>
      </c>
      <c r="D562" s="137">
        <v>1</v>
      </c>
      <c r="E562" s="138">
        <v>3</v>
      </c>
      <c r="F562" s="137" t="s">
        <v>85</v>
      </c>
      <c r="G562" s="137">
        <v>63</v>
      </c>
      <c r="H562" s="137">
        <v>0</v>
      </c>
      <c r="I562" s="137">
        <v>0</v>
      </c>
      <c r="J562" s="137">
        <v>9.5875000000000004</v>
      </c>
      <c r="K562" s="137" t="s">
        <v>77</v>
      </c>
      <c r="L562" s="137" t="s">
        <v>79</v>
      </c>
      <c r="M562" s="137" t="s">
        <v>87</v>
      </c>
      <c r="N562" s="137" t="b">
        <v>0</v>
      </c>
      <c r="O562" s="137"/>
      <c r="P562" s="137" t="s">
        <v>83</v>
      </c>
      <c r="Q562" s="137" t="s">
        <v>89</v>
      </c>
      <c r="R562" s="137" t="b">
        <v>1</v>
      </c>
      <c r="S562" s="139">
        <v>1</v>
      </c>
      <c r="T562" s="139">
        <v>1.8219130911007799E+19</v>
      </c>
    </row>
    <row r="563" spans="3:20">
      <c r="C563" s="24" t="b">
        <v>0</v>
      </c>
      <c r="D563" s="137">
        <v>1</v>
      </c>
      <c r="E563" s="138">
        <v>1</v>
      </c>
      <c r="F563" s="137" t="s">
        <v>75</v>
      </c>
      <c r="G563" s="137">
        <v>25</v>
      </c>
      <c r="H563" s="137">
        <v>1</v>
      </c>
      <c r="I563" s="137">
        <v>0</v>
      </c>
      <c r="J563" s="137">
        <v>91.0792</v>
      </c>
      <c r="K563" s="137" t="s">
        <v>82</v>
      </c>
      <c r="L563" s="137" t="s">
        <v>86</v>
      </c>
      <c r="M563" s="137" t="s">
        <v>80</v>
      </c>
      <c r="N563" s="137" t="b">
        <v>1</v>
      </c>
      <c r="O563" s="137" t="s">
        <v>98</v>
      </c>
      <c r="P563" s="137" t="s">
        <v>88</v>
      </c>
      <c r="Q563" s="137" t="s">
        <v>89</v>
      </c>
      <c r="R563" s="137" t="b">
        <v>0</v>
      </c>
      <c r="S563" s="139">
        <v>0</v>
      </c>
      <c r="T563" s="139">
        <v>4.82879376597231E+18</v>
      </c>
    </row>
    <row r="564" spans="3:20">
      <c r="C564" s="24" t="b">
        <v>0</v>
      </c>
      <c r="D564" s="137">
        <v>0</v>
      </c>
      <c r="E564" s="138">
        <v>3</v>
      </c>
      <c r="F564" s="137" t="s">
        <v>85</v>
      </c>
      <c r="G564" s="137"/>
      <c r="H564" s="137">
        <v>3</v>
      </c>
      <c r="I564" s="137">
        <v>1</v>
      </c>
      <c r="J564" s="137">
        <v>25.466699999999999</v>
      </c>
      <c r="K564" s="137" t="s">
        <v>77</v>
      </c>
      <c r="L564" s="137" t="s">
        <v>79</v>
      </c>
      <c r="M564" s="137" t="s">
        <v>87</v>
      </c>
      <c r="N564" s="137" t="b">
        <v>0</v>
      </c>
      <c r="O564" s="137"/>
      <c r="P564" s="137" t="s">
        <v>83</v>
      </c>
      <c r="Q564" s="137" t="s">
        <v>84</v>
      </c>
      <c r="R564" s="137" t="b">
        <v>0</v>
      </c>
      <c r="S564" s="139">
        <v>1</v>
      </c>
      <c r="T564" s="139">
        <v>1.80108942157732E+19</v>
      </c>
    </row>
    <row r="565" spans="3:20">
      <c r="C565" s="24" t="b">
        <v>0</v>
      </c>
      <c r="D565" s="137">
        <v>1</v>
      </c>
      <c r="E565" s="138">
        <v>1</v>
      </c>
      <c r="F565" s="137" t="s">
        <v>85</v>
      </c>
      <c r="G565" s="137">
        <v>35</v>
      </c>
      <c r="H565" s="137">
        <v>1</v>
      </c>
      <c r="I565" s="137">
        <v>0</v>
      </c>
      <c r="J565" s="137">
        <v>90</v>
      </c>
      <c r="K565" s="137" t="s">
        <v>77</v>
      </c>
      <c r="L565" s="137" t="s">
        <v>86</v>
      </c>
      <c r="M565" s="137" t="s">
        <v>87</v>
      </c>
      <c r="N565" s="137" t="b">
        <v>0</v>
      </c>
      <c r="O565" s="137" t="s">
        <v>82</v>
      </c>
      <c r="P565" s="137" t="s">
        <v>83</v>
      </c>
      <c r="Q565" s="137" t="s">
        <v>89</v>
      </c>
      <c r="R565" s="137" t="b">
        <v>0</v>
      </c>
      <c r="S565" s="139">
        <v>0</v>
      </c>
      <c r="T565" s="139">
        <v>1.6511244331185701E+19</v>
      </c>
    </row>
    <row r="566" spans="3:20">
      <c r="C566" s="24" t="b">
        <v>0</v>
      </c>
      <c r="D566" s="137">
        <v>0</v>
      </c>
      <c r="E566" s="138">
        <v>1</v>
      </c>
      <c r="F566" s="137" t="s">
        <v>75</v>
      </c>
      <c r="G566" s="137">
        <v>58</v>
      </c>
      <c r="H566" s="137">
        <v>0</v>
      </c>
      <c r="I566" s="137">
        <v>0</v>
      </c>
      <c r="J566" s="137">
        <v>29.7</v>
      </c>
      <c r="K566" s="137" t="s">
        <v>82</v>
      </c>
      <c r="L566" s="137" t="s">
        <v>86</v>
      </c>
      <c r="M566" s="137" t="s">
        <v>80</v>
      </c>
      <c r="N566" s="137" t="b">
        <v>1</v>
      </c>
      <c r="O566" s="137" t="s">
        <v>98</v>
      </c>
      <c r="P566" s="137" t="s">
        <v>88</v>
      </c>
      <c r="Q566" s="137" t="s">
        <v>84</v>
      </c>
      <c r="R566" s="137" t="b">
        <v>1</v>
      </c>
      <c r="S566" s="139">
        <v>0</v>
      </c>
      <c r="T566" s="139">
        <v>1.47810764510203E+19</v>
      </c>
    </row>
    <row r="567" spans="3:20">
      <c r="C567" s="24" t="b">
        <v>0</v>
      </c>
      <c r="D567" s="137">
        <v>0</v>
      </c>
      <c r="E567" s="138">
        <v>3</v>
      </c>
      <c r="F567" s="137" t="s">
        <v>75</v>
      </c>
      <c r="G567" s="137">
        <v>30</v>
      </c>
      <c r="H567" s="137">
        <v>0</v>
      </c>
      <c r="I567" s="137">
        <v>0</v>
      </c>
      <c r="J567" s="137">
        <v>8.0500000000000007</v>
      </c>
      <c r="K567" s="137" t="s">
        <v>77</v>
      </c>
      <c r="L567" s="137" t="s">
        <v>79</v>
      </c>
      <c r="M567" s="137" t="s">
        <v>80</v>
      </c>
      <c r="N567" s="137" t="b">
        <v>1</v>
      </c>
      <c r="O567" s="137"/>
      <c r="P567" s="137" t="s">
        <v>83</v>
      </c>
      <c r="Q567" s="137" t="s">
        <v>84</v>
      </c>
      <c r="R567" s="137" t="b">
        <v>1</v>
      </c>
      <c r="S567" s="139">
        <v>1</v>
      </c>
      <c r="T567" s="139">
        <v>3.9468574058521201E+18</v>
      </c>
    </row>
    <row r="568" spans="3:20">
      <c r="C568" s="24" t="b">
        <v>0</v>
      </c>
      <c r="D568" s="137">
        <v>1</v>
      </c>
      <c r="E568" s="138">
        <v>3</v>
      </c>
      <c r="F568" s="137" t="s">
        <v>75</v>
      </c>
      <c r="G568" s="137">
        <v>9</v>
      </c>
      <c r="H568" s="137">
        <v>1</v>
      </c>
      <c r="I568" s="137">
        <v>1</v>
      </c>
      <c r="J568" s="137">
        <v>15.9</v>
      </c>
      <c r="K568" s="137" t="s">
        <v>77</v>
      </c>
      <c r="L568" s="137" t="s">
        <v>79</v>
      </c>
      <c r="M568" s="137" t="s">
        <v>93</v>
      </c>
      <c r="N568" s="137" t="b">
        <v>0</v>
      </c>
      <c r="O568" s="137"/>
      <c r="P568" s="137" t="s">
        <v>83</v>
      </c>
      <c r="Q568" s="137" t="s">
        <v>89</v>
      </c>
      <c r="R568" s="137" t="b">
        <v>0</v>
      </c>
      <c r="S568" s="139">
        <v>1</v>
      </c>
      <c r="T568" s="139">
        <v>1.7949738464442401E+19</v>
      </c>
    </row>
    <row r="569" spans="3:20">
      <c r="C569" s="24" t="b">
        <v>0</v>
      </c>
      <c r="D569" s="137">
        <v>0</v>
      </c>
      <c r="E569" s="138">
        <v>3</v>
      </c>
      <c r="F569" s="137" t="s">
        <v>75</v>
      </c>
      <c r="G569" s="137"/>
      <c r="H569" s="137">
        <v>1</v>
      </c>
      <c r="I569" s="137">
        <v>0</v>
      </c>
      <c r="J569" s="137">
        <v>19.966699999999999</v>
      </c>
      <c r="K569" s="137" t="s">
        <v>77</v>
      </c>
      <c r="L569" s="137" t="s">
        <v>79</v>
      </c>
      <c r="M569" s="137" t="s">
        <v>80</v>
      </c>
      <c r="N569" s="137" t="b">
        <v>1</v>
      </c>
      <c r="O569" s="137"/>
      <c r="P569" s="137" t="s">
        <v>83</v>
      </c>
      <c r="Q569" s="137" t="s">
        <v>84</v>
      </c>
      <c r="R569" s="137" t="b">
        <v>0</v>
      </c>
      <c r="S569" s="139">
        <v>1</v>
      </c>
      <c r="T569" s="139">
        <v>1.7734883989043599E+19</v>
      </c>
    </row>
    <row r="570" spans="3:20">
      <c r="C570" s="24" t="b">
        <v>0</v>
      </c>
      <c r="D570" s="137">
        <v>0</v>
      </c>
      <c r="E570" s="138">
        <v>3</v>
      </c>
      <c r="F570" s="137" t="s">
        <v>75</v>
      </c>
      <c r="G570" s="137">
        <v>21</v>
      </c>
      <c r="H570" s="137">
        <v>0</v>
      </c>
      <c r="I570" s="137">
        <v>0</v>
      </c>
      <c r="J570" s="137">
        <v>7.25</v>
      </c>
      <c r="K570" s="137" t="s">
        <v>77</v>
      </c>
      <c r="L570" s="137" t="s">
        <v>79</v>
      </c>
      <c r="M570" s="137" t="s">
        <v>80</v>
      </c>
      <c r="N570" s="137" t="b">
        <v>1</v>
      </c>
      <c r="O570" s="137"/>
      <c r="P570" s="137" t="s">
        <v>83</v>
      </c>
      <c r="Q570" s="137" t="s">
        <v>84</v>
      </c>
      <c r="R570" s="137" t="b">
        <v>1</v>
      </c>
      <c r="S570" s="139">
        <v>1</v>
      </c>
      <c r="T570" s="139">
        <v>1.3680147405310501E+19</v>
      </c>
    </row>
    <row r="571" spans="3:20">
      <c r="C571" s="24" t="b">
        <v>0</v>
      </c>
      <c r="D571" s="137">
        <v>0</v>
      </c>
      <c r="E571" s="138">
        <v>1</v>
      </c>
      <c r="F571" s="137" t="s">
        <v>75</v>
      </c>
      <c r="G571" s="137">
        <v>55</v>
      </c>
      <c r="H571" s="137">
        <v>0</v>
      </c>
      <c r="I571" s="137">
        <v>0</v>
      </c>
      <c r="J571" s="137">
        <v>30.5</v>
      </c>
      <c r="K571" s="137" t="s">
        <v>77</v>
      </c>
      <c r="L571" s="137" t="s">
        <v>86</v>
      </c>
      <c r="M571" s="137" t="s">
        <v>80</v>
      </c>
      <c r="N571" s="137" t="b">
        <v>1</v>
      </c>
      <c r="O571" s="137" t="s">
        <v>82</v>
      </c>
      <c r="P571" s="137" t="s">
        <v>83</v>
      </c>
      <c r="Q571" s="137" t="s">
        <v>84</v>
      </c>
      <c r="R571" s="137" t="b">
        <v>1</v>
      </c>
      <c r="S571" s="139">
        <v>0</v>
      </c>
      <c r="T571" s="139">
        <v>8.6392127665824102E+17</v>
      </c>
    </row>
    <row r="572" spans="3:20">
      <c r="C572" s="24" t="b">
        <v>0</v>
      </c>
      <c r="D572" s="137">
        <v>0</v>
      </c>
      <c r="E572" s="138">
        <v>1</v>
      </c>
      <c r="F572" s="137" t="s">
        <v>75</v>
      </c>
      <c r="G572" s="137">
        <v>71</v>
      </c>
      <c r="H572" s="137">
        <v>0</v>
      </c>
      <c r="I572" s="137">
        <v>0</v>
      </c>
      <c r="J572" s="137">
        <v>49.504199999999997</v>
      </c>
      <c r="K572" s="137" t="s">
        <v>82</v>
      </c>
      <c r="L572" s="137" t="s">
        <v>86</v>
      </c>
      <c r="M572" s="137" t="s">
        <v>80</v>
      </c>
      <c r="N572" s="137" t="b">
        <v>1</v>
      </c>
      <c r="O572" s="137"/>
      <c r="P572" s="137" t="s">
        <v>88</v>
      </c>
      <c r="Q572" s="137" t="s">
        <v>84</v>
      </c>
      <c r="R572" s="137" t="b">
        <v>1</v>
      </c>
      <c r="S572" s="139">
        <v>1</v>
      </c>
      <c r="T572" s="139">
        <v>1.31902891143005E+19</v>
      </c>
    </row>
    <row r="573" spans="3:20">
      <c r="C573" s="24" t="b">
        <v>0</v>
      </c>
      <c r="D573" s="137">
        <v>0</v>
      </c>
      <c r="E573" s="138">
        <v>3</v>
      </c>
      <c r="F573" s="137" t="s">
        <v>75</v>
      </c>
      <c r="G573" s="137">
        <v>21</v>
      </c>
      <c r="H573" s="137">
        <v>0</v>
      </c>
      <c r="I573" s="137">
        <v>0</v>
      </c>
      <c r="J573" s="137">
        <v>8.0500000000000007</v>
      </c>
      <c r="K573" s="137" t="s">
        <v>77</v>
      </c>
      <c r="L573" s="137" t="s">
        <v>79</v>
      </c>
      <c r="M573" s="137" t="s">
        <v>80</v>
      </c>
      <c r="N573" s="137" t="b">
        <v>1</v>
      </c>
      <c r="O573" s="137"/>
      <c r="P573" s="137" t="s">
        <v>83</v>
      </c>
      <c r="Q573" s="137" t="s">
        <v>84</v>
      </c>
      <c r="R573" s="137" t="b">
        <v>1</v>
      </c>
      <c r="S573" s="139">
        <v>1</v>
      </c>
      <c r="T573" s="139">
        <v>2.22990516956077E+18</v>
      </c>
    </row>
    <row r="574" spans="3:20">
      <c r="C574" s="24" t="b">
        <v>0</v>
      </c>
      <c r="D574" s="137">
        <v>0</v>
      </c>
      <c r="E574" s="138">
        <v>3</v>
      </c>
      <c r="F574" s="137" t="s">
        <v>75</v>
      </c>
      <c r="G574" s="137"/>
      <c r="H574" s="137">
        <v>0</v>
      </c>
      <c r="I574" s="137">
        <v>0</v>
      </c>
      <c r="J574" s="137">
        <v>14.458299999999999</v>
      </c>
      <c r="K574" s="137" t="s">
        <v>82</v>
      </c>
      <c r="L574" s="137" t="s">
        <v>79</v>
      </c>
      <c r="M574" s="137" t="s">
        <v>80</v>
      </c>
      <c r="N574" s="137" t="b">
        <v>1</v>
      </c>
      <c r="O574" s="137"/>
      <c r="P574" s="137" t="s">
        <v>88</v>
      </c>
      <c r="Q574" s="137" t="s">
        <v>84</v>
      </c>
      <c r="R574" s="137" t="b">
        <v>1</v>
      </c>
      <c r="S574" s="139">
        <v>1</v>
      </c>
      <c r="T574" s="139">
        <v>1.10226686807907E+19</v>
      </c>
    </row>
    <row r="575" spans="3:20">
      <c r="C575" s="24" t="b">
        <v>0</v>
      </c>
      <c r="D575" s="137">
        <v>1</v>
      </c>
      <c r="E575" s="138">
        <v>1</v>
      </c>
      <c r="F575" s="137" t="s">
        <v>85</v>
      </c>
      <c r="G575" s="137">
        <v>54</v>
      </c>
      <c r="H575" s="137">
        <v>1</v>
      </c>
      <c r="I575" s="137">
        <v>0</v>
      </c>
      <c r="J575" s="137">
        <v>78.2667</v>
      </c>
      <c r="K575" s="137" t="s">
        <v>82</v>
      </c>
      <c r="L575" s="137" t="s">
        <v>86</v>
      </c>
      <c r="M575" s="137" t="s">
        <v>87</v>
      </c>
      <c r="N575" s="137" t="b">
        <v>0</v>
      </c>
      <c r="O575" s="137" t="s">
        <v>96</v>
      </c>
      <c r="P575" s="137" t="s">
        <v>88</v>
      </c>
      <c r="Q575" s="137" t="s">
        <v>89</v>
      </c>
      <c r="R575" s="137" t="b">
        <v>0</v>
      </c>
      <c r="S575" s="139">
        <v>0</v>
      </c>
      <c r="T575" s="139">
        <v>1.2040289908988001E+18</v>
      </c>
    </row>
    <row r="576" spans="3:20">
      <c r="C576" s="24" t="b">
        <v>0</v>
      </c>
      <c r="D576" s="137">
        <v>0</v>
      </c>
      <c r="E576" s="138">
        <v>3</v>
      </c>
      <c r="F576" s="137" t="s">
        <v>75</v>
      </c>
      <c r="G576" s="137"/>
      <c r="H576" s="137">
        <v>0</v>
      </c>
      <c r="I576" s="137">
        <v>0</v>
      </c>
      <c r="J576" s="137">
        <v>15.1</v>
      </c>
      <c r="K576" s="137" t="s">
        <v>77</v>
      </c>
      <c r="L576" s="137" t="s">
        <v>79</v>
      </c>
      <c r="M576" s="137" t="s">
        <v>80</v>
      </c>
      <c r="N576" s="137" t="b">
        <v>1</v>
      </c>
      <c r="O576" s="137"/>
      <c r="P576" s="137" t="s">
        <v>83</v>
      </c>
      <c r="Q576" s="137" t="s">
        <v>84</v>
      </c>
      <c r="R576" s="137" t="b">
        <v>1</v>
      </c>
      <c r="S576" s="139">
        <v>1</v>
      </c>
      <c r="T576" s="139">
        <v>8.1315252200938598E+18</v>
      </c>
    </row>
    <row r="577" spans="3:20">
      <c r="C577" s="24" t="b">
        <v>0</v>
      </c>
      <c r="D577" s="137">
        <v>0</v>
      </c>
      <c r="E577" s="138">
        <v>1</v>
      </c>
      <c r="F577" s="137" t="s">
        <v>85</v>
      </c>
      <c r="G577" s="137">
        <v>25</v>
      </c>
      <c r="H577" s="137">
        <v>1</v>
      </c>
      <c r="I577" s="137">
        <v>2</v>
      </c>
      <c r="J577" s="137">
        <v>151.55000000000001</v>
      </c>
      <c r="K577" s="137" t="s">
        <v>77</v>
      </c>
      <c r="L577" s="137" t="s">
        <v>86</v>
      </c>
      <c r="M577" s="137" t="s">
        <v>87</v>
      </c>
      <c r="N577" s="137" t="b">
        <v>0</v>
      </c>
      <c r="O577" s="137" t="s">
        <v>82</v>
      </c>
      <c r="P577" s="137" t="s">
        <v>83</v>
      </c>
      <c r="Q577" s="137" t="s">
        <v>84</v>
      </c>
      <c r="R577" s="137" t="b">
        <v>0</v>
      </c>
      <c r="S577" s="139">
        <v>0</v>
      </c>
      <c r="T577" s="139">
        <v>1.7646736881200501E+19</v>
      </c>
    </row>
    <row r="578" spans="3:20">
      <c r="C578" s="24" t="b">
        <v>0</v>
      </c>
      <c r="D578" s="137">
        <v>0</v>
      </c>
      <c r="E578" s="138">
        <v>3</v>
      </c>
      <c r="F578" s="137" t="s">
        <v>75</v>
      </c>
      <c r="G578" s="137">
        <v>24</v>
      </c>
      <c r="H578" s="137">
        <v>0</v>
      </c>
      <c r="I578" s="137">
        <v>0</v>
      </c>
      <c r="J578" s="137">
        <v>7.7957999999999998</v>
      </c>
      <c r="K578" s="137" t="s">
        <v>77</v>
      </c>
      <c r="L578" s="137" t="s">
        <v>79</v>
      </c>
      <c r="M578" s="137" t="s">
        <v>80</v>
      </c>
      <c r="N578" s="137" t="b">
        <v>1</v>
      </c>
      <c r="O578" s="137"/>
      <c r="P578" s="137" t="s">
        <v>83</v>
      </c>
      <c r="Q578" s="137" t="s">
        <v>84</v>
      </c>
      <c r="R578" s="137" t="b">
        <v>1</v>
      </c>
      <c r="S578" s="139">
        <v>1</v>
      </c>
      <c r="T578" s="139">
        <v>4.8593337227370004E+18</v>
      </c>
    </row>
    <row r="579" spans="3:20">
      <c r="C579" s="24" t="b">
        <v>0</v>
      </c>
      <c r="D579" s="137">
        <v>0</v>
      </c>
      <c r="E579" s="138">
        <v>3</v>
      </c>
      <c r="F579" s="137" t="s">
        <v>75</v>
      </c>
      <c r="G579" s="137">
        <v>17</v>
      </c>
      <c r="H579" s="137">
        <v>0</v>
      </c>
      <c r="I579" s="137">
        <v>0</v>
      </c>
      <c r="J579" s="137">
        <v>8.6624999999999996</v>
      </c>
      <c r="K579" s="137" t="s">
        <v>77</v>
      </c>
      <c r="L579" s="137" t="s">
        <v>79</v>
      </c>
      <c r="M579" s="137" t="s">
        <v>80</v>
      </c>
      <c r="N579" s="137" t="b">
        <v>1</v>
      </c>
      <c r="O579" s="137"/>
      <c r="P579" s="137" t="s">
        <v>83</v>
      </c>
      <c r="Q579" s="137" t="s">
        <v>84</v>
      </c>
      <c r="R579" s="137" t="b">
        <v>1</v>
      </c>
      <c r="S579" s="139">
        <v>1</v>
      </c>
      <c r="T579" s="139">
        <v>3.0286653837999002E+18</v>
      </c>
    </row>
    <row r="580" spans="3:20">
      <c r="C580" s="24" t="b">
        <v>0</v>
      </c>
      <c r="D580" s="137">
        <v>0</v>
      </c>
      <c r="E580" s="138">
        <v>3</v>
      </c>
      <c r="F580" s="137" t="s">
        <v>85</v>
      </c>
      <c r="G580" s="137">
        <v>21</v>
      </c>
      <c r="H580" s="137">
        <v>0</v>
      </c>
      <c r="I580" s="137">
        <v>0</v>
      </c>
      <c r="J580" s="137">
        <v>7.75</v>
      </c>
      <c r="K580" s="137" t="s">
        <v>90</v>
      </c>
      <c r="L580" s="137" t="s">
        <v>79</v>
      </c>
      <c r="M580" s="137" t="s">
        <v>87</v>
      </c>
      <c r="N580" s="137" t="b">
        <v>0</v>
      </c>
      <c r="O580" s="137"/>
      <c r="P580" s="137" t="s">
        <v>91</v>
      </c>
      <c r="Q580" s="137" t="s">
        <v>84</v>
      </c>
      <c r="R580" s="137" t="b">
        <v>1</v>
      </c>
      <c r="S580" s="139">
        <v>1</v>
      </c>
      <c r="T580" s="139">
        <v>1.81316552261092E+19</v>
      </c>
    </row>
    <row r="581" spans="3:20">
      <c r="C581" s="24" t="b">
        <v>0</v>
      </c>
      <c r="D581" s="137">
        <v>0</v>
      </c>
      <c r="E581" s="138">
        <v>3</v>
      </c>
      <c r="F581" s="137" t="s">
        <v>85</v>
      </c>
      <c r="G581" s="137"/>
      <c r="H581" s="137">
        <v>0</v>
      </c>
      <c r="I581" s="137">
        <v>0</v>
      </c>
      <c r="J581" s="137">
        <v>7.6292</v>
      </c>
      <c r="K581" s="137" t="s">
        <v>90</v>
      </c>
      <c r="L581" s="137" t="s">
        <v>79</v>
      </c>
      <c r="M581" s="137" t="s">
        <v>87</v>
      </c>
      <c r="N581" s="137" t="b">
        <v>0</v>
      </c>
      <c r="O581" s="137"/>
      <c r="P581" s="137" t="s">
        <v>91</v>
      </c>
      <c r="Q581" s="137" t="s">
        <v>84</v>
      </c>
      <c r="R581" s="137" t="b">
        <v>1</v>
      </c>
      <c r="S581" s="139">
        <v>1</v>
      </c>
      <c r="T581" s="139">
        <v>9.3389883766792602E+17</v>
      </c>
    </row>
    <row r="582" spans="3:20">
      <c r="C582" s="24" t="b">
        <v>0</v>
      </c>
      <c r="D582" s="137">
        <v>0</v>
      </c>
      <c r="E582" s="138">
        <v>3</v>
      </c>
      <c r="F582" s="137" t="s">
        <v>85</v>
      </c>
      <c r="G582" s="137">
        <v>37</v>
      </c>
      <c r="H582" s="137">
        <v>0</v>
      </c>
      <c r="I582" s="137">
        <v>0</v>
      </c>
      <c r="J582" s="137">
        <v>9.5875000000000004</v>
      </c>
      <c r="K582" s="137" t="s">
        <v>77</v>
      </c>
      <c r="L582" s="137" t="s">
        <v>79</v>
      </c>
      <c r="M582" s="137" t="s">
        <v>87</v>
      </c>
      <c r="N582" s="137" t="b">
        <v>0</v>
      </c>
      <c r="O582" s="137"/>
      <c r="P582" s="137" t="s">
        <v>83</v>
      </c>
      <c r="Q582" s="137" t="s">
        <v>84</v>
      </c>
      <c r="R582" s="137" t="b">
        <v>1</v>
      </c>
      <c r="S582" s="139">
        <v>1</v>
      </c>
      <c r="T582" s="139">
        <v>1.62474599449002E+19</v>
      </c>
    </row>
    <row r="583" spans="3:20">
      <c r="C583" s="24" t="b">
        <v>0</v>
      </c>
      <c r="D583" s="137">
        <v>1</v>
      </c>
      <c r="E583" s="138">
        <v>1</v>
      </c>
      <c r="F583" s="137" t="s">
        <v>85</v>
      </c>
      <c r="G583" s="137">
        <v>16</v>
      </c>
      <c r="H583" s="137">
        <v>0</v>
      </c>
      <c r="I583" s="137">
        <v>0</v>
      </c>
      <c r="J583" s="137">
        <v>86.5</v>
      </c>
      <c r="K583" s="137" t="s">
        <v>77</v>
      </c>
      <c r="L583" s="137" t="s">
        <v>86</v>
      </c>
      <c r="M583" s="137" t="s">
        <v>87</v>
      </c>
      <c r="N583" s="137" t="b">
        <v>0</v>
      </c>
      <c r="O583" s="137" t="s">
        <v>98</v>
      </c>
      <c r="P583" s="137" t="s">
        <v>83</v>
      </c>
      <c r="Q583" s="137" t="s">
        <v>89</v>
      </c>
      <c r="R583" s="137" t="b">
        <v>1</v>
      </c>
      <c r="S583" s="139">
        <v>0</v>
      </c>
      <c r="T583" s="139">
        <v>1.1110947630257701E+19</v>
      </c>
    </row>
    <row r="584" spans="3:20">
      <c r="C584" s="24" t="b">
        <v>0</v>
      </c>
      <c r="D584" s="137">
        <v>0</v>
      </c>
      <c r="E584" s="138">
        <v>1</v>
      </c>
      <c r="F584" s="137" t="s">
        <v>75</v>
      </c>
      <c r="G584" s="137">
        <v>18</v>
      </c>
      <c r="H584" s="137">
        <v>1</v>
      </c>
      <c r="I584" s="137">
        <v>0</v>
      </c>
      <c r="J584" s="137">
        <v>108.9</v>
      </c>
      <c r="K584" s="137" t="s">
        <v>82</v>
      </c>
      <c r="L584" s="137" t="s">
        <v>86</v>
      </c>
      <c r="M584" s="137" t="s">
        <v>80</v>
      </c>
      <c r="N584" s="137" t="b">
        <v>1</v>
      </c>
      <c r="O584" s="137" t="s">
        <v>82</v>
      </c>
      <c r="P584" s="137" t="s">
        <v>88</v>
      </c>
      <c r="Q584" s="137" t="s">
        <v>84</v>
      </c>
      <c r="R584" s="137" t="b">
        <v>0</v>
      </c>
      <c r="S584" s="139">
        <v>0</v>
      </c>
      <c r="T584" s="139">
        <v>7.4536071264534405E+18</v>
      </c>
    </row>
    <row r="585" spans="3:20">
      <c r="C585" s="24" t="b">
        <v>0</v>
      </c>
      <c r="D585" s="137">
        <v>1</v>
      </c>
      <c r="E585" s="138">
        <v>2</v>
      </c>
      <c r="F585" s="137" t="s">
        <v>85</v>
      </c>
      <c r="G585" s="137">
        <v>33</v>
      </c>
      <c r="H585" s="137">
        <v>0</v>
      </c>
      <c r="I585" s="137">
        <v>2</v>
      </c>
      <c r="J585" s="137">
        <v>26</v>
      </c>
      <c r="K585" s="137" t="s">
        <v>77</v>
      </c>
      <c r="L585" s="137" t="s">
        <v>94</v>
      </c>
      <c r="M585" s="137" t="s">
        <v>87</v>
      </c>
      <c r="N585" s="137" t="b">
        <v>0</v>
      </c>
      <c r="O585" s="137"/>
      <c r="P585" s="137" t="s">
        <v>83</v>
      </c>
      <c r="Q585" s="137" t="s">
        <v>89</v>
      </c>
      <c r="R585" s="137" t="b">
        <v>0</v>
      </c>
      <c r="S585" s="139">
        <v>1</v>
      </c>
      <c r="T585" s="139">
        <v>1.3895060505644501E+19</v>
      </c>
    </row>
    <row r="586" spans="3:20">
      <c r="C586" s="24" t="b">
        <v>0</v>
      </c>
      <c r="D586" s="137">
        <v>1</v>
      </c>
      <c r="E586" s="138">
        <v>1</v>
      </c>
      <c r="F586" s="137" t="s">
        <v>75</v>
      </c>
      <c r="G586" s="137"/>
      <c r="H586" s="137">
        <v>0</v>
      </c>
      <c r="I586" s="137">
        <v>0</v>
      </c>
      <c r="J586" s="137">
        <v>26.55</v>
      </c>
      <c r="K586" s="137" t="s">
        <v>77</v>
      </c>
      <c r="L586" s="137" t="s">
        <v>86</v>
      </c>
      <c r="M586" s="137" t="s">
        <v>80</v>
      </c>
      <c r="N586" s="137" t="b">
        <v>1</v>
      </c>
      <c r="O586" s="137"/>
      <c r="P586" s="137" t="s">
        <v>83</v>
      </c>
      <c r="Q586" s="137" t="s">
        <v>89</v>
      </c>
      <c r="R586" s="137" t="b">
        <v>1</v>
      </c>
      <c r="S586" s="139">
        <v>1</v>
      </c>
      <c r="T586" s="139">
        <v>1.5338173310346199E+19</v>
      </c>
    </row>
    <row r="587" spans="3:20">
      <c r="C587" s="24" t="b">
        <v>0</v>
      </c>
      <c r="D587" s="137">
        <v>0</v>
      </c>
      <c r="E587" s="138">
        <v>3</v>
      </c>
      <c r="F587" s="137" t="s">
        <v>75</v>
      </c>
      <c r="G587" s="137">
        <v>28</v>
      </c>
      <c r="H587" s="137">
        <v>0</v>
      </c>
      <c r="I587" s="137">
        <v>0</v>
      </c>
      <c r="J587" s="137">
        <v>22.524999999999999</v>
      </c>
      <c r="K587" s="137" t="s">
        <v>77</v>
      </c>
      <c r="L587" s="137" t="s">
        <v>79</v>
      </c>
      <c r="M587" s="137" t="s">
        <v>80</v>
      </c>
      <c r="N587" s="137" t="b">
        <v>1</v>
      </c>
      <c r="O587" s="137"/>
      <c r="P587" s="137" t="s">
        <v>83</v>
      </c>
      <c r="Q587" s="137" t="s">
        <v>84</v>
      </c>
      <c r="R587" s="137" t="b">
        <v>1</v>
      </c>
      <c r="S587" s="139">
        <v>1</v>
      </c>
      <c r="T587" s="139">
        <v>1.1230566148448899E+19</v>
      </c>
    </row>
    <row r="588" spans="3:20">
      <c r="C588" s="24" t="b">
        <v>0</v>
      </c>
      <c r="D588" s="137">
        <v>1</v>
      </c>
      <c r="E588" s="138">
        <v>3</v>
      </c>
      <c r="F588" s="137" t="s">
        <v>75</v>
      </c>
      <c r="G588" s="137">
        <v>26</v>
      </c>
      <c r="H588" s="137">
        <v>0</v>
      </c>
      <c r="I588" s="137">
        <v>0</v>
      </c>
      <c r="J588" s="137">
        <v>56.495800000000003</v>
      </c>
      <c r="K588" s="137" t="s">
        <v>77</v>
      </c>
      <c r="L588" s="137" t="s">
        <v>79</v>
      </c>
      <c r="M588" s="137" t="s">
        <v>80</v>
      </c>
      <c r="N588" s="137" t="b">
        <v>1</v>
      </c>
      <c r="O588" s="137"/>
      <c r="P588" s="137" t="s">
        <v>83</v>
      </c>
      <c r="Q588" s="137" t="s">
        <v>89</v>
      </c>
      <c r="R588" s="137" t="b">
        <v>1</v>
      </c>
      <c r="S588" s="139">
        <v>1</v>
      </c>
      <c r="T588" s="139">
        <v>2.2989917669579799E+18</v>
      </c>
    </row>
    <row r="589" spans="3:20">
      <c r="C589" s="24" t="b">
        <v>0</v>
      </c>
      <c r="D589" s="137">
        <v>1</v>
      </c>
      <c r="E589" s="138">
        <v>3</v>
      </c>
      <c r="F589" s="137" t="s">
        <v>75</v>
      </c>
      <c r="G589" s="137">
        <v>29</v>
      </c>
      <c r="H589" s="137">
        <v>0</v>
      </c>
      <c r="I589" s="137">
        <v>0</v>
      </c>
      <c r="J589" s="137">
        <v>7.75</v>
      </c>
      <c r="K589" s="137" t="s">
        <v>90</v>
      </c>
      <c r="L589" s="137" t="s">
        <v>79</v>
      </c>
      <c r="M589" s="137" t="s">
        <v>80</v>
      </c>
      <c r="N589" s="137" t="b">
        <v>1</v>
      </c>
      <c r="O589" s="137"/>
      <c r="P589" s="137" t="s">
        <v>91</v>
      </c>
      <c r="Q589" s="137" t="s">
        <v>89</v>
      </c>
      <c r="R589" s="137" t="b">
        <v>1</v>
      </c>
      <c r="S589" s="139">
        <v>1</v>
      </c>
      <c r="T589" s="139">
        <v>3.67693156488834E+18</v>
      </c>
    </row>
    <row r="590" spans="3:20">
      <c r="C590" s="24" t="b">
        <v>0</v>
      </c>
      <c r="D590" s="137">
        <v>0</v>
      </c>
      <c r="E590" s="138">
        <v>3</v>
      </c>
      <c r="F590" s="137" t="s">
        <v>75</v>
      </c>
      <c r="G590" s="137"/>
      <c r="H590" s="137">
        <v>0</v>
      </c>
      <c r="I590" s="137">
        <v>0</v>
      </c>
      <c r="J590" s="137">
        <v>8.0500000000000007</v>
      </c>
      <c r="K590" s="137" t="s">
        <v>77</v>
      </c>
      <c r="L590" s="137" t="s">
        <v>79</v>
      </c>
      <c r="M590" s="137" t="s">
        <v>80</v>
      </c>
      <c r="N590" s="137" t="b">
        <v>1</v>
      </c>
      <c r="O590" s="137"/>
      <c r="P590" s="137" t="s">
        <v>83</v>
      </c>
      <c r="Q590" s="137" t="s">
        <v>84</v>
      </c>
      <c r="R590" s="137" t="b">
        <v>1</v>
      </c>
      <c r="S590" s="139">
        <v>1</v>
      </c>
      <c r="T590" s="139">
        <v>1.0519935439659201E+19</v>
      </c>
    </row>
    <row r="591" spans="3:20">
      <c r="C591" s="24" t="b">
        <v>0</v>
      </c>
      <c r="D591" s="137">
        <v>1</v>
      </c>
      <c r="E591" s="138">
        <v>1</v>
      </c>
      <c r="F591" s="137" t="s">
        <v>75</v>
      </c>
      <c r="G591" s="137">
        <v>36</v>
      </c>
      <c r="H591" s="137">
        <v>0</v>
      </c>
      <c r="I591" s="137">
        <v>0</v>
      </c>
      <c r="J591" s="137">
        <v>26.287500000000001</v>
      </c>
      <c r="K591" s="137" t="s">
        <v>77</v>
      </c>
      <c r="L591" s="137" t="s">
        <v>86</v>
      </c>
      <c r="M591" s="137" t="s">
        <v>80</v>
      </c>
      <c r="N591" s="137" t="b">
        <v>1</v>
      </c>
      <c r="O591" s="137" t="s">
        <v>92</v>
      </c>
      <c r="P591" s="137" t="s">
        <v>83</v>
      </c>
      <c r="Q591" s="137" t="s">
        <v>89</v>
      </c>
      <c r="R591" s="137" t="b">
        <v>1</v>
      </c>
      <c r="S591" s="139">
        <v>0</v>
      </c>
      <c r="T591" s="139">
        <v>1.6302909473385699E+19</v>
      </c>
    </row>
    <row r="592" spans="3:20">
      <c r="C592" s="24" t="b">
        <v>0</v>
      </c>
      <c r="D592" s="137">
        <v>1</v>
      </c>
      <c r="E592" s="138">
        <v>1</v>
      </c>
      <c r="F592" s="137" t="s">
        <v>85</v>
      </c>
      <c r="G592" s="137">
        <v>54</v>
      </c>
      <c r="H592" s="137">
        <v>1</v>
      </c>
      <c r="I592" s="137">
        <v>0</v>
      </c>
      <c r="J592" s="137">
        <v>59.4</v>
      </c>
      <c r="K592" s="137" t="s">
        <v>82</v>
      </c>
      <c r="L592" s="137" t="s">
        <v>86</v>
      </c>
      <c r="M592" s="137" t="s">
        <v>87</v>
      </c>
      <c r="N592" s="137" t="b">
        <v>0</v>
      </c>
      <c r="O592" s="137"/>
      <c r="P592" s="137" t="s">
        <v>88</v>
      </c>
      <c r="Q592" s="137" t="s">
        <v>89</v>
      </c>
      <c r="R592" s="137" t="b">
        <v>0</v>
      </c>
      <c r="S592" s="139">
        <v>1</v>
      </c>
      <c r="T592" s="139">
        <v>7.7342733739101102E+18</v>
      </c>
    </row>
    <row r="593" spans="3:20">
      <c r="C593" s="24" t="b">
        <v>0</v>
      </c>
      <c r="D593" s="137">
        <v>0</v>
      </c>
      <c r="E593" s="138">
        <v>3</v>
      </c>
      <c r="F593" s="137" t="s">
        <v>75</v>
      </c>
      <c r="G593" s="137">
        <v>24</v>
      </c>
      <c r="H593" s="137">
        <v>0</v>
      </c>
      <c r="I593" s="137">
        <v>0</v>
      </c>
      <c r="J593" s="137">
        <v>7.4958</v>
      </c>
      <c r="K593" s="137" t="s">
        <v>77</v>
      </c>
      <c r="L593" s="137" t="s">
        <v>79</v>
      </c>
      <c r="M593" s="137" t="s">
        <v>80</v>
      </c>
      <c r="N593" s="137" t="b">
        <v>1</v>
      </c>
      <c r="O593" s="137"/>
      <c r="P593" s="137" t="s">
        <v>83</v>
      </c>
      <c r="Q593" s="137" t="s">
        <v>84</v>
      </c>
      <c r="R593" s="137" t="b">
        <v>1</v>
      </c>
      <c r="S593" s="139">
        <v>1</v>
      </c>
      <c r="T593" s="139">
        <v>7.15824916298543E+18</v>
      </c>
    </row>
    <row r="594" spans="3:20">
      <c r="C594" s="24" t="b">
        <v>0</v>
      </c>
      <c r="D594" s="137">
        <v>0</v>
      </c>
      <c r="E594" s="138">
        <v>1</v>
      </c>
      <c r="F594" s="137" t="s">
        <v>75</v>
      </c>
      <c r="G594" s="137">
        <v>47</v>
      </c>
      <c r="H594" s="137">
        <v>0</v>
      </c>
      <c r="I594" s="137">
        <v>0</v>
      </c>
      <c r="J594" s="137">
        <v>34.020800000000001</v>
      </c>
      <c r="K594" s="137" t="s">
        <v>77</v>
      </c>
      <c r="L594" s="137" t="s">
        <v>86</v>
      </c>
      <c r="M594" s="137" t="s">
        <v>80</v>
      </c>
      <c r="N594" s="137" t="b">
        <v>1</v>
      </c>
      <c r="O594" s="137" t="s">
        <v>96</v>
      </c>
      <c r="P594" s="137" t="s">
        <v>83</v>
      </c>
      <c r="Q594" s="137" t="s">
        <v>84</v>
      </c>
      <c r="R594" s="137" t="b">
        <v>1</v>
      </c>
      <c r="S594" s="139">
        <v>0</v>
      </c>
      <c r="T594" s="139">
        <v>1.34304316181777E+19</v>
      </c>
    </row>
    <row r="595" spans="3:20">
      <c r="C595" s="24" t="b">
        <v>0</v>
      </c>
      <c r="D595" s="137">
        <v>1</v>
      </c>
      <c r="E595" s="138">
        <v>2</v>
      </c>
      <c r="F595" s="137" t="s">
        <v>85</v>
      </c>
      <c r="G595" s="137">
        <v>34</v>
      </c>
      <c r="H595" s="137">
        <v>0</v>
      </c>
      <c r="I595" s="137">
        <v>0</v>
      </c>
      <c r="J595" s="137">
        <v>10.5</v>
      </c>
      <c r="K595" s="137" t="s">
        <v>77</v>
      </c>
      <c r="L595" s="137" t="s">
        <v>94</v>
      </c>
      <c r="M595" s="137" t="s">
        <v>87</v>
      </c>
      <c r="N595" s="137" t="b">
        <v>0</v>
      </c>
      <c r="O595" s="137" t="s">
        <v>99</v>
      </c>
      <c r="P595" s="137" t="s">
        <v>83</v>
      </c>
      <c r="Q595" s="137" t="s">
        <v>89</v>
      </c>
      <c r="R595" s="137" t="b">
        <v>1</v>
      </c>
      <c r="S595" s="139">
        <v>0</v>
      </c>
      <c r="T595" s="139">
        <v>7.2424747454517606E+17</v>
      </c>
    </row>
    <row r="596" spans="3:20">
      <c r="C596" s="24" t="b">
        <v>0</v>
      </c>
      <c r="D596" s="137">
        <v>0</v>
      </c>
      <c r="E596" s="138">
        <v>3</v>
      </c>
      <c r="F596" s="137" t="s">
        <v>75</v>
      </c>
      <c r="G596" s="137"/>
      <c r="H596" s="137">
        <v>0</v>
      </c>
      <c r="I596" s="137">
        <v>0</v>
      </c>
      <c r="J596" s="137">
        <v>24.15</v>
      </c>
      <c r="K596" s="137" t="s">
        <v>90</v>
      </c>
      <c r="L596" s="137" t="s">
        <v>79</v>
      </c>
      <c r="M596" s="137" t="s">
        <v>80</v>
      </c>
      <c r="N596" s="137" t="b">
        <v>1</v>
      </c>
      <c r="O596" s="137"/>
      <c r="P596" s="137" t="s">
        <v>91</v>
      </c>
      <c r="Q596" s="137" t="s">
        <v>84</v>
      </c>
      <c r="R596" s="137" t="b">
        <v>1</v>
      </c>
      <c r="S596" s="139">
        <v>1</v>
      </c>
      <c r="T596" s="139">
        <v>1.5176460394415901E+19</v>
      </c>
    </row>
    <row r="597" spans="3:20">
      <c r="C597" s="24" t="b">
        <v>0</v>
      </c>
      <c r="D597" s="137">
        <v>1</v>
      </c>
      <c r="E597" s="138">
        <v>2</v>
      </c>
      <c r="F597" s="137" t="s">
        <v>85</v>
      </c>
      <c r="G597" s="137">
        <v>36</v>
      </c>
      <c r="H597" s="137">
        <v>1</v>
      </c>
      <c r="I597" s="137">
        <v>0</v>
      </c>
      <c r="J597" s="137">
        <v>26</v>
      </c>
      <c r="K597" s="137" t="s">
        <v>77</v>
      </c>
      <c r="L597" s="137" t="s">
        <v>94</v>
      </c>
      <c r="M597" s="137" t="s">
        <v>87</v>
      </c>
      <c r="N597" s="137" t="b">
        <v>0</v>
      </c>
      <c r="O597" s="137"/>
      <c r="P597" s="137" t="s">
        <v>83</v>
      </c>
      <c r="Q597" s="137" t="s">
        <v>89</v>
      </c>
      <c r="R597" s="137" t="b">
        <v>0</v>
      </c>
      <c r="S597" s="139">
        <v>1</v>
      </c>
      <c r="T597" s="139">
        <v>1.59541849323624E+19</v>
      </c>
    </row>
    <row r="598" spans="3:20">
      <c r="C598" s="24" t="b">
        <v>0</v>
      </c>
      <c r="D598" s="137">
        <v>0</v>
      </c>
      <c r="E598" s="138">
        <v>3</v>
      </c>
      <c r="F598" s="137" t="s">
        <v>75</v>
      </c>
      <c r="G598" s="137">
        <v>32</v>
      </c>
      <c r="H598" s="137">
        <v>0</v>
      </c>
      <c r="I598" s="137">
        <v>0</v>
      </c>
      <c r="J598" s="137">
        <v>7.8958000000000004</v>
      </c>
      <c r="K598" s="137" t="s">
        <v>77</v>
      </c>
      <c r="L598" s="137" t="s">
        <v>79</v>
      </c>
      <c r="M598" s="137" t="s">
        <v>80</v>
      </c>
      <c r="N598" s="137" t="b">
        <v>1</v>
      </c>
      <c r="O598" s="137"/>
      <c r="P598" s="137" t="s">
        <v>83</v>
      </c>
      <c r="Q598" s="137" t="s">
        <v>84</v>
      </c>
      <c r="R598" s="137" t="b">
        <v>1</v>
      </c>
      <c r="S598" s="139">
        <v>1</v>
      </c>
      <c r="T598" s="139">
        <v>1.1630352807342E+19</v>
      </c>
    </row>
    <row r="599" spans="3:20">
      <c r="C599" s="24" t="b">
        <v>0</v>
      </c>
      <c r="D599" s="137">
        <v>1</v>
      </c>
      <c r="E599" s="138">
        <v>1</v>
      </c>
      <c r="F599" s="137" t="s">
        <v>85</v>
      </c>
      <c r="G599" s="137">
        <v>30</v>
      </c>
      <c r="H599" s="137">
        <v>0</v>
      </c>
      <c r="I599" s="137">
        <v>0</v>
      </c>
      <c r="J599" s="137">
        <v>93.5</v>
      </c>
      <c r="K599" s="137" t="s">
        <v>77</v>
      </c>
      <c r="L599" s="137" t="s">
        <v>86</v>
      </c>
      <c r="M599" s="137" t="s">
        <v>87</v>
      </c>
      <c r="N599" s="137" t="b">
        <v>0</v>
      </c>
      <c r="O599" s="137" t="s">
        <v>98</v>
      </c>
      <c r="P599" s="137" t="s">
        <v>83</v>
      </c>
      <c r="Q599" s="137" t="s">
        <v>89</v>
      </c>
      <c r="R599" s="137" t="b">
        <v>1</v>
      </c>
      <c r="S599" s="139">
        <v>0</v>
      </c>
      <c r="T599" s="139">
        <v>6.2701657654997699E+18</v>
      </c>
    </row>
    <row r="600" spans="3:20">
      <c r="C600" s="24" t="b">
        <v>0</v>
      </c>
      <c r="D600" s="137">
        <v>0</v>
      </c>
      <c r="E600" s="138">
        <v>3</v>
      </c>
      <c r="F600" s="137" t="s">
        <v>75</v>
      </c>
      <c r="G600" s="137">
        <v>22</v>
      </c>
      <c r="H600" s="137">
        <v>0</v>
      </c>
      <c r="I600" s="137">
        <v>0</v>
      </c>
      <c r="J600" s="137">
        <v>7.8958000000000004</v>
      </c>
      <c r="K600" s="137" t="s">
        <v>77</v>
      </c>
      <c r="L600" s="137" t="s">
        <v>79</v>
      </c>
      <c r="M600" s="137" t="s">
        <v>80</v>
      </c>
      <c r="N600" s="137" t="b">
        <v>1</v>
      </c>
      <c r="O600" s="137"/>
      <c r="P600" s="137" t="s">
        <v>83</v>
      </c>
      <c r="Q600" s="137" t="s">
        <v>84</v>
      </c>
      <c r="R600" s="137" t="b">
        <v>1</v>
      </c>
      <c r="S600" s="139">
        <v>1</v>
      </c>
      <c r="T600" s="139">
        <v>1.18144678467071E+19</v>
      </c>
    </row>
    <row r="601" spans="3:20">
      <c r="C601" s="24" t="b">
        <v>0</v>
      </c>
      <c r="D601" s="137">
        <v>0</v>
      </c>
      <c r="E601" s="138">
        <v>3</v>
      </c>
      <c r="F601" s="137" t="s">
        <v>75</v>
      </c>
      <c r="G601" s="137"/>
      <c r="H601" s="137">
        <v>0</v>
      </c>
      <c r="I601" s="137">
        <v>0</v>
      </c>
      <c r="J601" s="137">
        <v>7.2249999999999996</v>
      </c>
      <c r="K601" s="137" t="s">
        <v>82</v>
      </c>
      <c r="L601" s="137" t="s">
        <v>79</v>
      </c>
      <c r="M601" s="137" t="s">
        <v>80</v>
      </c>
      <c r="N601" s="137" t="b">
        <v>1</v>
      </c>
      <c r="O601" s="137"/>
      <c r="P601" s="137" t="s">
        <v>88</v>
      </c>
      <c r="Q601" s="137" t="s">
        <v>84</v>
      </c>
      <c r="R601" s="137" t="b">
        <v>1</v>
      </c>
      <c r="S601" s="139">
        <v>1</v>
      </c>
      <c r="T601" s="139">
        <v>5.4729232098319995E+18</v>
      </c>
    </row>
    <row r="602" spans="3:20">
      <c r="C602" s="24" t="b">
        <v>0</v>
      </c>
      <c r="D602" s="137">
        <v>1</v>
      </c>
      <c r="E602" s="138">
        <v>1</v>
      </c>
      <c r="F602" s="137" t="s">
        <v>85</v>
      </c>
      <c r="G602" s="137">
        <v>44</v>
      </c>
      <c r="H602" s="137">
        <v>0</v>
      </c>
      <c r="I602" s="137">
        <v>1</v>
      </c>
      <c r="J602" s="137">
        <v>57.979199999999999</v>
      </c>
      <c r="K602" s="137" t="s">
        <v>82</v>
      </c>
      <c r="L602" s="137" t="s">
        <v>86</v>
      </c>
      <c r="M602" s="137" t="s">
        <v>87</v>
      </c>
      <c r="N602" s="137" t="b">
        <v>0</v>
      </c>
      <c r="O602" s="137" t="s">
        <v>98</v>
      </c>
      <c r="P602" s="137" t="s">
        <v>88</v>
      </c>
      <c r="Q602" s="137" t="s">
        <v>89</v>
      </c>
      <c r="R602" s="137" t="b">
        <v>0</v>
      </c>
      <c r="S602" s="139">
        <v>0</v>
      </c>
      <c r="T602" s="139">
        <v>9.77788159197969E+18</v>
      </c>
    </row>
    <row r="603" spans="3:20">
      <c r="C603" s="24" t="b">
        <v>0</v>
      </c>
      <c r="D603" s="137">
        <v>0</v>
      </c>
      <c r="E603" s="138">
        <v>3</v>
      </c>
      <c r="F603" s="137" t="s">
        <v>75</v>
      </c>
      <c r="G603" s="137"/>
      <c r="H603" s="137">
        <v>0</v>
      </c>
      <c r="I603" s="137">
        <v>0</v>
      </c>
      <c r="J603" s="137">
        <v>7.2291999999999996</v>
      </c>
      <c r="K603" s="137" t="s">
        <v>82</v>
      </c>
      <c r="L603" s="137" t="s">
        <v>79</v>
      </c>
      <c r="M603" s="137" t="s">
        <v>80</v>
      </c>
      <c r="N603" s="137" t="b">
        <v>1</v>
      </c>
      <c r="O603" s="137"/>
      <c r="P603" s="137" t="s">
        <v>88</v>
      </c>
      <c r="Q603" s="137" t="s">
        <v>84</v>
      </c>
      <c r="R603" s="137" t="b">
        <v>1</v>
      </c>
      <c r="S603" s="139">
        <v>1</v>
      </c>
      <c r="T603" s="139">
        <v>1.2150606124307599E+19</v>
      </c>
    </row>
    <row r="604" spans="3:20">
      <c r="C604" s="24" t="b">
        <v>0</v>
      </c>
      <c r="D604" s="137">
        <v>0</v>
      </c>
      <c r="E604" s="138">
        <v>3</v>
      </c>
      <c r="F604" s="137" t="s">
        <v>75</v>
      </c>
      <c r="G604" s="137">
        <v>40.5</v>
      </c>
      <c r="H604" s="137">
        <v>0</v>
      </c>
      <c r="I604" s="137">
        <v>0</v>
      </c>
      <c r="J604" s="137">
        <v>7.75</v>
      </c>
      <c r="K604" s="137" t="s">
        <v>90</v>
      </c>
      <c r="L604" s="137" t="s">
        <v>79</v>
      </c>
      <c r="M604" s="137" t="s">
        <v>80</v>
      </c>
      <c r="N604" s="137" t="b">
        <v>1</v>
      </c>
      <c r="O604" s="137"/>
      <c r="P604" s="137" t="s">
        <v>91</v>
      </c>
      <c r="Q604" s="137" t="s">
        <v>84</v>
      </c>
      <c r="R604" s="137" t="b">
        <v>1</v>
      </c>
      <c r="S604" s="139">
        <v>1</v>
      </c>
      <c r="T604" s="139">
        <v>7.4314564871655803E+18</v>
      </c>
    </row>
    <row r="605" spans="3:20">
      <c r="C605" s="24" t="b">
        <v>0</v>
      </c>
      <c r="D605" s="137">
        <v>1</v>
      </c>
      <c r="E605" s="138">
        <v>2</v>
      </c>
      <c r="F605" s="137" t="s">
        <v>85</v>
      </c>
      <c r="G605" s="137">
        <v>50</v>
      </c>
      <c r="H605" s="137">
        <v>0</v>
      </c>
      <c r="I605" s="137">
        <v>0</v>
      </c>
      <c r="J605" s="137">
        <v>10.5</v>
      </c>
      <c r="K605" s="137" t="s">
        <v>77</v>
      </c>
      <c r="L605" s="137" t="s">
        <v>94</v>
      </c>
      <c r="M605" s="137" t="s">
        <v>87</v>
      </c>
      <c r="N605" s="137" t="b">
        <v>0</v>
      </c>
      <c r="O605" s="137"/>
      <c r="P605" s="137" t="s">
        <v>83</v>
      </c>
      <c r="Q605" s="137" t="s">
        <v>89</v>
      </c>
      <c r="R605" s="137" t="b">
        <v>1</v>
      </c>
      <c r="S605" s="139">
        <v>1</v>
      </c>
      <c r="T605" s="139">
        <v>1.5008703859524801E+19</v>
      </c>
    </row>
    <row r="606" spans="3:20">
      <c r="C606" s="24" t="b">
        <v>0</v>
      </c>
      <c r="D606" s="137">
        <v>0</v>
      </c>
      <c r="E606" s="138">
        <v>1</v>
      </c>
      <c r="F606" s="137" t="s">
        <v>75</v>
      </c>
      <c r="G606" s="137"/>
      <c r="H606" s="137">
        <v>0</v>
      </c>
      <c r="I606" s="137">
        <v>0</v>
      </c>
      <c r="J606" s="137">
        <v>221.7792</v>
      </c>
      <c r="K606" s="137" t="s">
        <v>77</v>
      </c>
      <c r="L606" s="137" t="s">
        <v>86</v>
      </c>
      <c r="M606" s="137" t="s">
        <v>80</v>
      </c>
      <c r="N606" s="137" t="b">
        <v>1</v>
      </c>
      <c r="O606" s="137" t="s">
        <v>82</v>
      </c>
      <c r="P606" s="137" t="s">
        <v>83</v>
      </c>
      <c r="Q606" s="137" t="s">
        <v>84</v>
      </c>
      <c r="R606" s="137" t="b">
        <v>1</v>
      </c>
      <c r="S606" s="139">
        <v>1</v>
      </c>
      <c r="T606" s="139">
        <v>4.9695325362268099E+18</v>
      </c>
    </row>
    <row r="607" spans="3:20">
      <c r="C607" s="24" t="b">
        <v>0</v>
      </c>
      <c r="D607" s="137">
        <v>0</v>
      </c>
      <c r="E607" s="138">
        <v>3</v>
      </c>
      <c r="F607" s="137" t="s">
        <v>75</v>
      </c>
      <c r="G607" s="137">
        <v>39</v>
      </c>
      <c r="H607" s="137">
        <v>0</v>
      </c>
      <c r="I607" s="137">
        <v>0</v>
      </c>
      <c r="J607" s="137">
        <v>7.9249999999999998</v>
      </c>
      <c r="K607" s="137" t="s">
        <v>77</v>
      </c>
      <c r="L607" s="137" t="s">
        <v>79</v>
      </c>
      <c r="M607" s="137" t="s">
        <v>80</v>
      </c>
      <c r="N607" s="137" t="b">
        <v>1</v>
      </c>
      <c r="O607" s="137"/>
      <c r="P607" s="137" t="s">
        <v>83</v>
      </c>
      <c r="Q607" s="137" t="s">
        <v>84</v>
      </c>
      <c r="R607" s="137" t="b">
        <v>1</v>
      </c>
      <c r="S607" s="139">
        <v>1</v>
      </c>
      <c r="T607" s="139">
        <v>8.5009071541856896E+17</v>
      </c>
    </row>
    <row r="608" spans="3:20">
      <c r="C608" s="24" t="b">
        <v>0</v>
      </c>
      <c r="D608" s="137">
        <v>0</v>
      </c>
      <c r="E608" s="138">
        <v>2</v>
      </c>
      <c r="F608" s="137" t="s">
        <v>75</v>
      </c>
      <c r="G608" s="137">
        <v>23</v>
      </c>
      <c r="H608" s="137">
        <v>2</v>
      </c>
      <c r="I608" s="137">
        <v>1</v>
      </c>
      <c r="J608" s="137">
        <v>11.5</v>
      </c>
      <c r="K608" s="137" t="s">
        <v>77</v>
      </c>
      <c r="L608" s="137" t="s">
        <v>94</v>
      </c>
      <c r="M608" s="137" t="s">
        <v>80</v>
      </c>
      <c r="N608" s="137" t="b">
        <v>1</v>
      </c>
      <c r="O608" s="137"/>
      <c r="P608" s="137" t="s">
        <v>83</v>
      </c>
      <c r="Q608" s="137" t="s">
        <v>84</v>
      </c>
      <c r="R608" s="137" t="b">
        <v>0</v>
      </c>
      <c r="S608" s="139">
        <v>1</v>
      </c>
      <c r="T608" s="139">
        <v>7.8286470087745495E+18</v>
      </c>
    </row>
    <row r="609" spans="3:20">
      <c r="C609" s="24" t="b">
        <v>0</v>
      </c>
      <c r="D609" s="137">
        <v>1</v>
      </c>
      <c r="E609" s="138">
        <v>2</v>
      </c>
      <c r="F609" s="137" t="s">
        <v>85</v>
      </c>
      <c r="G609" s="137">
        <v>2</v>
      </c>
      <c r="H609" s="137">
        <v>1</v>
      </c>
      <c r="I609" s="137">
        <v>1</v>
      </c>
      <c r="J609" s="137">
        <v>26</v>
      </c>
      <c r="K609" s="137" t="s">
        <v>77</v>
      </c>
      <c r="L609" s="137" t="s">
        <v>94</v>
      </c>
      <c r="M609" s="137" t="s">
        <v>93</v>
      </c>
      <c r="N609" s="137" t="b">
        <v>0</v>
      </c>
      <c r="O609" s="137"/>
      <c r="P609" s="137" t="s">
        <v>83</v>
      </c>
      <c r="Q609" s="137" t="s">
        <v>89</v>
      </c>
      <c r="R609" s="137" t="b">
        <v>0</v>
      </c>
      <c r="S609" s="139">
        <v>1</v>
      </c>
      <c r="T609" s="139">
        <v>3.2820003550766899E+18</v>
      </c>
    </row>
    <row r="610" spans="3:20">
      <c r="C610" s="24" t="b">
        <v>0</v>
      </c>
      <c r="D610" s="137">
        <v>0</v>
      </c>
      <c r="E610" s="138">
        <v>3</v>
      </c>
      <c r="F610" s="137" t="s">
        <v>75</v>
      </c>
      <c r="G610" s="137"/>
      <c r="H610" s="137">
        <v>0</v>
      </c>
      <c r="I610" s="137">
        <v>0</v>
      </c>
      <c r="J610" s="137">
        <v>7.2291999999999996</v>
      </c>
      <c r="K610" s="137" t="s">
        <v>82</v>
      </c>
      <c r="L610" s="137" t="s">
        <v>79</v>
      </c>
      <c r="M610" s="137" t="s">
        <v>80</v>
      </c>
      <c r="N610" s="137" t="b">
        <v>1</v>
      </c>
      <c r="O610" s="137"/>
      <c r="P610" s="137" t="s">
        <v>88</v>
      </c>
      <c r="Q610" s="137" t="s">
        <v>84</v>
      </c>
      <c r="R610" s="137" t="b">
        <v>1</v>
      </c>
      <c r="S610" s="139">
        <v>1</v>
      </c>
      <c r="T610" s="139">
        <v>1.2150606124307599E+19</v>
      </c>
    </row>
    <row r="611" spans="3:20">
      <c r="C611" s="24" t="b">
        <v>0</v>
      </c>
      <c r="D611" s="137">
        <v>0</v>
      </c>
      <c r="E611" s="138">
        <v>3</v>
      </c>
      <c r="F611" s="137" t="s">
        <v>75</v>
      </c>
      <c r="G611" s="137">
        <v>17</v>
      </c>
      <c r="H611" s="137">
        <v>1</v>
      </c>
      <c r="I611" s="137">
        <v>1</v>
      </c>
      <c r="J611" s="137">
        <v>7.2291999999999996</v>
      </c>
      <c r="K611" s="137" t="s">
        <v>82</v>
      </c>
      <c r="L611" s="137" t="s">
        <v>79</v>
      </c>
      <c r="M611" s="137" t="s">
        <v>80</v>
      </c>
      <c r="N611" s="137" t="b">
        <v>1</v>
      </c>
      <c r="O611" s="137"/>
      <c r="P611" s="137" t="s">
        <v>88</v>
      </c>
      <c r="Q611" s="137" t="s">
        <v>84</v>
      </c>
      <c r="R611" s="137" t="b">
        <v>0</v>
      </c>
      <c r="S611" s="139">
        <v>1</v>
      </c>
      <c r="T611" s="139">
        <v>2.1567449476142799E+18</v>
      </c>
    </row>
    <row r="612" spans="3:20">
      <c r="C612" s="24" t="b">
        <v>0</v>
      </c>
      <c r="D612" s="137">
        <v>1</v>
      </c>
      <c r="E612" s="138">
        <v>3</v>
      </c>
      <c r="F612" s="137" t="s">
        <v>85</v>
      </c>
      <c r="G612" s="137"/>
      <c r="H612" s="137">
        <v>0</v>
      </c>
      <c r="I612" s="137">
        <v>2</v>
      </c>
      <c r="J612" s="137">
        <v>22.3583</v>
      </c>
      <c r="K612" s="137" t="s">
        <v>82</v>
      </c>
      <c r="L612" s="137" t="s">
        <v>79</v>
      </c>
      <c r="M612" s="137" t="s">
        <v>87</v>
      </c>
      <c r="N612" s="137" t="b">
        <v>0</v>
      </c>
      <c r="O612" s="137"/>
      <c r="P612" s="137" t="s">
        <v>88</v>
      </c>
      <c r="Q612" s="137" t="s">
        <v>89</v>
      </c>
      <c r="R612" s="137" t="b">
        <v>0</v>
      </c>
      <c r="S612" s="139">
        <v>1</v>
      </c>
      <c r="T612" s="139">
        <v>1.03857933397235E+18</v>
      </c>
    </row>
    <row r="613" spans="3:20">
      <c r="C613" s="24" t="b">
        <v>0</v>
      </c>
      <c r="D613" s="137">
        <v>0</v>
      </c>
      <c r="E613" s="138">
        <v>3</v>
      </c>
      <c r="F613" s="137" t="s">
        <v>85</v>
      </c>
      <c r="G613" s="137">
        <v>30</v>
      </c>
      <c r="H613" s="137">
        <v>0</v>
      </c>
      <c r="I613" s="137">
        <v>0</v>
      </c>
      <c r="J613" s="137">
        <v>8.6624999999999996</v>
      </c>
      <c r="K613" s="137" t="s">
        <v>77</v>
      </c>
      <c r="L613" s="137" t="s">
        <v>79</v>
      </c>
      <c r="M613" s="137" t="s">
        <v>87</v>
      </c>
      <c r="N613" s="137" t="b">
        <v>0</v>
      </c>
      <c r="O613" s="137"/>
      <c r="P613" s="137" t="s">
        <v>83</v>
      </c>
      <c r="Q613" s="137" t="s">
        <v>84</v>
      </c>
      <c r="R613" s="137" t="b">
        <v>1</v>
      </c>
      <c r="S613" s="139">
        <v>1</v>
      </c>
      <c r="T613" s="139">
        <v>3.3189871966582098E+18</v>
      </c>
    </row>
    <row r="614" spans="3:20">
      <c r="C614" s="24" t="b">
        <v>0</v>
      </c>
      <c r="D614" s="137">
        <v>1</v>
      </c>
      <c r="E614" s="138">
        <v>2</v>
      </c>
      <c r="F614" s="137" t="s">
        <v>85</v>
      </c>
      <c r="G614" s="137">
        <v>7</v>
      </c>
      <c r="H614" s="137">
        <v>0</v>
      </c>
      <c r="I614" s="137">
        <v>2</v>
      </c>
      <c r="J614" s="137">
        <v>26.25</v>
      </c>
      <c r="K614" s="137" t="s">
        <v>77</v>
      </c>
      <c r="L614" s="137" t="s">
        <v>94</v>
      </c>
      <c r="M614" s="137" t="s">
        <v>93</v>
      </c>
      <c r="N614" s="137" t="b">
        <v>0</v>
      </c>
      <c r="O614" s="137"/>
      <c r="P614" s="137" t="s">
        <v>83</v>
      </c>
      <c r="Q614" s="137" t="s">
        <v>89</v>
      </c>
      <c r="R614" s="137" t="b">
        <v>0</v>
      </c>
      <c r="S614" s="139">
        <v>1</v>
      </c>
      <c r="T614" s="139">
        <v>1.9487074225960699E+18</v>
      </c>
    </row>
    <row r="615" spans="3:20">
      <c r="C615" s="24" t="b">
        <v>0</v>
      </c>
      <c r="D615" s="137">
        <v>0</v>
      </c>
      <c r="E615" s="138">
        <v>1</v>
      </c>
      <c r="F615" s="137" t="s">
        <v>75</v>
      </c>
      <c r="G615" s="137">
        <v>45</v>
      </c>
      <c r="H615" s="137">
        <v>0</v>
      </c>
      <c r="I615" s="137">
        <v>0</v>
      </c>
      <c r="J615" s="137">
        <v>26.55</v>
      </c>
      <c r="K615" s="137" t="s">
        <v>77</v>
      </c>
      <c r="L615" s="137" t="s">
        <v>86</v>
      </c>
      <c r="M615" s="137" t="s">
        <v>80</v>
      </c>
      <c r="N615" s="137" t="b">
        <v>1</v>
      </c>
      <c r="O615" s="137" t="s">
        <v>98</v>
      </c>
      <c r="P615" s="137" t="s">
        <v>83</v>
      </c>
      <c r="Q615" s="137" t="s">
        <v>84</v>
      </c>
      <c r="R615" s="137" t="b">
        <v>1</v>
      </c>
      <c r="S615" s="139">
        <v>0</v>
      </c>
      <c r="T615" s="139">
        <v>1.05141914308334E+19</v>
      </c>
    </row>
    <row r="616" spans="3:20">
      <c r="C616" s="24" t="b">
        <v>0</v>
      </c>
      <c r="D616" s="137">
        <v>1</v>
      </c>
      <c r="E616" s="138">
        <v>1</v>
      </c>
      <c r="F616" s="137" t="s">
        <v>85</v>
      </c>
      <c r="G616" s="137">
        <v>30</v>
      </c>
      <c r="H616" s="137">
        <v>0</v>
      </c>
      <c r="I616" s="137">
        <v>0</v>
      </c>
      <c r="J616" s="137">
        <v>106.425</v>
      </c>
      <c r="K616" s="137" t="s">
        <v>82</v>
      </c>
      <c r="L616" s="137" t="s">
        <v>86</v>
      </c>
      <c r="M616" s="137" t="s">
        <v>87</v>
      </c>
      <c r="N616" s="137" t="b">
        <v>0</v>
      </c>
      <c r="O616" s="137"/>
      <c r="P616" s="137" t="s">
        <v>88</v>
      </c>
      <c r="Q616" s="137" t="s">
        <v>89</v>
      </c>
      <c r="R616" s="137" t="b">
        <v>1</v>
      </c>
      <c r="S616" s="139">
        <v>1</v>
      </c>
      <c r="T616" s="139">
        <v>1.1264034739526799E+18</v>
      </c>
    </row>
    <row r="617" spans="3:20">
      <c r="C617" s="24" t="b">
        <v>0</v>
      </c>
      <c r="D617" s="137">
        <v>0</v>
      </c>
      <c r="E617" s="138">
        <v>3</v>
      </c>
      <c r="F617" s="137" t="s">
        <v>75</v>
      </c>
      <c r="G617" s="137"/>
      <c r="H617" s="137">
        <v>0</v>
      </c>
      <c r="I617" s="137">
        <v>0</v>
      </c>
      <c r="J617" s="137">
        <v>14.5</v>
      </c>
      <c r="K617" s="137" t="s">
        <v>77</v>
      </c>
      <c r="L617" s="137" t="s">
        <v>79</v>
      </c>
      <c r="M617" s="137" t="s">
        <v>80</v>
      </c>
      <c r="N617" s="137" t="b">
        <v>1</v>
      </c>
      <c r="O617" s="137"/>
      <c r="P617" s="137" t="s">
        <v>83</v>
      </c>
      <c r="Q617" s="137" t="s">
        <v>84</v>
      </c>
      <c r="R617" s="137" t="b">
        <v>1</v>
      </c>
      <c r="S617" s="139">
        <v>1</v>
      </c>
      <c r="T617" s="139">
        <v>1.49344061587387E+19</v>
      </c>
    </row>
    <row r="618" spans="3:20">
      <c r="C618" s="24" t="b">
        <v>0</v>
      </c>
      <c r="D618" s="137">
        <v>1</v>
      </c>
      <c r="E618" s="138">
        <v>1</v>
      </c>
      <c r="F618" s="137" t="s">
        <v>85</v>
      </c>
      <c r="G618" s="137">
        <v>22</v>
      </c>
      <c r="H618" s="137">
        <v>0</v>
      </c>
      <c r="I618" s="137">
        <v>2</v>
      </c>
      <c r="J618" s="137">
        <v>49.5</v>
      </c>
      <c r="K618" s="137" t="s">
        <v>82</v>
      </c>
      <c r="L618" s="137" t="s">
        <v>86</v>
      </c>
      <c r="M618" s="137" t="s">
        <v>87</v>
      </c>
      <c r="N618" s="137" t="b">
        <v>0</v>
      </c>
      <c r="O618" s="137" t="s">
        <v>98</v>
      </c>
      <c r="P618" s="137" t="s">
        <v>88</v>
      </c>
      <c r="Q618" s="137" t="s">
        <v>89</v>
      </c>
      <c r="R618" s="137" t="b">
        <v>0</v>
      </c>
      <c r="S618" s="139">
        <v>0</v>
      </c>
      <c r="T618" s="139">
        <v>1.0216808816970701E+17</v>
      </c>
    </row>
    <row r="619" spans="3:20">
      <c r="C619" s="24" t="b">
        <v>0</v>
      </c>
      <c r="D619" s="137">
        <v>1</v>
      </c>
      <c r="E619" s="138">
        <v>1</v>
      </c>
      <c r="F619" s="137" t="s">
        <v>85</v>
      </c>
      <c r="G619" s="137">
        <v>36</v>
      </c>
      <c r="H619" s="137">
        <v>0</v>
      </c>
      <c r="I619" s="137">
        <v>2</v>
      </c>
      <c r="J619" s="137">
        <v>71</v>
      </c>
      <c r="K619" s="137" t="s">
        <v>77</v>
      </c>
      <c r="L619" s="137" t="s">
        <v>86</v>
      </c>
      <c r="M619" s="137" t="s">
        <v>87</v>
      </c>
      <c r="N619" s="137" t="b">
        <v>0</v>
      </c>
      <c r="O619" s="137" t="s">
        <v>98</v>
      </c>
      <c r="P619" s="137" t="s">
        <v>83</v>
      </c>
      <c r="Q619" s="137" t="s">
        <v>89</v>
      </c>
      <c r="R619" s="137" t="b">
        <v>0</v>
      </c>
      <c r="S619" s="139">
        <v>0</v>
      </c>
      <c r="T619" s="139">
        <v>8.1108439374360996E+18</v>
      </c>
    </row>
    <row r="620" spans="3:20">
      <c r="C620" s="24" t="b">
        <v>0</v>
      </c>
      <c r="D620" s="137">
        <v>0</v>
      </c>
      <c r="E620" s="138">
        <v>3</v>
      </c>
      <c r="F620" s="137" t="s">
        <v>85</v>
      </c>
      <c r="G620" s="137">
        <v>9</v>
      </c>
      <c r="H620" s="137">
        <v>4</v>
      </c>
      <c r="I620" s="137">
        <v>2</v>
      </c>
      <c r="J620" s="137">
        <v>31.274999999999999</v>
      </c>
      <c r="K620" s="137" t="s">
        <v>77</v>
      </c>
      <c r="L620" s="137" t="s">
        <v>79</v>
      </c>
      <c r="M620" s="137" t="s">
        <v>93</v>
      </c>
      <c r="N620" s="137" t="b">
        <v>0</v>
      </c>
      <c r="O620" s="137"/>
      <c r="P620" s="137" t="s">
        <v>83</v>
      </c>
      <c r="Q620" s="137" t="s">
        <v>84</v>
      </c>
      <c r="R620" s="137" t="b">
        <v>0</v>
      </c>
      <c r="S620" s="139">
        <v>1</v>
      </c>
      <c r="T620" s="139">
        <v>4.1206114726330998E+18</v>
      </c>
    </row>
    <row r="621" spans="3:20">
      <c r="C621" s="24" t="b">
        <v>0</v>
      </c>
      <c r="D621" s="137">
        <v>0</v>
      </c>
      <c r="E621" s="138">
        <v>3</v>
      </c>
      <c r="F621" s="137" t="s">
        <v>85</v>
      </c>
      <c r="G621" s="137">
        <v>11</v>
      </c>
      <c r="H621" s="137">
        <v>4</v>
      </c>
      <c r="I621" s="137">
        <v>2</v>
      </c>
      <c r="J621" s="137">
        <v>31.274999999999999</v>
      </c>
      <c r="K621" s="137" t="s">
        <v>77</v>
      </c>
      <c r="L621" s="137" t="s">
        <v>79</v>
      </c>
      <c r="M621" s="137" t="s">
        <v>93</v>
      </c>
      <c r="N621" s="137" t="b">
        <v>0</v>
      </c>
      <c r="O621" s="137"/>
      <c r="P621" s="137" t="s">
        <v>83</v>
      </c>
      <c r="Q621" s="137" t="s">
        <v>84</v>
      </c>
      <c r="R621" s="137" t="b">
        <v>0</v>
      </c>
      <c r="S621" s="139">
        <v>1</v>
      </c>
      <c r="T621" s="139">
        <v>1.12020105680897E+19</v>
      </c>
    </row>
    <row r="622" spans="3:20">
      <c r="C622" s="24" t="b">
        <v>0</v>
      </c>
      <c r="D622" s="137">
        <v>1</v>
      </c>
      <c r="E622" s="138">
        <v>2</v>
      </c>
      <c r="F622" s="137" t="s">
        <v>75</v>
      </c>
      <c r="G622" s="137">
        <v>32</v>
      </c>
      <c r="H622" s="137">
        <v>1</v>
      </c>
      <c r="I622" s="137">
        <v>0</v>
      </c>
      <c r="J622" s="137">
        <v>26</v>
      </c>
      <c r="K622" s="137" t="s">
        <v>77</v>
      </c>
      <c r="L622" s="137" t="s">
        <v>94</v>
      </c>
      <c r="M622" s="137" t="s">
        <v>80</v>
      </c>
      <c r="N622" s="137" t="b">
        <v>1</v>
      </c>
      <c r="O622" s="137"/>
      <c r="P622" s="137" t="s">
        <v>83</v>
      </c>
      <c r="Q622" s="137" t="s">
        <v>89</v>
      </c>
      <c r="R622" s="137" t="b">
        <v>0</v>
      </c>
      <c r="S622" s="139">
        <v>1</v>
      </c>
      <c r="T622" s="139">
        <v>1.5010678057897001E+19</v>
      </c>
    </row>
    <row r="623" spans="3:20">
      <c r="C623" s="24" t="b">
        <v>0</v>
      </c>
      <c r="D623" s="137">
        <v>0</v>
      </c>
      <c r="E623" s="138">
        <v>1</v>
      </c>
      <c r="F623" s="137" t="s">
        <v>75</v>
      </c>
      <c r="G623" s="137">
        <v>50</v>
      </c>
      <c r="H623" s="137">
        <v>1</v>
      </c>
      <c r="I623" s="137">
        <v>0</v>
      </c>
      <c r="J623" s="137">
        <v>106.425</v>
      </c>
      <c r="K623" s="137" t="s">
        <v>82</v>
      </c>
      <c r="L623" s="137" t="s">
        <v>86</v>
      </c>
      <c r="M623" s="137" t="s">
        <v>80</v>
      </c>
      <c r="N623" s="137" t="b">
        <v>1</v>
      </c>
      <c r="O623" s="137" t="s">
        <v>82</v>
      </c>
      <c r="P623" s="137" t="s">
        <v>88</v>
      </c>
      <c r="Q623" s="137" t="s">
        <v>84</v>
      </c>
      <c r="R623" s="137" t="b">
        <v>0</v>
      </c>
      <c r="S623" s="139">
        <v>0</v>
      </c>
      <c r="T623" s="139">
        <v>2.08937833934304E+18</v>
      </c>
    </row>
    <row r="624" spans="3:20">
      <c r="C624" s="24" t="b">
        <v>0</v>
      </c>
      <c r="D624" s="137">
        <v>0</v>
      </c>
      <c r="E624" s="138">
        <v>1</v>
      </c>
      <c r="F624" s="137" t="s">
        <v>75</v>
      </c>
      <c r="G624" s="137">
        <v>64</v>
      </c>
      <c r="H624" s="137">
        <v>0</v>
      </c>
      <c r="I624" s="137">
        <v>0</v>
      </c>
      <c r="J624" s="137">
        <v>26</v>
      </c>
      <c r="K624" s="137" t="s">
        <v>77</v>
      </c>
      <c r="L624" s="137" t="s">
        <v>86</v>
      </c>
      <c r="M624" s="137" t="s">
        <v>80</v>
      </c>
      <c r="N624" s="137" t="b">
        <v>1</v>
      </c>
      <c r="O624" s="137"/>
      <c r="P624" s="137" t="s">
        <v>83</v>
      </c>
      <c r="Q624" s="137" t="s">
        <v>84</v>
      </c>
      <c r="R624" s="137" t="b">
        <v>1</v>
      </c>
      <c r="S624" s="139">
        <v>1</v>
      </c>
      <c r="T624" s="139">
        <v>1.2903939795641301E+19</v>
      </c>
    </row>
    <row r="625" spans="3:20">
      <c r="C625" s="24" t="b">
        <v>0</v>
      </c>
      <c r="D625" s="137">
        <v>1</v>
      </c>
      <c r="E625" s="138">
        <v>2</v>
      </c>
      <c r="F625" s="137" t="s">
        <v>85</v>
      </c>
      <c r="G625" s="137">
        <v>19</v>
      </c>
      <c r="H625" s="137">
        <v>1</v>
      </c>
      <c r="I625" s="137">
        <v>0</v>
      </c>
      <c r="J625" s="137">
        <v>26</v>
      </c>
      <c r="K625" s="137" t="s">
        <v>77</v>
      </c>
      <c r="L625" s="137" t="s">
        <v>94</v>
      </c>
      <c r="M625" s="137" t="s">
        <v>87</v>
      </c>
      <c r="N625" s="137" t="b">
        <v>0</v>
      </c>
      <c r="O625" s="137"/>
      <c r="P625" s="137" t="s">
        <v>83</v>
      </c>
      <c r="Q625" s="137" t="s">
        <v>89</v>
      </c>
      <c r="R625" s="137" t="b">
        <v>0</v>
      </c>
      <c r="S625" s="139">
        <v>1</v>
      </c>
      <c r="T625" s="139">
        <v>9.4394980526840893E+18</v>
      </c>
    </row>
    <row r="626" spans="3:20">
      <c r="C626" s="24" t="b">
        <v>0</v>
      </c>
      <c r="D626" s="137">
        <v>1</v>
      </c>
      <c r="E626" s="138">
        <v>2</v>
      </c>
      <c r="F626" s="137" t="s">
        <v>75</v>
      </c>
      <c r="G626" s="137"/>
      <c r="H626" s="137">
        <v>0</v>
      </c>
      <c r="I626" s="137">
        <v>0</v>
      </c>
      <c r="J626" s="137">
        <v>13.862500000000001</v>
      </c>
      <c r="K626" s="137" t="s">
        <v>82</v>
      </c>
      <c r="L626" s="137" t="s">
        <v>94</v>
      </c>
      <c r="M626" s="137" t="s">
        <v>80</v>
      </c>
      <c r="N626" s="137" t="b">
        <v>1</v>
      </c>
      <c r="O626" s="137"/>
      <c r="P626" s="137" t="s">
        <v>88</v>
      </c>
      <c r="Q626" s="137" t="s">
        <v>89</v>
      </c>
      <c r="R626" s="137" t="b">
        <v>1</v>
      </c>
      <c r="S626" s="139">
        <v>1</v>
      </c>
      <c r="T626" s="139">
        <v>6.9038770009260698E+18</v>
      </c>
    </row>
    <row r="627" spans="3:20">
      <c r="C627" s="24" t="b">
        <v>0</v>
      </c>
      <c r="D627" s="137">
        <v>0</v>
      </c>
      <c r="E627" s="138">
        <v>3</v>
      </c>
      <c r="F627" s="137" t="s">
        <v>75</v>
      </c>
      <c r="G627" s="137">
        <v>33</v>
      </c>
      <c r="H627" s="137">
        <v>1</v>
      </c>
      <c r="I627" s="137">
        <v>1</v>
      </c>
      <c r="J627" s="137">
        <v>20.524999999999999</v>
      </c>
      <c r="K627" s="137" t="s">
        <v>77</v>
      </c>
      <c r="L627" s="137" t="s">
        <v>79</v>
      </c>
      <c r="M627" s="137" t="s">
        <v>80</v>
      </c>
      <c r="N627" s="137" t="b">
        <v>1</v>
      </c>
      <c r="O627" s="137"/>
      <c r="P627" s="137" t="s">
        <v>83</v>
      </c>
      <c r="Q627" s="137" t="s">
        <v>84</v>
      </c>
      <c r="R627" s="137" t="b">
        <v>0</v>
      </c>
      <c r="S627" s="139">
        <v>1</v>
      </c>
      <c r="T627" s="139">
        <v>9.15531542793587E+18</v>
      </c>
    </row>
    <row r="628" spans="3:20">
      <c r="C628" s="24" t="b">
        <v>0</v>
      </c>
      <c r="D628" s="137">
        <v>1</v>
      </c>
      <c r="E628" s="138">
        <v>2</v>
      </c>
      <c r="F628" s="137" t="s">
        <v>75</v>
      </c>
      <c r="G628" s="137">
        <v>8</v>
      </c>
      <c r="H628" s="137">
        <v>1</v>
      </c>
      <c r="I628" s="137">
        <v>1</v>
      </c>
      <c r="J628" s="137">
        <v>36.75</v>
      </c>
      <c r="K628" s="137" t="s">
        <v>77</v>
      </c>
      <c r="L628" s="137" t="s">
        <v>94</v>
      </c>
      <c r="M628" s="137" t="s">
        <v>93</v>
      </c>
      <c r="N628" s="137" t="b">
        <v>0</v>
      </c>
      <c r="O628" s="137"/>
      <c r="P628" s="137" t="s">
        <v>83</v>
      </c>
      <c r="Q628" s="137" t="s">
        <v>89</v>
      </c>
      <c r="R628" s="137" t="b">
        <v>0</v>
      </c>
      <c r="S628" s="139">
        <v>1</v>
      </c>
      <c r="T628" s="139">
        <v>1.2970330818880201E+19</v>
      </c>
    </row>
    <row r="629" spans="3:20">
      <c r="C629" s="24" t="b">
        <v>0</v>
      </c>
      <c r="D629" s="137">
        <v>1</v>
      </c>
      <c r="E629" s="138">
        <v>1</v>
      </c>
      <c r="F629" s="137" t="s">
        <v>75</v>
      </c>
      <c r="G629" s="137">
        <v>17</v>
      </c>
      <c r="H629" s="137">
        <v>0</v>
      </c>
      <c r="I629" s="137">
        <v>2</v>
      </c>
      <c r="J629" s="137">
        <v>110.88330000000001</v>
      </c>
      <c r="K629" s="137" t="s">
        <v>82</v>
      </c>
      <c r="L629" s="137" t="s">
        <v>86</v>
      </c>
      <c r="M629" s="137" t="s">
        <v>80</v>
      </c>
      <c r="N629" s="137" t="b">
        <v>1</v>
      </c>
      <c r="O629" s="137" t="s">
        <v>82</v>
      </c>
      <c r="P629" s="137" t="s">
        <v>88</v>
      </c>
      <c r="Q629" s="137" t="s">
        <v>89</v>
      </c>
      <c r="R629" s="137" t="b">
        <v>0</v>
      </c>
      <c r="S629" s="139">
        <v>0</v>
      </c>
      <c r="T629" s="139">
        <v>1.1844088980252E+19</v>
      </c>
    </row>
    <row r="630" spans="3:20">
      <c r="C630" s="24" t="b">
        <v>0</v>
      </c>
      <c r="D630" s="137">
        <v>0</v>
      </c>
      <c r="E630" s="138">
        <v>2</v>
      </c>
      <c r="F630" s="137" t="s">
        <v>75</v>
      </c>
      <c r="G630" s="137">
        <v>27</v>
      </c>
      <c r="H630" s="137">
        <v>0</v>
      </c>
      <c r="I630" s="137">
        <v>0</v>
      </c>
      <c r="J630" s="137">
        <v>26</v>
      </c>
      <c r="K630" s="137" t="s">
        <v>77</v>
      </c>
      <c r="L630" s="137" t="s">
        <v>94</v>
      </c>
      <c r="M630" s="137" t="s">
        <v>80</v>
      </c>
      <c r="N630" s="137" t="b">
        <v>1</v>
      </c>
      <c r="O630" s="137"/>
      <c r="P630" s="137" t="s">
        <v>83</v>
      </c>
      <c r="Q630" s="137" t="s">
        <v>84</v>
      </c>
      <c r="R630" s="137" t="b">
        <v>1</v>
      </c>
      <c r="S630" s="139">
        <v>1</v>
      </c>
      <c r="T630" s="139">
        <v>1.81091036715166E+19</v>
      </c>
    </row>
    <row r="631" spans="3:20">
      <c r="C631" s="24" t="b">
        <v>0</v>
      </c>
      <c r="D631" s="137">
        <v>0</v>
      </c>
      <c r="E631" s="138">
        <v>3</v>
      </c>
      <c r="F631" s="137" t="s">
        <v>75</v>
      </c>
      <c r="G631" s="137"/>
      <c r="H631" s="137">
        <v>0</v>
      </c>
      <c r="I631" s="137">
        <v>0</v>
      </c>
      <c r="J631" s="137">
        <v>7.8292000000000002</v>
      </c>
      <c r="K631" s="137" t="s">
        <v>90</v>
      </c>
      <c r="L631" s="137" t="s">
        <v>79</v>
      </c>
      <c r="M631" s="137" t="s">
        <v>80</v>
      </c>
      <c r="N631" s="137" t="b">
        <v>1</v>
      </c>
      <c r="O631" s="137"/>
      <c r="P631" s="137" t="s">
        <v>91</v>
      </c>
      <c r="Q631" s="137" t="s">
        <v>84</v>
      </c>
      <c r="R631" s="137" t="b">
        <v>1</v>
      </c>
      <c r="S631" s="139">
        <v>1</v>
      </c>
      <c r="T631" s="139">
        <v>1.50465718877171E+19</v>
      </c>
    </row>
    <row r="632" spans="3:20">
      <c r="C632" s="24" t="b">
        <v>0</v>
      </c>
      <c r="D632" s="137">
        <v>1</v>
      </c>
      <c r="E632" s="138">
        <v>3</v>
      </c>
      <c r="F632" s="137" t="s">
        <v>75</v>
      </c>
      <c r="G632" s="137">
        <v>22</v>
      </c>
      <c r="H632" s="137">
        <v>0</v>
      </c>
      <c r="I632" s="137">
        <v>0</v>
      </c>
      <c r="J632" s="137">
        <v>7.2249999999999996</v>
      </c>
      <c r="K632" s="137" t="s">
        <v>82</v>
      </c>
      <c r="L632" s="137" t="s">
        <v>79</v>
      </c>
      <c r="M632" s="137" t="s">
        <v>80</v>
      </c>
      <c r="N632" s="137" t="b">
        <v>1</v>
      </c>
      <c r="O632" s="137"/>
      <c r="P632" s="137" t="s">
        <v>88</v>
      </c>
      <c r="Q632" s="137" t="s">
        <v>89</v>
      </c>
      <c r="R632" s="137" t="b">
        <v>1</v>
      </c>
      <c r="S632" s="139">
        <v>1</v>
      </c>
      <c r="T632" s="139">
        <v>1.1826258679093701E+19</v>
      </c>
    </row>
    <row r="633" spans="3:20">
      <c r="C633" s="24" t="b">
        <v>0</v>
      </c>
      <c r="D633" s="137">
        <v>1</v>
      </c>
      <c r="E633" s="138">
        <v>3</v>
      </c>
      <c r="F633" s="137" t="s">
        <v>85</v>
      </c>
      <c r="G633" s="137">
        <v>22</v>
      </c>
      <c r="H633" s="137">
        <v>0</v>
      </c>
      <c r="I633" s="137">
        <v>0</v>
      </c>
      <c r="J633" s="137">
        <v>7.7750000000000004</v>
      </c>
      <c r="K633" s="137" t="s">
        <v>77</v>
      </c>
      <c r="L633" s="137" t="s">
        <v>79</v>
      </c>
      <c r="M633" s="137" t="s">
        <v>87</v>
      </c>
      <c r="N633" s="137" t="b">
        <v>0</v>
      </c>
      <c r="O633" s="137"/>
      <c r="P633" s="137" t="s">
        <v>83</v>
      </c>
      <c r="Q633" s="137" t="s">
        <v>89</v>
      </c>
      <c r="R633" s="137" t="b">
        <v>1</v>
      </c>
      <c r="S633" s="139">
        <v>1</v>
      </c>
      <c r="T633" s="139">
        <v>1.13757362098519E+19</v>
      </c>
    </row>
    <row r="634" spans="3:20">
      <c r="C634" s="24" t="b">
        <v>0</v>
      </c>
      <c r="D634" s="137">
        <v>0</v>
      </c>
      <c r="E634" s="138">
        <v>1</v>
      </c>
      <c r="F634" s="137" t="s">
        <v>75</v>
      </c>
      <c r="G634" s="137">
        <v>62</v>
      </c>
      <c r="H634" s="137">
        <v>0</v>
      </c>
      <c r="I634" s="137">
        <v>0</v>
      </c>
      <c r="J634" s="137">
        <v>26.55</v>
      </c>
      <c r="K634" s="137" t="s">
        <v>77</v>
      </c>
      <c r="L634" s="137" t="s">
        <v>86</v>
      </c>
      <c r="M634" s="137" t="s">
        <v>80</v>
      </c>
      <c r="N634" s="137" t="b">
        <v>1</v>
      </c>
      <c r="O634" s="137"/>
      <c r="P634" s="137" t="s">
        <v>83</v>
      </c>
      <c r="Q634" s="137" t="s">
        <v>84</v>
      </c>
      <c r="R634" s="137" t="b">
        <v>1</v>
      </c>
      <c r="S634" s="139">
        <v>1</v>
      </c>
      <c r="T634" s="139">
        <v>1.6579289760494801E+19</v>
      </c>
    </row>
    <row r="635" spans="3:20">
      <c r="C635" s="24" t="b">
        <v>0</v>
      </c>
      <c r="D635" s="137">
        <v>1</v>
      </c>
      <c r="E635" s="138">
        <v>1</v>
      </c>
      <c r="F635" s="137" t="s">
        <v>85</v>
      </c>
      <c r="G635" s="137">
        <v>48</v>
      </c>
      <c r="H635" s="137">
        <v>1</v>
      </c>
      <c r="I635" s="137">
        <v>0</v>
      </c>
      <c r="J635" s="137">
        <v>39.6</v>
      </c>
      <c r="K635" s="137" t="s">
        <v>82</v>
      </c>
      <c r="L635" s="137" t="s">
        <v>86</v>
      </c>
      <c r="M635" s="137" t="s">
        <v>87</v>
      </c>
      <c r="N635" s="137" t="b">
        <v>0</v>
      </c>
      <c r="O635" s="137" t="s">
        <v>97</v>
      </c>
      <c r="P635" s="137" t="s">
        <v>88</v>
      </c>
      <c r="Q635" s="137" t="s">
        <v>89</v>
      </c>
      <c r="R635" s="137" t="b">
        <v>0</v>
      </c>
      <c r="S635" s="139">
        <v>0</v>
      </c>
      <c r="T635" s="139">
        <v>5.8896650353913702E+18</v>
      </c>
    </row>
    <row r="636" spans="3:20">
      <c r="C636" s="24" t="b">
        <v>0</v>
      </c>
      <c r="D636" s="137">
        <v>0</v>
      </c>
      <c r="E636" s="138">
        <v>1</v>
      </c>
      <c r="F636" s="137" t="s">
        <v>75</v>
      </c>
      <c r="G636" s="137"/>
      <c r="H636" s="137">
        <v>0</v>
      </c>
      <c r="I636" s="137">
        <v>0</v>
      </c>
      <c r="J636" s="137">
        <v>227.52500000000001</v>
      </c>
      <c r="K636" s="137" t="s">
        <v>82</v>
      </c>
      <c r="L636" s="137" t="s">
        <v>86</v>
      </c>
      <c r="M636" s="137" t="s">
        <v>80</v>
      </c>
      <c r="N636" s="137" t="b">
        <v>1</v>
      </c>
      <c r="O636" s="137"/>
      <c r="P636" s="137" t="s">
        <v>88</v>
      </c>
      <c r="Q636" s="137" t="s">
        <v>84</v>
      </c>
      <c r="R636" s="137" t="b">
        <v>1</v>
      </c>
      <c r="S636" s="139">
        <v>1</v>
      </c>
      <c r="T636" s="139">
        <v>3.83278679981875E+18</v>
      </c>
    </row>
    <row r="637" spans="3:20">
      <c r="C637" s="24" t="b">
        <v>0</v>
      </c>
      <c r="D637" s="137">
        <v>1</v>
      </c>
      <c r="E637" s="138">
        <v>1</v>
      </c>
      <c r="F637" s="137" t="s">
        <v>85</v>
      </c>
      <c r="G637" s="137">
        <v>39</v>
      </c>
      <c r="H637" s="137">
        <v>1</v>
      </c>
      <c r="I637" s="137">
        <v>1</v>
      </c>
      <c r="J637" s="137">
        <v>79.650000000000006</v>
      </c>
      <c r="K637" s="137" t="s">
        <v>77</v>
      </c>
      <c r="L637" s="137" t="s">
        <v>86</v>
      </c>
      <c r="M637" s="137" t="s">
        <v>87</v>
      </c>
      <c r="N637" s="137" t="b">
        <v>0</v>
      </c>
      <c r="O637" s="137" t="s">
        <v>92</v>
      </c>
      <c r="P637" s="137" t="s">
        <v>83</v>
      </c>
      <c r="Q637" s="137" t="s">
        <v>89</v>
      </c>
      <c r="R637" s="137" t="b">
        <v>0</v>
      </c>
      <c r="S637" s="139">
        <v>0</v>
      </c>
      <c r="T637" s="139">
        <v>5.8634034158557297E+18</v>
      </c>
    </row>
    <row r="638" spans="3:20">
      <c r="C638" s="24" t="b">
        <v>0</v>
      </c>
      <c r="D638" s="137">
        <v>1</v>
      </c>
      <c r="E638" s="138">
        <v>3</v>
      </c>
      <c r="F638" s="137" t="s">
        <v>85</v>
      </c>
      <c r="G638" s="137">
        <v>36</v>
      </c>
      <c r="H638" s="137">
        <v>1</v>
      </c>
      <c r="I638" s="137">
        <v>0</v>
      </c>
      <c r="J638" s="137">
        <v>17.399999999999999</v>
      </c>
      <c r="K638" s="137" t="s">
        <v>77</v>
      </c>
      <c r="L638" s="137" t="s">
        <v>79</v>
      </c>
      <c r="M638" s="137" t="s">
        <v>87</v>
      </c>
      <c r="N638" s="137" t="b">
        <v>0</v>
      </c>
      <c r="O638" s="137"/>
      <c r="P638" s="137" t="s">
        <v>83</v>
      </c>
      <c r="Q638" s="137" t="s">
        <v>89</v>
      </c>
      <c r="R638" s="137" t="b">
        <v>0</v>
      </c>
      <c r="S638" s="139">
        <v>1</v>
      </c>
      <c r="T638" s="139">
        <v>4.10165393084369E+18</v>
      </c>
    </row>
    <row r="639" spans="3:20">
      <c r="C639" s="24" t="b">
        <v>0</v>
      </c>
      <c r="D639" s="137">
        <v>0</v>
      </c>
      <c r="E639" s="138">
        <v>3</v>
      </c>
      <c r="F639" s="137" t="s">
        <v>75</v>
      </c>
      <c r="G639" s="137"/>
      <c r="H639" s="137">
        <v>0</v>
      </c>
      <c r="I639" s="137">
        <v>0</v>
      </c>
      <c r="J639" s="137">
        <v>7.75</v>
      </c>
      <c r="K639" s="137" t="s">
        <v>90</v>
      </c>
      <c r="L639" s="137" t="s">
        <v>79</v>
      </c>
      <c r="M639" s="137" t="s">
        <v>80</v>
      </c>
      <c r="N639" s="137" t="b">
        <v>1</v>
      </c>
      <c r="O639" s="137"/>
      <c r="P639" s="137" t="s">
        <v>91</v>
      </c>
      <c r="Q639" s="137" t="s">
        <v>84</v>
      </c>
      <c r="R639" s="137" t="b">
        <v>1</v>
      </c>
      <c r="S639" s="139">
        <v>1</v>
      </c>
      <c r="T639" s="139">
        <v>8.8562668406319196E+18</v>
      </c>
    </row>
    <row r="640" spans="3:20">
      <c r="C640" s="24" t="b">
        <v>0</v>
      </c>
      <c r="D640" s="137">
        <v>0</v>
      </c>
      <c r="E640" s="138">
        <v>3</v>
      </c>
      <c r="F640" s="137" t="s">
        <v>75</v>
      </c>
      <c r="G640" s="137">
        <v>40</v>
      </c>
      <c r="H640" s="137">
        <v>0</v>
      </c>
      <c r="I640" s="137">
        <v>0</v>
      </c>
      <c r="J640" s="137">
        <v>7.8958000000000004</v>
      </c>
      <c r="K640" s="137" t="s">
        <v>77</v>
      </c>
      <c r="L640" s="137" t="s">
        <v>79</v>
      </c>
      <c r="M640" s="137" t="s">
        <v>80</v>
      </c>
      <c r="N640" s="137" t="b">
        <v>1</v>
      </c>
      <c r="O640" s="137"/>
      <c r="P640" s="137" t="s">
        <v>83</v>
      </c>
      <c r="Q640" s="137" t="s">
        <v>84</v>
      </c>
      <c r="R640" s="137" t="b">
        <v>1</v>
      </c>
      <c r="S640" s="139">
        <v>1</v>
      </c>
      <c r="T640" s="139">
        <v>1.4752745044077001E+19</v>
      </c>
    </row>
    <row r="641" spans="3:20">
      <c r="C641" s="24" t="b">
        <v>0</v>
      </c>
      <c r="D641" s="137">
        <v>0</v>
      </c>
      <c r="E641" s="138">
        <v>2</v>
      </c>
      <c r="F641" s="137" t="s">
        <v>75</v>
      </c>
      <c r="G641" s="137">
        <v>28</v>
      </c>
      <c r="H641" s="137">
        <v>0</v>
      </c>
      <c r="I641" s="137">
        <v>0</v>
      </c>
      <c r="J641" s="137">
        <v>13.5</v>
      </c>
      <c r="K641" s="137" t="s">
        <v>77</v>
      </c>
      <c r="L641" s="137" t="s">
        <v>94</v>
      </c>
      <c r="M641" s="137" t="s">
        <v>80</v>
      </c>
      <c r="N641" s="137" t="b">
        <v>1</v>
      </c>
      <c r="O641" s="137"/>
      <c r="P641" s="137" t="s">
        <v>83</v>
      </c>
      <c r="Q641" s="137" t="s">
        <v>84</v>
      </c>
      <c r="R641" s="137" t="b">
        <v>1</v>
      </c>
      <c r="S641" s="139">
        <v>1</v>
      </c>
      <c r="T641" s="139">
        <v>9.0688579810254295E+18</v>
      </c>
    </row>
    <row r="642" spans="3:20">
      <c r="C642" s="24" t="b">
        <v>0</v>
      </c>
      <c r="D642" s="137">
        <v>0</v>
      </c>
      <c r="E642" s="138">
        <v>3</v>
      </c>
      <c r="F642" s="137" t="s">
        <v>75</v>
      </c>
      <c r="G642" s="137"/>
      <c r="H642" s="137">
        <v>0</v>
      </c>
      <c r="I642" s="137">
        <v>0</v>
      </c>
      <c r="J642" s="137">
        <v>8.0500000000000007</v>
      </c>
      <c r="K642" s="137" t="s">
        <v>77</v>
      </c>
      <c r="L642" s="137" t="s">
        <v>79</v>
      </c>
      <c r="M642" s="137" t="s">
        <v>80</v>
      </c>
      <c r="N642" s="137" t="b">
        <v>1</v>
      </c>
      <c r="O642" s="137"/>
      <c r="P642" s="137" t="s">
        <v>83</v>
      </c>
      <c r="Q642" s="137" t="s">
        <v>84</v>
      </c>
      <c r="R642" s="137" t="b">
        <v>1</v>
      </c>
      <c r="S642" s="139">
        <v>1</v>
      </c>
      <c r="T642" s="139">
        <v>1.0519935439659201E+19</v>
      </c>
    </row>
    <row r="643" spans="3:20">
      <c r="C643" s="24" t="b">
        <v>0</v>
      </c>
      <c r="D643" s="137">
        <v>0</v>
      </c>
      <c r="E643" s="138">
        <v>3</v>
      </c>
      <c r="F643" s="137" t="s">
        <v>85</v>
      </c>
      <c r="G643" s="137"/>
      <c r="H643" s="137">
        <v>0</v>
      </c>
      <c r="I643" s="137">
        <v>0</v>
      </c>
      <c r="J643" s="137">
        <v>8.0500000000000007</v>
      </c>
      <c r="K643" s="137" t="s">
        <v>77</v>
      </c>
      <c r="L643" s="137" t="s">
        <v>79</v>
      </c>
      <c r="M643" s="137" t="s">
        <v>87</v>
      </c>
      <c r="N643" s="137" t="b">
        <v>0</v>
      </c>
      <c r="O643" s="137"/>
      <c r="P643" s="137" t="s">
        <v>83</v>
      </c>
      <c r="Q643" s="137" t="s">
        <v>84</v>
      </c>
      <c r="R643" s="137" t="b">
        <v>1</v>
      </c>
      <c r="S643" s="139">
        <v>1</v>
      </c>
      <c r="T643" s="139">
        <v>3.9798746025796198E+18</v>
      </c>
    </row>
    <row r="644" spans="3:20">
      <c r="C644" s="24" t="b">
        <v>0</v>
      </c>
      <c r="D644" s="137">
        <v>0</v>
      </c>
      <c r="E644" s="138">
        <v>3</v>
      </c>
      <c r="F644" s="137" t="s">
        <v>75</v>
      </c>
      <c r="G644" s="137">
        <v>24</v>
      </c>
      <c r="H644" s="137">
        <v>2</v>
      </c>
      <c r="I644" s="137">
        <v>0</v>
      </c>
      <c r="J644" s="137">
        <v>24.15</v>
      </c>
      <c r="K644" s="137" t="s">
        <v>77</v>
      </c>
      <c r="L644" s="137" t="s">
        <v>79</v>
      </c>
      <c r="M644" s="137" t="s">
        <v>80</v>
      </c>
      <c r="N644" s="137" t="b">
        <v>1</v>
      </c>
      <c r="O644" s="137"/>
      <c r="P644" s="137" t="s">
        <v>83</v>
      </c>
      <c r="Q644" s="137" t="s">
        <v>84</v>
      </c>
      <c r="R644" s="137" t="b">
        <v>0</v>
      </c>
      <c r="S644" s="139">
        <v>1</v>
      </c>
      <c r="T644" s="139">
        <v>6.0620716998125199E+18</v>
      </c>
    </row>
    <row r="645" spans="3:20">
      <c r="C645" s="24" t="b">
        <v>0</v>
      </c>
      <c r="D645" s="137">
        <v>0</v>
      </c>
      <c r="E645" s="138">
        <v>3</v>
      </c>
      <c r="F645" s="137" t="s">
        <v>75</v>
      </c>
      <c r="G645" s="137">
        <v>19</v>
      </c>
      <c r="H645" s="137">
        <v>0</v>
      </c>
      <c r="I645" s="137">
        <v>0</v>
      </c>
      <c r="J645" s="137">
        <v>7.8958000000000004</v>
      </c>
      <c r="K645" s="137" t="s">
        <v>77</v>
      </c>
      <c r="L645" s="137" t="s">
        <v>79</v>
      </c>
      <c r="M645" s="137" t="s">
        <v>80</v>
      </c>
      <c r="N645" s="137" t="b">
        <v>1</v>
      </c>
      <c r="O645" s="137"/>
      <c r="P645" s="137" t="s">
        <v>83</v>
      </c>
      <c r="Q645" s="137" t="s">
        <v>84</v>
      </c>
      <c r="R645" s="137" t="b">
        <v>1</v>
      </c>
      <c r="S645" s="139">
        <v>1</v>
      </c>
      <c r="T645" s="139">
        <v>1.25742438741241E+19</v>
      </c>
    </row>
    <row r="646" spans="3:20">
      <c r="C646" s="24" t="b">
        <v>0</v>
      </c>
      <c r="D646" s="137">
        <v>0</v>
      </c>
      <c r="E646" s="138">
        <v>3</v>
      </c>
      <c r="F646" s="137" t="s">
        <v>85</v>
      </c>
      <c r="G646" s="137">
        <v>29</v>
      </c>
      <c r="H646" s="137">
        <v>0</v>
      </c>
      <c r="I646" s="137">
        <v>4</v>
      </c>
      <c r="J646" s="137">
        <v>21.074999999999999</v>
      </c>
      <c r="K646" s="137" t="s">
        <v>77</v>
      </c>
      <c r="L646" s="137" t="s">
        <v>79</v>
      </c>
      <c r="M646" s="137" t="s">
        <v>87</v>
      </c>
      <c r="N646" s="137" t="b">
        <v>0</v>
      </c>
      <c r="O646" s="137"/>
      <c r="P646" s="137" t="s">
        <v>83</v>
      </c>
      <c r="Q646" s="137" t="s">
        <v>84</v>
      </c>
      <c r="R646" s="137" t="b">
        <v>0</v>
      </c>
      <c r="S646" s="139">
        <v>1</v>
      </c>
      <c r="T646" s="139">
        <v>1.64322284815062E+19</v>
      </c>
    </row>
    <row r="647" spans="3:20">
      <c r="C647" s="24" t="b">
        <v>0</v>
      </c>
      <c r="D647" s="137">
        <v>0</v>
      </c>
      <c r="E647" s="138">
        <v>3</v>
      </c>
      <c r="F647" s="137" t="s">
        <v>75</v>
      </c>
      <c r="G647" s="137"/>
      <c r="H647" s="137">
        <v>0</v>
      </c>
      <c r="I647" s="137">
        <v>0</v>
      </c>
      <c r="J647" s="137">
        <v>7.2291999999999996</v>
      </c>
      <c r="K647" s="137" t="s">
        <v>82</v>
      </c>
      <c r="L647" s="137" t="s">
        <v>79</v>
      </c>
      <c r="M647" s="137" t="s">
        <v>80</v>
      </c>
      <c r="N647" s="137" t="b">
        <v>1</v>
      </c>
      <c r="O647" s="137"/>
      <c r="P647" s="137" t="s">
        <v>88</v>
      </c>
      <c r="Q647" s="137" t="s">
        <v>84</v>
      </c>
      <c r="R647" s="137" t="b">
        <v>1</v>
      </c>
      <c r="S647" s="139">
        <v>1</v>
      </c>
      <c r="T647" s="139">
        <v>1.2150606124307599E+19</v>
      </c>
    </row>
    <row r="648" spans="3:20">
      <c r="C648" s="24" t="b">
        <v>0</v>
      </c>
      <c r="D648" s="137">
        <v>1</v>
      </c>
      <c r="E648" s="138">
        <v>3</v>
      </c>
      <c r="F648" s="137" t="s">
        <v>75</v>
      </c>
      <c r="G648" s="137">
        <v>32</v>
      </c>
      <c r="H648" s="137">
        <v>0</v>
      </c>
      <c r="I648" s="137">
        <v>0</v>
      </c>
      <c r="J648" s="137">
        <v>7.8541999999999996</v>
      </c>
      <c r="K648" s="137" t="s">
        <v>77</v>
      </c>
      <c r="L648" s="137" t="s">
        <v>79</v>
      </c>
      <c r="M648" s="137" t="s">
        <v>80</v>
      </c>
      <c r="N648" s="137" t="b">
        <v>1</v>
      </c>
      <c r="O648" s="137"/>
      <c r="P648" s="137" t="s">
        <v>83</v>
      </c>
      <c r="Q648" s="137" t="s">
        <v>89</v>
      </c>
      <c r="R648" s="137" t="b">
        <v>1</v>
      </c>
      <c r="S648" s="139">
        <v>1</v>
      </c>
      <c r="T648" s="139">
        <v>1.6446866656202299E+19</v>
      </c>
    </row>
    <row r="649" spans="3:20">
      <c r="C649" s="24" t="b">
        <v>0</v>
      </c>
      <c r="D649" s="137">
        <v>1</v>
      </c>
      <c r="E649" s="138">
        <v>2</v>
      </c>
      <c r="F649" s="137" t="s">
        <v>75</v>
      </c>
      <c r="G649" s="137">
        <v>62</v>
      </c>
      <c r="H649" s="137">
        <v>0</v>
      </c>
      <c r="I649" s="137">
        <v>0</v>
      </c>
      <c r="J649" s="137">
        <v>10.5</v>
      </c>
      <c r="K649" s="137" t="s">
        <v>77</v>
      </c>
      <c r="L649" s="137" t="s">
        <v>94</v>
      </c>
      <c r="M649" s="137" t="s">
        <v>80</v>
      </c>
      <c r="N649" s="137" t="b">
        <v>1</v>
      </c>
      <c r="O649" s="137"/>
      <c r="P649" s="137" t="s">
        <v>83</v>
      </c>
      <c r="Q649" s="137" t="s">
        <v>89</v>
      </c>
      <c r="R649" s="137" t="b">
        <v>1</v>
      </c>
      <c r="S649" s="139">
        <v>1</v>
      </c>
      <c r="T649" s="139">
        <v>4.6736020785494405E+18</v>
      </c>
    </row>
    <row r="650" spans="3:20">
      <c r="C650" s="24" t="b">
        <v>0</v>
      </c>
      <c r="D650" s="137">
        <v>1</v>
      </c>
      <c r="E650" s="138">
        <v>1</v>
      </c>
      <c r="F650" s="137" t="s">
        <v>85</v>
      </c>
      <c r="G650" s="137">
        <v>53</v>
      </c>
      <c r="H650" s="137">
        <v>2</v>
      </c>
      <c r="I650" s="137">
        <v>0</v>
      </c>
      <c r="J650" s="137">
        <v>51.479199999999999</v>
      </c>
      <c r="K650" s="137" t="s">
        <v>77</v>
      </c>
      <c r="L650" s="137" t="s">
        <v>86</v>
      </c>
      <c r="M650" s="137" t="s">
        <v>87</v>
      </c>
      <c r="N650" s="137" t="b">
        <v>0</v>
      </c>
      <c r="O650" s="137" t="s">
        <v>82</v>
      </c>
      <c r="P650" s="137" t="s">
        <v>83</v>
      </c>
      <c r="Q650" s="137" t="s">
        <v>89</v>
      </c>
      <c r="R650" s="137" t="b">
        <v>0</v>
      </c>
      <c r="S650" s="139">
        <v>0</v>
      </c>
      <c r="T650" s="139">
        <v>4.4168847555262598E+17</v>
      </c>
    </row>
    <row r="651" spans="3:20">
      <c r="C651" s="24" t="b">
        <v>0</v>
      </c>
      <c r="D651" s="137">
        <v>1</v>
      </c>
      <c r="E651" s="138">
        <v>1</v>
      </c>
      <c r="F651" s="137" t="s">
        <v>75</v>
      </c>
      <c r="G651" s="137">
        <v>36</v>
      </c>
      <c r="H651" s="137">
        <v>0</v>
      </c>
      <c r="I651" s="137">
        <v>0</v>
      </c>
      <c r="J651" s="137">
        <v>26.387499999999999</v>
      </c>
      <c r="K651" s="137" t="s">
        <v>77</v>
      </c>
      <c r="L651" s="137" t="s">
        <v>86</v>
      </c>
      <c r="M651" s="137" t="s">
        <v>80</v>
      </c>
      <c r="N651" s="137" t="b">
        <v>1</v>
      </c>
      <c r="O651" s="137" t="s">
        <v>92</v>
      </c>
      <c r="P651" s="137" t="s">
        <v>83</v>
      </c>
      <c r="Q651" s="137" t="s">
        <v>89</v>
      </c>
      <c r="R651" s="137" t="b">
        <v>1</v>
      </c>
      <c r="S651" s="139">
        <v>0</v>
      </c>
      <c r="T651" s="139">
        <v>7.6960522455138601E+18</v>
      </c>
    </row>
    <row r="652" spans="3:20">
      <c r="C652" s="24" t="b">
        <v>0</v>
      </c>
      <c r="D652" s="137">
        <v>1</v>
      </c>
      <c r="E652" s="138">
        <v>3</v>
      </c>
      <c r="F652" s="137" t="s">
        <v>85</v>
      </c>
      <c r="G652" s="137"/>
      <c r="H652" s="137">
        <v>0</v>
      </c>
      <c r="I652" s="137">
        <v>0</v>
      </c>
      <c r="J652" s="137">
        <v>7.75</v>
      </c>
      <c r="K652" s="137" t="s">
        <v>90</v>
      </c>
      <c r="L652" s="137" t="s">
        <v>79</v>
      </c>
      <c r="M652" s="137" t="s">
        <v>87</v>
      </c>
      <c r="N652" s="137" t="b">
        <v>0</v>
      </c>
      <c r="O652" s="137"/>
      <c r="P652" s="137" t="s">
        <v>91</v>
      </c>
      <c r="Q652" s="137" t="s">
        <v>89</v>
      </c>
      <c r="R652" s="137" t="b">
        <v>1</v>
      </c>
      <c r="S652" s="139">
        <v>1</v>
      </c>
      <c r="T652" s="139">
        <v>9.6415297742023398E+17</v>
      </c>
    </row>
    <row r="653" spans="3:20">
      <c r="C653" s="24" t="b">
        <v>0</v>
      </c>
      <c r="D653" s="137">
        <v>0</v>
      </c>
      <c r="E653" s="138">
        <v>3</v>
      </c>
      <c r="F653" s="137" t="s">
        <v>75</v>
      </c>
      <c r="G653" s="137">
        <v>16</v>
      </c>
      <c r="H653" s="137">
        <v>0</v>
      </c>
      <c r="I653" s="137">
        <v>0</v>
      </c>
      <c r="J653" s="137">
        <v>8.0500000000000007</v>
      </c>
      <c r="K653" s="137" t="s">
        <v>77</v>
      </c>
      <c r="L653" s="137" t="s">
        <v>79</v>
      </c>
      <c r="M653" s="137" t="s">
        <v>80</v>
      </c>
      <c r="N653" s="137" t="b">
        <v>1</v>
      </c>
      <c r="O653" s="137"/>
      <c r="P653" s="137" t="s">
        <v>83</v>
      </c>
      <c r="Q653" s="137" t="s">
        <v>84</v>
      </c>
      <c r="R653" s="137" t="b">
        <v>1</v>
      </c>
      <c r="S653" s="139">
        <v>1</v>
      </c>
      <c r="T653" s="139">
        <v>5.1658072355460096E+18</v>
      </c>
    </row>
    <row r="654" spans="3:20">
      <c r="C654" s="24" t="b">
        <v>0</v>
      </c>
      <c r="D654" s="137">
        <v>0</v>
      </c>
      <c r="E654" s="138">
        <v>3</v>
      </c>
      <c r="F654" s="137" t="s">
        <v>75</v>
      </c>
      <c r="G654" s="137">
        <v>19</v>
      </c>
      <c r="H654" s="137">
        <v>0</v>
      </c>
      <c r="I654" s="137">
        <v>0</v>
      </c>
      <c r="J654" s="137">
        <v>14.5</v>
      </c>
      <c r="K654" s="137" t="s">
        <v>77</v>
      </c>
      <c r="L654" s="137" t="s">
        <v>79</v>
      </c>
      <c r="M654" s="137" t="s">
        <v>80</v>
      </c>
      <c r="N654" s="137" t="b">
        <v>1</v>
      </c>
      <c r="O654" s="137"/>
      <c r="P654" s="137" t="s">
        <v>83</v>
      </c>
      <c r="Q654" s="137" t="s">
        <v>84</v>
      </c>
      <c r="R654" s="137" t="b">
        <v>1</v>
      </c>
      <c r="S654" s="139">
        <v>1</v>
      </c>
      <c r="T654" s="139">
        <v>1.2340956277716099E+19</v>
      </c>
    </row>
    <row r="655" spans="3:20">
      <c r="C655" s="24" t="b">
        <v>0</v>
      </c>
      <c r="D655" s="137">
        <v>1</v>
      </c>
      <c r="E655" s="138">
        <v>2</v>
      </c>
      <c r="F655" s="137" t="s">
        <v>85</v>
      </c>
      <c r="G655" s="137">
        <v>34</v>
      </c>
      <c r="H655" s="137">
        <v>0</v>
      </c>
      <c r="I655" s="137">
        <v>0</v>
      </c>
      <c r="J655" s="137">
        <v>13</v>
      </c>
      <c r="K655" s="137" t="s">
        <v>77</v>
      </c>
      <c r="L655" s="137" t="s">
        <v>94</v>
      </c>
      <c r="M655" s="137" t="s">
        <v>87</v>
      </c>
      <c r="N655" s="137" t="b">
        <v>0</v>
      </c>
      <c r="O655" s="137"/>
      <c r="P655" s="137" t="s">
        <v>83</v>
      </c>
      <c r="Q655" s="137" t="s">
        <v>89</v>
      </c>
      <c r="R655" s="137" t="b">
        <v>1</v>
      </c>
      <c r="S655" s="139">
        <v>1</v>
      </c>
      <c r="T655" s="139">
        <v>7.84354205744222E+18</v>
      </c>
    </row>
    <row r="656" spans="3:20">
      <c r="C656" s="24" t="b">
        <v>0</v>
      </c>
      <c r="D656" s="137">
        <v>1</v>
      </c>
      <c r="E656" s="138">
        <v>1</v>
      </c>
      <c r="F656" s="137" t="s">
        <v>85</v>
      </c>
      <c r="G656" s="137">
        <v>39</v>
      </c>
      <c r="H656" s="137">
        <v>1</v>
      </c>
      <c r="I656" s="137">
        <v>0</v>
      </c>
      <c r="J656" s="137">
        <v>55.9</v>
      </c>
      <c r="K656" s="137" t="s">
        <v>77</v>
      </c>
      <c r="L656" s="137" t="s">
        <v>86</v>
      </c>
      <c r="M656" s="137" t="s">
        <v>87</v>
      </c>
      <c r="N656" s="137" t="b">
        <v>0</v>
      </c>
      <c r="O656" s="137" t="s">
        <v>92</v>
      </c>
      <c r="P656" s="137" t="s">
        <v>83</v>
      </c>
      <c r="Q656" s="137" t="s">
        <v>89</v>
      </c>
      <c r="R656" s="137" t="b">
        <v>0</v>
      </c>
      <c r="S656" s="139">
        <v>0</v>
      </c>
      <c r="T656" s="139">
        <v>1.1690625615931501E+19</v>
      </c>
    </row>
    <row r="657" spans="3:20">
      <c r="C657" s="24" t="b">
        <v>0</v>
      </c>
      <c r="D657" s="137">
        <v>0</v>
      </c>
      <c r="E657" s="138">
        <v>3</v>
      </c>
      <c r="F657" s="137" t="s">
        <v>85</v>
      </c>
      <c r="G657" s="137"/>
      <c r="H657" s="137">
        <v>1</v>
      </c>
      <c r="I657" s="137">
        <v>0</v>
      </c>
      <c r="J657" s="137">
        <v>14.458299999999999</v>
      </c>
      <c r="K657" s="137" t="s">
        <v>82</v>
      </c>
      <c r="L657" s="137" t="s">
        <v>79</v>
      </c>
      <c r="M657" s="137" t="s">
        <v>87</v>
      </c>
      <c r="N657" s="137" t="b">
        <v>0</v>
      </c>
      <c r="O657" s="137"/>
      <c r="P657" s="137" t="s">
        <v>88</v>
      </c>
      <c r="Q657" s="137" t="s">
        <v>84</v>
      </c>
      <c r="R657" s="137" t="b">
        <v>0</v>
      </c>
      <c r="S657" s="139">
        <v>1</v>
      </c>
      <c r="T657" s="139">
        <v>1.7555269891508699E+19</v>
      </c>
    </row>
    <row r="658" spans="3:20">
      <c r="C658" s="24" t="b">
        <v>0</v>
      </c>
      <c r="D658" s="137">
        <v>1</v>
      </c>
      <c r="E658" s="138">
        <v>3</v>
      </c>
      <c r="F658" s="137" t="s">
        <v>75</v>
      </c>
      <c r="G658" s="137">
        <v>32</v>
      </c>
      <c r="H658" s="137">
        <v>0</v>
      </c>
      <c r="I658" s="137">
        <v>0</v>
      </c>
      <c r="J658" s="137">
        <v>7.9249999999999998</v>
      </c>
      <c r="K658" s="137" t="s">
        <v>77</v>
      </c>
      <c r="L658" s="137" t="s">
        <v>79</v>
      </c>
      <c r="M658" s="137" t="s">
        <v>80</v>
      </c>
      <c r="N658" s="137" t="b">
        <v>1</v>
      </c>
      <c r="O658" s="137"/>
      <c r="P658" s="137" t="s">
        <v>83</v>
      </c>
      <c r="Q658" s="137" t="s">
        <v>89</v>
      </c>
      <c r="R658" s="137" t="b">
        <v>1</v>
      </c>
      <c r="S658" s="139">
        <v>1</v>
      </c>
      <c r="T658" s="139">
        <v>9.3987449297528996E+18</v>
      </c>
    </row>
    <row r="659" spans="3:20">
      <c r="C659" s="24" t="b">
        <v>0</v>
      </c>
      <c r="D659" s="137">
        <v>1</v>
      </c>
      <c r="E659" s="138">
        <v>2</v>
      </c>
      <c r="F659" s="137" t="s">
        <v>85</v>
      </c>
      <c r="G659" s="137">
        <v>25</v>
      </c>
      <c r="H659" s="137">
        <v>1</v>
      </c>
      <c r="I659" s="137">
        <v>1</v>
      </c>
      <c r="J659" s="137">
        <v>30</v>
      </c>
      <c r="K659" s="137" t="s">
        <v>77</v>
      </c>
      <c r="L659" s="137" t="s">
        <v>94</v>
      </c>
      <c r="M659" s="137" t="s">
        <v>87</v>
      </c>
      <c r="N659" s="137" t="b">
        <v>0</v>
      </c>
      <c r="O659" s="137"/>
      <c r="P659" s="137" t="s">
        <v>83</v>
      </c>
      <c r="Q659" s="137" t="s">
        <v>89</v>
      </c>
      <c r="R659" s="137" t="b">
        <v>0</v>
      </c>
      <c r="S659" s="139">
        <v>1</v>
      </c>
      <c r="T659" s="139">
        <v>1.6562677459700001E+19</v>
      </c>
    </row>
    <row r="660" spans="3:20">
      <c r="C660" s="24" t="b">
        <v>0</v>
      </c>
      <c r="D660" s="137">
        <v>1</v>
      </c>
      <c r="E660" s="138">
        <v>1</v>
      </c>
      <c r="F660" s="137" t="s">
        <v>85</v>
      </c>
      <c r="G660" s="137">
        <v>39</v>
      </c>
      <c r="H660" s="137">
        <v>1</v>
      </c>
      <c r="I660" s="137">
        <v>1</v>
      </c>
      <c r="J660" s="137">
        <v>110.88330000000001</v>
      </c>
      <c r="K660" s="137" t="s">
        <v>82</v>
      </c>
      <c r="L660" s="137" t="s">
        <v>86</v>
      </c>
      <c r="M660" s="137" t="s">
        <v>87</v>
      </c>
      <c r="N660" s="137" t="b">
        <v>0</v>
      </c>
      <c r="O660" s="137" t="s">
        <v>82</v>
      </c>
      <c r="P660" s="137" t="s">
        <v>88</v>
      </c>
      <c r="Q660" s="137" t="s">
        <v>89</v>
      </c>
      <c r="R660" s="137" t="b">
        <v>0</v>
      </c>
      <c r="S660" s="139">
        <v>0</v>
      </c>
      <c r="T660" s="139">
        <v>1.7341751663191501E+19</v>
      </c>
    </row>
    <row r="661" spans="3:20">
      <c r="C661" s="24" t="b">
        <v>0</v>
      </c>
      <c r="D661" s="137">
        <v>0</v>
      </c>
      <c r="E661" s="138">
        <v>2</v>
      </c>
      <c r="F661" s="137" t="s">
        <v>75</v>
      </c>
      <c r="G661" s="137">
        <v>54</v>
      </c>
      <c r="H661" s="137">
        <v>0</v>
      </c>
      <c r="I661" s="137">
        <v>0</v>
      </c>
      <c r="J661" s="137">
        <v>26</v>
      </c>
      <c r="K661" s="137" t="s">
        <v>77</v>
      </c>
      <c r="L661" s="137" t="s">
        <v>94</v>
      </c>
      <c r="M661" s="137" t="s">
        <v>80</v>
      </c>
      <c r="N661" s="137" t="b">
        <v>1</v>
      </c>
      <c r="O661" s="137"/>
      <c r="P661" s="137" t="s">
        <v>83</v>
      </c>
      <c r="Q661" s="137" t="s">
        <v>84</v>
      </c>
      <c r="R661" s="137" t="b">
        <v>1</v>
      </c>
      <c r="S661" s="139">
        <v>1</v>
      </c>
      <c r="T661" s="139">
        <v>1.95395134385672E+17</v>
      </c>
    </row>
    <row r="662" spans="3:20">
      <c r="C662" s="24" t="b">
        <v>0</v>
      </c>
      <c r="D662" s="137">
        <v>0</v>
      </c>
      <c r="E662" s="138">
        <v>1</v>
      </c>
      <c r="F662" s="137" t="s">
        <v>75</v>
      </c>
      <c r="G662" s="137">
        <v>36</v>
      </c>
      <c r="H662" s="137">
        <v>0</v>
      </c>
      <c r="I662" s="137">
        <v>0</v>
      </c>
      <c r="J662" s="137">
        <v>40.125</v>
      </c>
      <c r="K662" s="137" t="s">
        <v>82</v>
      </c>
      <c r="L662" s="137" t="s">
        <v>86</v>
      </c>
      <c r="M662" s="137" t="s">
        <v>80</v>
      </c>
      <c r="N662" s="137" t="b">
        <v>1</v>
      </c>
      <c r="O662" s="137" t="s">
        <v>97</v>
      </c>
      <c r="P662" s="137" t="s">
        <v>88</v>
      </c>
      <c r="Q662" s="137" t="s">
        <v>84</v>
      </c>
      <c r="R662" s="137" t="b">
        <v>1</v>
      </c>
      <c r="S662" s="139">
        <v>0</v>
      </c>
      <c r="T662" s="139">
        <v>6.0994990297587804E+18</v>
      </c>
    </row>
    <row r="663" spans="3:20">
      <c r="C663" s="24" t="b">
        <v>0</v>
      </c>
      <c r="D663" s="137">
        <v>0</v>
      </c>
      <c r="E663" s="138">
        <v>3</v>
      </c>
      <c r="F663" s="137" t="s">
        <v>75</v>
      </c>
      <c r="G663" s="137"/>
      <c r="H663" s="137">
        <v>0</v>
      </c>
      <c r="I663" s="137">
        <v>0</v>
      </c>
      <c r="J663" s="137">
        <v>8.7125000000000004</v>
      </c>
      <c r="K663" s="137" t="s">
        <v>82</v>
      </c>
      <c r="L663" s="137" t="s">
        <v>79</v>
      </c>
      <c r="M663" s="137" t="s">
        <v>80</v>
      </c>
      <c r="N663" s="137" t="b">
        <v>1</v>
      </c>
      <c r="O663" s="137"/>
      <c r="P663" s="137" t="s">
        <v>88</v>
      </c>
      <c r="Q663" s="137" t="s">
        <v>84</v>
      </c>
      <c r="R663" s="137" t="b">
        <v>1</v>
      </c>
      <c r="S663" s="139">
        <v>1</v>
      </c>
      <c r="T663" s="139">
        <v>1.17286904926285E+19</v>
      </c>
    </row>
    <row r="664" spans="3:20">
      <c r="C664" s="24" t="b">
        <v>0</v>
      </c>
      <c r="D664" s="137">
        <v>1</v>
      </c>
      <c r="E664" s="138">
        <v>1</v>
      </c>
      <c r="F664" s="137" t="s">
        <v>85</v>
      </c>
      <c r="G664" s="137">
        <v>18</v>
      </c>
      <c r="H664" s="137">
        <v>0</v>
      </c>
      <c r="I664" s="137">
        <v>2</v>
      </c>
      <c r="J664" s="137">
        <v>79.650000000000006</v>
      </c>
      <c r="K664" s="137" t="s">
        <v>77</v>
      </c>
      <c r="L664" s="137" t="s">
        <v>86</v>
      </c>
      <c r="M664" s="137" t="s">
        <v>87</v>
      </c>
      <c r="N664" s="137" t="b">
        <v>0</v>
      </c>
      <c r="O664" s="137" t="s">
        <v>92</v>
      </c>
      <c r="P664" s="137" t="s">
        <v>83</v>
      </c>
      <c r="Q664" s="137" t="s">
        <v>89</v>
      </c>
      <c r="R664" s="137" t="b">
        <v>0</v>
      </c>
      <c r="S664" s="139">
        <v>0</v>
      </c>
      <c r="T664" s="139">
        <v>7.3373980011684803E+18</v>
      </c>
    </row>
    <row r="665" spans="3:20">
      <c r="C665" s="24" t="b">
        <v>0</v>
      </c>
      <c r="D665" s="137">
        <v>0</v>
      </c>
      <c r="E665" s="138">
        <v>2</v>
      </c>
      <c r="F665" s="137" t="s">
        <v>75</v>
      </c>
      <c r="G665" s="137">
        <v>47</v>
      </c>
      <c r="H665" s="137">
        <v>0</v>
      </c>
      <c r="I665" s="137">
        <v>0</v>
      </c>
      <c r="J665" s="137">
        <v>15</v>
      </c>
      <c r="K665" s="137" t="s">
        <v>77</v>
      </c>
      <c r="L665" s="137" t="s">
        <v>94</v>
      </c>
      <c r="M665" s="137" t="s">
        <v>80</v>
      </c>
      <c r="N665" s="137" t="b">
        <v>1</v>
      </c>
      <c r="O665" s="137"/>
      <c r="P665" s="137" t="s">
        <v>83</v>
      </c>
      <c r="Q665" s="137" t="s">
        <v>84</v>
      </c>
      <c r="R665" s="137" t="b">
        <v>1</v>
      </c>
      <c r="S665" s="139">
        <v>1</v>
      </c>
      <c r="T665" s="139">
        <v>1.6503834881863E+19</v>
      </c>
    </row>
    <row r="666" spans="3:20">
      <c r="C666" s="24" t="b">
        <v>0</v>
      </c>
      <c r="D666" s="137">
        <v>1</v>
      </c>
      <c r="E666" s="138">
        <v>1</v>
      </c>
      <c r="F666" s="137" t="s">
        <v>75</v>
      </c>
      <c r="G666" s="137">
        <v>60</v>
      </c>
      <c r="H666" s="137">
        <v>1</v>
      </c>
      <c r="I666" s="137">
        <v>1</v>
      </c>
      <c r="J666" s="137">
        <v>79.2</v>
      </c>
      <c r="K666" s="137" t="s">
        <v>82</v>
      </c>
      <c r="L666" s="137" t="s">
        <v>86</v>
      </c>
      <c r="M666" s="137" t="s">
        <v>80</v>
      </c>
      <c r="N666" s="137" t="b">
        <v>1</v>
      </c>
      <c r="O666" s="137" t="s">
        <v>98</v>
      </c>
      <c r="P666" s="137" t="s">
        <v>88</v>
      </c>
      <c r="Q666" s="137" t="s">
        <v>89</v>
      </c>
      <c r="R666" s="137" t="b">
        <v>0</v>
      </c>
      <c r="S666" s="139">
        <v>0</v>
      </c>
      <c r="T666" s="139">
        <v>8.0491756619413105E+18</v>
      </c>
    </row>
    <row r="667" spans="3:20">
      <c r="C667" s="24" t="b">
        <v>0</v>
      </c>
      <c r="D667" s="137">
        <v>0</v>
      </c>
      <c r="E667" s="138">
        <v>3</v>
      </c>
      <c r="F667" s="137" t="s">
        <v>75</v>
      </c>
      <c r="G667" s="137">
        <v>22</v>
      </c>
      <c r="H667" s="137">
        <v>0</v>
      </c>
      <c r="I667" s="137">
        <v>0</v>
      </c>
      <c r="J667" s="137">
        <v>8.0500000000000007</v>
      </c>
      <c r="K667" s="137" t="s">
        <v>77</v>
      </c>
      <c r="L667" s="137" t="s">
        <v>79</v>
      </c>
      <c r="M667" s="137" t="s">
        <v>80</v>
      </c>
      <c r="N667" s="137" t="b">
        <v>1</v>
      </c>
      <c r="O667" s="137"/>
      <c r="P667" s="137" t="s">
        <v>83</v>
      </c>
      <c r="Q667" s="137" t="s">
        <v>84</v>
      </c>
      <c r="R667" s="137" t="b">
        <v>1</v>
      </c>
      <c r="S667" s="139">
        <v>1</v>
      </c>
      <c r="T667" s="139">
        <v>7.32794109032546E+18</v>
      </c>
    </row>
    <row r="668" spans="3:20">
      <c r="C668" s="24" t="b">
        <v>0</v>
      </c>
      <c r="D668" s="137">
        <v>0</v>
      </c>
      <c r="E668" s="138">
        <v>3</v>
      </c>
      <c r="F668" s="137" t="s">
        <v>75</v>
      </c>
      <c r="G668" s="137"/>
      <c r="H668" s="137">
        <v>0</v>
      </c>
      <c r="I668" s="137">
        <v>0</v>
      </c>
      <c r="J668" s="137">
        <v>8.0500000000000007</v>
      </c>
      <c r="K668" s="137" t="s">
        <v>77</v>
      </c>
      <c r="L668" s="137" t="s">
        <v>79</v>
      </c>
      <c r="M668" s="137" t="s">
        <v>80</v>
      </c>
      <c r="N668" s="137" t="b">
        <v>1</v>
      </c>
      <c r="O668" s="137"/>
      <c r="P668" s="137" t="s">
        <v>83</v>
      </c>
      <c r="Q668" s="137" t="s">
        <v>84</v>
      </c>
      <c r="R668" s="137" t="b">
        <v>1</v>
      </c>
      <c r="S668" s="139">
        <v>1</v>
      </c>
      <c r="T668" s="139">
        <v>1.0519935439659201E+19</v>
      </c>
    </row>
    <row r="669" spans="3:20">
      <c r="C669" s="24" t="b">
        <v>0</v>
      </c>
      <c r="D669" s="137">
        <v>0</v>
      </c>
      <c r="E669" s="138">
        <v>3</v>
      </c>
      <c r="F669" s="137" t="s">
        <v>75</v>
      </c>
      <c r="G669" s="137">
        <v>35</v>
      </c>
      <c r="H669" s="137">
        <v>0</v>
      </c>
      <c r="I669" s="137">
        <v>0</v>
      </c>
      <c r="J669" s="137">
        <v>7.125</v>
      </c>
      <c r="K669" s="137" t="s">
        <v>77</v>
      </c>
      <c r="L669" s="137" t="s">
        <v>79</v>
      </c>
      <c r="M669" s="137" t="s">
        <v>80</v>
      </c>
      <c r="N669" s="137" t="b">
        <v>1</v>
      </c>
      <c r="O669" s="137"/>
      <c r="P669" s="137" t="s">
        <v>83</v>
      </c>
      <c r="Q669" s="137" t="s">
        <v>84</v>
      </c>
      <c r="R669" s="137" t="b">
        <v>1</v>
      </c>
      <c r="S669" s="139">
        <v>1</v>
      </c>
      <c r="T669" s="139">
        <v>4.8849868736254505E+18</v>
      </c>
    </row>
    <row r="670" spans="3:20">
      <c r="C670" s="24" t="b">
        <v>0</v>
      </c>
      <c r="D670" s="137">
        <v>1</v>
      </c>
      <c r="E670" s="138">
        <v>1</v>
      </c>
      <c r="F670" s="137" t="s">
        <v>85</v>
      </c>
      <c r="G670" s="137">
        <v>52</v>
      </c>
      <c r="H670" s="137">
        <v>1</v>
      </c>
      <c r="I670" s="137">
        <v>0</v>
      </c>
      <c r="J670" s="137">
        <v>78.2667</v>
      </c>
      <c r="K670" s="137" t="s">
        <v>82</v>
      </c>
      <c r="L670" s="137" t="s">
        <v>86</v>
      </c>
      <c r="M670" s="137" t="s">
        <v>87</v>
      </c>
      <c r="N670" s="137" t="b">
        <v>0</v>
      </c>
      <c r="O670" s="137" t="s">
        <v>96</v>
      </c>
      <c r="P670" s="137" t="s">
        <v>88</v>
      </c>
      <c r="Q670" s="137" t="s">
        <v>89</v>
      </c>
      <c r="R670" s="137" t="b">
        <v>0</v>
      </c>
      <c r="S670" s="139">
        <v>0</v>
      </c>
      <c r="T670" s="139">
        <v>6.9874346446307904E+17</v>
      </c>
    </row>
    <row r="671" spans="3:20">
      <c r="C671" s="24" t="b">
        <v>0</v>
      </c>
      <c r="D671" s="137">
        <v>0</v>
      </c>
      <c r="E671" s="138">
        <v>3</v>
      </c>
      <c r="F671" s="137" t="s">
        <v>75</v>
      </c>
      <c r="G671" s="137">
        <v>47</v>
      </c>
      <c r="H671" s="137">
        <v>0</v>
      </c>
      <c r="I671" s="137">
        <v>0</v>
      </c>
      <c r="J671" s="137">
        <v>7.25</v>
      </c>
      <c r="K671" s="137" t="s">
        <v>77</v>
      </c>
      <c r="L671" s="137" t="s">
        <v>79</v>
      </c>
      <c r="M671" s="137" t="s">
        <v>80</v>
      </c>
      <c r="N671" s="137" t="b">
        <v>1</v>
      </c>
      <c r="O671" s="137"/>
      <c r="P671" s="137" t="s">
        <v>83</v>
      </c>
      <c r="Q671" s="137" t="s">
        <v>84</v>
      </c>
      <c r="R671" s="137" t="b">
        <v>1</v>
      </c>
      <c r="S671" s="139">
        <v>1</v>
      </c>
      <c r="T671" s="139">
        <v>5627957791219390</v>
      </c>
    </row>
    <row r="672" spans="3:20">
      <c r="C672" s="24" t="b">
        <v>0</v>
      </c>
      <c r="D672" s="137">
        <v>0</v>
      </c>
      <c r="E672" s="138">
        <v>3</v>
      </c>
      <c r="F672" s="137" t="s">
        <v>85</v>
      </c>
      <c r="G672" s="137"/>
      <c r="H672" s="137">
        <v>0</v>
      </c>
      <c r="I672" s="137">
        <v>2</v>
      </c>
      <c r="J672" s="137">
        <v>7.75</v>
      </c>
      <c r="K672" s="137" t="s">
        <v>90</v>
      </c>
      <c r="L672" s="137" t="s">
        <v>79</v>
      </c>
      <c r="M672" s="137" t="s">
        <v>87</v>
      </c>
      <c r="N672" s="137" t="b">
        <v>0</v>
      </c>
      <c r="O672" s="137"/>
      <c r="P672" s="137" t="s">
        <v>91</v>
      </c>
      <c r="Q672" s="137" t="s">
        <v>84</v>
      </c>
      <c r="R672" s="137" t="b">
        <v>0</v>
      </c>
      <c r="S672" s="139">
        <v>1</v>
      </c>
      <c r="T672" s="139">
        <v>1.5735369983262099E+19</v>
      </c>
    </row>
    <row r="673" spans="3:20">
      <c r="C673" s="24" t="b">
        <v>0</v>
      </c>
      <c r="D673" s="137">
        <v>0</v>
      </c>
      <c r="E673" s="138">
        <v>2</v>
      </c>
      <c r="F673" s="137" t="s">
        <v>75</v>
      </c>
      <c r="G673" s="137">
        <v>37</v>
      </c>
      <c r="H673" s="137">
        <v>1</v>
      </c>
      <c r="I673" s="137">
        <v>0</v>
      </c>
      <c r="J673" s="137">
        <v>26</v>
      </c>
      <c r="K673" s="137" t="s">
        <v>77</v>
      </c>
      <c r="L673" s="137" t="s">
        <v>94</v>
      </c>
      <c r="M673" s="137" t="s">
        <v>80</v>
      </c>
      <c r="N673" s="137" t="b">
        <v>1</v>
      </c>
      <c r="O673" s="137"/>
      <c r="P673" s="137" t="s">
        <v>83</v>
      </c>
      <c r="Q673" s="137" t="s">
        <v>84</v>
      </c>
      <c r="R673" s="137" t="b">
        <v>0</v>
      </c>
      <c r="S673" s="139">
        <v>1</v>
      </c>
      <c r="T673" s="139">
        <v>9.1814207641175398E+18</v>
      </c>
    </row>
    <row r="674" spans="3:20">
      <c r="C674" s="24" t="b">
        <v>0</v>
      </c>
      <c r="D674" s="137">
        <v>0</v>
      </c>
      <c r="E674" s="138">
        <v>3</v>
      </c>
      <c r="F674" s="137" t="s">
        <v>75</v>
      </c>
      <c r="G674" s="137">
        <v>36</v>
      </c>
      <c r="H674" s="137">
        <v>1</v>
      </c>
      <c r="I674" s="137">
        <v>1</v>
      </c>
      <c r="J674" s="137">
        <v>24.15</v>
      </c>
      <c r="K674" s="137" t="s">
        <v>77</v>
      </c>
      <c r="L674" s="137" t="s">
        <v>79</v>
      </c>
      <c r="M674" s="137" t="s">
        <v>80</v>
      </c>
      <c r="N674" s="137" t="b">
        <v>1</v>
      </c>
      <c r="O674" s="137"/>
      <c r="P674" s="137" t="s">
        <v>83</v>
      </c>
      <c r="Q674" s="137" t="s">
        <v>84</v>
      </c>
      <c r="R674" s="137" t="b">
        <v>0</v>
      </c>
      <c r="S674" s="139">
        <v>1</v>
      </c>
      <c r="T674" s="139">
        <v>1.57500598491123E+19</v>
      </c>
    </row>
    <row r="675" spans="3:20">
      <c r="C675" s="24" t="b">
        <v>0</v>
      </c>
      <c r="D675" s="137">
        <v>1</v>
      </c>
      <c r="E675" s="138">
        <v>2</v>
      </c>
      <c r="F675" s="137" t="s">
        <v>85</v>
      </c>
      <c r="G675" s="137"/>
      <c r="H675" s="137">
        <v>0</v>
      </c>
      <c r="I675" s="137">
        <v>0</v>
      </c>
      <c r="J675" s="137">
        <v>33</v>
      </c>
      <c r="K675" s="137" t="s">
        <v>77</v>
      </c>
      <c r="L675" s="137" t="s">
        <v>94</v>
      </c>
      <c r="M675" s="137" t="s">
        <v>87</v>
      </c>
      <c r="N675" s="137" t="b">
        <v>0</v>
      </c>
      <c r="O675" s="137"/>
      <c r="P675" s="137" t="s">
        <v>83</v>
      </c>
      <c r="Q675" s="137" t="s">
        <v>89</v>
      </c>
      <c r="R675" s="137" t="b">
        <v>1</v>
      </c>
      <c r="S675" s="139">
        <v>1</v>
      </c>
      <c r="T675" s="139">
        <v>2.7102139176047401E+18</v>
      </c>
    </row>
    <row r="676" spans="3:20">
      <c r="C676" s="24" t="b">
        <v>0</v>
      </c>
      <c r="D676" s="137">
        <v>0</v>
      </c>
      <c r="E676" s="138">
        <v>3</v>
      </c>
      <c r="F676" s="137" t="s">
        <v>75</v>
      </c>
      <c r="G676" s="137">
        <v>49</v>
      </c>
      <c r="H676" s="137">
        <v>0</v>
      </c>
      <c r="I676" s="137">
        <v>0</v>
      </c>
      <c r="J676" s="137">
        <v>0</v>
      </c>
      <c r="K676" s="137" t="s">
        <v>77</v>
      </c>
      <c r="L676" s="137" t="s">
        <v>79</v>
      </c>
      <c r="M676" s="137" t="s">
        <v>80</v>
      </c>
      <c r="N676" s="137" t="b">
        <v>1</v>
      </c>
      <c r="O676" s="137"/>
      <c r="P676" s="137" t="s">
        <v>83</v>
      </c>
      <c r="Q676" s="137" t="s">
        <v>84</v>
      </c>
      <c r="R676" s="137" t="b">
        <v>1</v>
      </c>
      <c r="S676" s="139">
        <v>1</v>
      </c>
      <c r="T676" s="139">
        <v>5.9244365911495997E+18</v>
      </c>
    </row>
    <row r="677" spans="3:20">
      <c r="C677" s="24" t="b">
        <v>0</v>
      </c>
      <c r="D677" s="137">
        <v>0</v>
      </c>
      <c r="E677" s="138">
        <v>3</v>
      </c>
      <c r="F677" s="137" t="s">
        <v>75</v>
      </c>
      <c r="G677" s="137"/>
      <c r="H677" s="137">
        <v>0</v>
      </c>
      <c r="I677" s="137">
        <v>0</v>
      </c>
      <c r="J677" s="137">
        <v>7.2249999999999996</v>
      </c>
      <c r="K677" s="137" t="s">
        <v>82</v>
      </c>
      <c r="L677" s="137" t="s">
        <v>79</v>
      </c>
      <c r="M677" s="137" t="s">
        <v>80</v>
      </c>
      <c r="N677" s="137" t="b">
        <v>1</v>
      </c>
      <c r="O677" s="137"/>
      <c r="P677" s="137" t="s">
        <v>88</v>
      </c>
      <c r="Q677" s="137" t="s">
        <v>84</v>
      </c>
      <c r="R677" s="137" t="b">
        <v>1</v>
      </c>
      <c r="S677" s="139">
        <v>1</v>
      </c>
      <c r="T677" s="139">
        <v>5.4729232098319995E+18</v>
      </c>
    </row>
    <row r="678" spans="3:20">
      <c r="C678" s="24" t="b">
        <v>0</v>
      </c>
      <c r="D678" s="137">
        <v>1</v>
      </c>
      <c r="E678" s="138">
        <v>1</v>
      </c>
      <c r="F678" s="137" t="s">
        <v>75</v>
      </c>
      <c r="G678" s="137">
        <v>49</v>
      </c>
      <c r="H678" s="137">
        <v>1</v>
      </c>
      <c r="I678" s="137">
        <v>0</v>
      </c>
      <c r="J678" s="137">
        <v>56.929200000000002</v>
      </c>
      <c r="K678" s="137" t="s">
        <v>82</v>
      </c>
      <c r="L678" s="137" t="s">
        <v>86</v>
      </c>
      <c r="M678" s="137" t="s">
        <v>80</v>
      </c>
      <c r="N678" s="137" t="b">
        <v>1</v>
      </c>
      <c r="O678" s="137" t="s">
        <v>97</v>
      </c>
      <c r="P678" s="137" t="s">
        <v>88</v>
      </c>
      <c r="Q678" s="137" t="s">
        <v>89</v>
      </c>
      <c r="R678" s="137" t="b">
        <v>0</v>
      </c>
      <c r="S678" s="139">
        <v>0</v>
      </c>
      <c r="T678" s="139">
        <v>1.4347669211606301E+19</v>
      </c>
    </row>
    <row r="679" spans="3:20">
      <c r="C679" s="24" t="b">
        <v>0</v>
      </c>
      <c r="D679" s="137">
        <v>1</v>
      </c>
      <c r="E679" s="138">
        <v>2</v>
      </c>
      <c r="F679" s="137" t="s">
        <v>85</v>
      </c>
      <c r="G679" s="137">
        <v>24</v>
      </c>
      <c r="H679" s="137">
        <v>2</v>
      </c>
      <c r="I679" s="137">
        <v>1</v>
      </c>
      <c r="J679" s="137">
        <v>27</v>
      </c>
      <c r="K679" s="137" t="s">
        <v>77</v>
      </c>
      <c r="L679" s="137" t="s">
        <v>94</v>
      </c>
      <c r="M679" s="137" t="s">
        <v>87</v>
      </c>
      <c r="N679" s="137" t="b">
        <v>0</v>
      </c>
      <c r="O679" s="137"/>
      <c r="P679" s="137" t="s">
        <v>83</v>
      </c>
      <c r="Q679" s="137" t="s">
        <v>89</v>
      </c>
      <c r="R679" s="137" t="b">
        <v>0</v>
      </c>
      <c r="S679" s="139">
        <v>1</v>
      </c>
      <c r="T679" s="139">
        <v>1.27079811105077E+19</v>
      </c>
    </row>
    <row r="680" spans="3:20">
      <c r="C680" s="24" t="b">
        <v>0</v>
      </c>
      <c r="D680" s="137">
        <v>0</v>
      </c>
      <c r="E680" s="138">
        <v>3</v>
      </c>
      <c r="F680" s="137" t="s">
        <v>75</v>
      </c>
      <c r="G680" s="137"/>
      <c r="H680" s="137">
        <v>0</v>
      </c>
      <c r="I680" s="137">
        <v>0</v>
      </c>
      <c r="J680" s="137">
        <v>7.8958000000000004</v>
      </c>
      <c r="K680" s="137" t="s">
        <v>77</v>
      </c>
      <c r="L680" s="137" t="s">
        <v>79</v>
      </c>
      <c r="M680" s="137" t="s">
        <v>80</v>
      </c>
      <c r="N680" s="137" t="b">
        <v>1</v>
      </c>
      <c r="O680" s="137"/>
      <c r="P680" s="137" t="s">
        <v>83</v>
      </c>
      <c r="Q680" s="137" t="s">
        <v>84</v>
      </c>
      <c r="R680" s="137" t="b">
        <v>1</v>
      </c>
      <c r="S680" s="139">
        <v>1</v>
      </c>
      <c r="T680" s="139">
        <v>1.7970467560381901E+19</v>
      </c>
    </row>
    <row r="681" spans="3:20">
      <c r="C681" s="24" t="b">
        <v>0</v>
      </c>
      <c r="D681" s="137">
        <v>0</v>
      </c>
      <c r="E681" s="138">
        <v>1</v>
      </c>
      <c r="F681" s="137" t="s">
        <v>75</v>
      </c>
      <c r="G681" s="137"/>
      <c r="H681" s="137">
        <v>0</v>
      </c>
      <c r="I681" s="137">
        <v>0</v>
      </c>
      <c r="J681" s="137">
        <v>42.4</v>
      </c>
      <c r="K681" s="137" t="s">
        <v>77</v>
      </c>
      <c r="L681" s="137" t="s">
        <v>86</v>
      </c>
      <c r="M681" s="137" t="s">
        <v>80</v>
      </c>
      <c r="N681" s="137" t="b">
        <v>1</v>
      </c>
      <c r="O681" s="137"/>
      <c r="P681" s="137" t="s">
        <v>83</v>
      </c>
      <c r="Q681" s="137" t="s">
        <v>84</v>
      </c>
      <c r="R681" s="137" t="b">
        <v>1</v>
      </c>
      <c r="S681" s="139">
        <v>1</v>
      </c>
      <c r="T681" s="139">
        <v>1.7410083189202201E+19</v>
      </c>
    </row>
    <row r="682" spans="3:20">
      <c r="C682" s="24" t="b">
        <v>0</v>
      </c>
      <c r="D682" s="137">
        <v>0</v>
      </c>
      <c r="E682" s="138">
        <v>3</v>
      </c>
      <c r="F682" s="137" t="s">
        <v>75</v>
      </c>
      <c r="G682" s="137">
        <v>44</v>
      </c>
      <c r="H682" s="137">
        <v>0</v>
      </c>
      <c r="I682" s="137">
        <v>0</v>
      </c>
      <c r="J682" s="137">
        <v>8.0500000000000007</v>
      </c>
      <c r="K682" s="137" t="s">
        <v>77</v>
      </c>
      <c r="L682" s="137" t="s">
        <v>79</v>
      </c>
      <c r="M682" s="137" t="s">
        <v>80</v>
      </c>
      <c r="N682" s="137" t="b">
        <v>1</v>
      </c>
      <c r="O682" s="137"/>
      <c r="P682" s="137" t="s">
        <v>83</v>
      </c>
      <c r="Q682" s="137" t="s">
        <v>84</v>
      </c>
      <c r="R682" s="137" t="b">
        <v>1</v>
      </c>
      <c r="S682" s="139">
        <v>1</v>
      </c>
      <c r="T682" s="139">
        <v>1.43146259284219E+19</v>
      </c>
    </row>
    <row r="683" spans="3:20">
      <c r="C683" s="24" t="b">
        <v>0</v>
      </c>
      <c r="D683" s="137">
        <v>1</v>
      </c>
      <c r="E683" s="138">
        <v>1</v>
      </c>
      <c r="F683" s="137" t="s">
        <v>75</v>
      </c>
      <c r="G683" s="137">
        <v>35</v>
      </c>
      <c r="H683" s="137">
        <v>0</v>
      </c>
      <c r="I683" s="137">
        <v>0</v>
      </c>
      <c r="J683" s="137">
        <v>26.55</v>
      </c>
      <c r="K683" s="137" t="s">
        <v>82</v>
      </c>
      <c r="L683" s="137" t="s">
        <v>86</v>
      </c>
      <c r="M683" s="137" t="s">
        <v>80</v>
      </c>
      <c r="N683" s="137" t="b">
        <v>1</v>
      </c>
      <c r="O683" s="137"/>
      <c r="P683" s="137" t="s">
        <v>88</v>
      </c>
      <c r="Q683" s="137" t="s">
        <v>89</v>
      </c>
      <c r="R683" s="137" t="b">
        <v>1</v>
      </c>
      <c r="S683" s="139">
        <v>1</v>
      </c>
      <c r="T683" s="139">
        <v>1.31499067507259E+19</v>
      </c>
    </row>
    <row r="684" spans="3:20">
      <c r="C684" s="24" t="b">
        <v>0</v>
      </c>
      <c r="D684" s="137">
        <v>0</v>
      </c>
      <c r="E684" s="138">
        <v>3</v>
      </c>
      <c r="F684" s="137" t="s">
        <v>75</v>
      </c>
      <c r="G684" s="137">
        <v>36</v>
      </c>
      <c r="H684" s="137">
        <v>1</v>
      </c>
      <c r="I684" s="137">
        <v>0</v>
      </c>
      <c r="J684" s="137">
        <v>15.55</v>
      </c>
      <c r="K684" s="137" t="s">
        <v>77</v>
      </c>
      <c r="L684" s="137" t="s">
        <v>79</v>
      </c>
      <c r="M684" s="137" t="s">
        <v>80</v>
      </c>
      <c r="N684" s="137" t="b">
        <v>1</v>
      </c>
      <c r="O684" s="137"/>
      <c r="P684" s="137" t="s">
        <v>83</v>
      </c>
      <c r="Q684" s="137" t="s">
        <v>84</v>
      </c>
      <c r="R684" s="137" t="b">
        <v>0</v>
      </c>
      <c r="S684" s="139">
        <v>1</v>
      </c>
      <c r="T684" s="139">
        <v>6.5996786351962399E+18</v>
      </c>
    </row>
    <row r="685" spans="3:20">
      <c r="C685" s="24" t="b">
        <v>0</v>
      </c>
      <c r="D685" s="137">
        <v>0</v>
      </c>
      <c r="E685" s="138">
        <v>3</v>
      </c>
      <c r="F685" s="137" t="s">
        <v>75</v>
      </c>
      <c r="G685" s="137">
        <v>30</v>
      </c>
      <c r="H685" s="137">
        <v>0</v>
      </c>
      <c r="I685" s="137">
        <v>0</v>
      </c>
      <c r="J685" s="137">
        <v>7.8958000000000004</v>
      </c>
      <c r="K685" s="137" t="s">
        <v>77</v>
      </c>
      <c r="L685" s="137" t="s">
        <v>79</v>
      </c>
      <c r="M685" s="137" t="s">
        <v>80</v>
      </c>
      <c r="N685" s="137" t="b">
        <v>1</v>
      </c>
      <c r="O685" s="137"/>
      <c r="P685" s="137" t="s">
        <v>83</v>
      </c>
      <c r="Q685" s="137" t="s">
        <v>84</v>
      </c>
      <c r="R685" s="137" t="b">
        <v>1</v>
      </c>
      <c r="S685" s="139">
        <v>1</v>
      </c>
      <c r="T685" s="139">
        <v>1.4373262874603999E+19</v>
      </c>
    </row>
    <row r="686" spans="3:20">
      <c r="C686" s="24" t="b">
        <v>0</v>
      </c>
      <c r="D686" s="137">
        <v>1</v>
      </c>
      <c r="E686" s="138">
        <v>1</v>
      </c>
      <c r="F686" s="137" t="s">
        <v>75</v>
      </c>
      <c r="G686" s="137">
        <v>27</v>
      </c>
      <c r="H686" s="137">
        <v>0</v>
      </c>
      <c r="I686" s="137">
        <v>0</v>
      </c>
      <c r="J686" s="137">
        <v>30.5</v>
      </c>
      <c r="K686" s="137" t="s">
        <v>77</v>
      </c>
      <c r="L686" s="137" t="s">
        <v>86</v>
      </c>
      <c r="M686" s="137" t="s">
        <v>80</v>
      </c>
      <c r="N686" s="137" t="b">
        <v>1</v>
      </c>
      <c r="O686" s="137"/>
      <c r="P686" s="137" t="s">
        <v>83</v>
      </c>
      <c r="Q686" s="137" t="s">
        <v>89</v>
      </c>
      <c r="R686" s="137" t="b">
        <v>1</v>
      </c>
      <c r="S686" s="139">
        <v>1</v>
      </c>
      <c r="T686" s="139">
        <v>7.9298840251728404E+18</v>
      </c>
    </row>
    <row r="687" spans="3:20">
      <c r="C687" s="24" t="b">
        <v>0</v>
      </c>
      <c r="D687" s="137">
        <v>1</v>
      </c>
      <c r="E687" s="138">
        <v>2</v>
      </c>
      <c r="F687" s="137" t="s">
        <v>85</v>
      </c>
      <c r="G687" s="137">
        <v>22</v>
      </c>
      <c r="H687" s="137">
        <v>1</v>
      </c>
      <c r="I687" s="137">
        <v>2</v>
      </c>
      <c r="J687" s="137">
        <v>41.5792</v>
      </c>
      <c r="K687" s="137" t="s">
        <v>82</v>
      </c>
      <c r="L687" s="137" t="s">
        <v>94</v>
      </c>
      <c r="M687" s="137" t="s">
        <v>87</v>
      </c>
      <c r="N687" s="137" t="b">
        <v>0</v>
      </c>
      <c r="O687" s="137"/>
      <c r="P687" s="137" t="s">
        <v>88</v>
      </c>
      <c r="Q687" s="137" t="s">
        <v>89</v>
      </c>
      <c r="R687" s="137" t="b">
        <v>0</v>
      </c>
      <c r="S687" s="139">
        <v>1</v>
      </c>
      <c r="T687" s="139">
        <v>4.9481367723941898E+18</v>
      </c>
    </row>
    <row r="688" spans="3:20">
      <c r="C688" s="24" t="b">
        <v>0</v>
      </c>
      <c r="D688" s="137">
        <v>1</v>
      </c>
      <c r="E688" s="138">
        <v>1</v>
      </c>
      <c r="F688" s="137" t="s">
        <v>85</v>
      </c>
      <c r="G688" s="137">
        <v>40</v>
      </c>
      <c r="H688" s="137">
        <v>0</v>
      </c>
      <c r="I688" s="137">
        <v>0</v>
      </c>
      <c r="J688" s="137">
        <v>153.46250000000001</v>
      </c>
      <c r="K688" s="137" t="s">
        <v>77</v>
      </c>
      <c r="L688" s="137" t="s">
        <v>86</v>
      </c>
      <c r="M688" s="137" t="s">
        <v>87</v>
      </c>
      <c r="N688" s="137" t="b">
        <v>0</v>
      </c>
      <c r="O688" s="137" t="s">
        <v>82</v>
      </c>
      <c r="P688" s="137" t="s">
        <v>83</v>
      </c>
      <c r="Q688" s="137" t="s">
        <v>89</v>
      </c>
      <c r="R688" s="137" t="b">
        <v>1</v>
      </c>
      <c r="S688" s="139">
        <v>0</v>
      </c>
      <c r="T688" s="139">
        <v>1.4668272301812601E+19</v>
      </c>
    </row>
    <row r="689" spans="3:20">
      <c r="C689" s="24" t="b">
        <v>0</v>
      </c>
      <c r="D689" s="137">
        <v>0</v>
      </c>
      <c r="E689" s="138">
        <v>3</v>
      </c>
      <c r="F689" s="137" t="s">
        <v>85</v>
      </c>
      <c r="G689" s="137">
        <v>39</v>
      </c>
      <c r="H689" s="137">
        <v>1</v>
      </c>
      <c r="I689" s="137">
        <v>5</v>
      </c>
      <c r="J689" s="137">
        <v>31.274999999999999</v>
      </c>
      <c r="K689" s="137" t="s">
        <v>77</v>
      </c>
      <c r="L689" s="137" t="s">
        <v>79</v>
      </c>
      <c r="M689" s="137" t="s">
        <v>87</v>
      </c>
      <c r="N689" s="137" t="b">
        <v>0</v>
      </c>
      <c r="O689" s="137"/>
      <c r="P689" s="137" t="s">
        <v>83</v>
      </c>
      <c r="Q689" s="137" t="s">
        <v>84</v>
      </c>
      <c r="R689" s="137" t="b">
        <v>0</v>
      </c>
      <c r="S689" s="139">
        <v>1</v>
      </c>
      <c r="T689" s="139">
        <v>1.3142305358056901E+19</v>
      </c>
    </row>
    <row r="690" spans="3:20">
      <c r="C690" s="24" t="b">
        <v>0</v>
      </c>
      <c r="D690" s="137">
        <v>0</v>
      </c>
      <c r="E690" s="138">
        <v>3</v>
      </c>
      <c r="F690" s="137" t="s">
        <v>75</v>
      </c>
      <c r="G690" s="137"/>
      <c r="H690" s="137">
        <v>0</v>
      </c>
      <c r="I690" s="137">
        <v>0</v>
      </c>
      <c r="J690" s="137">
        <v>7.05</v>
      </c>
      <c r="K690" s="137" t="s">
        <v>77</v>
      </c>
      <c r="L690" s="137" t="s">
        <v>79</v>
      </c>
      <c r="M690" s="137" t="s">
        <v>80</v>
      </c>
      <c r="N690" s="137" t="b">
        <v>1</v>
      </c>
      <c r="O690" s="137"/>
      <c r="P690" s="137" t="s">
        <v>83</v>
      </c>
      <c r="Q690" s="137" t="s">
        <v>84</v>
      </c>
      <c r="R690" s="137" t="b">
        <v>1</v>
      </c>
      <c r="S690" s="139">
        <v>1</v>
      </c>
      <c r="T690" s="139">
        <v>7.5181888810471404E+18</v>
      </c>
    </row>
    <row r="691" spans="3:20">
      <c r="C691" s="24" t="b">
        <v>0</v>
      </c>
      <c r="D691" s="137">
        <v>1</v>
      </c>
      <c r="E691" s="138">
        <v>3</v>
      </c>
      <c r="F691" s="137" t="s">
        <v>85</v>
      </c>
      <c r="G691" s="137"/>
      <c r="H691" s="137">
        <v>1</v>
      </c>
      <c r="I691" s="137">
        <v>0</v>
      </c>
      <c r="J691" s="137">
        <v>15.5</v>
      </c>
      <c r="K691" s="137" t="s">
        <v>90</v>
      </c>
      <c r="L691" s="137" t="s">
        <v>79</v>
      </c>
      <c r="M691" s="137" t="s">
        <v>87</v>
      </c>
      <c r="N691" s="137" t="b">
        <v>0</v>
      </c>
      <c r="O691" s="137"/>
      <c r="P691" s="137" t="s">
        <v>91</v>
      </c>
      <c r="Q691" s="137" t="s">
        <v>89</v>
      </c>
      <c r="R691" s="137" t="b">
        <v>0</v>
      </c>
      <c r="S691" s="139">
        <v>1</v>
      </c>
      <c r="T691" s="139">
        <v>6.4154019982692997E+18</v>
      </c>
    </row>
    <row r="692" spans="3:20">
      <c r="C692" s="24" t="b">
        <v>0</v>
      </c>
      <c r="D692" s="137">
        <v>0</v>
      </c>
      <c r="E692" s="138">
        <v>3</v>
      </c>
      <c r="F692" s="137" t="s">
        <v>75</v>
      </c>
      <c r="G692" s="137"/>
      <c r="H692" s="137">
        <v>0</v>
      </c>
      <c r="I692" s="137">
        <v>0</v>
      </c>
      <c r="J692" s="137">
        <v>7.75</v>
      </c>
      <c r="K692" s="137" t="s">
        <v>90</v>
      </c>
      <c r="L692" s="137" t="s">
        <v>79</v>
      </c>
      <c r="M692" s="137" t="s">
        <v>80</v>
      </c>
      <c r="N692" s="137" t="b">
        <v>1</v>
      </c>
      <c r="O692" s="137"/>
      <c r="P692" s="137" t="s">
        <v>91</v>
      </c>
      <c r="Q692" s="137" t="s">
        <v>84</v>
      </c>
      <c r="R692" s="137" t="b">
        <v>1</v>
      </c>
      <c r="S692" s="139">
        <v>1</v>
      </c>
      <c r="T692" s="139">
        <v>8.8562668406319196E+18</v>
      </c>
    </row>
    <row r="693" spans="3:20">
      <c r="C693" s="24" t="b">
        <v>0</v>
      </c>
      <c r="D693" s="137">
        <v>0</v>
      </c>
      <c r="E693" s="138">
        <v>3</v>
      </c>
      <c r="F693" s="137" t="s">
        <v>75</v>
      </c>
      <c r="G693" s="137">
        <v>35</v>
      </c>
      <c r="H693" s="137">
        <v>0</v>
      </c>
      <c r="I693" s="137">
        <v>0</v>
      </c>
      <c r="J693" s="137">
        <v>8.0500000000000007</v>
      </c>
      <c r="K693" s="137" t="s">
        <v>77</v>
      </c>
      <c r="L693" s="137" t="s">
        <v>79</v>
      </c>
      <c r="M693" s="137" t="s">
        <v>80</v>
      </c>
      <c r="N693" s="137" t="b">
        <v>1</v>
      </c>
      <c r="O693" s="137"/>
      <c r="P693" s="137" t="s">
        <v>83</v>
      </c>
      <c r="Q693" s="137" t="s">
        <v>84</v>
      </c>
      <c r="R693" s="137" t="b">
        <v>1</v>
      </c>
      <c r="S693" s="139">
        <v>1</v>
      </c>
      <c r="T693" s="139">
        <v>1.0296334085113301E+19</v>
      </c>
    </row>
    <row r="694" spans="3:20">
      <c r="C694" s="24" t="b">
        <v>0</v>
      </c>
      <c r="D694" s="137">
        <v>1</v>
      </c>
      <c r="E694" s="138">
        <v>2</v>
      </c>
      <c r="F694" s="137" t="s">
        <v>85</v>
      </c>
      <c r="G694" s="137">
        <v>24</v>
      </c>
      <c r="H694" s="137">
        <v>1</v>
      </c>
      <c r="I694" s="137">
        <v>2</v>
      </c>
      <c r="J694" s="137">
        <v>65</v>
      </c>
      <c r="K694" s="137" t="s">
        <v>77</v>
      </c>
      <c r="L694" s="137" t="s">
        <v>94</v>
      </c>
      <c r="M694" s="137" t="s">
        <v>87</v>
      </c>
      <c r="N694" s="137" t="b">
        <v>0</v>
      </c>
      <c r="O694" s="137"/>
      <c r="P694" s="137" t="s">
        <v>83</v>
      </c>
      <c r="Q694" s="137" t="s">
        <v>89</v>
      </c>
      <c r="R694" s="137" t="b">
        <v>0</v>
      </c>
      <c r="S694" s="139">
        <v>1</v>
      </c>
      <c r="T694" s="139">
        <v>1.24041044532615E+19</v>
      </c>
    </row>
    <row r="695" spans="3:20">
      <c r="C695" s="24" t="b">
        <v>0</v>
      </c>
      <c r="D695" s="137">
        <v>0</v>
      </c>
      <c r="E695" s="138">
        <v>3</v>
      </c>
      <c r="F695" s="137" t="s">
        <v>75</v>
      </c>
      <c r="G695" s="137">
        <v>34</v>
      </c>
      <c r="H695" s="137">
        <v>1</v>
      </c>
      <c r="I695" s="137">
        <v>1</v>
      </c>
      <c r="J695" s="137">
        <v>14.4</v>
      </c>
      <c r="K695" s="137" t="s">
        <v>77</v>
      </c>
      <c r="L695" s="137" t="s">
        <v>79</v>
      </c>
      <c r="M695" s="137" t="s">
        <v>80</v>
      </c>
      <c r="N695" s="137" t="b">
        <v>1</v>
      </c>
      <c r="O695" s="137"/>
      <c r="P695" s="137" t="s">
        <v>83</v>
      </c>
      <c r="Q695" s="137" t="s">
        <v>84</v>
      </c>
      <c r="R695" s="137" t="b">
        <v>0</v>
      </c>
      <c r="S695" s="139">
        <v>1</v>
      </c>
      <c r="T695" s="139">
        <v>1.2055469816016099E+19</v>
      </c>
    </row>
    <row r="696" spans="3:20">
      <c r="C696" s="24" t="b">
        <v>0</v>
      </c>
      <c r="D696" s="137">
        <v>0</v>
      </c>
      <c r="E696" s="138">
        <v>3</v>
      </c>
      <c r="F696" s="137" t="s">
        <v>85</v>
      </c>
      <c r="G696" s="137">
        <v>26</v>
      </c>
      <c r="H696" s="137">
        <v>1</v>
      </c>
      <c r="I696" s="137">
        <v>0</v>
      </c>
      <c r="J696" s="137">
        <v>16.100000000000001</v>
      </c>
      <c r="K696" s="137" t="s">
        <v>77</v>
      </c>
      <c r="L696" s="137" t="s">
        <v>79</v>
      </c>
      <c r="M696" s="137" t="s">
        <v>87</v>
      </c>
      <c r="N696" s="137" t="b">
        <v>0</v>
      </c>
      <c r="O696" s="137"/>
      <c r="P696" s="137" t="s">
        <v>83</v>
      </c>
      <c r="Q696" s="137" t="s">
        <v>84</v>
      </c>
      <c r="R696" s="137" t="b">
        <v>0</v>
      </c>
      <c r="S696" s="139">
        <v>1</v>
      </c>
      <c r="T696" s="139">
        <v>1.6336292897259301E+19</v>
      </c>
    </row>
    <row r="697" spans="3:20">
      <c r="C697" s="24" t="b">
        <v>0</v>
      </c>
      <c r="D697" s="137">
        <v>1</v>
      </c>
      <c r="E697" s="138">
        <v>2</v>
      </c>
      <c r="F697" s="137" t="s">
        <v>85</v>
      </c>
      <c r="G697" s="137">
        <v>4</v>
      </c>
      <c r="H697" s="137">
        <v>2</v>
      </c>
      <c r="I697" s="137">
        <v>1</v>
      </c>
      <c r="J697" s="137">
        <v>39</v>
      </c>
      <c r="K697" s="137" t="s">
        <v>77</v>
      </c>
      <c r="L697" s="137" t="s">
        <v>94</v>
      </c>
      <c r="M697" s="137" t="s">
        <v>93</v>
      </c>
      <c r="N697" s="137" t="b">
        <v>0</v>
      </c>
      <c r="O697" s="137" t="s">
        <v>99</v>
      </c>
      <c r="P697" s="137" t="s">
        <v>83</v>
      </c>
      <c r="Q697" s="137" t="s">
        <v>89</v>
      </c>
      <c r="R697" s="137" t="b">
        <v>0</v>
      </c>
      <c r="S697" s="139">
        <v>0</v>
      </c>
      <c r="T697" s="139">
        <v>6.58601082322223E+18</v>
      </c>
    </row>
    <row r="698" spans="3:20">
      <c r="C698" s="24" t="b">
        <v>0</v>
      </c>
      <c r="D698" s="137">
        <v>0</v>
      </c>
      <c r="E698" s="138">
        <v>2</v>
      </c>
      <c r="F698" s="137" t="s">
        <v>75</v>
      </c>
      <c r="G698" s="137">
        <v>26</v>
      </c>
      <c r="H698" s="137">
        <v>0</v>
      </c>
      <c r="I698" s="137">
        <v>0</v>
      </c>
      <c r="J698" s="137">
        <v>10.5</v>
      </c>
      <c r="K698" s="137" t="s">
        <v>77</v>
      </c>
      <c r="L698" s="137" t="s">
        <v>94</v>
      </c>
      <c r="M698" s="137" t="s">
        <v>80</v>
      </c>
      <c r="N698" s="137" t="b">
        <v>1</v>
      </c>
      <c r="O698" s="137"/>
      <c r="P698" s="137" t="s">
        <v>83</v>
      </c>
      <c r="Q698" s="137" t="s">
        <v>84</v>
      </c>
      <c r="R698" s="137" t="b">
        <v>1</v>
      </c>
      <c r="S698" s="139">
        <v>1</v>
      </c>
      <c r="T698" s="139">
        <v>3.25827676972111E+18</v>
      </c>
    </row>
    <row r="699" spans="3:20">
      <c r="C699" s="24" t="b">
        <v>0</v>
      </c>
      <c r="D699" s="137">
        <v>0</v>
      </c>
      <c r="E699" s="138">
        <v>3</v>
      </c>
      <c r="F699" s="137" t="s">
        <v>75</v>
      </c>
      <c r="G699" s="137">
        <v>27</v>
      </c>
      <c r="H699" s="137">
        <v>1</v>
      </c>
      <c r="I699" s="137">
        <v>0</v>
      </c>
      <c r="J699" s="137">
        <v>14.4542</v>
      </c>
      <c r="K699" s="137" t="s">
        <v>82</v>
      </c>
      <c r="L699" s="137" t="s">
        <v>79</v>
      </c>
      <c r="M699" s="137" t="s">
        <v>80</v>
      </c>
      <c r="N699" s="137" t="b">
        <v>1</v>
      </c>
      <c r="O699" s="137"/>
      <c r="P699" s="137" t="s">
        <v>88</v>
      </c>
      <c r="Q699" s="137" t="s">
        <v>84</v>
      </c>
      <c r="R699" s="137" t="b">
        <v>0</v>
      </c>
      <c r="S699" s="139">
        <v>1</v>
      </c>
      <c r="T699" s="139">
        <v>1.6074280790837801E+19</v>
      </c>
    </row>
    <row r="700" spans="3:20">
      <c r="C700" s="24" t="b">
        <v>0</v>
      </c>
      <c r="D700" s="137">
        <v>1</v>
      </c>
      <c r="E700" s="138">
        <v>1</v>
      </c>
      <c r="F700" s="137" t="s">
        <v>75</v>
      </c>
      <c r="G700" s="137">
        <v>42</v>
      </c>
      <c r="H700" s="137">
        <v>1</v>
      </c>
      <c r="I700" s="137">
        <v>0</v>
      </c>
      <c r="J700" s="137">
        <v>52.554200000000002</v>
      </c>
      <c r="K700" s="137" t="s">
        <v>77</v>
      </c>
      <c r="L700" s="137" t="s">
        <v>86</v>
      </c>
      <c r="M700" s="137" t="s">
        <v>80</v>
      </c>
      <c r="N700" s="137" t="b">
        <v>1</v>
      </c>
      <c r="O700" s="137" t="s">
        <v>96</v>
      </c>
      <c r="P700" s="137" t="s">
        <v>83</v>
      </c>
      <c r="Q700" s="137" t="s">
        <v>89</v>
      </c>
      <c r="R700" s="137" t="b">
        <v>0</v>
      </c>
      <c r="S700" s="139">
        <v>0</v>
      </c>
      <c r="T700" s="139">
        <v>2.0419657990874501E+18</v>
      </c>
    </row>
    <row r="701" spans="3:20">
      <c r="C701" s="24" t="b">
        <v>0</v>
      </c>
      <c r="D701" s="137">
        <v>1</v>
      </c>
      <c r="E701" s="138">
        <v>3</v>
      </c>
      <c r="F701" s="137" t="s">
        <v>75</v>
      </c>
      <c r="G701" s="137">
        <v>20</v>
      </c>
      <c r="H701" s="137">
        <v>1</v>
      </c>
      <c r="I701" s="137">
        <v>1</v>
      </c>
      <c r="J701" s="137">
        <v>15.7417</v>
      </c>
      <c r="K701" s="137" t="s">
        <v>82</v>
      </c>
      <c r="L701" s="137" t="s">
        <v>79</v>
      </c>
      <c r="M701" s="137" t="s">
        <v>80</v>
      </c>
      <c r="N701" s="137" t="b">
        <v>1</v>
      </c>
      <c r="O701" s="137"/>
      <c r="P701" s="137" t="s">
        <v>88</v>
      </c>
      <c r="Q701" s="137" t="s">
        <v>89</v>
      </c>
      <c r="R701" s="137" t="b">
        <v>0</v>
      </c>
      <c r="S701" s="139">
        <v>1</v>
      </c>
      <c r="T701" s="139">
        <v>7.9105971768815596E+18</v>
      </c>
    </row>
    <row r="702" spans="3:20">
      <c r="C702" s="24" t="b">
        <v>0</v>
      </c>
      <c r="D702" s="137">
        <v>0</v>
      </c>
      <c r="E702" s="138">
        <v>3</v>
      </c>
      <c r="F702" s="137" t="s">
        <v>75</v>
      </c>
      <c r="G702" s="137">
        <v>21</v>
      </c>
      <c r="H702" s="137">
        <v>0</v>
      </c>
      <c r="I702" s="137">
        <v>0</v>
      </c>
      <c r="J702" s="137">
        <v>7.8541999999999996</v>
      </c>
      <c r="K702" s="137" t="s">
        <v>77</v>
      </c>
      <c r="L702" s="137" t="s">
        <v>79</v>
      </c>
      <c r="M702" s="137" t="s">
        <v>80</v>
      </c>
      <c r="N702" s="137" t="b">
        <v>1</v>
      </c>
      <c r="O702" s="137"/>
      <c r="P702" s="137" t="s">
        <v>83</v>
      </c>
      <c r="Q702" s="137" t="s">
        <v>84</v>
      </c>
      <c r="R702" s="137" t="b">
        <v>1</v>
      </c>
      <c r="S702" s="139">
        <v>1</v>
      </c>
      <c r="T702" s="139">
        <v>1.3497526404776301E+19</v>
      </c>
    </row>
    <row r="703" spans="3:20">
      <c r="C703" s="24" t="b">
        <v>0</v>
      </c>
      <c r="D703" s="137">
        <v>0</v>
      </c>
      <c r="E703" s="138">
        <v>3</v>
      </c>
      <c r="F703" s="137" t="s">
        <v>75</v>
      </c>
      <c r="G703" s="137">
        <v>21</v>
      </c>
      <c r="H703" s="137">
        <v>0</v>
      </c>
      <c r="I703" s="137">
        <v>0</v>
      </c>
      <c r="J703" s="137">
        <v>16.100000000000001</v>
      </c>
      <c r="K703" s="137" t="s">
        <v>77</v>
      </c>
      <c r="L703" s="137" t="s">
        <v>79</v>
      </c>
      <c r="M703" s="137" t="s">
        <v>80</v>
      </c>
      <c r="N703" s="137" t="b">
        <v>1</v>
      </c>
      <c r="O703" s="137"/>
      <c r="P703" s="137" t="s">
        <v>83</v>
      </c>
      <c r="Q703" s="137" t="s">
        <v>84</v>
      </c>
      <c r="R703" s="137" t="b">
        <v>1</v>
      </c>
      <c r="S703" s="139">
        <v>1</v>
      </c>
      <c r="T703" s="139">
        <v>7.3200277113630904E+18</v>
      </c>
    </row>
    <row r="704" spans="3:20">
      <c r="C704" s="24" t="b">
        <v>0</v>
      </c>
      <c r="D704" s="137">
        <v>0</v>
      </c>
      <c r="E704" s="138">
        <v>1</v>
      </c>
      <c r="F704" s="137" t="s">
        <v>75</v>
      </c>
      <c r="G704" s="137">
        <v>61</v>
      </c>
      <c r="H704" s="137">
        <v>0</v>
      </c>
      <c r="I704" s="137">
        <v>0</v>
      </c>
      <c r="J704" s="137">
        <v>32.320799999999998</v>
      </c>
      <c r="K704" s="137" t="s">
        <v>77</v>
      </c>
      <c r="L704" s="137" t="s">
        <v>86</v>
      </c>
      <c r="M704" s="137" t="s">
        <v>80</v>
      </c>
      <c r="N704" s="137" t="b">
        <v>1</v>
      </c>
      <c r="O704" s="137" t="s">
        <v>96</v>
      </c>
      <c r="P704" s="137" t="s">
        <v>83</v>
      </c>
      <c r="Q704" s="137" t="s">
        <v>84</v>
      </c>
      <c r="R704" s="137" t="b">
        <v>1</v>
      </c>
      <c r="S704" s="139">
        <v>0</v>
      </c>
      <c r="T704" s="139">
        <v>6.1754137180689306E+17</v>
      </c>
    </row>
    <row r="705" spans="3:20">
      <c r="C705" s="24" t="b">
        <v>0</v>
      </c>
      <c r="D705" s="137">
        <v>0</v>
      </c>
      <c r="E705" s="138">
        <v>2</v>
      </c>
      <c r="F705" s="137" t="s">
        <v>75</v>
      </c>
      <c r="G705" s="137">
        <v>57</v>
      </c>
      <c r="H705" s="137">
        <v>0</v>
      </c>
      <c r="I705" s="137">
        <v>0</v>
      </c>
      <c r="J705" s="137">
        <v>12.35</v>
      </c>
      <c r="K705" s="137" t="s">
        <v>90</v>
      </c>
      <c r="L705" s="137" t="s">
        <v>94</v>
      </c>
      <c r="M705" s="137" t="s">
        <v>80</v>
      </c>
      <c r="N705" s="137" t="b">
        <v>1</v>
      </c>
      <c r="O705" s="137"/>
      <c r="P705" s="137" t="s">
        <v>91</v>
      </c>
      <c r="Q705" s="137" t="s">
        <v>84</v>
      </c>
      <c r="R705" s="137" t="b">
        <v>1</v>
      </c>
      <c r="S705" s="139">
        <v>1</v>
      </c>
      <c r="T705" s="139">
        <v>3.2154770333044403E+17</v>
      </c>
    </row>
    <row r="706" spans="3:20">
      <c r="C706" s="24" t="b">
        <v>0</v>
      </c>
      <c r="D706" s="137">
        <v>1</v>
      </c>
      <c r="E706" s="138">
        <v>1</v>
      </c>
      <c r="F706" s="137" t="s">
        <v>85</v>
      </c>
      <c r="G706" s="137">
        <v>21</v>
      </c>
      <c r="H706" s="137">
        <v>0</v>
      </c>
      <c r="I706" s="137">
        <v>0</v>
      </c>
      <c r="J706" s="137">
        <v>77.958299999999994</v>
      </c>
      <c r="K706" s="137" t="s">
        <v>77</v>
      </c>
      <c r="L706" s="137" t="s">
        <v>86</v>
      </c>
      <c r="M706" s="137" t="s">
        <v>87</v>
      </c>
      <c r="N706" s="137" t="b">
        <v>0</v>
      </c>
      <c r="O706" s="137" t="s">
        <v>96</v>
      </c>
      <c r="P706" s="137" t="s">
        <v>83</v>
      </c>
      <c r="Q706" s="137" t="s">
        <v>89</v>
      </c>
      <c r="R706" s="137" t="b">
        <v>1</v>
      </c>
      <c r="S706" s="139">
        <v>0</v>
      </c>
      <c r="T706" s="139">
        <v>1.2843384209622999E+19</v>
      </c>
    </row>
    <row r="707" spans="3:20">
      <c r="C707" s="24" t="b">
        <v>0</v>
      </c>
      <c r="D707" s="137">
        <v>0</v>
      </c>
      <c r="E707" s="138">
        <v>3</v>
      </c>
      <c r="F707" s="137" t="s">
        <v>75</v>
      </c>
      <c r="G707" s="137">
        <v>26</v>
      </c>
      <c r="H707" s="137">
        <v>0</v>
      </c>
      <c r="I707" s="137">
        <v>0</v>
      </c>
      <c r="J707" s="137">
        <v>7.8958000000000004</v>
      </c>
      <c r="K707" s="137" t="s">
        <v>77</v>
      </c>
      <c r="L707" s="137" t="s">
        <v>79</v>
      </c>
      <c r="M707" s="137" t="s">
        <v>80</v>
      </c>
      <c r="N707" s="137" t="b">
        <v>1</v>
      </c>
      <c r="O707" s="137"/>
      <c r="P707" s="137" t="s">
        <v>83</v>
      </c>
      <c r="Q707" s="137" t="s">
        <v>84</v>
      </c>
      <c r="R707" s="137" t="b">
        <v>1</v>
      </c>
      <c r="S707" s="139">
        <v>1</v>
      </c>
      <c r="T707" s="139">
        <v>6.9146312707911199E+18</v>
      </c>
    </row>
    <row r="708" spans="3:20">
      <c r="C708" s="24" t="b">
        <v>0</v>
      </c>
      <c r="D708" s="137">
        <v>0</v>
      </c>
      <c r="E708" s="138">
        <v>3</v>
      </c>
      <c r="F708" s="137" t="s">
        <v>75</v>
      </c>
      <c r="G708" s="137"/>
      <c r="H708" s="137">
        <v>0</v>
      </c>
      <c r="I708" s="137">
        <v>0</v>
      </c>
      <c r="J708" s="137">
        <v>7.7332999999999998</v>
      </c>
      <c r="K708" s="137" t="s">
        <v>90</v>
      </c>
      <c r="L708" s="137" t="s">
        <v>79</v>
      </c>
      <c r="M708" s="137" t="s">
        <v>80</v>
      </c>
      <c r="N708" s="137" t="b">
        <v>1</v>
      </c>
      <c r="O708" s="137"/>
      <c r="P708" s="137" t="s">
        <v>91</v>
      </c>
      <c r="Q708" s="137" t="s">
        <v>84</v>
      </c>
      <c r="R708" s="137" t="b">
        <v>1</v>
      </c>
      <c r="S708" s="139">
        <v>1</v>
      </c>
      <c r="T708" s="139">
        <v>8.7586898693444096E+18</v>
      </c>
    </row>
    <row r="709" spans="3:20">
      <c r="C709" s="24" t="b">
        <v>0</v>
      </c>
      <c r="D709" s="137">
        <v>1</v>
      </c>
      <c r="E709" s="138">
        <v>1</v>
      </c>
      <c r="F709" s="137" t="s">
        <v>75</v>
      </c>
      <c r="G709" s="137">
        <v>80</v>
      </c>
      <c r="H709" s="137">
        <v>0</v>
      </c>
      <c r="I709" s="137">
        <v>0</v>
      </c>
      <c r="J709" s="137">
        <v>30</v>
      </c>
      <c r="K709" s="137" t="s">
        <v>77</v>
      </c>
      <c r="L709" s="137" t="s">
        <v>86</v>
      </c>
      <c r="M709" s="137" t="s">
        <v>80</v>
      </c>
      <c r="N709" s="137" t="b">
        <v>1</v>
      </c>
      <c r="O709" s="137" t="s">
        <v>97</v>
      </c>
      <c r="P709" s="137" t="s">
        <v>83</v>
      </c>
      <c r="Q709" s="137" t="s">
        <v>89</v>
      </c>
      <c r="R709" s="137" t="b">
        <v>1</v>
      </c>
      <c r="S709" s="139">
        <v>0</v>
      </c>
      <c r="T709" s="139">
        <v>6.49789653458176E+18</v>
      </c>
    </row>
    <row r="710" spans="3:20">
      <c r="C710" s="24" t="b">
        <v>0</v>
      </c>
      <c r="D710" s="137">
        <v>0</v>
      </c>
      <c r="E710" s="138">
        <v>3</v>
      </c>
      <c r="F710" s="137" t="s">
        <v>75</v>
      </c>
      <c r="G710" s="137">
        <v>51</v>
      </c>
      <c r="H710" s="137">
        <v>0</v>
      </c>
      <c r="I710" s="137">
        <v>0</v>
      </c>
      <c r="J710" s="137">
        <v>7.0541999999999998</v>
      </c>
      <c r="K710" s="137" t="s">
        <v>77</v>
      </c>
      <c r="L710" s="137" t="s">
        <v>79</v>
      </c>
      <c r="M710" s="137" t="s">
        <v>80</v>
      </c>
      <c r="N710" s="137" t="b">
        <v>1</v>
      </c>
      <c r="O710" s="137"/>
      <c r="P710" s="137" t="s">
        <v>83</v>
      </c>
      <c r="Q710" s="137" t="s">
        <v>84</v>
      </c>
      <c r="R710" s="137" t="b">
        <v>1</v>
      </c>
      <c r="S710" s="139">
        <v>1</v>
      </c>
      <c r="T710" s="139">
        <v>9.8149171717822198E+18</v>
      </c>
    </row>
    <row r="711" spans="3:20">
      <c r="C711" s="24" t="b">
        <v>0</v>
      </c>
      <c r="D711" s="137">
        <v>1</v>
      </c>
      <c r="E711" s="138">
        <v>1</v>
      </c>
      <c r="F711" s="137" t="s">
        <v>75</v>
      </c>
      <c r="G711" s="137">
        <v>32</v>
      </c>
      <c r="H711" s="137">
        <v>0</v>
      </c>
      <c r="I711" s="137">
        <v>0</v>
      </c>
      <c r="J711" s="137">
        <v>30.5</v>
      </c>
      <c r="K711" s="137" t="s">
        <v>82</v>
      </c>
      <c r="L711" s="137" t="s">
        <v>86</v>
      </c>
      <c r="M711" s="137" t="s">
        <v>80</v>
      </c>
      <c r="N711" s="137" t="b">
        <v>1</v>
      </c>
      <c r="O711" s="137" t="s">
        <v>98</v>
      </c>
      <c r="P711" s="137" t="s">
        <v>88</v>
      </c>
      <c r="Q711" s="137" t="s">
        <v>89</v>
      </c>
      <c r="R711" s="137" t="b">
        <v>1</v>
      </c>
      <c r="S711" s="139">
        <v>0</v>
      </c>
      <c r="T711" s="139">
        <v>9.8518696047875297E+18</v>
      </c>
    </row>
    <row r="712" spans="3:20">
      <c r="C712" s="24" t="b">
        <v>0</v>
      </c>
      <c r="D712" s="137">
        <v>0</v>
      </c>
      <c r="E712" s="138">
        <v>1</v>
      </c>
      <c r="F712" s="137" t="s">
        <v>75</v>
      </c>
      <c r="G712" s="137"/>
      <c r="H712" s="137">
        <v>0</v>
      </c>
      <c r="I712" s="137">
        <v>0</v>
      </c>
      <c r="J712" s="137">
        <v>0</v>
      </c>
      <c r="K712" s="137" t="s">
        <v>77</v>
      </c>
      <c r="L712" s="137" t="s">
        <v>86</v>
      </c>
      <c r="M712" s="137" t="s">
        <v>80</v>
      </c>
      <c r="N712" s="137" t="b">
        <v>1</v>
      </c>
      <c r="O712" s="137"/>
      <c r="P712" s="137" t="s">
        <v>83</v>
      </c>
      <c r="Q712" s="137" t="s">
        <v>84</v>
      </c>
      <c r="R712" s="137" t="b">
        <v>1</v>
      </c>
      <c r="S712" s="139">
        <v>1</v>
      </c>
      <c r="T712" s="139">
        <v>7.8250638207240899E+18</v>
      </c>
    </row>
    <row r="713" spans="3:20">
      <c r="C713" s="24" t="b">
        <v>0</v>
      </c>
      <c r="D713" s="137">
        <v>0</v>
      </c>
      <c r="E713" s="138">
        <v>3</v>
      </c>
      <c r="F713" s="137" t="s">
        <v>85</v>
      </c>
      <c r="G713" s="137">
        <v>9</v>
      </c>
      <c r="H713" s="137">
        <v>3</v>
      </c>
      <c r="I713" s="137">
        <v>2</v>
      </c>
      <c r="J713" s="137">
        <v>27.9</v>
      </c>
      <c r="K713" s="137" t="s">
        <v>77</v>
      </c>
      <c r="L713" s="137" t="s">
        <v>79</v>
      </c>
      <c r="M713" s="137" t="s">
        <v>93</v>
      </c>
      <c r="N713" s="137" t="b">
        <v>0</v>
      </c>
      <c r="O713" s="137"/>
      <c r="P713" s="137" t="s">
        <v>83</v>
      </c>
      <c r="Q713" s="137" t="s">
        <v>84</v>
      </c>
      <c r="R713" s="137" t="b">
        <v>0</v>
      </c>
      <c r="S713" s="139">
        <v>1</v>
      </c>
      <c r="T713" s="139">
        <v>1.0549975291437199E+19</v>
      </c>
    </row>
    <row r="714" spans="3:20">
      <c r="C714" s="24" t="b">
        <v>0</v>
      </c>
      <c r="D714" s="137">
        <v>1</v>
      </c>
      <c r="E714" s="138">
        <v>2</v>
      </c>
      <c r="F714" s="137" t="s">
        <v>85</v>
      </c>
      <c r="G714" s="137">
        <v>28</v>
      </c>
      <c r="H714" s="137">
        <v>0</v>
      </c>
      <c r="I714" s="137">
        <v>0</v>
      </c>
      <c r="J714" s="137">
        <v>13</v>
      </c>
      <c r="K714" s="137" t="s">
        <v>77</v>
      </c>
      <c r="L714" s="137" t="s">
        <v>94</v>
      </c>
      <c r="M714" s="137" t="s">
        <v>87</v>
      </c>
      <c r="N714" s="137" t="b">
        <v>0</v>
      </c>
      <c r="O714" s="137"/>
      <c r="P714" s="137" t="s">
        <v>83</v>
      </c>
      <c r="Q714" s="137" t="s">
        <v>89</v>
      </c>
      <c r="R714" s="137" t="b">
        <v>1</v>
      </c>
      <c r="S714" s="139">
        <v>1</v>
      </c>
      <c r="T714" s="139">
        <v>1.74605403415423E+19</v>
      </c>
    </row>
    <row r="715" spans="3:20">
      <c r="C715" s="24" t="b">
        <v>0</v>
      </c>
      <c r="D715" s="137">
        <v>0</v>
      </c>
      <c r="E715" s="138">
        <v>3</v>
      </c>
      <c r="F715" s="137" t="s">
        <v>75</v>
      </c>
      <c r="G715" s="137">
        <v>32</v>
      </c>
      <c r="H715" s="137">
        <v>0</v>
      </c>
      <c r="I715" s="137">
        <v>0</v>
      </c>
      <c r="J715" s="137">
        <v>7.9249999999999998</v>
      </c>
      <c r="K715" s="137" t="s">
        <v>77</v>
      </c>
      <c r="L715" s="137" t="s">
        <v>79</v>
      </c>
      <c r="M715" s="137" t="s">
        <v>80</v>
      </c>
      <c r="N715" s="137" t="b">
        <v>1</v>
      </c>
      <c r="O715" s="137"/>
      <c r="P715" s="137" t="s">
        <v>83</v>
      </c>
      <c r="Q715" s="137" t="s">
        <v>84</v>
      </c>
      <c r="R715" s="137" t="b">
        <v>1</v>
      </c>
      <c r="S715" s="139">
        <v>1</v>
      </c>
      <c r="T715" s="139">
        <v>1.2445234185820799E+19</v>
      </c>
    </row>
    <row r="716" spans="3:20">
      <c r="C716" s="24" t="b">
        <v>0</v>
      </c>
      <c r="D716" s="137">
        <v>0</v>
      </c>
      <c r="E716" s="138">
        <v>2</v>
      </c>
      <c r="F716" s="137" t="s">
        <v>75</v>
      </c>
      <c r="G716" s="137">
        <v>31</v>
      </c>
      <c r="H716" s="137">
        <v>1</v>
      </c>
      <c r="I716" s="137">
        <v>1</v>
      </c>
      <c r="J716" s="137">
        <v>26.25</v>
      </c>
      <c r="K716" s="137" t="s">
        <v>77</v>
      </c>
      <c r="L716" s="137" t="s">
        <v>94</v>
      </c>
      <c r="M716" s="137" t="s">
        <v>80</v>
      </c>
      <c r="N716" s="137" t="b">
        <v>1</v>
      </c>
      <c r="O716" s="137"/>
      <c r="P716" s="137" t="s">
        <v>83</v>
      </c>
      <c r="Q716" s="137" t="s">
        <v>84</v>
      </c>
      <c r="R716" s="137" t="b">
        <v>0</v>
      </c>
      <c r="S716" s="139">
        <v>1</v>
      </c>
      <c r="T716" s="139">
        <v>3.5432376950074501E+18</v>
      </c>
    </row>
    <row r="717" spans="3:20">
      <c r="C717" s="24" t="b">
        <v>0</v>
      </c>
      <c r="D717" s="137">
        <v>0</v>
      </c>
      <c r="E717" s="138">
        <v>3</v>
      </c>
      <c r="F717" s="137" t="s">
        <v>85</v>
      </c>
      <c r="G717" s="137">
        <v>41</v>
      </c>
      <c r="H717" s="137">
        <v>0</v>
      </c>
      <c r="I717" s="137">
        <v>5</v>
      </c>
      <c r="J717" s="137">
        <v>39.6875</v>
      </c>
      <c r="K717" s="137" t="s">
        <v>77</v>
      </c>
      <c r="L717" s="137" t="s">
        <v>79</v>
      </c>
      <c r="M717" s="137" t="s">
        <v>87</v>
      </c>
      <c r="N717" s="137" t="b">
        <v>0</v>
      </c>
      <c r="O717" s="137"/>
      <c r="P717" s="137" t="s">
        <v>83</v>
      </c>
      <c r="Q717" s="137" t="s">
        <v>84</v>
      </c>
      <c r="R717" s="137" t="b">
        <v>0</v>
      </c>
      <c r="S717" s="139">
        <v>1</v>
      </c>
      <c r="T717" s="139">
        <v>1.36261745705011E+19</v>
      </c>
    </row>
    <row r="718" spans="3:20">
      <c r="C718" s="24" t="b">
        <v>0</v>
      </c>
      <c r="D718" s="137">
        <v>0</v>
      </c>
      <c r="E718" s="138">
        <v>3</v>
      </c>
      <c r="F718" s="137" t="s">
        <v>75</v>
      </c>
      <c r="G718" s="137"/>
      <c r="H718" s="137">
        <v>1</v>
      </c>
      <c r="I718" s="137">
        <v>0</v>
      </c>
      <c r="J718" s="137">
        <v>16.100000000000001</v>
      </c>
      <c r="K718" s="137" t="s">
        <v>77</v>
      </c>
      <c r="L718" s="137" t="s">
        <v>79</v>
      </c>
      <c r="M718" s="137" t="s">
        <v>80</v>
      </c>
      <c r="N718" s="137" t="b">
        <v>1</v>
      </c>
      <c r="O718" s="137"/>
      <c r="P718" s="137" t="s">
        <v>83</v>
      </c>
      <c r="Q718" s="137" t="s">
        <v>84</v>
      </c>
      <c r="R718" s="137" t="b">
        <v>0</v>
      </c>
      <c r="S718" s="139">
        <v>1</v>
      </c>
      <c r="T718" s="139">
        <v>1.3526637071025701E+19</v>
      </c>
    </row>
    <row r="719" spans="3:20">
      <c r="C719" s="24" t="b">
        <v>0</v>
      </c>
      <c r="D719" s="137">
        <v>0</v>
      </c>
      <c r="E719" s="138">
        <v>3</v>
      </c>
      <c r="F719" s="137" t="s">
        <v>75</v>
      </c>
      <c r="G719" s="137">
        <v>20</v>
      </c>
      <c r="H719" s="137">
        <v>0</v>
      </c>
      <c r="I719" s="137">
        <v>0</v>
      </c>
      <c r="J719" s="137">
        <v>7.8541999999999996</v>
      </c>
      <c r="K719" s="137" t="s">
        <v>77</v>
      </c>
      <c r="L719" s="137" t="s">
        <v>79</v>
      </c>
      <c r="M719" s="137" t="s">
        <v>80</v>
      </c>
      <c r="N719" s="137" t="b">
        <v>1</v>
      </c>
      <c r="O719" s="137"/>
      <c r="P719" s="137" t="s">
        <v>83</v>
      </c>
      <c r="Q719" s="137" t="s">
        <v>84</v>
      </c>
      <c r="R719" s="137" t="b">
        <v>1</v>
      </c>
      <c r="S719" s="139">
        <v>1</v>
      </c>
      <c r="T719" s="139">
        <v>3.2846468523254502E+18</v>
      </c>
    </row>
    <row r="720" spans="3:20">
      <c r="C720" s="24" t="b">
        <v>0</v>
      </c>
      <c r="D720" s="137">
        <v>1</v>
      </c>
      <c r="E720" s="138">
        <v>1</v>
      </c>
      <c r="F720" s="137" t="s">
        <v>85</v>
      </c>
      <c r="G720" s="137">
        <v>24</v>
      </c>
      <c r="H720" s="137">
        <v>0</v>
      </c>
      <c r="I720" s="137">
        <v>0</v>
      </c>
      <c r="J720" s="137">
        <v>69.3</v>
      </c>
      <c r="K720" s="137" t="s">
        <v>82</v>
      </c>
      <c r="L720" s="137" t="s">
        <v>86</v>
      </c>
      <c r="M720" s="137" t="s">
        <v>87</v>
      </c>
      <c r="N720" s="137" t="b">
        <v>0</v>
      </c>
      <c r="O720" s="137" t="s">
        <v>98</v>
      </c>
      <c r="P720" s="137" t="s">
        <v>88</v>
      </c>
      <c r="Q720" s="137" t="s">
        <v>89</v>
      </c>
      <c r="R720" s="137" t="b">
        <v>1</v>
      </c>
      <c r="S720" s="139">
        <v>0</v>
      </c>
      <c r="T720" s="139">
        <v>8.2936938985161503E+18</v>
      </c>
    </row>
    <row r="721" spans="3:20">
      <c r="C721" s="24" t="b">
        <v>0</v>
      </c>
      <c r="D721" s="137">
        <v>0</v>
      </c>
      <c r="E721" s="138">
        <v>3</v>
      </c>
      <c r="F721" s="137" t="s">
        <v>85</v>
      </c>
      <c r="G721" s="137">
        <v>2</v>
      </c>
      <c r="H721" s="137">
        <v>3</v>
      </c>
      <c r="I721" s="137">
        <v>2</v>
      </c>
      <c r="J721" s="137">
        <v>27.9</v>
      </c>
      <c r="K721" s="137" t="s">
        <v>77</v>
      </c>
      <c r="L721" s="137" t="s">
        <v>79</v>
      </c>
      <c r="M721" s="137" t="s">
        <v>93</v>
      </c>
      <c r="N721" s="137" t="b">
        <v>0</v>
      </c>
      <c r="O721" s="137"/>
      <c r="P721" s="137" t="s">
        <v>83</v>
      </c>
      <c r="Q721" s="137" t="s">
        <v>84</v>
      </c>
      <c r="R721" s="137" t="b">
        <v>0</v>
      </c>
      <c r="S721" s="139">
        <v>1</v>
      </c>
      <c r="T721" s="139">
        <v>1.2802321211177001E+19</v>
      </c>
    </row>
    <row r="722" spans="3:20">
      <c r="C722" s="24" t="b">
        <v>0</v>
      </c>
      <c r="D722" s="137">
        <v>1</v>
      </c>
      <c r="E722" s="138">
        <v>3</v>
      </c>
      <c r="F722" s="137" t="s">
        <v>75</v>
      </c>
      <c r="G722" s="137"/>
      <c r="H722" s="137">
        <v>0</v>
      </c>
      <c r="I722" s="137">
        <v>0</v>
      </c>
      <c r="J722" s="137">
        <v>56.495800000000003</v>
      </c>
      <c r="K722" s="137" t="s">
        <v>77</v>
      </c>
      <c r="L722" s="137" t="s">
        <v>79</v>
      </c>
      <c r="M722" s="137" t="s">
        <v>80</v>
      </c>
      <c r="N722" s="137" t="b">
        <v>1</v>
      </c>
      <c r="O722" s="137"/>
      <c r="P722" s="137" t="s">
        <v>83</v>
      </c>
      <c r="Q722" s="137" t="s">
        <v>89</v>
      </c>
      <c r="R722" s="137" t="b">
        <v>1</v>
      </c>
      <c r="S722" s="139">
        <v>1</v>
      </c>
      <c r="T722" s="139">
        <v>6.4621136676760596E+18</v>
      </c>
    </row>
    <row r="723" spans="3:20">
      <c r="C723" s="24" t="b">
        <v>0</v>
      </c>
      <c r="D723" s="137">
        <v>1</v>
      </c>
      <c r="E723" s="138">
        <v>3</v>
      </c>
      <c r="F723" s="137" t="s">
        <v>85</v>
      </c>
      <c r="G723" s="137">
        <v>0.75</v>
      </c>
      <c r="H723" s="137">
        <v>2</v>
      </c>
      <c r="I723" s="137">
        <v>1</v>
      </c>
      <c r="J723" s="137">
        <v>19.258299999999998</v>
      </c>
      <c r="K723" s="137" t="s">
        <v>82</v>
      </c>
      <c r="L723" s="137" t="s">
        <v>79</v>
      </c>
      <c r="M723" s="137" t="s">
        <v>93</v>
      </c>
      <c r="N723" s="137" t="b">
        <v>0</v>
      </c>
      <c r="O723" s="137"/>
      <c r="P723" s="137" t="s">
        <v>88</v>
      </c>
      <c r="Q723" s="137" t="s">
        <v>89</v>
      </c>
      <c r="R723" s="137" t="b">
        <v>0</v>
      </c>
      <c r="S723" s="139">
        <v>1</v>
      </c>
      <c r="T723" s="139">
        <v>1.3639990042755799E+19</v>
      </c>
    </row>
    <row r="724" spans="3:20">
      <c r="C724" s="24" t="b">
        <v>0</v>
      </c>
      <c r="D724" s="137">
        <v>1</v>
      </c>
      <c r="E724" s="138">
        <v>1</v>
      </c>
      <c r="F724" s="137" t="s">
        <v>75</v>
      </c>
      <c r="G724" s="137">
        <v>48</v>
      </c>
      <c r="H724" s="137">
        <v>1</v>
      </c>
      <c r="I724" s="137">
        <v>0</v>
      </c>
      <c r="J724" s="137">
        <v>76.729200000000006</v>
      </c>
      <c r="K724" s="137" t="s">
        <v>82</v>
      </c>
      <c r="L724" s="137" t="s">
        <v>86</v>
      </c>
      <c r="M724" s="137" t="s">
        <v>80</v>
      </c>
      <c r="N724" s="137" t="b">
        <v>1</v>
      </c>
      <c r="O724" s="137" t="s">
        <v>96</v>
      </c>
      <c r="P724" s="137" t="s">
        <v>88</v>
      </c>
      <c r="Q724" s="137" t="s">
        <v>89</v>
      </c>
      <c r="R724" s="137" t="b">
        <v>0</v>
      </c>
      <c r="S724" s="139">
        <v>0</v>
      </c>
      <c r="T724" s="139">
        <v>1.4646030893805599E+18</v>
      </c>
    </row>
    <row r="725" spans="3:20">
      <c r="C725" s="24" t="b">
        <v>0</v>
      </c>
      <c r="D725" s="137">
        <v>0</v>
      </c>
      <c r="E725" s="138">
        <v>3</v>
      </c>
      <c r="F725" s="137" t="s">
        <v>75</v>
      </c>
      <c r="G725" s="137">
        <v>19</v>
      </c>
      <c r="H725" s="137">
        <v>0</v>
      </c>
      <c r="I725" s="137">
        <v>0</v>
      </c>
      <c r="J725" s="137">
        <v>7.8958000000000004</v>
      </c>
      <c r="K725" s="137" t="s">
        <v>77</v>
      </c>
      <c r="L725" s="137" t="s">
        <v>79</v>
      </c>
      <c r="M725" s="137" t="s">
        <v>80</v>
      </c>
      <c r="N725" s="137" t="b">
        <v>1</v>
      </c>
      <c r="O725" s="137"/>
      <c r="P725" s="137" t="s">
        <v>83</v>
      </c>
      <c r="Q725" s="137" t="s">
        <v>84</v>
      </c>
      <c r="R725" s="137" t="b">
        <v>1</v>
      </c>
      <c r="S725" s="139">
        <v>1</v>
      </c>
      <c r="T725" s="139">
        <v>1.25742438741241E+19</v>
      </c>
    </row>
    <row r="726" spans="3:20">
      <c r="C726" s="24" t="b">
        <v>0</v>
      </c>
      <c r="D726" s="137">
        <v>1</v>
      </c>
      <c r="E726" s="138">
        <v>1</v>
      </c>
      <c r="F726" s="137" t="s">
        <v>75</v>
      </c>
      <c r="G726" s="137">
        <v>56</v>
      </c>
      <c r="H726" s="137">
        <v>0</v>
      </c>
      <c r="I726" s="137">
        <v>0</v>
      </c>
      <c r="J726" s="137">
        <v>35.5</v>
      </c>
      <c r="K726" s="137" t="s">
        <v>82</v>
      </c>
      <c r="L726" s="137" t="s">
        <v>86</v>
      </c>
      <c r="M726" s="137" t="s">
        <v>80</v>
      </c>
      <c r="N726" s="137" t="b">
        <v>1</v>
      </c>
      <c r="O726" s="137" t="s">
        <v>97</v>
      </c>
      <c r="P726" s="137" t="s">
        <v>88</v>
      </c>
      <c r="Q726" s="137" t="s">
        <v>89</v>
      </c>
      <c r="R726" s="137" t="b">
        <v>1</v>
      </c>
      <c r="S726" s="139">
        <v>0</v>
      </c>
      <c r="T726" s="139">
        <v>9.5715194828509307E+18</v>
      </c>
    </row>
    <row r="727" spans="3:20">
      <c r="C727" s="24" t="b">
        <v>0</v>
      </c>
      <c r="D727" s="137">
        <v>0</v>
      </c>
      <c r="E727" s="138">
        <v>3</v>
      </c>
      <c r="F727" s="137" t="s">
        <v>75</v>
      </c>
      <c r="G727" s="137"/>
      <c r="H727" s="137">
        <v>0</v>
      </c>
      <c r="I727" s="137">
        <v>0</v>
      </c>
      <c r="J727" s="137">
        <v>7.55</v>
      </c>
      <c r="K727" s="137" t="s">
        <v>77</v>
      </c>
      <c r="L727" s="137" t="s">
        <v>79</v>
      </c>
      <c r="M727" s="137" t="s">
        <v>80</v>
      </c>
      <c r="N727" s="137" t="b">
        <v>1</v>
      </c>
      <c r="O727" s="137"/>
      <c r="P727" s="137" t="s">
        <v>83</v>
      </c>
      <c r="Q727" s="137" t="s">
        <v>84</v>
      </c>
      <c r="R727" s="137" t="b">
        <v>1</v>
      </c>
      <c r="S727" s="139">
        <v>1</v>
      </c>
      <c r="T727" s="139">
        <v>4.6605986690882202E+18</v>
      </c>
    </row>
    <row r="728" spans="3:20">
      <c r="C728" s="24" t="b">
        <v>0</v>
      </c>
      <c r="D728" s="137">
        <v>1</v>
      </c>
      <c r="E728" s="138">
        <v>3</v>
      </c>
      <c r="F728" s="137" t="s">
        <v>85</v>
      </c>
      <c r="G728" s="137">
        <v>23</v>
      </c>
      <c r="H728" s="137">
        <v>0</v>
      </c>
      <c r="I728" s="137">
        <v>0</v>
      </c>
      <c r="J728" s="137">
        <v>7.55</v>
      </c>
      <c r="K728" s="137" t="s">
        <v>77</v>
      </c>
      <c r="L728" s="137" t="s">
        <v>79</v>
      </c>
      <c r="M728" s="137" t="s">
        <v>87</v>
      </c>
      <c r="N728" s="137" t="b">
        <v>0</v>
      </c>
      <c r="O728" s="137"/>
      <c r="P728" s="137" t="s">
        <v>83</v>
      </c>
      <c r="Q728" s="137" t="s">
        <v>89</v>
      </c>
      <c r="R728" s="137" t="b">
        <v>1</v>
      </c>
      <c r="S728" s="139">
        <v>1</v>
      </c>
      <c r="T728" s="139">
        <v>1.2259508192240001E+19</v>
      </c>
    </row>
    <row r="729" spans="3:20">
      <c r="C729" s="24" t="b">
        <v>0</v>
      </c>
      <c r="D729" s="137">
        <v>0</v>
      </c>
      <c r="E729" s="138">
        <v>3</v>
      </c>
      <c r="F729" s="137" t="s">
        <v>75</v>
      </c>
      <c r="G729" s="137"/>
      <c r="H729" s="137">
        <v>0</v>
      </c>
      <c r="I729" s="137">
        <v>0</v>
      </c>
      <c r="J729" s="137">
        <v>7.8958000000000004</v>
      </c>
      <c r="K729" s="137" t="s">
        <v>77</v>
      </c>
      <c r="L729" s="137" t="s">
        <v>79</v>
      </c>
      <c r="M729" s="137" t="s">
        <v>80</v>
      </c>
      <c r="N729" s="137" t="b">
        <v>1</v>
      </c>
      <c r="O729" s="137"/>
      <c r="P729" s="137" t="s">
        <v>83</v>
      </c>
      <c r="Q729" s="137" t="s">
        <v>84</v>
      </c>
      <c r="R729" s="137" t="b">
        <v>1</v>
      </c>
      <c r="S729" s="139">
        <v>1</v>
      </c>
      <c r="T729" s="139">
        <v>1.7970467560381901E+19</v>
      </c>
    </row>
    <row r="730" spans="3:20">
      <c r="C730" s="24" t="b">
        <v>0</v>
      </c>
      <c r="D730" s="137">
        <v>1</v>
      </c>
      <c r="E730" s="138">
        <v>2</v>
      </c>
      <c r="F730" s="137" t="s">
        <v>85</v>
      </c>
      <c r="G730" s="137">
        <v>18</v>
      </c>
      <c r="H730" s="137">
        <v>0</v>
      </c>
      <c r="I730" s="137">
        <v>1</v>
      </c>
      <c r="J730" s="137">
        <v>23</v>
      </c>
      <c r="K730" s="137" t="s">
        <v>77</v>
      </c>
      <c r="L730" s="137" t="s">
        <v>94</v>
      </c>
      <c r="M730" s="137" t="s">
        <v>87</v>
      </c>
      <c r="N730" s="137" t="b">
        <v>0</v>
      </c>
      <c r="O730" s="137"/>
      <c r="P730" s="137" t="s">
        <v>83</v>
      </c>
      <c r="Q730" s="137" t="s">
        <v>89</v>
      </c>
      <c r="R730" s="137" t="b">
        <v>0</v>
      </c>
      <c r="S730" s="139">
        <v>1</v>
      </c>
      <c r="T730" s="139">
        <v>1.32206467838684E+19</v>
      </c>
    </row>
    <row r="731" spans="3:20">
      <c r="C731" s="24" t="b">
        <v>0</v>
      </c>
      <c r="D731" s="137">
        <v>0</v>
      </c>
      <c r="E731" s="138">
        <v>3</v>
      </c>
      <c r="F731" s="137" t="s">
        <v>75</v>
      </c>
      <c r="G731" s="137">
        <v>21</v>
      </c>
      <c r="H731" s="137">
        <v>0</v>
      </c>
      <c r="I731" s="137">
        <v>0</v>
      </c>
      <c r="J731" s="137">
        <v>8.4332999999999991</v>
      </c>
      <c r="K731" s="137" t="s">
        <v>77</v>
      </c>
      <c r="L731" s="137" t="s">
        <v>79</v>
      </c>
      <c r="M731" s="137" t="s">
        <v>80</v>
      </c>
      <c r="N731" s="137" t="b">
        <v>1</v>
      </c>
      <c r="O731" s="137"/>
      <c r="P731" s="137" t="s">
        <v>83</v>
      </c>
      <c r="Q731" s="137" t="s">
        <v>84</v>
      </c>
      <c r="R731" s="137" t="b">
        <v>1</v>
      </c>
      <c r="S731" s="139">
        <v>1</v>
      </c>
      <c r="T731" s="139">
        <v>6.42237277313459E+18</v>
      </c>
    </row>
    <row r="732" spans="3:20">
      <c r="C732" s="24" t="b">
        <v>0</v>
      </c>
      <c r="D732" s="137">
        <v>1</v>
      </c>
      <c r="E732" s="138">
        <v>3</v>
      </c>
      <c r="F732" s="137" t="s">
        <v>85</v>
      </c>
      <c r="G732" s="137"/>
      <c r="H732" s="137">
        <v>0</v>
      </c>
      <c r="I732" s="137">
        <v>0</v>
      </c>
      <c r="J732" s="137">
        <v>7.8292000000000002</v>
      </c>
      <c r="K732" s="137" t="s">
        <v>90</v>
      </c>
      <c r="L732" s="137" t="s">
        <v>79</v>
      </c>
      <c r="M732" s="137" t="s">
        <v>87</v>
      </c>
      <c r="N732" s="137" t="b">
        <v>0</v>
      </c>
      <c r="O732" s="137"/>
      <c r="P732" s="137" t="s">
        <v>91</v>
      </c>
      <c r="Q732" s="137" t="s">
        <v>89</v>
      </c>
      <c r="R732" s="137" t="b">
        <v>1</v>
      </c>
      <c r="S732" s="139">
        <v>1</v>
      </c>
      <c r="T732" s="139">
        <v>1.40812761345351E+19</v>
      </c>
    </row>
    <row r="733" spans="3:20">
      <c r="C733" s="24" t="b">
        <v>0</v>
      </c>
      <c r="D733" s="137">
        <v>0</v>
      </c>
      <c r="E733" s="138">
        <v>3</v>
      </c>
      <c r="F733" s="137" t="s">
        <v>85</v>
      </c>
      <c r="G733" s="137">
        <v>18</v>
      </c>
      <c r="H733" s="137">
        <v>0</v>
      </c>
      <c r="I733" s="137">
        <v>0</v>
      </c>
      <c r="J733" s="137">
        <v>6.75</v>
      </c>
      <c r="K733" s="137" t="s">
        <v>90</v>
      </c>
      <c r="L733" s="137" t="s">
        <v>79</v>
      </c>
      <c r="M733" s="137" t="s">
        <v>87</v>
      </c>
      <c r="N733" s="137" t="b">
        <v>0</v>
      </c>
      <c r="O733" s="137"/>
      <c r="P733" s="137" t="s">
        <v>91</v>
      </c>
      <c r="Q733" s="137" t="s">
        <v>84</v>
      </c>
      <c r="R733" s="137" t="b">
        <v>1</v>
      </c>
      <c r="S733" s="139">
        <v>1</v>
      </c>
      <c r="T733" s="139">
        <v>1.83891985509615E+18</v>
      </c>
    </row>
    <row r="734" spans="3:20">
      <c r="C734" s="24" t="b">
        <v>0</v>
      </c>
      <c r="D734" s="137">
        <v>0</v>
      </c>
      <c r="E734" s="138">
        <v>2</v>
      </c>
      <c r="F734" s="137" t="s">
        <v>75</v>
      </c>
      <c r="G734" s="137">
        <v>24</v>
      </c>
      <c r="H734" s="137">
        <v>2</v>
      </c>
      <c r="I734" s="137">
        <v>0</v>
      </c>
      <c r="J734" s="137">
        <v>73.5</v>
      </c>
      <c r="K734" s="137" t="s">
        <v>77</v>
      </c>
      <c r="L734" s="137" t="s">
        <v>94</v>
      </c>
      <c r="M734" s="137" t="s">
        <v>80</v>
      </c>
      <c r="N734" s="137" t="b">
        <v>1</v>
      </c>
      <c r="O734" s="137"/>
      <c r="P734" s="137" t="s">
        <v>83</v>
      </c>
      <c r="Q734" s="137" t="s">
        <v>84</v>
      </c>
      <c r="R734" s="137" t="b">
        <v>0</v>
      </c>
      <c r="S734" s="139">
        <v>1</v>
      </c>
      <c r="T734" s="139">
        <v>4.0238580751830298E+18</v>
      </c>
    </row>
    <row r="735" spans="3:20">
      <c r="C735" s="24" t="b">
        <v>0</v>
      </c>
      <c r="D735" s="137">
        <v>0</v>
      </c>
      <c r="E735" s="138">
        <v>3</v>
      </c>
      <c r="F735" s="137" t="s">
        <v>75</v>
      </c>
      <c r="G735" s="137"/>
      <c r="H735" s="137">
        <v>0</v>
      </c>
      <c r="I735" s="137">
        <v>0</v>
      </c>
      <c r="J735" s="137">
        <v>7.8958000000000004</v>
      </c>
      <c r="K735" s="137" t="s">
        <v>77</v>
      </c>
      <c r="L735" s="137" t="s">
        <v>79</v>
      </c>
      <c r="M735" s="137" t="s">
        <v>80</v>
      </c>
      <c r="N735" s="137" t="b">
        <v>1</v>
      </c>
      <c r="O735" s="137"/>
      <c r="P735" s="137" t="s">
        <v>83</v>
      </c>
      <c r="Q735" s="137" t="s">
        <v>84</v>
      </c>
      <c r="R735" s="137" t="b">
        <v>1</v>
      </c>
      <c r="S735" s="139">
        <v>1</v>
      </c>
      <c r="T735" s="139">
        <v>1.7970467560381901E+19</v>
      </c>
    </row>
    <row r="736" spans="3:20">
      <c r="C736" s="24" t="b">
        <v>0</v>
      </c>
      <c r="D736" s="137">
        <v>0</v>
      </c>
      <c r="E736" s="138">
        <v>3</v>
      </c>
      <c r="F736" s="137" t="s">
        <v>85</v>
      </c>
      <c r="G736" s="137">
        <v>32</v>
      </c>
      <c r="H736" s="137">
        <v>1</v>
      </c>
      <c r="I736" s="137">
        <v>1</v>
      </c>
      <c r="J736" s="137">
        <v>15.5</v>
      </c>
      <c r="K736" s="137" t="s">
        <v>90</v>
      </c>
      <c r="L736" s="137" t="s">
        <v>79</v>
      </c>
      <c r="M736" s="137" t="s">
        <v>87</v>
      </c>
      <c r="N736" s="137" t="b">
        <v>0</v>
      </c>
      <c r="O736" s="137"/>
      <c r="P736" s="137" t="s">
        <v>91</v>
      </c>
      <c r="Q736" s="137" t="s">
        <v>84</v>
      </c>
      <c r="R736" s="137" t="b">
        <v>0</v>
      </c>
      <c r="S736" s="139">
        <v>1</v>
      </c>
      <c r="T736" s="139">
        <v>1.46118535180295E+19</v>
      </c>
    </row>
    <row r="737" spans="3:20">
      <c r="C737" s="24" t="b">
        <v>0</v>
      </c>
      <c r="D737" s="137">
        <v>0</v>
      </c>
      <c r="E737" s="138">
        <v>2</v>
      </c>
      <c r="F737" s="137" t="s">
        <v>75</v>
      </c>
      <c r="G737" s="137">
        <v>23</v>
      </c>
      <c r="H737" s="137">
        <v>0</v>
      </c>
      <c r="I737" s="137">
        <v>0</v>
      </c>
      <c r="J737" s="137">
        <v>13</v>
      </c>
      <c r="K737" s="137" t="s">
        <v>77</v>
      </c>
      <c r="L737" s="137" t="s">
        <v>94</v>
      </c>
      <c r="M737" s="137" t="s">
        <v>80</v>
      </c>
      <c r="N737" s="137" t="b">
        <v>1</v>
      </c>
      <c r="O737" s="137"/>
      <c r="P737" s="137" t="s">
        <v>83</v>
      </c>
      <c r="Q737" s="137" t="s">
        <v>84</v>
      </c>
      <c r="R737" s="137" t="b">
        <v>1</v>
      </c>
      <c r="S737" s="139">
        <v>1</v>
      </c>
      <c r="T737" s="139">
        <v>3.8101028942906102E+18</v>
      </c>
    </row>
    <row r="738" spans="3:20">
      <c r="C738" s="24" t="b">
        <v>0</v>
      </c>
      <c r="D738" s="137">
        <v>0</v>
      </c>
      <c r="E738" s="138">
        <v>1</v>
      </c>
      <c r="F738" s="137" t="s">
        <v>75</v>
      </c>
      <c r="G738" s="137">
        <v>58</v>
      </c>
      <c r="H738" s="137">
        <v>0</v>
      </c>
      <c r="I738" s="137">
        <v>2</v>
      </c>
      <c r="J738" s="137">
        <v>113.27500000000001</v>
      </c>
      <c r="K738" s="137" t="s">
        <v>82</v>
      </c>
      <c r="L738" s="137" t="s">
        <v>86</v>
      </c>
      <c r="M738" s="137" t="s">
        <v>80</v>
      </c>
      <c r="N738" s="137" t="b">
        <v>1</v>
      </c>
      <c r="O738" s="137" t="s">
        <v>96</v>
      </c>
      <c r="P738" s="137" t="s">
        <v>88</v>
      </c>
      <c r="Q738" s="137" t="s">
        <v>84</v>
      </c>
      <c r="R738" s="137" t="b">
        <v>0</v>
      </c>
      <c r="S738" s="139">
        <v>0</v>
      </c>
      <c r="T738" s="139">
        <v>9.0983269895211899E+18</v>
      </c>
    </row>
    <row r="739" spans="3:20">
      <c r="C739" s="24" t="b">
        <v>0</v>
      </c>
      <c r="D739" s="137">
        <v>1</v>
      </c>
      <c r="E739" s="138">
        <v>1</v>
      </c>
      <c r="F739" s="137" t="s">
        <v>75</v>
      </c>
      <c r="G739" s="137">
        <v>50</v>
      </c>
      <c r="H739" s="137">
        <v>2</v>
      </c>
      <c r="I739" s="137">
        <v>0</v>
      </c>
      <c r="J739" s="137">
        <v>133.65</v>
      </c>
      <c r="K739" s="137" t="s">
        <v>77</v>
      </c>
      <c r="L739" s="137" t="s">
        <v>86</v>
      </c>
      <c r="M739" s="137" t="s">
        <v>80</v>
      </c>
      <c r="N739" s="137" t="b">
        <v>1</v>
      </c>
      <c r="O739" s="137"/>
      <c r="P739" s="137" t="s">
        <v>83</v>
      </c>
      <c r="Q739" s="137" t="s">
        <v>89</v>
      </c>
      <c r="R739" s="137" t="b">
        <v>0</v>
      </c>
      <c r="S739" s="139">
        <v>1</v>
      </c>
      <c r="T739" s="139">
        <v>1.22871532284607E+19</v>
      </c>
    </row>
    <row r="740" spans="3:20">
      <c r="C740" s="24" t="b">
        <v>0</v>
      </c>
      <c r="D740" s="137">
        <v>0</v>
      </c>
      <c r="E740" s="138">
        <v>3</v>
      </c>
      <c r="F740" s="137" t="s">
        <v>75</v>
      </c>
      <c r="G740" s="137">
        <v>40</v>
      </c>
      <c r="H740" s="137">
        <v>0</v>
      </c>
      <c r="I740" s="137">
        <v>0</v>
      </c>
      <c r="J740" s="137">
        <v>7.2249999999999996</v>
      </c>
      <c r="K740" s="137" t="s">
        <v>82</v>
      </c>
      <c r="L740" s="137" t="s">
        <v>79</v>
      </c>
      <c r="M740" s="137" t="s">
        <v>80</v>
      </c>
      <c r="N740" s="137" t="b">
        <v>1</v>
      </c>
      <c r="O740" s="137"/>
      <c r="P740" s="137" t="s">
        <v>88</v>
      </c>
      <c r="Q740" s="137" t="s">
        <v>84</v>
      </c>
      <c r="R740" s="137" t="b">
        <v>1</v>
      </c>
      <c r="S740" s="139">
        <v>1</v>
      </c>
      <c r="T740" s="139">
        <v>1.6041823669517099E+19</v>
      </c>
    </row>
    <row r="741" spans="3:20">
      <c r="C741" s="24" t="b">
        <v>0</v>
      </c>
      <c r="D741" s="137">
        <v>0</v>
      </c>
      <c r="E741" s="138">
        <v>1</v>
      </c>
      <c r="F741" s="137" t="s">
        <v>75</v>
      </c>
      <c r="G741" s="137">
        <v>47</v>
      </c>
      <c r="H741" s="137">
        <v>0</v>
      </c>
      <c r="I741" s="137">
        <v>0</v>
      </c>
      <c r="J741" s="137">
        <v>25.587499999999999</v>
      </c>
      <c r="K741" s="137" t="s">
        <v>77</v>
      </c>
      <c r="L741" s="137" t="s">
        <v>86</v>
      </c>
      <c r="M741" s="137" t="s">
        <v>80</v>
      </c>
      <c r="N741" s="137" t="b">
        <v>1</v>
      </c>
      <c r="O741" s="137" t="s">
        <v>92</v>
      </c>
      <c r="P741" s="137" t="s">
        <v>83</v>
      </c>
      <c r="Q741" s="137" t="s">
        <v>84</v>
      </c>
      <c r="R741" s="137" t="b">
        <v>1</v>
      </c>
      <c r="S741" s="139">
        <v>0</v>
      </c>
      <c r="T741" s="139">
        <v>2.4570339807721298E+18</v>
      </c>
    </row>
    <row r="742" spans="3:20">
      <c r="C742" s="24" t="b">
        <v>0</v>
      </c>
      <c r="D742" s="137">
        <v>0</v>
      </c>
      <c r="E742" s="138">
        <v>3</v>
      </c>
      <c r="F742" s="137" t="s">
        <v>75</v>
      </c>
      <c r="G742" s="137">
        <v>36</v>
      </c>
      <c r="H742" s="137">
        <v>0</v>
      </c>
      <c r="I742" s="137">
        <v>0</v>
      </c>
      <c r="J742" s="137">
        <v>7.4958</v>
      </c>
      <c r="K742" s="137" t="s">
        <v>77</v>
      </c>
      <c r="L742" s="137" t="s">
        <v>79</v>
      </c>
      <c r="M742" s="137" t="s">
        <v>80</v>
      </c>
      <c r="N742" s="137" t="b">
        <v>1</v>
      </c>
      <c r="O742" s="137"/>
      <c r="P742" s="137" t="s">
        <v>83</v>
      </c>
      <c r="Q742" s="137" t="s">
        <v>84</v>
      </c>
      <c r="R742" s="137" t="b">
        <v>1</v>
      </c>
      <c r="S742" s="139">
        <v>1</v>
      </c>
      <c r="T742" s="139">
        <v>1.15331119789391E+18</v>
      </c>
    </row>
    <row r="743" spans="3:20">
      <c r="C743" s="24" t="b">
        <v>0</v>
      </c>
      <c r="D743" s="137">
        <v>1</v>
      </c>
      <c r="E743" s="138">
        <v>3</v>
      </c>
      <c r="F743" s="137" t="s">
        <v>75</v>
      </c>
      <c r="G743" s="137">
        <v>20</v>
      </c>
      <c r="H743" s="137">
        <v>1</v>
      </c>
      <c r="I743" s="137">
        <v>0</v>
      </c>
      <c r="J743" s="137">
        <v>7.9249999999999998</v>
      </c>
      <c r="K743" s="137" t="s">
        <v>77</v>
      </c>
      <c r="L743" s="137" t="s">
        <v>79</v>
      </c>
      <c r="M743" s="137" t="s">
        <v>80</v>
      </c>
      <c r="N743" s="137" t="b">
        <v>1</v>
      </c>
      <c r="O743" s="137"/>
      <c r="P743" s="137" t="s">
        <v>83</v>
      </c>
      <c r="Q743" s="137" t="s">
        <v>89</v>
      </c>
      <c r="R743" s="137" t="b">
        <v>0</v>
      </c>
      <c r="S743" s="139">
        <v>1</v>
      </c>
      <c r="T743" s="139">
        <v>1.74062218981749E+19</v>
      </c>
    </row>
    <row r="744" spans="3:20">
      <c r="C744" s="24" t="b">
        <v>0</v>
      </c>
      <c r="D744" s="137">
        <v>0</v>
      </c>
      <c r="E744" s="138">
        <v>2</v>
      </c>
      <c r="F744" s="137" t="s">
        <v>75</v>
      </c>
      <c r="G744" s="137">
        <v>32</v>
      </c>
      <c r="H744" s="137">
        <v>2</v>
      </c>
      <c r="I744" s="137">
        <v>0</v>
      </c>
      <c r="J744" s="137">
        <v>73.5</v>
      </c>
      <c r="K744" s="137" t="s">
        <v>77</v>
      </c>
      <c r="L744" s="137" t="s">
        <v>94</v>
      </c>
      <c r="M744" s="137" t="s">
        <v>80</v>
      </c>
      <c r="N744" s="137" t="b">
        <v>1</v>
      </c>
      <c r="O744" s="137"/>
      <c r="P744" s="137" t="s">
        <v>83</v>
      </c>
      <c r="Q744" s="137" t="s">
        <v>84</v>
      </c>
      <c r="R744" s="137" t="b">
        <v>0</v>
      </c>
      <c r="S744" s="139">
        <v>1</v>
      </c>
      <c r="T744" s="139">
        <v>1.5118021828334299E+19</v>
      </c>
    </row>
    <row r="745" spans="3:20">
      <c r="C745" s="24" t="b">
        <v>0</v>
      </c>
      <c r="D745" s="137">
        <v>0</v>
      </c>
      <c r="E745" s="138">
        <v>2</v>
      </c>
      <c r="F745" s="137" t="s">
        <v>75</v>
      </c>
      <c r="G745" s="137">
        <v>25</v>
      </c>
      <c r="H745" s="137">
        <v>0</v>
      </c>
      <c r="I745" s="137">
        <v>0</v>
      </c>
      <c r="J745" s="137">
        <v>13</v>
      </c>
      <c r="K745" s="137" t="s">
        <v>77</v>
      </c>
      <c r="L745" s="137" t="s">
        <v>94</v>
      </c>
      <c r="M745" s="137" t="s">
        <v>80</v>
      </c>
      <c r="N745" s="137" t="b">
        <v>1</v>
      </c>
      <c r="O745" s="137"/>
      <c r="P745" s="137" t="s">
        <v>83</v>
      </c>
      <c r="Q745" s="137" t="s">
        <v>84</v>
      </c>
      <c r="R745" s="137" t="b">
        <v>1</v>
      </c>
      <c r="S745" s="139">
        <v>1</v>
      </c>
      <c r="T745" s="139">
        <v>1.45445304985682E+19</v>
      </c>
    </row>
    <row r="746" spans="3:20">
      <c r="C746" s="24" t="b">
        <v>0</v>
      </c>
      <c r="D746" s="137">
        <v>0</v>
      </c>
      <c r="E746" s="138">
        <v>3</v>
      </c>
      <c r="F746" s="137" t="s">
        <v>75</v>
      </c>
      <c r="G746" s="137"/>
      <c r="H746" s="137">
        <v>0</v>
      </c>
      <c r="I746" s="137">
        <v>0</v>
      </c>
      <c r="J746" s="137">
        <v>7.7750000000000004</v>
      </c>
      <c r="K746" s="137" t="s">
        <v>77</v>
      </c>
      <c r="L746" s="137" t="s">
        <v>79</v>
      </c>
      <c r="M746" s="137" t="s">
        <v>80</v>
      </c>
      <c r="N746" s="137" t="b">
        <v>1</v>
      </c>
      <c r="O746" s="137"/>
      <c r="P746" s="137" t="s">
        <v>83</v>
      </c>
      <c r="Q746" s="137" t="s">
        <v>84</v>
      </c>
      <c r="R746" s="137" t="b">
        <v>1</v>
      </c>
      <c r="S746" s="139">
        <v>1</v>
      </c>
      <c r="T746" s="139">
        <v>8.3601187029501501E+18</v>
      </c>
    </row>
    <row r="747" spans="3:20">
      <c r="C747" s="24" t="b">
        <v>0</v>
      </c>
      <c r="D747" s="137">
        <v>0</v>
      </c>
      <c r="E747" s="138">
        <v>3</v>
      </c>
      <c r="F747" s="137" t="s">
        <v>75</v>
      </c>
      <c r="G747" s="137">
        <v>43</v>
      </c>
      <c r="H747" s="137">
        <v>0</v>
      </c>
      <c r="I747" s="137">
        <v>0</v>
      </c>
      <c r="J747" s="137">
        <v>8.0500000000000007</v>
      </c>
      <c r="K747" s="137" t="s">
        <v>77</v>
      </c>
      <c r="L747" s="137" t="s">
        <v>79</v>
      </c>
      <c r="M747" s="137" t="s">
        <v>80</v>
      </c>
      <c r="N747" s="137" t="b">
        <v>1</v>
      </c>
      <c r="O747" s="137"/>
      <c r="P747" s="137" t="s">
        <v>83</v>
      </c>
      <c r="Q747" s="137" t="s">
        <v>84</v>
      </c>
      <c r="R747" s="137" t="b">
        <v>1</v>
      </c>
      <c r="S747" s="139">
        <v>1</v>
      </c>
      <c r="T747" s="139">
        <v>1.5223445616041001E+19</v>
      </c>
    </row>
    <row r="748" spans="3:20">
      <c r="C748" s="24" t="b">
        <v>0</v>
      </c>
      <c r="D748" s="137">
        <v>1</v>
      </c>
      <c r="E748" s="138">
        <v>1</v>
      </c>
      <c r="F748" s="137" t="s">
        <v>85</v>
      </c>
      <c r="G748" s="137"/>
      <c r="H748" s="137">
        <v>1</v>
      </c>
      <c r="I748" s="137">
        <v>0</v>
      </c>
      <c r="J748" s="137">
        <v>52</v>
      </c>
      <c r="K748" s="137" t="s">
        <v>77</v>
      </c>
      <c r="L748" s="137" t="s">
        <v>86</v>
      </c>
      <c r="M748" s="137" t="s">
        <v>87</v>
      </c>
      <c r="N748" s="137" t="b">
        <v>0</v>
      </c>
      <c r="O748" s="137" t="s">
        <v>82</v>
      </c>
      <c r="P748" s="137" t="s">
        <v>83</v>
      </c>
      <c r="Q748" s="137" t="s">
        <v>89</v>
      </c>
      <c r="R748" s="137" t="b">
        <v>0</v>
      </c>
      <c r="S748" s="139">
        <v>1</v>
      </c>
      <c r="T748" s="139">
        <v>1.7352794167673E+19</v>
      </c>
    </row>
    <row r="749" spans="3:20">
      <c r="C749" s="24" t="b">
        <v>0</v>
      </c>
      <c r="D749" s="137">
        <v>1</v>
      </c>
      <c r="E749" s="138">
        <v>2</v>
      </c>
      <c r="F749" s="137" t="s">
        <v>85</v>
      </c>
      <c r="G749" s="137">
        <v>40</v>
      </c>
      <c r="H749" s="137">
        <v>1</v>
      </c>
      <c r="I749" s="137">
        <v>1</v>
      </c>
      <c r="J749" s="137">
        <v>39</v>
      </c>
      <c r="K749" s="137" t="s">
        <v>77</v>
      </c>
      <c r="L749" s="137" t="s">
        <v>94</v>
      </c>
      <c r="M749" s="137" t="s">
        <v>87</v>
      </c>
      <c r="N749" s="137" t="b">
        <v>0</v>
      </c>
      <c r="O749" s="137"/>
      <c r="P749" s="137" t="s">
        <v>83</v>
      </c>
      <c r="Q749" s="137" t="s">
        <v>89</v>
      </c>
      <c r="R749" s="137" t="b">
        <v>0</v>
      </c>
      <c r="S749" s="139">
        <v>1</v>
      </c>
      <c r="T749" s="139">
        <v>9.2638383910400205E+18</v>
      </c>
    </row>
    <row r="750" spans="3:20">
      <c r="C750" s="24" t="b">
        <v>0</v>
      </c>
      <c r="D750" s="137">
        <v>0</v>
      </c>
      <c r="E750" s="138">
        <v>1</v>
      </c>
      <c r="F750" s="137" t="s">
        <v>75</v>
      </c>
      <c r="G750" s="137">
        <v>31</v>
      </c>
      <c r="H750" s="137">
        <v>1</v>
      </c>
      <c r="I750" s="137">
        <v>0</v>
      </c>
      <c r="J750" s="137">
        <v>52</v>
      </c>
      <c r="K750" s="137" t="s">
        <v>77</v>
      </c>
      <c r="L750" s="137" t="s">
        <v>86</v>
      </c>
      <c r="M750" s="137" t="s">
        <v>80</v>
      </c>
      <c r="N750" s="137" t="b">
        <v>1</v>
      </c>
      <c r="O750" s="137" t="s">
        <v>98</v>
      </c>
      <c r="P750" s="137" t="s">
        <v>83</v>
      </c>
      <c r="Q750" s="137" t="s">
        <v>84</v>
      </c>
      <c r="R750" s="137" t="b">
        <v>0</v>
      </c>
      <c r="S750" s="139">
        <v>0</v>
      </c>
      <c r="T750" s="139">
        <v>1.1975699326158701E+19</v>
      </c>
    </row>
    <row r="751" spans="3:20">
      <c r="C751" s="24" t="b">
        <v>0</v>
      </c>
      <c r="D751" s="137">
        <v>0</v>
      </c>
      <c r="E751" s="138">
        <v>2</v>
      </c>
      <c r="F751" s="137" t="s">
        <v>75</v>
      </c>
      <c r="G751" s="137">
        <v>70</v>
      </c>
      <c r="H751" s="137">
        <v>0</v>
      </c>
      <c r="I751" s="137">
        <v>0</v>
      </c>
      <c r="J751" s="137">
        <v>10.5</v>
      </c>
      <c r="K751" s="137" t="s">
        <v>77</v>
      </c>
      <c r="L751" s="137" t="s">
        <v>94</v>
      </c>
      <c r="M751" s="137" t="s">
        <v>80</v>
      </c>
      <c r="N751" s="137" t="b">
        <v>1</v>
      </c>
      <c r="O751" s="137"/>
      <c r="P751" s="137" t="s">
        <v>83</v>
      </c>
      <c r="Q751" s="137" t="s">
        <v>84</v>
      </c>
      <c r="R751" s="137" t="b">
        <v>1</v>
      </c>
      <c r="S751" s="139">
        <v>1</v>
      </c>
      <c r="T751" s="139">
        <v>5.6200198826086605E+18</v>
      </c>
    </row>
    <row r="752" spans="3:20">
      <c r="C752" s="24" t="b">
        <v>0</v>
      </c>
      <c r="D752" s="137">
        <v>1</v>
      </c>
      <c r="E752" s="138">
        <v>2</v>
      </c>
      <c r="F752" s="137" t="s">
        <v>75</v>
      </c>
      <c r="G752" s="137">
        <v>31</v>
      </c>
      <c r="H752" s="137">
        <v>0</v>
      </c>
      <c r="I752" s="137">
        <v>0</v>
      </c>
      <c r="J752" s="137">
        <v>13</v>
      </c>
      <c r="K752" s="137" t="s">
        <v>77</v>
      </c>
      <c r="L752" s="137" t="s">
        <v>94</v>
      </c>
      <c r="M752" s="137" t="s">
        <v>80</v>
      </c>
      <c r="N752" s="137" t="b">
        <v>1</v>
      </c>
      <c r="O752" s="137"/>
      <c r="P752" s="137" t="s">
        <v>83</v>
      </c>
      <c r="Q752" s="137" t="s">
        <v>89</v>
      </c>
      <c r="R752" s="137" t="b">
        <v>1</v>
      </c>
      <c r="S752" s="139">
        <v>1</v>
      </c>
      <c r="T752" s="139">
        <v>1.33861757096443E+19</v>
      </c>
    </row>
    <row r="753" spans="3:20">
      <c r="C753" s="24" t="b">
        <v>0</v>
      </c>
      <c r="D753" s="137">
        <v>0</v>
      </c>
      <c r="E753" s="138">
        <v>2</v>
      </c>
      <c r="F753" s="137" t="s">
        <v>75</v>
      </c>
      <c r="G753" s="137"/>
      <c r="H753" s="137">
        <v>0</v>
      </c>
      <c r="I753" s="137">
        <v>0</v>
      </c>
      <c r="J753" s="137">
        <v>0</v>
      </c>
      <c r="K753" s="137" t="s">
        <v>77</v>
      </c>
      <c r="L753" s="137" t="s">
        <v>94</v>
      </c>
      <c r="M753" s="137" t="s">
        <v>80</v>
      </c>
      <c r="N753" s="137" t="b">
        <v>1</v>
      </c>
      <c r="O753" s="137"/>
      <c r="P753" s="137" t="s">
        <v>83</v>
      </c>
      <c r="Q753" s="137" t="s">
        <v>84</v>
      </c>
      <c r="R753" s="137" t="b">
        <v>1</v>
      </c>
      <c r="S753" s="139">
        <v>1</v>
      </c>
      <c r="T753" s="139">
        <v>1.3784493890172299E+19</v>
      </c>
    </row>
    <row r="754" spans="3:20">
      <c r="C754" s="24" t="b">
        <v>0</v>
      </c>
      <c r="D754" s="137">
        <v>0</v>
      </c>
      <c r="E754" s="138">
        <v>3</v>
      </c>
      <c r="F754" s="137" t="s">
        <v>75</v>
      </c>
      <c r="G754" s="137">
        <v>18</v>
      </c>
      <c r="H754" s="137">
        <v>0</v>
      </c>
      <c r="I754" s="137">
        <v>0</v>
      </c>
      <c r="J754" s="137">
        <v>7.7750000000000004</v>
      </c>
      <c r="K754" s="137" t="s">
        <v>77</v>
      </c>
      <c r="L754" s="137" t="s">
        <v>79</v>
      </c>
      <c r="M754" s="137" t="s">
        <v>80</v>
      </c>
      <c r="N754" s="137" t="b">
        <v>1</v>
      </c>
      <c r="O754" s="137"/>
      <c r="P754" s="137" t="s">
        <v>83</v>
      </c>
      <c r="Q754" s="137" t="s">
        <v>84</v>
      </c>
      <c r="R754" s="137" t="b">
        <v>1</v>
      </c>
      <c r="S754" s="139">
        <v>1</v>
      </c>
      <c r="T754" s="139">
        <v>7.7347489679112899E+18</v>
      </c>
    </row>
    <row r="755" spans="3:20">
      <c r="C755" s="24" t="b">
        <v>0</v>
      </c>
      <c r="D755" s="137">
        <v>0</v>
      </c>
      <c r="E755" s="138">
        <v>3</v>
      </c>
      <c r="F755" s="137" t="s">
        <v>75</v>
      </c>
      <c r="G755" s="137">
        <v>24.5</v>
      </c>
      <c r="H755" s="137">
        <v>0</v>
      </c>
      <c r="I755" s="137">
        <v>0</v>
      </c>
      <c r="J755" s="137">
        <v>8.0500000000000007</v>
      </c>
      <c r="K755" s="137" t="s">
        <v>77</v>
      </c>
      <c r="L755" s="137" t="s">
        <v>79</v>
      </c>
      <c r="M755" s="137" t="s">
        <v>80</v>
      </c>
      <c r="N755" s="137" t="b">
        <v>1</v>
      </c>
      <c r="O755" s="137"/>
      <c r="P755" s="137" t="s">
        <v>83</v>
      </c>
      <c r="Q755" s="137" t="s">
        <v>84</v>
      </c>
      <c r="R755" s="137" t="b">
        <v>1</v>
      </c>
      <c r="S755" s="139">
        <v>1</v>
      </c>
      <c r="T755" s="139">
        <v>3.6418369022720502E+18</v>
      </c>
    </row>
    <row r="756" spans="3:20">
      <c r="C756" s="24" t="b">
        <v>0</v>
      </c>
      <c r="D756" s="137">
        <v>1</v>
      </c>
      <c r="E756" s="138">
        <v>3</v>
      </c>
      <c r="F756" s="137" t="s">
        <v>85</v>
      </c>
      <c r="G756" s="137">
        <v>18</v>
      </c>
      <c r="H756" s="137">
        <v>0</v>
      </c>
      <c r="I756" s="137">
        <v>0</v>
      </c>
      <c r="J756" s="137">
        <v>9.8416999999999994</v>
      </c>
      <c r="K756" s="137" t="s">
        <v>77</v>
      </c>
      <c r="L756" s="137" t="s">
        <v>79</v>
      </c>
      <c r="M756" s="137" t="s">
        <v>87</v>
      </c>
      <c r="N756" s="137" t="b">
        <v>0</v>
      </c>
      <c r="O756" s="137"/>
      <c r="P756" s="137" t="s">
        <v>83</v>
      </c>
      <c r="Q756" s="137" t="s">
        <v>89</v>
      </c>
      <c r="R756" s="137" t="b">
        <v>1</v>
      </c>
      <c r="S756" s="139">
        <v>1</v>
      </c>
      <c r="T756" s="139">
        <v>1.13922166183633E+18</v>
      </c>
    </row>
    <row r="757" spans="3:20">
      <c r="C757" s="24" t="b">
        <v>0</v>
      </c>
      <c r="D757" s="137">
        <v>0</v>
      </c>
      <c r="E757" s="138">
        <v>3</v>
      </c>
      <c r="F757" s="137" t="s">
        <v>85</v>
      </c>
      <c r="G757" s="137">
        <v>43</v>
      </c>
      <c r="H757" s="137">
        <v>1</v>
      </c>
      <c r="I757" s="137">
        <v>6</v>
      </c>
      <c r="J757" s="137">
        <v>46.9</v>
      </c>
      <c r="K757" s="137" t="s">
        <v>77</v>
      </c>
      <c r="L757" s="137" t="s">
        <v>79</v>
      </c>
      <c r="M757" s="137" t="s">
        <v>87</v>
      </c>
      <c r="N757" s="137" t="b">
        <v>0</v>
      </c>
      <c r="O757" s="137"/>
      <c r="P757" s="137" t="s">
        <v>83</v>
      </c>
      <c r="Q757" s="137" t="s">
        <v>84</v>
      </c>
      <c r="R757" s="137" t="b">
        <v>0</v>
      </c>
      <c r="S757" s="139">
        <v>1</v>
      </c>
      <c r="T757" s="139">
        <v>3.79030777411288E+17</v>
      </c>
    </row>
    <row r="758" spans="3:20">
      <c r="C758" s="24" t="b">
        <v>0</v>
      </c>
      <c r="D758" s="137">
        <v>1</v>
      </c>
      <c r="E758" s="138">
        <v>1</v>
      </c>
      <c r="F758" s="137" t="s">
        <v>75</v>
      </c>
      <c r="G758" s="137">
        <v>36</v>
      </c>
      <c r="H758" s="137">
        <v>0</v>
      </c>
      <c r="I758" s="137">
        <v>1</v>
      </c>
      <c r="J758" s="137">
        <v>512.32920000000001</v>
      </c>
      <c r="K758" s="137" t="s">
        <v>82</v>
      </c>
      <c r="L758" s="137" t="s">
        <v>86</v>
      </c>
      <c r="M758" s="137" t="s">
        <v>80</v>
      </c>
      <c r="N758" s="137" t="b">
        <v>1</v>
      </c>
      <c r="O758" s="137" t="s">
        <v>98</v>
      </c>
      <c r="P758" s="137" t="s">
        <v>88</v>
      </c>
      <c r="Q758" s="137" t="s">
        <v>89</v>
      </c>
      <c r="R758" s="137" t="b">
        <v>0</v>
      </c>
      <c r="S758" s="139">
        <v>0</v>
      </c>
      <c r="T758" s="139">
        <v>1.04104767838115E+19</v>
      </c>
    </row>
    <row r="759" spans="3:20">
      <c r="C759" s="24" t="b">
        <v>0</v>
      </c>
      <c r="D759" s="137">
        <v>0</v>
      </c>
      <c r="E759" s="138">
        <v>3</v>
      </c>
      <c r="F759" s="137" t="s">
        <v>85</v>
      </c>
      <c r="G759" s="137"/>
      <c r="H759" s="137">
        <v>0</v>
      </c>
      <c r="I759" s="137">
        <v>0</v>
      </c>
      <c r="J759" s="137">
        <v>8.1374999999999993</v>
      </c>
      <c r="K759" s="137" t="s">
        <v>90</v>
      </c>
      <c r="L759" s="137" t="s">
        <v>79</v>
      </c>
      <c r="M759" s="137" t="s">
        <v>87</v>
      </c>
      <c r="N759" s="137" t="b">
        <v>0</v>
      </c>
      <c r="O759" s="137"/>
      <c r="P759" s="137" t="s">
        <v>91</v>
      </c>
      <c r="Q759" s="137" t="s">
        <v>84</v>
      </c>
      <c r="R759" s="137" t="b">
        <v>1</v>
      </c>
      <c r="S759" s="139">
        <v>1</v>
      </c>
      <c r="T759" s="139">
        <v>1.40133274170601E+19</v>
      </c>
    </row>
    <row r="760" spans="3:20">
      <c r="C760" s="24" t="b">
        <v>0</v>
      </c>
      <c r="D760" s="137">
        <v>1</v>
      </c>
      <c r="E760" s="138">
        <v>1</v>
      </c>
      <c r="F760" s="137" t="s">
        <v>75</v>
      </c>
      <c r="G760" s="137">
        <v>27</v>
      </c>
      <c r="H760" s="137">
        <v>0</v>
      </c>
      <c r="I760" s="137">
        <v>0</v>
      </c>
      <c r="J760" s="137">
        <v>76.729200000000006</v>
      </c>
      <c r="K760" s="137" t="s">
        <v>82</v>
      </c>
      <c r="L760" s="137" t="s">
        <v>86</v>
      </c>
      <c r="M760" s="137" t="s">
        <v>80</v>
      </c>
      <c r="N760" s="137" t="b">
        <v>1</v>
      </c>
      <c r="O760" s="137" t="s">
        <v>96</v>
      </c>
      <c r="P760" s="137" t="s">
        <v>88</v>
      </c>
      <c r="Q760" s="137" t="s">
        <v>89</v>
      </c>
      <c r="R760" s="137" t="b">
        <v>1</v>
      </c>
      <c r="S760" s="139">
        <v>0</v>
      </c>
      <c r="T760" s="139">
        <v>1.14579738946206E+19</v>
      </c>
    </row>
    <row r="761" spans="3:20">
      <c r="C761" s="24" t="b">
        <v>0</v>
      </c>
      <c r="D761" s="137">
        <v>0</v>
      </c>
      <c r="E761" s="138">
        <v>3</v>
      </c>
      <c r="F761" s="137" t="s">
        <v>75</v>
      </c>
      <c r="G761" s="137">
        <v>20</v>
      </c>
      <c r="H761" s="137">
        <v>0</v>
      </c>
      <c r="I761" s="137">
        <v>0</v>
      </c>
      <c r="J761" s="137">
        <v>9.2249999999999996</v>
      </c>
      <c r="K761" s="137" t="s">
        <v>77</v>
      </c>
      <c r="L761" s="137" t="s">
        <v>79</v>
      </c>
      <c r="M761" s="137" t="s">
        <v>80</v>
      </c>
      <c r="N761" s="137" t="b">
        <v>1</v>
      </c>
      <c r="O761" s="137"/>
      <c r="P761" s="137" t="s">
        <v>83</v>
      </c>
      <c r="Q761" s="137" t="s">
        <v>84</v>
      </c>
      <c r="R761" s="137" t="b">
        <v>1</v>
      </c>
      <c r="S761" s="139">
        <v>1</v>
      </c>
      <c r="T761" s="139">
        <v>1.71567641184058E+19</v>
      </c>
    </row>
    <row r="762" spans="3:20">
      <c r="C762" s="24" t="b">
        <v>0</v>
      </c>
      <c r="D762" s="137">
        <v>0</v>
      </c>
      <c r="E762" s="138">
        <v>3</v>
      </c>
      <c r="F762" s="137" t="s">
        <v>75</v>
      </c>
      <c r="G762" s="137">
        <v>14</v>
      </c>
      <c r="H762" s="137">
        <v>5</v>
      </c>
      <c r="I762" s="137">
        <v>2</v>
      </c>
      <c r="J762" s="137">
        <v>46.9</v>
      </c>
      <c r="K762" s="137" t="s">
        <v>77</v>
      </c>
      <c r="L762" s="137" t="s">
        <v>79</v>
      </c>
      <c r="M762" s="137" t="s">
        <v>93</v>
      </c>
      <c r="N762" s="137" t="b">
        <v>0</v>
      </c>
      <c r="O762" s="137"/>
      <c r="P762" s="137" t="s">
        <v>83</v>
      </c>
      <c r="Q762" s="137" t="s">
        <v>84</v>
      </c>
      <c r="R762" s="137" t="b">
        <v>0</v>
      </c>
      <c r="S762" s="139">
        <v>1</v>
      </c>
      <c r="T762" s="139">
        <v>1.42442923697714E+18</v>
      </c>
    </row>
    <row r="763" spans="3:20">
      <c r="C763" s="24" t="b">
        <v>0</v>
      </c>
      <c r="D763" s="137">
        <v>0</v>
      </c>
      <c r="E763" s="138">
        <v>2</v>
      </c>
      <c r="F763" s="137" t="s">
        <v>75</v>
      </c>
      <c r="G763" s="137">
        <v>60</v>
      </c>
      <c r="H763" s="137">
        <v>1</v>
      </c>
      <c r="I763" s="137">
        <v>1</v>
      </c>
      <c r="J763" s="137">
        <v>39</v>
      </c>
      <c r="K763" s="137" t="s">
        <v>77</v>
      </c>
      <c r="L763" s="137" t="s">
        <v>94</v>
      </c>
      <c r="M763" s="137" t="s">
        <v>80</v>
      </c>
      <c r="N763" s="137" t="b">
        <v>1</v>
      </c>
      <c r="O763" s="137"/>
      <c r="P763" s="137" t="s">
        <v>83</v>
      </c>
      <c r="Q763" s="137" t="s">
        <v>84</v>
      </c>
      <c r="R763" s="137" t="b">
        <v>0</v>
      </c>
      <c r="S763" s="139">
        <v>1</v>
      </c>
      <c r="T763" s="139">
        <v>1.58304186730694E+19</v>
      </c>
    </row>
    <row r="764" spans="3:20">
      <c r="C764" s="24" t="b">
        <v>0</v>
      </c>
      <c r="D764" s="137">
        <v>0</v>
      </c>
      <c r="E764" s="138">
        <v>2</v>
      </c>
      <c r="F764" s="137" t="s">
        <v>75</v>
      </c>
      <c r="G764" s="137">
        <v>25</v>
      </c>
      <c r="H764" s="137">
        <v>1</v>
      </c>
      <c r="I764" s="137">
        <v>2</v>
      </c>
      <c r="J764" s="137">
        <v>41.5792</v>
      </c>
      <c r="K764" s="137" t="s">
        <v>82</v>
      </c>
      <c r="L764" s="137" t="s">
        <v>94</v>
      </c>
      <c r="M764" s="137" t="s">
        <v>80</v>
      </c>
      <c r="N764" s="137" t="b">
        <v>1</v>
      </c>
      <c r="O764" s="137"/>
      <c r="P764" s="137" t="s">
        <v>88</v>
      </c>
      <c r="Q764" s="137" t="s">
        <v>84</v>
      </c>
      <c r="R764" s="137" t="b">
        <v>0</v>
      </c>
      <c r="S764" s="139">
        <v>1</v>
      </c>
      <c r="T764" s="139">
        <v>6.7398857023070198E+18</v>
      </c>
    </row>
    <row r="765" spans="3:20">
      <c r="C765" s="24" t="b">
        <v>0</v>
      </c>
      <c r="D765" s="137">
        <v>0</v>
      </c>
      <c r="E765" s="138">
        <v>3</v>
      </c>
      <c r="F765" s="137" t="s">
        <v>75</v>
      </c>
      <c r="G765" s="137">
        <v>14</v>
      </c>
      <c r="H765" s="137">
        <v>4</v>
      </c>
      <c r="I765" s="137">
        <v>1</v>
      </c>
      <c r="J765" s="137">
        <v>39.6875</v>
      </c>
      <c r="K765" s="137" t="s">
        <v>77</v>
      </c>
      <c r="L765" s="137" t="s">
        <v>79</v>
      </c>
      <c r="M765" s="137" t="s">
        <v>93</v>
      </c>
      <c r="N765" s="137" t="b">
        <v>0</v>
      </c>
      <c r="O765" s="137"/>
      <c r="P765" s="137" t="s">
        <v>83</v>
      </c>
      <c r="Q765" s="137" t="s">
        <v>84</v>
      </c>
      <c r="R765" s="137" t="b">
        <v>0</v>
      </c>
      <c r="S765" s="139">
        <v>1</v>
      </c>
      <c r="T765" s="139">
        <v>9.3131261913485594E+17</v>
      </c>
    </row>
    <row r="766" spans="3:20">
      <c r="C766" s="24" t="b">
        <v>0</v>
      </c>
      <c r="D766" s="137">
        <v>0</v>
      </c>
      <c r="E766" s="138">
        <v>3</v>
      </c>
      <c r="F766" s="137" t="s">
        <v>75</v>
      </c>
      <c r="G766" s="137">
        <v>19</v>
      </c>
      <c r="H766" s="137">
        <v>0</v>
      </c>
      <c r="I766" s="137">
        <v>0</v>
      </c>
      <c r="J766" s="137">
        <v>10.1708</v>
      </c>
      <c r="K766" s="137" t="s">
        <v>77</v>
      </c>
      <c r="L766" s="137" t="s">
        <v>79</v>
      </c>
      <c r="M766" s="137" t="s">
        <v>80</v>
      </c>
      <c r="N766" s="137" t="b">
        <v>1</v>
      </c>
      <c r="O766" s="137"/>
      <c r="P766" s="137" t="s">
        <v>83</v>
      </c>
      <c r="Q766" s="137" t="s">
        <v>84</v>
      </c>
      <c r="R766" s="137" t="b">
        <v>1</v>
      </c>
      <c r="S766" s="139">
        <v>1</v>
      </c>
      <c r="T766" s="139">
        <v>3.9738403781471099E+18</v>
      </c>
    </row>
    <row r="767" spans="3:20">
      <c r="C767" s="24" t="b">
        <v>0</v>
      </c>
      <c r="D767" s="137">
        <v>0</v>
      </c>
      <c r="E767" s="138">
        <v>3</v>
      </c>
      <c r="F767" s="137" t="s">
        <v>75</v>
      </c>
      <c r="G767" s="137">
        <v>18</v>
      </c>
      <c r="H767" s="137">
        <v>0</v>
      </c>
      <c r="I767" s="137">
        <v>0</v>
      </c>
      <c r="J767" s="137">
        <v>7.7957999999999998</v>
      </c>
      <c r="K767" s="137" t="s">
        <v>77</v>
      </c>
      <c r="L767" s="137" t="s">
        <v>79</v>
      </c>
      <c r="M767" s="137" t="s">
        <v>80</v>
      </c>
      <c r="N767" s="137" t="b">
        <v>1</v>
      </c>
      <c r="O767" s="137"/>
      <c r="P767" s="137" t="s">
        <v>83</v>
      </c>
      <c r="Q767" s="137" t="s">
        <v>84</v>
      </c>
      <c r="R767" s="137" t="b">
        <v>1</v>
      </c>
      <c r="S767" s="139">
        <v>1</v>
      </c>
      <c r="T767" s="139">
        <v>1.6423508188013799E+19</v>
      </c>
    </row>
    <row r="768" spans="3:20">
      <c r="C768" s="24" t="b">
        <v>0</v>
      </c>
      <c r="D768" s="137">
        <v>1</v>
      </c>
      <c r="E768" s="138">
        <v>1</v>
      </c>
      <c r="F768" s="137" t="s">
        <v>85</v>
      </c>
      <c r="G768" s="137">
        <v>15</v>
      </c>
      <c r="H768" s="137">
        <v>0</v>
      </c>
      <c r="I768" s="137">
        <v>1</v>
      </c>
      <c r="J768" s="137">
        <v>211.33750000000001</v>
      </c>
      <c r="K768" s="137" t="s">
        <v>77</v>
      </c>
      <c r="L768" s="137" t="s">
        <v>86</v>
      </c>
      <c r="M768" s="137" t="s">
        <v>93</v>
      </c>
      <c r="N768" s="137" t="b">
        <v>0</v>
      </c>
      <c r="O768" s="137" t="s">
        <v>98</v>
      </c>
      <c r="P768" s="137" t="s">
        <v>83</v>
      </c>
      <c r="Q768" s="137" t="s">
        <v>89</v>
      </c>
      <c r="R768" s="137" t="b">
        <v>0</v>
      </c>
      <c r="S768" s="139">
        <v>0</v>
      </c>
      <c r="T768" s="139">
        <v>3.3382976507460803E+18</v>
      </c>
    </row>
    <row r="769" spans="3:20">
      <c r="C769" s="24" t="b">
        <v>0</v>
      </c>
      <c r="D769" s="137">
        <v>1</v>
      </c>
      <c r="E769" s="138">
        <v>1</v>
      </c>
      <c r="F769" s="137" t="s">
        <v>75</v>
      </c>
      <c r="G769" s="137">
        <v>31</v>
      </c>
      <c r="H769" s="137">
        <v>1</v>
      </c>
      <c r="I769" s="137">
        <v>0</v>
      </c>
      <c r="J769" s="137">
        <v>57</v>
      </c>
      <c r="K769" s="137" t="s">
        <v>77</v>
      </c>
      <c r="L769" s="137" t="s">
        <v>86</v>
      </c>
      <c r="M769" s="137" t="s">
        <v>80</v>
      </c>
      <c r="N769" s="137" t="b">
        <v>1</v>
      </c>
      <c r="O769" s="137" t="s">
        <v>98</v>
      </c>
      <c r="P769" s="137" t="s">
        <v>83</v>
      </c>
      <c r="Q769" s="137" t="s">
        <v>89</v>
      </c>
      <c r="R769" s="137" t="b">
        <v>0</v>
      </c>
      <c r="S769" s="139">
        <v>0</v>
      </c>
      <c r="T769" s="139">
        <v>5.9281915640298895E+18</v>
      </c>
    </row>
    <row r="770" spans="3:20">
      <c r="C770" s="24" t="b">
        <v>0</v>
      </c>
      <c r="D770" s="137">
        <v>1</v>
      </c>
      <c r="E770" s="138">
        <v>3</v>
      </c>
      <c r="F770" s="137" t="s">
        <v>85</v>
      </c>
      <c r="G770" s="137">
        <v>4</v>
      </c>
      <c r="H770" s="137">
        <v>0</v>
      </c>
      <c r="I770" s="137">
        <v>1</v>
      </c>
      <c r="J770" s="137">
        <v>13.416700000000001</v>
      </c>
      <c r="K770" s="137" t="s">
        <v>82</v>
      </c>
      <c r="L770" s="137" t="s">
        <v>79</v>
      </c>
      <c r="M770" s="137" t="s">
        <v>93</v>
      </c>
      <c r="N770" s="137" t="b">
        <v>0</v>
      </c>
      <c r="O770" s="137"/>
      <c r="P770" s="137" t="s">
        <v>88</v>
      </c>
      <c r="Q770" s="137" t="s">
        <v>89</v>
      </c>
      <c r="R770" s="137" t="b">
        <v>0</v>
      </c>
      <c r="S770" s="139">
        <v>1</v>
      </c>
      <c r="T770" s="139">
        <v>9.4554514178630001E+18</v>
      </c>
    </row>
    <row r="771" spans="3:20">
      <c r="C771" s="24" t="b">
        <v>0</v>
      </c>
      <c r="D771" s="137">
        <v>1</v>
      </c>
      <c r="E771" s="138">
        <v>3</v>
      </c>
      <c r="F771" s="137" t="s">
        <v>75</v>
      </c>
      <c r="G771" s="137"/>
      <c r="H771" s="137">
        <v>0</v>
      </c>
      <c r="I771" s="137">
        <v>0</v>
      </c>
      <c r="J771" s="137">
        <v>56.495800000000003</v>
      </c>
      <c r="K771" s="137" t="s">
        <v>77</v>
      </c>
      <c r="L771" s="137" t="s">
        <v>79</v>
      </c>
      <c r="M771" s="137" t="s">
        <v>80</v>
      </c>
      <c r="N771" s="137" t="b">
        <v>1</v>
      </c>
      <c r="O771" s="137"/>
      <c r="P771" s="137" t="s">
        <v>83</v>
      </c>
      <c r="Q771" s="137" t="s">
        <v>89</v>
      </c>
      <c r="R771" s="137" t="b">
        <v>1</v>
      </c>
      <c r="S771" s="139">
        <v>1</v>
      </c>
      <c r="T771" s="139">
        <v>6.4621136676760596E+18</v>
      </c>
    </row>
    <row r="772" spans="3:20">
      <c r="C772" s="24" t="b">
        <v>0</v>
      </c>
      <c r="D772" s="137">
        <v>0</v>
      </c>
      <c r="E772" s="138">
        <v>3</v>
      </c>
      <c r="F772" s="137" t="s">
        <v>75</v>
      </c>
      <c r="G772" s="137">
        <v>25</v>
      </c>
      <c r="H772" s="137">
        <v>0</v>
      </c>
      <c r="I772" s="137">
        <v>0</v>
      </c>
      <c r="J772" s="137">
        <v>7.2249999999999996</v>
      </c>
      <c r="K772" s="137" t="s">
        <v>82</v>
      </c>
      <c r="L772" s="137" t="s">
        <v>79</v>
      </c>
      <c r="M772" s="137" t="s">
        <v>80</v>
      </c>
      <c r="N772" s="137" t="b">
        <v>1</v>
      </c>
      <c r="O772" s="137"/>
      <c r="P772" s="137" t="s">
        <v>88</v>
      </c>
      <c r="Q772" s="137" t="s">
        <v>84</v>
      </c>
      <c r="R772" s="137" t="b">
        <v>1</v>
      </c>
      <c r="S772" s="139">
        <v>1</v>
      </c>
      <c r="T772" s="139">
        <v>2.6624544912131098E+18</v>
      </c>
    </row>
    <row r="773" spans="3:20">
      <c r="C773" s="24" t="b">
        <v>0</v>
      </c>
      <c r="D773" s="137">
        <v>0</v>
      </c>
      <c r="E773" s="138">
        <v>1</v>
      </c>
      <c r="F773" s="137" t="s">
        <v>75</v>
      </c>
      <c r="G773" s="137">
        <v>60</v>
      </c>
      <c r="H773" s="137">
        <v>0</v>
      </c>
      <c r="I773" s="137">
        <v>0</v>
      </c>
      <c r="J773" s="137">
        <v>26.55</v>
      </c>
      <c r="K773" s="137" t="s">
        <v>77</v>
      </c>
      <c r="L773" s="137" t="s">
        <v>86</v>
      </c>
      <c r="M773" s="137" t="s">
        <v>80</v>
      </c>
      <c r="N773" s="137" t="b">
        <v>1</v>
      </c>
      <c r="O773" s="137"/>
      <c r="P773" s="137" t="s">
        <v>83</v>
      </c>
      <c r="Q773" s="137" t="s">
        <v>84</v>
      </c>
      <c r="R773" s="137" t="b">
        <v>1</v>
      </c>
      <c r="S773" s="139">
        <v>1</v>
      </c>
      <c r="T773" s="139">
        <v>8.8442711320622602E+18</v>
      </c>
    </row>
    <row r="774" spans="3:20">
      <c r="C774" s="24" t="b">
        <v>0</v>
      </c>
      <c r="D774" s="137">
        <v>0</v>
      </c>
      <c r="E774" s="138">
        <v>2</v>
      </c>
      <c r="F774" s="137" t="s">
        <v>75</v>
      </c>
      <c r="G774" s="137">
        <v>52</v>
      </c>
      <c r="H774" s="137">
        <v>0</v>
      </c>
      <c r="I774" s="137">
        <v>0</v>
      </c>
      <c r="J774" s="137">
        <v>13.5</v>
      </c>
      <c r="K774" s="137" t="s">
        <v>77</v>
      </c>
      <c r="L774" s="137" t="s">
        <v>94</v>
      </c>
      <c r="M774" s="137" t="s">
        <v>80</v>
      </c>
      <c r="N774" s="137" t="b">
        <v>1</v>
      </c>
      <c r="O774" s="137"/>
      <c r="P774" s="137" t="s">
        <v>83</v>
      </c>
      <c r="Q774" s="137" t="s">
        <v>84</v>
      </c>
      <c r="R774" s="137" t="b">
        <v>1</v>
      </c>
      <c r="S774" s="139">
        <v>1</v>
      </c>
      <c r="T774" s="139">
        <v>1.69944081302284E+19</v>
      </c>
    </row>
    <row r="775" spans="3:20">
      <c r="C775" s="24" t="b">
        <v>0</v>
      </c>
      <c r="D775" s="137">
        <v>0</v>
      </c>
      <c r="E775" s="138">
        <v>3</v>
      </c>
      <c r="F775" s="137" t="s">
        <v>75</v>
      </c>
      <c r="G775" s="137">
        <v>44</v>
      </c>
      <c r="H775" s="137">
        <v>0</v>
      </c>
      <c r="I775" s="137">
        <v>0</v>
      </c>
      <c r="J775" s="137">
        <v>8.0500000000000007</v>
      </c>
      <c r="K775" s="137" t="s">
        <v>77</v>
      </c>
      <c r="L775" s="137" t="s">
        <v>79</v>
      </c>
      <c r="M775" s="137" t="s">
        <v>80</v>
      </c>
      <c r="N775" s="137" t="b">
        <v>1</v>
      </c>
      <c r="O775" s="137"/>
      <c r="P775" s="137" t="s">
        <v>83</v>
      </c>
      <c r="Q775" s="137" t="s">
        <v>84</v>
      </c>
      <c r="R775" s="137" t="b">
        <v>1</v>
      </c>
      <c r="S775" s="139">
        <v>1</v>
      </c>
      <c r="T775" s="139">
        <v>1.43146259284219E+19</v>
      </c>
    </row>
    <row r="776" spans="3:20">
      <c r="C776" s="24" t="b">
        <v>0</v>
      </c>
      <c r="D776" s="137">
        <v>1</v>
      </c>
      <c r="E776" s="138">
        <v>3</v>
      </c>
      <c r="F776" s="137" t="s">
        <v>85</v>
      </c>
      <c r="G776" s="137"/>
      <c r="H776" s="137">
        <v>0</v>
      </c>
      <c r="I776" s="137">
        <v>0</v>
      </c>
      <c r="J776" s="137">
        <v>7.7332999999999998</v>
      </c>
      <c r="K776" s="137" t="s">
        <v>90</v>
      </c>
      <c r="L776" s="137" t="s">
        <v>79</v>
      </c>
      <c r="M776" s="137" t="s">
        <v>87</v>
      </c>
      <c r="N776" s="137" t="b">
        <v>0</v>
      </c>
      <c r="O776" s="137"/>
      <c r="P776" s="137" t="s">
        <v>91</v>
      </c>
      <c r="Q776" s="137" t="s">
        <v>89</v>
      </c>
      <c r="R776" s="137" t="b">
        <v>1</v>
      </c>
      <c r="S776" s="139">
        <v>1</v>
      </c>
      <c r="T776" s="139">
        <v>7.2392275016080804E+18</v>
      </c>
    </row>
    <row r="777" spans="3:20">
      <c r="C777" s="24" t="b">
        <v>0</v>
      </c>
      <c r="D777" s="137">
        <v>0</v>
      </c>
      <c r="E777" s="138">
        <v>1</v>
      </c>
      <c r="F777" s="137" t="s">
        <v>75</v>
      </c>
      <c r="G777" s="137">
        <v>49</v>
      </c>
      <c r="H777" s="137">
        <v>1</v>
      </c>
      <c r="I777" s="137">
        <v>1</v>
      </c>
      <c r="J777" s="137">
        <v>110.88330000000001</v>
      </c>
      <c r="K777" s="137" t="s">
        <v>82</v>
      </c>
      <c r="L777" s="137" t="s">
        <v>86</v>
      </c>
      <c r="M777" s="137" t="s">
        <v>80</v>
      </c>
      <c r="N777" s="137" t="b">
        <v>1</v>
      </c>
      <c r="O777" s="137" t="s">
        <v>82</v>
      </c>
      <c r="P777" s="137" t="s">
        <v>88</v>
      </c>
      <c r="Q777" s="137" t="s">
        <v>84</v>
      </c>
      <c r="R777" s="137" t="b">
        <v>0</v>
      </c>
      <c r="S777" s="139">
        <v>0</v>
      </c>
      <c r="T777" s="139">
        <v>5.4553053234111703E+18</v>
      </c>
    </row>
    <row r="778" spans="3:20">
      <c r="C778" s="24" t="b">
        <v>0</v>
      </c>
      <c r="D778" s="137">
        <v>0</v>
      </c>
      <c r="E778" s="138">
        <v>3</v>
      </c>
      <c r="F778" s="137" t="s">
        <v>75</v>
      </c>
      <c r="G778" s="137">
        <v>42</v>
      </c>
      <c r="H778" s="137">
        <v>0</v>
      </c>
      <c r="I778" s="137">
        <v>0</v>
      </c>
      <c r="J778" s="137">
        <v>7.65</v>
      </c>
      <c r="K778" s="137" t="s">
        <v>77</v>
      </c>
      <c r="L778" s="137" t="s">
        <v>79</v>
      </c>
      <c r="M778" s="137" t="s">
        <v>80</v>
      </c>
      <c r="N778" s="137" t="b">
        <v>1</v>
      </c>
      <c r="O778" s="137" t="s">
        <v>99</v>
      </c>
      <c r="P778" s="137" t="s">
        <v>83</v>
      </c>
      <c r="Q778" s="137" t="s">
        <v>84</v>
      </c>
      <c r="R778" s="137" t="b">
        <v>1</v>
      </c>
      <c r="S778" s="139">
        <v>0</v>
      </c>
      <c r="T778" s="139">
        <v>7.7897243665147996E+18</v>
      </c>
    </row>
    <row r="779" spans="3:20">
      <c r="C779" s="24" t="b">
        <v>0</v>
      </c>
      <c r="D779" s="137">
        <v>1</v>
      </c>
      <c r="E779" s="138">
        <v>1</v>
      </c>
      <c r="F779" s="137" t="s">
        <v>85</v>
      </c>
      <c r="G779" s="137">
        <v>18</v>
      </c>
      <c r="H779" s="137">
        <v>1</v>
      </c>
      <c r="I779" s="137">
        <v>0</v>
      </c>
      <c r="J779" s="137">
        <v>227.52500000000001</v>
      </c>
      <c r="K779" s="137" t="s">
        <v>82</v>
      </c>
      <c r="L779" s="137" t="s">
        <v>86</v>
      </c>
      <c r="M779" s="137" t="s">
        <v>87</v>
      </c>
      <c r="N779" s="137" t="b">
        <v>0</v>
      </c>
      <c r="O779" s="137" t="s">
        <v>82</v>
      </c>
      <c r="P779" s="137" t="s">
        <v>88</v>
      </c>
      <c r="Q779" s="137" t="s">
        <v>89</v>
      </c>
      <c r="R779" s="137" t="b">
        <v>0</v>
      </c>
      <c r="S779" s="139">
        <v>0</v>
      </c>
      <c r="T779" s="139">
        <v>6.6833324407187599E+18</v>
      </c>
    </row>
    <row r="780" spans="3:20">
      <c r="C780" s="24" t="b">
        <v>0</v>
      </c>
      <c r="D780" s="137">
        <v>1</v>
      </c>
      <c r="E780" s="138">
        <v>1</v>
      </c>
      <c r="F780" s="137" t="s">
        <v>75</v>
      </c>
      <c r="G780" s="137">
        <v>35</v>
      </c>
      <c r="H780" s="137">
        <v>0</v>
      </c>
      <c r="I780" s="137">
        <v>0</v>
      </c>
      <c r="J780" s="137">
        <v>26.287500000000001</v>
      </c>
      <c r="K780" s="137" t="s">
        <v>77</v>
      </c>
      <c r="L780" s="137" t="s">
        <v>86</v>
      </c>
      <c r="M780" s="137" t="s">
        <v>80</v>
      </c>
      <c r="N780" s="137" t="b">
        <v>1</v>
      </c>
      <c r="O780" s="137" t="s">
        <v>92</v>
      </c>
      <c r="P780" s="137" t="s">
        <v>83</v>
      </c>
      <c r="Q780" s="137" t="s">
        <v>89</v>
      </c>
      <c r="R780" s="137" t="b">
        <v>1</v>
      </c>
      <c r="S780" s="139">
        <v>0</v>
      </c>
      <c r="T780" s="139">
        <v>1.8390722376537899E+19</v>
      </c>
    </row>
    <row r="781" spans="3:20">
      <c r="C781" s="24" t="b">
        <v>0</v>
      </c>
      <c r="D781" s="137">
        <v>0</v>
      </c>
      <c r="E781" s="138">
        <v>3</v>
      </c>
      <c r="F781" s="137" t="s">
        <v>85</v>
      </c>
      <c r="G781" s="137">
        <v>18</v>
      </c>
      <c r="H781" s="137">
        <v>0</v>
      </c>
      <c r="I781" s="137">
        <v>1</v>
      </c>
      <c r="J781" s="137">
        <v>14.4542</v>
      </c>
      <c r="K781" s="137" t="s">
        <v>82</v>
      </c>
      <c r="L781" s="137" t="s">
        <v>79</v>
      </c>
      <c r="M781" s="137" t="s">
        <v>87</v>
      </c>
      <c r="N781" s="137" t="b">
        <v>0</v>
      </c>
      <c r="O781" s="137"/>
      <c r="P781" s="137" t="s">
        <v>88</v>
      </c>
      <c r="Q781" s="137" t="s">
        <v>84</v>
      </c>
      <c r="R781" s="137" t="b">
        <v>0</v>
      </c>
      <c r="S781" s="139">
        <v>1</v>
      </c>
      <c r="T781" s="139">
        <v>7.8680915120184806E+17</v>
      </c>
    </row>
    <row r="782" spans="3:20">
      <c r="C782" s="24" t="b">
        <v>0</v>
      </c>
      <c r="D782" s="137">
        <v>0</v>
      </c>
      <c r="E782" s="138">
        <v>3</v>
      </c>
      <c r="F782" s="137" t="s">
        <v>75</v>
      </c>
      <c r="G782" s="137">
        <v>25</v>
      </c>
      <c r="H782" s="137">
        <v>0</v>
      </c>
      <c r="I782" s="137">
        <v>0</v>
      </c>
      <c r="J782" s="137">
        <v>7.7416999999999998</v>
      </c>
      <c r="K782" s="137" t="s">
        <v>90</v>
      </c>
      <c r="L782" s="137" t="s">
        <v>79</v>
      </c>
      <c r="M782" s="137" t="s">
        <v>80</v>
      </c>
      <c r="N782" s="137" t="b">
        <v>1</v>
      </c>
      <c r="O782" s="137"/>
      <c r="P782" s="137" t="s">
        <v>91</v>
      </c>
      <c r="Q782" s="137" t="s">
        <v>84</v>
      </c>
      <c r="R782" s="137" t="b">
        <v>1</v>
      </c>
      <c r="S782" s="139">
        <v>1</v>
      </c>
      <c r="T782" s="139">
        <v>2.9730854818621901E+18</v>
      </c>
    </row>
    <row r="783" spans="3:20">
      <c r="C783" s="24" t="b">
        <v>0</v>
      </c>
      <c r="D783" s="137">
        <v>0</v>
      </c>
      <c r="E783" s="138">
        <v>3</v>
      </c>
      <c r="F783" s="137" t="s">
        <v>75</v>
      </c>
      <c r="G783" s="137">
        <v>26</v>
      </c>
      <c r="H783" s="137">
        <v>1</v>
      </c>
      <c r="I783" s="137">
        <v>0</v>
      </c>
      <c r="J783" s="137">
        <v>7.8541999999999996</v>
      </c>
      <c r="K783" s="137" t="s">
        <v>77</v>
      </c>
      <c r="L783" s="137" t="s">
        <v>79</v>
      </c>
      <c r="M783" s="137" t="s">
        <v>80</v>
      </c>
      <c r="N783" s="137" t="b">
        <v>1</v>
      </c>
      <c r="O783" s="137"/>
      <c r="P783" s="137" t="s">
        <v>83</v>
      </c>
      <c r="Q783" s="137" t="s">
        <v>84</v>
      </c>
      <c r="R783" s="137" t="b">
        <v>0</v>
      </c>
      <c r="S783" s="139">
        <v>1</v>
      </c>
      <c r="T783" s="139">
        <v>1.1744615984055699E+19</v>
      </c>
    </row>
    <row r="784" spans="3:20">
      <c r="C784" s="24" t="b">
        <v>0</v>
      </c>
      <c r="D784" s="137">
        <v>0</v>
      </c>
      <c r="E784" s="138">
        <v>2</v>
      </c>
      <c r="F784" s="137" t="s">
        <v>75</v>
      </c>
      <c r="G784" s="137">
        <v>39</v>
      </c>
      <c r="H784" s="137">
        <v>0</v>
      </c>
      <c r="I784" s="137">
        <v>0</v>
      </c>
      <c r="J784" s="137">
        <v>26</v>
      </c>
      <c r="K784" s="137" t="s">
        <v>77</v>
      </c>
      <c r="L784" s="137" t="s">
        <v>94</v>
      </c>
      <c r="M784" s="137" t="s">
        <v>80</v>
      </c>
      <c r="N784" s="137" t="b">
        <v>1</v>
      </c>
      <c r="O784" s="137"/>
      <c r="P784" s="137" t="s">
        <v>83</v>
      </c>
      <c r="Q784" s="137" t="s">
        <v>84</v>
      </c>
      <c r="R784" s="137" t="b">
        <v>1</v>
      </c>
      <c r="S784" s="139">
        <v>1</v>
      </c>
      <c r="T784" s="139">
        <v>1.65695620466514E+19</v>
      </c>
    </row>
    <row r="785" spans="3:20">
      <c r="C785" s="24" t="b">
        <v>0</v>
      </c>
      <c r="D785" s="137">
        <v>1</v>
      </c>
      <c r="E785" s="138">
        <v>2</v>
      </c>
      <c r="F785" s="137" t="s">
        <v>85</v>
      </c>
      <c r="G785" s="137">
        <v>45</v>
      </c>
      <c r="H785" s="137">
        <v>0</v>
      </c>
      <c r="I785" s="137">
        <v>0</v>
      </c>
      <c r="J785" s="137">
        <v>13.5</v>
      </c>
      <c r="K785" s="137" t="s">
        <v>77</v>
      </c>
      <c r="L785" s="137" t="s">
        <v>94</v>
      </c>
      <c r="M785" s="137" t="s">
        <v>87</v>
      </c>
      <c r="N785" s="137" t="b">
        <v>0</v>
      </c>
      <c r="O785" s="137"/>
      <c r="P785" s="137" t="s">
        <v>83</v>
      </c>
      <c r="Q785" s="137" t="s">
        <v>89</v>
      </c>
      <c r="R785" s="137" t="b">
        <v>1</v>
      </c>
      <c r="S785" s="139">
        <v>1</v>
      </c>
      <c r="T785" s="139">
        <v>1.3285255929421199E+19</v>
      </c>
    </row>
    <row r="786" spans="3:20">
      <c r="C786" s="24" t="b">
        <v>0</v>
      </c>
      <c r="D786" s="137">
        <v>1</v>
      </c>
      <c r="E786" s="138">
        <v>1</v>
      </c>
      <c r="F786" s="137" t="s">
        <v>75</v>
      </c>
      <c r="G786" s="137">
        <v>42</v>
      </c>
      <c r="H786" s="137">
        <v>0</v>
      </c>
      <c r="I786" s="137">
        <v>0</v>
      </c>
      <c r="J786" s="137">
        <v>26.287500000000001</v>
      </c>
      <c r="K786" s="137" t="s">
        <v>77</v>
      </c>
      <c r="L786" s="137" t="s">
        <v>86</v>
      </c>
      <c r="M786" s="137" t="s">
        <v>80</v>
      </c>
      <c r="N786" s="137" t="b">
        <v>1</v>
      </c>
      <c r="O786" s="137" t="s">
        <v>92</v>
      </c>
      <c r="P786" s="137" t="s">
        <v>83</v>
      </c>
      <c r="Q786" s="137" t="s">
        <v>89</v>
      </c>
      <c r="R786" s="137" t="b">
        <v>1</v>
      </c>
      <c r="S786" s="139">
        <v>0</v>
      </c>
      <c r="T786" s="139">
        <v>1.6865243903656901E+18</v>
      </c>
    </row>
    <row r="787" spans="3:20">
      <c r="C787" s="24" t="b">
        <v>0</v>
      </c>
      <c r="D787" s="137">
        <v>1</v>
      </c>
      <c r="E787" s="138">
        <v>1</v>
      </c>
      <c r="F787" s="137" t="s">
        <v>85</v>
      </c>
      <c r="G787" s="137">
        <v>22</v>
      </c>
      <c r="H787" s="137">
        <v>0</v>
      </c>
      <c r="I787" s="137">
        <v>0</v>
      </c>
      <c r="J787" s="137">
        <v>151.55000000000001</v>
      </c>
      <c r="K787" s="137" t="s">
        <v>77</v>
      </c>
      <c r="L787" s="137" t="s">
        <v>86</v>
      </c>
      <c r="M787" s="137" t="s">
        <v>87</v>
      </c>
      <c r="N787" s="137" t="b">
        <v>0</v>
      </c>
      <c r="O787" s="137"/>
      <c r="P787" s="137" t="s">
        <v>83</v>
      </c>
      <c r="Q787" s="137" t="s">
        <v>89</v>
      </c>
      <c r="R787" s="137" t="b">
        <v>1</v>
      </c>
      <c r="S787" s="139">
        <v>1</v>
      </c>
      <c r="T787" s="139">
        <v>1.1810030178561599E+19</v>
      </c>
    </row>
    <row r="788" spans="3:20">
      <c r="C788" s="24" t="b">
        <v>0</v>
      </c>
      <c r="D788" s="137">
        <v>1</v>
      </c>
      <c r="E788" s="138">
        <v>3</v>
      </c>
      <c r="F788" s="137" t="s">
        <v>75</v>
      </c>
      <c r="G788" s="137"/>
      <c r="H788" s="137">
        <v>1</v>
      </c>
      <c r="I788" s="137">
        <v>1</v>
      </c>
      <c r="J788" s="137">
        <v>15.245799999999999</v>
      </c>
      <c r="K788" s="137" t="s">
        <v>82</v>
      </c>
      <c r="L788" s="137" t="s">
        <v>79</v>
      </c>
      <c r="M788" s="137" t="s">
        <v>80</v>
      </c>
      <c r="N788" s="137" t="b">
        <v>1</v>
      </c>
      <c r="O788" s="137"/>
      <c r="P788" s="137" t="s">
        <v>88</v>
      </c>
      <c r="Q788" s="137" t="s">
        <v>89</v>
      </c>
      <c r="R788" s="137" t="b">
        <v>0</v>
      </c>
      <c r="S788" s="139">
        <v>1</v>
      </c>
      <c r="T788" s="139">
        <v>1.6080472643208901E+19</v>
      </c>
    </row>
    <row r="789" spans="3:20">
      <c r="C789" s="24" t="b">
        <v>0</v>
      </c>
      <c r="D789" s="137">
        <v>1</v>
      </c>
      <c r="E789" s="138">
        <v>1</v>
      </c>
      <c r="F789" s="137" t="s">
        <v>85</v>
      </c>
      <c r="G789" s="137">
        <v>24</v>
      </c>
      <c r="H789" s="137">
        <v>0</v>
      </c>
      <c r="I789" s="137">
        <v>0</v>
      </c>
      <c r="J789" s="137">
        <v>49.504199999999997</v>
      </c>
      <c r="K789" s="137" t="s">
        <v>82</v>
      </c>
      <c r="L789" s="137" t="s">
        <v>86</v>
      </c>
      <c r="M789" s="137" t="s">
        <v>87</v>
      </c>
      <c r="N789" s="137" t="b">
        <v>0</v>
      </c>
      <c r="O789" s="137" t="s">
        <v>82</v>
      </c>
      <c r="P789" s="137" t="s">
        <v>88</v>
      </c>
      <c r="Q789" s="137" t="s">
        <v>89</v>
      </c>
      <c r="R789" s="137" t="b">
        <v>1</v>
      </c>
      <c r="S789" s="139">
        <v>0</v>
      </c>
      <c r="T789" s="139">
        <v>5.4543505130527396E+18</v>
      </c>
    </row>
    <row r="790" spans="3:20">
      <c r="C790" s="24" t="b">
        <v>0</v>
      </c>
      <c r="D790" s="137">
        <v>0</v>
      </c>
      <c r="E790" s="138">
        <v>1</v>
      </c>
      <c r="F790" s="137" t="s">
        <v>75</v>
      </c>
      <c r="G790" s="137"/>
      <c r="H790" s="137">
        <v>0</v>
      </c>
      <c r="I790" s="137">
        <v>0</v>
      </c>
      <c r="J790" s="137">
        <v>26.55</v>
      </c>
      <c r="K790" s="137" t="s">
        <v>77</v>
      </c>
      <c r="L790" s="137" t="s">
        <v>86</v>
      </c>
      <c r="M790" s="137" t="s">
        <v>80</v>
      </c>
      <c r="N790" s="137" t="b">
        <v>1</v>
      </c>
      <c r="O790" s="137" t="s">
        <v>82</v>
      </c>
      <c r="P790" s="137" t="s">
        <v>83</v>
      </c>
      <c r="Q790" s="137" t="s">
        <v>84</v>
      </c>
      <c r="R790" s="137" t="b">
        <v>1</v>
      </c>
      <c r="S790" s="139">
        <v>1</v>
      </c>
      <c r="T790" s="139">
        <v>4.9059108374606397E+18</v>
      </c>
    </row>
    <row r="791" spans="3:20">
      <c r="C791" s="24" t="b">
        <v>0</v>
      </c>
      <c r="D791" s="137">
        <v>1</v>
      </c>
      <c r="E791" s="138">
        <v>1</v>
      </c>
      <c r="F791" s="137" t="s">
        <v>75</v>
      </c>
      <c r="G791" s="137">
        <v>48</v>
      </c>
      <c r="H791" s="137">
        <v>1</v>
      </c>
      <c r="I791" s="137">
        <v>0</v>
      </c>
      <c r="J791" s="137">
        <v>52</v>
      </c>
      <c r="K791" s="137" t="s">
        <v>77</v>
      </c>
      <c r="L791" s="137" t="s">
        <v>86</v>
      </c>
      <c r="M791" s="137" t="s">
        <v>80</v>
      </c>
      <c r="N791" s="137" t="b">
        <v>1</v>
      </c>
      <c r="O791" s="137" t="s">
        <v>82</v>
      </c>
      <c r="P791" s="137" t="s">
        <v>83</v>
      </c>
      <c r="Q791" s="137" t="s">
        <v>89</v>
      </c>
      <c r="R791" s="137" t="b">
        <v>0</v>
      </c>
      <c r="S791" s="139">
        <v>0</v>
      </c>
      <c r="T791" s="139">
        <v>8.0684986975654605E+18</v>
      </c>
    </row>
    <row r="792" spans="3:20">
      <c r="C792" s="24" t="b">
        <v>0</v>
      </c>
      <c r="D792" s="137">
        <v>0</v>
      </c>
      <c r="E792" s="138">
        <v>3</v>
      </c>
      <c r="F792" s="137" t="s">
        <v>75</v>
      </c>
      <c r="G792" s="137">
        <v>29</v>
      </c>
      <c r="H792" s="137">
        <v>0</v>
      </c>
      <c r="I792" s="137">
        <v>0</v>
      </c>
      <c r="J792" s="137">
        <v>9.4832999999999998</v>
      </c>
      <c r="K792" s="137" t="s">
        <v>77</v>
      </c>
      <c r="L792" s="137" t="s">
        <v>79</v>
      </c>
      <c r="M792" s="137" t="s">
        <v>80</v>
      </c>
      <c r="N792" s="137" t="b">
        <v>1</v>
      </c>
      <c r="O792" s="137"/>
      <c r="P792" s="137" t="s">
        <v>83</v>
      </c>
      <c r="Q792" s="137" t="s">
        <v>84</v>
      </c>
      <c r="R792" s="137" t="b">
        <v>1</v>
      </c>
      <c r="S792" s="139">
        <v>1</v>
      </c>
      <c r="T792" s="139">
        <v>1.6472717652535699E+19</v>
      </c>
    </row>
    <row r="793" spans="3:20">
      <c r="C793" s="24" t="b">
        <v>0</v>
      </c>
      <c r="D793" s="137">
        <v>0</v>
      </c>
      <c r="E793" s="138">
        <v>2</v>
      </c>
      <c r="F793" s="137" t="s">
        <v>75</v>
      </c>
      <c r="G793" s="137">
        <v>52</v>
      </c>
      <c r="H793" s="137">
        <v>0</v>
      </c>
      <c r="I793" s="137">
        <v>0</v>
      </c>
      <c r="J793" s="137">
        <v>13</v>
      </c>
      <c r="K793" s="137" t="s">
        <v>77</v>
      </c>
      <c r="L793" s="137" t="s">
        <v>94</v>
      </c>
      <c r="M793" s="137" t="s">
        <v>80</v>
      </c>
      <c r="N793" s="137" t="b">
        <v>1</v>
      </c>
      <c r="O793" s="137"/>
      <c r="P793" s="137" t="s">
        <v>83</v>
      </c>
      <c r="Q793" s="137" t="s">
        <v>84</v>
      </c>
      <c r="R793" s="137" t="b">
        <v>1</v>
      </c>
      <c r="S793" s="139">
        <v>1</v>
      </c>
      <c r="T793" s="139">
        <v>1.22131147783594E+19</v>
      </c>
    </row>
    <row r="794" spans="3:20">
      <c r="C794" s="24" t="b">
        <v>0</v>
      </c>
      <c r="D794" s="137">
        <v>0</v>
      </c>
      <c r="E794" s="138">
        <v>3</v>
      </c>
      <c r="F794" s="137" t="s">
        <v>75</v>
      </c>
      <c r="G794" s="137">
        <v>19</v>
      </c>
      <c r="H794" s="137">
        <v>0</v>
      </c>
      <c r="I794" s="137">
        <v>0</v>
      </c>
      <c r="J794" s="137">
        <v>7.65</v>
      </c>
      <c r="K794" s="137" t="s">
        <v>77</v>
      </c>
      <c r="L794" s="137" t="s">
        <v>79</v>
      </c>
      <c r="M794" s="137" t="s">
        <v>80</v>
      </c>
      <c r="N794" s="137" t="b">
        <v>1</v>
      </c>
      <c r="O794" s="137" t="s">
        <v>99</v>
      </c>
      <c r="P794" s="137" t="s">
        <v>83</v>
      </c>
      <c r="Q794" s="137" t="s">
        <v>84</v>
      </c>
      <c r="R794" s="137" t="b">
        <v>1</v>
      </c>
      <c r="S794" s="139">
        <v>0</v>
      </c>
      <c r="T794" s="139">
        <v>3.0511357983464202E+18</v>
      </c>
    </row>
    <row r="795" spans="3:20">
      <c r="C795" s="24" t="b">
        <v>0</v>
      </c>
      <c r="D795" s="137">
        <v>1</v>
      </c>
      <c r="E795" s="138">
        <v>1</v>
      </c>
      <c r="F795" s="137" t="s">
        <v>85</v>
      </c>
      <c r="G795" s="137">
        <v>38</v>
      </c>
      <c r="H795" s="137">
        <v>0</v>
      </c>
      <c r="I795" s="137">
        <v>0</v>
      </c>
      <c r="J795" s="137">
        <v>227.52500000000001</v>
      </c>
      <c r="K795" s="137" t="s">
        <v>82</v>
      </c>
      <c r="L795" s="137" t="s">
        <v>86</v>
      </c>
      <c r="M795" s="137" t="s">
        <v>87</v>
      </c>
      <c r="N795" s="137" t="b">
        <v>0</v>
      </c>
      <c r="O795" s="137" t="s">
        <v>82</v>
      </c>
      <c r="P795" s="137" t="s">
        <v>88</v>
      </c>
      <c r="Q795" s="137" t="s">
        <v>89</v>
      </c>
      <c r="R795" s="137" t="b">
        <v>1</v>
      </c>
      <c r="S795" s="139">
        <v>0</v>
      </c>
      <c r="T795" s="139">
        <v>1.11031172062295E+19</v>
      </c>
    </row>
    <row r="796" spans="3:20">
      <c r="C796" s="24" t="b">
        <v>0</v>
      </c>
      <c r="D796" s="137">
        <v>1</v>
      </c>
      <c r="E796" s="138">
        <v>2</v>
      </c>
      <c r="F796" s="137" t="s">
        <v>85</v>
      </c>
      <c r="G796" s="137">
        <v>27</v>
      </c>
      <c r="H796" s="137">
        <v>0</v>
      </c>
      <c r="I796" s="137">
        <v>0</v>
      </c>
      <c r="J796" s="137">
        <v>10.5</v>
      </c>
      <c r="K796" s="137" t="s">
        <v>77</v>
      </c>
      <c r="L796" s="137" t="s">
        <v>94</v>
      </c>
      <c r="M796" s="137" t="s">
        <v>87</v>
      </c>
      <c r="N796" s="137" t="b">
        <v>0</v>
      </c>
      <c r="O796" s="137" t="s">
        <v>92</v>
      </c>
      <c r="P796" s="137" t="s">
        <v>83</v>
      </c>
      <c r="Q796" s="137" t="s">
        <v>89</v>
      </c>
      <c r="R796" s="137" t="b">
        <v>1</v>
      </c>
      <c r="S796" s="139">
        <v>0</v>
      </c>
      <c r="T796" s="139">
        <v>6.8411080354068296E+18</v>
      </c>
    </row>
    <row r="797" spans="3:20">
      <c r="C797" s="24" t="b">
        <v>0</v>
      </c>
      <c r="D797" s="137">
        <v>0</v>
      </c>
      <c r="E797" s="138">
        <v>3</v>
      </c>
      <c r="F797" s="137" t="s">
        <v>75</v>
      </c>
      <c r="G797" s="137"/>
      <c r="H797" s="137">
        <v>0</v>
      </c>
      <c r="I797" s="137">
        <v>0</v>
      </c>
      <c r="J797" s="137">
        <v>15.5</v>
      </c>
      <c r="K797" s="137" t="s">
        <v>90</v>
      </c>
      <c r="L797" s="137" t="s">
        <v>79</v>
      </c>
      <c r="M797" s="137" t="s">
        <v>80</v>
      </c>
      <c r="N797" s="137" t="b">
        <v>1</v>
      </c>
      <c r="O797" s="137"/>
      <c r="P797" s="137" t="s">
        <v>91</v>
      </c>
      <c r="Q797" s="137" t="s">
        <v>84</v>
      </c>
      <c r="R797" s="137" t="b">
        <v>1</v>
      </c>
      <c r="S797" s="139">
        <v>1</v>
      </c>
      <c r="T797" s="139">
        <v>2.5864137503825901E+17</v>
      </c>
    </row>
    <row r="798" spans="3:20">
      <c r="C798" s="24" t="b">
        <v>0</v>
      </c>
      <c r="D798" s="137">
        <v>0</v>
      </c>
      <c r="E798" s="138">
        <v>3</v>
      </c>
      <c r="F798" s="137" t="s">
        <v>75</v>
      </c>
      <c r="G798" s="137">
        <v>33</v>
      </c>
      <c r="H798" s="137">
        <v>0</v>
      </c>
      <c r="I798" s="137">
        <v>0</v>
      </c>
      <c r="J798" s="137">
        <v>7.7750000000000004</v>
      </c>
      <c r="K798" s="137" t="s">
        <v>77</v>
      </c>
      <c r="L798" s="137" t="s">
        <v>79</v>
      </c>
      <c r="M798" s="137" t="s">
        <v>80</v>
      </c>
      <c r="N798" s="137" t="b">
        <v>1</v>
      </c>
      <c r="O798" s="137"/>
      <c r="P798" s="137" t="s">
        <v>83</v>
      </c>
      <c r="Q798" s="137" t="s">
        <v>84</v>
      </c>
      <c r="R798" s="137" t="b">
        <v>1</v>
      </c>
      <c r="S798" s="139">
        <v>1</v>
      </c>
      <c r="T798" s="139">
        <v>6.1098196361730898E+18</v>
      </c>
    </row>
    <row r="799" spans="3:20">
      <c r="C799" s="24" t="b">
        <v>0</v>
      </c>
      <c r="D799" s="137">
        <v>1</v>
      </c>
      <c r="E799" s="138">
        <v>2</v>
      </c>
      <c r="F799" s="137" t="s">
        <v>85</v>
      </c>
      <c r="G799" s="137">
        <v>6</v>
      </c>
      <c r="H799" s="137">
        <v>0</v>
      </c>
      <c r="I799" s="137">
        <v>1</v>
      </c>
      <c r="J799" s="137">
        <v>33</v>
      </c>
      <c r="K799" s="137" t="s">
        <v>77</v>
      </c>
      <c r="L799" s="137" t="s">
        <v>94</v>
      </c>
      <c r="M799" s="137" t="s">
        <v>93</v>
      </c>
      <c r="N799" s="137" t="b">
        <v>0</v>
      </c>
      <c r="O799" s="137"/>
      <c r="P799" s="137" t="s">
        <v>83</v>
      </c>
      <c r="Q799" s="137" t="s">
        <v>89</v>
      </c>
      <c r="R799" s="137" t="b">
        <v>0</v>
      </c>
      <c r="S799" s="139">
        <v>1</v>
      </c>
      <c r="T799" s="139">
        <v>2.4482572320234598E+18</v>
      </c>
    </row>
    <row r="800" spans="3:20">
      <c r="C800" s="24" t="b">
        <v>0</v>
      </c>
      <c r="D800" s="137">
        <v>0</v>
      </c>
      <c r="E800" s="138">
        <v>3</v>
      </c>
      <c r="F800" s="137" t="s">
        <v>75</v>
      </c>
      <c r="G800" s="137">
        <v>17</v>
      </c>
      <c r="H800" s="137">
        <v>1</v>
      </c>
      <c r="I800" s="137">
        <v>0</v>
      </c>
      <c r="J800" s="137">
        <v>7.0541999999999998</v>
      </c>
      <c r="K800" s="137" t="s">
        <v>77</v>
      </c>
      <c r="L800" s="137" t="s">
        <v>79</v>
      </c>
      <c r="M800" s="137" t="s">
        <v>80</v>
      </c>
      <c r="N800" s="137" t="b">
        <v>1</v>
      </c>
      <c r="O800" s="137"/>
      <c r="P800" s="137" t="s">
        <v>83</v>
      </c>
      <c r="Q800" s="137" t="s">
        <v>84</v>
      </c>
      <c r="R800" s="137" t="b">
        <v>0</v>
      </c>
      <c r="S800" s="139">
        <v>1</v>
      </c>
      <c r="T800" s="139">
        <v>1.51338208893749E+19</v>
      </c>
    </row>
    <row r="801" spans="3:20">
      <c r="C801" s="24" t="b">
        <v>0</v>
      </c>
      <c r="D801" s="137">
        <v>0</v>
      </c>
      <c r="E801" s="138">
        <v>2</v>
      </c>
      <c r="F801" s="137" t="s">
        <v>75</v>
      </c>
      <c r="G801" s="137">
        <v>34</v>
      </c>
      <c r="H801" s="137">
        <v>0</v>
      </c>
      <c r="I801" s="137">
        <v>0</v>
      </c>
      <c r="J801" s="137">
        <v>13</v>
      </c>
      <c r="K801" s="137" t="s">
        <v>77</v>
      </c>
      <c r="L801" s="137" t="s">
        <v>94</v>
      </c>
      <c r="M801" s="137" t="s">
        <v>80</v>
      </c>
      <c r="N801" s="137" t="b">
        <v>1</v>
      </c>
      <c r="O801" s="137"/>
      <c r="P801" s="137" t="s">
        <v>83</v>
      </c>
      <c r="Q801" s="137" t="s">
        <v>84</v>
      </c>
      <c r="R801" s="137" t="b">
        <v>1</v>
      </c>
      <c r="S801" s="139">
        <v>1</v>
      </c>
      <c r="T801" s="139">
        <v>4.5496762912760202E+18</v>
      </c>
    </row>
    <row r="802" spans="3:20">
      <c r="C802" s="24" t="b">
        <v>0</v>
      </c>
      <c r="D802" s="137">
        <v>0</v>
      </c>
      <c r="E802" s="138">
        <v>2</v>
      </c>
      <c r="F802" s="137" t="s">
        <v>75</v>
      </c>
      <c r="G802" s="137">
        <v>50</v>
      </c>
      <c r="H802" s="137">
        <v>0</v>
      </c>
      <c r="I802" s="137">
        <v>0</v>
      </c>
      <c r="J802" s="137">
        <v>13</v>
      </c>
      <c r="K802" s="137" t="s">
        <v>77</v>
      </c>
      <c r="L802" s="137" t="s">
        <v>94</v>
      </c>
      <c r="M802" s="137" t="s">
        <v>80</v>
      </c>
      <c r="N802" s="137" t="b">
        <v>1</v>
      </c>
      <c r="O802" s="137"/>
      <c r="P802" s="137" t="s">
        <v>83</v>
      </c>
      <c r="Q802" s="137" t="s">
        <v>84</v>
      </c>
      <c r="R802" s="137" t="b">
        <v>1</v>
      </c>
      <c r="S802" s="139">
        <v>1</v>
      </c>
      <c r="T802" s="139">
        <v>1.10515622810804E+19</v>
      </c>
    </row>
    <row r="803" spans="3:20">
      <c r="C803" s="24" t="b">
        <v>0</v>
      </c>
      <c r="D803" s="137">
        <v>1</v>
      </c>
      <c r="E803" s="138">
        <v>1</v>
      </c>
      <c r="F803" s="137" t="s">
        <v>75</v>
      </c>
      <c r="G803" s="137">
        <v>27</v>
      </c>
      <c r="H803" s="137">
        <v>1</v>
      </c>
      <c r="I803" s="137">
        <v>0</v>
      </c>
      <c r="J803" s="137">
        <v>53.1</v>
      </c>
      <c r="K803" s="137" t="s">
        <v>77</v>
      </c>
      <c r="L803" s="137" t="s">
        <v>86</v>
      </c>
      <c r="M803" s="137" t="s">
        <v>80</v>
      </c>
      <c r="N803" s="137" t="b">
        <v>1</v>
      </c>
      <c r="O803" s="137" t="s">
        <v>92</v>
      </c>
      <c r="P803" s="137" t="s">
        <v>83</v>
      </c>
      <c r="Q803" s="137" t="s">
        <v>89</v>
      </c>
      <c r="R803" s="137" t="b">
        <v>0</v>
      </c>
      <c r="S803" s="139">
        <v>0</v>
      </c>
      <c r="T803" s="139">
        <v>1.0368664580059501E+19</v>
      </c>
    </row>
    <row r="804" spans="3:20">
      <c r="C804" s="24" t="b">
        <v>0</v>
      </c>
      <c r="D804" s="137">
        <v>0</v>
      </c>
      <c r="E804" s="138">
        <v>3</v>
      </c>
      <c r="F804" s="137" t="s">
        <v>75</v>
      </c>
      <c r="G804" s="137">
        <v>20</v>
      </c>
      <c r="H804" s="137">
        <v>0</v>
      </c>
      <c r="I804" s="137">
        <v>0</v>
      </c>
      <c r="J804" s="137">
        <v>8.6624999999999996</v>
      </c>
      <c r="K804" s="137" t="s">
        <v>77</v>
      </c>
      <c r="L804" s="137" t="s">
        <v>79</v>
      </c>
      <c r="M804" s="137" t="s">
        <v>80</v>
      </c>
      <c r="N804" s="137" t="b">
        <v>1</v>
      </c>
      <c r="O804" s="137"/>
      <c r="P804" s="137" t="s">
        <v>83</v>
      </c>
      <c r="Q804" s="137" t="s">
        <v>84</v>
      </c>
      <c r="R804" s="137" t="b">
        <v>1</v>
      </c>
      <c r="S804" s="139">
        <v>1</v>
      </c>
      <c r="T804" s="139">
        <v>8.9624953471340196E+18</v>
      </c>
    </row>
    <row r="805" spans="3:20">
      <c r="C805" s="24" t="b">
        <v>0</v>
      </c>
      <c r="D805" s="137">
        <v>1</v>
      </c>
      <c r="E805" s="138">
        <v>2</v>
      </c>
      <c r="F805" s="137" t="s">
        <v>85</v>
      </c>
      <c r="G805" s="137">
        <v>30</v>
      </c>
      <c r="H805" s="137">
        <v>3</v>
      </c>
      <c r="I805" s="137">
        <v>0</v>
      </c>
      <c r="J805" s="137">
        <v>21</v>
      </c>
      <c r="K805" s="137" t="s">
        <v>77</v>
      </c>
      <c r="L805" s="137" t="s">
        <v>94</v>
      </c>
      <c r="M805" s="137" t="s">
        <v>87</v>
      </c>
      <c r="N805" s="137" t="b">
        <v>0</v>
      </c>
      <c r="O805" s="137"/>
      <c r="P805" s="137" t="s">
        <v>83</v>
      </c>
      <c r="Q805" s="137" t="s">
        <v>89</v>
      </c>
      <c r="R805" s="137" t="b">
        <v>0</v>
      </c>
      <c r="S805" s="139">
        <v>1</v>
      </c>
      <c r="T805" s="139">
        <v>3.24162282984766E+18</v>
      </c>
    </row>
    <row r="806" spans="3:20">
      <c r="C806" s="24" t="b">
        <v>0</v>
      </c>
      <c r="D806" s="137">
        <v>1</v>
      </c>
      <c r="E806" s="138">
        <v>3</v>
      </c>
      <c r="F806" s="137" t="s">
        <v>85</v>
      </c>
      <c r="G806" s="137"/>
      <c r="H806" s="137">
        <v>0</v>
      </c>
      <c r="I806" s="137">
        <v>0</v>
      </c>
      <c r="J806" s="137">
        <v>7.7374999999999998</v>
      </c>
      <c r="K806" s="137" t="s">
        <v>90</v>
      </c>
      <c r="L806" s="137" t="s">
        <v>79</v>
      </c>
      <c r="M806" s="137" t="s">
        <v>87</v>
      </c>
      <c r="N806" s="137" t="b">
        <v>0</v>
      </c>
      <c r="O806" s="137"/>
      <c r="P806" s="137" t="s">
        <v>91</v>
      </c>
      <c r="Q806" s="137" t="s">
        <v>89</v>
      </c>
      <c r="R806" s="137" t="b">
        <v>1</v>
      </c>
      <c r="S806" s="139">
        <v>1</v>
      </c>
      <c r="T806" s="139">
        <v>3.2164694014925998E+18</v>
      </c>
    </row>
    <row r="807" spans="3:20">
      <c r="C807" s="24" t="b">
        <v>0</v>
      </c>
      <c r="D807" s="137">
        <v>0</v>
      </c>
      <c r="E807" s="138">
        <v>2</v>
      </c>
      <c r="F807" s="137" t="s">
        <v>75</v>
      </c>
      <c r="G807" s="137">
        <v>25</v>
      </c>
      <c r="H807" s="137">
        <v>1</v>
      </c>
      <c r="I807" s="137">
        <v>0</v>
      </c>
      <c r="J807" s="137">
        <v>26</v>
      </c>
      <c r="K807" s="137" t="s">
        <v>77</v>
      </c>
      <c r="L807" s="137" t="s">
        <v>94</v>
      </c>
      <c r="M807" s="137" t="s">
        <v>80</v>
      </c>
      <c r="N807" s="137" t="b">
        <v>1</v>
      </c>
      <c r="O807" s="137"/>
      <c r="P807" s="137" t="s">
        <v>83</v>
      </c>
      <c r="Q807" s="137" t="s">
        <v>84</v>
      </c>
      <c r="R807" s="137" t="b">
        <v>0</v>
      </c>
      <c r="S807" s="139">
        <v>1</v>
      </c>
      <c r="T807" s="139">
        <v>7.76040107582835E+18</v>
      </c>
    </row>
    <row r="808" spans="3:20">
      <c r="C808" s="24" t="b">
        <v>0</v>
      </c>
      <c r="D808" s="137">
        <v>0</v>
      </c>
      <c r="E808" s="138">
        <v>3</v>
      </c>
      <c r="F808" s="137" t="s">
        <v>85</v>
      </c>
      <c r="G808" s="137">
        <v>25</v>
      </c>
      <c r="H808" s="137">
        <v>1</v>
      </c>
      <c r="I808" s="137">
        <v>0</v>
      </c>
      <c r="J808" s="137">
        <v>7.9249999999999998</v>
      </c>
      <c r="K808" s="137" t="s">
        <v>77</v>
      </c>
      <c r="L808" s="137" t="s">
        <v>79</v>
      </c>
      <c r="M808" s="137" t="s">
        <v>87</v>
      </c>
      <c r="N808" s="137" t="b">
        <v>0</v>
      </c>
      <c r="O808" s="137"/>
      <c r="P808" s="137" t="s">
        <v>83</v>
      </c>
      <c r="Q808" s="137" t="s">
        <v>84</v>
      </c>
      <c r="R808" s="137" t="b">
        <v>0</v>
      </c>
      <c r="S808" s="139">
        <v>1</v>
      </c>
      <c r="T808" s="139">
        <v>1.5970343043184799E+18</v>
      </c>
    </row>
    <row r="809" spans="3:20">
      <c r="C809" s="24" t="b">
        <v>0</v>
      </c>
      <c r="D809" s="137">
        <v>1</v>
      </c>
      <c r="E809" s="138">
        <v>1</v>
      </c>
      <c r="F809" s="137" t="s">
        <v>85</v>
      </c>
      <c r="G809" s="137">
        <v>29</v>
      </c>
      <c r="H809" s="137">
        <v>0</v>
      </c>
      <c r="I809" s="137">
        <v>0</v>
      </c>
      <c r="J809" s="137">
        <v>211.33750000000001</v>
      </c>
      <c r="K809" s="137" t="s">
        <v>77</v>
      </c>
      <c r="L809" s="137" t="s">
        <v>86</v>
      </c>
      <c r="M809" s="137" t="s">
        <v>87</v>
      </c>
      <c r="N809" s="137" t="b">
        <v>0</v>
      </c>
      <c r="O809" s="137" t="s">
        <v>98</v>
      </c>
      <c r="P809" s="137" t="s">
        <v>83</v>
      </c>
      <c r="Q809" s="137" t="s">
        <v>89</v>
      </c>
      <c r="R809" s="137" t="b">
        <v>1</v>
      </c>
      <c r="S809" s="139">
        <v>0</v>
      </c>
      <c r="T809" s="139">
        <v>9.1177200424530299E+18</v>
      </c>
    </row>
    <row r="810" spans="3:20">
      <c r="C810" s="24" t="b">
        <v>0</v>
      </c>
      <c r="D810" s="137">
        <v>0</v>
      </c>
      <c r="E810" s="138">
        <v>3</v>
      </c>
      <c r="F810" s="137" t="s">
        <v>75</v>
      </c>
      <c r="G810" s="137">
        <v>11</v>
      </c>
      <c r="H810" s="137">
        <v>0</v>
      </c>
      <c r="I810" s="137">
        <v>0</v>
      </c>
      <c r="J810" s="137">
        <v>18.787500000000001</v>
      </c>
      <c r="K810" s="137" t="s">
        <v>82</v>
      </c>
      <c r="L810" s="137" t="s">
        <v>79</v>
      </c>
      <c r="M810" s="137" t="s">
        <v>93</v>
      </c>
      <c r="N810" s="137" t="b">
        <v>0</v>
      </c>
      <c r="O810" s="137"/>
      <c r="P810" s="137" t="s">
        <v>88</v>
      </c>
      <c r="Q810" s="137" t="s">
        <v>84</v>
      </c>
      <c r="R810" s="137" t="b">
        <v>1</v>
      </c>
      <c r="S810" s="139">
        <v>1</v>
      </c>
      <c r="T810" s="139">
        <v>9.462930441912449E+18</v>
      </c>
    </row>
    <row r="811" spans="3:20">
      <c r="C811" s="24" t="b">
        <v>0</v>
      </c>
      <c r="D811" s="137">
        <v>0</v>
      </c>
      <c r="E811" s="138">
        <v>2</v>
      </c>
      <c r="F811" s="137" t="s">
        <v>75</v>
      </c>
      <c r="G811" s="137"/>
      <c r="H811" s="137">
        <v>0</v>
      </c>
      <c r="I811" s="137">
        <v>0</v>
      </c>
      <c r="J811" s="137">
        <v>0</v>
      </c>
      <c r="K811" s="137" t="s">
        <v>77</v>
      </c>
      <c r="L811" s="137" t="s">
        <v>94</v>
      </c>
      <c r="M811" s="137" t="s">
        <v>80</v>
      </c>
      <c r="N811" s="137" t="b">
        <v>1</v>
      </c>
      <c r="O811" s="137"/>
      <c r="P811" s="137" t="s">
        <v>83</v>
      </c>
      <c r="Q811" s="137" t="s">
        <v>84</v>
      </c>
      <c r="R811" s="137" t="b">
        <v>1</v>
      </c>
      <c r="S811" s="139">
        <v>1</v>
      </c>
      <c r="T811" s="139">
        <v>1.3784493890172299E+19</v>
      </c>
    </row>
    <row r="812" spans="3:20">
      <c r="C812" s="24" t="b">
        <v>0</v>
      </c>
      <c r="D812" s="137">
        <v>0</v>
      </c>
      <c r="E812" s="138">
        <v>2</v>
      </c>
      <c r="F812" s="137" t="s">
        <v>75</v>
      </c>
      <c r="G812" s="137">
        <v>23</v>
      </c>
      <c r="H812" s="137">
        <v>0</v>
      </c>
      <c r="I812" s="137">
        <v>0</v>
      </c>
      <c r="J812" s="137">
        <v>13</v>
      </c>
      <c r="K812" s="137" t="s">
        <v>77</v>
      </c>
      <c r="L812" s="137" t="s">
        <v>94</v>
      </c>
      <c r="M812" s="137" t="s">
        <v>80</v>
      </c>
      <c r="N812" s="137" t="b">
        <v>1</v>
      </c>
      <c r="O812" s="137"/>
      <c r="P812" s="137" t="s">
        <v>83</v>
      </c>
      <c r="Q812" s="137" t="s">
        <v>84</v>
      </c>
      <c r="R812" s="137" t="b">
        <v>1</v>
      </c>
      <c r="S812" s="139">
        <v>1</v>
      </c>
      <c r="T812" s="139">
        <v>3.8101028942906102E+18</v>
      </c>
    </row>
    <row r="813" spans="3:20">
      <c r="C813" s="24" t="b">
        <v>0</v>
      </c>
      <c r="D813" s="137">
        <v>0</v>
      </c>
      <c r="E813" s="138">
        <v>2</v>
      </c>
      <c r="F813" s="137" t="s">
        <v>75</v>
      </c>
      <c r="G813" s="137">
        <v>23</v>
      </c>
      <c r="H813" s="137">
        <v>0</v>
      </c>
      <c r="I813" s="137">
        <v>0</v>
      </c>
      <c r="J813" s="137">
        <v>13</v>
      </c>
      <c r="K813" s="137" t="s">
        <v>77</v>
      </c>
      <c r="L813" s="137" t="s">
        <v>94</v>
      </c>
      <c r="M813" s="137" t="s">
        <v>80</v>
      </c>
      <c r="N813" s="137" t="b">
        <v>1</v>
      </c>
      <c r="O813" s="137"/>
      <c r="P813" s="137" t="s">
        <v>83</v>
      </c>
      <c r="Q813" s="137" t="s">
        <v>84</v>
      </c>
      <c r="R813" s="137" t="b">
        <v>1</v>
      </c>
      <c r="S813" s="139">
        <v>1</v>
      </c>
      <c r="T813" s="139">
        <v>3.8101028942906102E+18</v>
      </c>
    </row>
    <row r="814" spans="3:20">
      <c r="C814" s="24" t="b">
        <v>0</v>
      </c>
      <c r="D814" s="137">
        <v>0</v>
      </c>
      <c r="E814" s="138">
        <v>3</v>
      </c>
      <c r="F814" s="137" t="s">
        <v>75</v>
      </c>
      <c r="G814" s="137">
        <v>28.5</v>
      </c>
      <c r="H814" s="137">
        <v>0</v>
      </c>
      <c r="I814" s="137">
        <v>0</v>
      </c>
      <c r="J814" s="137">
        <v>16.100000000000001</v>
      </c>
      <c r="K814" s="137" t="s">
        <v>77</v>
      </c>
      <c r="L814" s="137" t="s">
        <v>79</v>
      </c>
      <c r="M814" s="137" t="s">
        <v>80</v>
      </c>
      <c r="N814" s="137" t="b">
        <v>1</v>
      </c>
      <c r="O814" s="137"/>
      <c r="P814" s="137" t="s">
        <v>83</v>
      </c>
      <c r="Q814" s="137" t="s">
        <v>84</v>
      </c>
      <c r="R814" s="137" t="b">
        <v>1</v>
      </c>
      <c r="S814" s="139">
        <v>1</v>
      </c>
      <c r="T814" s="139">
        <v>1.0743296820295201E+19</v>
      </c>
    </row>
    <row r="815" spans="3:20">
      <c r="C815" s="24" t="b">
        <v>0</v>
      </c>
      <c r="D815" s="137">
        <v>0</v>
      </c>
      <c r="E815" s="138">
        <v>3</v>
      </c>
      <c r="F815" s="137" t="s">
        <v>85</v>
      </c>
      <c r="G815" s="137">
        <v>48</v>
      </c>
      <c r="H815" s="137">
        <v>1</v>
      </c>
      <c r="I815" s="137">
        <v>3</v>
      </c>
      <c r="J815" s="137">
        <v>34.375</v>
      </c>
      <c r="K815" s="137" t="s">
        <v>77</v>
      </c>
      <c r="L815" s="137" t="s">
        <v>79</v>
      </c>
      <c r="M815" s="137" t="s">
        <v>87</v>
      </c>
      <c r="N815" s="137" t="b">
        <v>0</v>
      </c>
      <c r="O815" s="137"/>
      <c r="P815" s="137" t="s">
        <v>83</v>
      </c>
      <c r="Q815" s="137" t="s">
        <v>84</v>
      </c>
      <c r="R815" s="137" t="b">
        <v>0</v>
      </c>
      <c r="S815" s="139">
        <v>1</v>
      </c>
      <c r="T815" s="139">
        <v>8.6935722080897198E+18</v>
      </c>
    </row>
    <row r="816" spans="3:20">
      <c r="C816" s="24" t="b">
        <v>0</v>
      </c>
      <c r="D816" s="137">
        <v>1</v>
      </c>
      <c r="E816" s="138">
        <v>1</v>
      </c>
      <c r="F816" s="137" t="s">
        <v>75</v>
      </c>
      <c r="G816" s="137">
        <v>35</v>
      </c>
      <c r="H816" s="137">
        <v>0</v>
      </c>
      <c r="I816" s="137">
        <v>0</v>
      </c>
      <c r="J816" s="137">
        <v>512.32920000000001</v>
      </c>
      <c r="K816" s="137" t="s">
        <v>82</v>
      </c>
      <c r="L816" s="137" t="s">
        <v>86</v>
      </c>
      <c r="M816" s="137" t="s">
        <v>80</v>
      </c>
      <c r="N816" s="137" t="b">
        <v>1</v>
      </c>
      <c r="O816" s="137" t="s">
        <v>98</v>
      </c>
      <c r="P816" s="137" t="s">
        <v>88</v>
      </c>
      <c r="Q816" s="137" t="s">
        <v>89</v>
      </c>
      <c r="R816" s="137" t="b">
        <v>1</v>
      </c>
      <c r="S816" s="139">
        <v>0</v>
      </c>
      <c r="T816" s="139">
        <v>1.5589350216144699E+19</v>
      </c>
    </row>
    <row r="817" spans="3:20">
      <c r="C817" s="24" t="b">
        <v>0</v>
      </c>
      <c r="D817" s="137">
        <v>0</v>
      </c>
      <c r="E817" s="138">
        <v>3</v>
      </c>
      <c r="F817" s="137" t="s">
        <v>75</v>
      </c>
      <c r="G817" s="137"/>
      <c r="H817" s="137">
        <v>0</v>
      </c>
      <c r="I817" s="137">
        <v>0</v>
      </c>
      <c r="J817" s="137">
        <v>7.8958000000000004</v>
      </c>
      <c r="K817" s="137" t="s">
        <v>77</v>
      </c>
      <c r="L817" s="137" t="s">
        <v>79</v>
      </c>
      <c r="M817" s="137" t="s">
        <v>80</v>
      </c>
      <c r="N817" s="137" t="b">
        <v>1</v>
      </c>
      <c r="O817" s="137"/>
      <c r="P817" s="137" t="s">
        <v>83</v>
      </c>
      <c r="Q817" s="137" t="s">
        <v>84</v>
      </c>
      <c r="R817" s="137" t="b">
        <v>1</v>
      </c>
      <c r="S817" s="139">
        <v>1</v>
      </c>
      <c r="T817" s="139">
        <v>1.7970467560381901E+19</v>
      </c>
    </row>
    <row r="818" spans="3:20">
      <c r="C818" s="24" t="b">
        <v>0</v>
      </c>
      <c r="D818" s="137">
        <v>0</v>
      </c>
      <c r="E818" s="138">
        <v>3</v>
      </c>
      <c r="F818" s="137" t="s">
        <v>75</v>
      </c>
      <c r="G818" s="137"/>
      <c r="H818" s="137">
        <v>0</v>
      </c>
      <c r="I818" s="137">
        <v>0</v>
      </c>
      <c r="J818" s="137">
        <v>7.8958000000000004</v>
      </c>
      <c r="K818" s="137" t="s">
        <v>77</v>
      </c>
      <c r="L818" s="137" t="s">
        <v>79</v>
      </c>
      <c r="M818" s="137" t="s">
        <v>80</v>
      </c>
      <c r="N818" s="137" t="b">
        <v>1</v>
      </c>
      <c r="O818" s="137"/>
      <c r="P818" s="137" t="s">
        <v>83</v>
      </c>
      <c r="Q818" s="137" t="s">
        <v>84</v>
      </c>
      <c r="R818" s="137" t="b">
        <v>1</v>
      </c>
      <c r="S818" s="139">
        <v>1</v>
      </c>
      <c r="T818" s="139">
        <v>1.7970467560381901E+19</v>
      </c>
    </row>
    <row r="819" spans="3:20">
      <c r="C819" s="24" t="b">
        <v>0</v>
      </c>
      <c r="D819" s="137">
        <v>1</v>
      </c>
      <c r="E819" s="138">
        <v>1</v>
      </c>
      <c r="F819" s="137" t="s">
        <v>75</v>
      </c>
      <c r="G819" s="137"/>
      <c r="H819" s="137">
        <v>0</v>
      </c>
      <c r="I819" s="137">
        <v>0</v>
      </c>
      <c r="J819" s="137">
        <v>30</v>
      </c>
      <c r="K819" s="137" t="s">
        <v>77</v>
      </c>
      <c r="L819" s="137" t="s">
        <v>86</v>
      </c>
      <c r="M819" s="137" t="s">
        <v>80</v>
      </c>
      <c r="N819" s="137" t="b">
        <v>1</v>
      </c>
      <c r="O819" s="137" t="s">
        <v>96</v>
      </c>
      <c r="P819" s="137" t="s">
        <v>83</v>
      </c>
      <c r="Q819" s="137" t="s">
        <v>89</v>
      </c>
      <c r="R819" s="137" t="b">
        <v>1</v>
      </c>
      <c r="S819" s="139">
        <v>1</v>
      </c>
      <c r="T819" s="139">
        <v>8.6214399724045599E+18</v>
      </c>
    </row>
    <row r="820" spans="3:20">
      <c r="C820" s="24" t="b">
        <v>0</v>
      </c>
      <c r="D820" s="137">
        <v>0</v>
      </c>
      <c r="E820" s="138">
        <v>1</v>
      </c>
      <c r="F820" s="137" t="s">
        <v>75</v>
      </c>
      <c r="G820" s="137">
        <v>36</v>
      </c>
      <c r="H820" s="137">
        <v>1</v>
      </c>
      <c r="I820" s="137">
        <v>0</v>
      </c>
      <c r="J820" s="137">
        <v>78.849999999999994</v>
      </c>
      <c r="K820" s="137" t="s">
        <v>77</v>
      </c>
      <c r="L820" s="137" t="s">
        <v>86</v>
      </c>
      <c r="M820" s="137" t="s">
        <v>80</v>
      </c>
      <c r="N820" s="137" t="b">
        <v>1</v>
      </c>
      <c r="O820" s="137" t="s">
        <v>82</v>
      </c>
      <c r="P820" s="137" t="s">
        <v>83</v>
      </c>
      <c r="Q820" s="137" t="s">
        <v>84</v>
      </c>
      <c r="R820" s="137" t="b">
        <v>0</v>
      </c>
      <c r="S820" s="139">
        <v>0</v>
      </c>
      <c r="T820" s="139">
        <v>1.79421025160734E+19</v>
      </c>
    </row>
    <row r="821" spans="3:20">
      <c r="C821" s="24" t="b">
        <v>0</v>
      </c>
      <c r="D821" s="137">
        <v>1</v>
      </c>
      <c r="E821" s="138">
        <v>1</v>
      </c>
      <c r="F821" s="137" t="s">
        <v>85</v>
      </c>
      <c r="G821" s="137">
        <v>21</v>
      </c>
      <c r="H821" s="137">
        <v>2</v>
      </c>
      <c r="I821" s="137">
        <v>2</v>
      </c>
      <c r="J821" s="137">
        <v>262.375</v>
      </c>
      <c r="K821" s="137" t="s">
        <v>82</v>
      </c>
      <c r="L821" s="137" t="s">
        <v>86</v>
      </c>
      <c r="M821" s="137" t="s">
        <v>87</v>
      </c>
      <c r="N821" s="137" t="b">
        <v>0</v>
      </c>
      <c r="O821" s="137" t="s">
        <v>98</v>
      </c>
      <c r="P821" s="137" t="s">
        <v>88</v>
      </c>
      <c r="Q821" s="137" t="s">
        <v>89</v>
      </c>
      <c r="R821" s="137" t="b">
        <v>0</v>
      </c>
      <c r="S821" s="139">
        <v>0</v>
      </c>
      <c r="T821" s="139">
        <v>1.24512497000868E+19</v>
      </c>
    </row>
    <row r="822" spans="3:20">
      <c r="C822" s="24" t="b">
        <v>0</v>
      </c>
      <c r="D822" s="137">
        <v>0</v>
      </c>
      <c r="E822" s="138">
        <v>3</v>
      </c>
      <c r="F822" s="137" t="s">
        <v>75</v>
      </c>
      <c r="G822" s="137">
        <v>24</v>
      </c>
      <c r="H822" s="137">
        <v>1</v>
      </c>
      <c r="I822" s="137">
        <v>0</v>
      </c>
      <c r="J822" s="137">
        <v>16.100000000000001</v>
      </c>
      <c r="K822" s="137" t="s">
        <v>77</v>
      </c>
      <c r="L822" s="137" t="s">
        <v>79</v>
      </c>
      <c r="M822" s="137" t="s">
        <v>80</v>
      </c>
      <c r="N822" s="137" t="b">
        <v>1</v>
      </c>
      <c r="O822" s="137"/>
      <c r="P822" s="137" t="s">
        <v>83</v>
      </c>
      <c r="Q822" s="137" t="s">
        <v>84</v>
      </c>
      <c r="R822" s="137" t="b">
        <v>0</v>
      </c>
      <c r="S822" s="139">
        <v>1</v>
      </c>
      <c r="T822" s="139">
        <v>4.9953795455984302E+18</v>
      </c>
    </row>
    <row r="823" spans="3:20">
      <c r="C823" s="24" t="b">
        <v>0</v>
      </c>
      <c r="D823" s="137">
        <v>1</v>
      </c>
      <c r="E823" s="138">
        <v>3</v>
      </c>
      <c r="F823" s="137" t="s">
        <v>75</v>
      </c>
      <c r="G823" s="137">
        <v>31</v>
      </c>
      <c r="H823" s="137">
        <v>0</v>
      </c>
      <c r="I823" s="137">
        <v>0</v>
      </c>
      <c r="J823" s="137">
        <v>7.9249999999999998</v>
      </c>
      <c r="K823" s="137" t="s">
        <v>77</v>
      </c>
      <c r="L823" s="137" t="s">
        <v>79</v>
      </c>
      <c r="M823" s="137" t="s">
        <v>80</v>
      </c>
      <c r="N823" s="137" t="b">
        <v>1</v>
      </c>
      <c r="O823" s="137"/>
      <c r="P823" s="137" t="s">
        <v>83</v>
      </c>
      <c r="Q823" s="137" t="s">
        <v>89</v>
      </c>
      <c r="R823" s="137" t="b">
        <v>1</v>
      </c>
      <c r="S823" s="139">
        <v>1</v>
      </c>
      <c r="T823" s="139">
        <v>1.79603994986681E+19</v>
      </c>
    </row>
    <row r="824" spans="3:20">
      <c r="C824" s="24" t="b">
        <v>0</v>
      </c>
      <c r="D824" s="137">
        <v>0</v>
      </c>
      <c r="E824" s="138">
        <v>1</v>
      </c>
      <c r="F824" s="137" t="s">
        <v>75</v>
      </c>
      <c r="G824" s="137">
        <v>70</v>
      </c>
      <c r="H824" s="137">
        <v>1</v>
      </c>
      <c r="I824" s="137">
        <v>1</v>
      </c>
      <c r="J824" s="137">
        <v>71</v>
      </c>
      <c r="K824" s="137" t="s">
        <v>77</v>
      </c>
      <c r="L824" s="137" t="s">
        <v>86</v>
      </c>
      <c r="M824" s="137" t="s">
        <v>80</v>
      </c>
      <c r="N824" s="137" t="b">
        <v>1</v>
      </c>
      <c r="O824" s="137" t="s">
        <v>98</v>
      </c>
      <c r="P824" s="137" t="s">
        <v>83</v>
      </c>
      <c r="Q824" s="137" t="s">
        <v>84</v>
      </c>
      <c r="R824" s="137" t="b">
        <v>0</v>
      </c>
      <c r="S824" s="139">
        <v>0</v>
      </c>
      <c r="T824" s="139">
        <v>1.35418493752707E+18</v>
      </c>
    </row>
    <row r="825" spans="3:20">
      <c r="C825" s="24" t="b">
        <v>0</v>
      </c>
      <c r="D825" s="137">
        <v>0</v>
      </c>
      <c r="E825" s="138">
        <v>3</v>
      </c>
      <c r="F825" s="137" t="s">
        <v>75</v>
      </c>
      <c r="G825" s="137">
        <v>16</v>
      </c>
      <c r="H825" s="137">
        <v>1</v>
      </c>
      <c r="I825" s="137">
        <v>1</v>
      </c>
      <c r="J825" s="137">
        <v>20.25</v>
      </c>
      <c r="K825" s="137" t="s">
        <v>77</v>
      </c>
      <c r="L825" s="137" t="s">
        <v>79</v>
      </c>
      <c r="M825" s="137" t="s">
        <v>80</v>
      </c>
      <c r="N825" s="137" t="b">
        <v>1</v>
      </c>
      <c r="O825" s="137"/>
      <c r="P825" s="137" t="s">
        <v>83</v>
      </c>
      <c r="Q825" s="137" t="s">
        <v>84</v>
      </c>
      <c r="R825" s="137" t="b">
        <v>0</v>
      </c>
      <c r="S825" s="139">
        <v>1</v>
      </c>
      <c r="T825" s="139">
        <v>8.6644665559722598E+18</v>
      </c>
    </row>
    <row r="826" spans="3:20">
      <c r="C826" s="24" t="b">
        <v>0</v>
      </c>
      <c r="D826" s="137">
        <v>1</v>
      </c>
      <c r="E826" s="138">
        <v>2</v>
      </c>
      <c r="F826" s="137" t="s">
        <v>85</v>
      </c>
      <c r="G826" s="137">
        <v>30</v>
      </c>
      <c r="H826" s="137">
        <v>0</v>
      </c>
      <c r="I826" s="137">
        <v>0</v>
      </c>
      <c r="J826" s="137">
        <v>13</v>
      </c>
      <c r="K826" s="137" t="s">
        <v>77</v>
      </c>
      <c r="L826" s="137" t="s">
        <v>94</v>
      </c>
      <c r="M826" s="137" t="s">
        <v>87</v>
      </c>
      <c r="N826" s="137" t="b">
        <v>0</v>
      </c>
      <c r="O826" s="137"/>
      <c r="P826" s="137" t="s">
        <v>83</v>
      </c>
      <c r="Q826" s="137" t="s">
        <v>89</v>
      </c>
      <c r="R826" s="137" t="b">
        <v>1</v>
      </c>
      <c r="S826" s="139">
        <v>1</v>
      </c>
      <c r="T826" s="139">
        <v>7.16859213146001E+18</v>
      </c>
    </row>
    <row r="827" spans="3:20">
      <c r="C827" s="24" t="b">
        <v>0</v>
      </c>
      <c r="D827" s="137">
        <v>0</v>
      </c>
      <c r="E827" s="138">
        <v>1</v>
      </c>
      <c r="F827" s="137" t="s">
        <v>75</v>
      </c>
      <c r="G827" s="137">
        <v>19</v>
      </c>
      <c r="H827" s="137">
        <v>1</v>
      </c>
      <c r="I827" s="137">
        <v>0</v>
      </c>
      <c r="J827" s="137">
        <v>53.1</v>
      </c>
      <c r="K827" s="137" t="s">
        <v>77</v>
      </c>
      <c r="L827" s="137" t="s">
        <v>86</v>
      </c>
      <c r="M827" s="137" t="s">
        <v>80</v>
      </c>
      <c r="N827" s="137" t="b">
        <v>1</v>
      </c>
      <c r="O827" s="137" t="s">
        <v>96</v>
      </c>
      <c r="P827" s="137" t="s">
        <v>83</v>
      </c>
      <c r="Q827" s="137" t="s">
        <v>84</v>
      </c>
      <c r="R827" s="137" t="b">
        <v>0</v>
      </c>
      <c r="S827" s="139">
        <v>0</v>
      </c>
      <c r="T827" s="139">
        <v>1.2479592545001599E+19</v>
      </c>
    </row>
    <row r="828" spans="3:20">
      <c r="C828" s="24" t="b">
        <v>0</v>
      </c>
      <c r="D828" s="137">
        <v>0</v>
      </c>
      <c r="E828" s="138">
        <v>3</v>
      </c>
      <c r="F828" s="137" t="s">
        <v>75</v>
      </c>
      <c r="G828" s="137">
        <v>31</v>
      </c>
      <c r="H828" s="137">
        <v>0</v>
      </c>
      <c r="I828" s="137">
        <v>0</v>
      </c>
      <c r="J828" s="137">
        <v>7.75</v>
      </c>
      <c r="K828" s="137" t="s">
        <v>90</v>
      </c>
      <c r="L828" s="137" t="s">
        <v>79</v>
      </c>
      <c r="M828" s="137" t="s">
        <v>80</v>
      </c>
      <c r="N828" s="137" t="b">
        <v>1</v>
      </c>
      <c r="O828" s="137"/>
      <c r="P828" s="137" t="s">
        <v>91</v>
      </c>
      <c r="Q828" s="137" t="s">
        <v>84</v>
      </c>
      <c r="R828" s="137" t="b">
        <v>1</v>
      </c>
      <c r="S828" s="139">
        <v>1</v>
      </c>
      <c r="T828" s="139">
        <v>1.4107925740649599E+19</v>
      </c>
    </row>
    <row r="829" spans="3:20">
      <c r="C829" s="24" t="b">
        <v>0</v>
      </c>
      <c r="D829" s="137">
        <v>1</v>
      </c>
      <c r="E829" s="138">
        <v>2</v>
      </c>
      <c r="F829" s="137" t="s">
        <v>85</v>
      </c>
      <c r="G829" s="137">
        <v>4</v>
      </c>
      <c r="H829" s="137">
        <v>1</v>
      </c>
      <c r="I829" s="137">
        <v>1</v>
      </c>
      <c r="J829" s="137">
        <v>23</v>
      </c>
      <c r="K829" s="137" t="s">
        <v>77</v>
      </c>
      <c r="L829" s="137" t="s">
        <v>94</v>
      </c>
      <c r="M829" s="137" t="s">
        <v>93</v>
      </c>
      <c r="N829" s="137" t="b">
        <v>0</v>
      </c>
      <c r="O829" s="137"/>
      <c r="P829" s="137" t="s">
        <v>83</v>
      </c>
      <c r="Q829" s="137" t="s">
        <v>89</v>
      </c>
      <c r="R829" s="137" t="b">
        <v>0</v>
      </c>
      <c r="S829" s="139">
        <v>1</v>
      </c>
      <c r="T829" s="139">
        <v>1.80024371256482E+19</v>
      </c>
    </row>
    <row r="830" spans="3:20">
      <c r="C830" s="24" t="b">
        <v>0</v>
      </c>
      <c r="D830" s="137">
        <v>1</v>
      </c>
      <c r="E830" s="138">
        <v>3</v>
      </c>
      <c r="F830" s="137" t="s">
        <v>75</v>
      </c>
      <c r="G830" s="137">
        <v>6</v>
      </c>
      <c r="H830" s="137">
        <v>0</v>
      </c>
      <c r="I830" s="137">
        <v>1</v>
      </c>
      <c r="J830" s="137">
        <v>12.475</v>
      </c>
      <c r="K830" s="137" t="s">
        <v>77</v>
      </c>
      <c r="L830" s="137" t="s">
        <v>79</v>
      </c>
      <c r="M830" s="137" t="s">
        <v>93</v>
      </c>
      <c r="N830" s="137" t="b">
        <v>0</v>
      </c>
      <c r="O830" s="137" t="s">
        <v>92</v>
      </c>
      <c r="P830" s="137" t="s">
        <v>83</v>
      </c>
      <c r="Q830" s="137" t="s">
        <v>89</v>
      </c>
      <c r="R830" s="137" t="b">
        <v>0</v>
      </c>
      <c r="S830" s="139">
        <v>0</v>
      </c>
      <c r="T830" s="139">
        <v>1.18085781681635E+19</v>
      </c>
    </row>
    <row r="831" spans="3:20">
      <c r="C831" s="24" t="b">
        <v>0</v>
      </c>
      <c r="D831" s="137">
        <v>0</v>
      </c>
      <c r="E831" s="138">
        <v>3</v>
      </c>
      <c r="F831" s="137" t="s">
        <v>75</v>
      </c>
      <c r="G831" s="137">
        <v>33</v>
      </c>
      <c r="H831" s="137">
        <v>0</v>
      </c>
      <c r="I831" s="137">
        <v>0</v>
      </c>
      <c r="J831" s="137">
        <v>9.5</v>
      </c>
      <c r="K831" s="137" t="s">
        <v>77</v>
      </c>
      <c r="L831" s="137" t="s">
        <v>79</v>
      </c>
      <c r="M831" s="137" t="s">
        <v>80</v>
      </c>
      <c r="N831" s="137" t="b">
        <v>1</v>
      </c>
      <c r="O831" s="137"/>
      <c r="P831" s="137" t="s">
        <v>83</v>
      </c>
      <c r="Q831" s="137" t="s">
        <v>84</v>
      </c>
      <c r="R831" s="137" t="b">
        <v>1</v>
      </c>
      <c r="S831" s="139">
        <v>1</v>
      </c>
      <c r="T831" s="139">
        <v>3.4652081022115702E+18</v>
      </c>
    </row>
    <row r="832" spans="3:20">
      <c r="C832" s="24" t="b">
        <v>0</v>
      </c>
      <c r="D832" s="137">
        <v>0</v>
      </c>
      <c r="E832" s="138">
        <v>3</v>
      </c>
      <c r="F832" s="137" t="s">
        <v>75</v>
      </c>
      <c r="G832" s="137">
        <v>23</v>
      </c>
      <c r="H832" s="137">
        <v>0</v>
      </c>
      <c r="I832" s="137">
        <v>0</v>
      </c>
      <c r="J832" s="137">
        <v>7.8958000000000004</v>
      </c>
      <c r="K832" s="137" t="s">
        <v>77</v>
      </c>
      <c r="L832" s="137" t="s">
        <v>79</v>
      </c>
      <c r="M832" s="137" t="s">
        <v>80</v>
      </c>
      <c r="N832" s="137" t="b">
        <v>1</v>
      </c>
      <c r="O832" s="137"/>
      <c r="P832" s="137" t="s">
        <v>83</v>
      </c>
      <c r="Q832" s="137" t="s">
        <v>84</v>
      </c>
      <c r="R832" s="137" t="b">
        <v>1</v>
      </c>
      <c r="S832" s="139">
        <v>1</v>
      </c>
      <c r="T832" s="139">
        <v>6.0898717914757601E+18</v>
      </c>
    </row>
    <row r="833" spans="3:20">
      <c r="C833" s="24" t="b">
        <v>0</v>
      </c>
      <c r="D833" s="137">
        <v>1</v>
      </c>
      <c r="E833" s="138">
        <v>2</v>
      </c>
      <c r="F833" s="137" t="s">
        <v>85</v>
      </c>
      <c r="G833" s="137">
        <v>48</v>
      </c>
      <c r="H833" s="137">
        <v>1</v>
      </c>
      <c r="I833" s="137">
        <v>2</v>
      </c>
      <c r="J833" s="137">
        <v>65</v>
      </c>
      <c r="K833" s="137" t="s">
        <v>77</v>
      </c>
      <c r="L833" s="137" t="s">
        <v>94</v>
      </c>
      <c r="M833" s="137" t="s">
        <v>87</v>
      </c>
      <c r="N833" s="137" t="b">
        <v>0</v>
      </c>
      <c r="O833" s="137"/>
      <c r="P833" s="137" t="s">
        <v>83</v>
      </c>
      <c r="Q833" s="137" t="s">
        <v>89</v>
      </c>
      <c r="R833" s="137" t="b">
        <v>0</v>
      </c>
      <c r="S833" s="139">
        <v>1</v>
      </c>
      <c r="T833" s="139">
        <v>1.4669915618168799E+19</v>
      </c>
    </row>
    <row r="834" spans="3:20">
      <c r="C834" s="24" t="b">
        <v>0</v>
      </c>
      <c r="D834" s="137">
        <v>1</v>
      </c>
      <c r="E834" s="138">
        <v>2</v>
      </c>
      <c r="F834" s="137" t="s">
        <v>75</v>
      </c>
      <c r="G834" s="137">
        <v>0.67</v>
      </c>
      <c r="H834" s="137">
        <v>1</v>
      </c>
      <c r="I834" s="137">
        <v>1</v>
      </c>
      <c r="J834" s="137">
        <v>14.5</v>
      </c>
      <c r="K834" s="137" t="s">
        <v>77</v>
      </c>
      <c r="L834" s="137" t="s">
        <v>94</v>
      </c>
      <c r="M834" s="137" t="s">
        <v>93</v>
      </c>
      <c r="N834" s="137" t="b">
        <v>0</v>
      </c>
      <c r="O834" s="137"/>
      <c r="P834" s="137" t="s">
        <v>83</v>
      </c>
      <c r="Q834" s="137" t="s">
        <v>89</v>
      </c>
      <c r="R834" s="137" t="b">
        <v>0</v>
      </c>
      <c r="S834" s="139">
        <v>1</v>
      </c>
      <c r="T834" s="139">
        <v>1.3106687114488101E+19</v>
      </c>
    </row>
    <row r="835" spans="3:20">
      <c r="C835" s="24" t="b">
        <v>0</v>
      </c>
      <c r="D835" s="137">
        <v>0</v>
      </c>
      <c r="E835" s="138">
        <v>3</v>
      </c>
      <c r="F835" s="137" t="s">
        <v>75</v>
      </c>
      <c r="G835" s="137">
        <v>28</v>
      </c>
      <c r="H835" s="137">
        <v>0</v>
      </c>
      <c r="I835" s="137">
        <v>0</v>
      </c>
      <c r="J835" s="137">
        <v>7.7957999999999998</v>
      </c>
      <c r="K835" s="137" t="s">
        <v>77</v>
      </c>
      <c r="L835" s="137" t="s">
        <v>79</v>
      </c>
      <c r="M835" s="137" t="s">
        <v>80</v>
      </c>
      <c r="N835" s="137" t="b">
        <v>1</v>
      </c>
      <c r="O835" s="137"/>
      <c r="P835" s="137" t="s">
        <v>83</v>
      </c>
      <c r="Q835" s="137" t="s">
        <v>84</v>
      </c>
      <c r="R835" s="137" t="b">
        <v>1</v>
      </c>
      <c r="S835" s="139">
        <v>1</v>
      </c>
      <c r="T835" s="139">
        <v>9.0873602521736796E+18</v>
      </c>
    </row>
    <row r="836" spans="3:20">
      <c r="C836" s="24" t="b">
        <v>0</v>
      </c>
      <c r="D836" s="137">
        <v>0</v>
      </c>
      <c r="E836" s="138">
        <v>2</v>
      </c>
      <c r="F836" s="137" t="s">
        <v>75</v>
      </c>
      <c r="G836" s="137">
        <v>18</v>
      </c>
      <c r="H836" s="137">
        <v>0</v>
      </c>
      <c r="I836" s="137">
        <v>0</v>
      </c>
      <c r="J836" s="137">
        <v>11.5</v>
      </c>
      <c r="K836" s="137" t="s">
        <v>77</v>
      </c>
      <c r="L836" s="137" t="s">
        <v>94</v>
      </c>
      <c r="M836" s="137" t="s">
        <v>80</v>
      </c>
      <c r="N836" s="137" t="b">
        <v>1</v>
      </c>
      <c r="O836" s="137"/>
      <c r="P836" s="137" t="s">
        <v>83</v>
      </c>
      <c r="Q836" s="137" t="s">
        <v>84</v>
      </c>
      <c r="R836" s="137" t="b">
        <v>1</v>
      </c>
      <c r="S836" s="139">
        <v>1</v>
      </c>
      <c r="T836" s="139">
        <v>1.17409391668719E+19</v>
      </c>
    </row>
    <row r="837" spans="3:20">
      <c r="C837" s="24" t="b">
        <v>0</v>
      </c>
      <c r="D837" s="137">
        <v>0</v>
      </c>
      <c r="E837" s="138">
        <v>3</v>
      </c>
      <c r="F837" s="137" t="s">
        <v>75</v>
      </c>
      <c r="G837" s="137">
        <v>34</v>
      </c>
      <c r="H837" s="137">
        <v>0</v>
      </c>
      <c r="I837" s="137">
        <v>0</v>
      </c>
      <c r="J837" s="137">
        <v>8.0500000000000007</v>
      </c>
      <c r="K837" s="137" t="s">
        <v>77</v>
      </c>
      <c r="L837" s="137" t="s">
        <v>79</v>
      </c>
      <c r="M837" s="137" t="s">
        <v>80</v>
      </c>
      <c r="N837" s="137" t="b">
        <v>1</v>
      </c>
      <c r="O837" s="137"/>
      <c r="P837" s="137" t="s">
        <v>83</v>
      </c>
      <c r="Q837" s="137" t="s">
        <v>84</v>
      </c>
      <c r="R837" s="137" t="b">
        <v>1</v>
      </c>
      <c r="S837" s="139">
        <v>1</v>
      </c>
      <c r="T837" s="139">
        <v>1.81207378784796E+19</v>
      </c>
    </row>
    <row r="838" spans="3:20">
      <c r="C838" s="24" t="b">
        <v>0</v>
      </c>
      <c r="D838" s="137">
        <v>1</v>
      </c>
      <c r="E838" s="138">
        <v>1</v>
      </c>
      <c r="F838" s="137" t="s">
        <v>85</v>
      </c>
      <c r="G838" s="137">
        <v>33</v>
      </c>
      <c r="H838" s="137">
        <v>0</v>
      </c>
      <c r="I838" s="137">
        <v>0</v>
      </c>
      <c r="J838" s="137">
        <v>86.5</v>
      </c>
      <c r="K838" s="137" t="s">
        <v>77</v>
      </c>
      <c r="L838" s="137" t="s">
        <v>86</v>
      </c>
      <c r="M838" s="137" t="s">
        <v>87</v>
      </c>
      <c r="N838" s="137" t="b">
        <v>0</v>
      </c>
      <c r="O838" s="137" t="s">
        <v>98</v>
      </c>
      <c r="P838" s="137" t="s">
        <v>83</v>
      </c>
      <c r="Q838" s="137" t="s">
        <v>89</v>
      </c>
      <c r="R838" s="137" t="b">
        <v>1</v>
      </c>
      <c r="S838" s="139">
        <v>0</v>
      </c>
      <c r="T838" s="139">
        <v>1.4902020613088299E+19</v>
      </c>
    </row>
    <row r="839" spans="3:20">
      <c r="C839" s="24" t="b">
        <v>0</v>
      </c>
      <c r="D839" s="137">
        <v>0</v>
      </c>
      <c r="E839" s="138">
        <v>3</v>
      </c>
      <c r="F839" s="137" t="s">
        <v>75</v>
      </c>
      <c r="G839" s="137"/>
      <c r="H839" s="137">
        <v>0</v>
      </c>
      <c r="I839" s="137">
        <v>0</v>
      </c>
      <c r="J839" s="137">
        <v>14.5</v>
      </c>
      <c r="K839" s="137" t="s">
        <v>77</v>
      </c>
      <c r="L839" s="137" t="s">
        <v>79</v>
      </c>
      <c r="M839" s="137" t="s">
        <v>80</v>
      </c>
      <c r="N839" s="137" t="b">
        <v>1</v>
      </c>
      <c r="O839" s="137"/>
      <c r="P839" s="137" t="s">
        <v>83</v>
      </c>
      <c r="Q839" s="137" t="s">
        <v>84</v>
      </c>
      <c r="R839" s="137" t="b">
        <v>1</v>
      </c>
      <c r="S839" s="139">
        <v>1</v>
      </c>
      <c r="T839" s="139">
        <v>1.49344061587387E+19</v>
      </c>
    </row>
    <row r="840" spans="3:20">
      <c r="C840" s="24" t="b">
        <v>0</v>
      </c>
      <c r="D840" s="137">
        <v>0</v>
      </c>
      <c r="E840" s="138">
        <v>3</v>
      </c>
      <c r="F840" s="137" t="s">
        <v>75</v>
      </c>
      <c r="G840" s="137">
        <v>41</v>
      </c>
      <c r="H840" s="137">
        <v>0</v>
      </c>
      <c r="I840" s="137">
        <v>0</v>
      </c>
      <c r="J840" s="137">
        <v>7.125</v>
      </c>
      <c r="K840" s="137" t="s">
        <v>77</v>
      </c>
      <c r="L840" s="137" t="s">
        <v>79</v>
      </c>
      <c r="M840" s="137" t="s">
        <v>80</v>
      </c>
      <c r="N840" s="137" t="b">
        <v>1</v>
      </c>
      <c r="O840" s="137"/>
      <c r="P840" s="137" t="s">
        <v>83</v>
      </c>
      <c r="Q840" s="137" t="s">
        <v>84</v>
      </c>
      <c r="R840" s="137" t="b">
        <v>1</v>
      </c>
      <c r="S840" s="139">
        <v>1</v>
      </c>
      <c r="T840" s="139">
        <v>1.4403197595078199E+19</v>
      </c>
    </row>
    <row r="841" spans="3:20">
      <c r="C841" s="24" t="b">
        <v>0</v>
      </c>
      <c r="D841" s="137">
        <v>1</v>
      </c>
      <c r="E841" s="138">
        <v>3</v>
      </c>
      <c r="F841" s="137" t="s">
        <v>75</v>
      </c>
      <c r="G841" s="137">
        <v>20</v>
      </c>
      <c r="H841" s="137">
        <v>0</v>
      </c>
      <c r="I841" s="137">
        <v>0</v>
      </c>
      <c r="J841" s="137">
        <v>7.2291999999999996</v>
      </c>
      <c r="K841" s="137" t="s">
        <v>82</v>
      </c>
      <c r="L841" s="137" t="s">
        <v>79</v>
      </c>
      <c r="M841" s="137" t="s">
        <v>80</v>
      </c>
      <c r="N841" s="137" t="b">
        <v>1</v>
      </c>
      <c r="O841" s="137"/>
      <c r="P841" s="137" t="s">
        <v>88</v>
      </c>
      <c r="Q841" s="137" t="s">
        <v>89</v>
      </c>
      <c r="R841" s="137" t="b">
        <v>1</v>
      </c>
      <c r="S841" s="139">
        <v>1</v>
      </c>
      <c r="T841" s="139">
        <v>1.28391533329174E+19</v>
      </c>
    </row>
    <row r="842" spans="3:20">
      <c r="C842" s="24" t="b">
        <v>0</v>
      </c>
      <c r="D842" s="137">
        <v>1</v>
      </c>
      <c r="E842" s="138">
        <v>1</v>
      </c>
      <c r="F842" s="137" t="s">
        <v>85</v>
      </c>
      <c r="G842" s="137">
        <v>36</v>
      </c>
      <c r="H842" s="137">
        <v>1</v>
      </c>
      <c r="I842" s="137">
        <v>2</v>
      </c>
      <c r="J842" s="137">
        <v>120</v>
      </c>
      <c r="K842" s="137" t="s">
        <v>77</v>
      </c>
      <c r="L842" s="137" t="s">
        <v>86</v>
      </c>
      <c r="M842" s="137" t="s">
        <v>87</v>
      </c>
      <c r="N842" s="137" t="b">
        <v>0</v>
      </c>
      <c r="O842" s="137" t="s">
        <v>98</v>
      </c>
      <c r="P842" s="137" t="s">
        <v>83</v>
      </c>
      <c r="Q842" s="137" t="s">
        <v>89</v>
      </c>
      <c r="R842" s="137" t="b">
        <v>0</v>
      </c>
      <c r="S842" s="139">
        <v>0</v>
      </c>
      <c r="T842" s="139">
        <v>4.7416467661639496E+18</v>
      </c>
    </row>
    <row r="843" spans="3:20">
      <c r="C843" s="24" t="b">
        <v>0</v>
      </c>
      <c r="D843" s="137">
        <v>0</v>
      </c>
      <c r="E843" s="138">
        <v>3</v>
      </c>
      <c r="F843" s="137" t="s">
        <v>75</v>
      </c>
      <c r="G843" s="137">
        <v>16</v>
      </c>
      <c r="H843" s="137">
        <v>0</v>
      </c>
      <c r="I843" s="137">
        <v>0</v>
      </c>
      <c r="J843" s="137">
        <v>7.7750000000000004</v>
      </c>
      <c r="K843" s="137" t="s">
        <v>77</v>
      </c>
      <c r="L843" s="137" t="s">
        <v>79</v>
      </c>
      <c r="M843" s="137" t="s">
        <v>80</v>
      </c>
      <c r="N843" s="137" t="b">
        <v>1</v>
      </c>
      <c r="O843" s="137"/>
      <c r="P843" s="137" t="s">
        <v>83</v>
      </c>
      <c r="Q843" s="137" t="s">
        <v>84</v>
      </c>
      <c r="R843" s="137" t="b">
        <v>1</v>
      </c>
      <c r="S843" s="139">
        <v>1</v>
      </c>
      <c r="T843" s="139">
        <v>6.1902130390979103E+18</v>
      </c>
    </row>
    <row r="844" spans="3:20">
      <c r="C844" s="24" t="b">
        <v>0</v>
      </c>
      <c r="D844" s="137">
        <v>1</v>
      </c>
      <c r="E844" s="138">
        <v>1</v>
      </c>
      <c r="F844" s="137" t="s">
        <v>85</v>
      </c>
      <c r="G844" s="137">
        <v>51</v>
      </c>
      <c r="H844" s="137">
        <v>1</v>
      </c>
      <c r="I844" s="137">
        <v>0</v>
      </c>
      <c r="J844" s="137">
        <v>77.958299999999994</v>
      </c>
      <c r="K844" s="137" t="s">
        <v>77</v>
      </c>
      <c r="L844" s="137" t="s">
        <v>86</v>
      </c>
      <c r="M844" s="137" t="s">
        <v>87</v>
      </c>
      <c r="N844" s="137" t="b">
        <v>0</v>
      </c>
      <c r="O844" s="137" t="s">
        <v>96</v>
      </c>
      <c r="P844" s="137" t="s">
        <v>83</v>
      </c>
      <c r="Q844" s="137" t="s">
        <v>89</v>
      </c>
      <c r="R844" s="137" t="b">
        <v>0</v>
      </c>
      <c r="S844" s="139">
        <v>0</v>
      </c>
      <c r="T844" s="139">
        <v>9.8020012085346598E+17</v>
      </c>
    </row>
    <row r="845" spans="3:20">
      <c r="C845" s="24" t="b">
        <v>0</v>
      </c>
      <c r="D845" s="137">
        <v>0</v>
      </c>
      <c r="E845" s="138">
        <v>1</v>
      </c>
      <c r="F845" s="137" t="s">
        <v>75</v>
      </c>
      <c r="G845" s="137"/>
      <c r="H845" s="137">
        <v>0</v>
      </c>
      <c r="I845" s="137">
        <v>0</v>
      </c>
      <c r="J845" s="137">
        <v>39.6</v>
      </c>
      <c r="K845" s="137" t="s">
        <v>82</v>
      </c>
      <c r="L845" s="137" t="s">
        <v>86</v>
      </c>
      <c r="M845" s="137" t="s">
        <v>80</v>
      </c>
      <c r="N845" s="137" t="b">
        <v>1</v>
      </c>
      <c r="O845" s="137"/>
      <c r="P845" s="137" t="s">
        <v>88</v>
      </c>
      <c r="Q845" s="137" t="s">
        <v>84</v>
      </c>
      <c r="R845" s="137" t="b">
        <v>1</v>
      </c>
      <c r="S845" s="139">
        <v>1</v>
      </c>
      <c r="T845" s="139">
        <v>1.6766611252453501E+19</v>
      </c>
    </row>
    <row r="846" spans="3:20">
      <c r="C846" s="24" t="b">
        <v>0</v>
      </c>
      <c r="D846" s="137">
        <v>0</v>
      </c>
      <c r="E846" s="138">
        <v>3</v>
      </c>
      <c r="F846" s="137" t="s">
        <v>85</v>
      </c>
      <c r="G846" s="137">
        <v>30.5</v>
      </c>
      <c r="H846" s="137">
        <v>0</v>
      </c>
      <c r="I846" s="137">
        <v>0</v>
      </c>
      <c r="J846" s="137">
        <v>7.75</v>
      </c>
      <c r="K846" s="137" t="s">
        <v>90</v>
      </c>
      <c r="L846" s="137" t="s">
        <v>79</v>
      </c>
      <c r="M846" s="137" t="s">
        <v>87</v>
      </c>
      <c r="N846" s="137" t="b">
        <v>0</v>
      </c>
      <c r="O846" s="137"/>
      <c r="P846" s="137" t="s">
        <v>91</v>
      </c>
      <c r="Q846" s="137" t="s">
        <v>84</v>
      </c>
      <c r="R846" s="137" t="b">
        <v>1</v>
      </c>
      <c r="S846" s="139">
        <v>1</v>
      </c>
      <c r="T846" s="139">
        <v>1.2659924074705299E+19</v>
      </c>
    </row>
    <row r="847" spans="3:20">
      <c r="C847" s="24" t="b">
        <v>0</v>
      </c>
      <c r="D847" s="137">
        <v>0</v>
      </c>
      <c r="E847" s="138">
        <v>3</v>
      </c>
      <c r="F847" s="137" t="s">
        <v>75</v>
      </c>
      <c r="G847" s="137"/>
      <c r="H847" s="137">
        <v>1</v>
      </c>
      <c r="I847" s="137">
        <v>0</v>
      </c>
      <c r="J847" s="137">
        <v>24.15</v>
      </c>
      <c r="K847" s="137" t="s">
        <v>90</v>
      </c>
      <c r="L847" s="137" t="s">
        <v>79</v>
      </c>
      <c r="M847" s="137" t="s">
        <v>80</v>
      </c>
      <c r="N847" s="137" t="b">
        <v>1</v>
      </c>
      <c r="O847" s="137"/>
      <c r="P847" s="137" t="s">
        <v>91</v>
      </c>
      <c r="Q847" s="137" t="s">
        <v>84</v>
      </c>
      <c r="R847" s="137" t="b">
        <v>0</v>
      </c>
      <c r="S847" s="139">
        <v>1</v>
      </c>
      <c r="T847" s="139">
        <v>2.3037166621511199E+18</v>
      </c>
    </row>
    <row r="848" spans="3:20">
      <c r="C848" s="24" t="b">
        <v>0</v>
      </c>
      <c r="D848" s="137">
        <v>0</v>
      </c>
      <c r="E848" s="138">
        <v>3</v>
      </c>
      <c r="F848" s="137" t="s">
        <v>75</v>
      </c>
      <c r="G848" s="137">
        <v>32</v>
      </c>
      <c r="H848" s="137">
        <v>0</v>
      </c>
      <c r="I848" s="137">
        <v>0</v>
      </c>
      <c r="J848" s="137">
        <v>8.3625000000000007</v>
      </c>
      <c r="K848" s="137" t="s">
        <v>77</v>
      </c>
      <c r="L848" s="137" t="s">
        <v>79</v>
      </c>
      <c r="M848" s="137" t="s">
        <v>80</v>
      </c>
      <c r="N848" s="137" t="b">
        <v>1</v>
      </c>
      <c r="O848" s="137"/>
      <c r="P848" s="137" t="s">
        <v>83</v>
      </c>
      <c r="Q848" s="137" t="s">
        <v>84</v>
      </c>
      <c r="R848" s="137" t="b">
        <v>1</v>
      </c>
      <c r="S848" s="139">
        <v>1</v>
      </c>
      <c r="T848" s="139">
        <v>5.7485303559675095E+18</v>
      </c>
    </row>
    <row r="849" spans="3:20">
      <c r="C849" s="24" t="b">
        <v>0</v>
      </c>
      <c r="D849" s="137">
        <v>0</v>
      </c>
      <c r="E849" s="138">
        <v>3</v>
      </c>
      <c r="F849" s="137" t="s">
        <v>75</v>
      </c>
      <c r="G849" s="137">
        <v>24</v>
      </c>
      <c r="H849" s="137">
        <v>0</v>
      </c>
      <c r="I849" s="137">
        <v>0</v>
      </c>
      <c r="J849" s="137">
        <v>9.5</v>
      </c>
      <c r="K849" s="137" t="s">
        <v>77</v>
      </c>
      <c r="L849" s="137" t="s">
        <v>79</v>
      </c>
      <c r="M849" s="137" t="s">
        <v>80</v>
      </c>
      <c r="N849" s="137" t="b">
        <v>1</v>
      </c>
      <c r="O849" s="137"/>
      <c r="P849" s="137" t="s">
        <v>83</v>
      </c>
      <c r="Q849" s="137" t="s">
        <v>84</v>
      </c>
      <c r="R849" s="137" t="b">
        <v>1</v>
      </c>
      <c r="S849" s="139">
        <v>1</v>
      </c>
      <c r="T849" s="139">
        <v>1.6793301128686899E+19</v>
      </c>
    </row>
    <row r="850" spans="3:20">
      <c r="C850" s="24" t="b">
        <v>0</v>
      </c>
      <c r="D850" s="137">
        <v>0</v>
      </c>
      <c r="E850" s="138">
        <v>3</v>
      </c>
      <c r="F850" s="137" t="s">
        <v>75</v>
      </c>
      <c r="G850" s="137">
        <v>48</v>
      </c>
      <c r="H850" s="137">
        <v>0</v>
      </c>
      <c r="I850" s="137">
        <v>0</v>
      </c>
      <c r="J850" s="137">
        <v>7.8541999999999996</v>
      </c>
      <c r="K850" s="137" t="s">
        <v>77</v>
      </c>
      <c r="L850" s="137" t="s">
        <v>79</v>
      </c>
      <c r="M850" s="137" t="s">
        <v>80</v>
      </c>
      <c r="N850" s="137" t="b">
        <v>1</v>
      </c>
      <c r="O850" s="137"/>
      <c r="P850" s="137" t="s">
        <v>83</v>
      </c>
      <c r="Q850" s="137" t="s">
        <v>84</v>
      </c>
      <c r="R850" s="137" t="b">
        <v>1</v>
      </c>
      <c r="S850" s="139">
        <v>1</v>
      </c>
      <c r="T850" s="139">
        <v>6.5200878119465298E+18</v>
      </c>
    </row>
    <row r="851" spans="3:20">
      <c r="C851" s="24" t="b">
        <v>0</v>
      </c>
      <c r="D851" s="137">
        <v>0</v>
      </c>
      <c r="E851" s="138">
        <v>2</v>
      </c>
      <c r="F851" s="137" t="s">
        <v>85</v>
      </c>
      <c r="G851" s="137">
        <v>57</v>
      </c>
      <c r="H851" s="137">
        <v>0</v>
      </c>
      <c r="I851" s="137">
        <v>0</v>
      </c>
      <c r="J851" s="137">
        <v>10.5</v>
      </c>
      <c r="K851" s="137" t="s">
        <v>77</v>
      </c>
      <c r="L851" s="137" t="s">
        <v>94</v>
      </c>
      <c r="M851" s="137" t="s">
        <v>87</v>
      </c>
      <c r="N851" s="137" t="b">
        <v>0</v>
      </c>
      <c r="O851" s="137" t="s">
        <v>92</v>
      </c>
      <c r="P851" s="137" t="s">
        <v>83</v>
      </c>
      <c r="Q851" s="137" t="s">
        <v>84</v>
      </c>
      <c r="R851" s="137" t="b">
        <v>1</v>
      </c>
      <c r="S851" s="139">
        <v>0</v>
      </c>
      <c r="T851" s="139">
        <v>6.1018977018578196E+18</v>
      </c>
    </row>
    <row r="852" spans="3:20">
      <c r="C852" s="24" t="b">
        <v>0</v>
      </c>
      <c r="D852" s="137">
        <v>0</v>
      </c>
      <c r="E852" s="138">
        <v>3</v>
      </c>
      <c r="F852" s="137" t="s">
        <v>75</v>
      </c>
      <c r="G852" s="137"/>
      <c r="H852" s="137">
        <v>0</v>
      </c>
      <c r="I852" s="137">
        <v>0</v>
      </c>
      <c r="J852" s="137">
        <v>7.2249999999999996</v>
      </c>
      <c r="K852" s="137" t="s">
        <v>82</v>
      </c>
      <c r="L852" s="137" t="s">
        <v>79</v>
      </c>
      <c r="M852" s="137" t="s">
        <v>80</v>
      </c>
      <c r="N852" s="137" t="b">
        <v>1</v>
      </c>
      <c r="O852" s="137"/>
      <c r="P852" s="137" t="s">
        <v>88</v>
      </c>
      <c r="Q852" s="137" t="s">
        <v>84</v>
      </c>
      <c r="R852" s="137" t="b">
        <v>1</v>
      </c>
      <c r="S852" s="139">
        <v>1</v>
      </c>
      <c r="T852" s="139">
        <v>5.4729232098319995E+18</v>
      </c>
    </row>
    <row r="853" spans="3:20">
      <c r="C853" s="24" t="b">
        <v>0</v>
      </c>
      <c r="D853" s="137">
        <v>1</v>
      </c>
      <c r="E853" s="138">
        <v>2</v>
      </c>
      <c r="F853" s="137" t="s">
        <v>85</v>
      </c>
      <c r="G853" s="137">
        <v>54</v>
      </c>
      <c r="H853" s="137">
        <v>1</v>
      </c>
      <c r="I853" s="137">
        <v>3</v>
      </c>
      <c r="J853" s="137">
        <v>23</v>
      </c>
      <c r="K853" s="137" t="s">
        <v>77</v>
      </c>
      <c r="L853" s="137" t="s">
        <v>94</v>
      </c>
      <c r="M853" s="137" t="s">
        <v>87</v>
      </c>
      <c r="N853" s="137" t="b">
        <v>0</v>
      </c>
      <c r="O853" s="137"/>
      <c r="P853" s="137" t="s">
        <v>83</v>
      </c>
      <c r="Q853" s="137" t="s">
        <v>89</v>
      </c>
      <c r="R853" s="137" t="b">
        <v>0</v>
      </c>
      <c r="S853" s="139">
        <v>1</v>
      </c>
      <c r="T853" s="139">
        <v>1.80344521830044E+19</v>
      </c>
    </row>
    <row r="854" spans="3:20">
      <c r="C854" s="24" t="b">
        <v>0</v>
      </c>
      <c r="D854" s="137">
        <v>0</v>
      </c>
      <c r="E854" s="138">
        <v>3</v>
      </c>
      <c r="F854" s="137" t="s">
        <v>75</v>
      </c>
      <c r="G854" s="137">
        <v>18</v>
      </c>
      <c r="H854" s="137">
        <v>0</v>
      </c>
      <c r="I854" s="137">
        <v>0</v>
      </c>
      <c r="J854" s="137">
        <v>7.75</v>
      </c>
      <c r="K854" s="137" t="s">
        <v>77</v>
      </c>
      <c r="L854" s="137" t="s">
        <v>79</v>
      </c>
      <c r="M854" s="137" t="s">
        <v>80</v>
      </c>
      <c r="N854" s="137" t="b">
        <v>1</v>
      </c>
      <c r="O854" s="137"/>
      <c r="P854" s="137" t="s">
        <v>83</v>
      </c>
      <c r="Q854" s="137" t="s">
        <v>84</v>
      </c>
      <c r="R854" s="137" t="b">
        <v>1</v>
      </c>
      <c r="S854" s="139">
        <v>1</v>
      </c>
      <c r="T854" s="139">
        <v>4.1447449018361098E+18</v>
      </c>
    </row>
    <row r="855" spans="3:20">
      <c r="C855" s="24" t="b">
        <v>0</v>
      </c>
      <c r="D855" s="137">
        <v>0</v>
      </c>
      <c r="E855" s="138">
        <v>3</v>
      </c>
      <c r="F855" s="137" t="s">
        <v>75</v>
      </c>
      <c r="G855" s="137"/>
      <c r="H855" s="137">
        <v>0</v>
      </c>
      <c r="I855" s="137">
        <v>0</v>
      </c>
      <c r="J855" s="137">
        <v>7.75</v>
      </c>
      <c r="K855" s="137" t="s">
        <v>90</v>
      </c>
      <c r="L855" s="137" t="s">
        <v>79</v>
      </c>
      <c r="M855" s="137" t="s">
        <v>80</v>
      </c>
      <c r="N855" s="137" t="b">
        <v>1</v>
      </c>
      <c r="O855" s="137" t="s">
        <v>99</v>
      </c>
      <c r="P855" s="137" t="s">
        <v>91</v>
      </c>
      <c r="Q855" s="137" t="s">
        <v>84</v>
      </c>
      <c r="R855" s="137" t="b">
        <v>1</v>
      </c>
      <c r="S855" s="139">
        <v>1</v>
      </c>
      <c r="T855" s="139">
        <v>1.6127813724779999E+19</v>
      </c>
    </row>
    <row r="856" spans="3:20">
      <c r="C856" s="24" t="b">
        <v>0</v>
      </c>
      <c r="D856" s="137">
        <v>1</v>
      </c>
      <c r="E856" s="138">
        <v>3</v>
      </c>
      <c r="F856" s="137" t="s">
        <v>85</v>
      </c>
      <c r="G856" s="137">
        <v>5</v>
      </c>
      <c r="H856" s="137">
        <v>0</v>
      </c>
      <c r="I856" s="137">
        <v>0</v>
      </c>
      <c r="J856" s="137">
        <v>12.475</v>
      </c>
      <c r="K856" s="137" t="s">
        <v>77</v>
      </c>
      <c r="L856" s="137" t="s">
        <v>79</v>
      </c>
      <c r="M856" s="137" t="s">
        <v>93</v>
      </c>
      <c r="N856" s="137" t="b">
        <v>0</v>
      </c>
      <c r="O856" s="137"/>
      <c r="P856" s="137" t="s">
        <v>83</v>
      </c>
      <c r="Q856" s="137" t="s">
        <v>89</v>
      </c>
      <c r="R856" s="137" t="b">
        <v>1</v>
      </c>
      <c r="S856" s="139">
        <v>1</v>
      </c>
      <c r="T856" s="139">
        <v>1.45890345286807E+19</v>
      </c>
    </row>
    <row r="857" spans="3:20">
      <c r="C857" s="24" t="b">
        <v>0</v>
      </c>
      <c r="D857" s="137">
        <v>0</v>
      </c>
      <c r="E857" s="138">
        <v>3</v>
      </c>
      <c r="F857" s="137" t="s">
        <v>75</v>
      </c>
      <c r="G857" s="137"/>
      <c r="H857" s="137">
        <v>0</v>
      </c>
      <c r="I857" s="137">
        <v>0</v>
      </c>
      <c r="J857" s="137">
        <v>7.7374999999999998</v>
      </c>
      <c r="K857" s="137" t="s">
        <v>90</v>
      </c>
      <c r="L857" s="137" t="s">
        <v>79</v>
      </c>
      <c r="M857" s="137" t="s">
        <v>80</v>
      </c>
      <c r="N857" s="137" t="b">
        <v>1</v>
      </c>
      <c r="O857" s="137"/>
      <c r="P857" s="137" t="s">
        <v>91</v>
      </c>
      <c r="Q857" s="137" t="s">
        <v>84</v>
      </c>
      <c r="R857" s="137" t="b">
        <v>1</v>
      </c>
      <c r="S857" s="139">
        <v>1</v>
      </c>
      <c r="T857" s="139">
        <v>6.8457200307809905E+18</v>
      </c>
    </row>
    <row r="858" spans="3:20">
      <c r="C858" s="24" t="b">
        <v>0</v>
      </c>
      <c r="D858" s="137">
        <v>1</v>
      </c>
      <c r="E858" s="138">
        <v>1</v>
      </c>
      <c r="F858" s="137" t="s">
        <v>85</v>
      </c>
      <c r="G858" s="137">
        <v>43</v>
      </c>
      <c r="H858" s="137">
        <v>0</v>
      </c>
      <c r="I858" s="137">
        <v>1</v>
      </c>
      <c r="J858" s="137">
        <v>211.33750000000001</v>
      </c>
      <c r="K858" s="137" t="s">
        <v>77</v>
      </c>
      <c r="L858" s="137" t="s">
        <v>86</v>
      </c>
      <c r="M858" s="137" t="s">
        <v>87</v>
      </c>
      <c r="N858" s="137" t="b">
        <v>0</v>
      </c>
      <c r="O858" s="137" t="s">
        <v>98</v>
      </c>
      <c r="P858" s="137" t="s">
        <v>83</v>
      </c>
      <c r="Q858" s="137" t="s">
        <v>89</v>
      </c>
      <c r="R858" s="137" t="b">
        <v>0</v>
      </c>
      <c r="S858" s="139">
        <v>0</v>
      </c>
      <c r="T858" s="139">
        <v>7.21429361870259E+18</v>
      </c>
    </row>
    <row r="859" spans="3:20">
      <c r="C859" s="24" t="b">
        <v>0</v>
      </c>
      <c r="D859" s="137">
        <v>1</v>
      </c>
      <c r="E859" s="138">
        <v>3</v>
      </c>
      <c r="F859" s="137" t="s">
        <v>85</v>
      </c>
      <c r="G859" s="137">
        <v>13</v>
      </c>
      <c r="H859" s="137">
        <v>0</v>
      </c>
      <c r="I859" s="137">
        <v>0</v>
      </c>
      <c r="J859" s="137">
        <v>7.2291999999999996</v>
      </c>
      <c r="K859" s="137" t="s">
        <v>82</v>
      </c>
      <c r="L859" s="137" t="s">
        <v>79</v>
      </c>
      <c r="M859" s="137" t="s">
        <v>93</v>
      </c>
      <c r="N859" s="137" t="b">
        <v>0</v>
      </c>
      <c r="O859" s="137"/>
      <c r="P859" s="137" t="s">
        <v>88</v>
      </c>
      <c r="Q859" s="137" t="s">
        <v>89</v>
      </c>
      <c r="R859" s="137" t="b">
        <v>1</v>
      </c>
      <c r="S859" s="139">
        <v>1</v>
      </c>
      <c r="T859" s="139">
        <v>1.56159087729871E+18</v>
      </c>
    </row>
    <row r="860" spans="3:20">
      <c r="C860" s="24" t="b">
        <v>0</v>
      </c>
      <c r="D860" s="137">
        <v>1</v>
      </c>
      <c r="E860" s="138">
        <v>1</v>
      </c>
      <c r="F860" s="137" t="s">
        <v>85</v>
      </c>
      <c r="G860" s="137">
        <v>17</v>
      </c>
      <c r="H860" s="137">
        <v>1</v>
      </c>
      <c r="I860" s="137">
        <v>0</v>
      </c>
      <c r="J860" s="137">
        <v>57</v>
      </c>
      <c r="K860" s="137" t="s">
        <v>77</v>
      </c>
      <c r="L860" s="137" t="s">
        <v>86</v>
      </c>
      <c r="M860" s="137" t="s">
        <v>87</v>
      </c>
      <c r="N860" s="137" t="b">
        <v>0</v>
      </c>
      <c r="O860" s="137" t="s">
        <v>98</v>
      </c>
      <c r="P860" s="137" t="s">
        <v>83</v>
      </c>
      <c r="Q860" s="137" t="s">
        <v>89</v>
      </c>
      <c r="R860" s="137" t="b">
        <v>0</v>
      </c>
      <c r="S860" s="139">
        <v>0</v>
      </c>
      <c r="T860" s="139">
        <v>7.0285169807705098E+18</v>
      </c>
    </row>
    <row r="861" spans="3:20">
      <c r="C861" s="24" t="b">
        <v>0</v>
      </c>
      <c r="D861" s="137">
        <v>0</v>
      </c>
      <c r="E861" s="138">
        <v>1</v>
      </c>
      <c r="F861" s="137" t="s">
        <v>75</v>
      </c>
      <c r="G861" s="137">
        <v>29</v>
      </c>
      <c r="H861" s="137">
        <v>0</v>
      </c>
      <c r="I861" s="137">
        <v>0</v>
      </c>
      <c r="J861" s="137">
        <v>30</v>
      </c>
      <c r="K861" s="137" t="s">
        <v>77</v>
      </c>
      <c r="L861" s="137" t="s">
        <v>86</v>
      </c>
      <c r="M861" s="137" t="s">
        <v>80</v>
      </c>
      <c r="N861" s="137" t="b">
        <v>1</v>
      </c>
      <c r="O861" s="137" t="s">
        <v>96</v>
      </c>
      <c r="P861" s="137" t="s">
        <v>83</v>
      </c>
      <c r="Q861" s="137" t="s">
        <v>84</v>
      </c>
      <c r="R861" s="137" t="b">
        <v>1</v>
      </c>
      <c r="S861" s="139">
        <v>0</v>
      </c>
      <c r="T861" s="139">
        <v>2.8791836864386002E+18</v>
      </c>
    </row>
    <row r="862" spans="3:20">
      <c r="C862" s="24" t="b">
        <v>0</v>
      </c>
      <c r="D862" s="137">
        <v>0</v>
      </c>
      <c r="E862" s="138">
        <v>3</v>
      </c>
      <c r="F862" s="137" t="s">
        <v>75</v>
      </c>
      <c r="G862" s="137"/>
      <c r="H862" s="137">
        <v>1</v>
      </c>
      <c r="I862" s="137">
        <v>2</v>
      </c>
      <c r="J862" s="137">
        <v>23.45</v>
      </c>
      <c r="K862" s="137" t="s">
        <v>77</v>
      </c>
      <c r="L862" s="137" t="s">
        <v>79</v>
      </c>
      <c r="M862" s="137" t="s">
        <v>80</v>
      </c>
      <c r="N862" s="137" t="b">
        <v>1</v>
      </c>
      <c r="O862" s="137"/>
      <c r="P862" s="137" t="s">
        <v>83</v>
      </c>
      <c r="Q862" s="137" t="s">
        <v>84</v>
      </c>
      <c r="R862" s="137" t="b">
        <v>0</v>
      </c>
      <c r="S862" s="139">
        <v>1</v>
      </c>
      <c r="T862" s="139">
        <v>3.7439760743064899E+18</v>
      </c>
    </row>
    <row r="863" spans="3:20">
      <c r="C863" s="24" t="b">
        <v>0</v>
      </c>
      <c r="D863" s="137">
        <v>0</v>
      </c>
      <c r="E863" s="138">
        <v>3</v>
      </c>
      <c r="F863" s="137" t="s">
        <v>75</v>
      </c>
      <c r="G863" s="137">
        <v>25</v>
      </c>
      <c r="H863" s="137">
        <v>0</v>
      </c>
      <c r="I863" s="137">
        <v>0</v>
      </c>
      <c r="J863" s="137">
        <v>7.05</v>
      </c>
      <c r="K863" s="137" t="s">
        <v>77</v>
      </c>
      <c r="L863" s="137" t="s">
        <v>79</v>
      </c>
      <c r="M863" s="137" t="s">
        <v>80</v>
      </c>
      <c r="N863" s="137" t="b">
        <v>1</v>
      </c>
      <c r="O863" s="137"/>
      <c r="P863" s="137" t="s">
        <v>83</v>
      </c>
      <c r="Q863" s="137" t="s">
        <v>84</v>
      </c>
      <c r="R863" s="137" t="b">
        <v>1</v>
      </c>
      <c r="S863" s="139">
        <v>1</v>
      </c>
      <c r="T863" s="139">
        <v>9.9639541137136294E+17</v>
      </c>
    </row>
    <row r="864" spans="3:20">
      <c r="C864" s="24" t="b">
        <v>0</v>
      </c>
      <c r="D864" s="137">
        <v>0</v>
      </c>
      <c r="E864" s="138">
        <v>3</v>
      </c>
      <c r="F864" s="137" t="s">
        <v>75</v>
      </c>
      <c r="G864" s="137">
        <v>25</v>
      </c>
      <c r="H864" s="137">
        <v>0</v>
      </c>
      <c r="I864" s="137">
        <v>0</v>
      </c>
      <c r="J864" s="137">
        <v>7.25</v>
      </c>
      <c r="K864" s="137" t="s">
        <v>77</v>
      </c>
      <c r="L864" s="137" t="s">
        <v>79</v>
      </c>
      <c r="M864" s="137" t="s">
        <v>80</v>
      </c>
      <c r="N864" s="137" t="b">
        <v>1</v>
      </c>
      <c r="O864" s="137"/>
      <c r="P864" s="137" t="s">
        <v>83</v>
      </c>
      <c r="Q864" s="137" t="s">
        <v>84</v>
      </c>
      <c r="R864" s="137" t="b">
        <v>1</v>
      </c>
      <c r="S864" s="139">
        <v>1</v>
      </c>
      <c r="T864" s="139">
        <v>6.3211422360532204E+18</v>
      </c>
    </row>
    <row r="865" spans="3:20">
      <c r="C865" s="24" t="b">
        <v>0</v>
      </c>
      <c r="D865" s="137">
        <v>1</v>
      </c>
      <c r="E865" s="138">
        <v>3</v>
      </c>
      <c r="F865" s="137" t="s">
        <v>85</v>
      </c>
      <c r="G865" s="137">
        <v>18</v>
      </c>
      <c r="H865" s="137">
        <v>0</v>
      </c>
      <c r="I865" s="137">
        <v>0</v>
      </c>
      <c r="J865" s="137">
        <v>7.4958</v>
      </c>
      <c r="K865" s="137" t="s">
        <v>77</v>
      </c>
      <c r="L865" s="137" t="s">
        <v>79</v>
      </c>
      <c r="M865" s="137" t="s">
        <v>87</v>
      </c>
      <c r="N865" s="137" t="b">
        <v>0</v>
      </c>
      <c r="O865" s="137"/>
      <c r="P865" s="137" t="s">
        <v>83</v>
      </c>
      <c r="Q865" s="137" t="s">
        <v>89</v>
      </c>
      <c r="R865" s="137" t="b">
        <v>1</v>
      </c>
      <c r="S865" s="139">
        <v>1</v>
      </c>
      <c r="T865" s="139">
        <v>7.8084334288117402E+18</v>
      </c>
    </row>
    <row r="866" spans="3:20">
      <c r="C866" s="24" t="b">
        <v>0</v>
      </c>
      <c r="D866" s="137">
        <v>0</v>
      </c>
      <c r="E866" s="138">
        <v>3</v>
      </c>
      <c r="F866" s="137" t="s">
        <v>75</v>
      </c>
      <c r="G866" s="137">
        <v>8</v>
      </c>
      <c r="H866" s="137">
        <v>4</v>
      </c>
      <c r="I866" s="137">
        <v>1</v>
      </c>
      <c r="J866" s="137">
        <v>29.125</v>
      </c>
      <c r="K866" s="137" t="s">
        <v>90</v>
      </c>
      <c r="L866" s="137" t="s">
        <v>79</v>
      </c>
      <c r="M866" s="137" t="s">
        <v>93</v>
      </c>
      <c r="N866" s="137" t="b">
        <v>0</v>
      </c>
      <c r="O866" s="137"/>
      <c r="P866" s="137" t="s">
        <v>91</v>
      </c>
      <c r="Q866" s="137" t="s">
        <v>84</v>
      </c>
      <c r="R866" s="137" t="b">
        <v>0</v>
      </c>
      <c r="S866" s="139">
        <v>1</v>
      </c>
      <c r="T866" s="139">
        <v>9.3679596760102994E+18</v>
      </c>
    </row>
    <row r="867" spans="3:20">
      <c r="C867" s="24" t="b">
        <v>0</v>
      </c>
      <c r="D867" s="137">
        <v>1</v>
      </c>
      <c r="E867" s="138">
        <v>3</v>
      </c>
      <c r="F867" s="137" t="s">
        <v>75</v>
      </c>
      <c r="G867" s="137">
        <v>1</v>
      </c>
      <c r="H867" s="137">
        <v>1</v>
      </c>
      <c r="I867" s="137">
        <v>2</v>
      </c>
      <c r="J867" s="137">
        <v>20.574999999999999</v>
      </c>
      <c r="K867" s="137" t="s">
        <v>77</v>
      </c>
      <c r="L867" s="137" t="s">
        <v>79</v>
      </c>
      <c r="M867" s="137" t="s">
        <v>93</v>
      </c>
      <c r="N867" s="137" t="b">
        <v>0</v>
      </c>
      <c r="O867" s="137"/>
      <c r="P867" s="137" t="s">
        <v>83</v>
      </c>
      <c r="Q867" s="137" t="s">
        <v>89</v>
      </c>
      <c r="R867" s="137" t="b">
        <v>0</v>
      </c>
      <c r="S867" s="139">
        <v>1</v>
      </c>
      <c r="T867" s="139">
        <v>1.7219894349168599E+19</v>
      </c>
    </row>
    <row r="868" spans="3:20">
      <c r="C868" s="24" t="b">
        <v>0</v>
      </c>
      <c r="D868" s="137">
        <v>0</v>
      </c>
      <c r="E868" s="138">
        <v>1</v>
      </c>
      <c r="F868" s="137" t="s">
        <v>75</v>
      </c>
      <c r="G868" s="137">
        <v>46</v>
      </c>
      <c r="H868" s="137">
        <v>0</v>
      </c>
      <c r="I868" s="137">
        <v>0</v>
      </c>
      <c r="J868" s="137">
        <v>79.2</v>
      </c>
      <c r="K868" s="137" t="s">
        <v>82</v>
      </c>
      <c r="L868" s="137" t="s">
        <v>86</v>
      </c>
      <c r="M868" s="137" t="s">
        <v>80</v>
      </c>
      <c r="N868" s="137" t="b">
        <v>1</v>
      </c>
      <c r="O868" s="137" t="s">
        <v>98</v>
      </c>
      <c r="P868" s="137" t="s">
        <v>88</v>
      </c>
      <c r="Q868" s="137" t="s">
        <v>84</v>
      </c>
      <c r="R868" s="137" t="b">
        <v>1</v>
      </c>
      <c r="S868" s="139">
        <v>0</v>
      </c>
      <c r="T868" s="139">
        <v>4.5237322158296102E+17</v>
      </c>
    </row>
    <row r="869" spans="3:20">
      <c r="C869" s="24" t="b">
        <v>0</v>
      </c>
      <c r="D869" s="137">
        <v>0</v>
      </c>
      <c r="E869" s="138">
        <v>3</v>
      </c>
      <c r="F869" s="137" t="s">
        <v>75</v>
      </c>
      <c r="G869" s="137"/>
      <c r="H869" s="137">
        <v>0</v>
      </c>
      <c r="I869" s="137">
        <v>0</v>
      </c>
      <c r="J869" s="137">
        <v>7.75</v>
      </c>
      <c r="K869" s="137" t="s">
        <v>90</v>
      </c>
      <c r="L869" s="137" t="s">
        <v>79</v>
      </c>
      <c r="M869" s="137" t="s">
        <v>80</v>
      </c>
      <c r="N869" s="137" t="b">
        <v>1</v>
      </c>
      <c r="O869" s="137"/>
      <c r="P869" s="137" t="s">
        <v>91</v>
      </c>
      <c r="Q869" s="137" t="s">
        <v>84</v>
      </c>
      <c r="R869" s="137" t="b">
        <v>1</v>
      </c>
      <c r="S869" s="139">
        <v>1</v>
      </c>
      <c r="T869" s="139">
        <v>8.8562668406319196E+18</v>
      </c>
    </row>
    <row r="870" spans="3:20">
      <c r="C870" s="24" t="b">
        <v>0</v>
      </c>
      <c r="D870" s="137">
        <v>0</v>
      </c>
      <c r="E870" s="138">
        <v>2</v>
      </c>
      <c r="F870" s="137" t="s">
        <v>75</v>
      </c>
      <c r="G870" s="137">
        <v>16</v>
      </c>
      <c r="H870" s="137">
        <v>0</v>
      </c>
      <c r="I870" s="137">
        <v>0</v>
      </c>
      <c r="J870" s="137">
        <v>26</v>
      </c>
      <c r="K870" s="137" t="s">
        <v>77</v>
      </c>
      <c r="L870" s="137" t="s">
        <v>94</v>
      </c>
      <c r="M870" s="137" t="s">
        <v>80</v>
      </c>
      <c r="N870" s="137" t="b">
        <v>1</v>
      </c>
      <c r="O870" s="137"/>
      <c r="P870" s="137" t="s">
        <v>83</v>
      </c>
      <c r="Q870" s="137" t="s">
        <v>84</v>
      </c>
      <c r="R870" s="137" t="b">
        <v>1</v>
      </c>
      <c r="S870" s="139">
        <v>1</v>
      </c>
      <c r="T870" s="139">
        <v>1.42956939878348E+19</v>
      </c>
    </row>
    <row r="871" spans="3:20">
      <c r="C871" s="24" t="b">
        <v>0</v>
      </c>
      <c r="D871" s="137">
        <v>0</v>
      </c>
      <c r="E871" s="138">
        <v>3</v>
      </c>
      <c r="F871" s="137" t="s">
        <v>85</v>
      </c>
      <c r="G871" s="137"/>
      <c r="H871" s="137">
        <v>8</v>
      </c>
      <c r="I871" s="137">
        <v>2</v>
      </c>
      <c r="J871" s="137">
        <v>69.55</v>
      </c>
      <c r="K871" s="137" t="s">
        <v>77</v>
      </c>
      <c r="L871" s="137" t="s">
        <v>79</v>
      </c>
      <c r="M871" s="137" t="s">
        <v>87</v>
      </c>
      <c r="N871" s="137" t="b">
        <v>0</v>
      </c>
      <c r="O871" s="137"/>
      <c r="P871" s="137" t="s">
        <v>83</v>
      </c>
      <c r="Q871" s="137" t="s">
        <v>84</v>
      </c>
      <c r="R871" s="137" t="b">
        <v>0</v>
      </c>
      <c r="S871" s="139">
        <v>1</v>
      </c>
      <c r="T871" s="139">
        <v>1.5412107601280899E+19</v>
      </c>
    </row>
    <row r="872" spans="3:20">
      <c r="C872" s="24" t="b">
        <v>0</v>
      </c>
      <c r="D872" s="137">
        <v>0</v>
      </c>
      <c r="E872" s="138">
        <v>1</v>
      </c>
      <c r="F872" s="137" t="s">
        <v>75</v>
      </c>
      <c r="G872" s="137"/>
      <c r="H872" s="137">
        <v>0</v>
      </c>
      <c r="I872" s="137">
        <v>0</v>
      </c>
      <c r="J872" s="137">
        <v>30.695799999999998</v>
      </c>
      <c r="K872" s="137" t="s">
        <v>82</v>
      </c>
      <c r="L872" s="137" t="s">
        <v>86</v>
      </c>
      <c r="M872" s="137" t="s">
        <v>80</v>
      </c>
      <c r="N872" s="137" t="b">
        <v>1</v>
      </c>
      <c r="O872" s="137"/>
      <c r="P872" s="137" t="s">
        <v>88</v>
      </c>
      <c r="Q872" s="137" t="s">
        <v>84</v>
      </c>
      <c r="R872" s="137" t="b">
        <v>1</v>
      </c>
      <c r="S872" s="139">
        <v>1</v>
      </c>
      <c r="T872" s="139">
        <v>1.30218324189148E+19</v>
      </c>
    </row>
    <row r="873" spans="3:20">
      <c r="C873" s="24" t="b">
        <v>0</v>
      </c>
      <c r="D873" s="137">
        <v>0</v>
      </c>
      <c r="E873" s="138">
        <v>3</v>
      </c>
      <c r="F873" s="137" t="s">
        <v>75</v>
      </c>
      <c r="G873" s="137">
        <v>25</v>
      </c>
      <c r="H873" s="137">
        <v>0</v>
      </c>
      <c r="I873" s="137">
        <v>0</v>
      </c>
      <c r="J873" s="137">
        <v>7.8958000000000004</v>
      </c>
      <c r="K873" s="137" t="s">
        <v>77</v>
      </c>
      <c r="L873" s="137" t="s">
        <v>79</v>
      </c>
      <c r="M873" s="137" t="s">
        <v>80</v>
      </c>
      <c r="N873" s="137" t="b">
        <v>1</v>
      </c>
      <c r="O873" s="137"/>
      <c r="P873" s="137" t="s">
        <v>83</v>
      </c>
      <c r="Q873" s="137" t="s">
        <v>84</v>
      </c>
      <c r="R873" s="137" t="b">
        <v>1</v>
      </c>
      <c r="S873" s="139">
        <v>1</v>
      </c>
      <c r="T873" s="139">
        <v>1.7791373126869299E+19</v>
      </c>
    </row>
    <row r="874" spans="3:20">
      <c r="C874" s="24" t="b">
        <v>0</v>
      </c>
      <c r="D874" s="137">
        <v>0</v>
      </c>
      <c r="E874" s="138">
        <v>2</v>
      </c>
      <c r="F874" s="137" t="s">
        <v>75</v>
      </c>
      <c r="G874" s="137">
        <v>39</v>
      </c>
      <c r="H874" s="137">
        <v>0</v>
      </c>
      <c r="I874" s="137">
        <v>0</v>
      </c>
      <c r="J874" s="137">
        <v>13</v>
      </c>
      <c r="K874" s="137" t="s">
        <v>77</v>
      </c>
      <c r="L874" s="137" t="s">
        <v>94</v>
      </c>
      <c r="M874" s="137" t="s">
        <v>80</v>
      </c>
      <c r="N874" s="137" t="b">
        <v>1</v>
      </c>
      <c r="O874" s="137"/>
      <c r="P874" s="137" t="s">
        <v>83</v>
      </c>
      <c r="Q874" s="137" t="s">
        <v>84</v>
      </c>
      <c r="R874" s="137" t="b">
        <v>1</v>
      </c>
      <c r="S874" s="139">
        <v>1</v>
      </c>
      <c r="T874" s="139">
        <v>1.9377745720275699E+18</v>
      </c>
    </row>
    <row r="875" spans="3:20">
      <c r="C875" s="24" t="b">
        <v>0</v>
      </c>
      <c r="D875" s="137">
        <v>1</v>
      </c>
      <c r="E875" s="138">
        <v>1</v>
      </c>
      <c r="F875" s="137" t="s">
        <v>85</v>
      </c>
      <c r="G875" s="137">
        <v>49</v>
      </c>
      <c r="H875" s="137">
        <v>0</v>
      </c>
      <c r="I875" s="137">
        <v>0</v>
      </c>
      <c r="J875" s="137">
        <v>25.929200000000002</v>
      </c>
      <c r="K875" s="137" t="s">
        <v>77</v>
      </c>
      <c r="L875" s="137" t="s">
        <v>86</v>
      </c>
      <c r="M875" s="137" t="s">
        <v>87</v>
      </c>
      <c r="N875" s="137" t="b">
        <v>0</v>
      </c>
      <c r="O875" s="137" t="s">
        <v>96</v>
      </c>
      <c r="P875" s="137" t="s">
        <v>83</v>
      </c>
      <c r="Q875" s="137" t="s">
        <v>89</v>
      </c>
      <c r="R875" s="137" t="b">
        <v>1</v>
      </c>
      <c r="S875" s="139">
        <v>0</v>
      </c>
      <c r="T875" s="139">
        <v>2.9564563543338102E+18</v>
      </c>
    </row>
    <row r="876" spans="3:20">
      <c r="C876" s="24" t="b">
        <v>0</v>
      </c>
      <c r="D876" s="137">
        <v>1</v>
      </c>
      <c r="E876" s="138">
        <v>3</v>
      </c>
      <c r="F876" s="137" t="s">
        <v>85</v>
      </c>
      <c r="G876" s="137">
        <v>31</v>
      </c>
      <c r="H876" s="137">
        <v>0</v>
      </c>
      <c r="I876" s="137">
        <v>0</v>
      </c>
      <c r="J876" s="137">
        <v>8.6832999999999991</v>
      </c>
      <c r="K876" s="137" t="s">
        <v>77</v>
      </c>
      <c r="L876" s="137" t="s">
        <v>79</v>
      </c>
      <c r="M876" s="137" t="s">
        <v>87</v>
      </c>
      <c r="N876" s="137" t="b">
        <v>0</v>
      </c>
      <c r="O876" s="137"/>
      <c r="P876" s="137" t="s">
        <v>83</v>
      </c>
      <c r="Q876" s="137" t="s">
        <v>89</v>
      </c>
      <c r="R876" s="137" t="b">
        <v>1</v>
      </c>
      <c r="S876" s="139">
        <v>1</v>
      </c>
      <c r="T876" s="139">
        <v>4.0649831211364598E+18</v>
      </c>
    </row>
    <row r="877" spans="3:20">
      <c r="C877" s="24" t="b">
        <v>0</v>
      </c>
      <c r="D877" s="137">
        <v>0</v>
      </c>
      <c r="E877" s="138">
        <v>3</v>
      </c>
      <c r="F877" s="137" t="s">
        <v>75</v>
      </c>
      <c r="G877" s="137">
        <v>30</v>
      </c>
      <c r="H877" s="137">
        <v>0</v>
      </c>
      <c r="I877" s="137">
        <v>0</v>
      </c>
      <c r="J877" s="137">
        <v>7.2291999999999996</v>
      </c>
      <c r="K877" s="137" t="s">
        <v>82</v>
      </c>
      <c r="L877" s="137" t="s">
        <v>79</v>
      </c>
      <c r="M877" s="137" t="s">
        <v>80</v>
      </c>
      <c r="N877" s="137" t="b">
        <v>1</v>
      </c>
      <c r="O877" s="137"/>
      <c r="P877" s="137" t="s">
        <v>88</v>
      </c>
      <c r="Q877" s="137" t="s">
        <v>84</v>
      </c>
      <c r="R877" s="137" t="b">
        <v>1</v>
      </c>
      <c r="S877" s="139">
        <v>1</v>
      </c>
      <c r="T877" s="139">
        <v>5.7980821895188198E+17</v>
      </c>
    </row>
    <row r="878" spans="3:20">
      <c r="C878" s="24" t="b">
        <v>0</v>
      </c>
      <c r="D878" s="137">
        <v>0</v>
      </c>
      <c r="E878" s="138">
        <v>3</v>
      </c>
      <c r="F878" s="137" t="s">
        <v>85</v>
      </c>
      <c r="G878" s="137">
        <v>30</v>
      </c>
      <c r="H878" s="137">
        <v>1</v>
      </c>
      <c r="I878" s="137">
        <v>1</v>
      </c>
      <c r="J878" s="137">
        <v>24.15</v>
      </c>
      <c r="K878" s="137" t="s">
        <v>77</v>
      </c>
      <c r="L878" s="137" t="s">
        <v>79</v>
      </c>
      <c r="M878" s="137" t="s">
        <v>87</v>
      </c>
      <c r="N878" s="137" t="b">
        <v>0</v>
      </c>
      <c r="O878" s="137"/>
      <c r="P878" s="137" t="s">
        <v>83</v>
      </c>
      <c r="Q878" s="137" t="s">
        <v>84</v>
      </c>
      <c r="R878" s="137" t="b">
        <v>0</v>
      </c>
      <c r="S878" s="139">
        <v>1</v>
      </c>
      <c r="T878" s="139">
        <v>1.75057236375272E+19</v>
      </c>
    </row>
    <row r="879" spans="3:20">
      <c r="C879" s="24" t="b">
        <v>0</v>
      </c>
      <c r="D879" s="137">
        <v>0</v>
      </c>
      <c r="E879" s="138">
        <v>2</v>
      </c>
      <c r="F879" s="137" t="s">
        <v>75</v>
      </c>
      <c r="G879" s="137">
        <v>34</v>
      </c>
      <c r="H879" s="137">
        <v>0</v>
      </c>
      <c r="I879" s="137">
        <v>0</v>
      </c>
      <c r="J879" s="137">
        <v>13</v>
      </c>
      <c r="K879" s="137" t="s">
        <v>77</v>
      </c>
      <c r="L879" s="137" t="s">
        <v>94</v>
      </c>
      <c r="M879" s="137" t="s">
        <v>80</v>
      </c>
      <c r="N879" s="137" t="b">
        <v>1</v>
      </c>
      <c r="O879" s="137"/>
      <c r="P879" s="137" t="s">
        <v>83</v>
      </c>
      <c r="Q879" s="137" t="s">
        <v>84</v>
      </c>
      <c r="R879" s="137" t="b">
        <v>1</v>
      </c>
      <c r="S879" s="139">
        <v>1</v>
      </c>
      <c r="T879" s="139">
        <v>4.5496762912760202E+18</v>
      </c>
    </row>
    <row r="880" spans="3:20">
      <c r="C880" s="24" t="b">
        <v>0</v>
      </c>
      <c r="D880" s="137">
        <v>1</v>
      </c>
      <c r="E880" s="138">
        <v>2</v>
      </c>
      <c r="F880" s="137" t="s">
        <v>85</v>
      </c>
      <c r="G880" s="137">
        <v>31</v>
      </c>
      <c r="H880" s="137">
        <v>1</v>
      </c>
      <c r="I880" s="137">
        <v>1</v>
      </c>
      <c r="J880" s="137">
        <v>26.25</v>
      </c>
      <c r="K880" s="137" t="s">
        <v>77</v>
      </c>
      <c r="L880" s="137" t="s">
        <v>94</v>
      </c>
      <c r="M880" s="137" t="s">
        <v>87</v>
      </c>
      <c r="N880" s="137" t="b">
        <v>0</v>
      </c>
      <c r="O880" s="137"/>
      <c r="P880" s="137" t="s">
        <v>83</v>
      </c>
      <c r="Q880" s="137" t="s">
        <v>89</v>
      </c>
      <c r="R880" s="137" t="b">
        <v>0</v>
      </c>
      <c r="S880" s="139">
        <v>1</v>
      </c>
      <c r="T880" s="139">
        <v>2.01242361842803E+18</v>
      </c>
    </row>
    <row r="881" spans="3:20">
      <c r="C881" s="24" t="b">
        <v>0</v>
      </c>
      <c r="D881" s="137">
        <v>1</v>
      </c>
      <c r="E881" s="138">
        <v>1</v>
      </c>
      <c r="F881" s="137" t="s">
        <v>75</v>
      </c>
      <c r="G881" s="137">
        <v>11</v>
      </c>
      <c r="H881" s="137">
        <v>1</v>
      </c>
      <c r="I881" s="137">
        <v>2</v>
      </c>
      <c r="J881" s="137">
        <v>120</v>
      </c>
      <c r="K881" s="137" t="s">
        <v>77</v>
      </c>
      <c r="L881" s="137" t="s">
        <v>86</v>
      </c>
      <c r="M881" s="137" t="s">
        <v>93</v>
      </c>
      <c r="N881" s="137" t="b">
        <v>0</v>
      </c>
      <c r="O881" s="137" t="s">
        <v>98</v>
      </c>
      <c r="P881" s="137" t="s">
        <v>83</v>
      </c>
      <c r="Q881" s="137" t="s">
        <v>89</v>
      </c>
      <c r="R881" s="137" t="b">
        <v>0</v>
      </c>
      <c r="S881" s="139">
        <v>0</v>
      </c>
      <c r="T881" s="139">
        <v>1.2742541426350801E+19</v>
      </c>
    </row>
    <row r="882" spans="3:20">
      <c r="C882" s="24" t="b">
        <v>0</v>
      </c>
      <c r="D882" s="137">
        <v>1</v>
      </c>
      <c r="E882" s="138">
        <v>3</v>
      </c>
      <c r="F882" s="137" t="s">
        <v>75</v>
      </c>
      <c r="G882" s="137">
        <v>0.42</v>
      </c>
      <c r="H882" s="137">
        <v>0</v>
      </c>
      <c r="I882" s="137">
        <v>1</v>
      </c>
      <c r="J882" s="137">
        <v>8.5167000000000002</v>
      </c>
      <c r="K882" s="137" t="s">
        <v>82</v>
      </c>
      <c r="L882" s="137" t="s">
        <v>79</v>
      </c>
      <c r="M882" s="137" t="s">
        <v>93</v>
      </c>
      <c r="N882" s="137" t="b">
        <v>0</v>
      </c>
      <c r="O882" s="137"/>
      <c r="P882" s="137" t="s">
        <v>88</v>
      </c>
      <c r="Q882" s="137" t="s">
        <v>89</v>
      </c>
      <c r="R882" s="137" t="b">
        <v>0</v>
      </c>
      <c r="S882" s="139">
        <v>1</v>
      </c>
      <c r="T882" s="139">
        <v>1.5192299751164801E+19</v>
      </c>
    </row>
    <row r="883" spans="3:20">
      <c r="C883" s="24" t="b">
        <v>0</v>
      </c>
      <c r="D883" s="137">
        <v>1</v>
      </c>
      <c r="E883" s="138">
        <v>3</v>
      </c>
      <c r="F883" s="137" t="s">
        <v>75</v>
      </c>
      <c r="G883" s="137">
        <v>27</v>
      </c>
      <c r="H883" s="137">
        <v>0</v>
      </c>
      <c r="I883" s="137">
        <v>0</v>
      </c>
      <c r="J883" s="137">
        <v>6.9749999999999996</v>
      </c>
      <c r="K883" s="137" t="s">
        <v>77</v>
      </c>
      <c r="L883" s="137" t="s">
        <v>79</v>
      </c>
      <c r="M883" s="137" t="s">
        <v>80</v>
      </c>
      <c r="N883" s="137" t="b">
        <v>1</v>
      </c>
      <c r="O883" s="137"/>
      <c r="P883" s="137" t="s">
        <v>83</v>
      </c>
      <c r="Q883" s="137" t="s">
        <v>89</v>
      </c>
      <c r="R883" s="137" t="b">
        <v>1</v>
      </c>
      <c r="S883" s="139">
        <v>1</v>
      </c>
      <c r="T883" s="139">
        <v>7.7039163942825001E+18</v>
      </c>
    </row>
    <row r="884" spans="3:20">
      <c r="C884" s="24" t="b">
        <v>0</v>
      </c>
      <c r="D884" s="137">
        <v>0</v>
      </c>
      <c r="E884" s="138">
        <v>3</v>
      </c>
      <c r="F884" s="137" t="s">
        <v>75</v>
      </c>
      <c r="G884" s="137">
        <v>31</v>
      </c>
      <c r="H884" s="137">
        <v>0</v>
      </c>
      <c r="I884" s="137">
        <v>0</v>
      </c>
      <c r="J884" s="137">
        <v>7.7750000000000004</v>
      </c>
      <c r="K884" s="137" t="s">
        <v>77</v>
      </c>
      <c r="L884" s="137" t="s">
        <v>79</v>
      </c>
      <c r="M884" s="137" t="s">
        <v>80</v>
      </c>
      <c r="N884" s="137" t="b">
        <v>1</v>
      </c>
      <c r="O884" s="137"/>
      <c r="P884" s="137" t="s">
        <v>83</v>
      </c>
      <c r="Q884" s="137" t="s">
        <v>84</v>
      </c>
      <c r="R884" s="137" t="b">
        <v>1</v>
      </c>
      <c r="S884" s="139">
        <v>1</v>
      </c>
      <c r="T884" s="139">
        <v>2.8016060498253399E+18</v>
      </c>
    </row>
    <row r="885" spans="3:20">
      <c r="C885" s="24" t="b">
        <v>0</v>
      </c>
      <c r="D885" s="137">
        <v>0</v>
      </c>
      <c r="E885" s="138">
        <v>1</v>
      </c>
      <c r="F885" s="137" t="s">
        <v>75</v>
      </c>
      <c r="G885" s="137">
        <v>39</v>
      </c>
      <c r="H885" s="137">
        <v>0</v>
      </c>
      <c r="I885" s="137">
        <v>0</v>
      </c>
      <c r="J885" s="137">
        <v>0</v>
      </c>
      <c r="K885" s="137" t="s">
        <v>77</v>
      </c>
      <c r="L885" s="137" t="s">
        <v>86</v>
      </c>
      <c r="M885" s="137" t="s">
        <v>80</v>
      </c>
      <c r="N885" s="137" t="b">
        <v>1</v>
      </c>
      <c r="O885" s="137" t="s">
        <v>97</v>
      </c>
      <c r="P885" s="137" t="s">
        <v>83</v>
      </c>
      <c r="Q885" s="137" t="s">
        <v>84</v>
      </c>
      <c r="R885" s="137" t="b">
        <v>1</v>
      </c>
      <c r="S885" s="139">
        <v>0</v>
      </c>
      <c r="T885" s="139">
        <v>1.6778785093802E+19</v>
      </c>
    </row>
    <row r="886" spans="3:20">
      <c r="C886" s="24" t="b">
        <v>0</v>
      </c>
      <c r="D886" s="137">
        <v>0</v>
      </c>
      <c r="E886" s="138">
        <v>3</v>
      </c>
      <c r="F886" s="137" t="s">
        <v>85</v>
      </c>
      <c r="G886" s="137">
        <v>18</v>
      </c>
      <c r="H886" s="137">
        <v>0</v>
      </c>
      <c r="I886" s="137">
        <v>0</v>
      </c>
      <c r="J886" s="137">
        <v>7.7750000000000004</v>
      </c>
      <c r="K886" s="137" t="s">
        <v>77</v>
      </c>
      <c r="L886" s="137" t="s">
        <v>79</v>
      </c>
      <c r="M886" s="137" t="s">
        <v>87</v>
      </c>
      <c r="N886" s="137" t="b">
        <v>0</v>
      </c>
      <c r="O886" s="137"/>
      <c r="P886" s="137" t="s">
        <v>83</v>
      </c>
      <c r="Q886" s="137" t="s">
        <v>84</v>
      </c>
      <c r="R886" s="137" t="b">
        <v>1</v>
      </c>
      <c r="S886" s="139">
        <v>1</v>
      </c>
      <c r="T886" s="139">
        <v>7.2074961348249201E+18</v>
      </c>
    </row>
    <row r="887" spans="3:20">
      <c r="C887" s="24" t="b">
        <v>0</v>
      </c>
      <c r="D887" s="137">
        <v>0</v>
      </c>
      <c r="E887" s="138">
        <v>2</v>
      </c>
      <c r="F887" s="137" t="s">
        <v>75</v>
      </c>
      <c r="G887" s="137">
        <v>39</v>
      </c>
      <c r="H887" s="137">
        <v>0</v>
      </c>
      <c r="I887" s="137">
        <v>0</v>
      </c>
      <c r="J887" s="137">
        <v>13</v>
      </c>
      <c r="K887" s="137" t="s">
        <v>77</v>
      </c>
      <c r="L887" s="137" t="s">
        <v>94</v>
      </c>
      <c r="M887" s="137" t="s">
        <v>80</v>
      </c>
      <c r="N887" s="137" t="b">
        <v>1</v>
      </c>
      <c r="O887" s="137"/>
      <c r="P887" s="137" t="s">
        <v>83</v>
      </c>
      <c r="Q887" s="137" t="s">
        <v>84</v>
      </c>
      <c r="R887" s="137" t="b">
        <v>1</v>
      </c>
      <c r="S887" s="139">
        <v>1</v>
      </c>
      <c r="T887" s="139">
        <v>1.9377745720275699E+18</v>
      </c>
    </row>
    <row r="888" spans="3:20">
      <c r="C888" s="24" t="b">
        <v>0</v>
      </c>
      <c r="D888" s="137">
        <v>1</v>
      </c>
      <c r="E888" s="138">
        <v>1</v>
      </c>
      <c r="F888" s="137" t="s">
        <v>85</v>
      </c>
      <c r="G888" s="137">
        <v>33</v>
      </c>
      <c r="H888" s="137">
        <v>1</v>
      </c>
      <c r="I888" s="137">
        <v>0</v>
      </c>
      <c r="J888" s="137">
        <v>53.1</v>
      </c>
      <c r="K888" s="137" t="s">
        <v>77</v>
      </c>
      <c r="L888" s="137" t="s">
        <v>86</v>
      </c>
      <c r="M888" s="137" t="s">
        <v>87</v>
      </c>
      <c r="N888" s="137" t="b">
        <v>0</v>
      </c>
      <c r="O888" s="137" t="s">
        <v>92</v>
      </c>
      <c r="P888" s="137" t="s">
        <v>83</v>
      </c>
      <c r="Q888" s="137" t="s">
        <v>89</v>
      </c>
      <c r="R888" s="137" t="b">
        <v>0</v>
      </c>
      <c r="S888" s="139">
        <v>0</v>
      </c>
      <c r="T888" s="139">
        <v>6.3498983631803505E+18</v>
      </c>
    </row>
    <row r="889" spans="3:20">
      <c r="C889" s="24" t="b">
        <v>0</v>
      </c>
      <c r="D889" s="137">
        <v>0</v>
      </c>
      <c r="E889" s="138">
        <v>3</v>
      </c>
      <c r="F889" s="137" t="s">
        <v>75</v>
      </c>
      <c r="G889" s="137">
        <v>26</v>
      </c>
      <c r="H889" s="137">
        <v>0</v>
      </c>
      <c r="I889" s="137">
        <v>0</v>
      </c>
      <c r="J889" s="137">
        <v>7.8875000000000002</v>
      </c>
      <c r="K889" s="137" t="s">
        <v>77</v>
      </c>
      <c r="L889" s="137" t="s">
        <v>79</v>
      </c>
      <c r="M889" s="137" t="s">
        <v>80</v>
      </c>
      <c r="N889" s="137" t="b">
        <v>1</v>
      </c>
      <c r="O889" s="137"/>
      <c r="P889" s="137" t="s">
        <v>83</v>
      </c>
      <c r="Q889" s="137" t="s">
        <v>84</v>
      </c>
      <c r="R889" s="137" t="b">
        <v>1</v>
      </c>
      <c r="S889" s="139">
        <v>1</v>
      </c>
      <c r="T889" s="139">
        <v>7.71525124598131E+18</v>
      </c>
    </row>
    <row r="890" spans="3:20">
      <c r="C890" s="24" t="b">
        <v>0</v>
      </c>
      <c r="D890" s="137">
        <v>0</v>
      </c>
      <c r="E890" s="138">
        <v>3</v>
      </c>
      <c r="F890" s="137" t="s">
        <v>75</v>
      </c>
      <c r="G890" s="137">
        <v>39</v>
      </c>
      <c r="H890" s="137">
        <v>0</v>
      </c>
      <c r="I890" s="137">
        <v>0</v>
      </c>
      <c r="J890" s="137">
        <v>24.15</v>
      </c>
      <c r="K890" s="137" t="s">
        <v>77</v>
      </c>
      <c r="L890" s="137" t="s">
        <v>79</v>
      </c>
      <c r="M890" s="137" t="s">
        <v>80</v>
      </c>
      <c r="N890" s="137" t="b">
        <v>1</v>
      </c>
      <c r="O890" s="137"/>
      <c r="P890" s="137" t="s">
        <v>83</v>
      </c>
      <c r="Q890" s="137" t="s">
        <v>84</v>
      </c>
      <c r="R890" s="137" t="b">
        <v>1</v>
      </c>
      <c r="S890" s="139">
        <v>1</v>
      </c>
      <c r="T890" s="139">
        <v>1.1806897813961699E+19</v>
      </c>
    </row>
    <row r="891" spans="3:20">
      <c r="C891" s="24" t="b">
        <v>0</v>
      </c>
      <c r="D891" s="137">
        <v>0</v>
      </c>
      <c r="E891" s="138">
        <v>2</v>
      </c>
      <c r="F891" s="137" t="s">
        <v>75</v>
      </c>
      <c r="G891" s="137">
        <v>35</v>
      </c>
      <c r="H891" s="137">
        <v>0</v>
      </c>
      <c r="I891" s="137">
        <v>0</v>
      </c>
      <c r="J891" s="137">
        <v>10.5</v>
      </c>
      <c r="K891" s="137" t="s">
        <v>77</v>
      </c>
      <c r="L891" s="137" t="s">
        <v>94</v>
      </c>
      <c r="M891" s="137" t="s">
        <v>80</v>
      </c>
      <c r="N891" s="137" t="b">
        <v>1</v>
      </c>
      <c r="O891" s="137"/>
      <c r="P891" s="137" t="s">
        <v>83</v>
      </c>
      <c r="Q891" s="137" t="s">
        <v>84</v>
      </c>
      <c r="R891" s="137" t="b">
        <v>1</v>
      </c>
      <c r="S891" s="139">
        <v>1</v>
      </c>
      <c r="T891" s="139">
        <v>1.0580675366838901E+19</v>
      </c>
    </row>
    <row r="892" spans="3:20">
      <c r="C892" s="24" t="b">
        <v>0</v>
      </c>
      <c r="D892" s="137">
        <v>0</v>
      </c>
      <c r="E892" s="138">
        <v>3</v>
      </c>
      <c r="F892" s="137" t="s">
        <v>85</v>
      </c>
      <c r="G892" s="137">
        <v>6</v>
      </c>
      <c r="H892" s="137">
        <v>4</v>
      </c>
      <c r="I892" s="137">
        <v>2</v>
      </c>
      <c r="J892" s="137">
        <v>31.274999999999999</v>
      </c>
      <c r="K892" s="137" t="s">
        <v>77</v>
      </c>
      <c r="L892" s="137" t="s">
        <v>79</v>
      </c>
      <c r="M892" s="137" t="s">
        <v>93</v>
      </c>
      <c r="N892" s="137" t="b">
        <v>0</v>
      </c>
      <c r="O892" s="137"/>
      <c r="P892" s="137" t="s">
        <v>83</v>
      </c>
      <c r="Q892" s="137" t="s">
        <v>84</v>
      </c>
      <c r="R892" s="137" t="b">
        <v>0</v>
      </c>
      <c r="S892" s="139">
        <v>1</v>
      </c>
      <c r="T892" s="139">
        <v>1.39217978075297E+18</v>
      </c>
    </row>
    <row r="893" spans="3:20">
      <c r="C893" s="24" t="b">
        <v>0</v>
      </c>
      <c r="D893" s="137">
        <v>0</v>
      </c>
      <c r="E893" s="138">
        <v>3</v>
      </c>
      <c r="F893" s="137" t="s">
        <v>75</v>
      </c>
      <c r="G893" s="137">
        <v>30.5</v>
      </c>
      <c r="H893" s="137">
        <v>0</v>
      </c>
      <c r="I893" s="137">
        <v>0</v>
      </c>
      <c r="J893" s="137">
        <v>8.0500000000000007</v>
      </c>
      <c r="K893" s="137" t="s">
        <v>77</v>
      </c>
      <c r="L893" s="137" t="s">
        <v>79</v>
      </c>
      <c r="M893" s="137" t="s">
        <v>80</v>
      </c>
      <c r="N893" s="137" t="b">
        <v>1</v>
      </c>
      <c r="O893" s="137"/>
      <c r="P893" s="137" t="s">
        <v>83</v>
      </c>
      <c r="Q893" s="137" t="s">
        <v>84</v>
      </c>
      <c r="R893" s="137" t="b">
        <v>1</v>
      </c>
      <c r="S893" s="139">
        <v>1</v>
      </c>
      <c r="T893" s="139">
        <v>4.0095603083794002E+18</v>
      </c>
    </row>
    <row r="894" spans="3:20">
      <c r="C894" s="24" t="b">
        <v>0</v>
      </c>
      <c r="D894" s="137">
        <v>0</v>
      </c>
      <c r="E894" s="138">
        <v>1</v>
      </c>
      <c r="F894" s="137" t="s">
        <v>75</v>
      </c>
      <c r="G894" s="137"/>
      <c r="H894" s="137">
        <v>0</v>
      </c>
      <c r="I894" s="137">
        <v>0</v>
      </c>
      <c r="J894" s="137">
        <v>0</v>
      </c>
      <c r="K894" s="137" t="s">
        <v>77</v>
      </c>
      <c r="L894" s="137" t="s">
        <v>86</v>
      </c>
      <c r="M894" s="137" t="s">
        <v>80</v>
      </c>
      <c r="N894" s="137" t="b">
        <v>1</v>
      </c>
      <c r="O894" s="137" t="s">
        <v>98</v>
      </c>
      <c r="P894" s="137" t="s">
        <v>83</v>
      </c>
      <c r="Q894" s="137" t="s">
        <v>84</v>
      </c>
      <c r="R894" s="137" t="b">
        <v>1</v>
      </c>
      <c r="S894" s="139">
        <v>1</v>
      </c>
      <c r="T894" s="139">
        <v>1.4845626092778199E+19</v>
      </c>
    </row>
    <row r="895" spans="3:20">
      <c r="C895" s="24" t="b">
        <v>0</v>
      </c>
      <c r="D895" s="137">
        <v>0</v>
      </c>
      <c r="E895" s="138">
        <v>3</v>
      </c>
      <c r="F895" s="137" t="s">
        <v>85</v>
      </c>
      <c r="G895" s="137">
        <v>23</v>
      </c>
      <c r="H895" s="137">
        <v>0</v>
      </c>
      <c r="I895" s="137">
        <v>0</v>
      </c>
      <c r="J895" s="137">
        <v>7.9249999999999998</v>
      </c>
      <c r="K895" s="137" t="s">
        <v>77</v>
      </c>
      <c r="L895" s="137" t="s">
        <v>79</v>
      </c>
      <c r="M895" s="137" t="s">
        <v>87</v>
      </c>
      <c r="N895" s="137" t="b">
        <v>0</v>
      </c>
      <c r="O895" s="137"/>
      <c r="P895" s="137" t="s">
        <v>83</v>
      </c>
      <c r="Q895" s="137" t="s">
        <v>84</v>
      </c>
      <c r="R895" s="137" t="b">
        <v>1</v>
      </c>
      <c r="S895" s="139">
        <v>1</v>
      </c>
      <c r="T895" s="139">
        <v>1.3633551796095701E+19</v>
      </c>
    </row>
    <row r="896" spans="3:20">
      <c r="C896" s="24" t="b">
        <v>0</v>
      </c>
      <c r="D896" s="137">
        <v>0</v>
      </c>
      <c r="E896" s="138">
        <v>2</v>
      </c>
      <c r="F896" s="137" t="s">
        <v>75</v>
      </c>
      <c r="G896" s="137">
        <v>31</v>
      </c>
      <c r="H896" s="137">
        <v>1</v>
      </c>
      <c r="I896" s="137">
        <v>1</v>
      </c>
      <c r="J896" s="137">
        <v>37.004199999999997</v>
      </c>
      <c r="K896" s="137" t="s">
        <v>82</v>
      </c>
      <c r="L896" s="137" t="s">
        <v>94</v>
      </c>
      <c r="M896" s="137" t="s">
        <v>80</v>
      </c>
      <c r="N896" s="137" t="b">
        <v>1</v>
      </c>
      <c r="O896" s="137"/>
      <c r="P896" s="137" t="s">
        <v>88</v>
      </c>
      <c r="Q896" s="137" t="s">
        <v>84</v>
      </c>
      <c r="R896" s="137" t="b">
        <v>0</v>
      </c>
      <c r="S896" s="139">
        <v>1</v>
      </c>
      <c r="T896" s="139">
        <v>7.1891875223910697E+18</v>
      </c>
    </row>
    <row r="897" spans="3:20">
      <c r="C897" s="24" t="b">
        <v>0</v>
      </c>
      <c r="D897" s="137">
        <v>0</v>
      </c>
      <c r="E897" s="138">
        <v>3</v>
      </c>
      <c r="F897" s="137" t="s">
        <v>75</v>
      </c>
      <c r="G897" s="137">
        <v>43</v>
      </c>
      <c r="H897" s="137">
        <v>0</v>
      </c>
      <c r="I897" s="137">
        <v>0</v>
      </c>
      <c r="J897" s="137">
        <v>6.45</v>
      </c>
      <c r="K897" s="137" t="s">
        <v>77</v>
      </c>
      <c r="L897" s="137" t="s">
        <v>79</v>
      </c>
      <c r="M897" s="137" t="s">
        <v>80</v>
      </c>
      <c r="N897" s="137" t="b">
        <v>1</v>
      </c>
      <c r="O897" s="137"/>
      <c r="P897" s="137" t="s">
        <v>83</v>
      </c>
      <c r="Q897" s="137" t="s">
        <v>84</v>
      </c>
      <c r="R897" s="137" t="b">
        <v>1</v>
      </c>
      <c r="S897" s="139">
        <v>1</v>
      </c>
      <c r="T897" s="139">
        <v>1.47999993608611E+19</v>
      </c>
    </row>
    <row r="898" spans="3:20">
      <c r="C898" s="24" t="b">
        <v>0</v>
      </c>
      <c r="D898" s="137">
        <v>0</v>
      </c>
      <c r="E898" s="138">
        <v>3</v>
      </c>
      <c r="F898" s="137" t="s">
        <v>75</v>
      </c>
      <c r="G898" s="137">
        <v>10</v>
      </c>
      <c r="H898" s="137">
        <v>3</v>
      </c>
      <c r="I898" s="137">
        <v>2</v>
      </c>
      <c r="J898" s="137">
        <v>27.9</v>
      </c>
      <c r="K898" s="137" t="s">
        <v>77</v>
      </c>
      <c r="L898" s="137" t="s">
        <v>79</v>
      </c>
      <c r="M898" s="137" t="s">
        <v>93</v>
      </c>
      <c r="N898" s="137" t="b">
        <v>0</v>
      </c>
      <c r="O898" s="137"/>
      <c r="P898" s="137" t="s">
        <v>83</v>
      </c>
      <c r="Q898" s="137" t="s">
        <v>84</v>
      </c>
      <c r="R898" s="137" t="b">
        <v>0</v>
      </c>
      <c r="S898" s="139">
        <v>1</v>
      </c>
      <c r="T898" s="139">
        <v>1.4934787321550201E+19</v>
      </c>
    </row>
    <row r="899" spans="3:20">
      <c r="C899" s="24" t="b">
        <v>0</v>
      </c>
      <c r="D899" s="137">
        <v>1</v>
      </c>
      <c r="E899" s="138">
        <v>1</v>
      </c>
      <c r="F899" s="137" t="s">
        <v>85</v>
      </c>
      <c r="G899" s="137">
        <v>52</v>
      </c>
      <c r="H899" s="137">
        <v>1</v>
      </c>
      <c r="I899" s="137">
        <v>1</v>
      </c>
      <c r="J899" s="137">
        <v>93.5</v>
      </c>
      <c r="K899" s="137" t="s">
        <v>77</v>
      </c>
      <c r="L899" s="137" t="s">
        <v>86</v>
      </c>
      <c r="M899" s="137" t="s">
        <v>87</v>
      </c>
      <c r="N899" s="137" t="b">
        <v>0</v>
      </c>
      <c r="O899" s="137" t="s">
        <v>98</v>
      </c>
      <c r="P899" s="137" t="s">
        <v>83</v>
      </c>
      <c r="Q899" s="137" t="s">
        <v>89</v>
      </c>
      <c r="R899" s="137" t="b">
        <v>0</v>
      </c>
      <c r="S899" s="139">
        <v>0</v>
      </c>
      <c r="T899" s="139">
        <v>1.50409774183424E+18</v>
      </c>
    </row>
    <row r="900" spans="3:20">
      <c r="C900" s="24" t="b">
        <v>0</v>
      </c>
      <c r="D900" s="137">
        <v>1</v>
      </c>
      <c r="E900" s="138">
        <v>3</v>
      </c>
      <c r="F900" s="137" t="s">
        <v>75</v>
      </c>
      <c r="G900" s="137">
        <v>27</v>
      </c>
      <c r="H900" s="137">
        <v>0</v>
      </c>
      <c r="I900" s="137">
        <v>0</v>
      </c>
      <c r="J900" s="137">
        <v>8.6624999999999996</v>
      </c>
      <c r="K900" s="137" t="s">
        <v>77</v>
      </c>
      <c r="L900" s="137" t="s">
        <v>79</v>
      </c>
      <c r="M900" s="137" t="s">
        <v>80</v>
      </c>
      <c r="N900" s="137" t="b">
        <v>1</v>
      </c>
      <c r="O900" s="137"/>
      <c r="P900" s="137" t="s">
        <v>83</v>
      </c>
      <c r="Q900" s="137" t="s">
        <v>89</v>
      </c>
      <c r="R900" s="137" t="b">
        <v>1</v>
      </c>
      <c r="S900" s="139">
        <v>1</v>
      </c>
      <c r="T900" s="139">
        <v>1.7366018349788799E+19</v>
      </c>
    </row>
    <row r="901" spans="3:20">
      <c r="C901" s="24" t="b">
        <v>0</v>
      </c>
      <c r="D901" s="137">
        <v>0</v>
      </c>
      <c r="E901" s="138">
        <v>1</v>
      </c>
      <c r="F901" s="137" t="s">
        <v>75</v>
      </c>
      <c r="G901" s="137">
        <v>38</v>
      </c>
      <c r="H901" s="137">
        <v>0</v>
      </c>
      <c r="I901" s="137">
        <v>0</v>
      </c>
      <c r="J901" s="137">
        <v>0</v>
      </c>
      <c r="K901" s="137" t="s">
        <v>77</v>
      </c>
      <c r="L901" s="137" t="s">
        <v>86</v>
      </c>
      <c r="M901" s="137" t="s">
        <v>80</v>
      </c>
      <c r="N901" s="137" t="b">
        <v>1</v>
      </c>
      <c r="O901" s="137"/>
      <c r="P901" s="137" t="s">
        <v>83</v>
      </c>
      <c r="Q901" s="137" t="s">
        <v>84</v>
      </c>
      <c r="R901" s="137" t="b">
        <v>1</v>
      </c>
      <c r="S901" s="139">
        <v>1</v>
      </c>
      <c r="T901" s="139">
        <v>1.3969637599826E+19</v>
      </c>
    </row>
    <row r="902" spans="3:20">
      <c r="C902" s="24" t="b">
        <v>0</v>
      </c>
      <c r="D902" s="137">
        <v>1</v>
      </c>
      <c r="E902" s="138">
        <v>3</v>
      </c>
      <c r="F902" s="137" t="s">
        <v>85</v>
      </c>
      <c r="G902" s="137">
        <v>27</v>
      </c>
      <c r="H902" s="137">
        <v>0</v>
      </c>
      <c r="I902" s="137">
        <v>1</v>
      </c>
      <c r="J902" s="137">
        <v>12.475</v>
      </c>
      <c r="K902" s="137" t="s">
        <v>77</v>
      </c>
      <c r="L902" s="137" t="s">
        <v>79</v>
      </c>
      <c r="M902" s="137" t="s">
        <v>87</v>
      </c>
      <c r="N902" s="137" t="b">
        <v>0</v>
      </c>
      <c r="O902" s="137" t="s">
        <v>92</v>
      </c>
      <c r="P902" s="137" t="s">
        <v>83</v>
      </c>
      <c r="Q902" s="137" t="s">
        <v>89</v>
      </c>
      <c r="R902" s="137" t="b">
        <v>0</v>
      </c>
      <c r="S902" s="139">
        <v>0</v>
      </c>
      <c r="T902" s="139">
        <v>1.5118371388276099E+19</v>
      </c>
    </row>
    <row r="903" spans="3:20">
      <c r="C903" s="24" t="b">
        <v>0</v>
      </c>
      <c r="D903" s="137">
        <v>0</v>
      </c>
      <c r="E903" s="138">
        <v>3</v>
      </c>
      <c r="F903" s="137" t="s">
        <v>75</v>
      </c>
      <c r="G903" s="137">
        <v>2</v>
      </c>
      <c r="H903" s="137">
        <v>4</v>
      </c>
      <c r="I903" s="137">
        <v>1</v>
      </c>
      <c r="J903" s="137">
        <v>39.6875</v>
      </c>
      <c r="K903" s="137" t="s">
        <v>77</v>
      </c>
      <c r="L903" s="137" t="s">
        <v>79</v>
      </c>
      <c r="M903" s="137" t="s">
        <v>93</v>
      </c>
      <c r="N903" s="137" t="b">
        <v>0</v>
      </c>
      <c r="O903" s="137"/>
      <c r="P903" s="137" t="s">
        <v>83</v>
      </c>
      <c r="Q903" s="137" t="s">
        <v>84</v>
      </c>
      <c r="R903" s="137" t="b">
        <v>0</v>
      </c>
      <c r="S903" s="139">
        <v>1</v>
      </c>
      <c r="T903" s="139">
        <v>2.7485354315157402E+18</v>
      </c>
    </row>
    <row r="904" spans="3:20">
      <c r="C904" s="24" t="b">
        <v>0</v>
      </c>
      <c r="D904" s="137">
        <v>0</v>
      </c>
      <c r="E904" s="138">
        <v>3</v>
      </c>
      <c r="F904" s="137" t="s">
        <v>75</v>
      </c>
      <c r="G904" s="137"/>
      <c r="H904" s="137">
        <v>0</v>
      </c>
      <c r="I904" s="137">
        <v>0</v>
      </c>
      <c r="J904" s="137">
        <v>6.95</v>
      </c>
      <c r="K904" s="137" t="s">
        <v>90</v>
      </c>
      <c r="L904" s="137" t="s">
        <v>79</v>
      </c>
      <c r="M904" s="137" t="s">
        <v>80</v>
      </c>
      <c r="N904" s="137" t="b">
        <v>1</v>
      </c>
      <c r="O904" s="137"/>
      <c r="P904" s="137" t="s">
        <v>91</v>
      </c>
      <c r="Q904" s="137" t="s">
        <v>84</v>
      </c>
      <c r="R904" s="137" t="b">
        <v>1</v>
      </c>
      <c r="S904" s="139">
        <v>1</v>
      </c>
      <c r="T904" s="139">
        <v>7.4263992163813304E+18</v>
      </c>
    </row>
    <row r="905" spans="3:20">
      <c r="C905" s="24" t="b">
        <v>0</v>
      </c>
      <c r="D905" s="137">
        <v>0</v>
      </c>
      <c r="E905" s="138">
        <v>3</v>
      </c>
      <c r="F905" s="137" t="s">
        <v>75</v>
      </c>
      <c r="G905" s="137"/>
      <c r="H905" s="137">
        <v>0</v>
      </c>
      <c r="I905" s="137">
        <v>0</v>
      </c>
      <c r="J905" s="137">
        <v>56.495800000000003</v>
      </c>
      <c r="K905" s="137" t="s">
        <v>77</v>
      </c>
      <c r="L905" s="137" t="s">
        <v>79</v>
      </c>
      <c r="M905" s="137" t="s">
        <v>80</v>
      </c>
      <c r="N905" s="137" t="b">
        <v>1</v>
      </c>
      <c r="O905" s="137"/>
      <c r="P905" s="137" t="s">
        <v>83</v>
      </c>
      <c r="Q905" s="137" t="s">
        <v>84</v>
      </c>
      <c r="R905" s="137" t="b">
        <v>1</v>
      </c>
      <c r="S905" s="139">
        <v>1</v>
      </c>
      <c r="T905" s="139">
        <v>1.0873402477571E+19</v>
      </c>
    </row>
    <row r="906" spans="3:20">
      <c r="C906" s="24" t="b">
        <v>0</v>
      </c>
      <c r="D906" s="137">
        <v>1</v>
      </c>
      <c r="E906" s="138">
        <v>2</v>
      </c>
      <c r="F906" s="137" t="s">
        <v>75</v>
      </c>
      <c r="G906" s="137">
        <v>1</v>
      </c>
      <c r="H906" s="137">
        <v>0</v>
      </c>
      <c r="I906" s="137">
        <v>2</v>
      </c>
      <c r="J906" s="137">
        <v>37.004199999999997</v>
      </c>
      <c r="K906" s="137" t="s">
        <v>82</v>
      </c>
      <c r="L906" s="137" t="s">
        <v>94</v>
      </c>
      <c r="M906" s="137" t="s">
        <v>93</v>
      </c>
      <c r="N906" s="137" t="b">
        <v>0</v>
      </c>
      <c r="O906" s="137"/>
      <c r="P906" s="137" t="s">
        <v>88</v>
      </c>
      <c r="Q906" s="137" t="s">
        <v>89</v>
      </c>
      <c r="R906" s="137" t="b">
        <v>0</v>
      </c>
      <c r="S906" s="139">
        <v>1</v>
      </c>
      <c r="T906" s="139">
        <v>6.9717528863852698E+18</v>
      </c>
    </row>
    <row r="907" spans="3:20">
      <c r="C907" s="24" t="b">
        <v>0</v>
      </c>
      <c r="D907" s="137">
        <v>1</v>
      </c>
      <c r="E907" s="138">
        <v>3</v>
      </c>
      <c r="F907" s="137" t="s">
        <v>75</v>
      </c>
      <c r="G907" s="137"/>
      <c r="H907" s="137">
        <v>0</v>
      </c>
      <c r="I907" s="137">
        <v>0</v>
      </c>
      <c r="J907" s="137">
        <v>7.75</v>
      </c>
      <c r="K907" s="137" t="s">
        <v>90</v>
      </c>
      <c r="L907" s="137" t="s">
        <v>79</v>
      </c>
      <c r="M907" s="137" t="s">
        <v>80</v>
      </c>
      <c r="N907" s="137" t="b">
        <v>1</v>
      </c>
      <c r="O907" s="137"/>
      <c r="P907" s="137" t="s">
        <v>91</v>
      </c>
      <c r="Q907" s="137" t="s">
        <v>89</v>
      </c>
      <c r="R907" s="137" t="b">
        <v>1</v>
      </c>
      <c r="S907" s="139">
        <v>1</v>
      </c>
      <c r="T907" s="139">
        <v>1.53146208693189E+19</v>
      </c>
    </row>
    <row r="908" spans="3:20">
      <c r="C908" s="24" t="b">
        <v>0</v>
      </c>
      <c r="D908" s="137">
        <v>1</v>
      </c>
      <c r="E908" s="138">
        <v>1</v>
      </c>
      <c r="F908" s="137" t="s">
        <v>85</v>
      </c>
      <c r="G908" s="137">
        <v>62</v>
      </c>
      <c r="H908" s="137">
        <v>0</v>
      </c>
      <c r="I908" s="137">
        <v>0</v>
      </c>
      <c r="J908" s="137">
        <v>80</v>
      </c>
      <c r="K908" s="137"/>
      <c r="L908" s="137" t="s">
        <v>86</v>
      </c>
      <c r="M908" s="137" t="s">
        <v>87</v>
      </c>
      <c r="N908" s="137" t="b">
        <v>0</v>
      </c>
      <c r="O908" s="137" t="s">
        <v>98</v>
      </c>
      <c r="P908" s="137"/>
      <c r="Q908" s="137" t="s">
        <v>89</v>
      </c>
      <c r="R908" s="137" t="b">
        <v>1</v>
      </c>
      <c r="S908" s="139">
        <v>1</v>
      </c>
      <c r="T908" s="139">
        <v>1.50696584309441E+19</v>
      </c>
    </row>
    <row r="909" spans="3:20">
      <c r="C909" s="24" t="b">
        <v>0</v>
      </c>
      <c r="D909" s="137">
        <v>1</v>
      </c>
      <c r="E909" s="138">
        <v>3</v>
      </c>
      <c r="F909" s="137" t="s">
        <v>85</v>
      </c>
      <c r="G909" s="137">
        <v>15</v>
      </c>
      <c r="H909" s="137">
        <v>1</v>
      </c>
      <c r="I909" s="137">
        <v>0</v>
      </c>
      <c r="J909" s="137">
        <v>14.4542</v>
      </c>
      <c r="K909" s="137" t="s">
        <v>82</v>
      </c>
      <c r="L909" s="137" t="s">
        <v>79</v>
      </c>
      <c r="M909" s="137" t="s">
        <v>93</v>
      </c>
      <c r="N909" s="137" t="b">
        <v>0</v>
      </c>
      <c r="O909" s="137"/>
      <c r="P909" s="137" t="s">
        <v>88</v>
      </c>
      <c r="Q909" s="137" t="s">
        <v>89</v>
      </c>
      <c r="R909" s="137" t="b">
        <v>0</v>
      </c>
      <c r="S909" s="139">
        <v>1</v>
      </c>
      <c r="T909" s="139">
        <v>5.5448202998867405E+18</v>
      </c>
    </row>
    <row r="910" spans="3:20">
      <c r="C910" s="24" t="b">
        <v>0</v>
      </c>
      <c r="D910" s="137">
        <v>1</v>
      </c>
      <c r="E910" s="138">
        <v>2</v>
      </c>
      <c r="F910" s="137" t="s">
        <v>75</v>
      </c>
      <c r="G910" s="137">
        <v>0.83</v>
      </c>
      <c r="H910" s="137">
        <v>1</v>
      </c>
      <c r="I910" s="137">
        <v>1</v>
      </c>
      <c r="J910" s="137">
        <v>18.75</v>
      </c>
      <c r="K910" s="137" t="s">
        <v>77</v>
      </c>
      <c r="L910" s="137" t="s">
        <v>94</v>
      </c>
      <c r="M910" s="137" t="s">
        <v>93</v>
      </c>
      <c r="N910" s="137" t="b">
        <v>0</v>
      </c>
      <c r="O910" s="137"/>
      <c r="P910" s="137" t="s">
        <v>83</v>
      </c>
      <c r="Q910" s="137" t="s">
        <v>89</v>
      </c>
      <c r="R910" s="137" t="b">
        <v>0</v>
      </c>
      <c r="S910" s="139">
        <v>1</v>
      </c>
      <c r="T910" s="139">
        <v>1.06118888188521E+19</v>
      </c>
    </row>
    <row r="911" spans="3:20">
      <c r="C911" s="24" t="b">
        <v>0</v>
      </c>
      <c r="D911" s="137">
        <v>0</v>
      </c>
      <c r="E911" s="138">
        <v>3</v>
      </c>
      <c r="F911" s="137" t="s">
        <v>75</v>
      </c>
      <c r="G911" s="137"/>
      <c r="H911" s="137">
        <v>0</v>
      </c>
      <c r="I911" s="137">
        <v>0</v>
      </c>
      <c r="J911" s="137">
        <v>7.2291999999999996</v>
      </c>
      <c r="K911" s="137" t="s">
        <v>82</v>
      </c>
      <c r="L911" s="137" t="s">
        <v>79</v>
      </c>
      <c r="M911" s="137" t="s">
        <v>80</v>
      </c>
      <c r="N911" s="137" t="b">
        <v>1</v>
      </c>
      <c r="O911" s="137"/>
      <c r="P911" s="137" t="s">
        <v>88</v>
      </c>
      <c r="Q911" s="137" t="s">
        <v>84</v>
      </c>
      <c r="R911" s="137" t="b">
        <v>1</v>
      </c>
      <c r="S911" s="139">
        <v>1</v>
      </c>
      <c r="T911" s="139">
        <v>1.2150606124307599E+19</v>
      </c>
    </row>
    <row r="912" spans="3:20">
      <c r="C912" s="24" t="b">
        <v>0</v>
      </c>
      <c r="D912" s="137">
        <v>0</v>
      </c>
      <c r="E912" s="138">
        <v>3</v>
      </c>
      <c r="F912" s="137" t="s">
        <v>75</v>
      </c>
      <c r="G912" s="137">
        <v>23</v>
      </c>
      <c r="H912" s="137">
        <v>0</v>
      </c>
      <c r="I912" s="137">
        <v>0</v>
      </c>
      <c r="J912" s="137">
        <v>7.8541999999999996</v>
      </c>
      <c r="K912" s="137" t="s">
        <v>77</v>
      </c>
      <c r="L912" s="137" t="s">
        <v>79</v>
      </c>
      <c r="M912" s="137" t="s">
        <v>80</v>
      </c>
      <c r="N912" s="137" t="b">
        <v>1</v>
      </c>
      <c r="O912" s="137"/>
      <c r="P912" s="137" t="s">
        <v>83</v>
      </c>
      <c r="Q912" s="137" t="s">
        <v>84</v>
      </c>
      <c r="R912" s="137" t="b">
        <v>1</v>
      </c>
      <c r="S912" s="139">
        <v>1</v>
      </c>
      <c r="T912" s="139">
        <v>9.7650042261116396E+18</v>
      </c>
    </row>
    <row r="913" spans="3:20">
      <c r="C913" s="24" t="b">
        <v>0</v>
      </c>
      <c r="D913" s="137">
        <v>0</v>
      </c>
      <c r="E913" s="138">
        <v>3</v>
      </c>
      <c r="F913" s="137" t="s">
        <v>75</v>
      </c>
      <c r="G913" s="137">
        <v>18</v>
      </c>
      <c r="H913" s="137">
        <v>0</v>
      </c>
      <c r="I913" s="137">
        <v>0</v>
      </c>
      <c r="J913" s="137">
        <v>8.3000000000000007</v>
      </c>
      <c r="K913" s="137" t="s">
        <v>77</v>
      </c>
      <c r="L913" s="137" t="s">
        <v>79</v>
      </c>
      <c r="M913" s="137" t="s">
        <v>80</v>
      </c>
      <c r="N913" s="137" t="b">
        <v>1</v>
      </c>
      <c r="O913" s="137"/>
      <c r="P913" s="137" t="s">
        <v>83</v>
      </c>
      <c r="Q913" s="137" t="s">
        <v>84</v>
      </c>
      <c r="R913" s="137" t="b">
        <v>1</v>
      </c>
      <c r="S913" s="139">
        <v>1</v>
      </c>
      <c r="T913" s="139">
        <v>1.40543383479274E+19</v>
      </c>
    </row>
    <row r="914" spans="3:20">
      <c r="C914" s="24" t="b">
        <v>0</v>
      </c>
      <c r="D914" s="137">
        <v>1</v>
      </c>
      <c r="E914" s="138">
        <v>1</v>
      </c>
      <c r="F914" s="137" t="s">
        <v>85</v>
      </c>
      <c r="G914" s="137">
        <v>39</v>
      </c>
      <c r="H914" s="137">
        <v>1</v>
      </c>
      <c r="I914" s="137">
        <v>1</v>
      </c>
      <c r="J914" s="137">
        <v>83.158299999999997</v>
      </c>
      <c r="K914" s="137" t="s">
        <v>82</v>
      </c>
      <c r="L914" s="137" t="s">
        <v>86</v>
      </c>
      <c r="M914" s="137" t="s">
        <v>87</v>
      </c>
      <c r="N914" s="137" t="b">
        <v>0</v>
      </c>
      <c r="O914" s="137" t="s">
        <v>92</v>
      </c>
      <c r="P914" s="137" t="s">
        <v>88</v>
      </c>
      <c r="Q914" s="137" t="s">
        <v>89</v>
      </c>
      <c r="R914" s="137" t="b">
        <v>0</v>
      </c>
      <c r="S914" s="139">
        <v>0</v>
      </c>
      <c r="T914" s="139">
        <v>7.45619988243042E+18</v>
      </c>
    </row>
    <row r="915" spans="3:20">
      <c r="C915" s="24" t="b">
        <v>0</v>
      </c>
      <c r="D915" s="137">
        <v>0</v>
      </c>
      <c r="E915" s="138">
        <v>3</v>
      </c>
      <c r="F915" s="137" t="s">
        <v>75</v>
      </c>
      <c r="G915" s="137">
        <v>21</v>
      </c>
      <c r="H915" s="137">
        <v>0</v>
      </c>
      <c r="I915" s="137">
        <v>0</v>
      </c>
      <c r="J915" s="137">
        <v>8.6624999999999996</v>
      </c>
      <c r="K915" s="137" t="s">
        <v>77</v>
      </c>
      <c r="L915" s="137" t="s">
        <v>79</v>
      </c>
      <c r="M915" s="137" t="s">
        <v>80</v>
      </c>
      <c r="N915" s="137" t="b">
        <v>1</v>
      </c>
      <c r="O915" s="137"/>
      <c r="P915" s="137" t="s">
        <v>83</v>
      </c>
      <c r="Q915" s="137" t="s">
        <v>84</v>
      </c>
      <c r="R915" s="137" t="b">
        <v>1</v>
      </c>
      <c r="S915" s="139">
        <v>1</v>
      </c>
      <c r="T915" s="139">
        <v>8.5812113332591002E+18</v>
      </c>
    </row>
    <row r="916" spans="3:20">
      <c r="C916" s="24" t="b">
        <v>0</v>
      </c>
      <c r="D916" s="137">
        <v>0</v>
      </c>
      <c r="E916" s="138">
        <v>3</v>
      </c>
      <c r="F916" s="137" t="s">
        <v>75</v>
      </c>
      <c r="G916" s="137"/>
      <c r="H916" s="137">
        <v>0</v>
      </c>
      <c r="I916" s="137">
        <v>0</v>
      </c>
      <c r="J916" s="137">
        <v>8.0500000000000007</v>
      </c>
      <c r="K916" s="137" t="s">
        <v>77</v>
      </c>
      <c r="L916" s="137" t="s">
        <v>79</v>
      </c>
      <c r="M916" s="137" t="s">
        <v>80</v>
      </c>
      <c r="N916" s="137" t="b">
        <v>1</v>
      </c>
      <c r="O916" s="137"/>
      <c r="P916" s="137" t="s">
        <v>83</v>
      </c>
      <c r="Q916" s="137" t="s">
        <v>84</v>
      </c>
      <c r="R916" s="137" t="b">
        <v>1</v>
      </c>
      <c r="S916" s="139">
        <v>1</v>
      </c>
      <c r="T916" s="139">
        <v>1.0519935439659201E+19</v>
      </c>
    </row>
    <row r="917" spans="3:20">
      <c r="C917" s="24" t="b">
        <v>0</v>
      </c>
      <c r="D917" s="137">
        <v>1</v>
      </c>
      <c r="E917" s="138">
        <v>3</v>
      </c>
      <c r="F917" s="137" t="s">
        <v>75</v>
      </c>
      <c r="G917" s="137">
        <v>32</v>
      </c>
      <c r="H917" s="137">
        <v>0</v>
      </c>
      <c r="I917" s="137">
        <v>0</v>
      </c>
      <c r="J917" s="137">
        <v>56.495800000000003</v>
      </c>
      <c r="K917" s="137" t="s">
        <v>77</v>
      </c>
      <c r="L917" s="137" t="s">
        <v>79</v>
      </c>
      <c r="M917" s="137" t="s">
        <v>80</v>
      </c>
      <c r="N917" s="137" t="b">
        <v>1</v>
      </c>
      <c r="O917" s="137"/>
      <c r="P917" s="137" t="s">
        <v>83</v>
      </c>
      <c r="Q917" s="137" t="s">
        <v>89</v>
      </c>
      <c r="R917" s="137" t="b">
        <v>1</v>
      </c>
      <c r="S917" s="139">
        <v>1</v>
      </c>
      <c r="T917" s="139">
        <v>1.19681300433309E+19</v>
      </c>
    </row>
    <row r="918" spans="3:20">
      <c r="C918" s="24" t="b">
        <v>0</v>
      </c>
      <c r="D918" s="137">
        <v>1</v>
      </c>
      <c r="E918" s="138">
        <v>1</v>
      </c>
      <c r="F918" s="137" t="s">
        <v>75</v>
      </c>
      <c r="G918" s="137"/>
      <c r="H918" s="137">
        <v>0</v>
      </c>
      <c r="I918" s="137">
        <v>0</v>
      </c>
      <c r="J918" s="137">
        <v>29.7</v>
      </c>
      <c r="K918" s="137" t="s">
        <v>82</v>
      </c>
      <c r="L918" s="137" t="s">
        <v>86</v>
      </c>
      <c r="M918" s="137" t="s">
        <v>80</v>
      </c>
      <c r="N918" s="137" t="b">
        <v>1</v>
      </c>
      <c r="O918" s="137" t="s">
        <v>82</v>
      </c>
      <c r="P918" s="137" t="s">
        <v>88</v>
      </c>
      <c r="Q918" s="137" t="s">
        <v>89</v>
      </c>
      <c r="R918" s="137" t="b">
        <v>1</v>
      </c>
      <c r="S918" s="139">
        <v>1</v>
      </c>
      <c r="T918" s="139">
        <v>1.64017114803108E+19</v>
      </c>
    </row>
    <row r="919" spans="3:20">
      <c r="C919" s="24" t="b">
        <v>0</v>
      </c>
      <c r="D919" s="137">
        <v>0</v>
      </c>
      <c r="E919" s="138">
        <v>3</v>
      </c>
      <c r="F919" s="137" t="s">
        <v>75</v>
      </c>
      <c r="G919" s="137">
        <v>20</v>
      </c>
      <c r="H919" s="137">
        <v>0</v>
      </c>
      <c r="I919" s="137">
        <v>0</v>
      </c>
      <c r="J919" s="137">
        <v>7.9249999999999998</v>
      </c>
      <c r="K919" s="137" t="s">
        <v>77</v>
      </c>
      <c r="L919" s="137" t="s">
        <v>79</v>
      </c>
      <c r="M919" s="137" t="s">
        <v>80</v>
      </c>
      <c r="N919" s="137" t="b">
        <v>1</v>
      </c>
      <c r="O919" s="137"/>
      <c r="P919" s="137" t="s">
        <v>83</v>
      </c>
      <c r="Q919" s="137" t="s">
        <v>84</v>
      </c>
      <c r="R919" s="137" t="b">
        <v>1</v>
      </c>
      <c r="S919" s="139">
        <v>1</v>
      </c>
      <c r="T919" s="139">
        <v>1.12188334954311E+19</v>
      </c>
    </row>
    <row r="920" spans="3:20">
      <c r="C920" s="24" t="b">
        <v>0</v>
      </c>
      <c r="D920" s="137">
        <v>0</v>
      </c>
      <c r="E920" s="138">
        <v>2</v>
      </c>
      <c r="F920" s="137" t="s">
        <v>75</v>
      </c>
      <c r="G920" s="137">
        <v>16</v>
      </c>
      <c r="H920" s="137">
        <v>0</v>
      </c>
      <c r="I920" s="137">
        <v>0</v>
      </c>
      <c r="J920" s="137">
        <v>10.5</v>
      </c>
      <c r="K920" s="137" t="s">
        <v>77</v>
      </c>
      <c r="L920" s="137" t="s">
        <v>94</v>
      </c>
      <c r="M920" s="137" t="s">
        <v>80</v>
      </c>
      <c r="N920" s="137" t="b">
        <v>1</v>
      </c>
      <c r="O920" s="137"/>
      <c r="P920" s="137" t="s">
        <v>83</v>
      </c>
      <c r="Q920" s="137" t="s">
        <v>84</v>
      </c>
      <c r="R920" s="137" t="b">
        <v>1</v>
      </c>
      <c r="S920" s="139">
        <v>1</v>
      </c>
      <c r="T920" s="139">
        <v>1.12253274882898E+19</v>
      </c>
    </row>
    <row r="921" spans="3:20">
      <c r="C921" s="24" t="b">
        <v>0</v>
      </c>
      <c r="D921" s="137">
        <v>1</v>
      </c>
      <c r="E921" s="138">
        <v>1</v>
      </c>
      <c r="F921" s="137" t="s">
        <v>85</v>
      </c>
      <c r="G921" s="137">
        <v>30</v>
      </c>
      <c r="H921" s="137">
        <v>0</v>
      </c>
      <c r="I921" s="137">
        <v>0</v>
      </c>
      <c r="J921" s="137">
        <v>31</v>
      </c>
      <c r="K921" s="137" t="s">
        <v>82</v>
      </c>
      <c r="L921" s="137" t="s">
        <v>86</v>
      </c>
      <c r="M921" s="137" t="s">
        <v>87</v>
      </c>
      <c r="N921" s="137" t="b">
        <v>0</v>
      </c>
      <c r="O921" s="137"/>
      <c r="P921" s="137" t="s">
        <v>88</v>
      </c>
      <c r="Q921" s="137" t="s">
        <v>89</v>
      </c>
      <c r="R921" s="137" t="b">
        <v>1</v>
      </c>
      <c r="S921" s="139">
        <v>1</v>
      </c>
      <c r="T921" s="139">
        <v>1.36905901081927E+19</v>
      </c>
    </row>
    <row r="922" spans="3:20">
      <c r="C922" s="24" t="b">
        <v>0</v>
      </c>
      <c r="D922" s="137">
        <v>0</v>
      </c>
      <c r="E922" s="138">
        <v>3</v>
      </c>
      <c r="F922" s="137" t="s">
        <v>75</v>
      </c>
      <c r="G922" s="137">
        <v>34.5</v>
      </c>
      <c r="H922" s="137">
        <v>0</v>
      </c>
      <c r="I922" s="137">
        <v>0</v>
      </c>
      <c r="J922" s="137">
        <v>6.4375</v>
      </c>
      <c r="K922" s="137" t="s">
        <v>82</v>
      </c>
      <c r="L922" s="137" t="s">
        <v>79</v>
      </c>
      <c r="M922" s="137" t="s">
        <v>80</v>
      </c>
      <c r="N922" s="137" t="b">
        <v>1</v>
      </c>
      <c r="O922" s="137"/>
      <c r="P922" s="137" t="s">
        <v>88</v>
      </c>
      <c r="Q922" s="137" t="s">
        <v>84</v>
      </c>
      <c r="R922" s="137" t="b">
        <v>1</v>
      </c>
      <c r="S922" s="139">
        <v>1</v>
      </c>
      <c r="T922" s="139">
        <v>9.5972454633151406E+18</v>
      </c>
    </row>
    <row r="923" spans="3:20">
      <c r="C923" s="24" t="b">
        <v>0</v>
      </c>
      <c r="D923" s="137">
        <v>0</v>
      </c>
      <c r="E923" s="138">
        <v>3</v>
      </c>
      <c r="F923" s="137" t="s">
        <v>75</v>
      </c>
      <c r="G923" s="137">
        <v>17</v>
      </c>
      <c r="H923" s="137">
        <v>0</v>
      </c>
      <c r="I923" s="137">
        <v>0</v>
      </c>
      <c r="J923" s="137">
        <v>8.6624999999999996</v>
      </c>
      <c r="K923" s="137" t="s">
        <v>77</v>
      </c>
      <c r="L923" s="137" t="s">
        <v>79</v>
      </c>
      <c r="M923" s="137" t="s">
        <v>80</v>
      </c>
      <c r="N923" s="137" t="b">
        <v>1</v>
      </c>
      <c r="O923" s="137"/>
      <c r="P923" s="137" t="s">
        <v>83</v>
      </c>
      <c r="Q923" s="137" t="s">
        <v>84</v>
      </c>
      <c r="R923" s="137" t="b">
        <v>1</v>
      </c>
      <c r="S923" s="139">
        <v>1</v>
      </c>
      <c r="T923" s="139">
        <v>3.0286653837999002E+18</v>
      </c>
    </row>
    <row r="924" spans="3:20">
      <c r="C924" s="24" t="b">
        <v>0</v>
      </c>
      <c r="D924" s="137">
        <v>0</v>
      </c>
      <c r="E924" s="138">
        <v>3</v>
      </c>
      <c r="F924" s="137" t="s">
        <v>75</v>
      </c>
      <c r="G924" s="137">
        <v>42</v>
      </c>
      <c r="H924" s="137">
        <v>0</v>
      </c>
      <c r="I924" s="137">
        <v>0</v>
      </c>
      <c r="J924" s="137">
        <v>7.55</v>
      </c>
      <c r="K924" s="137" t="s">
        <v>77</v>
      </c>
      <c r="L924" s="137" t="s">
        <v>79</v>
      </c>
      <c r="M924" s="137" t="s">
        <v>80</v>
      </c>
      <c r="N924" s="137" t="b">
        <v>1</v>
      </c>
      <c r="O924" s="137"/>
      <c r="P924" s="137" t="s">
        <v>83</v>
      </c>
      <c r="Q924" s="137" t="s">
        <v>84</v>
      </c>
      <c r="R924" s="137" t="b">
        <v>1</v>
      </c>
      <c r="S924" s="139">
        <v>1</v>
      </c>
      <c r="T924" s="139">
        <v>1.0576295437010301E+19</v>
      </c>
    </row>
    <row r="925" spans="3:20">
      <c r="C925" s="24" t="b">
        <v>0</v>
      </c>
      <c r="D925" s="137">
        <v>0</v>
      </c>
      <c r="E925" s="138">
        <v>3</v>
      </c>
      <c r="F925" s="137" t="s">
        <v>75</v>
      </c>
      <c r="G925" s="137"/>
      <c r="H925" s="137">
        <v>8</v>
      </c>
      <c r="I925" s="137">
        <v>2</v>
      </c>
      <c r="J925" s="137">
        <v>69.55</v>
      </c>
      <c r="K925" s="137" t="s">
        <v>77</v>
      </c>
      <c r="L925" s="137" t="s">
        <v>79</v>
      </c>
      <c r="M925" s="137" t="s">
        <v>80</v>
      </c>
      <c r="N925" s="137" t="b">
        <v>1</v>
      </c>
      <c r="O925" s="137"/>
      <c r="P925" s="137" t="s">
        <v>83</v>
      </c>
      <c r="Q925" s="137" t="s">
        <v>84</v>
      </c>
      <c r="R925" s="137" t="b">
        <v>0</v>
      </c>
      <c r="S925" s="139">
        <v>1</v>
      </c>
      <c r="T925" s="139">
        <v>1.2395330416317399E+19</v>
      </c>
    </row>
    <row r="926" spans="3:20">
      <c r="C926" s="24" t="b">
        <v>0</v>
      </c>
      <c r="D926" s="137">
        <v>0</v>
      </c>
      <c r="E926" s="138">
        <v>3</v>
      </c>
      <c r="F926" s="137" t="s">
        <v>75</v>
      </c>
      <c r="G926" s="137">
        <v>35</v>
      </c>
      <c r="H926" s="137">
        <v>0</v>
      </c>
      <c r="I926" s="137">
        <v>0</v>
      </c>
      <c r="J926" s="137">
        <v>7.8958000000000004</v>
      </c>
      <c r="K926" s="137" t="s">
        <v>82</v>
      </c>
      <c r="L926" s="137" t="s">
        <v>79</v>
      </c>
      <c r="M926" s="137" t="s">
        <v>80</v>
      </c>
      <c r="N926" s="137" t="b">
        <v>1</v>
      </c>
      <c r="O926" s="137"/>
      <c r="P926" s="137" t="s">
        <v>88</v>
      </c>
      <c r="Q926" s="137" t="s">
        <v>84</v>
      </c>
      <c r="R926" s="137" t="b">
        <v>1</v>
      </c>
      <c r="S926" s="139">
        <v>1</v>
      </c>
      <c r="T926" s="139">
        <v>8.0957438043459195E+18</v>
      </c>
    </row>
    <row r="927" spans="3:20">
      <c r="C927" s="24" t="b">
        <v>0</v>
      </c>
      <c r="D927" s="137">
        <v>0</v>
      </c>
      <c r="E927" s="138">
        <v>2</v>
      </c>
      <c r="F927" s="137" t="s">
        <v>75</v>
      </c>
      <c r="G927" s="137">
        <v>28</v>
      </c>
      <c r="H927" s="137">
        <v>0</v>
      </c>
      <c r="I927" s="137">
        <v>1</v>
      </c>
      <c r="J927" s="137">
        <v>33</v>
      </c>
      <c r="K927" s="137" t="s">
        <v>77</v>
      </c>
      <c r="L927" s="137" t="s">
        <v>94</v>
      </c>
      <c r="M927" s="137" t="s">
        <v>80</v>
      </c>
      <c r="N927" s="137" t="b">
        <v>1</v>
      </c>
      <c r="O927" s="137"/>
      <c r="P927" s="137" t="s">
        <v>83</v>
      </c>
      <c r="Q927" s="137" t="s">
        <v>84</v>
      </c>
      <c r="R927" s="137" t="b">
        <v>0</v>
      </c>
      <c r="S927" s="139">
        <v>1</v>
      </c>
      <c r="T927" s="139">
        <v>7.7724307046773504E+18</v>
      </c>
    </row>
    <row r="928" spans="3:20">
      <c r="C928" s="24" t="b">
        <v>0</v>
      </c>
      <c r="D928" s="137">
        <v>1</v>
      </c>
      <c r="E928" s="138">
        <v>1</v>
      </c>
      <c r="F928" s="137" t="s">
        <v>85</v>
      </c>
      <c r="G928" s="137"/>
      <c r="H928" s="137">
        <v>1</v>
      </c>
      <c r="I928" s="137">
        <v>0</v>
      </c>
      <c r="J928" s="137">
        <v>89.104200000000006</v>
      </c>
      <c r="K928" s="137" t="s">
        <v>82</v>
      </c>
      <c r="L928" s="137" t="s">
        <v>86</v>
      </c>
      <c r="M928" s="137" t="s">
        <v>87</v>
      </c>
      <c r="N928" s="137" t="b">
        <v>0</v>
      </c>
      <c r="O928" s="137" t="s">
        <v>82</v>
      </c>
      <c r="P928" s="137" t="s">
        <v>88</v>
      </c>
      <c r="Q928" s="137" t="s">
        <v>89</v>
      </c>
      <c r="R928" s="137" t="b">
        <v>0</v>
      </c>
      <c r="S928" s="139">
        <v>1</v>
      </c>
      <c r="T928" s="139">
        <v>8.7419183650087496E+18</v>
      </c>
    </row>
    <row r="929" spans="3:20">
      <c r="C929" s="24" t="b">
        <v>0</v>
      </c>
      <c r="D929" s="137">
        <v>0</v>
      </c>
      <c r="E929" s="138">
        <v>3</v>
      </c>
      <c r="F929" s="137" t="s">
        <v>75</v>
      </c>
      <c r="G929" s="137">
        <v>4</v>
      </c>
      <c r="H929" s="137">
        <v>4</v>
      </c>
      <c r="I929" s="137">
        <v>2</v>
      </c>
      <c r="J929" s="137">
        <v>31.274999999999999</v>
      </c>
      <c r="K929" s="137" t="s">
        <v>77</v>
      </c>
      <c r="L929" s="137" t="s">
        <v>79</v>
      </c>
      <c r="M929" s="137" t="s">
        <v>93</v>
      </c>
      <c r="N929" s="137" t="b">
        <v>0</v>
      </c>
      <c r="O929" s="137"/>
      <c r="P929" s="137" t="s">
        <v>83</v>
      </c>
      <c r="Q929" s="137" t="s">
        <v>84</v>
      </c>
      <c r="R929" s="137" t="b">
        <v>0</v>
      </c>
      <c r="S929" s="139">
        <v>1</v>
      </c>
      <c r="T929" s="139">
        <v>1.25147440831383E+19</v>
      </c>
    </row>
    <row r="930" spans="3:20">
      <c r="C930" s="24" t="b">
        <v>0</v>
      </c>
      <c r="D930" s="137">
        <v>0</v>
      </c>
      <c r="E930" s="138">
        <v>3</v>
      </c>
      <c r="F930" s="137" t="s">
        <v>75</v>
      </c>
      <c r="G930" s="137">
        <v>74</v>
      </c>
      <c r="H930" s="137">
        <v>0</v>
      </c>
      <c r="I930" s="137">
        <v>0</v>
      </c>
      <c r="J930" s="137">
        <v>7.7750000000000004</v>
      </c>
      <c r="K930" s="137" t="s">
        <v>77</v>
      </c>
      <c r="L930" s="137" t="s">
        <v>79</v>
      </c>
      <c r="M930" s="137" t="s">
        <v>80</v>
      </c>
      <c r="N930" s="137" t="b">
        <v>1</v>
      </c>
      <c r="O930" s="137"/>
      <c r="P930" s="137" t="s">
        <v>83</v>
      </c>
      <c r="Q930" s="137" t="s">
        <v>84</v>
      </c>
      <c r="R930" s="137" t="b">
        <v>1</v>
      </c>
      <c r="S930" s="139">
        <v>1</v>
      </c>
      <c r="T930" s="139">
        <v>7.3722618433864499E+18</v>
      </c>
    </row>
    <row r="931" spans="3:20">
      <c r="C931" s="24" t="b">
        <v>0</v>
      </c>
      <c r="D931" s="137">
        <v>0</v>
      </c>
      <c r="E931" s="138">
        <v>3</v>
      </c>
      <c r="F931" s="137" t="s">
        <v>85</v>
      </c>
      <c r="G931" s="137">
        <v>9</v>
      </c>
      <c r="H931" s="137">
        <v>1</v>
      </c>
      <c r="I931" s="137">
        <v>1</v>
      </c>
      <c r="J931" s="137">
        <v>15.245799999999999</v>
      </c>
      <c r="K931" s="137" t="s">
        <v>82</v>
      </c>
      <c r="L931" s="137" t="s">
        <v>79</v>
      </c>
      <c r="M931" s="137" t="s">
        <v>93</v>
      </c>
      <c r="N931" s="137" t="b">
        <v>0</v>
      </c>
      <c r="O931" s="137"/>
      <c r="P931" s="137" t="s">
        <v>88</v>
      </c>
      <c r="Q931" s="137" t="s">
        <v>84</v>
      </c>
      <c r="R931" s="137" t="b">
        <v>0</v>
      </c>
      <c r="S931" s="139">
        <v>1</v>
      </c>
      <c r="T931" s="139">
        <v>8.5524307080172001E+18</v>
      </c>
    </row>
    <row r="932" spans="3:20">
      <c r="C932" s="24" t="b">
        <v>0</v>
      </c>
      <c r="D932" s="137">
        <v>1</v>
      </c>
      <c r="E932" s="138">
        <v>1</v>
      </c>
      <c r="F932" s="137" t="s">
        <v>85</v>
      </c>
      <c r="G932" s="137">
        <v>16</v>
      </c>
      <c r="H932" s="137">
        <v>0</v>
      </c>
      <c r="I932" s="137">
        <v>1</v>
      </c>
      <c r="J932" s="137">
        <v>39.4</v>
      </c>
      <c r="K932" s="137" t="s">
        <v>77</v>
      </c>
      <c r="L932" s="137" t="s">
        <v>86</v>
      </c>
      <c r="M932" s="137" t="s">
        <v>87</v>
      </c>
      <c r="N932" s="137" t="b">
        <v>0</v>
      </c>
      <c r="O932" s="137" t="s">
        <v>96</v>
      </c>
      <c r="P932" s="137" t="s">
        <v>83</v>
      </c>
      <c r="Q932" s="137" t="s">
        <v>89</v>
      </c>
      <c r="R932" s="137" t="b">
        <v>0</v>
      </c>
      <c r="S932" s="139">
        <v>0</v>
      </c>
      <c r="T932" s="139">
        <v>1.0154513755913099E+19</v>
      </c>
    </row>
    <row r="933" spans="3:20">
      <c r="C933" s="24" t="b">
        <v>0</v>
      </c>
      <c r="D933" s="137">
        <v>0</v>
      </c>
      <c r="E933" s="138">
        <v>2</v>
      </c>
      <c r="F933" s="137" t="s">
        <v>85</v>
      </c>
      <c r="G933" s="137">
        <v>44</v>
      </c>
      <c r="H933" s="137">
        <v>1</v>
      </c>
      <c r="I933" s="137">
        <v>0</v>
      </c>
      <c r="J933" s="137">
        <v>26</v>
      </c>
      <c r="K933" s="137" t="s">
        <v>77</v>
      </c>
      <c r="L933" s="137" t="s">
        <v>94</v>
      </c>
      <c r="M933" s="137" t="s">
        <v>87</v>
      </c>
      <c r="N933" s="137" t="b">
        <v>0</v>
      </c>
      <c r="O933" s="137"/>
      <c r="P933" s="137" t="s">
        <v>83</v>
      </c>
      <c r="Q933" s="137" t="s">
        <v>84</v>
      </c>
      <c r="R933" s="137" t="b">
        <v>0</v>
      </c>
      <c r="S933" s="139">
        <v>1</v>
      </c>
      <c r="T933" s="139">
        <v>5.5725041924720804E+18</v>
      </c>
    </row>
    <row r="934" spans="3:20">
      <c r="C934" s="24" t="b">
        <v>0</v>
      </c>
      <c r="D934" s="137">
        <v>1</v>
      </c>
      <c r="E934" s="138">
        <v>3</v>
      </c>
      <c r="F934" s="137" t="s">
        <v>85</v>
      </c>
      <c r="G934" s="137">
        <v>18</v>
      </c>
      <c r="H934" s="137">
        <v>0</v>
      </c>
      <c r="I934" s="137">
        <v>1</v>
      </c>
      <c r="J934" s="137">
        <v>9.35</v>
      </c>
      <c r="K934" s="137" t="s">
        <v>77</v>
      </c>
      <c r="L934" s="137" t="s">
        <v>79</v>
      </c>
      <c r="M934" s="137" t="s">
        <v>87</v>
      </c>
      <c r="N934" s="137" t="b">
        <v>0</v>
      </c>
      <c r="O934" s="137"/>
      <c r="P934" s="137" t="s">
        <v>83</v>
      </c>
      <c r="Q934" s="137" t="s">
        <v>89</v>
      </c>
      <c r="R934" s="137" t="b">
        <v>0</v>
      </c>
      <c r="S934" s="139">
        <v>1</v>
      </c>
      <c r="T934" s="139">
        <v>2.6571870154042199E+18</v>
      </c>
    </row>
    <row r="935" spans="3:20">
      <c r="C935" s="24" t="b">
        <v>0</v>
      </c>
      <c r="D935" s="137">
        <v>1</v>
      </c>
      <c r="E935" s="138">
        <v>1</v>
      </c>
      <c r="F935" s="137" t="s">
        <v>85</v>
      </c>
      <c r="G935" s="137">
        <v>45</v>
      </c>
      <c r="H935" s="137">
        <v>1</v>
      </c>
      <c r="I935" s="137">
        <v>1</v>
      </c>
      <c r="J935" s="137">
        <v>164.86670000000001</v>
      </c>
      <c r="K935" s="137" t="s">
        <v>77</v>
      </c>
      <c r="L935" s="137" t="s">
        <v>86</v>
      </c>
      <c r="M935" s="137" t="s">
        <v>87</v>
      </c>
      <c r="N935" s="137" t="b">
        <v>0</v>
      </c>
      <c r="O935" s="137"/>
      <c r="P935" s="137" t="s">
        <v>83</v>
      </c>
      <c r="Q935" s="137" t="s">
        <v>89</v>
      </c>
      <c r="R935" s="137" t="b">
        <v>0</v>
      </c>
      <c r="S935" s="139">
        <v>1</v>
      </c>
      <c r="T935" s="139">
        <v>6.9513918747825203E+17</v>
      </c>
    </row>
    <row r="936" spans="3:20">
      <c r="C936" s="24" t="b">
        <v>0</v>
      </c>
      <c r="D936" s="137">
        <v>1</v>
      </c>
      <c r="E936" s="138">
        <v>1</v>
      </c>
      <c r="F936" s="137" t="s">
        <v>75</v>
      </c>
      <c r="G936" s="137">
        <v>51</v>
      </c>
      <c r="H936" s="137">
        <v>0</v>
      </c>
      <c r="I936" s="137">
        <v>0</v>
      </c>
      <c r="J936" s="137">
        <v>26.55</v>
      </c>
      <c r="K936" s="137" t="s">
        <v>77</v>
      </c>
      <c r="L936" s="137" t="s">
        <v>86</v>
      </c>
      <c r="M936" s="137" t="s">
        <v>80</v>
      </c>
      <c r="N936" s="137" t="b">
        <v>1</v>
      </c>
      <c r="O936" s="137" t="s">
        <v>92</v>
      </c>
      <c r="P936" s="137" t="s">
        <v>83</v>
      </c>
      <c r="Q936" s="137" t="s">
        <v>89</v>
      </c>
      <c r="R936" s="137" t="b">
        <v>1</v>
      </c>
      <c r="S936" s="139">
        <v>0</v>
      </c>
      <c r="T936" s="139">
        <v>1.81520383932991E+19</v>
      </c>
    </row>
    <row r="937" spans="3:20">
      <c r="C937" s="24" t="b">
        <v>0</v>
      </c>
      <c r="D937" s="137">
        <v>1</v>
      </c>
      <c r="E937" s="138">
        <v>3</v>
      </c>
      <c r="F937" s="137" t="s">
        <v>85</v>
      </c>
      <c r="G937" s="137">
        <v>24</v>
      </c>
      <c r="H937" s="137">
        <v>0</v>
      </c>
      <c r="I937" s="137">
        <v>3</v>
      </c>
      <c r="J937" s="137">
        <v>19.258299999999998</v>
      </c>
      <c r="K937" s="137" t="s">
        <v>82</v>
      </c>
      <c r="L937" s="137" t="s">
        <v>79</v>
      </c>
      <c r="M937" s="137" t="s">
        <v>87</v>
      </c>
      <c r="N937" s="137" t="b">
        <v>0</v>
      </c>
      <c r="O937" s="137"/>
      <c r="P937" s="137" t="s">
        <v>88</v>
      </c>
      <c r="Q937" s="137" t="s">
        <v>89</v>
      </c>
      <c r="R937" s="137" t="b">
        <v>0</v>
      </c>
      <c r="S937" s="139">
        <v>1</v>
      </c>
      <c r="T937" s="139">
        <v>1.7557683627876E+19</v>
      </c>
    </row>
    <row r="938" spans="3:20">
      <c r="C938" s="24" t="b">
        <v>0</v>
      </c>
      <c r="D938" s="137">
        <v>0</v>
      </c>
      <c r="E938" s="138">
        <v>3</v>
      </c>
      <c r="F938" s="137" t="s">
        <v>75</v>
      </c>
      <c r="G938" s="137"/>
      <c r="H938" s="137">
        <v>0</v>
      </c>
      <c r="I938" s="137">
        <v>0</v>
      </c>
      <c r="J938" s="137">
        <v>7.2291999999999996</v>
      </c>
      <c r="K938" s="137" t="s">
        <v>82</v>
      </c>
      <c r="L938" s="137" t="s">
        <v>79</v>
      </c>
      <c r="M938" s="137" t="s">
        <v>80</v>
      </c>
      <c r="N938" s="137" t="b">
        <v>1</v>
      </c>
      <c r="O938" s="137"/>
      <c r="P938" s="137" t="s">
        <v>88</v>
      </c>
      <c r="Q938" s="137" t="s">
        <v>84</v>
      </c>
      <c r="R938" s="137" t="b">
        <v>1</v>
      </c>
      <c r="S938" s="139">
        <v>1</v>
      </c>
      <c r="T938" s="139">
        <v>1.2150606124307599E+19</v>
      </c>
    </row>
    <row r="939" spans="3:20">
      <c r="C939" s="24" t="b">
        <v>0</v>
      </c>
      <c r="D939" s="137">
        <v>0</v>
      </c>
      <c r="E939" s="138">
        <v>3</v>
      </c>
      <c r="F939" s="137" t="s">
        <v>75</v>
      </c>
      <c r="G939" s="137">
        <v>41</v>
      </c>
      <c r="H939" s="137">
        <v>2</v>
      </c>
      <c r="I939" s="137">
        <v>0</v>
      </c>
      <c r="J939" s="137">
        <v>14.1083</v>
      </c>
      <c r="K939" s="137" t="s">
        <v>77</v>
      </c>
      <c r="L939" s="137" t="s">
        <v>79</v>
      </c>
      <c r="M939" s="137" t="s">
        <v>80</v>
      </c>
      <c r="N939" s="137" t="b">
        <v>1</v>
      </c>
      <c r="O939" s="137"/>
      <c r="P939" s="137" t="s">
        <v>83</v>
      </c>
      <c r="Q939" s="137" t="s">
        <v>84</v>
      </c>
      <c r="R939" s="137" t="b">
        <v>0</v>
      </c>
      <c r="S939" s="139">
        <v>1</v>
      </c>
      <c r="T939" s="139">
        <v>5.9714756023803802E+18</v>
      </c>
    </row>
    <row r="940" spans="3:20">
      <c r="C940" s="24" t="b">
        <v>0</v>
      </c>
      <c r="D940" s="137">
        <v>0</v>
      </c>
      <c r="E940" s="138">
        <v>2</v>
      </c>
      <c r="F940" s="137" t="s">
        <v>75</v>
      </c>
      <c r="G940" s="137">
        <v>21</v>
      </c>
      <c r="H940" s="137">
        <v>1</v>
      </c>
      <c r="I940" s="137">
        <v>0</v>
      </c>
      <c r="J940" s="137">
        <v>11.5</v>
      </c>
      <c r="K940" s="137" t="s">
        <v>77</v>
      </c>
      <c r="L940" s="137" t="s">
        <v>94</v>
      </c>
      <c r="M940" s="137" t="s">
        <v>80</v>
      </c>
      <c r="N940" s="137" t="b">
        <v>1</v>
      </c>
      <c r="O940" s="137"/>
      <c r="P940" s="137" t="s">
        <v>83</v>
      </c>
      <c r="Q940" s="137" t="s">
        <v>84</v>
      </c>
      <c r="R940" s="137" t="b">
        <v>0</v>
      </c>
      <c r="S940" s="139">
        <v>1</v>
      </c>
      <c r="T940" s="139">
        <v>1.01290659693301E+19</v>
      </c>
    </row>
    <row r="941" spans="3:20">
      <c r="C941" s="24" t="b">
        <v>0</v>
      </c>
      <c r="D941" s="137">
        <v>1</v>
      </c>
      <c r="E941" s="138">
        <v>1</v>
      </c>
      <c r="F941" s="137" t="s">
        <v>85</v>
      </c>
      <c r="G941" s="137">
        <v>48</v>
      </c>
      <c r="H941" s="137">
        <v>0</v>
      </c>
      <c r="I941" s="137">
        <v>0</v>
      </c>
      <c r="J941" s="137">
        <v>25.929200000000002</v>
      </c>
      <c r="K941" s="137" t="s">
        <v>77</v>
      </c>
      <c r="L941" s="137" t="s">
        <v>86</v>
      </c>
      <c r="M941" s="137" t="s">
        <v>87</v>
      </c>
      <c r="N941" s="137" t="b">
        <v>0</v>
      </c>
      <c r="O941" s="137" t="s">
        <v>96</v>
      </c>
      <c r="P941" s="137" t="s">
        <v>83</v>
      </c>
      <c r="Q941" s="137" t="s">
        <v>89</v>
      </c>
      <c r="R941" s="137" t="b">
        <v>1</v>
      </c>
      <c r="S941" s="139">
        <v>0</v>
      </c>
      <c r="T941" s="139">
        <v>1.2533235652912099E+19</v>
      </c>
    </row>
    <row r="942" spans="3:20">
      <c r="C942" s="24" t="b">
        <v>0</v>
      </c>
      <c r="D942" s="137">
        <v>0</v>
      </c>
      <c r="E942" s="138">
        <v>3</v>
      </c>
      <c r="F942" s="137" t="s">
        <v>85</v>
      </c>
      <c r="G942" s="137"/>
      <c r="H942" s="137">
        <v>8</v>
      </c>
      <c r="I942" s="137">
        <v>2</v>
      </c>
      <c r="J942" s="137">
        <v>69.55</v>
      </c>
      <c r="K942" s="137" t="s">
        <v>77</v>
      </c>
      <c r="L942" s="137" t="s">
        <v>79</v>
      </c>
      <c r="M942" s="137" t="s">
        <v>87</v>
      </c>
      <c r="N942" s="137" t="b">
        <v>0</v>
      </c>
      <c r="O942" s="137"/>
      <c r="P942" s="137" t="s">
        <v>83</v>
      </c>
      <c r="Q942" s="137" t="s">
        <v>84</v>
      </c>
      <c r="R942" s="137" t="b">
        <v>0</v>
      </c>
      <c r="S942" s="139">
        <v>1</v>
      </c>
      <c r="T942" s="139">
        <v>1.5412107601280899E+19</v>
      </c>
    </row>
    <row r="943" spans="3:20">
      <c r="C943" s="24" t="b">
        <v>0</v>
      </c>
      <c r="D943" s="137">
        <v>0</v>
      </c>
      <c r="E943" s="138">
        <v>2</v>
      </c>
      <c r="F943" s="137" t="s">
        <v>75</v>
      </c>
      <c r="G943" s="137">
        <v>24</v>
      </c>
      <c r="H943" s="137">
        <v>0</v>
      </c>
      <c r="I943" s="137">
        <v>0</v>
      </c>
      <c r="J943" s="137">
        <v>13</v>
      </c>
      <c r="K943" s="137" t="s">
        <v>77</v>
      </c>
      <c r="L943" s="137" t="s">
        <v>94</v>
      </c>
      <c r="M943" s="137" t="s">
        <v>80</v>
      </c>
      <c r="N943" s="137" t="b">
        <v>1</v>
      </c>
      <c r="O943" s="137"/>
      <c r="P943" s="137" t="s">
        <v>83</v>
      </c>
      <c r="Q943" s="137" t="s">
        <v>84</v>
      </c>
      <c r="R943" s="137" t="b">
        <v>1</v>
      </c>
      <c r="S943" s="139">
        <v>1</v>
      </c>
      <c r="T943" s="139">
        <v>3.04286795897517E+18</v>
      </c>
    </row>
    <row r="944" spans="3:20">
      <c r="C944" s="24" t="b">
        <v>0</v>
      </c>
      <c r="D944" s="137">
        <v>1</v>
      </c>
      <c r="E944" s="138">
        <v>2</v>
      </c>
      <c r="F944" s="137" t="s">
        <v>85</v>
      </c>
      <c r="G944" s="137">
        <v>42</v>
      </c>
      <c r="H944" s="137">
        <v>0</v>
      </c>
      <c r="I944" s="137">
        <v>0</v>
      </c>
      <c r="J944" s="137">
        <v>13</v>
      </c>
      <c r="K944" s="137" t="s">
        <v>77</v>
      </c>
      <c r="L944" s="137" t="s">
        <v>94</v>
      </c>
      <c r="M944" s="137" t="s">
        <v>87</v>
      </c>
      <c r="N944" s="137" t="b">
        <v>0</v>
      </c>
      <c r="O944" s="137"/>
      <c r="P944" s="137" t="s">
        <v>83</v>
      </c>
      <c r="Q944" s="137" t="s">
        <v>89</v>
      </c>
      <c r="R944" s="137" t="b">
        <v>1</v>
      </c>
      <c r="S944" s="139">
        <v>1</v>
      </c>
      <c r="T944" s="139">
        <v>1.6531063563879399E+19</v>
      </c>
    </row>
    <row r="945" spans="3:20">
      <c r="C945" s="24" t="b">
        <v>0</v>
      </c>
      <c r="D945" s="137">
        <v>1</v>
      </c>
      <c r="E945" s="138">
        <v>2</v>
      </c>
      <c r="F945" s="137" t="s">
        <v>85</v>
      </c>
      <c r="G945" s="137">
        <v>27</v>
      </c>
      <c r="H945" s="137">
        <v>1</v>
      </c>
      <c r="I945" s="137">
        <v>0</v>
      </c>
      <c r="J945" s="137">
        <v>13.8583</v>
      </c>
      <c r="K945" s="137" t="s">
        <v>82</v>
      </c>
      <c r="L945" s="137" t="s">
        <v>94</v>
      </c>
      <c r="M945" s="137" t="s">
        <v>87</v>
      </c>
      <c r="N945" s="137" t="b">
        <v>0</v>
      </c>
      <c r="O945" s="137"/>
      <c r="P945" s="137" t="s">
        <v>88</v>
      </c>
      <c r="Q945" s="137" t="s">
        <v>89</v>
      </c>
      <c r="R945" s="137" t="b">
        <v>0</v>
      </c>
      <c r="S945" s="139">
        <v>1</v>
      </c>
      <c r="T945" s="139">
        <v>1.1751028870661501E+19</v>
      </c>
    </row>
    <row r="946" spans="3:20">
      <c r="C946" s="24" t="b">
        <v>0</v>
      </c>
      <c r="D946" s="137">
        <v>0</v>
      </c>
      <c r="E946" s="138">
        <v>1</v>
      </c>
      <c r="F946" s="137" t="s">
        <v>75</v>
      </c>
      <c r="G946" s="137">
        <v>31</v>
      </c>
      <c r="H946" s="137">
        <v>0</v>
      </c>
      <c r="I946" s="137">
        <v>0</v>
      </c>
      <c r="J946" s="137">
        <v>50.495800000000003</v>
      </c>
      <c r="K946" s="137" t="s">
        <v>77</v>
      </c>
      <c r="L946" s="137" t="s">
        <v>86</v>
      </c>
      <c r="M946" s="137" t="s">
        <v>80</v>
      </c>
      <c r="N946" s="137" t="b">
        <v>1</v>
      </c>
      <c r="O946" s="137" t="s">
        <v>97</v>
      </c>
      <c r="P946" s="137" t="s">
        <v>83</v>
      </c>
      <c r="Q946" s="137" t="s">
        <v>84</v>
      </c>
      <c r="R946" s="137" t="b">
        <v>1</v>
      </c>
      <c r="S946" s="139">
        <v>0</v>
      </c>
      <c r="T946" s="139">
        <v>1.1645944484394299E+19</v>
      </c>
    </row>
    <row r="947" spans="3:20">
      <c r="C947" s="24" t="b">
        <v>0</v>
      </c>
      <c r="D947" s="137">
        <v>0</v>
      </c>
      <c r="E947" s="138">
        <v>3</v>
      </c>
      <c r="F947" s="137" t="s">
        <v>75</v>
      </c>
      <c r="G947" s="137"/>
      <c r="H947" s="137">
        <v>0</v>
      </c>
      <c r="I947" s="137">
        <v>0</v>
      </c>
      <c r="J947" s="137">
        <v>9.5</v>
      </c>
      <c r="K947" s="137" t="s">
        <v>77</v>
      </c>
      <c r="L947" s="137" t="s">
        <v>79</v>
      </c>
      <c r="M947" s="137" t="s">
        <v>80</v>
      </c>
      <c r="N947" s="137" t="b">
        <v>1</v>
      </c>
      <c r="O947" s="137"/>
      <c r="P947" s="137" t="s">
        <v>83</v>
      </c>
      <c r="Q947" s="137" t="s">
        <v>84</v>
      </c>
      <c r="R947" s="137" t="b">
        <v>1</v>
      </c>
      <c r="S947" s="139">
        <v>1</v>
      </c>
      <c r="T947" s="139">
        <v>1.1396547871806501E+19</v>
      </c>
    </row>
    <row r="948" spans="3:20">
      <c r="C948" s="24" t="b">
        <v>0</v>
      </c>
      <c r="D948" s="137">
        <v>1</v>
      </c>
      <c r="E948" s="138">
        <v>3</v>
      </c>
      <c r="F948" s="137" t="s">
        <v>75</v>
      </c>
      <c r="G948" s="137">
        <v>4</v>
      </c>
      <c r="H948" s="137">
        <v>1</v>
      </c>
      <c r="I948" s="137">
        <v>1</v>
      </c>
      <c r="J948" s="137">
        <v>11.1333</v>
      </c>
      <c r="K948" s="137" t="s">
        <v>77</v>
      </c>
      <c r="L948" s="137" t="s">
        <v>79</v>
      </c>
      <c r="M948" s="137" t="s">
        <v>93</v>
      </c>
      <c r="N948" s="137" t="b">
        <v>0</v>
      </c>
      <c r="O948" s="137"/>
      <c r="P948" s="137" t="s">
        <v>83</v>
      </c>
      <c r="Q948" s="137" t="s">
        <v>89</v>
      </c>
      <c r="R948" s="137" t="b">
        <v>0</v>
      </c>
      <c r="S948" s="139">
        <v>1</v>
      </c>
      <c r="T948" s="139">
        <v>9.8140036916888801E+18</v>
      </c>
    </row>
    <row r="949" spans="3:20">
      <c r="C949" s="24" t="b">
        <v>0</v>
      </c>
      <c r="D949" s="137">
        <v>0</v>
      </c>
      <c r="E949" s="138">
        <v>3</v>
      </c>
      <c r="F949" s="137" t="s">
        <v>75</v>
      </c>
      <c r="G949" s="137">
        <v>26</v>
      </c>
      <c r="H949" s="137">
        <v>0</v>
      </c>
      <c r="I949" s="137">
        <v>0</v>
      </c>
      <c r="J949" s="137">
        <v>7.8958000000000004</v>
      </c>
      <c r="K949" s="137" t="s">
        <v>77</v>
      </c>
      <c r="L949" s="137" t="s">
        <v>79</v>
      </c>
      <c r="M949" s="137" t="s">
        <v>80</v>
      </c>
      <c r="N949" s="137" t="b">
        <v>1</v>
      </c>
      <c r="O949" s="137"/>
      <c r="P949" s="137" t="s">
        <v>83</v>
      </c>
      <c r="Q949" s="137" t="s">
        <v>84</v>
      </c>
      <c r="R949" s="137" t="b">
        <v>1</v>
      </c>
      <c r="S949" s="139">
        <v>1</v>
      </c>
      <c r="T949" s="139">
        <v>6.9146312707911199E+18</v>
      </c>
    </row>
    <row r="950" spans="3:20">
      <c r="C950" s="24" t="b">
        <v>0</v>
      </c>
      <c r="D950" s="137">
        <v>1</v>
      </c>
      <c r="E950" s="138">
        <v>1</v>
      </c>
      <c r="F950" s="137" t="s">
        <v>85</v>
      </c>
      <c r="G950" s="137">
        <v>47</v>
      </c>
      <c r="H950" s="137">
        <v>1</v>
      </c>
      <c r="I950" s="137">
        <v>1</v>
      </c>
      <c r="J950" s="137">
        <v>52.554200000000002</v>
      </c>
      <c r="K950" s="137" t="s">
        <v>77</v>
      </c>
      <c r="L950" s="137" t="s">
        <v>86</v>
      </c>
      <c r="M950" s="137" t="s">
        <v>87</v>
      </c>
      <c r="N950" s="137" t="b">
        <v>0</v>
      </c>
      <c r="O950" s="137" t="s">
        <v>96</v>
      </c>
      <c r="P950" s="137" t="s">
        <v>83</v>
      </c>
      <c r="Q950" s="137" t="s">
        <v>89</v>
      </c>
      <c r="R950" s="137" t="b">
        <v>0</v>
      </c>
      <c r="S950" s="139">
        <v>0</v>
      </c>
      <c r="T950" s="139">
        <v>5.8858040839592397E+18</v>
      </c>
    </row>
    <row r="951" spans="3:20">
      <c r="C951" s="24" t="b">
        <v>0</v>
      </c>
      <c r="D951" s="137">
        <v>0</v>
      </c>
      <c r="E951" s="138">
        <v>1</v>
      </c>
      <c r="F951" s="137" t="s">
        <v>75</v>
      </c>
      <c r="G951" s="137">
        <v>33</v>
      </c>
      <c r="H951" s="137">
        <v>0</v>
      </c>
      <c r="I951" s="137">
        <v>0</v>
      </c>
      <c r="J951" s="137">
        <v>5</v>
      </c>
      <c r="K951" s="137" t="s">
        <v>77</v>
      </c>
      <c r="L951" s="137" t="s">
        <v>86</v>
      </c>
      <c r="M951" s="137" t="s">
        <v>80</v>
      </c>
      <c r="N951" s="137" t="b">
        <v>1</v>
      </c>
      <c r="O951" s="137" t="s">
        <v>98</v>
      </c>
      <c r="P951" s="137" t="s">
        <v>83</v>
      </c>
      <c r="Q951" s="137" t="s">
        <v>84</v>
      </c>
      <c r="R951" s="137" t="b">
        <v>1</v>
      </c>
      <c r="S951" s="139">
        <v>0</v>
      </c>
      <c r="T951" s="139">
        <v>3.60690648812013E+18</v>
      </c>
    </row>
    <row r="952" spans="3:20">
      <c r="C952" s="24" t="b">
        <v>0</v>
      </c>
      <c r="D952" s="137">
        <v>0</v>
      </c>
      <c r="E952" s="138">
        <v>3</v>
      </c>
      <c r="F952" s="137" t="s">
        <v>75</v>
      </c>
      <c r="G952" s="137">
        <v>47</v>
      </c>
      <c r="H952" s="137">
        <v>0</v>
      </c>
      <c r="I952" s="137">
        <v>0</v>
      </c>
      <c r="J952" s="137">
        <v>9</v>
      </c>
      <c r="K952" s="137" t="s">
        <v>77</v>
      </c>
      <c r="L952" s="137" t="s">
        <v>79</v>
      </c>
      <c r="M952" s="137" t="s">
        <v>80</v>
      </c>
      <c r="N952" s="137" t="b">
        <v>1</v>
      </c>
      <c r="O952" s="137"/>
      <c r="P952" s="137" t="s">
        <v>83</v>
      </c>
      <c r="Q952" s="137" t="s">
        <v>84</v>
      </c>
      <c r="R952" s="137" t="b">
        <v>1</v>
      </c>
      <c r="S952" s="139">
        <v>1</v>
      </c>
      <c r="T952" s="139">
        <v>1.5065757035688301E+19</v>
      </c>
    </row>
    <row r="953" spans="3:20">
      <c r="C953" s="24" t="b">
        <v>0</v>
      </c>
      <c r="D953" s="137">
        <v>1</v>
      </c>
      <c r="E953" s="138">
        <v>2</v>
      </c>
      <c r="F953" s="137" t="s">
        <v>85</v>
      </c>
      <c r="G953" s="137">
        <v>28</v>
      </c>
      <c r="H953" s="137">
        <v>1</v>
      </c>
      <c r="I953" s="137">
        <v>0</v>
      </c>
      <c r="J953" s="137">
        <v>24</v>
      </c>
      <c r="K953" s="137" t="s">
        <v>82</v>
      </c>
      <c r="L953" s="137" t="s">
        <v>94</v>
      </c>
      <c r="M953" s="137" t="s">
        <v>87</v>
      </c>
      <c r="N953" s="137" t="b">
        <v>0</v>
      </c>
      <c r="O953" s="137"/>
      <c r="P953" s="137" t="s">
        <v>88</v>
      </c>
      <c r="Q953" s="137" t="s">
        <v>89</v>
      </c>
      <c r="R953" s="137" t="b">
        <v>0</v>
      </c>
      <c r="S953" s="139">
        <v>1</v>
      </c>
      <c r="T953" s="139">
        <v>7.6342083697300608E+16</v>
      </c>
    </row>
    <row r="954" spans="3:20">
      <c r="C954" s="24" t="b">
        <v>0</v>
      </c>
      <c r="D954" s="137">
        <v>1</v>
      </c>
      <c r="E954" s="138">
        <v>3</v>
      </c>
      <c r="F954" s="137" t="s">
        <v>85</v>
      </c>
      <c r="G954" s="137">
        <v>15</v>
      </c>
      <c r="H954" s="137">
        <v>0</v>
      </c>
      <c r="I954" s="137">
        <v>0</v>
      </c>
      <c r="J954" s="137">
        <v>7.2249999999999996</v>
      </c>
      <c r="K954" s="137" t="s">
        <v>82</v>
      </c>
      <c r="L954" s="137" t="s">
        <v>79</v>
      </c>
      <c r="M954" s="137" t="s">
        <v>93</v>
      </c>
      <c r="N954" s="137" t="b">
        <v>0</v>
      </c>
      <c r="O954" s="137"/>
      <c r="P954" s="137" t="s">
        <v>88</v>
      </c>
      <c r="Q954" s="137" t="s">
        <v>89</v>
      </c>
      <c r="R954" s="137" t="b">
        <v>1</v>
      </c>
      <c r="S954" s="139">
        <v>1</v>
      </c>
      <c r="T954" s="139">
        <v>1.2832568191477701E+19</v>
      </c>
    </row>
    <row r="955" spans="3:20">
      <c r="C955" s="24" t="b">
        <v>0</v>
      </c>
      <c r="D955" s="137">
        <v>0</v>
      </c>
      <c r="E955" s="138">
        <v>3</v>
      </c>
      <c r="F955" s="137" t="s">
        <v>75</v>
      </c>
      <c r="G955" s="137">
        <v>20</v>
      </c>
      <c r="H955" s="137">
        <v>0</v>
      </c>
      <c r="I955" s="137">
        <v>0</v>
      </c>
      <c r="J955" s="137">
        <v>9.8458000000000006</v>
      </c>
      <c r="K955" s="137" t="s">
        <v>77</v>
      </c>
      <c r="L955" s="137" t="s">
        <v>79</v>
      </c>
      <c r="M955" s="137" t="s">
        <v>80</v>
      </c>
      <c r="N955" s="137" t="b">
        <v>1</v>
      </c>
      <c r="O955" s="137"/>
      <c r="P955" s="137" t="s">
        <v>83</v>
      </c>
      <c r="Q955" s="137" t="s">
        <v>84</v>
      </c>
      <c r="R955" s="137" t="b">
        <v>1</v>
      </c>
      <c r="S955" s="139">
        <v>1</v>
      </c>
      <c r="T955" s="139">
        <v>1.1626194713228501E+19</v>
      </c>
    </row>
    <row r="956" spans="3:20">
      <c r="C956" s="24" t="b">
        <v>0</v>
      </c>
      <c r="D956" s="137">
        <v>0</v>
      </c>
      <c r="E956" s="138">
        <v>3</v>
      </c>
      <c r="F956" s="137" t="s">
        <v>75</v>
      </c>
      <c r="G956" s="137">
        <v>19</v>
      </c>
      <c r="H956" s="137">
        <v>0</v>
      </c>
      <c r="I956" s="137">
        <v>0</v>
      </c>
      <c r="J956" s="137">
        <v>7.8958000000000004</v>
      </c>
      <c r="K956" s="137" t="s">
        <v>77</v>
      </c>
      <c r="L956" s="137" t="s">
        <v>79</v>
      </c>
      <c r="M956" s="137" t="s">
        <v>80</v>
      </c>
      <c r="N956" s="137" t="b">
        <v>1</v>
      </c>
      <c r="O956" s="137"/>
      <c r="P956" s="137" t="s">
        <v>83</v>
      </c>
      <c r="Q956" s="137" t="s">
        <v>84</v>
      </c>
      <c r="R956" s="137" t="b">
        <v>1</v>
      </c>
      <c r="S956" s="139">
        <v>1</v>
      </c>
      <c r="T956" s="139">
        <v>1.25742438741241E+19</v>
      </c>
    </row>
    <row r="957" spans="3:20">
      <c r="C957" s="24" t="b">
        <v>0</v>
      </c>
      <c r="D957" s="137">
        <v>0</v>
      </c>
      <c r="E957" s="138">
        <v>3</v>
      </c>
      <c r="F957" s="137" t="s">
        <v>75</v>
      </c>
      <c r="G957" s="137"/>
      <c r="H957" s="137">
        <v>0</v>
      </c>
      <c r="I957" s="137">
        <v>0</v>
      </c>
      <c r="J957" s="137">
        <v>7.8958000000000004</v>
      </c>
      <c r="K957" s="137" t="s">
        <v>77</v>
      </c>
      <c r="L957" s="137" t="s">
        <v>79</v>
      </c>
      <c r="M957" s="137" t="s">
        <v>80</v>
      </c>
      <c r="N957" s="137" t="b">
        <v>1</v>
      </c>
      <c r="O957" s="137"/>
      <c r="P957" s="137" t="s">
        <v>83</v>
      </c>
      <c r="Q957" s="137" t="s">
        <v>84</v>
      </c>
      <c r="R957" s="137" t="b">
        <v>1</v>
      </c>
      <c r="S957" s="139">
        <v>1</v>
      </c>
      <c r="T957" s="139">
        <v>1.7970467560381901E+19</v>
      </c>
    </row>
    <row r="958" spans="3:20">
      <c r="C958" s="24" t="b">
        <v>0</v>
      </c>
      <c r="D958" s="137">
        <v>1</v>
      </c>
      <c r="E958" s="138">
        <v>1</v>
      </c>
      <c r="F958" s="137" t="s">
        <v>85</v>
      </c>
      <c r="G958" s="137">
        <v>56</v>
      </c>
      <c r="H958" s="137">
        <v>0</v>
      </c>
      <c r="I958" s="137">
        <v>1</v>
      </c>
      <c r="J958" s="137">
        <v>83.158299999999997</v>
      </c>
      <c r="K958" s="137" t="s">
        <v>82</v>
      </c>
      <c r="L958" s="137" t="s">
        <v>86</v>
      </c>
      <c r="M958" s="137" t="s">
        <v>87</v>
      </c>
      <c r="N958" s="137" t="b">
        <v>0</v>
      </c>
      <c r="O958" s="137" t="s">
        <v>82</v>
      </c>
      <c r="P958" s="137" t="s">
        <v>88</v>
      </c>
      <c r="Q958" s="137" t="s">
        <v>89</v>
      </c>
      <c r="R958" s="137" t="b">
        <v>0</v>
      </c>
      <c r="S958" s="139">
        <v>0</v>
      </c>
      <c r="T958" s="139">
        <v>1.5803205210721901E+19</v>
      </c>
    </row>
    <row r="959" spans="3:20">
      <c r="C959" s="24" t="b">
        <v>0</v>
      </c>
      <c r="D959" s="137">
        <v>1</v>
      </c>
      <c r="E959" s="138">
        <v>2</v>
      </c>
      <c r="F959" s="137" t="s">
        <v>85</v>
      </c>
      <c r="G959" s="137">
        <v>25</v>
      </c>
      <c r="H959" s="137">
        <v>0</v>
      </c>
      <c r="I959" s="137">
        <v>1</v>
      </c>
      <c r="J959" s="137">
        <v>26</v>
      </c>
      <c r="K959" s="137" t="s">
        <v>77</v>
      </c>
      <c r="L959" s="137" t="s">
        <v>94</v>
      </c>
      <c r="M959" s="137" t="s">
        <v>87</v>
      </c>
      <c r="N959" s="137" t="b">
        <v>0</v>
      </c>
      <c r="O959" s="137"/>
      <c r="P959" s="137" t="s">
        <v>83</v>
      </c>
      <c r="Q959" s="137" t="s">
        <v>89</v>
      </c>
      <c r="R959" s="137" t="b">
        <v>0</v>
      </c>
      <c r="S959" s="139">
        <v>1</v>
      </c>
      <c r="T959" s="139">
        <v>6.4322653886203996E+18</v>
      </c>
    </row>
    <row r="960" spans="3:20">
      <c r="C960" s="24" t="b">
        <v>0</v>
      </c>
      <c r="D960" s="137">
        <v>0</v>
      </c>
      <c r="E960" s="138">
        <v>3</v>
      </c>
      <c r="F960" s="137" t="s">
        <v>75</v>
      </c>
      <c r="G960" s="137">
        <v>33</v>
      </c>
      <c r="H960" s="137">
        <v>0</v>
      </c>
      <c r="I960" s="137">
        <v>0</v>
      </c>
      <c r="J960" s="137">
        <v>7.8958000000000004</v>
      </c>
      <c r="K960" s="137" t="s">
        <v>77</v>
      </c>
      <c r="L960" s="137" t="s">
        <v>79</v>
      </c>
      <c r="M960" s="137" t="s">
        <v>80</v>
      </c>
      <c r="N960" s="137" t="b">
        <v>1</v>
      </c>
      <c r="O960" s="137"/>
      <c r="P960" s="137" t="s">
        <v>83</v>
      </c>
      <c r="Q960" s="137" t="s">
        <v>84</v>
      </c>
      <c r="R960" s="137" t="b">
        <v>1</v>
      </c>
      <c r="S960" s="139">
        <v>1</v>
      </c>
      <c r="T960" s="139">
        <v>1.3288052022795399E+19</v>
      </c>
    </row>
    <row r="961" spans="3:20">
      <c r="C961" s="24" t="b">
        <v>0</v>
      </c>
      <c r="D961" s="137">
        <v>0</v>
      </c>
      <c r="E961" s="138">
        <v>3</v>
      </c>
      <c r="F961" s="137" t="s">
        <v>85</v>
      </c>
      <c r="G961" s="137">
        <v>22</v>
      </c>
      <c r="H961" s="137">
        <v>0</v>
      </c>
      <c r="I961" s="137">
        <v>0</v>
      </c>
      <c r="J961" s="137">
        <v>10.5167</v>
      </c>
      <c r="K961" s="137" t="s">
        <v>77</v>
      </c>
      <c r="L961" s="137" t="s">
        <v>79</v>
      </c>
      <c r="M961" s="137" t="s">
        <v>87</v>
      </c>
      <c r="N961" s="137" t="b">
        <v>0</v>
      </c>
      <c r="O961" s="137"/>
      <c r="P961" s="137" t="s">
        <v>83</v>
      </c>
      <c r="Q961" s="137" t="s">
        <v>84</v>
      </c>
      <c r="R961" s="137" t="b">
        <v>1</v>
      </c>
      <c r="S961" s="139">
        <v>1</v>
      </c>
      <c r="T961" s="139">
        <v>1.39422554661965E+19</v>
      </c>
    </row>
    <row r="962" spans="3:20">
      <c r="C962" s="24" t="b">
        <v>0</v>
      </c>
      <c r="D962" s="137">
        <v>0</v>
      </c>
      <c r="E962" s="138">
        <v>2</v>
      </c>
      <c r="F962" s="137" t="s">
        <v>75</v>
      </c>
      <c r="G962" s="137">
        <v>28</v>
      </c>
      <c r="H962" s="137">
        <v>0</v>
      </c>
      <c r="I962" s="137">
        <v>0</v>
      </c>
      <c r="J962" s="137">
        <v>10.5</v>
      </c>
      <c r="K962" s="137" t="s">
        <v>77</v>
      </c>
      <c r="L962" s="137" t="s">
        <v>94</v>
      </c>
      <c r="M962" s="137" t="s">
        <v>80</v>
      </c>
      <c r="N962" s="137" t="b">
        <v>1</v>
      </c>
      <c r="O962" s="137"/>
      <c r="P962" s="137" t="s">
        <v>83</v>
      </c>
      <c r="Q962" s="137" t="s">
        <v>84</v>
      </c>
      <c r="R962" s="137" t="b">
        <v>1</v>
      </c>
      <c r="S962" s="139">
        <v>1</v>
      </c>
      <c r="T962" s="139">
        <v>7.7440892569084099E+18</v>
      </c>
    </row>
    <row r="963" spans="3:20">
      <c r="C963" s="24" t="b">
        <v>0</v>
      </c>
      <c r="D963" s="137">
        <v>0</v>
      </c>
      <c r="E963" s="138">
        <v>3</v>
      </c>
      <c r="F963" s="137" t="s">
        <v>75</v>
      </c>
      <c r="G963" s="137">
        <v>25</v>
      </c>
      <c r="H963" s="137">
        <v>0</v>
      </c>
      <c r="I963" s="137">
        <v>0</v>
      </c>
      <c r="J963" s="137">
        <v>7.05</v>
      </c>
      <c r="K963" s="137" t="s">
        <v>77</v>
      </c>
      <c r="L963" s="137" t="s">
        <v>79</v>
      </c>
      <c r="M963" s="137" t="s">
        <v>80</v>
      </c>
      <c r="N963" s="137" t="b">
        <v>1</v>
      </c>
      <c r="O963" s="137"/>
      <c r="P963" s="137" t="s">
        <v>83</v>
      </c>
      <c r="Q963" s="137" t="s">
        <v>84</v>
      </c>
      <c r="R963" s="137" t="b">
        <v>1</v>
      </c>
      <c r="S963" s="139">
        <v>1</v>
      </c>
      <c r="T963" s="139">
        <v>9.9639541137136294E+17</v>
      </c>
    </row>
    <row r="964" spans="3:20">
      <c r="C964" s="24" t="b">
        <v>0</v>
      </c>
      <c r="D964" s="137">
        <v>0</v>
      </c>
      <c r="E964" s="138">
        <v>3</v>
      </c>
      <c r="F964" s="137" t="s">
        <v>85</v>
      </c>
      <c r="G964" s="137">
        <v>39</v>
      </c>
      <c r="H964" s="137">
        <v>0</v>
      </c>
      <c r="I964" s="137">
        <v>5</v>
      </c>
      <c r="J964" s="137">
        <v>29.125</v>
      </c>
      <c r="K964" s="137" t="s">
        <v>90</v>
      </c>
      <c r="L964" s="137" t="s">
        <v>79</v>
      </c>
      <c r="M964" s="137" t="s">
        <v>87</v>
      </c>
      <c r="N964" s="137" t="b">
        <v>0</v>
      </c>
      <c r="O964" s="137"/>
      <c r="P964" s="137" t="s">
        <v>91</v>
      </c>
      <c r="Q964" s="137" t="s">
        <v>84</v>
      </c>
      <c r="R964" s="137" t="b">
        <v>0</v>
      </c>
      <c r="S964" s="139">
        <v>1</v>
      </c>
      <c r="T964" s="139">
        <v>8.7941847115595305E+18</v>
      </c>
    </row>
    <row r="965" spans="3:20">
      <c r="C965" s="24" t="b">
        <v>0</v>
      </c>
      <c r="D965" s="137">
        <v>0</v>
      </c>
      <c r="E965" s="138">
        <v>2</v>
      </c>
      <c r="F965" s="137" t="s">
        <v>75</v>
      </c>
      <c r="G965" s="137">
        <v>27</v>
      </c>
      <c r="H965" s="137">
        <v>0</v>
      </c>
      <c r="I965" s="137">
        <v>0</v>
      </c>
      <c r="J965" s="137">
        <v>13</v>
      </c>
      <c r="K965" s="137" t="s">
        <v>77</v>
      </c>
      <c r="L965" s="137" t="s">
        <v>94</v>
      </c>
      <c r="M965" s="137" t="s">
        <v>80</v>
      </c>
      <c r="N965" s="137" t="b">
        <v>1</v>
      </c>
      <c r="O965" s="137"/>
      <c r="P965" s="137" t="s">
        <v>83</v>
      </c>
      <c r="Q965" s="137" t="s">
        <v>84</v>
      </c>
      <c r="R965" s="137" t="b">
        <v>1</v>
      </c>
      <c r="S965" s="139">
        <v>1</v>
      </c>
      <c r="T965" s="139">
        <v>9.7019234227305103E+18</v>
      </c>
    </row>
    <row r="966" spans="3:20">
      <c r="C966" s="24" t="b">
        <v>0</v>
      </c>
      <c r="D966" s="137">
        <v>1</v>
      </c>
      <c r="E966" s="138">
        <v>1</v>
      </c>
      <c r="F966" s="137" t="s">
        <v>85</v>
      </c>
      <c r="G966" s="137">
        <v>19</v>
      </c>
      <c r="H966" s="137">
        <v>0</v>
      </c>
      <c r="I966" s="137">
        <v>0</v>
      </c>
      <c r="J966" s="137">
        <v>30</v>
      </c>
      <c r="K966" s="137" t="s">
        <v>77</v>
      </c>
      <c r="L966" s="137" t="s">
        <v>86</v>
      </c>
      <c r="M966" s="137" t="s">
        <v>87</v>
      </c>
      <c r="N966" s="137" t="b">
        <v>0</v>
      </c>
      <c r="O966" s="137" t="s">
        <v>98</v>
      </c>
      <c r="P966" s="137" t="s">
        <v>83</v>
      </c>
      <c r="Q966" s="137" t="s">
        <v>89</v>
      </c>
      <c r="R966" s="137" t="b">
        <v>1</v>
      </c>
      <c r="S966" s="139">
        <v>0</v>
      </c>
      <c r="T966" s="139">
        <v>1.0603551611696501E+19</v>
      </c>
    </row>
    <row r="967" spans="3:20">
      <c r="C967" s="24" t="b">
        <v>0</v>
      </c>
      <c r="D967" s="137">
        <v>0</v>
      </c>
      <c r="E967" s="138">
        <v>3</v>
      </c>
      <c r="F967" s="137" t="s">
        <v>85</v>
      </c>
      <c r="G967" s="137"/>
      <c r="H967" s="137">
        <v>1</v>
      </c>
      <c r="I967" s="137">
        <v>2</v>
      </c>
      <c r="J967" s="137">
        <v>23.45</v>
      </c>
      <c r="K967" s="137" t="s">
        <v>77</v>
      </c>
      <c r="L967" s="137" t="s">
        <v>79</v>
      </c>
      <c r="M967" s="137" t="s">
        <v>87</v>
      </c>
      <c r="N967" s="137" t="b">
        <v>0</v>
      </c>
      <c r="O967" s="137"/>
      <c r="P967" s="137" t="s">
        <v>83</v>
      </c>
      <c r="Q967" s="137" t="s">
        <v>84</v>
      </c>
      <c r="R967" s="137" t="b">
        <v>0</v>
      </c>
      <c r="S967" s="139">
        <v>1</v>
      </c>
      <c r="T967" s="139">
        <v>3.5538833422444902E+18</v>
      </c>
    </row>
    <row r="968" spans="3:20">
      <c r="C968" s="24" t="b">
        <v>0</v>
      </c>
      <c r="D968" s="137">
        <v>1</v>
      </c>
      <c r="E968" s="138">
        <v>1</v>
      </c>
      <c r="F968" s="137" t="s">
        <v>75</v>
      </c>
      <c r="G968" s="137">
        <v>26</v>
      </c>
      <c r="H968" s="137">
        <v>0</v>
      </c>
      <c r="I968" s="137">
        <v>0</v>
      </c>
      <c r="J968" s="137">
        <v>30</v>
      </c>
      <c r="K968" s="137" t="s">
        <v>82</v>
      </c>
      <c r="L968" s="137" t="s">
        <v>86</v>
      </c>
      <c r="M968" s="137" t="s">
        <v>80</v>
      </c>
      <c r="N968" s="137" t="b">
        <v>1</v>
      </c>
      <c r="O968" s="137" t="s">
        <v>82</v>
      </c>
      <c r="P968" s="137" t="s">
        <v>88</v>
      </c>
      <c r="Q968" s="137" t="s">
        <v>89</v>
      </c>
      <c r="R968" s="137" t="b">
        <v>1</v>
      </c>
      <c r="S968" s="139">
        <v>0</v>
      </c>
      <c r="T968" s="139">
        <v>1.20211449564101E+19</v>
      </c>
    </row>
    <row r="969" spans="3:20">
      <c r="C969" s="24" t="b">
        <v>0</v>
      </c>
      <c r="D969" s="137">
        <v>0</v>
      </c>
      <c r="E969" s="138">
        <v>3</v>
      </c>
      <c r="F969" s="137" t="s">
        <v>75</v>
      </c>
      <c r="G969" s="137">
        <v>32</v>
      </c>
      <c r="H969" s="137">
        <v>0</v>
      </c>
      <c r="I969" s="137">
        <v>0</v>
      </c>
      <c r="J969" s="137">
        <v>7.75</v>
      </c>
      <c r="K969" s="137" t="s">
        <v>90</v>
      </c>
      <c r="L969" s="137" t="s">
        <v>79</v>
      </c>
      <c r="M969" s="137" t="s">
        <v>80</v>
      </c>
      <c r="N969" s="137" t="b">
        <v>1</v>
      </c>
      <c r="O969" s="137"/>
      <c r="P969" s="137" t="s">
        <v>91</v>
      </c>
      <c r="Q969" s="137" t="s">
        <v>84</v>
      </c>
      <c r="R969" s="137" t="b">
        <v>1</v>
      </c>
      <c r="S969" s="139">
        <v>1</v>
      </c>
      <c r="T969" s="139">
        <v>1.09525754684777E+19</v>
      </c>
    </row>
  </sheetData>
  <mergeCells count="1">
    <mergeCell ref="D15:E15"/>
  </mergeCells>
  <phoneticPr fontId="15" type="noConversion"/>
  <conditionalFormatting sqref="C78 C57:C64">
    <cfRule type="duplicateValues" dxfId="102" priority="29"/>
  </conditionalFormatting>
  <conditionalFormatting sqref="C79:C969">
    <cfRule type="cellIs" dxfId="101" priority="54" operator="equal">
      <formula>FALSE</formula>
    </cfRule>
    <cfRule type="cellIs" dxfId="100" priority="55" operator="notEqual">
      <formula>FALSE</formula>
    </cfRule>
  </conditionalFormatting>
  <conditionalFormatting sqref="D15">
    <cfRule type="cellIs" dxfId="99" priority="13" operator="notEqual">
      <formula>"Description"</formula>
    </cfRule>
  </conditionalFormatting>
  <conditionalFormatting sqref="D17">
    <cfRule type="colorScale" priority="12">
      <colorScale>
        <cfvo type="num" val="0"/>
        <cfvo type="num" val="100000"/>
        <cfvo type="num" val="1000000"/>
        <color theme="1"/>
        <color rgb="FFB08600"/>
        <color rgb="FF7A0000"/>
      </colorScale>
    </cfRule>
  </conditionalFormatting>
  <conditionalFormatting sqref="D18">
    <cfRule type="colorScale" priority="10">
      <colorScale>
        <cfvo type="num" val="0"/>
        <cfvo type="num" val="100"/>
        <cfvo type="num" val="16000"/>
        <color theme="1"/>
        <color rgb="FFB08600"/>
        <color rgb="FF7A0000"/>
      </colorScale>
    </cfRule>
  </conditionalFormatting>
  <conditionalFormatting sqref="D7:R7">
    <cfRule type="cellIs" dxfId="98" priority="22" operator="notEqual">
      <formula>"Definition"</formula>
    </cfRule>
  </conditionalFormatting>
  <conditionalFormatting sqref="D9:R9">
    <cfRule type="cellIs" dxfId="97" priority="28" operator="notEqual">
      <formula>"Notes"</formula>
    </cfRule>
  </conditionalFormatting>
  <conditionalFormatting sqref="D22:F29 D35:F39 D45:F53">
    <cfRule type="cellIs" dxfId="96" priority="58" operator="equal">
      <formula>0</formula>
    </cfRule>
  </conditionalFormatting>
  <conditionalFormatting sqref="D23:F25">
    <cfRule type="colorScale" priority="49">
      <colorScale>
        <cfvo type="num" val="0"/>
        <cfvo type="num" val="0.2"/>
        <color theme="1"/>
        <color rgb="FF7A0000"/>
      </colorScale>
    </cfRule>
  </conditionalFormatting>
  <conditionalFormatting sqref="D57:F64">
    <cfRule type="cellIs" dxfId="95" priority="52" operator="equal">
      <formula>FALSE</formula>
    </cfRule>
    <cfRule type="cellIs" dxfId="94" priority="53" operator="notEqual">
      <formula>FALSE</formula>
    </cfRule>
  </conditionalFormatting>
  <conditionalFormatting sqref="G22:R29 G35:R39 G45:R53">
    <cfRule type="cellIs" dxfId="92" priority="5" operator="equal">
      <formula>0</formula>
    </cfRule>
  </conditionalFormatting>
  <conditionalFormatting sqref="G23:R25">
    <cfRule type="colorScale" priority="2">
      <colorScale>
        <cfvo type="num" val="0"/>
        <cfvo type="num" val="0.2"/>
        <color theme="1"/>
        <color rgb="FF7A0000"/>
      </colorScale>
    </cfRule>
  </conditionalFormatting>
  <conditionalFormatting sqref="G57:R64">
    <cfRule type="cellIs" dxfId="91" priority="3" operator="equal">
      <formula>FALSE</formula>
    </cfRule>
    <cfRule type="cellIs" dxfId="90" priority="4" operator="notEqual">
      <formula>FALSE</formula>
    </cfRule>
  </conditionalFormatting>
  <conditionalFormatting sqref="S78:T78">
    <cfRule type="duplicateValues" dxfId="0" priority="1"/>
  </conditionalFormatting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D451A-6089-49F9-846B-EC0FCBFBD9D1}">
  <sheetPr codeName="Sheet7"/>
  <dimension ref="B1:Q13"/>
  <sheetViews>
    <sheetView workbookViewId="0">
      <selection activeCell="C8" sqref="C8"/>
    </sheetView>
  </sheetViews>
  <sheetFormatPr defaultRowHeight="14.4"/>
  <cols>
    <col min="1" max="2" width="2.77734375" customWidth="1"/>
    <col min="3" max="3" width="10.77734375" bestFit="1" customWidth="1"/>
    <col min="4" max="4" width="10.44140625" bestFit="1" customWidth="1"/>
    <col min="5" max="5" width="8.109375" bestFit="1" customWidth="1"/>
    <col min="6" max="6" width="8.44140625" bestFit="1" customWidth="1"/>
    <col min="7" max="7" width="9.6640625" bestFit="1" customWidth="1"/>
    <col min="8" max="8" width="10.21875" bestFit="1" customWidth="1"/>
    <col min="9" max="9" width="8.77734375" bestFit="1" customWidth="1"/>
    <col min="10" max="10" width="14" bestFit="1" customWidth="1"/>
    <col min="11" max="11" width="9.33203125" bestFit="1" customWidth="1"/>
    <col min="12" max="12" width="9.109375" bestFit="1" customWidth="1"/>
    <col min="13" max="14" width="15.77734375" customWidth="1"/>
    <col min="15" max="16" width="15.44140625" customWidth="1"/>
  </cols>
  <sheetData>
    <row r="1" spans="2:17">
      <c r="C1" s="2"/>
      <c r="D1" s="6"/>
      <c r="E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2:17" s="38" customFormat="1" ht="36.6">
      <c r="C2" s="100" t="str">
        <f>Name</f>
        <v>Titanic</v>
      </c>
      <c r="E2" s="101"/>
      <c r="G2" s="101"/>
      <c r="H2" s="101"/>
      <c r="I2" s="101"/>
      <c r="J2" s="101"/>
      <c r="K2" s="101"/>
      <c r="L2" s="101"/>
      <c r="M2" s="101"/>
      <c r="N2" s="101"/>
      <c r="O2" s="101"/>
      <c r="P2" s="102"/>
    </row>
    <row r="3" spans="2:17" ht="10.050000000000001" customHeight="1">
      <c r="C3" s="1"/>
      <c r="D3" s="4"/>
      <c r="E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2:17" ht="15" customHeight="1">
      <c r="B4" s="121"/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</row>
    <row r="5" spans="2:17" ht="15" customHeight="1"/>
    <row r="6" spans="2:17" ht="15" customHeight="1"/>
    <row r="7" spans="2:17" ht="15" customHeight="1">
      <c r="C7" s="97" t="s">
        <v>100</v>
      </c>
    </row>
    <row r="8" spans="2:17" ht="36.6" customHeight="1">
      <c r="C8" s="142" t="s">
        <v>56</v>
      </c>
      <c r="D8" s="141" t="s">
        <v>57</v>
      </c>
      <c r="E8" s="141" t="s">
        <v>58</v>
      </c>
      <c r="F8" s="141" t="s">
        <v>59</v>
      </c>
      <c r="G8" s="141" t="s">
        <v>60</v>
      </c>
      <c r="H8" s="141" t="s">
        <v>61</v>
      </c>
      <c r="I8" s="141" t="s">
        <v>62</v>
      </c>
      <c r="J8" s="141" t="s">
        <v>63</v>
      </c>
      <c r="K8" s="141" t="s">
        <v>64</v>
      </c>
      <c r="L8" s="141" t="s">
        <v>65</v>
      </c>
      <c r="M8" s="98" t="s">
        <v>52</v>
      </c>
      <c r="N8" s="98" t="s">
        <v>53</v>
      </c>
    </row>
    <row r="9" spans="2:17" ht="15" customHeight="1">
      <c r="C9" s="140">
        <v>0</v>
      </c>
      <c r="D9" s="91"/>
      <c r="E9" s="91"/>
      <c r="F9" s="91"/>
      <c r="G9" s="91"/>
      <c r="H9" s="91"/>
      <c r="I9" s="91"/>
      <c r="J9" s="91"/>
      <c r="K9" s="91"/>
      <c r="L9" s="91"/>
      <c r="M9" s="99">
        <v>0.89253187613843354</v>
      </c>
      <c r="N9" s="143">
        <v>0.69111424541607902</v>
      </c>
    </row>
    <row r="10" spans="2:17" ht="15" customHeight="1">
      <c r="C10" s="140">
        <v>1</v>
      </c>
      <c r="D10" s="91"/>
      <c r="E10" s="91"/>
      <c r="F10" s="91"/>
      <c r="G10" s="91"/>
      <c r="H10" s="91"/>
      <c r="I10" s="91"/>
      <c r="J10" s="91"/>
      <c r="K10" s="91"/>
      <c r="L10" s="91"/>
      <c r="M10" s="99">
        <v>0.64035087719298245</v>
      </c>
      <c r="N10" s="143">
        <v>0.30888575458392104</v>
      </c>
    </row>
    <row r="11" spans="2:17" ht="15" customHeight="1">
      <c r="C11" s="140" t="s">
        <v>101</v>
      </c>
      <c r="D11" s="91"/>
      <c r="E11" s="91"/>
      <c r="F11" s="91"/>
      <c r="G11" s="91"/>
      <c r="H11" s="91"/>
      <c r="I11" s="91"/>
      <c r="J11" s="91"/>
      <c r="K11" s="91"/>
      <c r="L11" s="91"/>
      <c r="M11" s="99">
        <v>0.79573512906846244</v>
      </c>
      <c r="N11" s="143">
        <v>1</v>
      </c>
    </row>
    <row r="12" spans="2:17" ht="15" customHeight="1"/>
    <row r="13" spans="2:17" ht="15" customHeight="1"/>
  </sheetData>
  <conditionalFormatting pivot="1" sqref="M9:M11">
    <cfRule type="colorScale" priority="9">
      <colorScale>
        <cfvo type="num" val="0"/>
        <cfvo type="num" val="0.2"/>
        <color theme="1"/>
        <color rgb="FF7A0000"/>
      </colorScale>
    </cfRule>
  </conditionalFormatting>
  <conditionalFormatting pivot="1" sqref="N9:N11">
    <cfRule type="colorScale" priority="8">
      <colorScale>
        <cfvo type="num" val="0"/>
        <cfvo type="num" val="0.2"/>
        <color theme="1"/>
        <color rgb="FF7A0000"/>
      </colorScale>
    </cfRule>
  </conditionalFormatting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004ED-7328-4958-9243-BB98966E137D}">
  <sheetPr codeName="Sheet8"/>
  <dimension ref="B1:Q13"/>
  <sheetViews>
    <sheetView workbookViewId="0">
      <selection activeCell="C8" sqref="C8"/>
    </sheetView>
  </sheetViews>
  <sheetFormatPr defaultRowHeight="14.4"/>
  <cols>
    <col min="1" max="2" width="2.77734375" customWidth="1"/>
    <col min="3" max="3" width="10.77734375" bestFit="1" customWidth="1"/>
    <col min="4" max="4" width="10.44140625" bestFit="1" customWidth="1"/>
    <col min="5" max="5" width="8.109375" bestFit="1" customWidth="1"/>
    <col min="6" max="6" width="8.44140625" bestFit="1" customWidth="1"/>
    <col min="7" max="7" width="9.6640625" bestFit="1" customWidth="1"/>
    <col min="8" max="8" width="10.21875" bestFit="1" customWidth="1"/>
    <col min="9" max="9" width="8.77734375" bestFit="1" customWidth="1"/>
    <col min="10" max="10" width="14" bestFit="1" customWidth="1"/>
    <col min="11" max="11" width="9.33203125" bestFit="1" customWidth="1"/>
    <col min="12" max="12" width="9.109375" bestFit="1" customWidth="1"/>
    <col min="13" max="16" width="15.44140625" customWidth="1"/>
  </cols>
  <sheetData>
    <row r="1" spans="2:17">
      <c r="C1" s="2"/>
      <c r="D1" s="6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2:17" s="38" customFormat="1" ht="36.6">
      <c r="C2" s="100" t="str">
        <f>Name</f>
        <v>Titanic</v>
      </c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2"/>
    </row>
    <row r="3" spans="2:17" ht="10.050000000000001" customHeight="1">
      <c r="C3" s="1"/>
      <c r="D3" s="4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2:17" ht="15" customHeight="1">
      <c r="B4" s="121"/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</row>
    <row r="5" spans="2:17" ht="15" customHeight="1"/>
    <row r="6" spans="2:17" ht="15" customHeight="1"/>
    <row r="7" spans="2:17" ht="15" customHeight="1">
      <c r="C7" s="97" t="s">
        <v>100</v>
      </c>
    </row>
    <row r="8" spans="2:17" ht="36.6" customHeight="1">
      <c r="C8" s="142" t="s">
        <v>56</v>
      </c>
      <c r="D8" s="141" t="s">
        <v>57</v>
      </c>
      <c r="E8" s="141" t="s">
        <v>58</v>
      </c>
      <c r="F8" s="141" t="s">
        <v>59</v>
      </c>
      <c r="G8" s="141" t="s">
        <v>60</v>
      </c>
      <c r="H8" s="141" t="s">
        <v>61</v>
      </c>
      <c r="I8" s="141" t="s">
        <v>62</v>
      </c>
      <c r="J8" s="141" t="s">
        <v>63</v>
      </c>
      <c r="K8" s="141" t="s">
        <v>64</v>
      </c>
      <c r="L8" s="141" t="s">
        <v>65</v>
      </c>
    </row>
    <row r="9" spans="2:17" ht="15" customHeight="1">
      <c r="C9" s="140">
        <v>0</v>
      </c>
      <c r="D9" s="91"/>
      <c r="E9" s="91"/>
      <c r="F9" s="91"/>
      <c r="G9" s="91"/>
      <c r="H9" s="91"/>
      <c r="I9" s="91"/>
      <c r="J9" s="91"/>
      <c r="K9" s="91"/>
      <c r="L9" s="91"/>
    </row>
    <row r="10" spans="2:17" ht="15" customHeight="1">
      <c r="C10" s="140">
        <v>1</v>
      </c>
      <c r="D10" s="91"/>
      <c r="E10" s="91"/>
      <c r="F10" s="91"/>
      <c r="G10" s="91"/>
      <c r="H10" s="91"/>
      <c r="I10" s="91"/>
      <c r="J10" s="91"/>
      <c r="K10" s="91"/>
      <c r="L10" s="91"/>
    </row>
    <row r="11" spans="2:17" ht="15" customHeight="1">
      <c r="C11" s="140" t="s">
        <v>101</v>
      </c>
      <c r="D11" s="91"/>
      <c r="E11" s="91"/>
      <c r="F11" s="91"/>
      <c r="G11" s="91"/>
      <c r="H11" s="91"/>
      <c r="I11" s="91"/>
      <c r="J11" s="91"/>
      <c r="K11" s="91"/>
      <c r="L11" s="91"/>
    </row>
    <row r="12" spans="2:17" ht="15" customHeight="1"/>
    <row r="13" spans="2:17" ht="15" customHeight="1"/>
  </sheetData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95EEE-047F-419C-9BC8-A7C362742EA6}">
  <sheetPr codeName="Sheet5"/>
  <dimension ref="A2:P17"/>
  <sheetViews>
    <sheetView zoomScale="85" zoomScaleNormal="85" workbookViewId="0">
      <selection activeCell="C8" sqref="C8"/>
    </sheetView>
  </sheetViews>
  <sheetFormatPr defaultRowHeight="14.4"/>
  <cols>
    <col min="1" max="1" width="2.77734375" customWidth="1"/>
    <col min="2" max="2" width="2.77734375" style="2" customWidth="1"/>
    <col min="3" max="3" width="78.6640625" style="6" customWidth="1"/>
    <col min="4" max="4" width="31.88671875" style="1" customWidth="1"/>
    <col min="5" max="16" width="8.88671875" style="1"/>
  </cols>
  <sheetData>
    <row r="2" spans="1:16" ht="43.2" customHeight="1">
      <c r="C2" s="48" t="s">
        <v>23</v>
      </c>
      <c r="P2" s="85"/>
    </row>
    <row r="3" spans="1:16" ht="4.95" customHeight="1">
      <c r="B3" s="1"/>
      <c r="C3" s="4"/>
      <c r="P3" s="84"/>
    </row>
    <row r="4" spans="1:16" ht="19.95" customHeight="1">
      <c r="B4" s="1"/>
      <c r="C4" s="4"/>
      <c r="P4" s="86"/>
    </row>
    <row r="5" spans="1:16" ht="4.95" customHeight="1">
      <c r="B5" s="1"/>
      <c r="C5" s="4"/>
    </row>
    <row r="6" spans="1:16" ht="34.950000000000003" customHeight="1">
      <c r="B6" s="118"/>
      <c r="C6" s="122"/>
      <c r="D6" s="122"/>
      <c r="E6" s="122"/>
      <c r="F6" s="122"/>
      <c r="G6" s="122"/>
      <c r="H6" s="122"/>
      <c r="I6" s="122"/>
      <c r="J6" s="122"/>
      <c r="K6" s="122"/>
      <c r="L6" s="122"/>
      <c r="M6" s="122"/>
      <c r="N6" s="122"/>
      <c r="O6" s="122"/>
      <c r="P6" s="122"/>
    </row>
    <row r="7" spans="1:16" ht="15" customHeight="1">
      <c r="B7"/>
      <c r="C7"/>
      <c r="D7"/>
      <c r="E7"/>
      <c r="F7"/>
      <c r="G7"/>
      <c r="H7"/>
      <c r="I7"/>
      <c r="J7"/>
      <c r="K7"/>
      <c r="L7"/>
      <c r="M7"/>
      <c r="N7"/>
      <c r="O7"/>
      <c r="P7"/>
    </row>
    <row r="8" spans="1:16" ht="15" customHeight="1">
      <c r="C8" s="19"/>
    </row>
    <row r="9" spans="1:16" ht="19.2" customHeight="1">
      <c r="B9" s="1"/>
      <c r="C9" s="4"/>
    </row>
    <row r="16" spans="1:16" s="1" customFormat="1">
      <c r="A16"/>
      <c r="B16" s="2"/>
    </row>
    <row r="17" spans="1:2" s="1" customFormat="1">
      <c r="A17"/>
      <c r="B17" s="2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F1DEB-DE7B-436D-A47E-90F41C9C2F3B}">
  <sheetPr codeName="Sheet4"/>
  <dimension ref="B2:P20"/>
  <sheetViews>
    <sheetView zoomScale="85" zoomScaleNormal="85" workbookViewId="0">
      <pane xSplit="3" ySplit="6" topLeftCell="D7" activePane="bottomRight" state="frozen"/>
      <selection activeCell="C8" sqref="C8"/>
      <selection pane="topRight" activeCell="C8" sqref="C8"/>
      <selection pane="bottomLeft" activeCell="C8" sqref="C8"/>
      <selection pane="bottomRight" activeCell="B8" sqref="B8"/>
    </sheetView>
  </sheetViews>
  <sheetFormatPr defaultRowHeight="14.4"/>
  <cols>
    <col min="1" max="1" width="3" style="1" customWidth="1"/>
    <col min="2" max="2" width="2.77734375" style="2" customWidth="1"/>
    <col min="3" max="3" width="53.33203125" style="6" bestFit="1" customWidth="1"/>
    <col min="4" max="4" width="27.77734375" style="1" customWidth="1"/>
    <col min="5" max="16384" width="8.88671875" style="1"/>
  </cols>
  <sheetData>
    <row r="2" spans="2:16" ht="51.6" customHeight="1">
      <c r="B2" s="34"/>
      <c r="C2" s="48" t="s">
        <v>30</v>
      </c>
      <c r="D2" s="89"/>
      <c r="P2" s="85"/>
    </row>
    <row r="3" spans="2:16" ht="4.95" customHeight="1">
      <c r="B3" s="34"/>
      <c r="C3" s="87"/>
      <c r="D3" s="88"/>
      <c r="P3" s="84"/>
    </row>
    <row r="4" spans="2:16" ht="19.95" customHeight="1">
      <c r="B4" s="34"/>
      <c r="C4" s="87"/>
      <c r="D4" s="88"/>
      <c r="P4" s="86"/>
    </row>
    <row r="5" spans="2:16" ht="4.95" customHeight="1">
      <c r="B5" s="1"/>
      <c r="C5" s="4"/>
    </row>
    <row r="6" spans="2:16" s="5" customFormat="1" ht="30" customHeight="1">
      <c r="B6" s="118"/>
      <c r="C6" s="122"/>
      <c r="D6" s="122"/>
      <c r="E6" s="122"/>
      <c r="F6" s="122"/>
      <c r="G6" s="122"/>
      <c r="H6" s="122"/>
      <c r="I6" s="122"/>
      <c r="J6" s="122"/>
      <c r="K6" s="122"/>
      <c r="L6" s="122"/>
      <c r="M6" s="122"/>
      <c r="N6" s="122"/>
      <c r="O6" s="122"/>
      <c r="P6" s="122"/>
    </row>
    <row r="7" spans="2:16" ht="10.050000000000001" customHeight="1">
      <c r="B7" s="1"/>
      <c r="C7" s="4"/>
    </row>
    <row r="8" spans="2:16" ht="10.050000000000001" customHeight="1">
      <c r="B8" s="9"/>
      <c r="D8" s="6"/>
    </row>
    <row r="9" spans="2:16" ht="150" customHeight="1">
      <c r="B9" s="12"/>
      <c r="C9" s="13"/>
      <c r="D9"/>
      <c r="E9"/>
      <c r="F9"/>
      <c r="G9"/>
      <c r="H9"/>
      <c r="I9"/>
    </row>
    <row r="10" spans="2:16" ht="10.050000000000001" customHeight="1">
      <c r="B10" s="15"/>
      <c r="D10"/>
      <c r="E10"/>
      <c r="F10"/>
      <c r="G10"/>
      <c r="H10"/>
      <c r="I10"/>
    </row>
    <row r="11" spans="2:16" collapsed="1">
      <c r="D11"/>
      <c r="E11"/>
      <c r="F11"/>
      <c r="G11"/>
      <c r="H11"/>
      <c r="I11"/>
    </row>
    <row r="12" spans="2:16">
      <c r="D12"/>
      <c r="E12"/>
      <c r="F12"/>
      <c r="G12"/>
      <c r="H12"/>
      <c r="I12"/>
    </row>
    <row r="13" spans="2:16">
      <c r="C13" s="1"/>
      <c r="D13"/>
      <c r="E13"/>
      <c r="F13"/>
      <c r="G13"/>
      <c r="H13"/>
      <c r="I13"/>
    </row>
    <row r="14" spans="2:16">
      <c r="C14" s="1"/>
    </row>
    <row r="15" spans="2:16">
      <c r="C15" s="1"/>
    </row>
    <row r="16" spans="2:16">
      <c r="C16" s="1"/>
    </row>
    <row r="19" spans="3:3">
      <c r="C19" s="1"/>
    </row>
    <row r="20" spans="3:3">
      <c r="C2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47</vt:i4>
      </vt:variant>
    </vt:vector>
  </HeadingPairs>
  <TitlesOfParts>
    <vt:vector size="53" baseType="lpstr">
      <vt:lpstr>Overview</vt:lpstr>
      <vt:lpstr>Field Analysis</vt:lpstr>
      <vt:lpstr>Blanks</vt:lpstr>
      <vt:lpstr>Pivot</vt:lpstr>
      <vt:lpstr>SinglePlot</vt:lpstr>
      <vt:lpstr>MultiplePlots</vt:lpstr>
      <vt:lpstr>Compiled_Lists</vt:lpstr>
      <vt:lpstr>Composition</vt:lpstr>
      <vt:lpstr>CompositionTable</vt:lpstr>
      <vt:lpstr>DarkHeader</vt:lpstr>
      <vt:lpstr>Data_Description</vt:lpstr>
      <vt:lpstr>Blanks!DefaultWarn</vt:lpstr>
      <vt:lpstr>Pivot!DefaultWarn</vt:lpstr>
      <vt:lpstr>Definitions</vt:lpstr>
      <vt:lpstr>Description</vt:lpstr>
      <vt:lpstr>Dimensions</vt:lpstr>
      <vt:lpstr>Field_Analysis</vt:lpstr>
      <vt:lpstr>Field_Lists</vt:lpstr>
      <vt:lpstr>Field_Notes</vt:lpstr>
      <vt:lpstr>FieldList1</vt:lpstr>
      <vt:lpstr>FieldList2</vt:lpstr>
      <vt:lpstr>FieldList3</vt:lpstr>
      <vt:lpstr>FieldList4</vt:lpstr>
      <vt:lpstr>FieldList5</vt:lpstr>
      <vt:lpstr>FieldList6</vt:lpstr>
      <vt:lpstr>FieldList7</vt:lpstr>
      <vt:lpstr>FieldList8</vt:lpstr>
      <vt:lpstr>FieldLists</vt:lpstr>
      <vt:lpstr>FieldRange</vt:lpstr>
      <vt:lpstr>FormatRange</vt:lpstr>
      <vt:lpstr>Headers</vt:lpstr>
      <vt:lpstr>Headers_Start</vt:lpstr>
      <vt:lpstr>Histogram</vt:lpstr>
      <vt:lpstr>LightHeader</vt:lpstr>
      <vt:lpstr>Metadata</vt:lpstr>
      <vt:lpstr>MultiplePlots</vt:lpstr>
      <vt:lpstr>MultiplePlotsTitle</vt:lpstr>
      <vt:lpstr>Name</vt:lpstr>
      <vt:lpstr>Notes</vt:lpstr>
      <vt:lpstr>Percentiles</vt:lpstr>
      <vt:lpstr>RecordHashes</vt:lpstr>
      <vt:lpstr>SerializedLists</vt:lpstr>
      <vt:lpstr>SinglePlot</vt:lpstr>
      <vt:lpstr>SinglePlotTitle</vt:lpstr>
      <vt:lpstr>Summary_Stats</vt:lpstr>
      <vt:lpstr>Blanks!Theme</vt:lpstr>
      <vt:lpstr>MultiplePlots!Theme</vt:lpstr>
      <vt:lpstr>Overview!Theme</vt:lpstr>
      <vt:lpstr>Pivot!Theme</vt:lpstr>
      <vt:lpstr>SinglePlot!Theme</vt:lpstr>
      <vt:lpstr>Toggles</vt:lpstr>
      <vt:lpstr>TopToggle</vt:lpstr>
      <vt:lpstr>Warning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xleda Template</dc:title>
  <dc:creator>Design.In.Data@outlook.com</dc:creator>
  <cp:lastModifiedBy>Michael Rivers</cp:lastModifiedBy>
  <dcterms:created xsi:type="dcterms:W3CDTF">2015-01-25T11:31:25Z</dcterms:created>
  <dcterms:modified xsi:type="dcterms:W3CDTF">2026-05-26T00:03:11Z</dcterms:modified>
</cp:coreProperties>
</file>